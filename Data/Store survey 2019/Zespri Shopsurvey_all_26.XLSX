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727"/>
  <workbookPr defaultThemeVersion="124226"/>
  <mc:AlternateContent xmlns:mc="http://schemas.openxmlformats.org/markup-compatibility/2006">
    <mc:Choice Requires="x15">
      <x15ac:absPath xmlns:x15ac="http://schemas.microsoft.com/office/spreadsheetml/2010/11/ac" url="\\192.168.11.200\000_全国共有\2-Zespri\品質調査\2019\26週\"/>
    </mc:Choice>
  </mc:AlternateContent>
  <xr:revisionPtr revIDLastSave="0" documentId="13_ncr:1_{0A3DC8C2-35BC-44E4-92AA-E6BABD75CD14}"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fukuoka!$A$1:$BA$145</definedName>
    <definedName name="_xlnm._FilterDatabase" localSheetId="4" hidden="1">hiroshima!$A$1:$BA$1</definedName>
    <definedName name="_xlnm._FilterDatabase" localSheetId="1" hidden="1">miyagi!$A$1:$BA$426</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133" i="24" l="1"/>
  <c r="V133" i="24" s="1"/>
  <c r="Q133" i="24"/>
  <c r="T132" i="24"/>
  <c r="V132" i="24" s="1"/>
  <c r="Q132" i="24"/>
  <c r="T131" i="24"/>
  <c r="V131" i="24" s="1"/>
  <c r="Q131" i="24"/>
  <c r="T130" i="24"/>
  <c r="V130" i="24" s="1"/>
  <c r="Q130" i="24"/>
  <c r="T129" i="24"/>
  <c r="V129" i="24" s="1"/>
  <c r="Q129" i="24"/>
  <c r="T128" i="24"/>
  <c r="V128" i="24" s="1"/>
  <c r="Q128" i="24"/>
  <c r="T127" i="24"/>
  <c r="V127" i="24" s="1"/>
  <c r="Q127" i="24"/>
  <c r="T126" i="24"/>
  <c r="V126" i="24" s="1"/>
  <c r="Q126" i="24"/>
  <c r="T125" i="24"/>
  <c r="V125" i="24" s="1"/>
  <c r="Q125" i="24"/>
  <c r="T124" i="24"/>
  <c r="V124" i="24" s="1"/>
  <c r="Q124" i="24"/>
  <c r="T123" i="24"/>
  <c r="V123" i="24" s="1"/>
  <c r="Q123" i="24"/>
  <c r="T122" i="24"/>
  <c r="V122" i="24" s="1"/>
  <c r="Q122" i="24"/>
  <c r="T121" i="24"/>
  <c r="V121" i="24" s="1"/>
  <c r="Q121" i="24"/>
  <c r="T120" i="24"/>
  <c r="V120" i="24" s="1"/>
  <c r="Q120" i="24"/>
  <c r="T119" i="24"/>
  <c r="V119" i="24" s="1"/>
  <c r="Q119" i="24"/>
  <c r="T118" i="24"/>
  <c r="V118" i="24" s="1"/>
  <c r="Q118" i="24"/>
  <c r="T117" i="24"/>
  <c r="V117" i="24" s="1"/>
  <c r="Q117" i="24"/>
  <c r="T116" i="24"/>
  <c r="V116" i="24" s="1"/>
  <c r="Q116" i="24"/>
  <c r="T115" i="24"/>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V87" i="23"/>
  <c r="T87" i="23"/>
  <c r="Q87" i="23"/>
  <c r="T86" i="23"/>
  <c r="V86" i="23" s="1"/>
  <c r="Q86" i="23"/>
  <c r="T85" i="23"/>
  <c r="V85" i="23" s="1"/>
  <c r="Q85" i="23"/>
  <c r="T84" i="23"/>
  <c r="V84" i="23" s="1"/>
  <c r="Q84" i="23"/>
  <c r="V83" i="23"/>
  <c r="T83" i="23"/>
  <c r="Q83" i="23"/>
  <c r="V82" i="23"/>
  <c r="T82" i="23"/>
  <c r="Q82" i="23"/>
  <c r="T81" i="23"/>
  <c r="V81" i="23" s="1"/>
  <c r="Q81" i="23"/>
  <c r="T80" i="23"/>
  <c r="V80" i="23" s="1"/>
  <c r="Q80" i="23"/>
  <c r="V79" i="23"/>
  <c r="T79" i="23"/>
  <c r="Q79" i="23"/>
  <c r="V78" i="23"/>
  <c r="T78" i="23"/>
  <c r="Q78" i="23"/>
  <c r="T77" i="23"/>
  <c r="V77" i="23" s="1"/>
  <c r="Q77" i="23"/>
  <c r="T76" i="23"/>
  <c r="V76" i="23" s="1"/>
  <c r="Q76" i="23"/>
  <c r="V75" i="23"/>
  <c r="T75" i="23"/>
  <c r="Q75" i="23"/>
  <c r="V74" i="23"/>
  <c r="T74" i="23"/>
  <c r="Q74" i="23"/>
  <c r="T73" i="23"/>
  <c r="V73" i="23" s="1"/>
  <c r="Q73" i="23"/>
  <c r="T72" i="23"/>
  <c r="V72" i="23" s="1"/>
  <c r="Q72" i="23"/>
  <c r="V71" i="23"/>
  <c r="T71" i="23"/>
  <c r="Q71" i="23"/>
  <c r="V70" i="23"/>
  <c r="T70" i="23"/>
  <c r="Q70" i="23"/>
  <c r="T69" i="23"/>
  <c r="V69" i="23" s="1"/>
  <c r="Q69" i="23"/>
  <c r="T68" i="23"/>
  <c r="V68" i="23" s="1"/>
  <c r="Q68" i="23"/>
  <c r="V67" i="23"/>
  <c r="T67" i="23"/>
  <c r="Q67" i="23"/>
  <c r="V66" i="23"/>
  <c r="T66" i="23"/>
  <c r="Q66" i="23"/>
  <c r="T65" i="23"/>
  <c r="V65" i="23" s="1"/>
  <c r="Q65" i="23"/>
  <c r="T64" i="23"/>
  <c r="V64" i="23" s="1"/>
  <c r="Q64" i="23"/>
  <c r="V63" i="23"/>
  <c r="T63" i="23"/>
  <c r="Q63" i="23"/>
  <c r="V62" i="23"/>
  <c r="T62" i="23"/>
  <c r="Q62" i="23"/>
  <c r="T61" i="23"/>
  <c r="V61" i="23" s="1"/>
  <c r="Q61" i="23"/>
  <c r="T60" i="23"/>
  <c r="V60" i="23" s="1"/>
  <c r="Q60" i="23"/>
  <c r="T59" i="23"/>
  <c r="V59" i="23" s="1"/>
  <c r="Q59" i="23"/>
  <c r="V58" i="23"/>
  <c r="T58" i="23"/>
  <c r="Q58" i="23"/>
  <c r="T57" i="23"/>
  <c r="V57" i="23" s="1"/>
  <c r="Q57" i="23"/>
  <c r="T56" i="23"/>
  <c r="V56" i="23" s="1"/>
  <c r="Q56" i="23"/>
  <c r="T55" i="23"/>
  <c r="V55" i="23" s="1"/>
  <c r="Q55" i="23"/>
  <c r="V54" i="23"/>
  <c r="T54" i="23"/>
  <c r="Q54" i="23"/>
  <c r="T53" i="23"/>
  <c r="V53" i="23" s="1"/>
  <c r="Q53" i="23"/>
  <c r="T52" i="23"/>
  <c r="V52" i="23" s="1"/>
  <c r="Q52" i="23"/>
  <c r="T51" i="23"/>
  <c r="V51" i="23" s="1"/>
  <c r="Q51" i="23"/>
  <c r="V50" i="23"/>
  <c r="T50" i="23"/>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45" i="22" l="1"/>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70" i="22"/>
  <c r="T70" i="22"/>
  <c r="Q70" i="22"/>
  <c r="V69" i="22"/>
  <c r="T69" i="22"/>
  <c r="Q69" i="22"/>
  <c r="V68" i="22"/>
  <c r="T68" i="22"/>
  <c r="Q68" i="22"/>
  <c r="V67" i="22"/>
  <c r="T67" i="22"/>
  <c r="Q67" i="22"/>
  <c r="V66" i="22"/>
  <c r="T66" i="22"/>
  <c r="Q66" i="22"/>
  <c r="V65" i="22"/>
  <c r="T65" i="22"/>
  <c r="Q65" i="22"/>
  <c r="V64" i="22"/>
  <c r="T64" i="22"/>
  <c r="Q64" i="22"/>
  <c r="V63" i="22"/>
  <c r="T63" i="22"/>
  <c r="Q63" i="22"/>
  <c r="V62" i="22"/>
  <c r="T62" i="22"/>
  <c r="Q62"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88" i="21" l="1"/>
  <c r="V88" i="21" s="1"/>
  <c r="Q88" i="21"/>
  <c r="T87" i="21"/>
  <c r="V87" i="21" s="1"/>
  <c r="Q87" i="21"/>
  <c r="T86" i="21"/>
  <c r="V86" i="21" s="1"/>
  <c r="Q86" i="21"/>
  <c r="T82" i="21"/>
  <c r="V82" i="21" s="1"/>
  <c r="Q82" i="21"/>
  <c r="T81" i="21"/>
  <c r="V81" i="21" s="1"/>
  <c r="Q81" i="21"/>
  <c r="T80" i="21"/>
  <c r="V80" i="21" s="1"/>
  <c r="Q80" i="21"/>
  <c r="T79" i="21"/>
  <c r="V79" i="21" s="1"/>
  <c r="Q79" i="21"/>
  <c r="T78" i="21"/>
  <c r="V78" i="21" s="1"/>
  <c r="Q78" i="21"/>
  <c r="T77" i="21"/>
  <c r="V77" i="21" s="1"/>
  <c r="Q77" i="21"/>
  <c r="T76" i="21"/>
  <c r="V76" i="21" s="1"/>
  <c r="Q76" i="21"/>
  <c r="T75" i="21"/>
  <c r="V75" i="21" s="1"/>
  <c r="Q75" i="21"/>
  <c r="T74" i="21"/>
  <c r="V74" i="21" s="1"/>
  <c r="Q74"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V45" i="20"/>
  <c r="T45" i="20"/>
  <c r="Q45" i="20"/>
  <c r="V44" i="20"/>
  <c r="T44" i="20"/>
  <c r="Q44" i="20"/>
  <c r="V43" i="20"/>
  <c r="T43" i="20"/>
  <c r="Q43" i="20"/>
  <c r="V42" i="20"/>
  <c r="T42" i="20"/>
  <c r="Q42" i="20"/>
  <c r="V41" i="20"/>
  <c r="T41" i="20"/>
  <c r="Q41" i="20"/>
  <c r="T40" i="20"/>
  <c r="V40" i="20" s="1"/>
  <c r="Q40" i="20"/>
  <c r="V39" i="20"/>
  <c r="T39" i="20"/>
  <c r="Q39" i="20"/>
  <c r="V38" i="20"/>
  <c r="T38" i="20"/>
  <c r="Q38" i="20"/>
  <c r="V37" i="20"/>
  <c r="T37" i="20"/>
  <c r="Q37" i="20"/>
  <c r="T36" i="20"/>
  <c r="V36" i="20" s="1"/>
  <c r="Q36" i="20"/>
  <c r="V35" i="20"/>
  <c r="T35" i="20"/>
  <c r="Q35" i="20"/>
  <c r="V34" i="20"/>
  <c r="T34" i="20"/>
  <c r="Q34" i="20"/>
  <c r="V33" i="20"/>
  <c r="T33" i="20"/>
  <c r="Q33" i="20"/>
  <c r="T32" i="20"/>
  <c r="V32" i="20" s="1"/>
  <c r="Q32" i="20"/>
  <c r="V31" i="20"/>
  <c r="T31" i="20"/>
  <c r="Q31" i="20"/>
  <c r="T30" i="20"/>
  <c r="V30" i="20" s="1"/>
  <c r="Q30" i="20"/>
  <c r="V29" i="20"/>
  <c r="T29" i="20"/>
  <c r="Q29" i="20"/>
  <c r="T28" i="20"/>
  <c r="V28" i="20" s="1"/>
  <c r="Q28" i="20"/>
  <c r="V27" i="20"/>
  <c r="T27" i="20"/>
  <c r="Q27" i="20"/>
  <c r="T26" i="20"/>
  <c r="V26" i="20" s="1"/>
  <c r="Q26" i="20"/>
  <c r="V25" i="20"/>
  <c r="T25" i="20"/>
  <c r="Q25" i="20"/>
  <c r="T24" i="20"/>
  <c r="V24" i="20" s="1"/>
  <c r="Q24" i="20"/>
  <c r="T23" i="20"/>
  <c r="V23" i="20" s="1"/>
  <c r="Q23" i="20"/>
  <c r="T22" i="20"/>
  <c r="V22" i="20" s="1"/>
  <c r="Q22" i="20"/>
  <c r="V21" i="20"/>
  <c r="T21" i="20"/>
  <c r="Q21" i="20"/>
  <c r="T20" i="20"/>
  <c r="V20" i="20" s="1"/>
  <c r="Q20" i="20"/>
  <c r="T19" i="20"/>
  <c r="V19" i="20" s="1"/>
  <c r="Q19" i="20"/>
  <c r="T18" i="20"/>
  <c r="V18" i="20" s="1"/>
  <c r="Q18" i="20"/>
  <c r="V17" i="20"/>
  <c r="T17" i="20"/>
  <c r="Q17" i="20"/>
  <c r="T16" i="20"/>
  <c r="V16" i="20" s="1"/>
  <c r="Q16" i="20"/>
  <c r="T15" i="20"/>
  <c r="V15" i="20" s="1"/>
  <c r="Q15" i="20"/>
  <c r="T14" i="20"/>
  <c r="V14" i="20" s="1"/>
  <c r="Q14" i="20"/>
  <c r="V13" i="20"/>
  <c r="T13" i="20"/>
  <c r="Q13" i="20"/>
  <c r="T12" i="20"/>
  <c r="V12" i="20" s="1"/>
  <c r="Q12" i="20"/>
  <c r="T11" i="20"/>
  <c r="V11" i="20" s="1"/>
  <c r="Q11" i="20"/>
  <c r="T10" i="20"/>
  <c r="V10" i="20" s="1"/>
  <c r="Q10" i="20"/>
  <c r="V9" i="20"/>
  <c r="T9" i="20"/>
  <c r="Q9" i="20"/>
  <c r="T8" i="20"/>
  <c r="V8" i="20" s="1"/>
  <c r="Q8" i="20"/>
  <c r="T7" i="20"/>
  <c r="V7" i="20" s="1"/>
  <c r="Q7" i="20"/>
  <c r="T6" i="20"/>
  <c r="V6" i="20" s="1"/>
  <c r="Q6" i="20"/>
  <c r="V5" i="20"/>
  <c r="T5" i="20"/>
  <c r="Q5" i="20"/>
  <c r="T4" i="20"/>
  <c r="V4" i="20" s="1"/>
  <c r="Q4" i="20"/>
  <c r="T3" i="20"/>
  <c r="V3" i="20" s="1"/>
  <c r="Q3" i="20"/>
  <c r="T2" i="20"/>
  <c r="V2" i="20" s="1"/>
  <c r="Q2" i="20"/>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426" i="18" l="1"/>
  <c r="T425" i="18"/>
  <c r="T424" i="18"/>
  <c r="T423" i="18"/>
  <c r="T422" i="18"/>
  <c r="T421" i="18"/>
  <c r="T420" i="18"/>
  <c r="T419" i="18"/>
  <c r="T418" i="18"/>
  <c r="T417" i="18"/>
  <c r="T416" i="18"/>
  <c r="T415" i="18"/>
  <c r="T414" i="18"/>
  <c r="T413" i="18"/>
  <c r="T412" i="18"/>
  <c r="T411" i="18"/>
  <c r="T410" i="18"/>
  <c r="T409" i="18"/>
  <c r="T408" i="18"/>
  <c r="T407" i="18"/>
  <c r="T406" i="18"/>
  <c r="V406" i="18" s="1"/>
  <c r="T405" i="18"/>
  <c r="V405" i="18" s="1"/>
  <c r="V404" i="18"/>
  <c r="T404" i="18"/>
  <c r="T403" i="18"/>
  <c r="V403" i="18" s="1"/>
  <c r="T402" i="18"/>
  <c r="V402" i="18" s="1"/>
  <c r="T401" i="18"/>
  <c r="V401" i="18" s="1"/>
  <c r="T400" i="18"/>
  <c r="V400" i="18" s="1"/>
  <c r="T399" i="18"/>
  <c r="V399" i="18" s="1"/>
  <c r="V398" i="18"/>
  <c r="T398" i="18"/>
  <c r="Q398" i="18"/>
  <c r="T397" i="18"/>
  <c r="V397" i="18" s="1"/>
  <c r="Q397" i="18"/>
  <c r="T396" i="18"/>
  <c r="V396" i="18" s="1"/>
  <c r="Q396" i="18"/>
  <c r="V395" i="18"/>
  <c r="T395" i="18"/>
  <c r="Q395" i="18"/>
  <c r="V394" i="18"/>
  <c r="T394" i="18"/>
  <c r="Q394" i="18"/>
  <c r="T393" i="18"/>
  <c r="V393" i="18" s="1"/>
  <c r="Q393" i="18"/>
  <c r="T392" i="18"/>
  <c r="V392" i="18" s="1"/>
  <c r="Q392" i="18"/>
  <c r="V391" i="18"/>
  <c r="T391" i="18"/>
  <c r="Q391" i="18"/>
  <c r="V390" i="18"/>
  <c r="T390" i="18"/>
  <c r="Q390" i="18"/>
  <c r="T389" i="18"/>
  <c r="V389" i="18" s="1"/>
  <c r="Q389" i="18"/>
  <c r="T388" i="18"/>
  <c r="V388" i="18" s="1"/>
  <c r="Q388" i="18"/>
  <c r="V387" i="18"/>
  <c r="T387" i="18"/>
  <c r="Q387" i="18"/>
  <c r="V386" i="18"/>
  <c r="T386" i="18"/>
  <c r="Q386" i="18"/>
  <c r="T385" i="18"/>
  <c r="V385" i="18" s="1"/>
  <c r="Q385" i="18"/>
  <c r="T384" i="18"/>
  <c r="V384" i="18" s="1"/>
  <c r="Q384" i="18"/>
  <c r="V383" i="18"/>
  <c r="T383" i="18"/>
  <c r="Q383" i="18"/>
  <c r="V382" i="18"/>
  <c r="T382" i="18"/>
  <c r="Q382" i="18"/>
  <c r="T381" i="18"/>
  <c r="V381" i="18" s="1"/>
  <c r="Q381" i="18"/>
  <c r="T380" i="18"/>
  <c r="V380" i="18" s="1"/>
  <c r="Q380" i="18"/>
  <c r="V379" i="18"/>
  <c r="T379" i="18"/>
  <c r="Q379" i="18"/>
  <c r="V378" i="18"/>
  <c r="T378" i="18"/>
  <c r="Q378" i="18"/>
  <c r="T377" i="18"/>
  <c r="V377" i="18" s="1"/>
  <c r="Q377" i="18"/>
  <c r="T376" i="18"/>
  <c r="V376" i="18" s="1"/>
  <c r="Q376" i="18"/>
  <c r="T375" i="18"/>
  <c r="V375" i="18" s="1"/>
  <c r="Q375" i="18"/>
  <c r="V374" i="18"/>
  <c r="T374" i="18"/>
  <c r="Q374" i="18"/>
  <c r="T373" i="18"/>
  <c r="V373" i="18" s="1"/>
  <c r="Q373" i="18"/>
  <c r="T372" i="18"/>
  <c r="V372" i="18" s="1"/>
  <c r="Q372" i="18"/>
  <c r="T371" i="18"/>
  <c r="V371" i="18" s="1"/>
  <c r="Q371" i="18"/>
  <c r="V370" i="18"/>
  <c r="T370" i="18"/>
  <c r="Q370" i="18"/>
  <c r="T369" i="18"/>
  <c r="V369" i="18" s="1"/>
  <c r="Q369" i="18"/>
  <c r="T368" i="18"/>
  <c r="V368" i="18" s="1"/>
  <c r="Q368" i="18"/>
  <c r="T367" i="18"/>
  <c r="V367" i="18" s="1"/>
  <c r="Q367" i="18"/>
  <c r="V366" i="18"/>
  <c r="T366" i="18"/>
  <c r="Q366" i="18"/>
  <c r="T365" i="18"/>
  <c r="V365" i="18" s="1"/>
  <c r="Q365" i="18"/>
  <c r="T364" i="18"/>
  <c r="V364" i="18" s="1"/>
  <c r="Q364" i="18"/>
  <c r="T363" i="18"/>
  <c r="V363" i="18" s="1"/>
  <c r="Q363" i="18"/>
  <c r="V362" i="18"/>
  <c r="T362" i="18"/>
  <c r="Q362" i="18"/>
  <c r="T361" i="18"/>
  <c r="V361" i="18" s="1"/>
  <c r="Q361" i="18"/>
  <c r="T360" i="18"/>
  <c r="V360" i="18" s="1"/>
  <c r="Q360" i="18"/>
  <c r="T359" i="18"/>
  <c r="V359" i="18" s="1"/>
  <c r="Q359" i="18"/>
  <c r="V358" i="18"/>
  <c r="T358" i="18"/>
  <c r="Q358" i="18"/>
  <c r="T357" i="18"/>
  <c r="V357" i="18" s="1"/>
  <c r="Q357" i="18"/>
  <c r="T356" i="18"/>
  <c r="V356" i="18" s="1"/>
  <c r="Q356" i="18"/>
  <c r="T355" i="18"/>
  <c r="V355" i="18" s="1"/>
  <c r="Q355" i="18"/>
  <c r="V354" i="18"/>
  <c r="T354" i="18"/>
  <c r="Q354" i="18"/>
  <c r="T353" i="18"/>
  <c r="V353" i="18" s="1"/>
  <c r="Q353" i="18"/>
  <c r="T352" i="18"/>
  <c r="V352" i="18" s="1"/>
  <c r="Q352" i="18"/>
  <c r="T351" i="18"/>
  <c r="V351" i="18" s="1"/>
  <c r="Q351" i="18"/>
  <c r="V350" i="18"/>
  <c r="T350" i="18"/>
  <c r="Q350" i="18"/>
  <c r="T349" i="18"/>
  <c r="V349" i="18" s="1"/>
  <c r="Q349" i="18"/>
  <c r="T348" i="18"/>
  <c r="V348" i="18" s="1"/>
  <c r="Q348" i="18"/>
  <c r="T347" i="18"/>
  <c r="V347" i="18" s="1"/>
  <c r="Q347" i="18"/>
  <c r="V346" i="18"/>
  <c r="T346" i="18"/>
  <c r="Q346" i="18"/>
  <c r="T345" i="18"/>
  <c r="V345" i="18" s="1"/>
  <c r="Q345" i="18"/>
  <c r="T344" i="18"/>
  <c r="V344" i="18" s="1"/>
  <c r="Q344" i="18"/>
  <c r="T343" i="18"/>
  <c r="V343" i="18" s="1"/>
  <c r="Q343" i="18"/>
  <c r="V342" i="18"/>
  <c r="T342" i="18"/>
  <c r="Q342" i="18"/>
  <c r="T341" i="18"/>
  <c r="V341" i="18" s="1"/>
  <c r="Q341" i="18"/>
  <c r="T340" i="18"/>
  <c r="V340" i="18" s="1"/>
  <c r="Q340" i="18"/>
  <c r="T339" i="18"/>
  <c r="V339" i="18" s="1"/>
  <c r="Q339" i="18"/>
  <c r="V338" i="18"/>
  <c r="T338" i="18"/>
  <c r="Q338" i="18"/>
  <c r="T337" i="18"/>
  <c r="V337" i="18" s="1"/>
  <c r="Q337" i="18"/>
  <c r="T336" i="18"/>
  <c r="V336" i="18" s="1"/>
  <c r="Q336" i="18"/>
  <c r="T335" i="18"/>
  <c r="V335" i="18" s="1"/>
  <c r="Q335" i="18"/>
  <c r="V334" i="18"/>
  <c r="T334" i="18"/>
  <c r="Q334" i="18"/>
  <c r="T333" i="18"/>
  <c r="V333" i="18" s="1"/>
  <c r="Q333" i="18"/>
  <c r="T332" i="18"/>
  <c r="V332" i="18" s="1"/>
  <c r="Q332" i="18"/>
  <c r="T331" i="18"/>
  <c r="V331" i="18" s="1"/>
  <c r="Q331" i="18"/>
  <c r="V330" i="18"/>
  <c r="T330" i="18"/>
  <c r="Q330" i="18"/>
  <c r="T329" i="18"/>
  <c r="V329" i="18" s="1"/>
  <c r="Q329" i="18"/>
  <c r="T328" i="18"/>
  <c r="V328" i="18" s="1"/>
  <c r="Q328" i="18"/>
  <c r="T327" i="18"/>
  <c r="V327" i="18" s="1"/>
  <c r="Q327" i="18"/>
  <c r="V326" i="18"/>
  <c r="T326" i="18"/>
  <c r="Q326" i="18"/>
  <c r="T325" i="18"/>
  <c r="V325" i="18" s="1"/>
  <c r="Q325" i="18"/>
  <c r="T324" i="18"/>
  <c r="V324" i="18" s="1"/>
  <c r="Q324" i="18"/>
  <c r="T323" i="18"/>
  <c r="V323" i="18" s="1"/>
  <c r="Q323" i="18"/>
  <c r="V322" i="18"/>
  <c r="T322" i="18"/>
  <c r="Q322" i="18"/>
  <c r="T321" i="18"/>
  <c r="V321" i="18" s="1"/>
  <c r="Q321" i="18"/>
  <c r="T320" i="18"/>
  <c r="V320" i="18" s="1"/>
  <c r="Q320" i="18"/>
  <c r="T319" i="18"/>
  <c r="V319" i="18" s="1"/>
  <c r="Q319" i="18"/>
  <c r="V318" i="18"/>
  <c r="T318" i="18"/>
  <c r="Q318" i="18"/>
  <c r="T317" i="18"/>
  <c r="V317" i="18" s="1"/>
  <c r="Q317" i="18"/>
  <c r="T316" i="18"/>
  <c r="V316" i="18" s="1"/>
  <c r="Q316" i="18"/>
  <c r="T315" i="18"/>
  <c r="V315" i="18" s="1"/>
  <c r="Q315" i="18"/>
  <c r="V314" i="18"/>
  <c r="T314" i="18"/>
  <c r="Q314" i="18"/>
  <c r="T313" i="18"/>
  <c r="V313" i="18" s="1"/>
  <c r="Q313" i="18"/>
  <c r="T312" i="18"/>
  <c r="V312" i="18" s="1"/>
  <c r="Q312" i="18"/>
  <c r="T311" i="18"/>
  <c r="V311" i="18" s="1"/>
  <c r="Q311" i="18"/>
  <c r="V310" i="18"/>
  <c r="T310" i="18"/>
  <c r="Q310" i="18"/>
  <c r="T309" i="18"/>
  <c r="V309" i="18" s="1"/>
  <c r="Q309" i="18"/>
  <c r="T308" i="18"/>
  <c r="V308" i="18" s="1"/>
  <c r="Q308" i="18"/>
  <c r="T307" i="18"/>
  <c r="V307" i="18" s="1"/>
  <c r="Q307" i="18"/>
  <c r="V306" i="18"/>
  <c r="T306" i="18"/>
  <c r="Q306" i="18"/>
  <c r="T305" i="18"/>
  <c r="V305" i="18" s="1"/>
  <c r="Q305" i="18"/>
  <c r="T304" i="18"/>
  <c r="V304" i="18" s="1"/>
  <c r="Q304" i="18"/>
  <c r="T303" i="18"/>
  <c r="V303" i="18" s="1"/>
  <c r="Q303" i="18"/>
  <c r="V302" i="18"/>
  <c r="T302" i="18"/>
  <c r="Q302" i="18"/>
  <c r="T301" i="18"/>
  <c r="V301" i="18" s="1"/>
  <c r="Q301" i="18"/>
  <c r="T300" i="18"/>
  <c r="V300" i="18" s="1"/>
  <c r="Q300" i="18"/>
  <c r="T299" i="18"/>
  <c r="V299" i="18" s="1"/>
  <c r="Q299" i="18"/>
  <c r="V298" i="18"/>
  <c r="T298" i="18"/>
  <c r="Q298" i="18"/>
  <c r="T297" i="18"/>
  <c r="V297" i="18" s="1"/>
  <c r="Q297" i="18"/>
  <c r="T296" i="18"/>
  <c r="V296" i="18" s="1"/>
  <c r="Q296" i="18"/>
  <c r="T295" i="18"/>
  <c r="V295" i="18" s="1"/>
  <c r="Q295" i="18"/>
  <c r="V294" i="18"/>
  <c r="T294" i="18"/>
  <c r="Q294" i="18"/>
  <c r="T293" i="18"/>
  <c r="V293" i="18" s="1"/>
  <c r="Q293" i="18"/>
  <c r="T292" i="18"/>
  <c r="V292" i="18" s="1"/>
  <c r="Q292" i="18"/>
  <c r="T291" i="18"/>
  <c r="V291" i="18" s="1"/>
  <c r="Q291" i="18"/>
  <c r="V290" i="18"/>
  <c r="T290" i="18"/>
  <c r="Q290" i="18"/>
  <c r="T289" i="18"/>
  <c r="V289" i="18" s="1"/>
  <c r="Q289" i="18"/>
  <c r="T288" i="18"/>
  <c r="V288" i="18" s="1"/>
  <c r="Q288" i="18"/>
  <c r="T287" i="18"/>
  <c r="V287" i="18" s="1"/>
  <c r="Q287" i="18"/>
  <c r="V286" i="18"/>
  <c r="T286" i="18"/>
  <c r="Q286" i="18"/>
  <c r="T285" i="18"/>
  <c r="V285" i="18" s="1"/>
  <c r="Q285" i="18"/>
  <c r="T284" i="18"/>
  <c r="V284" i="18" s="1"/>
  <c r="Q284" i="18"/>
  <c r="T283" i="18"/>
  <c r="V283" i="18" s="1"/>
  <c r="Q283" i="18"/>
  <c r="V282" i="18"/>
  <c r="T282" i="18"/>
  <c r="Q282" i="18"/>
  <c r="T281" i="18"/>
  <c r="V281" i="18" s="1"/>
  <c r="Q281" i="18"/>
  <c r="T280" i="18"/>
  <c r="V280" i="18" s="1"/>
  <c r="Q280" i="18"/>
  <c r="T279" i="18"/>
  <c r="V279" i="18" s="1"/>
  <c r="Q279" i="18"/>
  <c r="V278" i="18"/>
  <c r="T278" i="18"/>
  <c r="Q278" i="18"/>
  <c r="T277" i="18"/>
  <c r="V277" i="18" s="1"/>
  <c r="Q277" i="18"/>
  <c r="T276" i="18"/>
  <c r="V276" i="18" s="1"/>
  <c r="Q276" i="18"/>
  <c r="T275" i="18"/>
  <c r="V275" i="18" s="1"/>
  <c r="Q275" i="18"/>
  <c r="V274" i="18"/>
  <c r="T274" i="18"/>
  <c r="Q274" i="18"/>
  <c r="T273" i="18"/>
  <c r="V273" i="18" s="1"/>
  <c r="Q273" i="18"/>
  <c r="T272" i="18"/>
  <c r="V272" i="18" s="1"/>
  <c r="Q272" i="18"/>
  <c r="T271" i="18"/>
  <c r="V271" i="18" s="1"/>
  <c r="Q271" i="18"/>
  <c r="V270" i="18"/>
  <c r="T270" i="18"/>
  <c r="Q270" i="18"/>
  <c r="T269" i="18"/>
  <c r="V269" i="18" s="1"/>
  <c r="Q269" i="18"/>
  <c r="T268" i="18"/>
  <c r="V268" i="18" s="1"/>
  <c r="Q268" i="18"/>
  <c r="T267" i="18"/>
  <c r="V267" i="18" s="1"/>
  <c r="Q267" i="18"/>
  <c r="T266" i="18"/>
  <c r="V266" i="18" s="1"/>
  <c r="Q266" i="18"/>
  <c r="T265" i="18"/>
  <c r="V265" i="18" s="1"/>
  <c r="Q265" i="18"/>
  <c r="T264" i="18"/>
  <c r="V264" i="18" s="1"/>
  <c r="Q264" i="18"/>
  <c r="T263" i="18"/>
  <c r="V263" i="18" s="1"/>
  <c r="Q263" i="18"/>
  <c r="T262" i="18"/>
  <c r="V262" i="18" s="1"/>
  <c r="Q262" i="18"/>
  <c r="T261" i="18"/>
  <c r="V261" i="18" s="1"/>
  <c r="Q261" i="18"/>
  <c r="T260" i="18"/>
  <c r="V260" i="18" s="1"/>
  <c r="Q260" i="18"/>
  <c r="T259" i="18"/>
  <c r="V259" i="18" s="1"/>
  <c r="Q259" i="18"/>
  <c r="T258" i="18"/>
  <c r="V258" i="18" s="1"/>
  <c r="Q258" i="18"/>
  <c r="T257" i="18"/>
  <c r="V257" i="18" s="1"/>
  <c r="Q257" i="18"/>
  <c r="T256" i="18"/>
  <c r="V256" i="18" s="1"/>
  <c r="Q256" i="18"/>
  <c r="T255" i="18"/>
  <c r="V255" i="18" s="1"/>
  <c r="Q255" i="18"/>
  <c r="T254" i="18"/>
  <c r="V254" i="18" s="1"/>
  <c r="Q254" i="18"/>
  <c r="T253" i="18"/>
  <c r="V253" i="18" s="1"/>
  <c r="Q253" i="18"/>
  <c r="T252" i="18"/>
  <c r="V252" i="18" s="1"/>
  <c r="Q252" i="18"/>
  <c r="T251" i="18"/>
  <c r="V251" i="18" s="1"/>
  <c r="Q251" i="18"/>
  <c r="T250" i="18"/>
  <c r="V250" i="18" s="1"/>
  <c r="Q250" i="18"/>
  <c r="T249" i="18"/>
  <c r="V249" i="18" s="1"/>
  <c r="Q249" i="18"/>
  <c r="T248" i="18"/>
  <c r="V248" i="18" s="1"/>
  <c r="Q248" i="18"/>
  <c r="T247" i="18"/>
  <c r="V247" i="18" s="1"/>
  <c r="Q247" i="18"/>
  <c r="T246" i="18"/>
  <c r="V246" i="18" s="1"/>
  <c r="Q246" i="18"/>
  <c r="T245" i="18"/>
  <c r="V245" i="18" s="1"/>
  <c r="Q245" i="18"/>
  <c r="T244" i="18"/>
  <c r="V244" i="18" s="1"/>
  <c r="Q244" i="18"/>
  <c r="T243" i="18"/>
  <c r="V243" i="18" s="1"/>
  <c r="Q243" i="18"/>
  <c r="T242" i="18"/>
  <c r="V242" i="18" s="1"/>
  <c r="Q242" i="18"/>
  <c r="T241" i="18"/>
  <c r="V241" i="18" s="1"/>
  <c r="Q241" i="18"/>
  <c r="T240" i="18"/>
  <c r="V240" i="18" s="1"/>
  <c r="Q240" i="18"/>
  <c r="T239" i="18"/>
  <c r="V239" i="18" s="1"/>
  <c r="Q239" i="18"/>
  <c r="T238" i="18"/>
  <c r="V238" i="18" s="1"/>
  <c r="Q238" i="18"/>
  <c r="T237" i="18"/>
  <c r="V237" i="18" s="1"/>
  <c r="Q237" i="18"/>
  <c r="T236" i="18"/>
  <c r="V236" i="18" s="1"/>
  <c r="Q236" i="18"/>
  <c r="T235" i="18"/>
  <c r="V235" i="18" s="1"/>
  <c r="Q235" i="18"/>
  <c r="T234" i="18"/>
  <c r="V234" i="18" s="1"/>
  <c r="Q234" i="18"/>
  <c r="T233" i="18"/>
  <c r="V233" i="18" s="1"/>
  <c r="Q233" i="18"/>
  <c r="T232" i="18"/>
  <c r="V232" i="18" s="1"/>
  <c r="Q232" i="18"/>
  <c r="T231" i="18"/>
  <c r="V231" i="18" s="1"/>
  <c r="Q231" i="18"/>
  <c r="T230" i="18"/>
  <c r="V230" i="18" s="1"/>
  <c r="Q230" i="18"/>
  <c r="T229" i="18"/>
  <c r="V229" i="18" s="1"/>
  <c r="Q229" i="18"/>
  <c r="T228" i="18"/>
  <c r="V228" i="18" s="1"/>
  <c r="Q228" i="18"/>
  <c r="T227" i="18"/>
  <c r="V227" i="18" s="1"/>
  <c r="Q227" i="18"/>
  <c r="T226" i="18"/>
  <c r="V226" i="18" s="1"/>
  <c r="Q226" i="18"/>
  <c r="T225" i="18"/>
  <c r="V225" i="18" s="1"/>
  <c r="Q225" i="18"/>
  <c r="T224" i="18"/>
  <c r="V224" i="18" s="1"/>
  <c r="Q224" i="18"/>
  <c r="T223" i="18"/>
  <c r="V223" i="18" s="1"/>
  <c r="Q223" i="18"/>
  <c r="T222" i="18"/>
  <c r="V222" i="18" s="1"/>
  <c r="Q222" i="18"/>
  <c r="T221" i="18"/>
  <c r="V221" i="18" s="1"/>
  <c r="Q221" i="18"/>
  <c r="T220" i="18"/>
  <c r="V220" i="18" s="1"/>
  <c r="Q220" i="18"/>
  <c r="T219" i="18"/>
  <c r="V219" i="18" s="1"/>
  <c r="Q219" i="18"/>
  <c r="T218" i="18"/>
  <c r="V218" i="18" s="1"/>
  <c r="Q218" i="18"/>
  <c r="T217" i="18"/>
  <c r="V217" i="18" s="1"/>
  <c r="Q217" i="18"/>
  <c r="T216" i="18"/>
  <c r="V216" i="18" s="1"/>
  <c r="Q216" i="18"/>
  <c r="T215" i="18"/>
  <c r="V215" i="18" s="1"/>
  <c r="Q215" i="18"/>
  <c r="T214" i="18"/>
  <c r="V214" i="18" s="1"/>
  <c r="Q214" i="18"/>
  <c r="T213" i="18"/>
  <c r="V213" i="18" s="1"/>
  <c r="Q213" i="18"/>
  <c r="T212" i="18"/>
  <c r="V212" i="18" s="1"/>
  <c r="Q212" i="18"/>
  <c r="T211" i="18"/>
  <c r="V211" i="18" s="1"/>
  <c r="Q211" i="18"/>
  <c r="T210" i="18"/>
  <c r="V210" i="18" s="1"/>
  <c r="Q210" i="18"/>
  <c r="T209" i="18"/>
  <c r="V209" i="18" s="1"/>
  <c r="Q209" i="18"/>
  <c r="T208" i="18"/>
  <c r="V208" i="18" s="1"/>
  <c r="Q208" i="18"/>
  <c r="T207" i="18"/>
  <c r="V207" i="18" s="1"/>
  <c r="Q207" i="18"/>
  <c r="T206" i="18"/>
  <c r="V206" i="18" s="1"/>
  <c r="Q206" i="18"/>
  <c r="T205" i="18"/>
  <c r="V205" i="18" s="1"/>
  <c r="Q205" i="18"/>
  <c r="T204" i="18"/>
  <c r="V204" i="18" s="1"/>
  <c r="Q204" i="18"/>
  <c r="T203" i="18"/>
  <c r="V203" i="18" s="1"/>
  <c r="Q203" i="18"/>
  <c r="T202" i="18"/>
  <c r="V202" i="18" s="1"/>
  <c r="Q202" i="18"/>
  <c r="T201" i="18"/>
  <c r="V201" i="18" s="1"/>
  <c r="Q201" i="18"/>
  <c r="T200" i="18"/>
  <c r="V200" i="18" s="1"/>
  <c r="Q200" i="18"/>
  <c r="T199" i="18"/>
  <c r="V199" i="18" s="1"/>
  <c r="Q199" i="18"/>
  <c r="T198" i="18"/>
  <c r="V198" i="18" s="1"/>
  <c r="Q198" i="18"/>
  <c r="T197" i="18"/>
  <c r="V197" i="18" s="1"/>
  <c r="Q197" i="18"/>
  <c r="T196" i="18"/>
  <c r="V196" i="18" s="1"/>
  <c r="Q196" i="18"/>
  <c r="T195" i="18"/>
  <c r="V195" i="18" s="1"/>
  <c r="Q195" i="18"/>
  <c r="T194" i="18"/>
  <c r="V194" i="18" s="1"/>
  <c r="Q194" i="18"/>
  <c r="T193" i="18"/>
  <c r="V193" i="18" s="1"/>
  <c r="Q193" i="18"/>
  <c r="T192" i="18"/>
  <c r="V192" i="18" s="1"/>
  <c r="Q192" i="18"/>
  <c r="T191" i="18"/>
  <c r="V191" i="18" s="1"/>
  <c r="Q191" i="18"/>
  <c r="T190" i="18"/>
  <c r="V190" i="18" s="1"/>
  <c r="Q190" i="18"/>
  <c r="T189" i="18"/>
  <c r="V189" i="18" s="1"/>
  <c r="Q189" i="18"/>
  <c r="T188" i="18"/>
  <c r="V188" i="18" s="1"/>
  <c r="Q188" i="18"/>
  <c r="T187" i="18"/>
  <c r="V187" i="18" s="1"/>
  <c r="Q187" i="18"/>
  <c r="T186" i="18"/>
  <c r="V186" i="18" s="1"/>
  <c r="Q186" i="18"/>
  <c r="T185" i="18"/>
  <c r="V185" i="18" s="1"/>
  <c r="Q185" i="18"/>
  <c r="T184" i="18"/>
  <c r="V184" i="18" s="1"/>
  <c r="Q184" i="18"/>
  <c r="T183" i="18"/>
  <c r="V183" i="18" s="1"/>
  <c r="Q183" i="18"/>
  <c r="T182" i="18"/>
  <c r="V182" i="18" s="1"/>
  <c r="Q182" i="18"/>
  <c r="T181" i="18"/>
  <c r="V181" i="18" s="1"/>
  <c r="Q181" i="18"/>
  <c r="T180" i="18"/>
  <c r="V180" i="18" s="1"/>
  <c r="Q180" i="18"/>
  <c r="T179" i="18"/>
  <c r="V179" i="18" s="1"/>
  <c r="Q179" i="18"/>
  <c r="T178" i="18"/>
  <c r="V178" i="18" s="1"/>
  <c r="Q178" i="18"/>
  <c r="T177" i="18"/>
  <c r="V177" i="18" s="1"/>
  <c r="Q177" i="18"/>
  <c r="T176" i="18"/>
  <c r="V176" i="18" s="1"/>
  <c r="Q176" i="18"/>
  <c r="T175" i="18"/>
  <c r="V175" i="18" s="1"/>
  <c r="Q175" i="18"/>
  <c r="T174" i="18"/>
  <c r="V174" i="18" s="1"/>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T166" i="18"/>
  <c r="V166" i="18" s="1"/>
  <c r="Q166" i="18"/>
  <c r="T165" i="18"/>
  <c r="V165" i="18" s="1"/>
  <c r="Q165" i="18"/>
  <c r="T164" i="18"/>
  <c r="V164" i="18" s="1"/>
  <c r="Q164" i="18"/>
  <c r="T163" i="18"/>
  <c r="V163" i="18" s="1"/>
  <c r="Q163" i="18"/>
  <c r="T162" i="18"/>
  <c r="V162" i="18" s="1"/>
  <c r="Q162" i="18"/>
  <c r="T161" i="18"/>
  <c r="V161" i="18" s="1"/>
  <c r="Q161" i="18"/>
  <c r="T160" i="18"/>
  <c r="V160" i="18" s="1"/>
  <c r="Q160" i="18"/>
  <c r="T159" i="18"/>
  <c r="V159" i="18" s="1"/>
  <c r="Q159" i="18"/>
  <c r="T158" i="18"/>
  <c r="V158" i="18" s="1"/>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V131" i="18"/>
  <c r="T131" i="18"/>
  <c r="Q131" i="18"/>
  <c r="V130" i="18"/>
  <c r="T130" i="18"/>
  <c r="Q130" i="18"/>
  <c r="T129" i="18"/>
  <c r="V129" i="18" s="1"/>
  <c r="Q129" i="18"/>
  <c r="T128" i="18"/>
  <c r="V128" i="18" s="1"/>
  <c r="Q128" i="18"/>
  <c r="T127" i="18"/>
  <c r="V127" i="18" s="1"/>
  <c r="Q127" i="18"/>
  <c r="V126" i="18"/>
  <c r="T126" i="18"/>
  <c r="Q126" i="18"/>
  <c r="T125" i="18"/>
  <c r="V125" i="18" s="1"/>
  <c r="Q125" i="18"/>
  <c r="T124" i="18"/>
  <c r="V124" i="18" s="1"/>
  <c r="Q124" i="18"/>
  <c r="T123" i="18"/>
  <c r="V123" i="18" s="1"/>
  <c r="Q123" i="18"/>
  <c r="T122" i="18"/>
  <c r="V122" i="18" s="1"/>
  <c r="Q122" i="18"/>
  <c r="T121" i="18"/>
  <c r="V121" i="18" s="1"/>
  <c r="Q121" i="18"/>
  <c r="T120" i="18"/>
  <c r="V120" i="18" s="1"/>
  <c r="Q120" i="18"/>
  <c r="V119" i="18"/>
  <c r="T119" i="18"/>
  <c r="Q119" i="18"/>
  <c r="V118" i="18"/>
  <c r="T118" i="18"/>
  <c r="Q118" i="18"/>
  <c r="T117" i="18"/>
  <c r="V117" i="18" s="1"/>
  <c r="Q117" i="18"/>
  <c r="T116" i="18"/>
  <c r="V116" i="18" s="1"/>
  <c r="Q116" i="18"/>
  <c r="V115" i="18"/>
  <c r="T115" i="18"/>
  <c r="Q115" i="18"/>
  <c r="T114" i="18"/>
  <c r="V114" i="18" s="1"/>
  <c r="Q114" i="18"/>
  <c r="T113" i="18"/>
  <c r="V113" i="18" s="1"/>
  <c r="Q113" i="18"/>
  <c r="T112" i="18"/>
  <c r="V112" i="18" s="1"/>
  <c r="Q112" i="18"/>
  <c r="T111" i="18"/>
  <c r="V111" i="18" s="1"/>
  <c r="Q111" i="18"/>
  <c r="T110" i="18"/>
  <c r="V110" i="18" s="1"/>
  <c r="Q110" i="18"/>
  <c r="T109" i="18"/>
  <c r="V109" i="18" s="1"/>
  <c r="Q109" i="18"/>
  <c r="T108" i="18"/>
  <c r="V108" i="18" s="1"/>
  <c r="Q108" i="18"/>
  <c r="V107" i="18"/>
  <c r="T107" i="18"/>
  <c r="Q107" i="18"/>
  <c r="V106" i="18"/>
  <c r="T106" i="18"/>
  <c r="Q106" i="18"/>
  <c r="T105" i="18"/>
  <c r="V105" i="18" s="1"/>
  <c r="Q105" i="18"/>
  <c r="T104" i="18"/>
  <c r="V104" i="18" s="1"/>
  <c r="Q104" i="18"/>
  <c r="T103" i="18"/>
  <c r="V103" i="18" s="1"/>
  <c r="Q103" i="18"/>
  <c r="V102" i="18"/>
  <c r="T102" i="18"/>
  <c r="Q102" i="18"/>
  <c r="T101" i="18"/>
  <c r="V101" i="18" s="1"/>
  <c r="Q101" i="18"/>
  <c r="T100" i="18"/>
  <c r="V100" i="18" s="1"/>
  <c r="Q100" i="18"/>
  <c r="T99" i="18"/>
  <c r="V99" i="18" s="1"/>
  <c r="Q99" i="18"/>
  <c r="T98" i="18"/>
  <c r="V98" i="18" s="1"/>
  <c r="Q98" i="18"/>
  <c r="T97" i="18"/>
  <c r="V97" i="18" s="1"/>
  <c r="Q97" i="18"/>
  <c r="T96" i="18"/>
  <c r="V96" i="18" s="1"/>
  <c r="Q96" i="18"/>
  <c r="V95" i="18"/>
  <c r="T95" i="18"/>
  <c r="Q95" i="18"/>
  <c r="V94" i="18"/>
  <c r="T94" i="18"/>
  <c r="Q94" i="18"/>
  <c r="T93" i="18"/>
  <c r="V93" i="18" s="1"/>
  <c r="Q93" i="18"/>
  <c r="T92" i="18"/>
  <c r="V92" i="18" s="1"/>
  <c r="Q92" i="18"/>
  <c r="V91" i="18"/>
  <c r="T91" i="18"/>
  <c r="Q91" i="18"/>
  <c r="T90" i="18"/>
  <c r="V90" i="18" s="1"/>
  <c r="Q90" i="18"/>
  <c r="T89" i="18"/>
  <c r="V89" i="18" s="1"/>
  <c r="Q89" i="18"/>
  <c r="T88" i="18"/>
  <c r="V88" i="18" s="1"/>
  <c r="Q88" i="18"/>
  <c r="T87" i="18"/>
  <c r="V87" i="18" s="1"/>
  <c r="Q87" i="18"/>
  <c r="T86" i="18"/>
  <c r="V86" i="18" s="1"/>
  <c r="Q86" i="18"/>
  <c r="T85" i="18"/>
  <c r="V85" i="18" s="1"/>
  <c r="Q85" i="18"/>
  <c r="T84" i="18"/>
  <c r="V84" i="18" s="1"/>
  <c r="Q84" i="18"/>
  <c r="V83" i="18"/>
  <c r="T83" i="18"/>
  <c r="Q83" i="18"/>
  <c r="T82" i="18"/>
  <c r="V82" i="18" s="1"/>
  <c r="Q82" i="18"/>
  <c r="T81" i="18"/>
  <c r="V81" i="18" s="1"/>
  <c r="Q81" i="18"/>
  <c r="T80" i="18"/>
  <c r="V80" i="18" s="1"/>
  <c r="Q80" i="18"/>
  <c r="T79" i="18"/>
  <c r="V79" i="18" s="1"/>
  <c r="Q79" i="18"/>
  <c r="V78" i="18"/>
  <c r="T78" i="18"/>
  <c r="Q78" i="18"/>
  <c r="T77" i="18"/>
  <c r="V77" i="18" s="1"/>
  <c r="Q77" i="18"/>
  <c r="T76" i="18"/>
  <c r="V76" i="18" s="1"/>
  <c r="Q76" i="18"/>
  <c r="T75" i="18"/>
  <c r="V75" i="18" s="1"/>
  <c r="Q75" i="18"/>
  <c r="T74" i="18"/>
  <c r="V74" i="18" s="1"/>
  <c r="Q74" i="18"/>
  <c r="T73" i="18"/>
  <c r="V73" i="18" s="1"/>
  <c r="Q73" i="18"/>
  <c r="T72" i="18"/>
  <c r="V72" i="18" s="1"/>
  <c r="Q72" i="18"/>
  <c r="V71" i="18"/>
  <c r="T71" i="18"/>
  <c r="Q71" i="18"/>
  <c r="V70" i="18"/>
  <c r="T70" i="18"/>
  <c r="Q70" i="18"/>
  <c r="T69" i="18"/>
  <c r="V69" i="18" s="1"/>
  <c r="Q69" i="18"/>
  <c r="T68" i="18"/>
  <c r="V68" i="18" s="1"/>
  <c r="Q68" i="18"/>
  <c r="V67" i="18"/>
  <c r="T67" i="18"/>
  <c r="Q67" i="18"/>
  <c r="T66" i="18"/>
  <c r="V66" i="18" s="1"/>
  <c r="Q66" i="18"/>
  <c r="T65" i="18"/>
  <c r="V65" i="18" s="1"/>
  <c r="Q65" i="18"/>
  <c r="T64" i="18"/>
  <c r="V64" i="18" s="1"/>
  <c r="Q64" i="18"/>
  <c r="T63" i="18"/>
  <c r="V63" i="18" s="1"/>
  <c r="Q63" i="18"/>
  <c r="T62" i="18"/>
  <c r="V62" i="18" s="1"/>
  <c r="Q62" i="18"/>
  <c r="T61" i="18"/>
  <c r="V61" i="18" s="1"/>
  <c r="Q61" i="18"/>
  <c r="T60" i="18"/>
  <c r="V60" i="18" s="1"/>
  <c r="Q60" i="18"/>
  <c r="V59" i="18"/>
  <c r="T59" i="18"/>
  <c r="Q59" i="18"/>
  <c r="V58" i="18"/>
  <c r="T58" i="18"/>
  <c r="Q58" i="18"/>
  <c r="T57" i="18"/>
  <c r="V57" i="18" s="1"/>
  <c r="Q57" i="18"/>
  <c r="T56" i="18"/>
  <c r="V56" i="18" s="1"/>
  <c r="Q56" i="18"/>
  <c r="V55" i="18"/>
  <c r="T55" i="18"/>
  <c r="Q55" i="18"/>
  <c r="V54" i="18"/>
  <c r="T54" i="18"/>
  <c r="Q54" i="18"/>
  <c r="T53" i="18"/>
  <c r="V53" i="18" s="1"/>
  <c r="Q53" i="18"/>
  <c r="T52" i="18"/>
  <c r="V52" i="18" s="1"/>
  <c r="Q52" i="18"/>
  <c r="V51" i="18"/>
  <c r="T51" i="18"/>
  <c r="Q51" i="18"/>
  <c r="V50" i="18"/>
  <c r="T50" i="18"/>
  <c r="Q50" i="18"/>
  <c r="T49" i="18"/>
  <c r="V49" i="18" s="1"/>
  <c r="Q49" i="18"/>
  <c r="T48" i="18"/>
  <c r="V48" i="18" s="1"/>
  <c r="Q48" i="18"/>
  <c r="V47" i="18"/>
  <c r="T47" i="18"/>
  <c r="Q47" i="18"/>
  <c r="V46" i="18"/>
  <c r="T46" i="18"/>
  <c r="Q46" i="18"/>
  <c r="T45" i="18"/>
  <c r="V45" i="18" s="1"/>
  <c r="Q45" i="18"/>
  <c r="T44" i="18"/>
  <c r="V44" i="18" s="1"/>
  <c r="Q44" i="18"/>
  <c r="V43" i="18"/>
  <c r="T43" i="18"/>
  <c r="Q43" i="18"/>
  <c r="V42" i="18"/>
  <c r="T42" i="18"/>
  <c r="Q42" i="18"/>
  <c r="T41" i="18"/>
  <c r="V41" i="18" s="1"/>
  <c r="Q41" i="18"/>
  <c r="T40" i="18"/>
  <c r="V40" i="18" s="1"/>
  <c r="Q40" i="18"/>
  <c r="V39" i="18"/>
  <c r="T39" i="18"/>
  <c r="Q39" i="18"/>
  <c r="V38" i="18"/>
  <c r="T38" i="18"/>
  <c r="Q38" i="18"/>
  <c r="T37" i="18"/>
  <c r="V37" i="18" s="1"/>
  <c r="Q37" i="18"/>
  <c r="T36" i="18"/>
  <c r="V36" i="18" s="1"/>
  <c r="Q36" i="18"/>
  <c r="V35" i="18"/>
  <c r="T35" i="18"/>
  <c r="Q35" i="18"/>
  <c r="V34" i="18"/>
  <c r="T34" i="18"/>
  <c r="Q34" i="18"/>
  <c r="T33" i="18"/>
  <c r="V33" i="18" s="1"/>
  <c r="Q33" i="18"/>
  <c r="T32" i="18"/>
  <c r="V32" i="18" s="1"/>
  <c r="Q32" i="18"/>
  <c r="V31" i="18"/>
  <c r="T31" i="18"/>
  <c r="Q31" i="18"/>
  <c r="V30" i="18"/>
  <c r="T30" i="18"/>
  <c r="Q30" i="18"/>
  <c r="T29" i="18"/>
  <c r="V29" i="18" s="1"/>
  <c r="Q29" i="18"/>
  <c r="T28" i="18"/>
  <c r="V28" i="18" s="1"/>
  <c r="Q28" i="18"/>
  <c r="V27" i="18"/>
  <c r="T27" i="18"/>
  <c r="Q27" i="18"/>
  <c r="V26" i="18"/>
  <c r="T26" i="18"/>
  <c r="Q26" i="18"/>
  <c r="T25" i="18"/>
  <c r="V25" i="18" s="1"/>
  <c r="Q25" i="18"/>
  <c r="T24" i="18"/>
  <c r="V24" i="18" s="1"/>
  <c r="Q24" i="18"/>
  <c r="V23" i="18"/>
  <c r="T23" i="18"/>
  <c r="Q23" i="18"/>
  <c r="V22" i="18"/>
  <c r="T22" i="18"/>
  <c r="Q22" i="18"/>
  <c r="T21" i="18"/>
  <c r="V21" i="18" s="1"/>
  <c r="Q21" i="18"/>
  <c r="T20" i="18"/>
  <c r="V20" i="18" s="1"/>
  <c r="Q20" i="18"/>
  <c r="T19" i="18"/>
  <c r="V19" i="18" s="1"/>
  <c r="Q19" i="18"/>
  <c r="V18" i="18"/>
  <c r="T18" i="18"/>
  <c r="Q18" i="18"/>
  <c r="T17" i="18"/>
  <c r="V17" i="18" s="1"/>
  <c r="Q17" i="18"/>
  <c r="T16" i="18"/>
  <c r="V16" i="18" s="1"/>
  <c r="Q16" i="18"/>
  <c r="T15" i="18"/>
  <c r="V15" i="18" s="1"/>
  <c r="Q15" i="18"/>
  <c r="V14" i="18"/>
  <c r="T14" i="18"/>
  <c r="Q14" i="18"/>
  <c r="T13" i="18"/>
  <c r="V13" i="18" s="1"/>
  <c r="Q13" i="18"/>
  <c r="T12" i="18"/>
  <c r="V12" i="18" s="1"/>
  <c r="Q12" i="18"/>
  <c r="T11" i="18"/>
  <c r="V11" i="18" s="1"/>
  <c r="Q11" i="18"/>
  <c r="V10" i="18"/>
  <c r="T10" i="18"/>
  <c r="Q10" i="18"/>
  <c r="T9" i="18"/>
  <c r="V9" i="18" s="1"/>
  <c r="Q9" i="18"/>
  <c r="T8" i="18"/>
  <c r="V8" i="18" s="1"/>
  <c r="Q8" i="18"/>
  <c r="T7" i="18"/>
  <c r="V7" i="18" s="1"/>
  <c r="Q7" i="18"/>
  <c r="V6" i="18"/>
  <c r="T6" i="18"/>
  <c r="Q6" i="18"/>
  <c r="T5" i="18"/>
  <c r="V5" i="18" s="1"/>
  <c r="Q5" i="18"/>
  <c r="T4" i="18"/>
  <c r="V4" i="18" s="1"/>
  <c r="Q4" i="18"/>
  <c r="T3" i="18"/>
  <c r="V3" i="18" s="1"/>
  <c r="Q3" i="18"/>
  <c r="V2" i="18"/>
  <c r="T2" i="18"/>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<sst xmlns="http://schemas.openxmlformats.org/spreadsheetml/2006/main" count="11936" uniqueCount="384">
  <si>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</si>
  <si>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</si>
  <si>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</si>
  <si>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</si>
  <si>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</si>
  <si>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</si>
  <si>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</si>
  <si>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</si>
  <si>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</si>
  <si>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</si>
  <si>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</si>
  <si>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</si>
  <si>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</si>
  <si>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</si>
  <si>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</si>
  <si>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</si>
  <si>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</si>
  <si>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</si>
  <si>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</si>
  <si>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</si>
  <si>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</si>
  <si>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</si>
  <si>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</si>
  <si>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</si>
  <si>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</si>
  <si>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</si>
  <si>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</si>
  <si>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</si>
  <si>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</si>
  <si>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</si>
  <si>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</si>
  <si>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</si>
  <si>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</si>
  <si>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</si>
  <si>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</si>
  <si>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</si>
  <si>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</si>
  <si>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</si>
  <si>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</si>
  <si>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</si>
  <si>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</si>
  <si>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</si>
  <si>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</si>
  <si>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</si>
  <si>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</si>
  <si>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</si>
  <si>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</si>
  <si>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</si>
  <si>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</si>
  <si>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</si>
  <si>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</si>
  <si>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</si>
  <si>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</si>
  <si>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</si>
  <si>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</si>
  <si>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</si>
  <si>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</si>
  <si>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</si>
  <si>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</si>
  <si>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</si>
  <si>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</si>
  <si>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</si>
  <si>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</si>
  <si>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</si>
  <si>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</si>
  <si>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</si>
  <si>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</si>
  <si>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</si>
  <si>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</si>
  <si>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</si>
  <si>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</si>
  <si>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</si>
  <si>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</si>
  <si>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</si>
  <si>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</si>
  <si>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</si>
  <si>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</si>
  <si>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</si>
  <si>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</si>
  <si>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</si>
  <si>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</si>
  <si>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</si>
  <si>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</si>
  <si>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</si>
  <si>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</si>
  <si>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</si>
  <si>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</si>
  <si>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</si>
  <si>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</si>
  <si>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</si>
  <si>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</si>
  <si>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</si>
  <si>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</si>
  <si>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</si>
  <si>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</si>
  <si>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</si>
  <si>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</si>
  <si>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</si>
  <si>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</si>
  <si>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</si>
  <si>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</si>
  <si>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</si>
  <si>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</si>
  <si>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</si>
  <si>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</si>
  <si>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</si>
  <si>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</si>
  <si>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</si>
  <si>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</si>
  <si>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</si>
  <si>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</si>
  <si>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</si>
  <si>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</si>
  <si>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</si>
  <si>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</si>
  <si>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</si>
  <si>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</si>
  <si>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</si>
  <si>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</si>
  <si>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</si>
  <si>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</si>
  <si>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</si>
  <si>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</si>
  <si>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</si>
  <si>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</si>
  <si>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</si>
  <si>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</si>
  <si>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</si>
  <si>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</si>
  <si>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</si>
  <si>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</si>
  <si>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</si>
  <si>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</si>
  <si>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</si>
  <si>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</si>
  <si>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</si>
  <si>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</si>
  <si>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</si>
  <si>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</si>
  <si>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</si>
  <si>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</si>
  <si>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</si>
  <si>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</si>
  <si>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</si>
  <si>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</si>
  <si>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</si>
  <si>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</si>
  <si>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</si>
  <si>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</si>
  <si>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</si>
  <si>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</si>
  <si>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</si>
  <si>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</si>
  <si>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</si>
  <si>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</si>
  <si>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</si>
  <si>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</si>
  <si>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</si>
  <si>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</si>
  <si>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</si>
  <si>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</si>
  <si>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</si>
  <si>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</si>
  <si>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</si>
  <si>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</si>
  <si>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OB</t>
  </si>
  <si>
    <t>25.06.2019</t>
  </si>
  <si>
    <t>25.06.2019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</si>
  <si>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</si>
  <si>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</si>
  <si>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</si>
  <si>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</si>
  <si>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</si>
  <si>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</si>
  <si>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</si>
  <si>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</si>
  <si>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</si>
  <si>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</si>
  <si>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</si>
  <si>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</si>
  <si>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</si>
  <si>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</si>
  <si>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</si>
  <si>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</si>
  <si>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26.06.2019</t>
  </si>
  <si>
    <t>利府店</t>
  </si>
  <si>
    <t>その他グリーン</t>
  </si>
  <si>
    <t>みやぎ生協</t>
  </si>
  <si>
    <t>その他ゴールド</t>
  </si>
  <si>
    <t>杉の入店</t>
  </si>
  <si>
    <t>その他レッド</t>
  </si>
  <si>
    <t>減農薬栽培</t>
  </si>
  <si>
    <t>D'lish</t>
  </si>
  <si>
    <t>中国</t>
  </si>
  <si>
    <t>HE</t>
  </si>
  <si>
    <t>ウジエ</t>
  </si>
  <si>
    <t>Del Monte</t>
  </si>
  <si>
    <t>塩釜店</t>
  </si>
  <si>
    <t>GK</t>
  </si>
  <si>
    <t>ザ・ビッグ</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</si>
  <si>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</si>
  <si>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</si>
  <si>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</si>
  <si>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</si>
  <si>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</si>
  <si>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</si>
  <si>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</si>
  <si>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</si>
  <si>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</si>
  <si>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</si>
  <si>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</si>
  <si>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</si>
  <si>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</si>
  <si>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</si>
  <si>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</si>
  <si>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</si>
  <si>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</si>
  <si>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</si>
  <si>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</si>
  <si>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</si>
  <si>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</si>
  <si>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</si>
  <si>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</si>
  <si>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</si>
  <si>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</si>
  <si>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</si>
  <si>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</si>
  <si>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</si>
  <si>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</si>
  <si>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</si>
  <si>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</si>
  <si>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</si>
  <si>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</si>
  <si>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27.06.2019</t>
    <phoneticPr fontId="3"/>
  </si>
  <si>
    <t>旬楽膳</t>
    <rPh sb="0" eb="1">
      <t>シュン</t>
    </rPh>
    <rPh sb="1" eb="2">
      <t>ラク</t>
    </rPh>
    <rPh sb="2" eb="3">
      <t>ゼン</t>
    </rPh>
    <phoneticPr fontId="4"/>
  </si>
  <si>
    <t>日進店</t>
    <rPh sb="0" eb="2">
      <t>ニッシン</t>
    </rPh>
    <rPh sb="2" eb="3">
      <t>ミセ</t>
    </rPh>
    <phoneticPr fontId="4"/>
  </si>
  <si>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</si>
  <si>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</si>
  <si>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</si>
  <si>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</si>
  <si>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</si>
  <si>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</si>
  <si>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</si>
  <si>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</si>
  <si>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</si>
  <si>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</si>
  <si>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</si>
  <si>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</si>
  <si>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</si>
  <si>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</si>
  <si>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</si>
  <si>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</si>
  <si>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</si>
  <si>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</si>
  <si>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</si>
  <si>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</si>
  <si>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</si>
  <si>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</si>
  <si>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t>JPY</t>
    <phoneticPr fontId="3"/>
  </si>
  <si>
    <t>27.06.2019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</si>
  <si>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</si>
  <si>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</si>
  <si>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</si>
  <si>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</si>
  <si>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</si>
  <si>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</si>
  <si>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</si>
  <si>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</si>
  <si>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</si>
  <si>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</si>
  <si>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</si>
  <si>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</si>
  <si>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</si>
  <si>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</si>
  <si>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</si>
  <si>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</si>
  <si>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</si>
  <si>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</si>
  <si>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</si>
  <si>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</si>
  <si>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</si>
  <si>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</si>
  <si>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</si>
  <si>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</si>
  <si>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</si>
  <si>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</si>
  <si>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</si>
  <si>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18.918.7</t>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</si>
  <si>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</si>
  <si>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</si>
  <si>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</si>
  <si>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</si>
  <si>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</si>
  <si>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</si>
  <si>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</si>
  <si>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</si>
  <si>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</si>
  <si>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</si>
  <si>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</si>
  <si>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</si>
  <si>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</si>
  <si>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</si>
  <si>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</si>
  <si>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</si>
  <si>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</si>
  <si>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</si>
  <si>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バナナ</t>
    <phoneticPr fontId="3"/>
  </si>
  <si>
    <t>りんご</t>
    <phoneticPr fontId="4"/>
  </si>
  <si>
    <t>みかん</t>
    <phoneticPr fontId="4"/>
  </si>
  <si>
    <t>マンゴー</t>
    <phoneticPr fontId="3"/>
  </si>
  <si>
    <t>キウイフルーツ</t>
    <phoneticPr fontId="3"/>
  </si>
  <si>
    <t>販売
ユニット
個数</t>
    <phoneticPr fontId="4"/>
  </si>
  <si>
    <t>U/P JPY</t>
    <phoneticPr fontId="4"/>
  </si>
  <si>
    <t>26.06.2019</t>
    <phoneticPr fontId="3"/>
  </si>
  <si>
    <t>マルショク</t>
    <phoneticPr fontId="3"/>
  </si>
  <si>
    <t>野間大池</t>
    <rPh sb="0" eb="2">
      <t>ノマ</t>
    </rPh>
    <rPh sb="2" eb="4">
      <t>オオイケ</t>
    </rPh>
    <phoneticPr fontId="3"/>
  </si>
  <si>
    <t>りんご</t>
    <phoneticPr fontId="3"/>
  </si>
  <si>
    <t>JPY</t>
    <phoneticPr fontId="4"/>
  </si>
  <si>
    <t>サニー</t>
  </si>
  <si>
    <t>野間</t>
    <rPh sb="0" eb="2">
      <t>ノマ</t>
    </rPh>
    <phoneticPr fontId="3"/>
  </si>
  <si>
    <t>一般栽培</t>
    <phoneticPr fontId="4"/>
  </si>
  <si>
    <t>マルショク</t>
  </si>
  <si>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</si>
  <si>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</si>
  <si>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</si>
  <si>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</si>
  <si>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</si>
  <si>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</si>
  <si>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</si>
  <si>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</si>
  <si>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</si>
  <si>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</si>
  <si>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</si>
  <si>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</si>
  <si>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</si>
  <si>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</si>
  <si>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</si>
  <si>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</si>
  <si>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</si>
  <si>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</si>
  <si>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</si>
  <si>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</si>
  <si>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</si>
  <si>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</si>
  <si>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</si>
  <si>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</si>
  <si>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</si>
  <si>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</si>
  <si>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</si>
  <si>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</si>
  <si>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</si>
  <si>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</si>
  <si>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</si>
  <si>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</si>
  <si>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</si>
  <si>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サミット</t>
  </si>
  <si>
    <t>久が原食品館</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</si>
  <si>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</si>
  <si>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</si>
  <si>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</si>
  <si>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</si>
  <si>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</si>
  <si>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</si>
  <si>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</si>
  <si>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</si>
  <si>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</si>
  <si>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</si>
  <si>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</si>
  <si>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</si>
  <si>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</si>
  <si>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</si>
  <si>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</si>
  <si>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</si>
  <si>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</si>
  <si>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</si>
  <si>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</si>
  <si>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</si>
  <si>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</si>
  <si>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</si>
  <si>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</si>
  <si>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</si>
  <si>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</si>
  <si>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</si>
  <si>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t>GA</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</si>
</sst>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6" fillId="0" borderId="22" xfId="2" applyFont="1" applyBorder="1" applyAlignment="1">
      <alignment horizontal="center" vertical="center"/>
    </xf>
    <xf numFmtId="0" fontId="16"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6" fillId="0" borderId="12" xfId="2"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7" fillId="0" borderId="0" xfId="1" applyNumberFormat="1" applyFont="1"/>
    <xf numFmtId="0" fontId="1" fillId="0" borderId="12" xfId="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7" fillId="0" borderId="0" xfId="1" applyNumberFormat="1" applyFont="1" applyAlignment="1">
      <alignment horizontal="center"/>
    </xf>
    <xf numFmtId="0" fontId="18"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H10" sqref="H10"/>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164</v>
      </c>
      <c r="I2" s="15" t="s">
        <v>159</v>
      </c>
      <c r="J2" s="15" t="s">
        <v>38</v>
      </c>
      <c r="K2" s="7" t="s">
        <v>161</v>
      </c>
      <c r="L2" s="7">
        <v>1</v>
      </c>
      <c r="N2" s="47">
        <v>1</v>
      </c>
      <c r="O2" s="15">
        <v>0.95</v>
      </c>
      <c r="P2" s="15">
        <v>0.9</v>
      </c>
      <c r="Q2" s="51">
        <f t="shared" ref="Q2:Q65" si="0">IF(OR(O2="",P2=""),"",AVERAGE(O2,P2))</f>
        <v>0.92500000000000004</v>
      </c>
      <c r="R2" s="15">
        <v>16.2</v>
      </c>
      <c r="S2" s="15">
        <v>118</v>
      </c>
      <c r="T2" s="38">
        <f t="shared" ref="T2:T59" si="1">IF(H2="","",IF(OR(H2="GREEN",H2="GK"),IF(S2&gt;=$AX$2,VLOOKUP(S2,$AX$2:$AY$12,2,1),""),IF(S2&gt;=$AZ$2,VLOOKUP(S2,$AZ$2:$BA$12,2,1),"")))</f>
        <v>30</v>
      </c>
      <c r="U2" s="15">
        <v>105</v>
      </c>
      <c r="V2" s="38">
        <f t="shared" ref="V2:V65" si="2">IF(OR(N2="",U2="",T2=""),"",U2/N2*T2)</f>
        <v>3150</v>
      </c>
      <c r="W2" s="15">
        <v>12</v>
      </c>
      <c r="X2" s="15" t="s">
        <v>46</v>
      </c>
      <c r="Y2" s="15" t="s">
        <v>55</v>
      </c>
      <c r="Z2" s="15" t="s">
        <v>86</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166</v>
      </c>
      <c r="E3" s="15" t="s">
        <v>141</v>
      </c>
      <c r="F3" s="7" t="s">
        <v>149</v>
      </c>
      <c r="G3" s="7" t="s">
        <v>36</v>
      </c>
      <c r="H3" s="15" t="s">
        <v>164</v>
      </c>
      <c r="I3" s="7" t="s">
        <v>159</v>
      </c>
      <c r="J3" s="15" t="s">
        <v>38</v>
      </c>
      <c r="K3" s="7" t="s">
        <v>161</v>
      </c>
      <c r="L3" s="7">
        <v>2</v>
      </c>
      <c r="N3" s="7">
        <v>1</v>
      </c>
      <c r="O3" s="34">
        <v>1.05</v>
      </c>
      <c r="P3" s="7">
        <v>1.1000000000000001</v>
      </c>
      <c r="Q3" s="52">
        <f t="shared" si="0"/>
        <v>1.0750000000000002</v>
      </c>
      <c r="R3" s="7">
        <v>16.5</v>
      </c>
      <c r="S3" s="7">
        <v>129</v>
      </c>
      <c r="T3" s="16">
        <f t="shared" si="1"/>
        <v>25</v>
      </c>
      <c r="U3" s="15">
        <v>105</v>
      </c>
      <c r="V3" s="16">
        <f t="shared" si="2"/>
        <v>2625</v>
      </c>
      <c r="W3" s="15">
        <v>12</v>
      </c>
      <c r="X3" s="15" t="s">
        <v>46</v>
      </c>
      <c r="Y3" s="15" t="s">
        <v>55</v>
      </c>
      <c r="Z3" s="15" t="s">
        <v>86</v>
      </c>
      <c r="AA3" s="15"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166</v>
      </c>
      <c r="E4" s="15" t="s">
        <v>141</v>
      </c>
      <c r="F4" s="7" t="s">
        <v>149</v>
      </c>
      <c r="G4" s="7" t="s">
        <v>36</v>
      </c>
      <c r="H4" s="15" t="s">
        <v>164</v>
      </c>
      <c r="I4" s="7" t="s">
        <v>159</v>
      </c>
      <c r="J4" s="15" t="s">
        <v>38</v>
      </c>
      <c r="K4" s="7" t="s">
        <v>161</v>
      </c>
      <c r="L4" s="7">
        <v>3</v>
      </c>
      <c r="N4" s="7">
        <v>1</v>
      </c>
      <c r="O4" s="7">
        <v>0.65</v>
      </c>
      <c r="P4" s="7">
        <v>0.75</v>
      </c>
      <c r="Q4" s="52">
        <f t="shared" si="0"/>
        <v>0.7</v>
      </c>
      <c r="R4" s="7">
        <v>16.100000000000001</v>
      </c>
      <c r="S4" s="7">
        <v>127</v>
      </c>
      <c r="T4" s="16">
        <f t="shared" si="1"/>
        <v>27</v>
      </c>
      <c r="U4" s="15">
        <v>105</v>
      </c>
      <c r="V4" s="16">
        <f t="shared" si="2"/>
        <v>2835</v>
      </c>
      <c r="W4" s="15">
        <v>12</v>
      </c>
      <c r="X4" s="15" t="s">
        <v>46</v>
      </c>
      <c r="Y4" s="54" t="s">
        <v>55</v>
      </c>
      <c r="Z4" s="54" t="s">
        <v>86</v>
      </c>
      <c r="AA4" s="54"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166</v>
      </c>
      <c r="E5" s="15" t="s">
        <v>141</v>
      </c>
      <c r="F5" s="15" t="s">
        <v>149</v>
      </c>
      <c r="G5" s="7" t="s">
        <v>36</v>
      </c>
      <c r="H5" s="15" t="s">
        <v>160</v>
      </c>
      <c r="I5" s="7" t="s">
        <v>159</v>
      </c>
      <c r="J5" s="15" t="s">
        <v>38</v>
      </c>
      <c r="K5" s="7" t="s">
        <v>161</v>
      </c>
      <c r="L5" s="7">
        <v>1</v>
      </c>
      <c r="N5" s="7">
        <v>1</v>
      </c>
      <c r="O5" s="7">
        <v>0.6</v>
      </c>
      <c r="P5" s="7">
        <v>0.7</v>
      </c>
      <c r="Q5" s="52">
        <f t="shared" si="0"/>
        <v>0.64999999999999991</v>
      </c>
      <c r="R5" s="7">
        <v>19.2</v>
      </c>
      <c r="S5" s="7">
        <v>131</v>
      </c>
      <c r="T5" s="16">
        <f t="shared" si="1"/>
        <v>25</v>
      </c>
      <c r="U5" s="15">
        <v>135</v>
      </c>
      <c r="V5" s="16">
        <f t="shared" si="2"/>
        <v>3375</v>
      </c>
      <c r="W5" s="15">
        <v>24</v>
      </c>
      <c r="X5" s="15" t="s">
        <v>46</v>
      </c>
      <c r="Y5" s="54" t="s">
        <v>55</v>
      </c>
      <c r="Z5" s="54" t="s">
        <v>86</v>
      </c>
      <c r="AA5" s="54" t="s">
        <v>90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166</v>
      </c>
      <c r="E6" s="15" t="s">
        <v>141</v>
      </c>
      <c r="F6" s="7" t="s">
        <v>149</v>
      </c>
      <c r="G6" s="7" t="s">
        <v>36</v>
      </c>
      <c r="H6" s="54" t="s">
        <v>160</v>
      </c>
      <c r="I6" s="7" t="s">
        <v>159</v>
      </c>
      <c r="J6" s="15" t="s">
        <v>38</v>
      </c>
      <c r="K6" s="7" t="s">
        <v>161</v>
      </c>
      <c r="L6" s="7">
        <v>2</v>
      </c>
      <c r="N6" s="7">
        <v>1</v>
      </c>
      <c r="O6" s="7">
        <v>0.75</v>
      </c>
      <c r="P6" s="7">
        <v>0.8</v>
      </c>
      <c r="Q6" s="52">
        <f t="shared" si="0"/>
        <v>0.77500000000000002</v>
      </c>
      <c r="R6" s="7">
        <v>16.399999999999999</v>
      </c>
      <c r="S6" s="7">
        <v>132</v>
      </c>
      <c r="T6" s="16">
        <f t="shared" si="1"/>
        <v>25</v>
      </c>
      <c r="U6" s="15">
        <v>135</v>
      </c>
      <c r="V6" s="16">
        <f t="shared" si="2"/>
        <v>3375</v>
      </c>
      <c r="W6" s="15">
        <v>24</v>
      </c>
      <c r="X6" s="15" t="s">
        <v>46</v>
      </c>
      <c r="Y6" s="54" t="s">
        <v>55</v>
      </c>
      <c r="Z6" s="54" t="s">
        <v>86</v>
      </c>
      <c r="AA6" s="54" t="s">
        <v>90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166</v>
      </c>
      <c r="E7" s="15" t="s">
        <v>141</v>
      </c>
      <c r="F7" s="7" t="s">
        <v>149</v>
      </c>
      <c r="G7" s="7" t="s">
        <v>36</v>
      </c>
      <c r="H7" s="54" t="s">
        <v>160</v>
      </c>
      <c r="I7" s="7" t="s">
        <v>159</v>
      </c>
      <c r="J7" s="15" t="s">
        <v>38</v>
      </c>
      <c r="K7" s="7" t="s">
        <v>161</v>
      </c>
      <c r="L7" s="7">
        <v>3</v>
      </c>
      <c r="N7" s="7">
        <v>1</v>
      </c>
      <c r="O7" s="7">
        <v>0.8</v>
      </c>
      <c r="P7" s="7">
        <v>0.8</v>
      </c>
      <c r="Q7" s="52">
        <f t="shared" si="0"/>
        <v>0.8</v>
      </c>
      <c r="R7" s="34">
        <v>18.8</v>
      </c>
      <c r="S7" s="7">
        <v>128</v>
      </c>
      <c r="T7" s="16">
        <f t="shared" si="1"/>
        <v>27</v>
      </c>
      <c r="U7" s="15">
        <v>135</v>
      </c>
      <c r="V7" s="16">
        <f t="shared" si="2"/>
        <v>3645</v>
      </c>
      <c r="W7" s="15">
        <v>24</v>
      </c>
      <c r="X7" s="15" t="s">
        <v>46</v>
      </c>
      <c r="Y7" s="54" t="s">
        <v>55</v>
      </c>
      <c r="Z7" s="54" t="s">
        <v>86</v>
      </c>
      <c r="AA7" s="54" t="s">
        <v>90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166</v>
      </c>
      <c r="E8" s="15" t="s">
        <v>133</v>
      </c>
      <c r="F8" s="7" t="s">
        <v>150</v>
      </c>
      <c r="G8" s="7" t="s">
        <v>36</v>
      </c>
      <c r="H8" s="15" t="s">
        <v>164</v>
      </c>
      <c r="I8" s="7" t="s">
        <v>159</v>
      </c>
      <c r="J8" s="15" t="s">
        <v>38</v>
      </c>
      <c r="K8" s="7" t="s">
        <v>161</v>
      </c>
      <c r="L8" s="7">
        <v>1</v>
      </c>
      <c r="N8" s="7">
        <v>1</v>
      </c>
      <c r="O8" s="7">
        <v>0.65</v>
      </c>
      <c r="P8" s="7">
        <v>0.65</v>
      </c>
      <c r="Q8" s="52">
        <f t="shared" si="0"/>
        <v>0.65</v>
      </c>
      <c r="R8" s="34">
        <v>14.2</v>
      </c>
      <c r="S8" s="7">
        <v>135</v>
      </c>
      <c r="T8" s="16">
        <f t="shared" si="1"/>
        <v>25</v>
      </c>
      <c r="U8" s="15">
        <v>98</v>
      </c>
      <c r="V8" s="16">
        <f t="shared" si="2"/>
        <v>2450</v>
      </c>
      <c r="W8" s="15">
        <v>20</v>
      </c>
      <c r="X8" s="15" t="s">
        <v>46</v>
      </c>
      <c r="Y8" s="54" t="s">
        <v>55</v>
      </c>
      <c r="Z8" s="54" t="s">
        <v>86</v>
      </c>
      <c r="AA8" s="54" t="s">
        <v>69</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166</v>
      </c>
      <c r="E9" s="15" t="s">
        <v>133</v>
      </c>
      <c r="F9" s="7" t="s">
        <v>150</v>
      </c>
      <c r="G9" s="7" t="s">
        <v>36</v>
      </c>
      <c r="H9" s="54" t="s">
        <v>164</v>
      </c>
      <c r="I9" s="7" t="s">
        <v>159</v>
      </c>
      <c r="J9" s="15" t="s">
        <v>38</v>
      </c>
      <c r="K9" s="7" t="s">
        <v>161</v>
      </c>
      <c r="L9" s="7">
        <v>2</v>
      </c>
      <c r="N9" s="7">
        <v>1</v>
      </c>
      <c r="O9" s="7">
        <v>0.65</v>
      </c>
      <c r="P9" s="7">
        <v>0.6</v>
      </c>
      <c r="Q9" s="52">
        <f t="shared" si="0"/>
        <v>0.625</v>
      </c>
      <c r="R9" s="7">
        <v>14.6</v>
      </c>
      <c r="S9" s="7">
        <v>133</v>
      </c>
      <c r="T9" s="16">
        <f t="shared" si="1"/>
        <v>25</v>
      </c>
      <c r="U9" s="15">
        <v>98</v>
      </c>
      <c r="V9" s="16">
        <f t="shared" si="2"/>
        <v>2450</v>
      </c>
      <c r="W9" s="15">
        <v>20</v>
      </c>
      <c r="X9" s="15" t="s">
        <v>46</v>
      </c>
      <c r="Y9" s="54" t="s">
        <v>55</v>
      </c>
      <c r="Z9" s="54" t="s">
        <v>86</v>
      </c>
      <c r="AA9" s="54" t="s">
        <v>69</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166</v>
      </c>
      <c r="E10" s="15" t="s">
        <v>133</v>
      </c>
      <c r="F10" s="7" t="s">
        <v>150</v>
      </c>
      <c r="G10" s="7" t="s">
        <v>36</v>
      </c>
      <c r="H10" s="54" t="s">
        <v>164</v>
      </c>
      <c r="I10" s="7" t="s">
        <v>159</v>
      </c>
      <c r="J10" s="15" t="s">
        <v>38</v>
      </c>
      <c r="K10" s="7" t="s">
        <v>161</v>
      </c>
      <c r="L10" s="7">
        <v>3</v>
      </c>
      <c r="N10" s="7">
        <v>1</v>
      </c>
      <c r="O10" s="7">
        <v>0.85</v>
      </c>
      <c r="P10" s="7">
        <v>0.9</v>
      </c>
      <c r="Q10" s="52">
        <f t="shared" si="0"/>
        <v>0.875</v>
      </c>
      <c r="R10" s="7">
        <v>13</v>
      </c>
      <c r="S10" s="7">
        <v>126</v>
      </c>
      <c r="T10" s="16">
        <f t="shared" si="1"/>
        <v>27</v>
      </c>
      <c r="U10" s="15">
        <v>98</v>
      </c>
      <c r="V10" s="16">
        <f t="shared" si="2"/>
        <v>2646</v>
      </c>
      <c r="W10" s="15">
        <v>20</v>
      </c>
      <c r="X10" s="15" t="s">
        <v>46</v>
      </c>
      <c r="Y10" s="54" t="s">
        <v>55</v>
      </c>
      <c r="Z10" s="54" t="s">
        <v>86</v>
      </c>
      <c r="AA10" s="54" t="s">
        <v>69</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166</v>
      </c>
      <c r="E11" s="15" t="s">
        <v>133</v>
      </c>
      <c r="F11" s="7" t="s">
        <v>150</v>
      </c>
      <c r="G11" s="7" t="s">
        <v>36</v>
      </c>
      <c r="H11" s="15" t="s">
        <v>160</v>
      </c>
      <c r="I11" s="7" t="s">
        <v>159</v>
      </c>
      <c r="J11" s="15" t="s">
        <v>38</v>
      </c>
      <c r="K11" s="7" t="s">
        <v>161</v>
      </c>
      <c r="L11" s="7">
        <v>1</v>
      </c>
      <c r="N11" s="7">
        <v>1</v>
      </c>
      <c r="O11" s="7">
        <v>0.85</v>
      </c>
      <c r="P11" s="7">
        <v>1</v>
      </c>
      <c r="Q11" s="52">
        <f t="shared" si="0"/>
        <v>0.92500000000000004</v>
      </c>
      <c r="R11" s="7">
        <v>16</v>
      </c>
      <c r="S11" s="7">
        <v>133</v>
      </c>
      <c r="T11" s="16">
        <f t="shared" si="1"/>
        <v>25</v>
      </c>
      <c r="U11" s="7">
        <v>98</v>
      </c>
      <c r="V11" s="16">
        <f t="shared" si="2"/>
        <v>2450</v>
      </c>
      <c r="W11" s="7">
        <v>9</v>
      </c>
      <c r="X11" s="15" t="s">
        <v>46</v>
      </c>
      <c r="Y11" s="54" t="s">
        <v>55</v>
      </c>
      <c r="Z11" s="54" t="s">
        <v>86</v>
      </c>
      <c r="AA11" s="54" t="s">
        <v>69</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166</v>
      </c>
      <c r="E12" s="15" t="s">
        <v>133</v>
      </c>
      <c r="F12" s="7" t="s">
        <v>150</v>
      </c>
      <c r="G12" s="7" t="s">
        <v>36</v>
      </c>
      <c r="H12" s="54" t="s">
        <v>160</v>
      </c>
      <c r="I12" s="53" t="s">
        <v>159</v>
      </c>
      <c r="J12" s="15" t="s">
        <v>38</v>
      </c>
      <c r="K12" s="7" t="s">
        <v>161</v>
      </c>
      <c r="L12" s="7">
        <v>2</v>
      </c>
      <c r="N12" s="7">
        <v>1</v>
      </c>
      <c r="O12" s="7">
        <v>1.05</v>
      </c>
      <c r="P12" s="7">
        <v>1.1499999999999999</v>
      </c>
      <c r="Q12" s="52">
        <f t="shared" si="0"/>
        <v>1.1000000000000001</v>
      </c>
      <c r="R12" s="34">
        <v>16.600000000000001</v>
      </c>
      <c r="S12" s="7">
        <v>128</v>
      </c>
      <c r="T12" s="16">
        <f t="shared" si="1"/>
        <v>27</v>
      </c>
      <c r="U12" s="7">
        <v>98</v>
      </c>
      <c r="V12" s="16">
        <f t="shared" si="2"/>
        <v>2646</v>
      </c>
      <c r="W12" s="7">
        <v>9</v>
      </c>
      <c r="X12" s="15" t="s">
        <v>46</v>
      </c>
      <c r="Y12" s="54" t="s">
        <v>55</v>
      </c>
      <c r="Z12" s="54" t="s">
        <v>86</v>
      </c>
      <c r="AA12" s="54" t="s">
        <v>69</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166</v>
      </c>
      <c r="E13" s="15" t="s">
        <v>133</v>
      </c>
      <c r="F13" s="7" t="s">
        <v>150</v>
      </c>
      <c r="G13" s="7" t="s">
        <v>36</v>
      </c>
      <c r="H13" s="54" t="s">
        <v>160</v>
      </c>
      <c r="I13" s="53" t="s">
        <v>159</v>
      </c>
      <c r="J13" s="15" t="s">
        <v>38</v>
      </c>
      <c r="K13" s="7" t="s">
        <v>161</v>
      </c>
      <c r="L13" s="7">
        <v>3</v>
      </c>
      <c r="N13" s="7">
        <v>1</v>
      </c>
      <c r="O13" s="7">
        <v>0.65</v>
      </c>
      <c r="P13" s="7">
        <v>0.75</v>
      </c>
      <c r="Q13" s="52">
        <f t="shared" si="0"/>
        <v>0.7</v>
      </c>
      <c r="R13" s="7">
        <v>18.3</v>
      </c>
      <c r="S13" s="7">
        <v>130</v>
      </c>
      <c r="T13" s="16">
        <f t="shared" si="1"/>
        <v>25</v>
      </c>
      <c r="U13" s="7">
        <v>98</v>
      </c>
      <c r="V13" s="16">
        <f t="shared" si="2"/>
        <v>2450</v>
      </c>
      <c r="W13" s="7">
        <v>9</v>
      </c>
      <c r="X13" s="15" t="s">
        <v>46</v>
      </c>
      <c r="Y13" s="54" t="s">
        <v>55</v>
      </c>
      <c r="Z13" s="54" t="s">
        <v>86</v>
      </c>
      <c r="AA13" s="54" t="s">
        <v>69</v>
      </c>
      <c r="AB13" s="39" t="s">
        <v>158</v>
      </c>
      <c r="AE13" s="22" t="s">
        <v>73</v>
      </c>
      <c r="AG13" s="23"/>
      <c r="AH13" s="23"/>
      <c r="AP13" s="23" t="s">
        <v>71</v>
      </c>
      <c r="AR13" s="30" t="s">
        <v>103</v>
      </c>
      <c r="AV13" s="23" t="s">
        <v>75</v>
      </c>
    </row>
    <row r="14" spans="1:53" x14ac:dyDescent="0.15">
      <c r="A14" s="15" t="s">
        <v>156</v>
      </c>
      <c r="B14" s="15" t="s">
        <v>157</v>
      </c>
      <c r="C14" s="15">
        <v>2019</v>
      </c>
      <c r="D14" s="37" t="s">
        <v>166</v>
      </c>
      <c r="E14" s="15" t="s">
        <v>142</v>
      </c>
      <c r="F14" s="7" t="s">
        <v>151</v>
      </c>
      <c r="G14" s="7" t="s">
        <v>36</v>
      </c>
      <c r="H14" s="15" t="s">
        <v>164</v>
      </c>
      <c r="I14" s="7" t="s">
        <v>159</v>
      </c>
      <c r="J14" s="15" t="s">
        <v>38</v>
      </c>
      <c r="K14" s="7" t="s">
        <v>161</v>
      </c>
      <c r="L14" s="7">
        <v>1</v>
      </c>
      <c r="N14" s="53">
        <v>1</v>
      </c>
      <c r="O14" s="7">
        <v>0.7</v>
      </c>
      <c r="P14" s="7">
        <v>0.7</v>
      </c>
      <c r="Q14" s="52">
        <f t="shared" si="0"/>
        <v>0.7</v>
      </c>
      <c r="R14" s="7">
        <v>16.100000000000001</v>
      </c>
      <c r="S14" s="7">
        <v>129</v>
      </c>
      <c r="T14" s="16">
        <f t="shared" si="1"/>
        <v>25</v>
      </c>
      <c r="U14" s="7">
        <v>138</v>
      </c>
      <c r="V14" s="16">
        <f t="shared" si="2"/>
        <v>3450</v>
      </c>
      <c r="W14" s="7">
        <v>5</v>
      </c>
      <c r="X14" s="15" t="s">
        <v>46</v>
      </c>
      <c r="Y14" s="54" t="s">
        <v>55</v>
      </c>
      <c r="Z14" s="54" t="s">
        <v>64</v>
      </c>
      <c r="AA14" s="15" t="s">
        <v>86</v>
      </c>
      <c r="AB14" s="39" t="s">
        <v>158</v>
      </c>
      <c r="AE14" s="22" t="s">
        <v>76</v>
      </c>
      <c r="AG14" s="23"/>
      <c r="AH14" s="23"/>
      <c r="AP14" s="23" t="s">
        <v>74</v>
      </c>
      <c r="AR14" s="30" t="s">
        <v>125</v>
      </c>
      <c r="AV14" s="23" t="s">
        <v>78</v>
      </c>
    </row>
    <row r="15" spans="1:53" x14ac:dyDescent="0.15">
      <c r="A15" s="15" t="s">
        <v>156</v>
      </c>
      <c r="B15" s="15" t="s">
        <v>157</v>
      </c>
      <c r="C15" s="15">
        <v>2019</v>
      </c>
      <c r="D15" s="37" t="s">
        <v>166</v>
      </c>
      <c r="E15" s="15" t="s">
        <v>142</v>
      </c>
      <c r="F15" s="7" t="s">
        <v>151</v>
      </c>
      <c r="G15" s="7" t="s">
        <v>36</v>
      </c>
      <c r="H15" s="15" t="s">
        <v>164</v>
      </c>
      <c r="I15" s="7" t="s">
        <v>159</v>
      </c>
      <c r="J15" s="15" t="s">
        <v>38</v>
      </c>
      <c r="K15" s="7" t="s">
        <v>161</v>
      </c>
      <c r="L15" s="7">
        <v>2</v>
      </c>
      <c r="N15" s="53">
        <v>1</v>
      </c>
      <c r="O15" s="7">
        <v>0.75</v>
      </c>
      <c r="P15" s="7">
        <v>0.65</v>
      </c>
      <c r="Q15" s="52">
        <f t="shared" si="0"/>
        <v>0.7</v>
      </c>
      <c r="R15" s="7">
        <v>16.5</v>
      </c>
      <c r="S15" s="7">
        <v>134</v>
      </c>
      <c r="T15" s="16">
        <f t="shared" si="1"/>
        <v>25</v>
      </c>
      <c r="U15" s="7">
        <v>138</v>
      </c>
      <c r="V15" s="16">
        <f t="shared" si="2"/>
        <v>3450</v>
      </c>
      <c r="W15" s="7">
        <v>5</v>
      </c>
      <c r="X15" s="15" t="s">
        <v>46</v>
      </c>
      <c r="Y15" s="54" t="s">
        <v>55</v>
      </c>
      <c r="Z15" s="54" t="s">
        <v>64</v>
      </c>
      <c r="AA15" s="54" t="s">
        <v>86</v>
      </c>
      <c r="AB15" s="39" t="s">
        <v>158</v>
      </c>
      <c r="AE15" s="22" t="s">
        <v>79</v>
      </c>
      <c r="AG15" s="23"/>
      <c r="AH15" s="23"/>
      <c r="AP15" s="23" t="s">
        <v>77</v>
      </c>
      <c r="AR15" s="30" t="s">
        <v>94</v>
      </c>
      <c r="AV15" s="23" t="s">
        <v>107</v>
      </c>
    </row>
    <row r="16" spans="1:53" x14ac:dyDescent="0.15">
      <c r="A16" s="15" t="s">
        <v>156</v>
      </c>
      <c r="B16" s="15" t="s">
        <v>157</v>
      </c>
      <c r="C16" s="15">
        <v>2019</v>
      </c>
      <c r="D16" s="37" t="s">
        <v>166</v>
      </c>
      <c r="E16" s="15" t="s">
        <v>142</v>
      </c>
      <c r="F16" s="7" t="s">
        <v>151</v>
      </c>
      <c r="G16" s="7" t="s">
        <v>36</v>
      </c>
      <c r="H16" s="15" t="s">
        <v>164</v>
      </c>
      <c r="I16" s="7" t="s">
        <v>159</v>
      </c>
      <c r="J16" s="15" t="s">
        <v>38</v>
      </c>
      <c r="K16" s="7" t="s">
        <v>161</v>
      </c>
      <c r="L16" s="7">
        <v>3</v>
      </c>
      <c r="N16" s="53">
        <v>1</v>
      </c>
      <c r="O16" s="7">
        <v>0.75</v>
      </c>
      <c r="P16" s="7">
        <v>0.7</v>
      </c>
      <c r="Q16" s="52">
        <f t="shared" si="0"/>
        <v>0.72499999999999998</v>
      </c>
      <c r="R16" s="7">
        <v>16.899999999999999</v>
      </c>
      <c r="S16" s="7">
        <v>126</v>
      </c>
      <c r="T16" s="16">
        <f t="shared" si="1"/>
        <v>27</v>
      </c>
      <c r="U16" s="7">
        <v>138</v>
      </c>
      <c r="V16" s="16">
        <f t="shared" si="2"/>
        <v>3726</v>
      </c>
      <c r="W16" s="7">
        <v>5</v>
      </c>
      <c r="X16" s="15" t="s">
        <v>46</v>
      </c>
      <c r="Y16" s="54" t="s">
        <v>55</v>
      </c>
      <c r="Z16" s="54" t="s">
        <v>64</v>
      </c>
      <c r="AA16" s="54" t="s">
        <v>86</v>
      </c>
      <c r="AB16" s="39" t="s">
        <v>158</v>
      </c>
      <c r="AE16" s="22" t="s">
        <v>82</v>
      </c>
      <c r="AG16" s="28"/>
      <c r="AH16" s="28"/>
      <c r="AP16" s="23" t="s">
        <v>80</v>
      </c>
      <c r="AR16" s="41" t="s">
        <v>63</v>
      </c>
      <c r="AV16" s="23" t="s">
        <v>84</v>
      </c>
    </row>
    <row r="17" spans="1:48" x14ac:dyDescent="0.15">
      <c r="A17" s="15" t="s">
        <v>156</v>
      </c>
      <c r="B17" s="15" t="s">
        <v>157</v>
      </c>
      <c r="C17" s="15">
        <v>2019</v>
      </c>
      <c r="D17" s="37" t="s">
        <v>166</v>
      </c>
      <c r="E17" s="15" t="s">
        <v>142</v>
      </c>
      <c r="F17" s="7" t="s">
        <v>151</v>
      </c>
      <c r="G17" s="7" t="s">
        <v>36</v>
      </c>
      <c r="H17" s="15" t="s">
        <v>160</v>
      </c>
      <c r="I17" s="7" t="s">
        <v>159</v>
      </c>
      <c r="J17" s="15" t="s">
        <v>38</v>
      </c>
      <c r="K17" s="7" t="s">
        <v>161</v>
      </c>
      <c r="L17" s="7">
        <v>1</v>
      </c>
      <c r="N17" s="7">
        <v>1</v>
      </c>
      <c r="O17" s="7">
        <v>0.5</v>
      </c>
      <c r="P17" s="7">
        <v>0.55000000000000004</v>
      </c>
      <c r="Q17" s="52">
        <f t="shared" si="0"/>
        <v>0.52500000000000002</v>
      </c>
      <c r="R17" s="7">
        <v>17.8</v>
      </c>
      <c r="S17" s="7">
        <v>129</v>
      </c>
      <c r="T17" s="16">
        <f t="shared" si="1"/>
        <v>25</v>
      </c>
      <c r="U17" s="7">
        <v>149</v>
      </c>
      <c r="V17" s="16">
        <f t="shared" si="2"/>
        <v>3725</v>
      </c>
      <c r="W17" s="7">
        <v>4</v>
      </c>
      <c r="X17" s="15" t="s">
        <v>46</v>
      </c>
      <c r="Y17" s="54" t="s">
        <v>55</v>
      </c>
      <c r="Z17" s="54" t="s">
        <v>64</v>
      </c>
      <c r="AA17" s="54" t="s">
        <v>86</v>
      </c>
      <c r="AB17" s="39" t="s">
        <v>158</v>
      </c>
      <c r="AE17" s="22" t="s">
        <v>85</v>
      </c>
      <c r="AP17" s="43" t="s">
        <v>110</v>
      </c>
      <c r="AR17" s="41" t="s">
        <v>96</v>
      </c>
      <c r="AV17" s="23" t="s">
        <v>86</v>
      </c>
    </row>
    <row r="18" spans="1:48" x14ac:dyDescent="0.15">
      <c r="A18" s="15" t="s">
        <v>156</v>
      </c>
      <c r="B18" s="15" t="s">
        <v>157</v>
      </c>
      <c r="C18" s="15">
        <v>2019</v>
      </c>
      <c r="D18" s="37" t="s">
        <v>166</v>
      </c>
      <c r="E18" s="15" t="s">
        <v>142</v>
      </c>
      <c r="F18" s="7" t="s">
        <v>151</v>
      </c>
      <c r="G18" s="7" t="s">
        <v>36</v>
      </c>
      <c r="H18" s="15" t="s">
        <v>160</v>
      </c>
      <c r="I18" s="7" t="s">
        <v>159</v>
      </c>
      <c r="J18" s="15" t="s">
        <v>38</v>
      </c>
      <c r="K18" s="7" t="s">
        <v>161</v>
      </c>
      <c r="L18" s="7">
        <v>2</v>
      </c>
      <c r="N18" s="7">
        <v>1</v>
      </c>
      <c r="O18" s="7">
        <v>0.55000000000000004</v>
      </c>
      <c r="P18" s="7">
        <v>0.55000000000000004</v>
      </c>
      <c r="Q18" s="52">
        <f t="shared" si="0"/>
        <v>0.55000000000000004</v>
      </c>
      <c r="R18" s="7">
        <v>18.399999999999999</v>
      </c>
      <c r="S18" s="7">
        <v>126</v>
      </c>
      <c r="T18" s="16">
        <f t="shared" si="1"/>
        <v>27</v>
      </c>
      <c r="U18" s="7">
        <v>149</v>
      </c>
      <c r="V18" s="16">
        <f t="shared" si="2"/>
        <v>4023</v>
      </c>
      <c r="W18" s="7">
        <v>4</v>
      </c>
      <c r="X18" s="15" t="s">
        <v>46</v>
      </c>
      <c r="Y18" s="54" t="s">
        <v>55</v>
      </c>
      <c r="Z18" s="54" t="s">
        <v>64</v>
      </c>
      <c r="AA18" s="54" t="s">
        <v>86</v>
      </c>
      <c r="AB18" s="39" t="s">
        <v>158</v>
      </c>
      <c r="AE18" s="22" t="s">
        <v>87</v>
      </c>
      <c r="AP18" s="43" t="s">
        <v>111</v>
      </c>
      <c r="AR18" s="41" t="s">
        <v>101</v>
      </c>
      <c r="AV18" s="23" t="s">
        <v>88</v>
      </c>
    </row>
    <row r="19" spans="1:48" x14ac:dyDescent="0.15">
      <c r="A19" s="15" t="s">
        <v>156</v>
      </c>
      <c r="B19" s="15" t="s">
        <v>157</v>
      </c>
      <c r="C19" s="15">
        <v>2019</v>
      </c>
      <c r="D19" s="37" t="s">
        <v>166</v>
      </c>
      <c r="E19" s="15" t="s">
        <v>142</v>
      </c>
      <c r="F19" s="7" t="s">
        <v>151</v>
      </c>
      <c r="G19" s="7" t="s">
        <v>36</v>
      </c>
      <c r="H19" s="15" t="s">
        <v>160</v>
      </c>
      <c r="I19" s="7" t="s">
        <v>159</v>
      </c>
      <c r="J19" s="15" t="s">
        <v>38</v>
      </c>
      <c r="K19" s="7" t="s">
        <v>161</v>
      </c>
      <c r="L19" s="7">
        <v>3</v>
      </c>
      <c r="N19" s="7">
        <v>1</v>
      </c>
      <c r="O19" s="7">
        <v>0.6</v>
      </c>
      <c r="P19" s="7">
        <v>0.65</v>
      </c>
      <c r="Q19" s="52">
        <f t="shared" si="0"/>
        <v>0.625</v>
      </c>
      <c r="R19" s="7">
        <v>15.9</v>
      </c>
      <c r="S19" s="7">
        <v>126</v>
      </c>
      <c r="T19" s="16">
        <f t="shared" si="1"/>
        <v>27</v>
      </c>
      <c r="U19" s="7">
        <v>149</v>
      </c>
      <c r="V19" s="16">
        <f t="shared" si="2"/>
        <v>4023</v>
      </c>
      <c r="W19" s="7">
        <v>4</v>
      </c>
      <c r="X19" s="15" t="s">
        <v>46</v>
      </c>
      <c r="Y19" s="54" t="s">
        <v>55</v>
      </c>
      <c r="Z19" s="54" t="s">
        <v>64</v>
      </c>
      <c r="AA19" s="54" t="s">
        <v>86</v>
      </c>
      <c r="AB19" s="39" t="s">
        <v>158</v>
      </c>
      <c r="AE19" s="35" t="s">
        <v>89</v>
      </c>
      <c r="AP19" s="43" t="s">
        <v>112</v>
      </c>
      <c r="AR19" s="30" t="s">
        <v>126</v>
      </c>
      <c r="AV19" s="23" t="s">
        <v>90</v>
      </c>
    </row>
    <row r="20" spans="1:48" x14ac:dyDescent="0.15">
      <c r="A20" s="15" t="s">
        <v>156</v>
      </c>
      <c r="B20" s="15" t="s">
        <v>157</v>
      </c>
      <c r="C20" s="15">
        <v>2019</v>
      </c>
      <c r="D20" s="37" t="s">
        <v>166</v>
      </c>
      <c r="E20" s="15" t="s">
        <v>143</v>
      </c>
      <c r="F20" s="7" t="s">
        <v>152</v>
      </c>
      <c r="G20" s="7" t="s">
        <v>36</v>
      </c>
      <c r="H20" s="15" t="s">
        <v>164</v>
      </c>
      <c r="I20" s="7" t="s">
        <v>159</v>
      </c>
      <c r="J20" s="15" t="s">
        <v>38</v>
      </c>
      <c r="K20" s="7" t="s">
        <v>161</v>
      </c>
      <c r="L20" s="7">
        <v>1</v>
      </c>
      <c r="N20" s="7">
        <v>1</v>
      </c>
      <c r="O20" s="7">
        <v>0.85</v>
      </c>
      <c r="P20" s="34">
        <v>0.75</v>
      </c>
      <c r="Q20" s="52">
        <f t="shared" si="0"/>
        <v>0.8</v>
      </c>
      <c r="R20" s="7">
        <v>15.9</v>
      </c>
      <c r="S20" s="7">
        <v>128</v>
      </c>
      <c r="T20" s="16">
        <f t="shared" si="1"/>
        <v>27</v>
      </c>
      <c r="U20" s="7">
        <v>105</v>
      </c>
      <c r="V20" s="16">
        <f t="shared" si="2"/>
        <v>2835</v>
      </c>
      <c r="W20" s="7">
        <v>6</v>
      </c>
      <c r="X20" s="15" t="s">
        <v>46</v>
      </c>
      <c r="Y20" s="54" t="s">
        <v>55</v>
      </c>
      <c r="Z20" s="54" t="s">
        <v>97</v>
      </c>
      <c r="AA20" s="54" t="s">
        <v>86</v>
      </c>
      <c r="AB20" s="39" t="s">
        <v>158</v>
      </c>
      <c r="AE20" s="22"/>
      <c r="AP20" s="43" t="s">
        <v>113</v>
      </c>
      <c r="AR20" s="41" t="s">
        <v>105</v>
      </c>
      <c r="AV20" s="27" t="s">
        <v>135</v>
      </c>
    </row>
    <row r="21" spans="1:48" x14ac:dyDescent="0.15">
      <c r="A21" s="15" t="s">
        <v>156</v>
      </c>
      <c r="B21" s="15" t="s">
        <v>157</v>
      </c>
      <c r="C21" s="15">
        <v>2019</v>
      </c>
      <c r="D21" s="37" t="s">
        <v>166</v>
      </c>
      <c r="E21" s="15" t="s">
        <v>143</v>
      </c>
      <c r="F21" s="7" t="s">
        <v>152</v>
      </c>
      <c r="G21" s="7" t="s">
        <v>36</v>
      </c>
      <c r="H21" s="15" t="s">
        <v>164</v>
      </c>
      <c r="I21" s="7" t="s">
        <v>159</v>
      </c>
      <c r="J21" s="15" t="s">
        <v>38</v>
      </c>
      <c r="K21" s="7" t="s">
        <v>161</v>
      </c>
      <c r="L21" s="7">
        <v>2</v>
      </c>
      <c r="N21" s="7">
        <v>1</v>
      </c>
      <c r="O21" s="7">
        <v>0.65</v>
      </c>
      <c r="P21" s="7">
        <v>0.65</v>
      </c>
      <c r="Q21" s="52">
        <f t="shared" si="0"/>
        <v>0.65</v>
      </c>
      <c r="R21" s="7">
        <v>16.2</v>
      </c>
      <c r="S21" s="7">
        <v>117</v>
      </c>
      <c r="T21" s="16">
        <f t="shared" si="1"/>
        <v>30</v>
      </c>
      <c r="U21" s="7">
        <v>105</v>
      </c>
      <c r="V21" s="16">
        <f t="shared" si="2"/>
        <v>3150</v>
      </c>
      <c r="W21" s="7">
        <v>6</v>
      </c>
      <c r="X21" s="15" t="s">
        <v>46</v>
      </c>
      <c r="Y21" s="54" t="s">
        <v>55</v>
      </c>
      <c r="Z21" s="54" t="s">
        <v>97</v>
      </c>
      <c r="AA21" s="54" t="s">
        <v>86</v>
      </c>
      <c r="AB21" s="39" t="s">
        <v>158</v>
      </c>
      <c r="AE21" s="22"/>
      <c r="AP21" s="43" t="s">
        <v>114</v>
      </c>
      <c r="AR21" s="41" t="s">
        <v>68</v>
      </c>
      <c r="AV21" s="27" t="s">
        <v>136</v>
      </c>
    </row>
    <row r="22" spans="1:48" x14ac:dyDescent="0.15">
      <c r="A22" s="15" t="s">
        <v>156</v>
      </c>
      <c r="B22" s="15" t="s">
        <v>157</v>
      </c>
      <c r="C22" s="15">
        <v>2019</v>
      </c>
      <c r="D22" s="37" t="s">
        <v>166</v>
      </c>
      <c r="E22" s="15" t="s">
        <v>143</v>
      </c>
      <c r="F22" s="7" t="s">
        <v>152</v>
      </c>
      <c r="G22" s="7" t="s">
        <v>36</v>
      </c>
      <c r="H22" s="15" t="s">
        <v>164</v>
      </c>
      <c r="I22" s="7" t="s">
        <v>159</v>
      </c>
      <c r="J22" s="15" t="s">
        <v>38</v>
      </c>
      <c r="K22" s="7" t="s">
        <v>161</v>
      </c>
      <c r="L22" s="7">
        <v>3</v>
      </c>
      <c r="N22" s="7">
        <v>1</v>
      </c>
      <c r="O22" s="34">
        <v>0.7</v>
      </c>
      <c r="P22" s="7">
        <v>0.7</v>
      </c>
      <c r="Q22" s="52">
        <f t="shared" si="0"/>
        <v>0.7</v>
      </c>
      <c r="R22" s="7">
        <v>17</v>
      </c>
      <c r="S22" s="7">
        <v>118</v>
      </c>
      <c r="T22" s="16">
        <f t="shared" si="1"/>
        <v>30</v>
      </c>
      <c r="U22" s="7">
        <v>105</v>
      </c>
      <c r="V22" s="16">
        <f t="shared" si="2"/>
        <v>3150</v>
      </c>
      <c r="W22" s="7">
        <v>6</v>
      </c>
      <c r="X22" s="15" t="s">
        <v>46</v>
      </c>
      <c r="Y22" s="54" t="s">
        <v>55</v>
      </c>
      <c r="Z22" s="54" t="s">
        <v>97</v>
      </c>
      <c r="AA22" s="54" t="s">
        <v>86</v>
      </c>
      <c r="AB22" s="39" t="s">
        <v>158</v>
      </c>
      <c r="AE22" s="35"/>
      <c r="AP22" s="43" t="s">
        <v>115</v>
      </c>
      <c r="AR22" s="41" t="s">
        <v>83</v>
      </c>
      <c r="AV22" s="27"/>
    </row>
    <row r="23" spans="1:48" x14ac:dyDescent="0.15">
      <c r="A23" s="15" t="s">
        <v>156</v>
      </c>
      <c r="B23" s="15" t="s">
        <v>157</v>
      </c>
      <c r="C23" s="15">
        <v>2019</v>
      </c>
      <c r="D23" s="37" t="s">
        <v>166</v>
      </c>
      <c r="E23" s="7" t="s">
        <v>143</v>
      </c>
      <c r="F23" s="7" t="s">
        <v>152</v>
      </c>
      <c r="G23" s="7" t="s">
        <v>36</v>
      </c>
      <c r="H23" s="15" t="s">
        <v>160</v>
      </c>
      <c r="I23" s="7" t="s">
        <v>159</v>
      </c>
      <c r="J23" s="15" t="s">
        <v>38</v>
      </c>
      <c r="K23" s="7" t="s">
        <v>161</v>
      </c>
      <c r="L23" s="7">
        <v>1</v>
      </c>
      <c r="N23" s="7">
        <v>1</v>
      </c>
      <c r="O23" s="34">
        <v>0.7</v>
      </c>
      <c r="P23" s="7">
        <v>0.65</v>
      </c>
      <c r="Q23" s="52">
        <f t="shared" si="0"/>
        <v>0.67500000000000004</v>
      </c>
      <c r="R23" s="7">
        <v>16.100000000000001</v>
      </c>
      <c r="S23" s="7">
        <v>126</v>
      </c>
      <c r="T23" s="16">
        <f t="shared" si="1"/>
        <v>27</v>
      </c>
      <c r="U23" s="7">
        <v>138</v>
      </c>
      <c r="V23" s="16">
        <f t="shared" si="2"/>
        <v>3726</v>
      </c>
      <c r="W23" s="7">
        <v>6</v>
      </c>
      <c r="X23" s="15" t="s">
        <v>46</v>
      </c>
      <c r="Y23" s="54" t="s">
        <v>55</v>
      </c>
      <c r="Z23" s="54" t="s">
        <v>97</v>
      </c>
      <c r="AA23" s="54" t="s">
        <v>86</v>
      </c>
      <c r="AB23" s="39" t="s">
        <v>158</v>
      </c>
      <c r="AE23" s="22"/>
      <c r="AP23" s="43" t="s">
        <v>137</v>
      </c>
      <c r="AR23" s="41" t="s">
        <v>61</v>
      </c>
      <c r="AV23" s="27"/>
    </row>
    <row r="24" spans="1:48" x14ac:dyDescent="0.15">
      <c r="A24" s="15" t="s">
        <v>156</v>
      </c>
      <c r="B24" s="15" t="s">
        <v>157</v>
      </c>
      <c r="C24" s="15">
        <v>2019</v>
      </c>
      <c r="D24" s="37" t="s">
        <v>166</v>
      </c>
      <c r="E24" s="7" t="s">
        <v>143</v>
      </c>
      <c r="F24" s="7" t="s">
        <v>152</v>
      </c>
      <c r="G24" s="7" t="s">
        <v>36</v>
      </c>
      <c r="H24" s="15" t="s">
        <v>160</v>
      </c>
      <c r="I24" s="7" t="s">
        <v>159</v>
      </c>
      <c r="J24" s="15" t="s">
        <v>38</v>
      </c>
      <c r="K24" s="7" t="s">
        <v>161</v>
      </c>
      <c r="L24" s="7">
        <v>2</v>
      </c>
      <c r="N24" s="7">
        <v>1</v>
      </c>
      <c r="O24" s="7">
        <v>0.65</v>
      </c>
      <c r="P24" s="7">
        <v>0.55000000000000004</v>
      </c>
      <c r="Q24" s="52">
        <f t="shared" si="0"/>
        <v>0.60000000000000009</v>
      </c>
      <c r="R24" s="7">
        <v>19.399999999999999</v>
      </c>
      <c r="S24" s="7">
        <v>123</v>
      </c>
      <c r="T24" s="16">
        <f t="shared" si="1"/>
        <v>27</v>
      </c>
      <c r="U24" s="7">
        <v>138</v>
      </c>
      <c r="V24" s="16">
        <f t="shared" si="2"/>
        <v>3726</v>
      </c>
      <c r="W24" s="7">
        <v>6</v>
      </c>
      <c r="X24" s="15" t="s">
        <v>46</v>
      </c>
      <c r="Y24" s="54" t="s">
        <v>55</v>
      </c>
      <c r="Z24" s="54" t="s">
        <v>97</v>
      </c>
      <c r="AA24" s="54" t="s">
        <v>86</v>
      </c>
      <c r="AB24" s="39" t="s">
        <v>158</v>
      </c>
      <c r="AE24" s="22"/>
      <c r="AP24" s="43" t="s">
        <v>138</v>
      </c>
      <c r="AR24" s="41" t="s">
        <v>91</v>
      </c>
      <c r="AV24" s="27"/>
    </row>
    <row r="25" spans="1:48" x14ac:dyDescent="0.15">
      <c r="A25" s="15" t="s">
        <v>156</v>
      </c>
      <c r="B25" s="15" t="s">
        <v>157</v>
      </c>
      <c r="C25" s="15">
        <v>2019</v>
      </c>
      <c r="D25" s="37" t="s">
        <v>166</v>
      </c>
      <c r="E25" s="7" t="s">
        <v>143</v>
      </c>
      <c r="F25" s="7" t="s">
        <v>152</v>
      </c>
      <c r="G25" s="7" t="s">
        <v>36</v>
      </c>
      <c r="H25" s="15" t="s">
        <v>160</v>
      </c>
      <c r="I25" s="7" t="s">
        <v>159</v>
      </c>
      <c r="J25" s="15" t="s">
        <v>38</v>
      </c>
      <c r="K25" s="7" t="s">
        <v>161</v>
      </c>
      <c r="L25" s="7">
        <v>3</v>
      </c>
      <c r="N25" s="7">
        <v>1</v>
      </c>
      <c r="O25" s="7">
        <v>0.65</v>
      </c>
      <c r="P25" s="7">
        <v>0.65</v>
      </c>
      <c r="Q25" s="52">
        <f t="shared" si="0"/>
        <v>0.65</v>
      </c>
      <c r="R25" s="7">
        <v>18.5</v>
      </c>
      <c r="S25" s="7">
        <v>119</v>
      </c>
      <c r="T25" s="16">
        <f t="shared" si="1"/>
        <v>30</v>
      </c>
      <c r="U25" s="7">
        <v>138</v>
      </c>
      <c r="V25" s="16">
        <f t="shared" si="2"/>
        <v>4140</v>
      </c>
      <c r="W25" s="7">
        <v>6</v>
      </c>
      <c r="X25" s="15" t="s">
        <v>46</v>
      </c>
      <c r="Y25" s="54" t="s">
        <v>55</v>
      </c>
      <c r="Z25" s="54" t="s">
        <v>97</v>
      </c>
      <c r="AA25" s="54" t="s">
        <v>86</v>
      </c>
      <c r="AB25" s="39" t="s">
        <v>158</v>
      </c>
      <c r="AE25" s="35"/>
      <c r="AP25" s="43" t="s">
        <v>116</v>
      </c>
      <c r="AR25" s="42" t="s">
        <v>92</v>
      </c>
      <c r="AV25" s="27"/>
    </row>
    <row r="26" spans="1:48" x14ac:dyDescent="0.15">
      <c r="A26" s="15" t="s">
        <v>156</v>
      </c>
      <c r="B26" s="15" t="s">
        <v>157</v>
      </c>
      <c r="C26" s="15">
        <v>2019</v>
      </c>
      <c r="D26" s="37" t="s">
        <v>166</v>
      </c>
      <c r="E26" s="7" t="s">
        <v>131</v>
      </c>
      <c r="F26" s="7" t="s">
        <v>144</v>
      </c>
      <c r="G26" s="7" t="s">
        <v>36</v>
      </c>
      <c r="H26" s="15" t="s">
        <v>164</v>
      </c>
      <c r="I26" s="7" t="s">
        <v>159</v>
      </c>
      <c r="J26" s="15" t="s">
        <v>38</v>
      </c>
      <c r="K26" s="7" t="s">
        <v>161</v>
      </c>
      <c r="L26" s="7">
        <v>1</v>
      </c>
      <c r="N26" s="53">
        <v>1</v>
      </c>
      <c r="O26" s="7">
        <v>0.85</v>
      </c>
      <c r="P26" s="7">
        <v>0.7</v>
      </c>
      <c r="Q26" s="52">
        <f t="shared" si="0"/>
        <v>0.77499999999999991</v>
      </c>
      <c r="R26" s="7">
        <v>14.7</v>
      </c>
      <c r="S26" s="7">
        <v>117</v>
      </c>
      <c r="T26" s="16">
        <f t="shared" si="1"/>
        <v>30</v>
      </c>
      <c r="U26" s="7">
        <v>71</v>
      </c>
      <c r="V26" s="16">
        <f t="shared" si="2"/>
        <v>2130</v>
      </c>
      <c r="W26" s="7">
        <v>5</v>
      </c>
      <c r="X26" s="15" t="s">
        <v>46</v>
      </c>
      <c r="Y26" s="54" t="s">
        <v>55</v>
      </c>
      <c r="Z26" s="54" t="s">
        <v>78</v>
      </c>
      <c r="AA26" s="54" t="s">
        <v>86</v>
      </c>
      <c r="AB26" s="39" t="s">
        <v>158</v>
      </c>
      <c r="AE26" s="35"/>
      <c r="AP26" s="43" t="s">
        <v>117</v>
      </c>
      <c r="AR26" s="23" t="s">
        <v>153</v>
      </c>
      <c r="AV26" s="28"/>
    </row>
    <row r="27" spans="1:48" x14ac:dyDescent="0.15">
      <c r="A27" s="15" t="s">
        <v>156</v>
      </c>
      <c r="B27" s="15" t="s">
        <v>157</v>
      </c>
      <c r="C27" s="15">
        <v>2019</v>
      </c>
      <c r="D27" s="37" t="s">
        <v>166</v>
      </c>
      <c r="E27" s="7" t="s">
        <v>131</v>
      </c>
      <c r="F27" s="7" t="s">
        <v>144</v>
      </c>
      <c r="G27" s="7" t="s">
        <v>36</v>
      </c>
      <c r="H27" s="54" t="s">
        <v>164</v>
      </c>
      <c r="I27" s="7" t="s">
        <v>159</v>
      </c>
      <c r="J27" s="15" t="s">
        <v>38</v>
      </c>
      <c r="K27" s="7" t="s">
        <v>161</v>
      </c>
      <c r="L27" s="7">
        <v>2</v>
      </c>
      <c r="N27" s="53">
        <v>1</v>
      </c>
      <c r="O27" s="7">
        <v>0.75</v>
      </c>
      <c r="P27" s="7">
        <v>0.6</v>
      </c>
      <c r="Q27" s="52">
        <f t="shared" si="0"/>
        <v>0.67500000000000004</v>
      </c>
      <c r="R27" s="7">
        <v>14.2</v>
      </c>
      <c r="S27" s="7">
        <v>122</v>
      </c>
      <c r="T27" s="16">
        <f t="shared" si="1"/>
        <v>27</v>
      </c>
      <c r="U27" s="7">
        <v>71</v>
      </c>
      <c r="V27" s="16">
        <f t="shared" si="2"/>
        <v>1917</v>
      </c>
      <c r="W27" s="7">
        <v>5</v>
      </c>
      <c r="X27" s="15" t="s">
        <v>46</v>
      </c>
      <c r="Y27" s="54" t="s">
        <v>55</v>
      </c>
      <c r="Z27" s="54" t="s">
        <v>78</v>
      </c>
      <c r="AA27" s="54" t="s">
        <v>86</v>
      </c>
      <c r="AB27" s="39" t="s">
        <v>158</v>
      </c>
      <c r="AE27" s="28"/>
      <c r="AP27" s="43" t="s">
        <v>118</v>
      </c>
      <c r="AR27" s="23"/>
    </row>
    <row r="28" spans="1:48" x14ac:dyDescent="0.15">
      <c r="A28" s="15" t="s">
        <v>156</v>
      </c>
      <c r="B28" s="15" t="s">
        <v>157</v>
      </c>
      <c r="C28" s="15">
        <v>2019</v>
      </c>
      <c r="D28" s="37" t="s">
        <v>166</v>
      </c>
      <c r="E28" s="7" t="s">
        <v>131</v>
      </c>
      <c r="F28" s="7" t="s">
        <v>144</v>
      </c>
      <c r="G28" s="7" t="s">
        <v>36</v>
      </c>
      <c r="H28" s="54" t="s">
        <v>164</v>
      </c>
      <c r="I28" s="7" t="s">
        <v>159</v>
      </c>
      <c r="J28" s="15" t="s">
        <v>38</v>
      </c>
      <c r="K28" s="7" t="s">
        <v>161</v>
      </c>
      <c r="L28" s="7">
        <v>3</v>
      </c>
      <c r="N28" s="53">
        <v>1</v>
      </c>
      <c r="O28" s="7">
        <v>0.65</v>
      </c>
      <c r="P28" s="7">
        <v>0.85</v>
      </c>
      <c r="Q28" s="52">
        <f t="shared" si="0"/>
        <v>0.75</v>
      </c>
      <c r="R28" s="7">
        <v>14.5</v>
      </c>
      <c r="S28" s="7">
        <v>120</v>
      </c>
      <c r="T28" s="16">
        <f t="shared" si="1"/>
        <v>30</v>
      </c>
      <c r="U28" s="7">
        <v>71</v>
      </c>
      <c r="V28" s="16">
        <f t="shared" si="2"/>
        <v>2130</v>
      </c>
      <c r="W28" s="7">
        <v>5</v>
      </c>
      <c r="X28" s="15" t="s">
        <v>46</v>
      </c>
      <c r="Y28" s="54" t="s">
        <v>55</v>
      </c>
      <c r="Z28" s="54" t="s">
        <v>78</v>
      </c>
      <c r="AA28" s="54" t="s">
        <v>86</v>
      </c>
      <c r="AB28" s="39" t="s">
        <v>158</v>
      </c>
      <c r="AP28" s="27"/>
      <c r="AR28" s="23"/>
    </row>
    <row r="29" spans="1:48" x14ac:dyDescent="0.15">
      <c r="A29" s="15" t="s">
        <v>156</v>
      </c>
      <c r="B29" s="15" t="s">
        <v>157</v>
      </c>
      <c r="C29" s="15">
        <v>2019</v>
      </c>
      <c r="D29" s="37" t="s">
        <v>166</v>
      </c>
      <c r="E29" s="7" t="s">
        <v>131</v>
      </c>
      <c r="F29" s="7" t="s">
        <v>144</v>
      </c>
      <c r="G29" s="7" t="s">
        <v>36</v>
      </c>
      <c r="H29" s="54" t="s">
        <v>160</v>
      </c>
      <c r="I29" s="7" t="s">
        <v>159</v>
      </c>
      <c r="J29" s="15" t="s">
        <v>38</v>
      </c>
      <c r="K29" s="7" t="s">
        <v>161</v>
      </c>
      <c r="L29" s="7">
        <v>1</v>
      </c>
      <c r="N29" s="53">
        <v>1</v>
      </c>
      <c r="O29" s="7">
        <v>0.5</v>
      </c>
      <c r="P29" s="7">
        <v>0.5</v>
      </c>
      <c r="Q29" s="52">
        <f t="shared" si="0"/>
        <v>0.5</v>
      </c>
      <c r="R29" s="7">
        <v>19.899999999999999</v>
      </c>
      <c r="S29" s="7">
        <v>118</v>
      </c>
      <c r="T29" s="16">
        <f t="shared" si="1"/>
        <v>30</v>
      </c>
      <c r="U29" s="7">
        <v>138</v>
      </c>
      <c r="V29" s="16">
        <f t="shared" si="2"/>
        <v>4140</v>
      </c>
      <c r="W29" s="7">
        <v>7</v>
      </c>
      <c r="X29" s="15" t="s">
        <v>46</v>
      </c>
      <c r="Y29" s="54" t="s">
        <v>55</v>
      </c>
      <c r="Z29" s="54" t="s">
        <v>78</v>
      </c>
      <c r="AA29" s="54" t="s">
        <v>86</v>
      </c>
      <c r="AB29" s="39" t="s">
        <v>158</v>
      </c>
      <c r="AP29" s="27"/>
      <c r="AR29" s="27"/>
      <c r="AV29" s="28"/>
    </row>
    <row r="30" spans="1:48" x14ac:dyDescent="0.15">
      <c r="A30" s="15" t="s">
        <v>156</v>
      </c>
      <c r="B30" s="15" t="s">
        <v>157</v>
      </c>
      <c r="C30" s="15">
        <v>2019</v>
      </c>
      <c r="D30" s="37" t="s">
        <v>166</v>
      </c>
      <c r="E30" s="7" t="s">
        <v>131</v>
      </c>
      <c r="F30" s="7" t="s">
        <v>144</v>
      </c>
      <c r="G30" s="7" t="s">
        <v>36</v>
      </c>
      <c r="H30" s="54" t="s">
        <v>160</v>
      </c>
      <c r="I30" s="53" t="s">
        <v>159</v>
      </c>
      <c r="J30" s="15" t="s">
        <v>38</v>
      </c>
      <c r="K30" s="7" t="s">
        <v>161</v>
      </c>
      <c r="L30" s="7">
        <v>2</v>
      </c>
      <c r="N30" s="7">
        <v>1</v>
      </c>
      <c r="O30" s="7">
        <v>0.75</v>
      </c>
      <c r="P30" s="7">
        <v>0.75</v>
      </c>
      <c r="Q30" s="52">
        <f t="shared" si="0"/>
        <v>0.75</v>
      </c>
      <c r="R30" s="7">
        <v>19.899999999999999</v>
      </c>
      <c r="S30" s="7">
        <v>122</v>
      </c>
      <c r="T30" s="16">
        <f t="shared" si="1"/>
        <v>27</v>
      </c>
      <c r="U30" s="7">
        <v>138</v>
      </c>
      <c r="V30" s="16">
        <f t="shared" si="2"/>
        <v>3726</v>
      </c>
      <c r="W30" s="7">
        <v>7</v>
      </c>
      <c r="X30" s="15" t="s">
        <v>46</v>
      </c>
      <c r="Y30" s="54" t="s">
        <v>55</v>
      </c>
      <c r="Z30" s="54" t="s">
        <v>78</v>
      </c>
      <c r="AA30" s="54" t="s">
        <v>86</v>
      </c>
      <c r="AB30" s="39" t="s">
        <v>158</v>
      </c>
      <c r="AP30" s="27"/>
      <c r="AR30" s="27"/>
    </row>
    <row r="31" spans="1:48" x14ac:dyDescent="0.15">
      <c r="A31" s="15" t="s">
        <v>156</v>
      </c>
      <c r="B31" s="15" t="s">
        <v>157</v>
      </c>
      <c r="C31" s="15">
        <v>2019</v>
      </c>
      <c r="D31" s="37" t="s">
        <v>166</v>
      </c>
      <c r="E31" s="7" t="s">
        <v>131</v>
      </c>
      <c r="F31" s="7" t="s">
        <v>144</v>
      </c>
      <c r="G31" s="7" t="s">
        <v>36</v>
      </c>
      <c r="H31" s="54" t="s">
        <v>160</v>
      </c>
      <c r="I31" s="53" t="s">
        <v>159</v>
      </c>
      <c r="J31" s="15" t="s">
        <v>38</v>
      </c>
      <c r="K31" s="7" t="s">
        <v>161</v>
      </c>
      <c r="L31" s="7">
        <v>3</v>
      </c>
      <c r="N31" s="7">
        <v>1</v>
      </c>
      <c r="O31" s="7">
        <v>0.5</v>
      </c>
      <c r="P31" s="7">
        <v>0.6</v>
      </c>
      <c r="Q31" s="52">
        <f t="shared" si="0"/>
        <v>0.55000000000000004</v>
      </c>
      <c r="R31" s="7">
        <v>14</v>
      </c>
      <c r="S31" s="7">
        <v>116</v>
      </c>
      <c r="T31" s="16">
        <f t="shared" si="1"/>
        <v>30</v>
      </c>
      <c r="U31" s="7">
        <v>138</v>
      </c>
      <c r="V31" s="16">
        <f t="shared" si="2"/>
        <v>4140</v>
      </c>
      <c r="W31" s="7">
        <v>7</v>
      </c>
      <c r="X31" s="15" t="s">
        <v>46</v>
      </c>
      <c r="Y31" s="54" t="s">
        <v>55</v>
      </c>
      <c r="Z31" s="54" t="s">
        <v>78</v>
      </c>
      <c r="AA31" s="54" t="s">
        <v>86</v>
      </c>
      <c r="AB31" s="39" t="s">
        <v>158</v>
      </c>
      <c r="AP31" s="27"/>
      <c r="AR31" s="27"/>
    </row>
    <row r="32" spans="1:48" x14ac:dyDescent="0.15">
      <c r="A32" s="15" t="s">
        <v>156</v>
      </c>
      <c r="B32" s="15" t="s">
        <v>157</v>
      </c>
      <c r="C32" s="15">
        <v>2019</v>
      </c>
      <c r="D32" s="37" t="s">
        <v>166</v>
      </c>
      <c r="E32" s="7" t="s">
        <v>131</v>
      </c>
      <c r="F32" s="7" t="s">
        <v>144</v>
      </c>
      <c r="G32" s="7" t="s">
        <v>36</v>
      </c>
      <c r="H32" s="15" t="s">
        <v>160</v>
      </c>
      <c r="I32" s="7" t="s">
        <v>165</v>
      </c>
      <c r="J32" s="15" t="s">
        <v>38</v>
      </c>
      <c r="K32" s="7" t="s">
        <v>161</v>
      </c>
      <c r="L32" s="7">
        <v>1</v>
      </c>
      <c r="N32" s="7">
        <v>4</v>
      </c>
      <c r="O32" s="7">
        <v>0.5</v>
      </c>
      <c r="P32" s="7">
        <v>0.5</v>
      </c>
      <c r="Q32" s="52">
        <f t="shared" si="0"/>
        <v>0.5</v>
      </c>
      <c r="R32" s="7">
        <v>16.600000000000001</v>
      </c>
      <c r="S32" s="7">
        <v>113</v>
      </c>
      <c r="T32" s="16">
        <f t="shared" si="1"/>
        <v>30</v>
      </c>
      <c r="U32" s="7">
        <v>538</v>
      </c>
      <c r="V32" s="16">
        <f t="shared" si="2"/>
        <v>4035</v>
      </c>
      <c r="W32" s="7">
        <v>1</v>
      </c>
      <c r="X32" s="15" t="s">
        <v>46</v>
      </c>
      <c r="Y32" s="54" t="s">
        <v>55</v>
      </c>
      <c r="Z32" s="54" t="s">
        <v>78</v>
      </c>
      <c r="AA32" s="54" t="s">
        <v>86</v>
      </c>
      <c r="AB32" s="39" t="s">
        <v>158</v>
      </c>
      <c r="AP32" s="28"/>
      <c r="AR32" s="28"/>
    </row>
    <row r="33" spans="1:44" x14ac:dyDescent="0.15">
      <c r="A33" s="15" t="s">
        <v>156</v>
      </c>
      <c r="B33" s="15" t="s">
        <v>157</v>
      </c>
      <c r="C33" s="15">
        <v>2019</v>
      </c>
      <c r="D33" s="37" t="s">
        <v>166</v>
      </c>
      <c r="E33" s="7" t="s">
        <v>131</v>
      </c>
      <c r="F33" s="7" t="s">
        <v>144</v>
      </c>
      <c r="G33" s="7" t="s">
        <v>36</v>
      </c>
      <c r="H33" s="15" t="s">
        <v>160</v>
      </c>
      <c r="I33" s="53" t="s">
        <v>165</v>
      </c>
      <c r="J33" s="15" t="s">
        <v>38</v>
      </c>
      <c r="K33" s="7" t="s">
        <v>161</v>
      </c>
      <c r="L33" s="7">
        <v>2</v>
      </c>
      <c r="N33" s="7">
        <v>4</v>
      </c>
      <c r="O33" s="7">
        <v>0.5</v>
      </c>
      <c r="P33" s="7">
        <v>0.5</v>
      </c>
      <c r="Q33" s="52">
        <f t="shared" si="0"/>
        <v>0.5</v>
      </c>
      <c r="R33" s="7">
        <v>15.8</v>
      </c>
      <c r="S33" s="7">
        <v>121</v>
      </c>
      <c r="T33" s="16">
        <f t="shared" si="1"/>
        <v>27</v>
      </c>
      <c r="U33" s="7">
        <v>538</v>
      </c>
      <c r="V33" s="16">
        <f t="shared" si="2"/>
        <v>3631.5</v>
      </c>
      <c r="W33" s="7">
        <v>1</v>
      </c>
      <c r="X33" s="15" t="s">
        <v>46</v>
      </c>
      <c r="Y33" s="54" t="s">
        <v>55</v>
      </c>
      <c r="Z33" s="54" t="s">
        <v>78</v>
      </c>
      <c r="AA33" s="54" t="s">
        <v>86</v>
      </c>
      <c r="AB33" s="39" t="s">
        <v>158</v>
      </c>
    </row>
    <row r="34" spans="1:44" x14ac:dyDescent="0.15">
      <c r="A34" s="15" t="s">
        <v>156</v>
      </c>
      <c r="B34" s="15" t="s">
        <v>157</v>
      </c>
      <c r="C34" s="15">
        <v>2019</v>
      </c>
      <c r="D34" s="37" t="s">
        <v>166</v>
      </c>
      <c r="E34" s="7" t="s">
        <v>131</v>
      </c>
      <c r="F34" s="7" t="s">
        <v>144</v>
      </c>
      <c r="G34" s="7" t="s">
        <v>36</v>
      </c>
      <c r="H34" s="15" t="s">
        <v>160</v>
      </c>
      <c r="I34" s="53" t="s">
        <v>165</v>
      </c>
      <c r="J34" s="15" t="s">
        <v>38</v>
      </c>
      <c r="K34" s="7" t="s">
        <v>161</v>
      </c>
      <c r="L34" s="7">
        <v>3</v>
      </c>
      <c r="N34" s="7">
        <v>4</v>
      </c>
      <c r="O34" s="7">
        <v>0.55000000000000004</v>
      </c>
      <c r="P34" s="7">
        <v>0.5</v>
      </c>
      <c r="Q34" s="52">
        <f t="shared" si="0"/>
        <v>0.52500000000000002</v>
      </c>
      <c r="R34" s="7">
        <v>14.5</v>
      </c>
      <c r="S34" s="7">
        <v>120</v>
      </c>
      <c r="T34" s="16">
        <f t="shared" si="1"/>
        <v>30</v>
      </c>
      <c r="U34" s="7">
        <v>538</v>
      </c>
      <c r="V34" s="16">
        <f t="shared" si="2"/>
        <v>4035</v>
      </c>
      <c r="W34" s="7">
        <v>1</v>
      </c>
      <c r="X34" s="15" t="s">
        <v>46</v>
      </c>
      <c r="Y34" s="54" t="s">
        <v>55</v>
      </c>
      <c r="Z34" s="54" t="s">
        <v>78</v>
      </c>
      <c r="AA34" s="54" t="s">
        <v>86</v>
      </c>
      <c r="AB34" s="39" t="s">
        <v>158</v>
      </c>
    </row>
    <row r="35" spans="1:44" x14ac:dyDescent="0.15">
      <c r="A35" s="15" t="s">
        <v>156</v>
      </c>
      <c r="B35" s="15" t="s">
        <v>157</v>
      </c>
      <c r="C35" s="15">
        <v>2019</v>
      </c>
      <c r="D35" s="37" t="s">
        <v>166</v>
      </c>
      <c r="E35" s="7" t="s">
        <v>139</v>
      </c>
      <c r="F35" s="7" t="s">
        <v>145</v>
      </c>
      <c r="G35" s="7" t="s">
        <v>36</v>
      </c>
      <c r="H35" s="15" t="s">
        <v>164</v>
      </c>
      <c r="I35" s="7" t="s">
        <v>159</v>
      </c>
      <c r="J35" s="15" t="s">
        <v>38</v>
      </c>
      <c r="K35" s="7" t="s">
        <v>161</v>
      </c>
      <c r="L35" s="7">
        <v>1</v>
      </c>
      <c r="N35" s="7">
        <v>1</v>
      </c>
      <c r="O35" s="7">
        <v>0.65</v>
      </c>
      <c r="P35" s="7">
        <v>0.75</v>
      </c>
      <c r="Q35" s="52">
        <f t="shared" si="0"/>
        <v>0.7</v>
      </c>
      <c r="R35" s="7">
        <v>15.9</v>
      </c>
      <c r="S35" s="7">
        <v>111</v>
      </c>
      <c r="T35" s="16">
        <f t="shared" si="1"/>
        <v>33</v>
      </c>
      <c r="U35" s="7">
        <v>100</v>
      </c>
      <c r="V35" s="16">
        <f t="shared" si="2"/>
        <v>3300</v>
      </c>
      <c r="W35" s="7">
        <v>12</v>
      </c>
      <c r="X35" s="15" t="s">
        <v>46</v>
      </c>
      <c r="Y35" s="54" t="s">
        <v>97</v>
      </c>
      <c r="Z35" s="54" t="s">
        <v>86</v>
      </c>
      <c r="AA35" s="54" t="s">
        <v>55</v>
      </c>
      <c r="AB35" s="39" t="s">
        <v>158</v>
      </c>
      <c r="AP35" s="28"/>
      <c r="AR35" s="28"/>
    </row>
    <row r="36" spans="1:44" x14ac:dyDescent="0.15">
      <c r="A36" s="15" t="s">
        <v>156</v>
      </c>
      <c r="B36" s="15" t="s">
        <v>157</v>
      </c>
      <c r="C36" s="15">
        <v>2019</v>
      </c>
      <c r="D36" s="37" t="s">
        <v>166</v>
      </c>
      <c r="E36" s="7" t="s">
        <v>139</v>
      </c>
      <c r="F36" s="7" t="s">
        <v>145</v>
      </c>
      <c r="G36" s="7" t="s">
        <v>36</v>
      </c>
      <c r="H36" s="54" t="s">
        <v>164</v>
      </c>
      <c r="I36" s="7" t="s">
        <v>159</v>
      </c>
      <c r="J36" s="15" t="s">
        <v>38</v>
      </c>
      <c r="K36" s="7" t="s">
        <v>161</v>
      </c>
      <c r="L36" s="7">
        <v>2</v>
      </c>
      <c r="N36" s="7">
        <v>1</v>
      </c>
      <c r="O36" s="7">
        <v>0.55000000000000004</v>
      </c>
      <c r="P36" s="7">
        <v>0.55000000000000004</v>
      </c>
      <c r="Q36" s="52">
        <f t="shared" si="0"/>
        <v>0.55000000000000004</v>
      </c>
      <c r="R36" s="7">
        <v>15.6</v>
      </c>
      <c r="S36" s="7">
        <v>117</v>
      </c>
      <c r="T36" s="16">
        <f t="shared" si="1"/>
        <v>30</v>
      </c>
      <c r="U36" s="7">
        <v>100</v>
      </c>
      <c r="V36" s="16">
        <f t="shared" si="2"/>
        <v>3000</v>
      </c>
      <c r="W36" s="7">
        <v>12</v>
      </c>
      <c r="X36" s="15" t="s">
        <v>46</v>
      </c>
      <c r="Y36" s="54" t="s">
        <v>97</v>
      </c>
      <c r="Z36" s="54" t="s">
        <v>86</v>
      </c>
      <c r="AA36" s="54" t="s">
        <v>55</v>
      </c>
      <c r="AB36" s="39" t="s">
        <v>158</v>
      </c>
    </row>
    <row r="37" spans="1:44" x14ac:dyDescent="0.15">
      <c r="A37" s="15" t="s">
        <v>156</v>
      </c>
      <c r="B37" s="15" t="s">
        <v>157</v>
      </c>
      <c r="C37" s="15">
        <v>2019</v>
      </c>
      <c r="D37" s="37" t="s">
        <v>166</v>
      </c>
      <c r="E37" s="7" t="s">
        <v>139</v>
      </c>
      <c r="F37" s="7" t="s">
        <v>145</v>
      </c>
      <c r="G37" s="7" t="s">
        <v>36</v>
      </c>
      <c r="H37" s="54" t="s">
        <v>164</v>
      </c>
      <c r="I37" s="7" t="s">
        <v>159</v>
      </c>
      <c r="J37" s="15" t="s">
        <v>38</v>
      </c>
      <c r="K37" s="7" t="s">
        <v>161</v>
      </c>
      <c r="L37" s="7">
        <v>3</v>
      </c>
      <c r="N37" s="7">
        <v>1</v>
      </c>
      <c r="O37" s="34">
        <v>1.05</v>
      </c>
      <c r="P37" s="34">
        <v>1.05</v>
      </c>
      <c r="Q37" s="52">
        <f t="shared" si="0"/>
        <v>1.05</v>
      </c>
      <c r="R37" s="7">
        <v>16.100000000000001</v>
      </c>
      <c r="S37" s="7">
        <v>112</v>
      </c>
      <c r="T37" s="16">
        <f t="shared" si="1"/>
        <v>33</v>
      </c>
      <c r="U37" s="7">
        <v>100</v>
      </c>
      <c r="V37" s="16">
        <f t="shared" si="2"/>
        <v>3300</v>
      </c>
      <c r="W37" s="7">
        <v>12</v>
      </c>
      <c r="X37" s="15" t="s">
        <v>46</v>
      </c>
      <c r="Y37" s="54" t="s">
        <v>97</v>
      </c>
      <c r="Z37" s="54" t="s">
        <v>86</v>
      </c>
      <c r="AA37" s="54" t="s">
        <v>55</v>
      </c>
      <c r="AB37" s="39" t="s">
        <v>158</v>
      </c>
    </row>
    <row r="38" spans="1:44" x14ac:dyDescent="0.15">
      <c r="A38" s="15" t="s">
        <v>156</v>
      </c>
      <c r="B38" s="15" t="s">
        <v>157</v>
      </c>
      <c r="C38" s="15">
        <v>2019</v>
      </c>
      <c r="D38" s="37" t="s">
        <v>166</v>
      </c>
      <c r="E38" s="7" t="s">
        <v>139</v>
      </c>
      <c r="F38" s="7" t="s">
        <v>145</v>
      </c>
      <c r="G38" s="7" t="s">
        <v>36</v>
      </c>
      <c r="H38" s="15" t="s">
        <v>160</v>
      </c>
      <c r="I38" s="7" t="s">
        <v>159</v>
      </c>
      <c r="J38" s="15" t="s">
        <v>38</v>
      </c>
      <c r="K38" s="7" t="s">
        <v>161</v>
      </c>
      <c r="L38" s="7">
        <v>1</v>
      </c>
      <c r="N38" s="53">
        <v>1</v>
      </c>
      <c r="O38" s="34">
        <v>0.6</v>
      </c>
      <c r="P38" s="34">
        <v>0.6</v>
      </c>
      <c r="Q38" s="52">
        <f t="shared" si="0"/>
        <v>0.6</v>
      </c>
      <c r="R38" s="7">
        <v>16.100000000000001</v>
      </c>
      <c r="S38" s="7">
        <v>99</v>
      </c>
      <c r="T38" s="16">
        <f t="shared" si="1"/>
        <v>33</v>
      </c>
      <c r="U38" s="7">
        <v>100</v>
      </c>
      <c r="V38" s="16">
        <f t="shared" si="2"/>
        <v>3300</v>
      </c>
      <c r="W38" s="7">
        <v>12</v>
      </c>
      <c r="X38" s="15" t="s">
        <v>46</v>
      </c>
      <c r="Y38" s="54" t="s">
        <v>97</v>
      </c>
      <c r="Z38" s="54" t="s">
        <v>86</v>
      </c>
      <c r="AA38" s="54" t="s">
        <v>55</v>
      </c>
      <c r="AB38" s="39" t="s">
        <v>158</v>
      </c>
    </row>
    <row r="39" spans="1:44" x14ac:dyDescent="0.15">
      <c r="A39" s="15" t="s">
        <v>156</v>
      </c>
      <c r="B39" s="15" t="s">
        <v>157</v>
      </c>
      <c r="C39" s="15">
        <v>2019</v>
      </c>
      <c r="D39" s="37" t="s">
        <v>166</v>
      </c>
      <c r="E39" s="7" t="s">
        <v>139</v>
      </c>
      <c r="F39" s="7" t="s">
        <v>145</v>
      </c>
      <c r="G39" s="7" t="s">
        <v>36</v>
      </c>
      <c r="H39" s="54" t="s">
        <v>160</v>
      </c>
      <c r="I39" s="7" t="s">
        <v>159</v>
      </c>
      <c r="J39" s="15" t="s">
        <v>38</v>
      </c>
      <c r="K39" s="7" t="s">
        <v>161</v>
      </c>
      <c r="L39" s="7">
        <v>2</v>
      </c>
      <c r="N39" s="53">
        <v>1</v>
      </c>
      <c r="O39" s="7">
        <v>0.7</v>
      </c>
      <c r="P39" s="7">
        <v>0.65</v>
      </c>
      <c r="Q39" s="52">
        <f t="shared" si="0"/>
        <v>0.67500000000000004</v>
      </c>
      <c r="R39" s="34">
        <v>15.7</v>
      </c>
      <c r="S39" s="7">
        <v>100</v>
      </c>
      <c r="T39" s="16">
        <f t="shared" si="1"/>
        <v>33</v>
      </c>
      <c r="U39" s="7">
        <v>100</v>
      </c>
      <c r="V39" s="16">
        <f t="shared" si="2"/>
        <v>3300</v>
      </c>
      <c r="W39" s="7">
        <v>12</v>
      </c>
      <c r="X39" s="15" t="s">
        <v>46</v>
      </c>
      <c r="Y39" s="54" t="s">
        <v>97</v>
      </c>
      <c r="Z39" s="54" t="s">
        <v>86</v>
      </c>
      <c r="AA39" s="54" t="s">
        <v>55</v>
      </c>
      <c r="AB39" s="39" t="s">
        <v>158</v>
      </c>
    </row>
    <row r="40" spans="1:44" x14ac:dyDescent="0.15">
      <c r="A40" s="15" t="s">
        <v>156</v>
      </c>
      <c r="B40" s="15" t="s">
        <v>157</v>
      </c>
      <c r="C40" s="15">
        <v>2019</v>
      </c>
      <c r="D40" s="37" t="s">
        <v>166</v>
      </c>
      <c r="E40" s="7" t="s">
        <v>139</v>
      </c>
      <c r="F40" s="7" t="s">
        <v>145</v>
      </c>
      <c r="G40" s="7" t="s">
        <v>36</v>
      </c>
      <c r="H40" s="54" t="s">
        <v>160</v>
      </c>
      <c r="I40" s="7" t="s">
        <v>159</v>
      </c>
      <c r="J40" s="15" t="s">
        <v>38</v>
      </c>
      <c r="K40" s="7" t="s">
        <v>161</v>
      </c>
      <c r="L40" s="7">
        <v>3</v>
      </c>
      <c r="N40" s="53">
        <v>1</v>
      </c>
      <c r="O40" s="7">
        <v>0.6</v>
      </c>
      <c r="P40" s="7">
        <v>0.65</v>
      </c>
      <c r="Q40" s="52">
        <f t="shared" si="0"/>
        <v>0.625</v>
      </c>
      <c r="R40" s="7">
        <v>17.899999999999999</v>
      </c>
      <c r="S40" s="7">
        <v>101</v>
      </c>
      <c r="T40" s="16">
        <f t="shared" si="1"/>
        <v>33</v>
      </c>
      <c r="U40" s="7">
        <v>100</v>
      </c>
      <c r="V40" s="16">
        <f t="shared" si="2"/>
        <v>3300</v>
      </c>
      <c r="W40" s="7">
        <v>12</v>
      </c>
      <c r="X40" s="15" t="s">
        <v>46</v>
      </c>
      <c r="Y40" s="54" t="s">
        <v>97</v>
      </c>
      <c r="Z40" s="54" t="s">
        <v>86</v>
      </c>
      <c r="AA40" s="54" t="s">
        <v>55</v>
      </c>
      <c r="AB40" s="39" t="s">
        <v>158</v>
      </c>
    </row>
    <row r="41" spans="1:44" ht="12.75" customHeight="1" x14ac:dyDescent="0.15">
      <c r="A41" s="15" t="s">
        <v>156</v>
      </c>
      <c r="B41" s="15" t="s">
        <v>157</v>
      </c>
      <c r="C41" s="15">
        <v>2019</v>
      </c>
      <c r="D41" s="37" t="s">
        <v>166</v>
      </c>
      <c r="E41" s="7" t="s">
        <v>162</v>
      </c>
      <c r="F41" s="7" t="s">
        <v>163</v>
      </c>
      <c r="G41" s="7" t="s">
        <v>36</v>
      </c>
      <c r="H41" s="15" t="s">
        <v>164</v>
      </c>
      <c r="I41" s="7" t="s">
        <v>159</v>
      </c>
      <c r="J41" s="15" t="s">
        <v>38</v>
      </c>
      <c r="K41" s="7" t="s">
        <v>161</v>
      </c>
      <c r="L41" s="7">
        <v>1</v>
      </c>
      <c r="N41" s="7">
        <v>1</v>
      </c>
      <c r="O41" s="7">
        <v>0.75</v>
      </c>
      <c r="P41" s="7">
        <v>0.95</v>
      </c>
      <c r="Q41" s="52">
        <f t="shared" si="0"/>
        <v>0.85</v>
      </c>
      <c r="R41" s="7">
        <v>16</v>
      </c>
      <c r="S41" s="7">
        <v>123</v>
      </c>
      <c r="T41" s="16">
        <f t="shared" si="1"/>
        <v>27</v>
      </c>
      <c r="U41" s="7">
        <v>95</v>
      </c>
      <c r="V41" s="16">
        <f t="shared" si="2"/>
        <v>2565</v>
      </c>
      <c r="W41" s="7">
        <v>8</v>
      </c>
      <c r="X41" s="15" t="s">
        <v>46</v>
      </c>
      <c r="Y41" s="54" t="s">
        <v>55</v>
      </c>
      <c r="Z41" s="54" t="s">
        <v>69</v>
      </c>
      <c r="AA41" s="54" t="s">
        <v>90</v>
      </c>
      <c r="AB41" s="39" t="s">
        <v>158</v>
      </c>
    </row>
    <row r="42" spans="1:44" x14ac:dyDescent="0.15">
      <c r="A42" s="15" t="s">
        <v>156</v>
      </c>
      <c r="B42" s="15" t="s">
        <v>157</v>
      </c>
      <c r="C42" s="15">
        <v>2019</v>
      </c>
      <c r="D42" s="37" t="s">
        <v>166</v>
      </c>
      <c r="E42" s="7" t="s">
        <v>162</v>
      </c>
      <c r="F42" s="7" t="s">
        <v>163</v>
      </c>
      <c r="G42" s="7" t="s">
        <v>36</v>
      </c>
      <c r="H42" s="54" t="s">
        <v>164</v>
      </c>
      <c r="I42" s="7" t="s">
        <v>159</v>
      </c>
      <c r="J42" s="15" t="s">
        <v>38</v>
      </c>
      <c r="K42" s="7" t="s">
        <v>161</v>
      </c>
      <c r="L42" s="7">
        <v>2</v>
      </c>
      <c r="N42" s="7">
        <v>1</v>
      </c>
      <c r="O42" s="7">
        <v>0.55000000000000004</v>
      </c>
      <c r="P42" s="7">
        <v>0.75</v>
      </c>
      <c r="Q42" s="52">
        <f t="shared" si="0"/>
        <v>0.65</v>
      </c>
      <c r="R42" s="7">
        <v>14</v>
      </c>
      <c r="S42" s="7">
        <v>123</v>
      </c>
      <c r="T42" s="16">
        <f t="shared" si="1"/>
        <v>27</v>
      </c>
      <c r="U42" s="7">
        <v>95</v>
      </c>
      <c r="V42" s="16">
        <f t="shared" si="2"/>
        <v>2565</v>
      </c>
      <c r="W42" s="7">
        <v>8</v>
      </c>
      <c r="X42" s="15" t="s">
        <v>46</v>
      </c>
      <c r="Y42" s="54" t="s">
        <v>55</v>
      </c>
      <c r="Z42" s="54" t="s">
        <v>69</v>
      </c>
      <c r="AA42" s="54" t="s">
        <v>90</v>
      </c>
      <c r="AB42" s="39" t="s">
        <v>158</v>
      </c>
    </row>
    <row r="43" spans="1:44" x14ac:dyDescent="0.15">
      <c r="A43" s="15" t="s">
        <v>156</v>
      </c>
      <c r="B43" s="15" t="s">
        <v>157</v>
      </c>
      <c r="C43" s="15">
        <v>2019</v>
      </c>
      <c r="D43" s="37" t="s">
        <v>166</v>
      </c>
      <c r="E43" s="7" t="s">
        <v>162</v>
      </c>
      <c r="F43" s="7" t="s">
        <v>163</v>
      </c>
      <c r="G43" s="7" t="s">
        <v>36</v>
      </c>
      <c r="H43" s="54" t="s">
        <v>164</v>
      </c>
      <c r="I43" s="7" t="s">
        <v>159</v>
      </c>
      <c r="J43" s="15" t="s">
        <v>38</v>
      </c>
      <c r="K43" s="7" t="s">
        <v>161</v>
      </c>
      <c r="L43" s="7">
        <v>3</v>
      </c>
      <c r="N43" s="7">
        <v>1</v>
      </c>
      <c r="O43" s="7">
        <v>0.75</v>
      </c>
      <c r="P43" s="7">
        <v>0.8</v>
      </c>
      <c r="Q43" s="52">
        <f t="shared" si="0"/>
        <v>0.77500000000000002</v>
      </c>
      <c r="R43" s="7">
        <v>15.6</v>
      </c>
      <c r="S43" s="7">
        <v>119</v>
      </c>
      <c r="T43" s="16">
        <f t="shared" si="1"/>
        <v>30</v>
      </c>
      <c r="U43" s="7">
        <v>95</v>
      </c>
      <c r="V43" s="16">
        <f t="shared" si="2"/>
        <v>2850</v>
      </c>
      <c r="W43" s="7">
        <v>8</v>
      </c>
      <c r="X43" s="15" t="s">
        <v>46</v>
      </c>
      <c r="Y43" s="54" t="s">
        <v>55</v>
      </c>
      <c r="Z43" s="54" t="s">
        <v>69</v>
      </c>
      <c r="AA43" s="54" t="s">
        <v>90</v>
      </c>
      <c r="AB43" s="39" t="s">
        <v>158</v>
      </c>
    </row>
    <row r="44" spans="1:44" x14ac:dyDescent="0.15">
      <c r="A44" s="15" t="s">
        <v>156</v>
      </c>
      <c r="B44" s="15" t="s">
        <v>157</v>
      </c>
      <c r="C44" s="15">
        <v>2019</v>
      </c>
      <c r="D44" s="37" t="s">
        <v>166</v>
      </c>
      <c r="E44" s="7" t="s">
        <v>162</v>
      </c>
      <c r="F44" s="7" t="s">
        <v>163</v>
      </c>
      <c r="G44" s="7" t="s">
        <v>36</v>
      </c>
      <c r="H44" s="15" t="s">
        <v>160</v>
      </c>
      <c r="I44" s="7" t="s">
        <v>159</v>
      </c>
      <c r="J44" s="15" t="s">
        <v>38</v>
      </c>
      <c r="K44" s="7" t="s">
        <v>161</v>
      </c>
      <c r="L44" s="7">
        <v>1</v>
      </c>
      <c r="N44" s="7">
        <v>1</v>
      </c>
      <c r="O44" s="7">
        <v>0.8</v>
      </c>
      <c r="P44" s="7">
        <v>0.7</v>
      </c>
      <c r="Q44" s="52">
        <f t="shared" si="0"/>
        <v>0.75</v>
      </c>
      <c r="R44" s="7">
        <v>17.2</v>
      </c>
      <c r="S44" s="7">
        <v>114</v>
      </c>
      <c r="T44" s="16">
        <f t="shared" si="1"/>
        <v>30</v>
      </c>
      <c r="U44" s="7">
        <v>95</v>
      </c>
      <c r="V44" s="16">
        <f t="shared" si="2"/>
        <v>2850</v>
      </c>
      <c r="W44" s="7">
        <v>9</v>
      </c>
      <c r="X44" s="15" t="s">
        <v>46</v>
      </c>
      <c r="Y44" s="54" t="s">
        <v>55</v>
      </c>
      <c r="Z44" s="54" t="s">
        <v>69</v>
      </c>
      <c r="AA44" s="54" t="s">
        <v>90</v>
      </c>
      <c r="AB44" s="39" t="s">
        <v>158</v>
      </c>
    </row>
    <row r="45" spans="1:44" x14ac:dyDescent="0.15">
      <c r="A45" s="15" t="s">
        <v>156</v>
      </c>
      <c r="B45" s="15" t="s">
        <v>157</v>
      </c>
      <c r="C45" s="15">
        <v>2019</v>
      </c>
      <c r="D45" s="37" t="s">
        <v>166</v>
      </c>
      <c r="E45" s="7" t="s">
        <v>162</v>
      </c>
      <c r="F45" s="7" t="s">
        <v>163</v>
      </c>
      <c r="G45" s="7" t="s">
        <v>36</v>
      </c>
      <c r="H45" s="15" t="s">
        <v>160</v>
      </c>
      <c r="I45" s="7" t="s">
        <v>159</v>
      </c>
      <c r="J45" s="15" t="s">
        <v>38</v>
      </c>
      <c r="K45" s="7" t="s">
        <v>161</v>
      </c>
      <c r="L45" s="7">
        <v>2</v>
      </c>
      <c r="N45" s="7">
        <v>1</v>
      </c>
      <c r="O45" s="7">
        <v>0.65</v>
      </c>
      <c r="P45" s="7">
        <v>0.6</v>
      </c>
      <c r="Q45" s="52">
        <f t="shared" si="0"/>
        <v>0.625</v>
      </c>
      <c r="R45" s="7">
        <v>16.2</v>
      </c>
      <c r="S45" s="7">
        <v>116</v>
      </c>
      <c r="T45" s="16">
        <f t="shared" si="1"/>
        <v>30</v>
      </c>
      <c r="U45" s="7">
        <v>95</v>
      </c>
      <c r="V45" s="16">
        <f t="shared" si="2"/>
        <v>2850</v>
      </c>
      <c r="W45" s="7">
        <v>9</v>
      </c>
      <c r="X45" s="15" t="s">
        <v>46</v>
      </c>
      <c r="Y45" s="54" t="s">
        <v>55</v>
      </c>
      <c r="Z45" s="54" t="s">
        <v>69</v>
      </c>
      <c r="AA45" s="54" t="s">
        <v>90</v>
      </c>
      <c r="AB45" s="39" t="s">
        <v>158</v>
      </c>
    </row>
    <row r="46" spans="1:44" x14ac:dyDescent="0.15">
      <c r="A46" s="15" t="s">
        <v>156</v>
      </c>
      <c r="B46" s="15" t="s">
        <v>157</v>
      </c>
      <c r="C46" s="15">
        <v>2019</v>
      </c>
      <c r="D46" s="37" t="s">
        <v>166</v>
      </c>
      <c r="E46" s="7" t="s">
        <v>162</v>
      </c>
      <c r="F46" s="7" t="s">
        <v>163</v>
      </c>
      <c r="G46" s="7" t="s">
        <v>36</v>
      </c>
      <c r="H46" s="15" t="s">
        <v>160</v>
      </c>
      <c r="I46" s="7" t="s">
        <v>159</v>
      </c>
      <c r="J46" s="15" t="s">
        <v>38</v>
      </c>
      <c r="K46" s="7" t="s">
        <v>161</v>
      </c>
      <c r="L46" s="7">
        <v>3</v>
      </c>
      <c r="N46" s="7">
        <v>1</v>
      </c>
      <c r="O46" s="7">
        <v>1.1000000000000001</v>
      </c>
      <c r="P46" s="34">
        <v>1.05</v>
      </c>
      <c r="Q46" s="52">
        <f t="shared" si="0"/>
        <v>1.0750000000000002</v>
      </c>
      <c r="R46" s="7">
        <v>16.2</v>
      </c>
      <c r="S46" s="7">
        <v>115</v>
      </c>
      <c r="T46" s="16">
        <f t="shared" si="1"/>
        <v>30</v>
      </c>
      <c r="U46" s="7">
        <v>95</v>
      </c>
      <c r="V46" s="16">
        <f t="shared" si="2"/>
        <v>2850</v>
      </c>
      <c r="W46" s="7">
        <v>9</v>
      </c>
      <c r="X46" s="15" t="s">
        <v>46</v>
      </c>
      <c r="Y46" s="54" t="s">
        <v>55</v>
      </c>
      <c r="Z46" s="54" t="s">
        <v>69</v>
      </c>
      <c r="AA46" s="54" t="s">
        <v>90</v>
      </c>
      <c r="AB46" s="39" t="s">
        <v>158</v>
      </c>
    </row>
    <row r="47" spans="1:44" x14ac:dyDescent="0.15">
      <c r="A47" s="15" t="s">
        <v>156</v>
      </c>
      <c r="B47" s="15" t="s">
        <v>157</v>
      </c>
      <c r="C47" s="15">
        <v>2019</v>
      </c>
      <c r="D47" s="37" t="s">
        <v>166</v>
      </c>
      <c r="E47" s="7" t="s">
        <v>130</v>
      </c>
      <c r="F47" s="7" t="s">
        <v>146</v>
      </c>
      <c r="G47" s="7" t="s">
        <v>36</v>
      </c>
      <c r="H47" s="15" t="s">
        <v>164</v>
      </c>
      <c r="I47" s="7" t="s">
        <v>159</v>
      </c>
      <c r="J47" s="15" t="s">
        <v>38</v>
      </c>
      <c r="K47" s="7" t="s">
        <v>161</v>
      </c>
      <c r="L47" s="7">
        <v>1</v>
      </c>
      <c r="N47" s="7">
        <v>1</v>
      </c>
      <c r="O47" s="7">
        <v>1</v>
      </c>
      <c r="P47" s="7">
        <v>1</v>
      </c>
      <c r="Q47" s="52">
        <f t="shared" si="0"/>
        <v>1</v>
      </c>
      <c r="R47" s="7">
        <v>15.5</v>
      </c>
      <c r="S47" s="7">
        <v>122</v>
      </c>
      <c r="T47" s="16">
        <f t="shared" si="1"/>
        <v>27</v>
      </c>
      <c r="U47" s="7">
        <v>105</v>
      </c>
      <c r="V47" s="16">
        <f t="shared" si="2"/>
        <v>2835</v>
      </c>
      <c r="W47" s="7">
        <v>9</v>
      </c>
      <c r="X47" s="15" t="s">
        <v>46</v>
      </c>
      <c r="Y47" s="54" t="s">
        <v>55</v>
      </c>
      <c r="Z47" s="54" t="s">
        <v>86</v>
      </c>
      <c r="AA47" s="54" t="s">
        <v>97</v>
      </c>
      <c r="AB47" s="39" t="s">
        <v>158</v>
      </c>
    </row>
    <row r="48" spans="1:44" x14ac:dyDescent="0.15">
      <c r="A48" s="15" t="s">
        <v>156</v>
      </c>
      <c r="B48" s="15" t="s">
        <v>157</v>
      </c>
      <c r="C48" s="15">
        <v>2019</v>
      </c>
      <c r="D48" s="37" t="s">
        <v>166</v>
      </c>
      <c r="E48" s="7" t="s">
        <v>130</v>
      </c>
      <c r="F48" s="7" t="s">
        <v>146</v>
      </c>
      <c r="G48" s="7" t="s">
        <v>36</v>
      </c>
      <c r="H48" s="15" t="s">
        <v>164</v>
      </c>
      <c r="I48" s="7" t="s">
        <v>159</v>
      </c>
      <c r="J48" s="15" t="s">
        <v>38</v>
      </c>
      <c r="K48" s="7" t="s">
        <v>161</v>
      </c>
      <c r="L48" s="7">
        <v>2</v>
      </c>
      <c r="N48" s="7">
        <v>1</v>
      </c>
      <c r="O48" s="7">
        <v>1.1000000000000001</v>
      </c>
      <c r="P48" s="7">
        <v>1.1499999999999999</v>
      </c>
      <c r="Q48" s="52">
        <f t="shared" si="0"/>
        <v>1.125</v>
      </c>
      <c r="R48" s="7">
        <v>16.399999999999999</v>
      </c>
      <c r="S48" s="7">
        <v>126</v>
      </c>
      <c r="T48" s="16">
        <f t="shared" si="1"/>
        <v>27</v>
      </c>
      <c r="U48" s="7">
        <v>105</v>
      </c>
      <c r="V48" s="16">
        <f t="shared" si="2"/>
        <v>2835</v>
      </c>
      <c r="W48" s="7">
        <v>9</v>
      </c>
      <c r="X48" s="15" t="s">
        <v>46</v>
      </c>
      <c r="Y48" s="54" t="s">
        <v>55</v>
      </c>
      <c r="Z48" s="54" t="s">
        <v>86</v>
      </c>
      <c r="AA48" s="54" t="s">
        <v>97</v>
      </c>
      <c r="AB48" s="39" t="s">
        <v>158</v>
      </c>
    </row>
    <row r="49" spans="1:29" x14ac:dyDescent="0.15">
      <c r="A49" s="15" t="s">
        <v>156</v>
      </c>
      <c r="B49" s="15" t="s">
        <v>157</v>
      </c>
      <c r="C49" s="15">
        <v>2019</v>
      </c>
      <c r="D49" s="37" t="s">
        <v>166</v>
      </c>
      <c r="E49" s="7" t="s">
        <v>130</v>
      </c>
      <c r="F49" s="7" t="s">
        <v>146</v>
      </c>
      <c r="G49" s="7" t="s">
        <v>36</v>
      </c>
      <c r="H49" s="15" t="s">
        <v>164</v>
      </c>
      <c r="I49" s="7" t="s">
        <v>159</v>
      </c>
      <c r="J49" s="15" t="s">
        <v>38</v>
      </c>
      <c r="K49" s="7" t="s">
        <v>161</v>
      </c>
      <c r="L49" s="7">
        <v>3</v>
      </c>
      <c r="N49" s="7">
        <v>1</v>
      </c>
      <c r="O49" s="7">
        <v>1.1000000000000001</v>
      </c>
      <c r="P49" s="34">
        <v>0.9</v>
      </c>
      <c r="Q49" s="52">
        <f t="shared" si="0"/>
        <v>1</v>
      </c>
      <c r="R49" s="7">
        <v>17</v>
      </c>
      <c r="S49" s="7">
        <v>118</v>
      </c>
      <c r="T49" s="16">
        <f t="shared" si="1"/>
        <v>30</v>
      </c>
      <c r="U49" s="7">
        <v>105</v>
      </c>
      <c r="V49" s="16">
        <f t="shared" si="2"/>
        <v>3150</v>
      </c>
      <c r="W49" s="7">
        <v>9</v>
      </c>
      <c r="X49" s="15" t="s">
        <v>46</v>
      </c>
      <c r="Y49" s="54" t="s">
        <v>55</v>
      </c>
      <c r="Z49" s="54" t="s">
        <v>86</v>
      </c>
      <c r="AA49" s="54" t="s">
        <v>97</v>
      </c>
      <c r="AB49" s="39" t="s">
        <v>158</v>
      </c>
    </row>
    <row r="50" spans="1:29" x14ac:dyDescent="0.15">
      <c r="A50" s="15" t="s">
        <v>156</v>
      </c>
      <c r="B50" s="15" t="s">
        <v>157</v>
      </c>
      <c r="C50" s="15">
        <v>2019</v>
      </c>
      <c r="D50" s="37" t="s">
        <v>166</v>
      </c>
      <c r="E50" s="7" t="s">
        <v>130</v>
      </c>
      <c r="F50" s="7" t="s">
        <v>146</v>
      </c>
      <c r="G50" s="7" t="s">
        <v>36</v>
      </c>
      <c r="H50" s="15" t="s">
        <v>160</v>
      </c>
      <c r="I50" s="7" t="s">
        <v>159</v>
      </c>
      <c r="J50" s="15" t="s">
        <v>38</v>
      </c>
      <c r="K50" s="7" t="s">
        <v>161</v>
      </c>
      <c r="L50" s="7">
        <v>1</v>
      </c>
      <c r="N50" s="7">
        <v>1</v>
      </c>
      <c r="O50" s="7">
        <v>0.5</v>
      </c>
      <c r="P50" s="7">
        <v>0.55000000000000004</v>
      </c>
      <c r="Q50" s="52">
        <f t="shared" si="0"/>
        <v>0.52500000000000002</v>
      </c>
      <c r="R50" s="7">
        <v>18.899999999999999</v>
      </c>
      <c r="S50" s="7">
        <v>129</v>
      </c>
      <c r="T50" s="16">
        <f t="shared" si="1"/>
        <v>25</v>
      </c>
      <c r="U50" s="7">
        <v>135</v>
      </c>
      <c r="V50" s="16">
        <f t="shared" si="2"/>
        <v>3375</v>
      </c>
      <c r="W50" s="7">
        <v>18</v>
      </c>
      <c r="X50" s="15" t="s">
        <v>46</v>
      </c>
      <c r="Y50" s="54" t="s">
        <v>55</v>
      </c>
      <c r="Z50" s="54" t="s">
        <v>86</v>
      </c>
      <c r="AA50" s="54" t="s">
        <v>97</v>
      </c>
      <c r="AB50" s="39" t="s">
        <v>158</v>
      </c>
    </row>
    <row r="51" spans="1:29" x14ac:dyDescent="0.15">
      <c r="A51" s="15" t="s">
        <v>156</v>
      </c>
      <c r="B51" s="15" t="s">
        <v>157</v>
      </c>
      <c r="C51" s="15">
        <v>2019</v>
      </c>
      <c r="D51" s="37" t="s">
        <v>166</v>
      </c>
      <c r="E51" s="7" t="s">
        <v>130</v>
      </c>
      <c r="F51" s="7" t="s">
        <v>146</v>
      </c>
      <c r="G51" s="7" t="s">
        <v>36</v>
      </c>
      <c r="H51" s="15" t="s">
        <v>160</v>
      </c>
      <c r="I51" s="7" t="s">
        <v>159</v>
      </c>
      <c r="J51" s="15" t="s">
        <v>38</v>
      </c>
      <c r="K51" s="7" t="s">
        <v>161</v>
      </c>
      <c r="L51" s="7">
        <v>2</v>
      </c>
      <c r="N51" s="7">
        <v>1</v>
      </c>
      <c r="O51" s="7">
        <v>0.55000000000000004</v>
      </c>
      <c r="P51" s="7">
        <v>0.65</v>
      </c>
      <c r="Q51" s="52">
        <f t="shared" si="0"/>
        <v>0.60000000000000009</v>
      </c>
      <c r="R51" s="7">
        <v>20</v>
      </c>
      <c r="S51" s="7">
        <v>132</v>
      </c>
      <c r="T51" s="16">
        <f t="shared" si="1"/>
        <v>25</v>
      </c>
      <c r="U51" s="7">
        <v>135</v>
      </c>
      <c r="V51" s="16">
        <f t="shared" si="2"/>
        <v>3375</v>
      </c>
      <c r="W51" s="7">
        <v>18</v>
      </c>
      <c r="X51" s="15" t="s">
        <v>46</v>
      </c>
      <c r="Y51" s="54" t="s">
        <v>55</v>
      </c>
      <c r="Z51" s="54" t="s">
        <v>86</v>
      </c>
      <c r="AA51" s="54" t="s">
        <v>97</v>
      </c>
      <c r="AB51" s="39" t="s">
        <v>158</v>
      </c>
    </row>
    <row r="52" spans="1:29" x14ac:dyDescent="0.15">
      <c r="A52" s="15" t="s">
        <v>156</v>
      </c>
      <c r="B52" s="15" t="s">
        <v>157</v>
      </c>
      <c r="C52" s="15">
        <v>2019</v>
      </c>
      <c r="D52" s="37" t="s">
        <v>166</v>
      </c>
      <c r="E52" s="7" t="s">
        <v>130</v>
      </c>
      <c r="F52" s="7" t="s">
        <v>146</v>
      </c>
      <c r="G52" s="7" t="s">
        <v>36</v>
      </c>
      <c r="H52" s="15" t="s">
        <v>160</v>
      </c>
      <c r="I52" s="7" t="s">
        <v>159</v>
      </c>
      <c r="J52" s="15" t="s">
        <v>38</v>
      </c>
      <c r="K52" s="7" t="s">
        <v>161</v>
      </c>
      <c r="L52" s="7">
        <v>3</v>
      </c>
      <c r="N52" s="7">
        <v>1</v>
      </c>
      <c r="O52" s="7">
        <v>0.6</v>
      </c>
      <c r="P52" s="7">
        <v>0.65</v>
      </c>
      <c r="Q52" s="52">
        <f t="shared" si="0"/>
        <v>0.625</v>
      </c>
      <c r="R52" s="7">
        <v>17.7</v>
      </c>
      <c r="S52" s="7">
        <v>131</v>
      </c>
      <c r="T52" s="16">
        <f t="shared" si="1"/>
        <v>25</v>
      </c>
      <c r="U52" s="7">
        <v>135</v>
      </c>
      <c r="V52" s="16">
        <f t="shared" si="2"/>
        <v>3375</v>
      </c>
      <c r="W52" s="7">
        <v>18</v>
      </c>
      <c r="X52" s="15" t="s">
        <v>46</v>
      </c>
      <c r="Y52" s="54" t="s">
        <v>55</v>
      </c>
      <c r="Z52" s="54" t="s">
        <v>86</v>
      </c>
      <c r="AA52" s="54" t="s">
        <v>97</v>
      </c>
      <c r="AB52" s="39" t="s">
        <v>158</v>
      </c>
    </row>
    <row r="53" spans="1:29" x14ac:dyDescent="0.15">
      <c r="A53" s="15" t="s">
        <v>156</v>
      </c>
      <c r="B53" s="15" t="s">
        <v>157</v>
      </c>
      <c r="C53" s="15">
        <v>2019</v>
      </c>
      <c r="D53" s="37" t="s">
        <v>166</v>
      </c>
      <c r="E53" s="7" t="s">
        <v>132</v>
      </c>
      <c r="F53" s="7" t="s">
        <v>147</v>
      </c>
      <c r="G53" s="7" t="s">
        <v>36</v>
      </c>
      <c r="H53" s="15" t="s">
        <v>164</v>
      </c>
      <c r="I53" s="7" t="s">
        <v>159</v>
      </c>
      <c r="J53" s="15" t="s">
        <v>38</v>
      </c>
      <c r="K53" s="7" t="s">
        <v>161</v>
      </c>
      <c r="L53" s="7">
        <v>1</v>
      </c>
      <c r="N53" s="7">
        <v>1</v>
      </c>
      <c r="O53" s="7">
        <v>0.5</v>
      </c>
      <c r="P53" s="7">
        <v>0.5</v>
      </c>
      <c r="Q53" s="52">
        <f t="shared" si="0"/>
        <v>0.5</v>
      </c>
      <c r="R53" s="7">
        <v>14.2</v>
      </c>
      <c r="S53" s="7">
        <v>112</v>
      </c>
      <c r="T53" s="16">
        <f t="shared" si="1"/>
        <v>33</v>
      </c>
      <c r="U53" s="7">
        <v>59</v>
      </c>
      <c r="V53" s="16">
        <f t="shared" si="2"/>
        <v>1947</v>
      </c>
      <c r="W53" s="7">
        <v>9</v>
      </c>
      <c r="X53" s="15" t="s">
        <v>46</v>
      </c>
      <c r="Y53" s="54" t="s">
        <v>55</v>
      </c>
      <c r="Z53" s="54" t="s">
        <v>47</v>
      </c>
      <c r="AA53" s="54" t="s">
        <v>86</v>
      </c>
      <c r="AB53" s="39" t="s">
        <v>158</v>
      </c>
      <c r="AC53" s="36"/>
    </row>
    <row r="54" spans="1:29" x14ac:dyDescent="0.15">
      <c r="A54" s="15" t="s">
        <v>156</v>
      </c>
      <c r="B54" s="15" t="s">
        <v>157</v>
      </c>
      <c r="C54" s="15">
        <v>2019</v>
      </c>
      <c r="D54" s="37" t="s">
        <v>166</v>
      </c>
      <c r="E54" s="7" t="s">
        <v>132</v>
      </c>
      <c r="F54" s="7" t="s">
        <v>147</v>
      </c>
      <c r="G54" s="7" t="s">
        <v>36</v>
      </c>
      <c r="H54" s="15" t="s">
        <v>164</v>
      </c>
      <c r="I54" s="7" t="s">
        <v>159</v>
      </c>
      <c r="J54" s="15" t="s">
        <v>38</v>
      </c>
      <c r="K54" s="7" t="s">
        <v>161</v>
      </c>
      <c r="L54" s="7">
        <v>2</v>
      </c>
      <c r="N54" s="7">
        <v>1</v>
      </c>
      <c r="O54" s="7">
        <v>0.5</v>
      </c>
      <c r="P54" s="7">
        <v>0.5</v>
      </c>
      <c r="Q54" s="52">
        <f t="shared" si="0"/>
        <v>0.5</v>
      </c>
      <c r="R54" s="7">
        <v>17.5</v>
      </c>
      <c r="S54" s="7">
        <v>114</v>
      </c>
      <c r="T54" s="16">
        <f t="shared" si="1"/>
        <v>30</v>
      </c>
      <c r="U54" s="7">
        <v>59</v>
      </c>
      <c r="V54" s="16">
        <f t="shared" si="2"/>
        <v>1770</v>
      </c>
      <c r="W54" s="7">
        <v>9</v>
      </c>
      <c r="X54" s="15" t="s">
        <v>46</v>
      </c>
      <c r="Y54" s="54" t="s">
        <v>55</v>
      </c>
      <c r="Z54" s="54" t="s">
        <v>47</v>
      </c>
      <c r="AA54" s="54" t="s">
        <v>86</v>
      </c>
      <c r="AB54" s="39" t="s">
        <v>158</v>
      </c>
      <c r="AC54" s="36"/>
    </row>
    <row r="55" spans="1:29" x14ac:dyDescent="0.15">
      <c r="A55" s="15" t="s">
        <v>156</v>
      </c>
      <c r="B55" s="15" t="s">
        <v>157</v>
      </c>
      <c r="C55" s="15">
        <v>2019</v>
      </c>
      <c r="D55" s="37" t="s">
        <v>166</v>
      </c>
      <c r="E55" s="7" t="s">
        <v>132</v>
      </c>
      <c r="F55" s="7" t="s">
        <v>147</v>
      </c>
      <c r="G55" s="7" t="s">
        <v>36</v>
      </c>
      <c r="H55" s="15" t="s">
        <v>164</v>
      </c>
      <c r="I55" s="7" t="s">
        <v>159</v>
      </c>
      <c r="J55" s="15" t="s">
        <v>38</v>
      </c>
      <c r="K55" s="7" t="s">
        <v>161</v>
      </c>
      <c r="L55" s="7">
        <v>3</v>
      </c>
      <c r="N55" s="7">
        <v>1</v>
      </c>
      <c r="O55" s="7">
        <v>0.5</v>
      </c>
      <c r="P55" s="7">
        <v>0.5</v>
      </c>
      <c r="Q55" s="52">
        <f t="shared" si="0"/>
        <v>0.5</v>
      </c>
      <c r="R55" s="7">
        <v>15.7</v>
      </c>
      <c r="S55" s="7">
        <v>111</v>
      </c>
      <c r="T55" s="16">
        <f t="shared" si="1"/>
        <v>33</v>
      </c>
      <c r="U55" s="7">
        <v>59</v>
      </c>
      <c r="V55" s="16">
        <f t="shared" si="2"/>
        <v>1947</v>
      </c>
      <c r="W55" s="7">
        <v>9</v>
      </c>
      <c r="X55" s="15" t="s">
        <v>46</v>
      </c>
      <c r="Y55" s="54" t="s">
        <v>55</v>
      </c>
      <c r="Z55" s="54" t="s">
        <v>47</v>
      </c>
      <c r="AA55" s="54" t="s">
        <v>86</v>
      </c>
      <c r="AB55" s="39" t="s">
        <v>158</v>
      </c>
      <c r="AC55" s="36"/>
    </row>
    <row r="56" spans="1:29" x14ac:dyDescent="0.15">
      <c r="A56" s="15" t="s">
        <v>156</v>
      </c>
      <c r="B56" s="15" t="s">
        <v>157</v>
      </c>
      <c r="C56" s="15">
        <v>2019</v>
      </c>
      <c r="D56" s="37" t="s">
        <v>166</v>
      </c>
      <c r="E56" s="7" t="s">
        <v>132</v>
      </c>
      <c r="F56" s="7" t="s">
        <v>147</v>
      </c>
      <c r="G56" s="7" t="s">
        <v>36</v>
      </c>
      <c r="H56" s="15" t="s">
        <v>160</v>
      </c>
      <c r="I56" s="7" t="s">
        <v>159</v>
      </c>
      <c r="J56" s="15" t="s">
        <v>38</v>
      </c>
      <c r="K56" s="7" t="s">
        <v>161</v>
      </c>
      <c r="L56" s="7">
        <v>1</v>
      </c>
      <c r="N56" s="7">
        <v>1</v>
      </c>
      <c r="O56" s="7">
        <v>0.7</v>
      </c>
      <c r="P56" s="7">
        <v>0.8</v>
      </c>
      <c r="Q56" s="52">
        <f t="shared" si="0"/>
        <v>0.75</v>
      </c>
      <c r="R56" s="7">
        <v>18.5</v>
      </c>
      <c r="S56" s="7">
        <v>136</v>
      </c>
      <c r="T56" s="16">
        <f t="shared" si="1"/>
        <v>25</v>
      </c>
      <c r="U56" s="7">
        <v>149</v>
      </c>
      <c r="V56" s="16">
        <f t="shared" si="2"/>
        <v>3725</v>
      </c>
      <c r="W56" s="7">
        <v>9</v>
      </c>
      <c r="X56" s="15" t="s">
        <v>46</v>
      </c>
      <c r="Y56" s="54" t="s">
        <v>55</v>
      </c>
      <c r="Z56" s="54" t="s">
        <v>47</v>
      </c>
      <c r="AA56" s="54" t="s">
        <v>86</v>
      </c>
      <c r="AB56" s="39" t="s">
        <v>158</v>
      </c>
    </row>
    <row r="57" spans="1:29" x14ac:dyDescent="0.15">
      <c r="A57" s="15" t="s">
        <v>156</v>
      </c>
      <c r="B57" s="15" t="s">
        <v>157</v>
      </c>
      <c r="C57" s="15">
        <v>2019</v>
      </c>
      <c r="D57" s="37" t="s">
        <v>166</v>
      </c>
      <c r="E57" s="7" t="s">
        <v>132</v>
      </c>
      <c r="F57" s="7" t="s">
        <v>147</v>
      </c>
      <c r="G57" s="7" t="s">
        <v>36</v>
      </c>
      <c r="H57" s="54" t="s">
        <v>160</v>
      </c>
      <c r="I57" s="7" t="s">
        <v>159</v>
      </c>
      <c r="J57" s="15" t="s">
        <v>38</v>
      </c>
      <c r="K57" s="7" t="s">
        <v>161</v>
      </c>
      <c r="L57" s="7">
        <v>2</v>
      </c>
      <c r="N57" s="7">
        <v>1</v>
      </c>
      <c r="O57" s="7">
        <v>0.75</v>
      </c>
      <c r="P57" s="7">
        <v>0.7</v>
      </c>
      <c r="Q57" s="52">
        <f t="shared" si="0"/>
        <v>0.72499999999999998</v>
      </c>
      <c r="R57" s="7">
        <v>17.2</v>
      </c>
      <c r="S57" s="7">
        <v>147</v>
      </c>
      <c r="T57" s="16">
        <f t="shared" si="1"/>
        <v>22</v>
      </c>
      <c r="U57" s="7">
        <v>149</v>
      </c>
      <c r="V57" s="16">
        <f t="shared" si="2"/>
        <v>3278</v>
      </c>
      <c r="W57" s="7">
        <v>9</v>
      </c>
      <c r="X57" s="15" t="s">
        <v>46</v>
      </c>
      <c r="Y57" s="54" t="s">
        <v>55</v>
      </c>
      <c r="Z57" s="54" t="s">
        <v>47</v>
      </c>
      <c r="AA57" s="54" t="s">
        <v>86</v>
      </c>
      <c r="AB57" s="39" t="s">
        <v>158</v>
      </c>
    </row>
    <row r="58" spans="1:29" x14ac:dyDescent="0.15">
      <c r="A58" s="15" t="s">
        <v>156</v>
      </c>
      <c r="B58" s="15" t="s">
        <v>157</v>
      </c>
      <c r="C58" s="15">
        <v>2019</v>
      </c>
      <c r="D58" s="37" t="s">
        <v>166</v>
      </c>
      <c r="E58" s="7" t="s">
        <v>132</v>
      </c>
      <c r="F58" s="7" t="s">
        <v>147</v>
      </c>
      <c r="G58" s="7" t="s">
        <v>36</v>
      </c>
      <c r="H58" s="54" t="s">
        <v>160</v>
      </c>
      <c r="I58" s="7" t="s">
        <v>159</v>
      </c>
      <c r="J58" s="15" t="s">
        <v>38</v>
      </c>
      <c r="K58" s="7" t="s">
        <v>161</v>
      </c>
      <c r="L58" s="7">
        <v>3</v>
      </c>
      <c r="N58" s="7">
        <v>1</v>
      </c>
      <c r="O58" s="7">
        <v>0.7</v>
      </c>
      <c r="P58" s="7">
        <v>0.7</v>
      </c>
      <c r="Q58" s="52">
        <f t="shared" si="0"/>
        <v>0.7</v>
      </c>
      <c r="R58" s="7">
        <v>18.899999999999999</v>
      </c>
      <c r="S58" s="7">
        <v>144</v>
      </c>
      <c r="T58" s="16">
        <f t="shared" si="1"/>
        <v>22</v>
      </c>
      <c r="U58" s="7">
        <v>149</v>
      </c>
      <c r="V58" s="16">
        <f t="shared" si="2"/>
        <v>3278</v>
      </c>
      <c r="W58" s="7">
        <v>9</v>
      </c>
      <c r="X58" s="15" t="s">
        <v>46</v>
      </c>
      <c r="Y58" s="54" t="s">
        <v>55</v>
      </c>
      <c r="Z58" s="54" t="s">
        <v>47</v>
      </c>
      <c r="AA58" s="54" t="s">
        <v>86</v>
      </c>
      <c r="AB58" s="39" t="s">
        <v>158</v>
      </c>
    </row>
    <row r="59" spans="1:29" x14ac:dyDescent="0.15">
      <c r="A59" s="15" t="s">
        <v>156</v>
      </c>
      <c r="B59" s="15" t="s">
        <v>157</v>
      </c>
      <c r="C59" s="15">
        <v>2019</v>
      </c>
      <c r="D59" s="37" t="s">
        <v>166</v>
      </c>
      <c r="E59" s="7" t="s">
        <v>140</v>
      </c>
      <c r="F59" s="7" t="s">
        <v>148</v>
      </c>
      <c r="G59" s="7" t="s">
        <v>36</v>
      </c>
      <c r="H59" s="15" t="s">
        <v>164</v>
      </c>
      <c r="I59" s="7" t="s">
        <v>159</v>
      </c>
      <c r="J59" s="15" t="s">
        <v>38</v>
      </c>
      <c r="K59" s="7" t="s">
        <v>161</v>
      </c>
      <c r="L59" s="7">
        <v>1</v>
      </c>
      <c r="N59" s="7">
        <v>1</v>
      </c>
      <c r="O59" s="7">
        <v>0.65</v>
      </c>
      <c r="P59" s="7">
        <v>0.65</v>
      </c>
      <c r="Q59" s="52">
        <f t="shared" si="0"/>
        <v>0.65</v>
      </c>
      <c r="R59" s="7">
        <v>11.9</v>
      </c>
      <c r="S59" s="7">
        <v>90</v>
      </c>
      <c r="T59" s="16">
        <f t="shared" si="1"/>
        <v>36</v>
      </c>
      <c r="U59" s="7">
        <v>59</v>
      </c>
      <c r="V59" s="16">
        <f t="shared" si="2"/>
        <v>2124</v>
      </c>
      <c r="W59" s="7">
        <v>12</v>
      </c>
      <c r="X59" s="15" t="s">
        <v>46</v>
      </c>
      <c r="Y59" s="54" t="s">
        <v>47</v>
      </c>
      <c r="Z59" s="54" t="s">
        <v>55</v>
      </c>
      <c r="AA59" s="54" t="s">
        <v>86</v>
      </c>
      <c r="AB59" s="39" t="s">
        <v>158</v>
      </c>
    </row>
    <row r="60" spans="1:29" x14ac:dyDescent="0.15">
      <c r="A60" s="15" t="s">
        <v>156</v>
      </c>
      <c r="B60" s="15" t="s">
        <v>157</v>
      </c>
      <c r="C60" s="15">
        <v>2019</v>
      </c>
      <c r="D60" s="37" t="s">
        <v>166</v>
      </c>
      <c r="E60" s="7" t="s">
        <v>140</v>
      </c>
      <c r="F60" s="7" t="s">
        <v>148</v>
      </c>
      <c r="G60" s="7" t="s">
        <v>36</v>
      </c>
      <c r="H60" s="15" t="s">
        <v>164</v>
      </c>
      <c r="I60" s="7" t="s">
        <v>159</v>
      </c>
      <c r="J60" s="15" t="s">
        <v>38</v>
      </c>
      <c r="K60" s="7" t="s">
        <v>161</v>
      </c>
      <c r="L60" s="7">
        <v>2</v>
      </c>
      <c r="N60" s="7">
        <v>1</v>
      </c>
      <c r="O60" s="7">
        <v>0.85</v>
      </c>
      <c r="P60" s="7">
        <v>0.8</v>
      </c>
      <c r="Q60" s="52">
        <f t="shared" si="0"/>
        <v>0.82499999999999996</v>
      </c>
      <c r="R60" s="7">
        <v>13.6</v>
      </c>
      <c r="S60" s="7">
        <v>93</v>
      </c>
      <c r="T60" s="16">
        <f>IF(H60="","",IF(OR(H60="GREEN",H60="GK"),IF(S60&gt;=$AX$2,VLOOKUP(S60,$AX$2:$AY$12,2,1),""),IF(S60&gt;=$AZ$2,VLOOKUP(S60,$AZ$2:$BA$12,2,1),"")))</f>
        <v>36</v>
      </c>
      <c r="U60" s="7">
        <v>59</v>
      </c>
      <c r="V60" s="16">
        <f t="shared" si="2"/>
        <v>2124</v>
      </c>
      <c r="W60" s="7">
        <v>12</v>
      </c>
      <c r="X60" s="15" t="s">
        <v>46</v>
      </c>
      <c r="Y60" s="54" t="s">
        <v>47</v>
      </c>
      <c r="Z60" s="54" t="s">
        <v>55</v>
      </c>
      <c r="AA60" s="54" t="s">
        <v>86</v>
      </c>
      <c r="AB60" s="39" t="s">
        <v>158</v>
      </c>
    </row>
    <row r="61" spans="1:29" x14ac:dyDescent="0.15">
      <c r="A61" s="15" t="s">
        <v>156</v>
      </c>
      <c r="B61" s="15" t="s">
        <v>157</v>
      </c>
      <c r="C61" s="15">
        <v>2019</v>
      </c>
      <c r="D61" s="37" t="s">
        <v>166</v>
      </c>
      <c r="E61" s="7" t="s">
        <v>140</v>
      </c>
      <c r="F61" s="7" t="s">
        <v>148</v>
      </c>
      <c r="G61" s="7" t="s">
        <v>36</v>
      </c>
      <c r="H61" s="15" t="s">
        <v>164</v>
      </c>
      <c r="I61" s="7" t="s">
        <v>159</v>
      </c>
      <c r="J61" s="15" t="s">
        <v>38</v>
      </c>
      <c r="K61" s="7" t="s">
        <v>161</v>
      </c>
      <c r="L61" s="7">
        <v>3</v>
      </c>
      <c r="N61" s="53">
        <v>1</v>
      </c>
      <c r="O61" s="7">
        <v>0.7</v>
      </c>
      <c r="P61" s="7">
        <v>0.85</v>
      </c>
      <c r="Q61" s="52">
        <f t="shared" si="0"/>
        <v>0.77499999999999991</v>
      </c>
      <c r="R61" s="7">
        <v>14</v>
      </c>
      <c r="S61" s="7">
        <v>87</v>
      </c>
      <c r="T61" s="16">
        <f>IF(H61="","",IF(OR(H61="GREEN",H61="GK"),IF(S61&gt;=$AX$2,VLOOKUP(S61,$AX$2:$AY$12,2,1),""),IF(S61&gt;=$AZ$2,VLOOKUP(S61,$AZ$2:$BA$12,2,1),"")))</f>
        <v>36</v>
      </c>
      <c r="U61" s="7">
        <v>59</v>
      </c>
      <c r="V61" s="16">
        <f t="shared" si="2"/>
        <v>2124</v>
      </c>
      <c r="W61" s="7">
        <v>12</v>
      </c>
      <c r="X61" s="15" t="s">
        <v>46</v>
      </c>
      <c r="Y61" s="54" t="s">
        <v>47</v>
      </c>
      <c r="Z61" s="54" t="s">
        <v>55</v>
      </c>
      <c r="AA61" s="54" t="s">
        <v>86</v>
      </c>
      <c r="AB61" s="39" t="s">
        <v>158</v>
      </c>
    </row>
    <row r="62" spans="1:29" x14ac:dyDescent="0.15">
      <c r="A62" s="15" t="s">
        <v>156</v>
      </c>
      <c r="B62" s="15" t="s">
        <v>157</v>
      </c>
      <c r="C62" s="15">
        <v>2019</v>
      </c>
      <c r="D62" s="37" t="s">
        <v>166</v>
      </c>
      <c r="E62" s="7" t="s">
        <v>140</v>
      </c>
      <c r="F62" s="7" t="s">
        <v>148</v>
      </c>
      <c r="G62" s="7" t="s">
        <v>36</v>
      </c>
      <c r="H62" s="15" t="s">
        <v>160</v>
      </c>
      <c r="I62" s="7" t="s">
        <v>159</v>
      </c>
      <c r="J62" s="15" t="s">
        <v>38</v>
      </c>
      <c r="K62" s="7" t="s">
        <v>161</v>
      </c>
      <c r="L62" s="7">
        <v>1</v>
      </c>
      <c r="N62" s="53">
        <v>1</v>
      </c>
      <c r="O62" s="7">
        <v>0.6</v>
      </c>
      <c r="P62" s="7">
        <v>0.65</v>
      </c>
      <c r="Q62" s="52">
        <f t="shared" si="0"/>
        <v>0.625</v>
      </c>
      <c r="R62" s="7">
        <v>19.100000000000001</v>
      </c>
      <c r="S62" s="7">
        <v>102</v>
      </c>
      <c r="T62" s="16">
        <f t="shared" ref="T62:T120" si="3">IF(H62="","",IF(OR(H62="GREEN",H62="GK"),IF(S62&gt;=$AX$2,VLOOKUP(S62,$AX$2:$AY$12,2,1),""),IF(S62&gt;=$AZ$2,VLOOKUP(S62,$AZ$2:$BA$12,2,1),"")))</f>
        <v>33</v>
      </c>
      <c r="U62" s="7">
        <v>81</v>
      </c>
      <c r="V62" s="16">
        <f t="shared" si="2"/>
        <v>2673</v>
      </c>
      <c r="W62" s="7">
        <v>4</v>
      </c>
      <c r="X62" s="54" t="s">
        <v>46</v>
      </c>
      <c r="Y62" s="54" t="s">
        <v>47</v>
      </c>
      <c r="Z62" s="54" t="s">
        <v>55</v>
      </c>
      <c r="AA62" s="54" t="s">
        <v>86</v>
      </c>
      <c r="AB62" s="39" t="s">
        <v>158</v>
      </c>
    </row>
    <row r="63" spans="1:29" x14ac:dyDescent="0.15">
      <c r="A63" s="15" t="s">
        <v>156</v>
      </c>
      <c r="B63" s="15" t="s">
        <v>157</v>
      </c>
      <c r="C63" s="15">
        <v>2019</v>
      </c>
      <c r="D63" s="37" t="s">
        <v>166</v>
      </c>
      <c r="E63" s="7" t="s">
        <v>140</v>
      </c>
      <c r="F63" s="7" t="s">
        <v>148</v>
      </c>
      <c r="G63" s="7" t="s">
        <v>36</v>
      </c>
      <c r="H63" s="15" t="s">
        <v>160</v>
      </c>
      <c r="I63" s="7" t="s">
        <v>159</v>
      </c>
      <c r="J63" s="15" t="s">
        <v>38</v>
      </c>
      <c r="K63" s="7" t="s">
        <v>161</v>
      </c>
      <c r="L63" s="7">
        <v>2</v>
      </c>
      <c r="N63" s="53">
        <v>1</v>
      </c>
      <c r="O63" s="7">
        <v>0.75</v>
      </c>
      <c r="P63" s="7">
        <v>0.9</v>
      </c>
      <c r="Q63" s="52">
        <f t="shared" si="0"/>
        <v>0.82499999999999996</v>
      </c>
      <c r="R63" s="7">
        <v>17.7</v>
      </c>
      <c r="S63" s="7">
        <v>101</v>
      </c>
      <c r="T63" s="16">
        <f t="shared" si="3"/>
        <v>33</v>
      </c>
      <c r="U63" s="7">
        <v>81</v>
      </c>
      <c r="V63" s="16">
        <f t="shared" si="2"/>
        <v>2673</v>
      </c>
      <c r="W63" s="7">
        <v>4</v>
      </c>
      <c r="X63" s="54" t="s">
        <v>46</v>
      </c>
      <c r="Y63" s="54" t="s">
        <v>47</v>
      </c>
      <c r="Z63" s="54" t="s">
        <v>55</v>
      </c>
      <c r="AA63" s="54" t="s">
        <v>86</v>
      </c>
      <c r="AB63" s="39" t="s">
        <v>158</v>
      </c>
    </row>
    <row r="64" spans="1:29" x14ac:dyDescent="0.15">
      <c r="A64" s="15" t="s">
        <v>156</v>
      </c>
      <c r="B64" s="15" t="s">
        <v>157</v>
      </c>
      <c r="C64" s="15">
        <v>2019</v>
      </c>
      <c r="D64" s="37" t="s">
        <v>166</v>
      </c>
      <c r="E64" s="7" t="s">
        <v>140</v>
      </c>
      <c r="F64" s="7" t="s">
        <v>148</v>
      </c>
      <c r="G64" s="7" t="s">
        <v>36</v>
      </c>
      <c r="H64" s="15" t="s">
        <v>160</v>
      </c>
      <c r="I64" s="7" t="s">
        <v>159</v>
      </c>
      <c r="J64" s="15" t="s">
        <v>38</v>
      </c>
      <c r="K64" s="7" t="s">
        <v>161</v>
      </c>
      <c r="L64" s="7">
        <v>3</v>
      </c>
      <c r="N64" s="53">
        <v>1</v>
      </c>
      <c r="O64" s="7">
        <v>0.8</v>
      </c>
      <c r="P64" s="7">
        <v>0.75</v>
      </c>
      <c r="Q64" s="52">
        <f t="shared" si="0"/>
        <v>0.77500000000000002</v>
      </c>
      <c r="R64" s="7">
        <v>20.9</v>
      </c>
      <c r="S64" s="7">
        <v>95</v>
      </c>
      <c r="T64" s="16">
        <f t="shared" si="3"/>
        <v>36</v>
      </c>
      <c r="U64" s="7">
        <v>81</v>
      </c>
      <c r="V64" s="16">
        <f t="shared" si="2"/>
        <v>2916</v>
      </c>
      <c r="W64" s="7">
        <v>4</v>
      </c>
      <c r="X64" s="54" t="s">
        <v>46</v>
      </c>
      <c r="Y64" s="54" t="s">
        <v>47</v>
      </c>
      <c r="Z64" s="54" t="s">
        <v>55</v>
      </c>
      <c r="AA64" s="54" t="s">
        <v>86</v>
      </c>
      <c r="AB64" s="39" t="s">
        <v>158</v>
      </c>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7C19-40A4-48CF-88CE-8225A36B6FA4}">
  <dimension ref="A1:BA426"/>
  <sheetViews>
    <sheetView topLeftCell="A118" zoomScale="70" zoomScaleNormal="70" workbookViewId="0">
      <selection activeCell="AB181" sqref="AB181"/>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168</v>
      </c>
      <c r="C1" s="55" t="s">
        <v>169</v>
      </c>
      <c r="D1" s="56" t="s">
        <v>3</v>
      </c>
      <c r="E1" s="45" t="s">
        <v>4</v>
      </c>
      <c r="F1" s="45" t="s">
        <v>5</v>
      </c>
      <c r="G1" s="45" t="s">
        <v>6</v>
      </c>
      <c r="H1" s="45" t="s">
        <v>7</v>
      </c>
      <c r="I1" s="45" t="s">
        <v>8</v>
      </c>
      <c r="J1" s="45" t="s">
        <v>9</v>
      </c>
      <c r="K1" s="45" t="s">
        <v>10</v>
      </c>
      <c r="L1" s="56" t="s">
        <v>170</v>
      </c>
      <c r="M1" s="56" t="s">
        <v>171</v>
      </c>
      <c r="N1" s="56" t="s">
        <v>13</v>
      </c>
      <c r="O1" s="56" t="s">
        <v>172</v>
      </c>
      <c r="P1" s="56" t="s">
        <v>173</v>
      </c>
      <c r="Q1" s="57" t="s">
        <v>174</v>
      </c>
      <c r="R1" s="56" t="s">
        <v>175</v>
      </c>
      <c r="S1" s="56" t="s">
        <v>176</v>
      </c>
      <c r="T1" s="57" t="s">
        <v>19</v>
      </c>
      <c r="U1" s="58" t="s">
        <v>108</v>
      </c>
      <c r="V1" s="59" t="s">
        <v>20</v>
      </c>
      <c r="W1" s="56" t="s">
        <v>177</v>
      </c>
      <c r="X1" s="45" t="s">
        <v>22</v>
      </c>
      <c r="Y1" s="45" t="s">
        <v>23</v>
      </c>
      <c r="Z1" s="45" t="s">
        <v>24</v>
      </c>
      <c r="AA1" s="45" t="s">
        <v>25</v>
      </c>
      <c r="AB1" s="46" t="s">
        <v>178</v>
      </c>
      <c r="AE1" s="60" t="s">
        <v>0</v>
      </c>
      <c r="AF1" s="61"/>
      <c r="AG1" s="60" t="s">
        <v>4</v>
      </c>
      <c r="AH1" s="60" t="s">
        <v>5</v>
      </c>
      <c r="AI1" s="61"/>
      <c r="AJ1" s="60" t="s">
        <v>6</v>
      </c>
      <c r="AK1" s="61"/>
      <c r="AL1" s="10" t="s">
        <v>7</v>
      </c>
      <c r="AM1" s="61"/>
      <c r="AN1" s="10" t="s">
        <v>8</v>
      </c>
      <c r="AO1" s="61"/>
      <c r="AP1" s="10" t="s">
        <v>27</v>
      </c>
      <c r="AQ1" s="61"/>
      <c r="AR1" s="10" t="s">
        <v>10</v>
      </c>
      <c r="AS1" s="61"/>
      <c r="AT1" s="11" t="s">
        <v>179</v>
      </c>
      <c r="AU1" s="61"/>
      <c r="AV1" s="10" t="s">
        <v>29</v>
      </c>
      <c r="AX1" s="12" t="s">
        <v>180</v>
      </c>
      <c r="AY1" s="13" t="s">
        <v>181</v>
      </c>
      <c r="AZ1" s="13" t="s">
        <v>182</v>
      </c>
      <c r="BA1" s="14" t="s">
        <v>183</v>
      </c>
    </row>
    <row r="2" spans="1:53" x14ac:dyDescent="0.15">
      <c r="A2" s="53" t="s">
        <v>41</v>
      </c>
      <c r="B2" s="53" t="s">
        <v>157</v>
      </c>
      <c r="C2" s="62">
        <v>2019</v>
      </c>
      <c r="D2" s="63" t="s">
        <v>184</v>
      </c>
      <c r="E2" s="53" t="s">
        <v>133</v>
      </c>
      <c r="F2" s="53" t="s">
        <v>185</v>
      </c>
      <c r="G2" s="53" t="s">
        <v>42</v>
      </c>
      <c r="H2" s="53" t="s">
        <v>164</v>
      </c>
      <c r="I2" s="53" t="s">
        <v>159</v>
      </c>
      <c r="J2" s="53" t="s">
        <v>38</v>
      </c>
      <c r="K2" s="53" t="s">
        <v>161</v>
      </c>
      <c r="L2" s="53">
        <v>1</v>
      </c>
      <c r="N2" s="53">
        <v>1</v>
      </c>
      <c r="O2" s="53">
        <v>0.5</v>
      </c>
      <c r="P2" s="53">
        <v>0.4</v>
      </c>
      <c r="Q2" s="16">
        <f t="shared" ref="Q2:Q65" si="0">IF(OR(O2="",P2=""),"",AVERAGE(O2,P2))</f>
        <v>0.45</v>
      </c>
      <c r="R2" s="53">
        <v>13.9</v>
      </c>
      <c r="S2" s="53">
        <v>135</v>
      </c>
      <c r="T2" s="16">
        <f t="shared" ref="T2:T65" si="1">IF(H2="","",IF(OR(H2="GREEN",H2="GK"),IF(S2&gt;=$AX$2,VLOOKUP(S2,$AX$2:$AY$10,2,1),""),IF(S2&gt;=$AZ$2,VLOOKUP(S2,$AZ$2:$BA$10,2,1),"")))</f>
        <v>25</v>
      </c>
      <c r="U2" s="53">
        <v>105</v>
      </c>
      <c r="V2" s="16">
        <f t="shared" ref="V2:V65" si="2">IF(OR(N2="",U2="",T2=""),"",U2/N2*T2)</f>
        <v>2625</v>
      </c>
      <c r="W2" s="53">
        <v>3</v>
      </c>
      <c r="X2" s="53" t="s">
        <v>46</v>
      </c>
      <c r="Y2" s="53" t="s">
        <v>86</v>
      </c>
      <c r="Z2" s="53" t="s">
        <v>69</v>
      </c>
      <c r="AA2" s="53" t="s">
        <v>97</v>
      </c>
      <c r="AB2" s="53" t="s">
        <v>158</v>
      </c>
      <c r="AE2" s="64" t="s">
        <v>35</v>
      </c>
      <c r="AG2" s="65" t="s">
        <v>133</v>
      </c>
      <c r="AH2" s="66" t="s">
        <v>185</v>
      </c>
      <c r="AJ2" s="67" t="s">
        <v>36</v>
      </c>
      <c r="AL2" s="67" t="s">
        <v>186</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184</v>
      </c>
      <c r="E3" s="53" t="s">
        <v>133</v>
      </c>
      <c r="F3" s="53" t="s">
        <v>185</v>
      </c>
      <c r="G3" s="53" t="s">
        <v>42</v>
      </c>
      <c r="H3" s="53" t="s">
        <v>164</v>
      </c>
      <c r="I3" s="53" t="s">
        <v>159</v>
      </c>
      <c r="J3" s="53" t="s">
        <v>38</v>
      </c>
      <c r="K3" s="53" t="s">
        <v>161</v>
      </c>
      <c r="L3" s="53">
        <v>2</v>
      </c>
      <c r="N3" s="53">
        <v>1</v>
      </c>
      <c r="O3" s="53">
        <v>0.35</v>
      </c>
      <c r="P3" s="53">
        <v>0.4</v>
      </c>
      <c r="Q3" s="16">
        <f t="shared" si="0"/>
        <v>0.375</v>
      </c>
      <c r="R3" s="53">
        <v>14.2</v>
      </c>
      <c r="S3" s="53">
        <v>137</v>
      </c>
      <c r="T3" s="16">
        <f t="shared" si="1"/>
        <v>25</v>
      </c>
      <c r="U3" s="53">
        <v>105</v>
      </c>
      <c r="V3" s="16">
        <f t="shared" si="2"/>
        <v>2625</v>
      </c>
      <c r="W3" s="53">
        <v>3</v>
      </c>
      <c r="X3" s="53" t="s">
        <v>46</v>
      </c>
      <c r="Y3" s="53" t="s">
        <v>86</v>
      </c>
      <c r="Z3" s="53" t="s">
        <v>69</v>
      </c>
      <c r="AA3" s="53" t="s">
        <v>97</v>
      </c>
      <c r="AB3" s="53" t="s">
        <v>158</v>
      </c>
      <c r="AE3" s="22" t="s">
        <v>41</v>
      </c>
      <c r="AG3" s="71" t="s">
        <v>187</v>
      </c>
      <c r="AH3" s="71" t="s">
        <v>185</v>
      </c>
      <c r="AJ3" s="23" t="s">
        <v>42</v>
      </c>
      <c r="AL3" s="23" t="s">
        <v>188</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184</v>
      </c>
      <c r="E4" s="53" t="s">
        <v>133</v>
      </c>
      <c r="F4" s="53" t="s">
        <v>185</v>
      </c>
      <c r="G4" s="53" t="s">
        <v>42</v>
      </c>
      <c r="H4" s="53" t="s">
        <v>164</v>
      </c>
      <c r="I4" s="53" t="s">
        <v>159</v>
      </c>
      <c r="J4" s="53" t="s">
        <v>38</v>
      </c>
      <c r="K4" s="53" t="s">
        <v>161</v>
      </c>
      <c r="L4" s="53">
        <v>3</v>
      </c>
      <c r="N4" s="53">
        <v>1</v>
      </c>
      <c r="O4" s="53">
        <v>0.25</v>
      </c>
      <c r="P4" s="53">
        <v>0.35</v>
      </c>
      <c r="Q4" s="16">
        <f t="shared" si="0"/>
        <v>0.3</v>
      </c>
      <c r="R4" s="53">
        <v>15.2</v>
      </c>
      <c r="S4" s="53">
        <v>132</v>
      </c>
      <c r="T4" s="16">
        <f t="shared" si="1"/>
        <v>25</v>
      </c>
      <c r="U4" s="53">
        <v>105</v>
      </c>
      <c r="V4" s="16">
        <f t="shared" si="2"/>
        <v>2625</v>
      </c>
      <c r="W4" s="53">
        <v>3</v>
      </c>
      <c r="X4" s="53" t="s">
        <v>46</v>
      </c>
      <c r="Y4" s="53" t="s">
        <v>86</v>
      </c>
      <c r="Z4" s="53" t="s">
        <v>69</v>
      </c>
      <c r="AA4" s="53" t="s">
        <v>97</v>
      </c>
      <c r="AB4" s="53" t="s">
        <v>158</v>
      </c>
      <c r="AE4" s="22" t="s">
        <v>34</v>
      </c>
      <c r="AG4" s="71" t="s">
        <v>187</v>
      </c>
      <c r="AH4" s="71" t="s">
        <v>189</v>
      </c>
      <c r="AJ4" s="27" t="s">
        <v>48</v>
      </c>
      <c r="AL4" s="27" t="s">
        <v>190</v>
      </c>
      <c r="AN4" s="28" t="s">
        <v>191</v>
      </c>
      <c r="AP4" s="23" t="s">
        <v>192</v>
      </c>
      <c r="AR4" s="23" t="s">
        <v>193</v>
      </c>
      <c r="AT4" s="28"/>
      <c r="AV4" s="23" t="s">
        <v>50</v>
      </c>
      <c r="AX4" s="24">
        <v>75</v>
      </c>
      <c r="AY4" s="25">
        <v>42</v>
      </c>
      <c r="AZ4" s="25">
        <v>76</v>
      </c>
      <c r="BA4" s="26">
        <v>39</v>
      </c>
    </row>
    <row r="5" spans="1:53" ht="13.5" customHeight="1" x14ac:dyDescent="0.15">
      <c r="A5" s="53" t="s">
        <v>41</v>
      </c>
      <c r="B5" s="53" t="s">
        <v>157</v>
      </c>
      <c r="C5" s="62">
        <v>2019</v>
      </c>
      <c r="D5" s="63" t="s">
        <v>184</v>
      </c>
      <c r="E5" s="53" t="s">
        <v>133</v>
      </c>
      <c r="F5" s="53" t="s">
        <v>185</v>
      </c>
      <c r="G5" s="53" t="s">
        <v>42</v>
      </c>
      <c r="H5" s="53" t="s">
        <v>194</v>
      </c>
      <c r="I5" s="53" t="s">
        <v>159</v>
      </c>
      <c r="J5" s="53" t="s">
        <v>38</v>
      </c>
      <c r="K5" s="53" t="s">
        <v>161</v>
      </c>
      <c r="L5" s="53">
        <v>1</v>
      </c>
      <c r="N5" s="53">
        <v>8</v>
      </c>
      <c r="O5" s="53">
        <v>0.45</v>
      </c>
      <c r="P5" s="53">
        <v>0.4</v>
      </c>
      <c r="Q5" s="72">
        <f t="shared" si="0"/>
        <v>0.42500000000000004</v>
      </c>
      <c r="R5" s="53">
        <v>15.4</v>
      </c>
      <c r="S5" s="53">
        <v>102</v>
      </c>
      <c r="T5" s="16">
        <f t="shared" si="1"/>
        <v>33</v>
      </c>
      <c r="U5" s="53">
        <v>753</v>
      </c>
      <c r="V5" s="16">
        <f t="shared" si="2"/>
        <v>3106.125</v>
      </c>
      <c r="W5" s="53">
        <v>3</v>
      </c>
      <c r="X5" s="53" t="s">
        <v>46</v>
      </c>
      <c r="Y5" s="53" t="s">
        <v>86</v>
      </c>
      <c r="Z5" s="53" t="s">
        <v>69</v>
      </c>
      <c r="AA5" s="53" t="s">
        <v>97</v>
      </c>
      <c r="AB5" s="53" t="s">
        <v>158</v>
      </c>
      <c r="AE5" s="22" t="s">
        <v>51</v>
      </c>
      <c r="AG5" s="71" t="s">
        <v>195</v>
      </c>
      <c r="AH5" s="71" t="s">
        <v>185</v>
      </c>
      <c r="AJ5" s="28"/>
      <c r="AL5" s="73" t="s">
        <v>164</v>
      </c>
      <c r="AN5" s="73" t="s">
        <v>159</v>
      </c>
      <c r="AP5" s="23" t="s">
        <v>196</v>
      </c>
      <c r="AR5" s="23" t="s">
        <v>54</v>
      </c>
      <c r="AV5" s="23" t="s">
        <v>55</v>
      </c>
      <c r="AX5" s="24">
        <v>84</v>
      </c>
      <c r="AY5" s="25">
        <v>39</v>
      </c>
      <c r="AZ5" s="25">
        <v>84</v>
      </c>
      <c r="BA5" s="26">
        <v>36</v>
      </c>
    </row>
    <row r="6" spans="1:53" x14ac:dyDescent="0.15">
      <c r="A6" s="53" t="s">
        <v>41</v>
      </c>
      <c r="B6" s="53" t="s">
        <v>157</v>
      </c>
      <c r="C6" s="62">
        <v>2019</v>
      </c>
      <c r="D6" s="63" t="s">
        <v>184</v>
      </c>
      <c r="E6" s="53" t="s">
        <v>133</v>
      </c>
      <c r="F6" s="53" t="s">
        <v>185</v>
      </c>
      <c r="G6" s="53" t="s">
        <v>42</v>
      </c>
      <c r="H6" s="53" t="s">
        <v>194</v>
      </c>
      <c r="I6" s="53" t="s">
        <v>159</v>
      </c>
      <c r="J6" s="53" t="s">
        <v>38</v>
      </c>
      <c r="K6" s="53" t="s">
        <v>161</v>
      </c>
      <c r="L6" s="53">
        <v>2</v>
      </c>
      <c r="N6" s="53">
        <v>8</v>
      </c>
      <c r="O6" s="53">
        <v>0.25</v>
      </c>
      <c r="P6" s="53">
        <v>0.3</v>
      </c>
      <c r="Q6" s="72">
        <f t="shared" si="0"/>
        <v>0.27500000000000002</v>
      </c>
      <c r="R6" s="53">
        <v>15.3</v>
      </c>
      <c r="S6" s="53">
        <v>110</v>
      </c>
      <c r="T6" s="16">
        <f t="shared" si="1"/>
        <v>33</v>
      </c>
      <c r="U6" s="53">
        <v>753</v>
      </c>
      <c r="V6" s="16">
        <f t="shared" si="2"/>
        <v>3106.125</v>
      </c>
      <c r="W6" s="53">
        <v>3</v>
      </c>
      <c r="X6" s="53" t="s">
        <v>46</v>
      </c>
      <c r="Y6" s="53" t="s">
        <v>86</v>
      </c>
      <c r="Z6" s="53" t="s">
        <v>69</v>
      </c>
      <c r="AA6" s="53" t="s">
        <v>97</v>
      </c>
      <c r="AB6" s="53" t="s">
        <v>158</v>
      </c>
      <c r="AE6" s="22" t="s">
        <v>56</v>
      </c>
      <c r="AG6" s="71" t="s">
        <v>195</v>
      </c>
      <c r="AH6" s="71" t="s">
        <v>197</v>
      </c>
      <c r="AL6" s="73" t="s">
        <v>198</v>
      </c>
      <c r="AN6" s="73" t="s">
        <v>165</v>
      </c>
      <c r="AP6" s="23" t="s">
        <v>53</v>
      </c>
      <c r="AR6" s="23" t="s">
        <v>59</v>
      </c>
      <c r="AV6" s="23" t="s">
        <v>60</v>
      </c>
      <c r="AX6" s="24">
        <v>97</v>
      </c>
      <c r="AY6" s="25">
        <v>36</v>
      </c>
      <c r="AZ6" s="25">
        <v>99</v>
      </c>
      <c r="BA6" s="26">
        <v>33</v>
      </c>
    </row>
    <row r="7" spans="1:53" x14ac:dyDescent="0.15">
      <c r="A7" s="53" t="s">
        <v>41</v>
      </c>
      <c r="B7" s="53" t="s">
        <v>157</v>
      </c>
      <c r="C7" s="62">
        <v>2019</v>
      </c>
      <c r="D7" s="63" t="s">
        <v>184</v>
      </c>
      <c r="E7" s="53" t="s">
        <v>133</v>
      </c>
      <c r="F7" s="53" t="s">
        <v>185</v>
      </c>
      <c r="G7" s="53" t="s">
        <v>42</v>
      </c>
      <c r="H7" s="53" t="s">
        <v>194</v>
      </c>
      <c r="I7" s="53" t="s">
        <v>159</v>
      </c>
      <c r="J7" s="53" t="s">
        <v>38</v>
      </c>
      <c r="K7" s="53" t="s">
        <v>161</v>
      </c>
      <c r="L7" s="53">
        <v>3</v>
      </c>
      <c r="N7" s="53">
        <v>8</v>
      </c>
      <c r="O7" s="53">
        <v>0.35</v>
      </c>
      <c r="P7" s="53">
        <v>0.35</v>
      </c>
      <c r="Q7" s="72">
        <f t="shared" si="0"/>
        <v>0.35</v>
      </c>
      <c r="R7" s="53">
        <v>14.8</v>
      </c>
      <c r="S7" s="53">
        <v>107</v>
      </c>
      <c r="T7" s="16">
        <f t="shared" si="1"/>
        <v>33</v>
      </c>
      <c r="U7" s="53">
        <v>753</v>
      </c>
      <c r="V7" s="16">
        <f t="shared" si="2"/>
        <v>3106.125</v>
      </c>
      <c r="W7" s="53">
        <v>3</v>
      </c>
      <c r="X7" s="53" t="s">
        <v>46</v>
      </c>
      <c r="Y7" s="53" t="s">
        <v>86</v>
      </c>
      <c r="Z7" s="53" t="s">
        <v>69</v>
      </c>
      <c r="AA7" s="53" t="s">
        <v>97</v>
      </c>
      <c r="AB7" s="53" t="s">
        <v>158</v>
      </c>
      <c r="AE7" s="22" t="s">
        <v>61</v>
      </c>
      <c r="AG7" s="71" t="s">
        <v>199</v>
      </c>
      <c r="AH7" s="71" t="s">
        <v>197</v>
      </c>
      <c r="AL7" s="74" t="s">
        <v>194</v>
      </c>
      <c r="AP7" s="23" t="s">
        <v>58</v>
      </c>
      <c r="AR7" s="23" t="s">
        <v>200</v>
      </c>
      <c r="AV7" s="23" t="s">
        <v>64</v>
      </c>
      <c r="AX7" s="24">
        <v>109</v>
      </c>
      <c r="AY7" s="25">
        <v>33</v>
      </c>
      <c r="AZ7" s="25">
        <v>113</v>
      </c>
      <c r="BA7" s="26">
        <v>30</v>
      </c>
    </row>
    <row r="8" spans="1:53" x14ac:dyDescent="0.15">
      <c r="A8" s="53" t="s">
        <v>41</v>
      </c>
      <c r="B8" s="53" t="s">
        <v>157</v>
      </c>
      <c r="C8" s="62">
        <v>2019</v>
      </c>
      <c r="D8" s="63" t="s">
        <v>184</v>
      </c>
      <c r="E8" s="53" t="s">
        <v>133</v>
      </c>
      <c r="F8" s="53" t="s">
        <v>185</v>
      </c>
      <c r="G8" s="53" t="s">
        <v>42</v>
      </c>
      <c r="H8" s="53" t="s">
        <v>160</v>
      </c>
      <c r="I8" s="53" t="s">
        <v>159</v>
      </c>
      <c r="J8" s="53" t="s">
        <v>38</v>
      </c>
      <c r="K8" s="53" t="s">
        <v>161</v>
      </c>
      <c r="L8" s="53">
        <v>1</v>
      </c>
      <c r="N8" s="53">
        <v>1</v>
      </c>
      <c r="O8" s="53">
        <v>0.55000000000000004</v>
      </c>
      <c r="P8" s="53">
        <v>0.6</v>
      </c>
      <c r="Q8" s="16">
        <f t="shared" si="0"/>
        <v>0.57499999999999996</v>
      </c>
      <c r="R8" s="53">
        <v>13.4</v>
      </c>
      <c r="S8" s="53">
        <v>132</v>
      </c>
      <c r="T8" s="16">
        <f t="shared" si="1"/>
        <v>25</v>
      </c>
      <c r="U8" s="53">
        <v>105</v>
      </c>
      <c r="V8" s="16">
        <f t="shared" si="2"/>
        <v>2625</v>
      </c>
      <c r="W8" s="53">
        <v>6</v>
      </c>
      <c r="X8" s="53" t="s">
        <v>46</v>
      </c>
      <c r="Y8" s="53" t="s">
        <v>86</v>
      </c>
      <c r="Z8" s="53" t="s">
        <v>69</v>
      </c>
      <c r="AA8" s="53" t="s">
        <v>97</v>
      </c>
      <c r="AB8" s="53" t="s">
        <v>158</v>
      </c>
      <c r="AE8" s="22" t="s">
        <v>59</v>
      </c>
      <c r="AG8" s="71" t="s">
        <v>201</v>
      </c>
      <c r="AH8" s="71" t="s">
        <v>202</v>
      </c>
      <c r="AL8" s="74" t="s">
        <v>160</v>
      </c>
      <c r="AP8" s="23" t="s">
        <v>62</v>
      </c>
      <c r="AR8" s="23" t="s">
        <v>81</v>
      </c>
      <c r="AV8" s="23" t="s">
        <v>97</v>
      </c>
      <c r="AX8" s="24">
        <v>119</v>
      </c>
      <c r="AY8" s="25">
        <v>30</v>
      </c>
      <c r="AZ8" s="25">
        <v>121</v>
      </c>
      <c r="BA8" s="26">
        <v>27</v>
      </c>
    </row>
    <row r="9" spans="1:53" x14ac:dyDescent="0.15">
      <c r="A9" s="53" t="s">
        <v>41</v>
      </c>
      <c r="B9" s="53" t="s">
        <v>157</v>
      </c>
      <c r="C9" s="62">
        <v>2019</v>
      </c>
      <c r="D9" s="63" t="s">
        <v>184</v>
      </c>
      <c r="E9" s="53" t="s">
        <v>133</v>
      </c>
      <c r="F9" s="53" t="s">
        <v>185</v>
      </c>
      <c r="G9" s="53" t="s">
        <v>42</v>
      </c>
      <c r="H9" s="53" t="s">
        <v>160</v>
      </c>
      <c r="I9" s="53" t="s">
        <v>159</v>
      </c>
      <c r="J9" s="53" t="s">
        <v>38</v>
      </c>
      <c r="K9" s="53" t="s">
        <v>161</v>
      </c>
      <c r="L9" s="53">
        <v>2</v>
      </c>
      <c r="N9" s="53">
        <v>1</v>
      </c>
      <c r="O9" s="53">
        <v>0.65</v>
      </c>
      <c r="P9" s="53">
        <v>0.45</v>
      </c>
      <c r="Q9" s="16">
        <f t="shared" si="0"/>
        <v>0.55000000000000004</v>
      </c>
      <c r="R9" s="53">
        <v>13.3</v>
      </c>
      <c r="S9" s="53">
        <v>130</v>
      </c>
      <c r="T9" s="16">
        <f t="shared" si="1"/>
        <v>25</v>
      </c>
      <c r="U9" s="53">
        <v>105</v>
      </c>
      <c r="V9" s="16">
        <f t="shared" si="2"/>
        <v>2625</v>
      </c>
      <c r="W9" s="53">
        <v>6</v>
      </c>
      <c r="X9" s="53" t="s">
        <v>46</v>
      </c>
      <c r="Y9" s="53" t="s">
        <v>86</v>
      </c>
      <c r="Z9" s="53" t="s">
        <v>69</v>
      </c>
      <c r="AA9" s="53" t="s">
        <v>97</v>
      </c>
      <c r="AB9" s="53" t="s">
        <v>158</v>
      </c>
      <c r="AE9" s="22" t="s">
        <v>203</v>
      </c>
      <c r="AG9" s="71" t="s">
        <v>204</v>
      </c>
      <c r="AH9" s="71" t="s">
        <v>205</v>
      </c>
      <c r="AL9" s="73"/>
      <c r="AP9" s="23" t="s">
        <v>95</v>
      </c>
      <c r="AR9" s="23" t="s">
        <v>206</v>
      </c>
      <c r="AV9" s="23" t="s">
        <v>102</v>
      </c>
      <c r="AX9" s="24">
        <v>128</v>
      </c>
      <c r="AY9" s="25">
        <v>27</v>
      </c>
      <c r="AZ9" s="25">
        <v>129</v>
      </c>
      <c r="BA9" s="26">
        <v>25</v>
      </c>
    </row>
    <row r="10" spans="1:53" x14ac:dyDescent="0.15">
      <c r="A10" s="53" t="s">
        <v>41</v>
      </c>
      <c r="B10" s="53" t="s">
        <v>157</v>
      </c>
      <c r="C10" s="62">
        <v>2019</v>
      </c>
      <c r="D10" s="63" t="s">
        <v>184</v>
      </c>
      <c r="E10" s="53" t="s">
        <v>133</v>
      </c>
      <c r="F10" s="53" t="s">
        <v>185</v>
      </c>
      <c r="G10" s="53" t="s">
        <v>42</v>
      </c>
      <c r="H10" s="53" t="s">
        <v>160</v>
      </c>
      <c r="I10" s="53" t="s">
        <v>159</v>
      </c>
      <c r="J10" s="53" t="s">
        <v>38</v>
      </c>
      <c r="K10" s="53" t="s">
        <v>161</v>
      </c>
      <c r="L10" s="53">
        <v>3</v>
      </c>
      <c r="N10" s="53">
        <v>1</v>
      </c>
      <c r="O10" s="53">
        <v>0.5</v>
      </c>
      <c r="P10" s="53">
        <v>0.5</v>
      </c>
      <c r="Q10" s="16">
        <f t="shared" si="0"/>
        <v>0.5</v>
      </c>
      <c r="R10" s="53">
        <v>14.1</v>
      </c>
      <c r="S10" s="53">
        <v>134</v>
      </c>
      <c r="T10" s="16">
        <f t="shared" si="1"/>
        <v>25</v>
      </c>
      <c r="U10" s="53">
        <v>105</v>
      </c>
      <c r="V10" s="16">
        <f t="shared" si="2"/>
        <v>2625</v>
      </c>
      <c r="W10" s="53">
        <v>6</v>
      </c>
      <c r="X10" s="53" t="s">
        <v>46</v>
      </c>
      <c r="Y10" s="53" t="s">
        <v>86</v>
      </c>
      <c r="Z10" s="53" t="s">
        <v>69</v>
      </c>
      <c r="AA10" s="53" t="s">
        <v>97</v>
      </c>
      <c r="AB10" s="53" t="s">
        <v>158</v>
      </c>
      <c r="AE10" s="22" t="s">
        <v>207</v>
      </c>
      <c r="AG10" s="71" t="s">
        <v>201</v>
      </c>
      <c r="AH10" s="71" t="s">
        <v>208</v>
      </c>
      <c r="AL10" s="74"/>
      <c r="AP10" s="23" t="s">
        <v>100</v>
      </c>
      <c r="AR10" s="23" t="s">
        <v>209</v>
      </c>
      <c r="AV10" s="23" t="s">
        <v>106</v>
      </c>
      <c r="AX10" s="24">
        <v>138</v>
      </c>
      <c r="AY10" s="25">
        <v>25</v>
      </c>
      <c r="AZ10" s="25">
        <v>138</v>
      </c>
      <c r="BA10" s="26">
        <v>22</v>
      </c>
    </row>
    <row r="11" spans="1:53" x14ac:dyDescent="0.15">
      <c r="A11" s="53" t="s">
        <v>41</v>
      </c>
      <c r="B11" s="53" t="s">
        <v>157</v>
      </c>
      <c r="C11" s="62">
        <v>2019</v>
      </c>
      <c r="D11" s="63" t="s">
        <v>184</v>
      </c>
      <c r="E11" s="53" t="s">
        <v>133</v>
      </c>
      <c r="F11" s="53" t="s">
        <v>185</v>
      </c>
      <c r="G11" s="53" t="s">
        <v>42</v>
      </c>
      <c r="H11" s="53" t="s">
        <v>160</v>
      </c>
      <c r="I11" s="53" t="s">
        <v>159</v>
      </c>
      <c r="J11" s="53" t="s">
        <v>38</v>
      </c>
      <c r="K11" s="53" t="s">
        <v>161</v>
      </c>
      <c r="L11" s="53">
        <v>1</v>
      </c>
      <c r="N11" s="53">
        <v>8</v>
      </c>
      <c r="O11" s="53">
        <v>0.3</v>
      </c>
      <c r="P11" s="53">
        <v>0.45</v>
      </c>
      <c r="Q11" s="75">
        <f t="shared" si="0"/>
        <v>0.375</v>
      </c>
      <c r="R11" s="53">
        <v>14</v>
      </c>
      <c r="S11" s="53">
        <v>120</v>
      </c>
      <c r="T11" s="16">
        <f t="shared" si="1"/>
        <v>30</v>
      </c>
      <c r="U11" s="53">
        <v>753</v>
      </c>
      <c r="V11" s="16">
        <f t="shared" si="2"/>
        <v>2823.75</v>
      </c>
      <c r="W11" s="53">
        <v>3</v>
      </c>
      <c r="X11" s="53" t="s">
        <v>46</v>
      </c>
      <c r="Y11" s="53" t="s">
        <v>86</v>
      </c>
      <c r="Z11" s="53" t="s">
        <v>69</v>
      </c>
      <c r="AA11" s="53" t="s">
        <v>97</v>
      </c>
      <c r="AB11" s="53" t="s">
        <v>158</v>
      </c>
      <c r="AE11" s="22" t="s">
        <v>68</v>
      </c>
      <c r="AG11" s="71" t="s">
        <v>210</v>
      </c>
      <c r="AH11" s="71" t="s">
        <v>211</v>
      </c>
      <c r="AL11" s="74"/>
      <c r="AP11" s="23" t="s">
        <v>104</v>
      </c>
      <c r="AR11" s="23" t="s">
        <v>212</v>
      </c>
      <c r="AV11" s="23" t="s">
        <v>69</v>
      </c>
      <c r="AX11" s="24">
        <v>151</v>
      </c>
      <c r="AY11" s="25">
        <v>22</v>
      </c>
      <c r="AZ11" s="25">
        <v>152</v>
      </c>
      <c r="BA11" s="26">
        <v>18</v>
      </c>
    </row>
    <row r="12" spans="1:53" x14ac:dyDescent="0.15">
      <c r="A12" s="53" t="s">
        <v>41</v>
      </c>
      <c r="B12" s="53" t="s">
        <v>157</v>
      </c>
      <c r="C12" s="62">
        <v>2019</v>
      </c>
      <c r="D12" s="63" t="s">
        <v>184</v>
      </c>
      <c r="E12" s="53" t="s">
        <v>133</v>
      </c>
      <c r="F12" s="53" t="s">
        <v>185</v>
      </c>
      <c r="G12" s="53" t="s">
        <v>42</v>
      </c>
      <c r="H12" s="53" t="s">
        <v>160</v>
      </c>
      <c r="I12" s="53" t="s">
        <v>159</v>
      </c>
      <c r="J12" s="53" t="s">
        <v>38</v>
      </c>
      <c r="K12" s="53" t="s">
        <v>161</v>
      </c>
      <c r="L12" s="53">
        <v>2</v>
      </c>
      <c r="N12" s="53">
        <v>8</v>
      </c>
      <c r="O12" s="53">
        <v>0.45</v>
      </c>
      <c r="P12" s="53">
        <v>0.5</v>
      </c>
      <c r="Q12" s="75">
        <f t="shared" si="0"/>
        <v>0.47499999999999998</v>
      </c>
      <c r="R12" s="53">
        <v>15.1</v>
      </c>
      <c r="S12" s="53">
        <v>120</v>
      </c>
      <c r="T12" s="16">
        <f t="shared" si="1"/>
        <v>30</v>
      </c>
      <c r="U12" s="53">
        <v>753</v>
      </c>
      <c r="V12" s="16">
        <f t="shared" si="2"/>
        <v>2823.75</v>
      </c>
      <c r="W12" s="53">
        <v>3</v>
      </c>
      <c r="X12" s="53" t="s">
        <v>46</v>
      </c>
      <c r="Y12" s="53" t="s">
        <v>86</v>
      </c>
      <c r="Z12" s="53" t="s">
        <v>69</v>
      </c>
      <c r="AA12" s="53" t="s">
        <v>97</v>
      </c>
      <c r="AB12" s="53" t="s">
        <v>158</v>
      </c>
      <c r="AE12" s="22" t="s">
        <v>213</v>
      </c>
      <c r="AG12" s="22"/>
      <c r="AH12" s="22"/>
      <c r="AL12" s="74"/>
      <c r="AP12" s="23" t="s">
        <v>67</v>
      </c>
      <c r="AR12" s="23" t="s">
        <v>214</v>
      </c>
      <c r="AV12" s="23" t="s">
        <v>72</v>
      </c>
      <c r="AX12" s="31">
        <v>180</v>
      </c>
      <c r="AY12" s="32">
        <v>18</v>
      </c>
      <c r="AZ12" s="32">
        <v>181</v>
      </c>
      <c r="BA12" s="33">
        <v>16</v>
      </c>
    </row>
    <row r="13" spans="1:53" x14ac:dyDescent="0.15">
      <c r="A13" s="53" t="s">
        <v>41</v>
      </c>
      <c r="B13" s="53" t="s">
        <v>157</v>
      </c>
      <c r="C13" s="62">
        <v>2019</v>
      </c>
      <c r="D13" s="63" t="s">
        <v>184</v>
      </c>
      <c r="E13" s="53" t="s">
        <v>133</v>
      </c>
      <c r="F13" s="53" t="s">
        <v>185</v>
      </c>
      <c r="G13" s="53" t="s">
        <v>42</v>
      </c>
      <c r="H13" s="53" t="s">
        <v>160</v>
      </c>
      <c r="I13" s="53" t="s">
        <v>159</v>
      </c>
      <c r="J13" s="53" t="s">
        <v>38</v>
      </c>
      <c r="K13" s="53" t="s">
        <v>161</v>
      </c>
      <c r="L13" s="53">
        <v>3</v>
      </c>
      <c r="N13" s="53">
        <v>8</v>
      </c>
      <c r="O13" s="53">
        <v>0.6</v>
      </c>
      <c r="P13" s="53">
        <v>0.45</v>
      </c>
      <c r="Q13" s="75">
        <f t="shared" si="0"/>
        <v>0.52500000000000002</v>
      </c>
      <c r="R13" s="53">
        <v>14.2</v>
      </c>
      <c r="S13" s="53">
        <v>118</v>
      </c>
      <c r="T13" s="16">
        <f t="shared" si="1"/>
        <v>30</v>
      </c>
      <c r="U13" s="53">
        <v>753</v>
      </c>
      <c r="V13" s="16">
        <f t="shared" si="2"/>
        <v>2823.75</v>
      </c>
      <c r="W13" s="53">
        <v>3</v>
      </c>
      <c r="X13" s="53" t="s">
        <v>46</v>
      </c>
      <c r="Y13" s="53" t="s">
        <v>86</v>
      </c>
      <c r="Z13" s="53" t="s">
        <v>69</v>
      </c>
      <c r="AA13" s="53" t="s">
        <v>97</v>
      </c>
      <c r="AB13" s="53" t="s">
        <v>158</v>
      </c>
      <c r="AE13" s="22" t="s">
        <v>215</v>
      </c>
      <c r="AG13" s="23"/>
      <c r="AH13" s="23"/>
      <c r="AP13" s="23" t="s">
        <v>71</v>
      </c>
      <c r="AR13" s="23" t="s">
        <v>207</v>
      </c>
      <c r="AV13" s="23" t="s">
        <v>75</v>
      </c>
    </row>
    <row r="14" spans="1:53" x14ac:dyDescent="0.15">
      <c r="A14" s="53" t="s">
        <v>41</v>
      </c>
      <c r="B14" s="53" t="s">
        <v>157</v>
      </c>
      <c r="C14" s="62">
        <v>2019</v>
      </c>
      <c r="D14" s="63" t="s">
        <v>184</v>
      </c>
      <c r="E14" s="53" t="s">
        <v>187</v>
      </c>
      <c r="F14" s="53" t="s">
        <v>185</v>
      </c>
      <c r="G14" s="53" t="s">
        <v>42</v>
      </c>
      <c r="H14" s="53" t="s">
        <v>160</v>
      </c>
      <c r="I14" s="53" t="s">
        <v>159</v>
      </c>
      <c r="J14" s="53" t="s">
        <v>38</v>
      </c>
      <c r="K14" s="53" t="s">
        <v>161</v>
      </c>
      <c r="L14" s="53">
        <v>1</v>
      </c>
      <c r="N14" s="53">
        <v>1</v>
      </c>
      <c r="O14" s="53">
        <v>0.95</v>
      </c>
      <c r="P14" s="53">
        <v>0.85</v>
      </c>
      <c r="Q14" s="72">
        <f t="shared" si="0"/>
        <v>0.89999999999999991</v>
      </c>
      <c r="R14" s="53">
        <v>16.8</v>
      </c>
      <c r="S14" s="53">
        <v>126</v>
      </c>
      <c r="T14" s="16">
        <f t="shared" si="1"/>
        <v>27</v>
      </c>
      <c r="U14" s="53">
        <v>149</v>
      </c>
      <c r="V14" s="16">
        <f t="shared" si="2"/>
        <v>4023</v>
      </c>
      <c r="W14" s="53">
        <v>2</v>
      </c>
      <c r="X14" s="53" t="s">
        <v>46</v>
      </c>
      <c r="Y14" s="53" t="s">
        <v>55</v>
      </c>
      <c r="Z14" s="53" t="s">
        <v>69</v>
      </c>
      <c r="AA14" s="53" t="s">
        <v>90</v>
      </c>
      <c r="AB14" s="53" t="s">
        <v>158</v>
      </c>
      <c r="AE14" s="22" t="s">
        <v>96</v>
      </c>
      <c r="AG14" s="23"/>
      <c r="AH14" s="23"/>
      <c r="AP14" s="23" t="s">
        <v>74</v>
      </c>
      <c r="AR14" s="23" t="s">
        <v>216</v>
      </c>
      <c r="AV14" s="23" t="s">
        <v>78</v>
      </c>
    </row>
    <row r="15" spans="1:53" x14ac:dyDescent="0.15">
      <c r="A15" s="53" t="s">
        <v>41</v>
      </c>
      <c r="B15" s="53" t="s">
        <v>157</v>
      </c>
      <c r="C15" s="62">
        <v>2019</v>
      </c>
      <c r="D15" s="63" t="s">
        <v>184</v>
      </c>
      <c r="E15" s="53" t="s">
        <v>187</v>
      </c>
      <c r="F15" s="53" t="s">
        <v>185</v>
      </c>
      <c r="G15" s="53" t="s">
        <v>42</v>
      </c>
      <c r="H15" s="53" t="s">
        <v>160</v>
      </c>
      <c r="I15" s="53" t="s">
        <v>159</v>
      </c>
      <c r="J15" s="53" t="s">
        <v>38</v>
      </c>
      <c r="K15" s="53" t="s">
        <v>161</v>
      </c>
      <c r="L15" s="53">
        <v>2</v>
      </c>
      <c r="N15" s="53">
        <v>1</v>
      </c>
      <c r="O15" s="53">
        <v>0.65</v>
      </c>
      <c r="P15" s="53">
        <v>0.6</v>
      </c>
      <c r="Q15" s="72">
        <f t="shared" si="0"/>
        <v>0.625</v>
      </c>
      <c r="R15" s="53">
        <v>15.2</v>
      </c>
      <c r="S15" s="53">
        <v>127</v>
      </c>
      <c r="T15" s="16">
        <f t="shared" si="1"/>
        <v>27</v>
      </c>
      <c r="U15" s="53">
        <v>149</v>
      </c>
      <c r="V15" s="16">
        <f t="shared" si="2"/>
        <v>4023</v>
      </c>
      <c r="W15" s="53">
        <v>2</v>
      </c>
      <c r="X15" s="53" t="s">
        <v>46</v>
      </c>
      <c r="Y15" s="53" t="s">
        <v>55</v>
      </c>
      <c r="Z15" s="53" t="s">
        <v>69</v>
      </c>
      <c r="AA15" s="53" t="s">
        <v>90</v>
      </c>
      <c r="AB15" s="53" t="s">
        <v>158</v>
      </c>
      <c r="AE15" s="22" t="s">
        <v>217</v>
      </c>
      <c r="AG15" s="23"/>
      <c r="AH15" s="23"/>
      <c r="AP15" s="23" t="s">
        <v>77</v>
      </c>
      <c r="AR15" s="23" t="s">
        <v>80</v>
      </c>
      <c r="AV15" s="23" t="s">
        <v>107</v>
      </c>
    </row>
    <row r="16" spans="1:53" x14ac:dyDescent="0.15">
      <c r="A16" s="53" t="s">
        <v>41</v>
      </c>
      <c r="B16" s="53" t="s">
        <v>157</v>
      </c>
      <c r="C16" s="62">
        <v>2019</v>
      </c>
      <c r="D16" s="63" t="s">
        <v>184</v>
      </c>
      <c r="E16" s="53" t="s">
        <v>187</v>
      </c>
      <c r="F16" s="53" t="s">
        <v>185</v>
      </c>
      <c r="G16" s="53" t="s">
        <v>42</v>
      </c>
      <c r="H16" s="53" t="s">
        <v>160</v>
      </c>
      <c r="I16" s="53" t="s">
        <v>159</v>
      </c>
      <c r="J16" s="53" t="s">
        <v>38</v>
      </c>
      <c r="K16" s="53" t="s">
        <v>161</v>
      </c>
      <c r="L16" s="53">
        <v>3</v>
      </c>
      <c r="N16" s="53">
        <v>1</v>
      </c>
      <c r="O16" s="53">
        <v>0.7</v>
      </c>
      <c r="P16" s="53">
        <v>0.65</v>
      </c>
      <c r="Q16" s="72">
        <f t="shared" si="0"/>
        <v>0.67500000000000004</v>
      </c>
      <c r="R16" s="53">
        <v>16.100000000000001</v>
      </c>
      <c r="S16" s="53">
        <v>125</v>
      </c>
      <c r="T16" s="16">
        <f t="shared" si="1"/>
        <v>27</v>
      </c>
      <c r="U16" s="53">
        <v>149</v>
      </c>
      <c r="V16" s="16">
        <f t="shared" si="2"/>
        <v>4023</v>
      </c>
      <c r="W16" s="53">
        <v>2</v>
      </c>
      <c r="X16" s="53" t="s">
        <v>46</v>
      </c>
      <c r="Y16" s="53" t="s">
        <v>55</v>
      </c>
      <c r="Z16" s="53" t="s">
        <v>69</v>
      </c>
      <c r="AA16" s="53" t="s">
        <v>90</v>
      </c>
      <c r="AB16" s="53" t="s">
        <v>158</v>
      </c>
      <c r="AE16" s="22" t="s">
        <v>218</v>
      </c>
      <c r="AG16" s="28"/>
      <c r="AH16" s="28"/>
      <c r="AP16" s="23" t="s">
        <v>80</v>
      </c>
      <c r="AR16" s="23" t="s">
        <v>63</v>
      </c>
      <c r="AV16" s="23" t="s">
        <v>84</v>
      </c>
    </row>
    <row r="17" spans="1:48" x14ac:dyDescent="0.15">
      <c r="A17" s="53" t="s">
        <v>41</v>
      </c>
      <c r="B17" s="53" t="s">
        <v>157</v>
      </c>
      <c r="C17" s="62">
        <v>2019</v>
      </c>
      <c r="D17" s="63" t="s">
        <v>184</v>
      </c>
      <c r="E17" s="53" t="s">
        <v>187</v>
      </c>
      <c r="F17" s="53" t="s">
        <v>185</v>
      </c>
      <c r="G17" s="53" t="s">
        <v>42</v>
      </c>
      <c r="H17" s="53" t="s">
        <v>160</v>
      </c>
      <c r="I17" s="53" t="s">
        <v>159</v>
      </c>
      <c r="J17" s="53" t="s">
        <v>38</v>
      </c>
      <c r="K17" s="53" t="s">
        <v>161</v>
      </c>
      <c r="L17" s="53">
        <v>1</v>
      </c>
      <c r="N17" s="53">
        <v>4</v>
      </c>
      <c r="O17" s="53">
        <v>0.65</v>
      </c>
      <c r="P17" s="53">
        <v>0.45</v>
      </c>
      <c r="Q17" s="72">
        <f t="shared" si="0"/>
        <v>0.55000000000000004</v>
      </c>
      <c r="R17" s="53">
        <v>16.7</v>
      </c>
      <c r="S17" s="53">
        <v>121</v>
      </c>
      <c r="T17" s="16">
        <f t="shared" si="1"/>
        <v>27</v>
      </c>
      <c r="U17" s="53">
        <v>429</v>
      </c>
      <c r="V17" s="16">
        <f t="shared" si="2"/>
        <v>2895.75</v>
      </c>
      <c r="W17" s="53">
        <v>2</v>
      </c>
      <c r="X17" s="53" t="s">
        <v>46</v>
      </c>
      <c r="Y17" s="53" t="s">
        <v>55</v>
      </c>
      <c r="Z17" s="53" t="s">
        <v>69</v>
      </c>
      <c r="AA17" s="53" t="s">
        <v>90</v>
      </c>
      <c r="AB17" s="53" t="s">
        <v>158</v>
      </c>
      <c r="AE17" s="22" t="s">
        <v>219</v>
      </c>
      <c r="AP17" s="27" t="s">
        <v>220</v>
      </c>
      <c r="AR17" s="23" t="s">
        <v>96</v>
      </c>
      <c r="AV17" s="23" t="s">
        <v>86</v>
      </c>
    </row>
    <row r="18" spans="1:48" x14ac:dyDescent="0.15">
      <c r="A18" s="53" t="s">
        <v>41</v>
      </c>
      <c r="B18" s="53" t="s">
        <v>157</v>
      </c>
      <c r="C18" s="62">
        <v>2019</v>
      </c>
      <c r="D18" s="63" t="s">
        <v>184</v>
      </c>
      <c r="E18" s="53" t="s">
        <v>187</v>
      </c>
      <c r="F18" s="53" t="s">
        <v>185</v>
      </c>
      <c r="G18" s="53" t="s">
        <v>42</v>
      </c>
      <c r="H18" s="53" t="s">
        <v>160</v>
      </c>
      <c r="I18" s="53" t="s">
        <v>159</v>
      </c>
      <c r="J18" s="53" t="s">
        <v>38</v>
      </c>
      <c r="K18" s="53" t="s">
        <v>161</v>
      </c>
      <c r="L18" s="53">
        <v>2</v>
      </c>
      <c r="N18" s="53">
        <v>4</v>
      </c>
      <c r="O18" s="53">
        <v>0.5</v>
      </c>
      <c r="P18" s="53">
        <v>0.3</v>
      </c>
      <c r="Q18" s="72">
        <f t="shared" si="0"/>
        <v>0.4</v>
      </c>
      <c r="R18" s="53">
        <v>15</v>
      </c>
      <c r="S18" s="53">
        <v>120</v>
      </c>
      <c r="T18" s="16">
        <f t="shared" si="1"/>
        <v>30</v>
      </c>
      <c r="U18" s="53">
        <v>429</v>
      </c>
      <c r="V18" s="16">
        <f t="shared" si="2"/>
        <v>3217.5</v>
      </c>
      <c r="W18" s="53">
        <v>2</v>
      </c>
      <c r="X18" s="53" t="s">
        <v>46</v>
      </c>
      <c r="Y18" s="53" t="s">
        <v>55</v>
      </c>
      <c r="Z18" s="53" t="s">
        <v>69</v>
      </c>
      <c r="AA18" s="53" t="s">
        <v>90</v>
      </c>
      <c r="AB18" s="53" t="s">
        <v>158</v>
      </c>
      <c r="AE18" s="22" t="s">
        <v>212</v>
      </c>
      <c r="AP18" s="27" t="s">
        <v>221</v>
      </c>
      <c r="AR18" s="23" t="s">
        <v>101</v>
      </c>
      <c r="AV18" s="23" t="s">
        <v>88</v>
      </c>
    </row>
    <row r="19" spans="1:48" x14ac:dyDescent="0.15">
      <c r="A19" s="53" t="s">
        <v>41</v>
      </c>
      <c r="B19" s="53" t="s">
        <v>157</v>
      </c>
      <c r="C19" s="62">
        <v>2019</v>
      </c>
      <c r="D19" s="63" t="s">
        <v>184</v>
      </c>
      <c r="E19" s="53" t="s">
        <v>187</v>
      </c>
      <c r="F19" s="53" t="s">
        <v>185</v>
      </c>
      <c r="G19" s="53" t="s">
        <v>42</v>
      </c>
      <c r="H19" s="53" t="s">
        <v>160</v>
      </c>
      <c r="I19" s="53" t="s">
        <v>159</v>
      </c>
      <c r="J19" s="53" t="s">
        <v>38</v>
      </c>
      <c r="K19" s="53" t="s">
        <v>161</v>
      </c>
      <c r="L19" s="53">
        <v>3</v>
      </c>
      <c r="N19" s="53">
        <v>4</v>
      </c>
      <c r="O19" s="53">
        <v>0.45</v>
      </c>
      <c r="P19" s="53">
        <v>0.5</v>
      </c>
      <c r="Q19" s="72">
        <f t="shared" si="0"/>
        <v>0.47499999999999998</v>
      </c>
      <c r="R19" s="53">
        <v>16</v>
      </c>
      <c r="S19" s="53">
        <v>122</v>
      </c>
      <c r="T19" s="16">
        <f t="shared" si="1"/>
        <v>27</v>
      </c>
      <c r="U19" s="53">
        <v>429</v>
      </c>
      <c r="V19" s="16">
        <f t="shared" si="2"/>
        <v>2895.75</v>
      </c>
      <c r="W19" s="53">
        <v>2</v>
      </c>
      <c r="X19" s="53" t="s">
        <v>46</v>
      </c>
      <c r="Y19" s="53" t="s">
        <v>55</v>
      </c>
      <c r="Z19" s="53" t="s">
        <v>69</v>
      </c>
      <c r="AA19" s="53" t="s">
        <v>90</v>
      </c>
      <c r="AB19" s="53" t="s">
        <v>158</v>
      </c>
      <c r="AE19" s="35" t="s">
        <v>206</v>
      </c>
      <c r="AP19" s="27" t="s">
        <v>222</v>
      </c>
      <c r="AR19" s="23" t="s">
        <v>223</v>
      </c>
      <c r="AV19" s="23" t="s">
        <v>90</v>
      </c>
    </row>
    <row r="20" spans="1:48" x14ac:dyDescent="0.15">
      <c r="A20" s="53" t="s">
        <v>41</v>
      </c>
      <c r="B20" s="53" t="s">
        <v>157</v>
      </c>
      <c r="C20" s="62">
        <v>2019</v>
      </c>
      <c r="D20" s="63" t="s">
        <v>184</v>
      </c>
      <c r="E20" s="53" t="s">
        <v>187</v>
      </c>
      <c r="F20" s="53" t="s">
        <v>185</v>
      </c>
      <c r="G20" s="53" t="s">
        <v>42</v>
      </c>
      <c r="H20" s="53" t="s">
        <v>160</v>
      </c>
      <c r="I20" s="53" t="s">
        <v>159</v>
      </c>
      <c r="J20" s="53" t="s">
        <v>38</v>
      </c>
      <c r="K20" s="53" t="s">
        <v>161</v>
      </c>
      <c r="L20" s="53">
        <v>1</v>
      </c>
      <c r="N20" s="53">
        <v>6</v>
      </c>
      <c r="O20" s="53">
        <v>0.35</v>
      </c>
      <c r="P20" s="53">
        <v>0.65</v>
      </c>
      <c r="Q20" s="72">
        <f t="shared" si="0"/>
        <v>0.5</v>
      </c>
      <c r="R20" s="53">
        <v>17</v>
      </c>
      <c r="S20" s="53">
        <v>115</v>
      </c>
      <c r="T20" s="16">
        <f t="shared" si="1"/>
        <v>30</v>
      </c>
      <c r="U20" s="53">
        <v>626</v>
      </c>
      <c r="V20" s="16">
        <f t="shared" si="2"/>
        <v>3130</v>
      </c>
      <c r="W20" s="53">
        <v>2</v>
      </c>
      <c r="X20" s="53" t="s">
        <v>46</v>
      </c>
      <c r="Y20" s="53" t="s">
        <v>55</v>
      </c>
      <c r="Z20" s="53" t="s">
        <v>69</v>
      </c>
      <c r="AA20" s="53" t="s">
        <v>90</v>
      </c>
      <c r="AB20" s="53" t="s">
        <v>158</v>
      </c>
      <c r="AE20" s="35"/>
      <c r="AP20" s="27" t="s">
        <v>224</v>
      </c>
      <c r="AR20" s="23" t="s">
        <v>105</v>
      </c>
      <c r="AV20" s="27" t="s">
        <v>225</v>
      </c>
    </row>
    <row r="21" spans="1:48" x14ac:dyDescent="0.15">
      <c r="A21" s="53" t="s">
        <v>41</v>
      </c>
      <c r="B21" s="53" t="s">
        <v>157</v>
      </c>
      <c r="C21" s="62">
        <v>2019</v>
      </c>
      <c r="D21" s="63" t="s">
        <v>184</v>
      </c>
      <c r="E21" s="53" t="s">
        <v>187</v>
      </c>
      <c r="F21" s="53" t="s">
        <v>185</v>
      </c>
      <c r="G21" s="53" t="s">
        <v>42</v>
      </c>
      <c r="H21" s="53" t="s">
        <v>160</v>
      </c>
      <c r="I21" s="53" t="s">
        <v>159</v>
      </c>
      <c r="J21" s="53" t="s">
        <v>38</v>
      </c>
      <c r="K21" s="53" t="s">
        <v>161</v>
      </c>
      <c r="L21" s="53">
        <v>2</v>
      </c>
      <c r="N21" s="53">
        <v>6</v>
      </c>
      <c r="O21" s="53">
        <v>0.45</v>
      </c>
      <c r="P21" s="53">
        <v>0.4</v>
      </c>
      <c r="Q21" s="72">
        <f t="shared" si="0"/>
        <v>0.42500000000000004</v>
      </c>
      <c r="R21" s="53">
        <v>14.9</v>
      </c>
      <c r="S21" s="53">
        <v>114</v>
      </c>
      <c r="T21" s="16">
        <f t="shared" si="1"/>
        <v>30</v>
      </c>
      <c r="U21" s="53">
        <v>626</v>
      </c>
      <c r="V21" s="16">
        <f t="shared" si="2"/>
        <v>3130</v>
      </c>
      <c r="W21" s="53">
        <v>2</v>
      </c>
      <c r="X21" s="53" t="s">
        <v>46</v>
      </c>
      <c r="Y21" s="53" t="s">
        <v>55</v>
      </c>
      <c r="Z21" s="53" t="s">
        <v>69</v>
      </c>
      <c r="AA21" s="53" t="s">
        <v>90</v>
      </c>
      <c r="AB21" s="53" t="s">
        <v>158</v>
      </c>
      <c r="AE21" s="28"/>
      <c r="AP21" s="27" t="s">
        <v>226</v>
      </c>
      <c r="AR21" s="23" t="s">
        <v>68</v>
      </c>
      <c r="AV21" s="27" t="s">
        <v>227</v>
      </c>
    </row>
    <row r="22" spans="1:48" x14ac:dyDescent="0.15">
      <c r="A22" s="53" t="s">
        <v>41</v>
      </c>
      <c r="B22" s="53" t="s">
        <v>157</v>
      </c>
      <c r="C22" s="62">
        <v>2019</v>
      </c>
      <c r="D22" s="63" t="s">
        <v>184</v>
      </c>
      <c r="E22" s="53" t="s">
        <v>187</v>
      </c>
      <c r="F22" s="53" t="s">
        <v>185</v>
      </c>
      <c r="G22" s="53" t="s">
        <v>42</v>
      </c>
      <c r="H22" s="53" t="s">
        <v>160</v>
      </c>
      <c r="I22" s="53" t="s">
        <v>159</v>
      </c>
      <c r="J22" s="53" t="s">
        <v>38</v>
      </c>
      <c r="K22" s="53" t="s">
        <v>161</v>
      </c>
      <c r="L22" s="53">
        <v>3</v>
      </c>
      <c r="N22" s="53">
        <v>6</v>
      </c>
      <c r="O22" s="53">
        <v>0.5</v>
      </c>
      <c r="P22" s="53">
        <v>0.35</v>
      </c>
      <c r="Q22" s="72">
        <f t="shared" si="0"/>
        <v>0.42499999999999999</v>
      </c>
      <c r="R22" s="53">
        <v>14.2</v>
      </c>
      <c r="S22" s="53">
        <v>117</v>
      </c>
      <c r="T22" s="16">
        <f t="shared" si="1"/>
        <v>30</v>
      </c>
      <c r="U22" s="53">
        <v>626</v>
      </c>
      <c r="V22" s="16">
        <f t="shared" si="2"/>
        <v>3130</v>
      </c>
      <c r="W22" s="53">
        <v>2</v>
      </c>
      <c r="X22" s="53" t="s">
        <v>46</v>
      </c>
      <c r="Y22" s="53" t="s">
        <v>55</v>
      </c>
      <c r="Z22" s="53" t="s">
        <v>69</v>
      </c>
      <c r="AA22" s="53" t="s">
        <v>90</v>
      </c>
      <c r="AB22" s="53" t="s">
        <v>158</v>
      </c>
      <c r="AP22" s="27" t="s">
        <v>228</v>
      </c>
      <c r="AR22" s="23" t="s">
        <v>83</v>
      </c>
      <c r="AV22" s="27"/>
    </row>
    <row r="23" spans="1:48" x14ac:dyDescent="0.15">
      <c r="A23" s="53" t="s">
        <v>41</v>
      </c>
      <c r="B23" s="53" t="s">
        <v>157</v>
      </c>
      <c r="C23" s="62">
        <v>2019</v>
      </c>
      <c r="D23" s="63" t="s">
        <v>184</v>
      </c>
      <c r="E23" s="53" t="s">
        <v>187</v>
      </c>
      <c r="F23" s="53" t="s">
        <v>185</v>
      </c>
      <c r="G23" s="53" t="s">
        <v>42</v>
      </c>
      <c r="H23" s="53" t="s">
        <v>160</v>
      </c>
      <c r="I23" s="53" t="s">
        <v>159</v>
      </c>
      <c r="J23" s="53" t="s">
        <v>38</v>
      </c>
      <c r="K23" s="53" t="s">
        <v>161</v>
      </c>
      <c r="L23" s="53">
        <v>1</v>
      </c>
      <c r="N23" s="53">
        <v>10</v>
      </c>
      <c r="O23" s="53">
        <v>0.65</v>
      </c>
      <c r="P23" s="53">
        <v>0.5</v>
      </c>
      <c r="Q23" s="75">
        <f t="shared" si="0"/>
        <v>0.57499999999999996</v>
      </c>
      <c r="R23" s="53">
        <v>13.8</v>
      </c>
      <c r="S23" s="53">
        <v>120</v>
      </c>
      <c r="T23" s="16">
        <f t="shared" si="1"/>
        <v>30</v>
      </c>
      <c r="U23" s="53">
        <v>1058</v>
      </c>
      <c r="V23" s="16">
        <f t="shared" si="2"/>
        <v>3174</v>
      </c>
      <c r="W23" s="53">
        <v>1</v>
      </c>
      <c r="X23" s="53" t="s">
        <v>46</v>
      </c>
      <c r="Y23" s="53" t="s">
        <v>55</v>
      </c>
      <c r="Z23" s="53" t="s">
        <v>69</v>
      </c>
      <c r="AA23" s="53" t="s">
        <v>90</v>
      </c>
      <c r="AB23" s="53" t="s">
        <v>158</v>
      </c>
      <c r="AP23" s="27" t="s">
        <v>229</v>
      </c>
      <c r="AR23" s="28" t="s">
        <v>230</v>
      </c>
      <c r="AV23" s="28"/>
    </row>
    <row r="24" spans="1:48" x14ac:dyDescent="0.15">
      <c r="A24" s="53" t="s">
        <v>41</v>
      </c>
      <c r="B24" s="53" t="s">
        <v>157</v>
      </c>
      <c r="C24" s="62">
        <v>2019</v>
      </c>
      <c r="D24" s="63" t="s">
        <v>184</v>
      </c>
      <c r="E24" s="53" t="s">
        <v>187</v>
      </c>
      <c r="F24" s="53" t="s">
        <v>185</v>
      </c>
      <c r="G24" s="53" t="s">
        <v>42</v>
      </c>
      <c r="H24" s="53" t="s">
        <v>160</v>
      </c>
      <c r="I24" s="53" t="s">
        <v>159</v>
      </c>
      <c r="J24" s="53" t="s">
        <v>38</v>
      </c>
      <c r="K24" s="53" t="s">
        <v>161</v>
      </c>
      <c r="L24" s="53">
        <v>2</v>
      </c>
      <c r="N24" s="53">
        <v>10</v>
      </c>
      <c r="O24" s="53">
        <v>0.7</v>
      </c>
      <c r="P24" s="53">
        <v>0.45</v>
      </c>
      <c r="Q24" s="75">
        <f t="shared" si="0"/>
        <v>0.57499999999999996</v>
      </c>
      <c r="R24" s="53">
        <v>14.1</v>
      </c>
      <c r="S24" s="53">
        <v>115</v>
      </c>
      <c r="T24" s="16">
        <f t="shared" si="1"/>
        <v>30</v>
      </c>
      <c r="U24" s="53">
        <v>1058</v>
      </c>
      <c r="V24" s="16">
        <f t="shared" si="2"/>
        <v>3174</v>
      </c>
      <c r="W24" s="53">
        <v>1</v>
      </c>
      <c r="X24" s="53" t="s">
        <v>46</v>
      </c>
      <c r="Y24" s="53" t="s">
        <v>55</v>
      </c>
      <c r="Z24" s="53" t="s">
        <v>69</v>
      </c>
      <c r="AA24" s="53" t="s">
        <v>90</v>
      </c>
      <c r="AB24" s="53" t="s">
        <v>158</v>
      </c>
      <c r="AP24" s="27" t="s">
        <v>231</v>
      </c>
    </row>
    <row r="25" spans="1:48" x14ac:dyDescent="0.15">
      <c r="A25" s="53" t="s">
        <v>41</v>
      </c>
      <c r="B25" s="53" t="s">
        <v>157</v>
      </c>
      <c r="C25" s="62">
        <v>2019</v>
      </c>
      <c r="D25" s="63" t="s">
        <v>184</v>
      </c>
      <c r="E25" s="53" t="s">
        <v>187</v>
      </c>
      <c r="F25" s="53" t="s">
        <v>185</v>
      </c>
      <c r="G25" s="53" t="s">
        <v>42</v>
      </c>
      <c r="H25" s="53" t="s">
        <v>160</v>
      </c>
      <c r="I25" s="53" t="s">
        <v>159</v>
      </c>
      <c r="J25" s="53" t="s">
        <v>38</v>
      </c>
      <c r="K25" s="53" t="s">
        <v>161</v>
      </c>
      <c r="L25" s="53">
        <v>3</v>
      </c>
      <c r="N25" s="53">
        <v>10</v>
      </c>
      <c r="O25" s="53">
        <v>0.5</v>
      </c>
      <c r="P25" s="53">
        <v>0.6</v>
      </c>
      <c r="Q25" s="75">
        <f t="shared" si="0"/>
        <v>0.55000000000000004</v>
      </c>
      <c r="R25" s="53">
        <v>16.3</v>
      </c>
      <c r="S25" s="53">
        <v>115</v>
      </c>
      <c r="T25" s="16">
        <f t="shared" si="1"/>
        <v>30</v>
      </c>
      <c r="U25" s="53">
        <v>1058</v>
      </c>
      <c r="V25" s="16">
        <f t="shared" si="2"/>
        <v>3174</v>
      </c>
      <c r="W25" s="53">
        <v>1</v>
      </c>
      <c r="X25" s="53" t="s">
        <v>46</v>
      </c>
      <c r="Y25" s="53" t="s">
        <v>55</v>
      </c>
      <c r="Z25" s="53" t="s">
        <v>69</v>
      </c>
      <c r="AA25" s="53" t="s">
        <v>90</v>
      </c>
      <c r="AB25" s="53" t="s">
        <v>158</v>
      </c>
    </row>
    <row r="26" spans="1:48" x14ac:dyDescent="0.15">
      <c r="A26" s="53" t="s">
        <v>41</v>
      </c>
      <c r="B26" s="53" t="s">
        <v>157</v>
      </c>
      <c r="C26" s="62">
        <v>2019</v>
      </c>
      <c r="D26" s="63" t="s">
        <v>184</v>
      </c>
      <c r="E26" s="53" t="s">
        <v>187</v>
      </c>
      <c r="F26" s="53" t="s">
        <v>185</v>
      </c>
      <c r="G26" s="53" t="s">
        <v>42</v>
      </c>
      <c r="H26" s="53" t="s">
        <v>164</v>
      </c>
      <c r="I26" s="53" t="s">
        <v>159</v>
      </c>
      <c r="J26" s="53" t="s">
        <v>38</v>
      </c>
      <c r="K26" s="53" t="s">
        <v>161</v>
      </c>
      <c r="L26" s="53">
        <v>1</v>
      </c>
      <c r="N26" s="53">
        <v>1</v>
      </c>
      <c r="O26" s="53">
        <v>0.65</v>
      </c>
      <c r="P26" s="53">
        <v>0.5</v>
      </c>
      <c r="Q26" s="75">
        <f t="shared" si="0"/>
        <v>0.57499999999999996</v>
      </c>
      <c r="R26" s="53">
        <v>12.8</v>
      </c>
      <c r="S26" s="53">
        <v>130</v>
      </c>
      <c r="T26" s="16">
        <f t="shared" si="1"/>
        <v>25</v>
      </c>
      <c r="U26" s="53">
        <v>149</v>
      </c>
      <c r="V26" s="16">
        <f t="shared" si="2"/>
        <v>3725</v>
      </c>
      <c r="W26" s="53">
        <v>3</v>
      </c>
      <c r="X26" s="53" t="s">
        <v>46</v>
      </c>
      <c r="Y26" s="53" t="s">
        <v>55</v>
      </c>
      <c r="Z26" s="53" t="s">
        <v>69</v>
      </c>
      <c r="AA26" s="53" t="s">
        <v>90</v>
      </c>
      <c r="AB26" s="53" t="s">
        <v>158</v>
      </c>
    </row>
    <row r="27" spans="1:48" x14ac:dyDescent="0.15">
      <c r="A27" s="53" t="s">
        <v>41</v>
      </c>
      <c r="B27" s="53" t="s">
        <v>157</v>
      </c>
      <c r="C27" s="62">
        <v>2019</v>
      </c>
      <c r="D27" s="63" t="s">
        <v>184</v>
      </c>
      <c r="E27" s="53" t="s">
        <v>187</v>
      </c>
      <c r="F27" s="53" t="s">
        <v>185</v>
      </c>
      <c r="G27" s="53" t="s">
        <v>42</v>
      </c>
      <c r="H27" s="53" t="s">
        <v>164</v>
      </c>
      <c r="I27" s="53" t="s">
        <v>159</v>
      </c>
      <c r="J27" s="53" t="s">
        <v>38</v>
      </c>
      <c r="K27" s="53" t="s">
        <v>161</v>
      </c>
      <c r="L27" s="53">
        <v>2</v>
      </c>
      <c r="N27" s="53">
        <v>1</v>
      </c>
      <c r="O27" s="53">
        <v>0.55000000000000004</v>
      </c>
      <c r="P27" s="53">
        <v>0.45</v>
      </c>
      <c r="Q27" s="75">
        <f t="shared" si="0"/>
        <v>0.5</v>
      </c>
      <c r="R27" s="53">
        <v>15.2</v>
      </c>
      <c r="S27" s="53">
        <v>130</v>
      </c>
      <c r="T27" s="16">
        <f t="shared" si="1"/>
        <v>25</v>
      </c>
      <c r="U27" s="53">
        <v>149</v>
      </c>
      <c r="V27" s="16">
        <f t="shared" si="2"/>
        <v>3725</v>
      </c>
      <c r="W27" s="53">
        <v>3</v>
      </c>
      <c r="X27" s="53" t="s">
        <v>46</v>
      </c>
      <c r="Y27" s="53" t="s">
        <v>55</v>
      </c>
      <c r="Z27" s="53" t="s">
        <v>69</v>
      </c>
      <c r="AA27" s="53" t="s">
        <v>90</v>
      </c>
      <c r="AB27" s="53" t="s">
        <v>158</v>
      </c>
    </row>
    <row r="28" spans="1:48" x14ac:dyDescent="0.15">
      <c r="A28" s="53" t="s">
        <v>41</v>
      </c>
      <c r="B28" s="53" t="s">
        <v>157</v>
      </c>
      <c r="C28" s="62">
        <v>2019</v>
      </c>
      <c r="D28" s="63" t="s">
        <v>184</v>
      </c>
      <c r="E28" s="53" t="s">
        <v>187</v>
      </c>
      <c r="F28" s="53" t="s">
        <v>185</v>
      </c>
      <c r="G28" s="53" t="s">
        <v>42</v>
      </c>
      <c r="H28" s="53" t="s">
        <v>164</v>
      </c>
      <c r="I28" s="53" t="s">
        <v>159</v>
      </c>
      <c r="J28" s="53" t="s">
        <v>38</v>
      </c>
      <c r="K28" s="53" t="s">
        <v>161</v>
      </c>
      <c r="L28" s="53">
        <v>3</v>
      </c>
      <c r="N28" s="53">
        <v>1</v>
      </c>
      <c r="O28" s="53">
        <v>0.35</v>
      </c>
      <c r="P28" s="53">
        <v>0.45</v>
      </c>
      <c r="Q28" s="75">
        <f t="shared" si="0"/>
        <v>0.4</v>
      </c>
      <c r="R28" s="53">
        <v>14.4</v>
      </c>
      <c r="S28" s="53">
        <v>126</v>
      </c>
      <c r="T28" s="16">
        <f t="shared" si="1"/>
        <v>27</v>
      </c>
      <c r="U28" s="53">
        <v>149</v>
      </c>
      <c r="V28" s="16">
        <f t="shared" si="2"/>
        <v>4023</v>
      </c>
      <c r="W28" s="53">
        <v>3</v>
      </c>
      <c r="X28" s="53" t="s">
        <v>46</v>
      </c>
      <c r="Y28" s="53" t="s">
        <v>55</v>
      </c>
      <c r="Z28" s="53" t="s">
        <v>69</v>
      </c>
      <c r="AA28" s="53" t="s">
        <v>90</v>
      </c>
      <c r="AB28" s="53" t="s">
        <v>158</v>
      </c>
    </row>
    <row r="29" spans="1:48" x14ac:dyDescent="0.15">
      <c r="A29" s="53" t="s">
        <v>41</v>
      </c>
      <c r="B29" s="53" t="s">
        <v>157</v>
      </c>
      <c r="C29" s="62">
        <v>2019</v>
      </c>
      <c r="D29" s="63" t="s">
        <v>184</v>
      </c>
      <c r="E29" s="53" t="s">
        <v>187</v>
      </c>
      <c r="F29" s="53" t="s">
        <v>185</v>
      </c>
      <c r="G29" s="53" t="s">
        <v>42</v>
      </c>
      <c r="H29" s="53" t="s">
        <v>164</v>
      </c>
      <c r="I29" s="53" t="s">
        <v>159</v>
      </c>
      <c r="J29" s="53" t="s">
        <v>38</v>
      </c>
      <c r="K29" s="53" t="s">
        <v>161</v>
      </c>
      <c r="L29" s="53">
        <v>1</v>
      </c>
      <c r="N29" s="53">
        <v>8</v>
      </c>
      <c r="O29" s="53">
        <v>0.45</v>
      </c>
      <c r="P29" s="53">
        <v>0.5</v>
      </c>
      <c r="Q29" s="75">
        <f t="shared" si="0"/>
        <v>0.47499999999999998</v>
      </c>
      <c r="R29" s="53">
        <v>13.3</v>
      </c>
      <c r="S29" s="53">
        <v>123</v>
      </c>
      <c r="T29" s="16">
        <f t="shared" si="1"/>
        <v>27</v>
      </c>
      <c r="U29" s="53">
        <v>626</v>
      </c>
      <c r="V29" s="16">
        <f t="shared" si="2"/>
        <v>2112.75</v>
      </c>
      <c r="W29" s="53">
        <v>4</v>
      </c>
      <c r="X29" s="53" t="s">
        <v>46</v>
      </c>
      <c r="Y29" s="53" t="s">
        <v>55</v>
      </c>
      <c r="Z29" s="53" t="s">
        <v>69</v>
      </c>
      <c r="AA29" s="53" t="s">
        <v>90</v>
      </c>
      <c r="AB29" s="53" t="s">
        <v>158</v>
      </c>
    </row>
    <row r="30" spans="1:48" x14ac:dyDescent="0.15">
      <c r="A30" s="53" t="s">
        <v>41</v>
      </c>
      <c r="B30" s="53" t="s">
        <v>157</v>
      </c>
      <c r="C30" s="62">
        <v>2019</v>
      </c>
      <c r="D30" s="63" t="s">
        <v>184</v>
      </c>
      <c r="E30" s="53" t="s">
        <v>187</v>
      </c>
      <c r="F30" s="53" t="s">
        <v>185</v>
      </c>
      <c r="G30" s="53" t="s">
        <v>42</v>
      </c>
      <c r="H30" s="53" t="s">
        <v>164</v>
      </c>
      <c r="I30" s="53" t="s">
        <v>159</v>
      </c>
      <c r="J30" s="53" t="s">
        <v>38</v>
      </c>
      <c r="K30" s="53" t="s">
        <v>161</v>
      </c>
      <c r="L30" s="53">
        <v>2</v>
      </c>
      <c r="N30" s="53">
        <v>8</v>
      </c>
      <c r="O30" s="53">
        <v>0.65</v>
      </c>
      <c r="P30" s="53">
        <v>0.5</v>
      </c>
      <c r="Q30" s="75">
        <f t="shared" si="0"/>
        <v>0.57499999999999996</v>
      </c>
      <c r="R30" s="53">
        <v>12.8</v>
      </c>
      <c r="S30" s="53">
        <v>121</v>
      </c>
      <c r="T30" s="16">
        <f t="shared" si="1"/>
        <v>27</v>
      </c>
      <c r="U30" s="53">
        <v>626</v>
      </c>
      <c r="V30" s="16">
        <f t="shared" si="2"/>
        <v>2112.75</v>
      </c>
      <c r="W30" s="53">
        <v>4</v>
      </c>
      <c r="X30" s="53" t="s">
        <v>46</v>
      </c>
      <c r="Y30" s="53" t="s">
        <v>55</v>
      </c>
      <c r="Z30" s="53" t="s">
        <v>69</v>
      </c>
      <c r="AA30" s="53" t="s">
        <v>90</v>
      </c>
      <c r="AB30" s="53" t="s">
        <v>158</v>
      </c>
    </row>
    <row r="31" spans="1:48" x14ac:dyDescent="0.15">
      <c r="A31" s="53" t="s">
        <v>41</v>
      </c>
      <c r="B31" s="53" t="s">
        <v>157</v>
      </c>
      <c r="C31" s="62">
        <v>2019</v>
      </c>
      <c r="D31" s="63" t="s">
        <v>184</v>
      </c>
      <c r="E31" s="53" t="s">
        <v>187</v>
      </c>
      <c r="F31" s="53" t="s">
        <v>185</v>
      </c>
      <c r="G31" s="53" t="s">
        <v>42</v>
      </c>
      <c r="H31" s="53" t="s">
        <v>164</v>
      </c>
      <c r="I31" s="53" t="s">
        <v>159</v>
      </c>
      <c r="J31" s="53" t="s">
        <v>38</v>
      </c>
      <c r="K31" s="53" t="s">
        <v>161</v>
      </c>
      <c r="L31" s="53">
        <v>3</v>
      </c>
      <c r="N31" s="53">
        <v>8</v>
      </c>
      <c r="O31" s="53">
        <v>0.5</v>
      </c>
      <c r="P31" s="53">
        <v>0.45</v>
      </c>
      <c r="Q31" s="75">
        <f t="shared" si="0"/>
        <v>0.47499999999999998</v>
      </c>
      <c r="R31" s="53">
        <v>15.6</v>
      </c>
      <c r="S31" s="53">
        <v>120</v>
      </c>
      <c r="T31" s="16">
        <f t="shared" si="1"/>
        <v>30</v>
      </c>
      <c r="U31" s="53">
        <v>626</v>
      </c>
      <c r="V31" s="16">
        <f t="shared" si="2"/>
        <v>2347.5</v>
      </c>
      <c r="W31" s="53">
        <v>4</v>
      </c>
      <c r="X31" s="53" t="s">
        <v>46</v>
      </c>
      <c r="Y31" s="53" t="s">
        <v>55</v>
      </c>
      <c r="Z31" s="53" t="s">
        <v>69</v>
      </c>
      <c r="AA31" s="53" t="s">
        <v>90</v>
      </c>
      <c r="AB31" s="53" t="s">
        <v>158</v>
      </c>
    </row>
    <row r="32" spans="1:48" x14ac:dyDescent="0.15">
      <c r="A32" s="53" t="s">
        <v>41</v>
      </c>
      <c r="B32" s="53" t="s">
        <v>157</v>
      </c>
      <c r="C32" s="62">
        <v>2019</v>
      </c>
      <c r="D32" s="63" t="s">
        <v>184</v>
      </c>
      <c r="E32" s="53" t="s">
        <v>187</v>
      </c>
      <c r="F32" s="53" t="s">
        <v>185</v>
      </c>
      <c r="G32" s="53" t="s">
        <v>42</v>
      </c>
      <c r="H32" s="53" t="s">
        <v>164</v>
      </c>
      <c r="I32" s="53" t="s">
        <v>159</v>
      </c>
      <c r="J32" s="53" t="s">
        <v>38</v>
      </c>
      <c r="K32" s="53" t="s">
        <v>161</v>
      </c>
      <c r="L32" s="53">
        <v>1</v>
      </c>
      <c r="N32" s="53">
        <v>10</v>
      </c>
      <c r="O32" s="53">
        <v>0.25</v>
      </c>
      <c r="P32" s="53">
        <v>0.3</v>
      </c>
      <c r="Q32" s="75">
        <f t="shared" si="0"/>
        <v>0.27500000000000002</v>
      </c>
      <c r="R32" s="53">
        <v>16</v>
      </c>
      <c r="S32" s="53">
        <v>115</v>
      </c>
      <c r="T32" s="16">
        <f t="shared" si="1"/>
        <v>30</v>
      </c>
      <c r="U32" s="53">
        <v>1058</v>
      </c>
      <c r="V32" s="16">
        <f t="shared" si="2"/>
        <v>3174</v>
      </c>
      <c r="W32" s="53">
        <v>2</v>
      </c>
      <c r="X32" s="53" t="s">
        <v>46</v>
      </c>
      <c r="Y32" s="53" t="s">
        <v>55</v>
      </c>
      <c r="Z32" s="53" t="s">
        <v>69</v>
      </c>
      <c r="AA32" s="53" t="s">
        <v>90</v>
      </c>
      <c r="AB32" s="53" t="s">
        <v>158</v>
      </c>
    </row>
    <row r="33" spans="1:28" x14ac:dyDescent="0.15">
      <c r="A33" s="53" t="s">
        <v>41</v>
      </c>
      <c r="B33" s="53" t="s">
        <v>157</v>
      </c>
      <c r="C33" s="62">
        <v>2019</v>
      </c>
      <c r="D33" s="63" t="s">
        <v>184</v>
      </c>
      <c r="E33" s="53" t="s">
        <v>187</v>
      </c>
      <c r="F33" s="53" t="s">
        <v>185</v>
      </c>
      <c r="G33" s="53" t="s">
        <v>42</v>
      </c>
      <c r="H33" s="53" t="s">
        <v>164</v>
      </c>
      <c r="I33" s="53" t="s">
        <v>159</v>
      </c>
      <c r="J33" s="53" t="s">
        <v>38</v>
      </c>
      <c r="K33" s="53" t="s">
        <v>161</v>
      </c>
      <c r="L33" s="53">
        <v>2</v>
      </c>
      <c r="N33" s="53">
        <v>10</v>
      </c>
      <c r="O33" s="53">
        <v>0.75</v>
      </c>
      <c r="P33" s="53">
        <v>0.5</v>
      </c>
      <c r="Q33" s="75">
        <f t="shared" si="0"/>
        <v>0.625</v>
      </c>
      <c r="R33" s="53">
        <v>17.5</v>
      </c>
      <c r="S33" s="53">
        <v>121</v>
      </c>
      <c r="T33" s="16">
        <f t="shared" si="1"/>
        <v>27</v>
      </c>
      <c r="U33" s="53">
        <v>1058</v>
      </c>
      <c r="V33" s="16">
        <f t="shared" si="2"/>
        <v>2856.6</v>
      </c>
      <c r="W33" s="53">
        <v>2</v>
      </c>
      <c r="X33" s="53" t="s">
        <v>46</v>
      </c>
      <c r="Y33" s="53" t="s">
        <v>55</v>
      </c>
      <c r="Z33" s="53" t="s">
        <v>69</v>
      </c>
      <c r="AA33" s="53" t="s">
        <v>90</v>
      </c>
      <c r="AB33" s="53" t="s">
        <v>158</v>
      </c>
    </row>
    <row r="34" spans="1:28" x14ac:dyDescent="0.15">
      <c r="A34" s="53" t="s">
        <v>41</v>
      </c>
      <c r="B34" s="53" t="s">
        <v>157</v>
      </c>
      <c r="C34" s="62">
        <v>2019</v>
      </c>
      <c r="D34" s="63" t="s">
        <v>184</v>
      </c>
      <c r="E34" s="53" t="s">
        <v>187</v>
      </c>
      <c r="F34" s="53" t="s">
        <v>185</v>
      </c>
      <c r="G34" s="53" t="s">
        <v>42</v>
      </c>
      <c r="H34" s="53" t="s">
        <v>164</v>
      </c>
      <c r="I34" s="53" t="s">
        <v>159</v>
      </c>
      <c r="J34" s="53" t="s">
        <v>38</v>
      </c>
      <c r="K34" s="53" t="s">
        <v>161</v>
      </c>
      <c r="L34" s="53">
        <v>3</v>
      </c>
      <c r="N34" s="53">
        <v>10</v>
      </c>
      <c r="O34" s="53">
        <v>0.45</v>
      </c>
      <c r="P34" s="53">
        <v>0.65</v>
      </c>
      <c r="Q34" s="75">
        <f t="shared" si="0"/>
        <v>0.55000000000000004</v>
      </c>
      <c r="R34" s="53">
        <v>15.8</v>
      </c>
      <c r="S34" s="53">
        <v>120</v>
      </c>
      <c r="T34" s="16">
        <f t="shared" si="1"/>
        <v>30</v>
      </c>
      <c r="U34" s="53">
        <v>1058</v>
      </c>
      <c r="V34" s="16">
        <f t="shared" si="2"/>
        <v>3174</v>
      </c>
      <c r="W34" s="53">
        <v>2</v>
      </c>
      <c r="X34" s="53" t="s">
        <v>46</v>
      </c>
      <c r="Y34" s="53" t="s">
        <v>55</v>
      </c>
      <c r="Z34" s="53" t="s">
        <v>69</v>
      </c>
      <c r="AA34" s="53" t="s">
        <v>90</v>
      </c>
      <c r="AB34" s="53" t="s">
        <v>158</v>
      </c>
    </row>
    <row r="35" spans="1:28" x14ac:dyDescent="0.15">
      <c r="A35" s="53" t="s">
        <v>41</v>
      </c>
      <c r="B35" s="53" t="s">
        <v>157</v>
      </c>
      <c r="C35" s="62">
        <v>2019</v>
      </c>
      <c r="D35" s="63" t="s">
        <v>184</v>
      </c>
      <c r="E35" s="53" t="s">
        <v>187</v>
      </c>
      <c r="F35" s="53" t="s">
        <v>189</v>
      </c>
      <c r="G35" s="53" t="s">
        <v>42</v>
      </c>
      <c r="H35" s="53" t="s">
        <v>160</v>
      </c>
      <c r="I35" s="53" t="s">
        <v>159</v>
      </c>
      <c r="J35" s="53" t="s">
        <v>38</v>
      </c>
      <c r="K35" s="53" t="s">
        <v>161</v>
      </c>
      <c r="L35" s="53">
        <v>1</v>
      </c>
      <c r="N35" s="53">
        <v>1</v>
      </c>
      <c r="O35" s="53">
        <v>0.3</v>
      </c>
      <c r="P35" s="53">
        <v>0.25</v>
      </c>
      <c r="Q35" s="75">
        <f t="shared" si="0"/>
        <v>0.27500000000000002</v>
      </c>
      <c r="R35" s="53">
        <v>16</v>
      </c>
      <c r="S35" s="53">
        <v>132</v>
      </c>
      <c r="T35" s="16">
        <f t="shared" si="1"/>
        <v>25</v>
      </c>
      <c r="U35" s="53">
        <v>149</v>
      </c>
      <c r="V35" s="16">
        <f t="shared" si="2"/>
        <v>3725</v>
      </c>
      <c r="W35" s="53">
        <v>2</v>
      </c>
      <c r="X35" s="53" t="s">
        <v>46</v>
      </c>
      <c r="Y35" s="53" t="s">
        <v>55</v>
      </c>
      <c r="Z35" s="53" t="s">
        <v>78</v>
      </c>
      <c r="AA35" s="53" t="s">
        <v>90</v>
      </c>
      <c r="AB35" s="53" t="s">
        <v>158</v>
      </c>
    </row>
    <row r="36" spans="1:28" x14ac:dyDescent="0.15">
      <c r="A36" s="53" t="s">
        <v>41</v>
      </c>
      <c r="B36" s="53" t="s">
        <v>157</v>
      </c>
      <c r="C36" s="62">
        <v>2019</v>
      </c>
      <c r="D36" s="63" t="s">
        <v>184</v>
      </c>
      <c r="E36" s="53" t="s">
        <v>187</v>
      </c>
      <c r="F36" s="53" t="s">
        <v>189</v>
      </c>
      <c r="G36" s="53" t="s">
        <v>42</v>
      </c>
      <c r="H36" s="53" t="s">
        <v>160</v>
      </c>
      <c r="I36" s="53" t="s">
        <v>159</v>
      </c>
      <c r="J36" s="53" t="s">
        <v>38</v>
      </c>
      <c r="K36" s="53" t="s">
        <v>161</v>
      </c>
      <c r="L36" s="53">
        <v>2</v>
      </c>
      <c r="N36" s="53">
        <v>1</v>
      </c>
      <c r="O36" s="53">
        <v>0.25</v>
      </c>
      <c r="P36" s="53">
        <v>0.3</v>
      </c>
      <c r="Q36" s="75">
        <f t="shared" si="0"/>
        <v>0.27500000000000002</v>
      </c>
      <c r="R36" s="53">
        <v>13.5</v>
      </c>
      <c r="S36" s="53">
        <v>130</v>
      </c>
      <c r="T36" s="16">
        <f t="shared" si="1"/>
        <v>25</v>
      </c>
      <c r="U36" s="53">
        <v>149</v>
      </c>
      <c r="V36" s="16">
        <f t="shared" si="2"/>
        <v>3725</v>
      </c>
      <c r="W36" s="53">
        <v>2</v>
      </c>
      <c r="X36" s="53" t="s">
        <v>46</v>
      </c>
      <c r="Y36" s="53" t="s">
        <v>55</v>
      </c>
      <c r="Z36" s="53" t="s">
        <v>78</v>
      </c>
      <c r="AA36" s="53" t="s">
        <v>90</v>
      </c>
      <c r="AB36" s="53" t="s">
        <v>158</v>
      </c>
    </row>
    <row r="37" spans="1:28" x14ac:dyDescent="0.15">
      <c r="A37" s="53" t="s">
        <v>41</v>
      </c>
      <c r="B37" s="53" t="s">
        <v>157</v>
      </c>
      <c r="C37" s="62">
        <v>2019</v>
      </c>
      <c r="D37" s="63" t="s">
        <v>184</v>
      </c>
      <c r="E37" s="53" t="s">
        <v>187</v>
      </c>
      <c r="F37" s="53" t="s">
        <v>189</v>
      </c>
      <c r="G37" s="53" t="s">
        <v>42</v>
      </c>
      <c r="H37" s="53" t="s">
        <v>160</v>
      </c>
      <c r="I37" s="53" t="s">
        <v>159</v>
      </c>
      <c r="J37" s="53" t="s">
        <v>38</v>
      </c>
      <c r="K37" s="53" t="s">
        <v>161</v>
      </c>
      <c r="L37" s="53">
        <v>3</v>
      </c>
      <c r="N37" s="53">
        <v>1</v>
      </c>
      <c r="O37" s="53">
        <v>0.3</v>
      </c>
      <c r="P37" s="53">
        <v>0.4</v>
      </c>
      <c r="Q37" s="75">
        <f t="shared" si="0"/>
        <v>0.35</v>
      </c>
      <c r="R37" s="53">
        <v>12.4</v>
      </c>
      <c r="S37" s="53">
        <v>129</v>
      </c>
      <c r="T37" s="16">
        <f t="shared" si="1"/>
        <v>25</v>
      </c>
      <c r="U37" s="53">
        <v>149</v>
      </c>
      <c r="V37" s="16">
        <f t="shared" si="2"/>
        <v>3725</v>
      </c>
      <c r="W37" s="53">
        <v>2</v>
      </c>
      <c r="X37" s="53" t="s">
        <v>46</v>
      </c>
      <c r="Y37" s="53" t="s">
        <v>55</v>
      </c>
      <c r="Z37" s="53" t="s">
        <v>78</v>
      </c>
      <c r="AA37" s="53" t="s">
        <v>90</v>
      </c>
      <c r="AB37" s="53" t="s">
        <v>158</v>
      </c>
    </row>
    <row r="38" spans="1:28" x14ac:dyDescent="0.15">
      <c r="A38" s="53" t="s">
        <v>41</v>
      </c>
      <c r="B38" s="53" t="s">
        <v>157</v>
      </c>
      <c r="C38" s="62">
        <v>2019</v>
      </c>
      <c r="D38" s="63" t="s">
        <v>184</v>
      </c>
      <c r="E38" s="53" t="s">
        <v>187</v>
      </c>
      <c r="F38" s="53" t="s">
        <v>189</v>
      </c>
      <c r="G38" s="53" t="s">
        <v>42</v>
      </c>
      <c r="H38" s="53" t="s">
        <v>160</v>
      </c>
      <c r="I38" s="53" t="s">
        <v>159</v>
      </c>
      <c r="J38" s="53" t="s">
        <v>38</v>
      </c>
      <c r="K38" s="53" t="s">
        <v>161</v>
      </c>
      <c r="L38" s="53">
        <v>1</v>
      </c>
      <c r="N38" s="53">
        <v>4</v>
      </c>
      <c r="O38" s="53">
        <v>0.25</v>
      </c>
      <c r="P38" s="53">
        <v>0.3</v>
      </c>
      <c r="Q38" s="75">
        <f t="shared" si="0"/>
        <v>0.27500000000000002</v>
      </c>
      <c r="R38" s="53">
        <v>13.5</v>
      </c>
      <c r="S38" s="53">
        <v>120</v>
      </c>
      <c r="T38" s="16">
        <f t="shared" si="1"/>
        <v>30</v>
      </c>
      <c r="U38" s="53">
        <v>429</v>
      </c>
      <c r="V38" s="16">
        <f t="shared" si="2"/>
        <v>3217.5</v>
      </c>
      <c r="W38" s="53">
        <v>2</v>
      </c>
      <c r="X38" s="53" t="s">
        <v>46</v>
      </c>
      <c r="Y38" s="53" t="s">
        <v>55</v>
      </c>
      <c r="Z38" s="53" t="s">
        <v>78</v>
      </c>
      <c r="AA38" s="53" t="s">
        <v>90</v>
      </c>
      <c r="AB38" s="53" t="s">
        <v>158</v>
      </c>
    </row>
    <row r="39" spans="1:28" x14ac:dyDescent="0.15">
      <c r="A39" s="53" t="s">
        <v>41</v>
      </c>
      <c r="B39" s="53" t="s">
        <v>157</v>
      </c>
      <c r="C39" s="62">
        <v>2019</v>
      </c>
      <c r="D39" s="63" t="s">
        <v>184</v>
      </c>
      <c r="E39" s="53" t="s">
        <v>187</v>
      </c>
      <c r="F39" s="53" t="s">
        <v>189</v>
      </c>
      <c r="G39" s="53" t="s">
        <v>42</v>
      </c>
      <c r="H39" s="53" t="s">
        <v>160</v>
      </c>
      <c r="I39" s="53" t="s">
        <v>159</v>
      </c>
      <c r="J39" s="53" t="s">
        <v>38</v>
      </c>
      <c r="K39" s="53" t="s">
        <v>161</v>
      </c>
      <c r="L39" s="53">
        <v>2</v>
      </c>
      <c r="N39" s="53">
        <v>4</v>
      </c>
      <c r="O39" s="53">
        <v>0.25</v>
      </c>
      <c r="P39" s="53">
        <v>0.25</v>
      </c>
      <c r="Q39" s="75">
        <f t="shared" si="0"/>
        <v>0.25</v>
      </c>
      <c r="R39" s="53">
        <v>15.4</v>
      </c>
      <c r="S39" s="53">
        <v>120</v>
      </c>
      <c r="T39" s="16">
        <f t="shared" si="1"/>
        <v>30</v>
      </c>
      <c r="U39" s="53">
        <v>429</v>
      </c>
      <c r="V39" s="16">
        <f t="shared" si="2"/>
        <v>3217.5</v>
      </c>
      <c r="W39" s="53">
        <v>2</v>
      </c>
      <c r="X39" s="53" t="s">
        <v>46</v>
      </c>
      <c r="Y39" s="53" t="s">
        <v>55</v>
      </c>
      <c r="Z39" s="53" t="s">
        <v>78</v>
      </c>
      <c r="AA39" s="53" t="s">
        <v>90</v>
      </c>
      <c r="AB39" s="53" t="s">
        <v>158</v>
      </c>
    </row>
    <row r="40" spans="1:28" x14ac:dyDescent="0.15">
      <c r="A40" s="53" t="s">
        <v>41</v>
      </c>
      <c r="B40" s="53" t="s">
        <v>157</v>
      </c>
      <c r="C40" s="62">
        <v>2019</v>
      </c>
      <c r="D40" s="63" t="s">
        <v>184</v>
      </c>
      <c r="E40" s="53" t="s">
        <v>187</v>
      </c>
      <c r="F40" s="53" t="s">
        <v>189</v>
      </c>
      <c r="G40" s="53" t="s">
        <v>42</v>
      </c>
      <c r="H40" s="53" t="s">
        <v>160</v>
      </c>
      <c r="I40" s="53" t="s">
        <v>159</v>
      </c>
      <c r="J40" s="53" t="s">
        <v>38</v>
      </c>
      <c r="K40" s="53" t="s">
        <v>161</v>
      </c>
      <c r="L40" s="53">
        <v>3</v>
      </c>
      <c r="N40" s="53">
        <v>4</v>
      </c>
      <c r="O40" s="53">
        <v>0.65</v>
      </c>
      <c r="P40" s="53">
        <v>0.4</v>
      </c>
      <c r="Q40" s="75">
        <f t="shared" si="0"/>
        <v>0.52500000000000002</v>
      </c>
      <c r="R40" s="53">
        <v>14.7</v>
      </c>
      <c r="S40" s="53">
        <v>121</v>
      </c>
      <c r="T40" s="16">
        <f t="shared" si="1"/>
        <v>27</v>
      </c>
      <c r="U40" s="53">
        <v>429</v>
      </c>
      <c r="V40" s="16">
        <f t="shared" si="2"/>
        <v>2895.75</v>
      </c>
      <c r="W40" s="53">
        <v>2</v>
      </c>
      <c r="X40" s="53" t="s">
        <v>46</v>
      </c>
      <c r="Y40" s="53" t="s">
        <v>55</v>
      </c>
      <c r="Z40" s="53" t="s">
        <v>78</v>
      </c>
      <c r="AA40" s="53" t="s">
        <v>90</v>
      </c>
      <c r="AB40" s="53" t="s">
        <v>158</v>
      </c>
    </row>
    <row r="41" spans="1:28" x14ac:dyDescent="0.15">
      <c r="A41" s="53" t="s">
        <v>41</v>
      </c>
      <c r="B41" s="53" t="s">
        <v>157</v>
      </c>
      <c r="C41" s="62">
        <v>2019</v>
      </c>
      <c r="D41" s="63" t="s">
        <v>184</v>
      </c>
      <c r="E41" s="53" t="s">
        <v>187</v>
      </c>
      <c r="F41" s="53" t="s">
        <v>189</v>
      </c>
      <c r="G41" s="53" t="s">
        <v>42</v>
      </c>
      <c r="H41" s="53" t="s">
        <v>160</v>
      </c>
      <c r="I41" s="53" t="s">
        <v>159</v>
      </c>
      <c r="J41" s="53" t="s">
        <v>38</v>
      </c>
      <c r="K41" s="53" t="s">
        <v>161</v>
      </c>
      <c r="L41" s="53">
        <v>1</v>
      </c>
      <c r="N41" s="53">
        <v>8</v>
      </c>
      <c r="O41" s="53">
        <v>0.4</v>
      </c>
      <c r="P41" s="53">
        <v>0.35</v>
      </c>
      <c r="Q41" s="75">
        <f t="shared" si="0"/>
        <v>0.375</v>
      </c>
      <c r="R41" s="53">
        <v>14.2</v>
      </c>
      <c r="S41" s="53">
        <v>115</v>
      </c>
      <c r="T41" s="16">
        <f t="shared" si="1"/>
        <v>30</v>
      </c>
      <c r="U41" s="53">
        <v>626</v>
      </c>
      <c r="V41" s="16">
        <f t="shared" si="2"/>
        <v>2347.5</v>
      </c>
      <c r="W41" s="53">
        <v>2</v>
      </c>
      <c r="X41" s="53" t="s">
        <v>46</v>
      </c>
      <c r="Y41" s="53" t="s">
        <v>55</v>
      </c>
      <c r="Z41" s="53" t="s">
        <v>78</v>
      </c>
      <c r="AA41" s="53" t="s">
        <v>90</v>
      </c>
      <c r="AB41" s="53" t="s">
        <v>158</v>
      </c>
    </row>
    <row r="42" spans="1:28" x14ac:dyDescent="0.15">
      <c r="A42" s="53" t="s">
        <v>41</v>
      </c>
      <c r="B42" s="53" t="s">
        <v>157</v>
      </c>
      <c r="C42" s="62">
        <v>2019</v>
      </c>
      <c r="D42" s="63" t="s">
        <v>184</v>
      </c>
      <c r="E42" s="53" t="s">
        <v>187</v>
      </c>
      <c r="F42" s="53" t="s">
        <v>189</v>
      </c>
      <c r="G42" s="53" t="s">
        <v>42</v>
      </c>
      <c r="H42" s="53" t="s">
        <v>160</v>
      </c>
      <c r="I42" s="53" t="s">
        <v>159</v>
      </c>
      <c r="J42" s="53" t="s">
        <v>38</v>
      </c>
      <c r="K42" s="53" t="s">
        <v>161</v>
      </c>
      <c r="L42" s="53">
        <v>2</v>
      </c>
      <c r="N42" s="53">
        <v>8</v>
      </c>
      <c r="O42" s="53">
        <v>0.85</v>
      </c>
      <c r="P42" s="53">
        <v>0.65</v>
      </c>
      <c r="Q42" s="75">
        <f t="shared" si="0"/>
        <v>0.75</v>
      </c>
      <c r="R42" s="53">
        <v>13.2</v>
      </c>
      <c r="S42" s="53">
        <v>118</v>
      </c>
      <c r="T42" s="16">
        <f t="shared" si="1"/>
        <v>30</v>
      </c>
      <c r="U42" s="53">
        <v>626</v>
      </c>
      <c r="V42" s="16">
        <f t="shared" si="2"/>
        <v>2347.5</v>
      </c>
      <c r="W42" s="53">
        <v>2</v>
      </c>
      <c r="X42" s="53" t="s">
        <v>46</v>
      </c>
      <c r="Y42" s="53" t="s">
        <v>55</v>
      </c>
      <c r="Z42" s="53" t="s">
        <v>78</v>
      </c>
      <c r="AA42" s="53" t="s">
        <v>90</v>
      </c>
      <c r="AB42" s="53" t="s">
        <v>158</v>
      </c>
    </row>
    <row r="43" spans="1:28" x14ac:dyDescent="0.15">
      <c r="A43" s="53" t="s">
        <v>41</v>
      </c>
      <c r="B43" s="53" t="s">
        <v>157</v>
      </c>
      <c r="C43" s="62">
        <v>2019</v>
      </c>
      <c r="D43" s="63" t="s">
        <v>184</v>
      </c>
      <c r="E43" s="53" t="s">
        <v>187</v>
      </c>
      <c r="F43" s="53" t="s">
        <v>189</v>
      </c>
      <c r="G43" s="53" t="s">
        <v>42</v>
      </c>
      <c r="H43" s="53" t="s">
        <v>160</v>
      </c>
      <c r="I43" s="53" t="s">
        <v>159</v>
      </c>
      <c r="J43" s="53" t="s">
        <v>38</v>
      </c>
      <c r="K43" s="53" t="s">
        <v>161</v>
      </c>
      <c r="L43" s="53">
        <v>3</v>
      </c>
      <c r="N43" s="53">
        <v>8</v>
      </c>
      <c r="O43" s="53">
        <v>0.7</v>
      </c>
      <c r="P43" s="53">
        <v>0.5</v>
      </c>
      <c r="Q43" s="75">
        <f t="shared" si="0"/>
        <v>0.6</v>
      </c>
      <c r="R43" s="53">
        <v>13.8</v>
      </c>
      <c r="S43" s="53">
        <v>115</v>
      </c>
      <c r="T43" s="16">
        <f t="shared" si="1"/>
        <v>30</v>
      </c>
      <c r="U43" s="53">
        <v>626</v>
      </c>
      <c r="V43" s="16">
        <f t="shared" si="2"/>
        <v>2347.5</v>
      </c>
      <c r="W43" s="53">
        <v>2</v>
      </c>
      <c r="X43" s="53" t="s">
        <v>46</v>
      </c>
      <c r="Y43" s="53" t="s">
        <v>55</v>
      </c>
      <c r="Z43" s="53" t="s">
        <v>78</v>
      </c>
      <c r="AA43" s="53" t="s">
        <v>90</v>
      </c>
      <c r="AB43" s="53" t="s">
        <v>158</v>
      </c>
    </row>
    <row r="44" spans="1:28" x14ac:dyDescent="0.15">
      <c r="A44" s="53" t="s">
        <v>41</v>
      </c>
      <c r="B44" s="53" t="s">
        <v>157</v>
      </c>
      <c r="C44" s="62">
        <v>2019</v>
      </c>
      <c r="D44" s="63" t="s">
        <v>184</v>
      </c>
      <c r="E44" s="53" t="s">
        <v>187</v>
      </c>
      <c r="F44" s="53" t="s">
        <v>189</v>
      </c>
      <c r="G44" s="53" t="s">
        <v>42</v>
      </c>
      <c r="H44" s="53" t="s">
        <v>160</v>
      </c>
      <c r="I44" s="53" t="s">
        <v>159</v>
      </c>
      <c r="J44" s="53" t="s">
        <v>38</v>
      </c>
      <c r="K44" s="53" t="s">
        <v>161</v>
      </c>
      <c r="L44" s="53">
        <v>1</v>
      </c>
      <c r="N44" s="53">
        <v>8</v>
      </c>
      <c r="O44" s="53">
        <v>0.5</v>
      </c>
      <c r="P44" s="53">
        <v>0.65</v>
      </c>
      <c r="Q44" s="16">
        <f t="shared" si="0"/>
        <v>0.57499999999999996</v>
      </c>
      <c r="R44" s="53">
        <v>16.8</v>
      </c>
      <c r="S44" s="53">
        <v>130</v>
      </c>
      <c r="T44" s="16">
        <f t="shared" si="1"/>
        <v>25</v>
      </c>
      <c r="U44" s="53">
        <v>1058</v>
      </c>
      <c r="V44" s="16">
        <f t="shared" si="2"/>
        <v>3306.25</v>
      </c>
      <c r="W44" s="53">
        <v>1</v>
      </c>
      <c r="X44" s="53" t="s">
        <v>46</v>
      </c>
      <c r="Y44" s="53" t="s">
        <v>55</v>
      </c>
      <c r="Z44" s="53" t="s">
        <v>78</v>
      </c>
      <c r="AA44" s="53" t="s">
        <v>90</v>
      </c>
      <c r="AB44" s="53" t="s">
        <v>158</v>
      </c>
    </row>
    <row r="45" spans="1:28" x14ac:dyDescent="0.15">
      <c r="A45" s="53" t="s">
        <v>41</v>
      </c>
      <c r="B45" s="53" t="s">
        <v>157</v>
      </c>
      <c r="C45" s="62">
        <v>2019</v>
      </c>
      <c r="D45" s="63" t="s">
        <v>184</v>
      </c>
      <c r="E45" s="53" t="s">
        <v>187</v>
      </c>
      <c r="F45" s="53" t="s">
        <v>189</v>
      </c>
      <c r="G45" s="53" t="s">
        <v>42</v>
      </c>
      <c r="H45" s="53" t="s">
        <v>160</v>
      </c>
      <c r="I45" s="53" t="s">
        <v>159</v>
      </c>
      <c r="J45" s="53" t="s">
        <v>38</v>
      </c>
      <c r="K45" s="53" t="s">
        <v>161</v>
      </c>
      <c r="L45" s="53">
        <v>2</v>
      </c>
      <c r="N45" s="53">
        <v>8</v>
      </c>
      <c r="O45" s="53">
        <v>0.25</v>
      </c>
      <c r="P45" s="53">
        <v>0.3</v>
      </c>
      <c r="Q45" s="16">
        <f t="shared" si="0"/>
        <v>0.27500000000000002</v>
      </c>
      <c r="R45" s="53">
        <v>15.7</v>
      </c>
      <c r="S45" s="53">
        <v>135</v>
      </c>
      <c r="T45" s="16">
        <f t="shared" si="1"/>
        <v>25</v>
      </c>
      <c r="U45" s="53">
        <v>1058</v>
      </c>
      <c r="V45" s="16">
        <f t="shared" si="2"/>
        <v>3306.25</v>
      </c>
      <c r="W45" s="53">
        <v>1</v>
      </c>
      <c r="X45" s="53" t="s">
        <v>46</v>
      </c>
      <c r="Y45" s="53" t="s">
        <v>55</v>
      </c>
      <c r="Z45" s="53" t="s">
        <v>78</v>
      </c>
      <c r="AA45" s="53" t="s">
        <v>90</v>
      </c>
      <c r="AB45" s="53" t="s">
        <v>158</v>
      </c>
    </row>
    <row r="46" spans="1:28" x14ac:dyDescent="0.15">
      <c r="A46" s="53" t="s">
        <v>41</v>
      </c>
      <c r="B46" s="53" t="s">
        <v>157</v>
      </c>
      <c r="C46" s="62">
        <v>2019</v>
      </c>
      <c r="D46" s="63" t="s">
        <v>184</v>
      </c>
      <c r="E46" s="53" t="s">
        <v>187</v>
      </c>
      <c r="F46" s="53" t="s">
        <v>189</v>
      </c>
      <c r="G46" s="53" t="s">
        <v>42</v>
      </c>
      <c r="H46" s="53" t="s">
        <v>160</v>
      </c>
      <c r="I46" s="53" t="s">
        <v>159</v>
      </c>
      <c r="J46" s="53" t="s">
        <v>38</v>
      </c>
      <c r="K46" s="53" t="s">
        <v>161</v>
      </c>
      <c r="L46" s="53">
        <v>3</v>
      </c>
      <c r="N46" s="53">
        <v>8</v>
      </c>
      <c r="O46" s="53">
        <v>0.6</v>
      </c>
      <c r="P46" s="53">
        <v>0.45</v>
      </c>
      <c r="Q46" s="16">
        <f t="shared" si="0"/>
        <v>0.52500000000000002</v>
      </c>
      <c r="R46" s="53">
        <v>15</v>
      </c>
      <c r="S46" s="53">
        <v>134</v>
      </c>
      <c r="T46" s="16">
        <f t="shared" si="1"/>
        <v>25</v>
      </c>
      <c r="U46" s="53">
        <v>1058</v>
      </c>
      <c r="V46" s="16">
        <f t="shared" si="2"/>
        <v>3306.25</v>
      </c>
      <c r="W46" s="53">
        <v>1</v>
      </c>
      <c r="X46" s="53" t="s">
        <v>46</v>
      </c>
      <c r="Y46" s="53" t="s">
        <v>55</v>
      </c>
      <c r="Z46" s="53" t="s">
        <v>78</v>
      </c>
      <c r="AA46" s="53" t="s">
        <v>90</v>
      </c>
      <c r="AB46" s="53" t="s">
        <v>158</v>
      </c>
    </row>
    <row r="47" spans="1:28" x14ac:dyDescent="0.15">
      <c r="A47" s="53" t="s">
        <v>41</v>
      </c>
      <c r="B47" s="53" t="s">
        <v>157</v>
      </c>
      <c r="C47" s="62">
        <v>2019</v>
      </c>
      <c r="D47" s="63" t="s">
        <v>184</v>
      </c>
      <c r="E47" s="53" t="s">
        <v>187</v>
      </c>
      <c r="F47" s="53" t="s">
        <v>189</v>
      </c>
      <c r="G47" s="53" t="s">
        <v>42</v>
      </c>
      <c r="H47" s="53" t="s">
        <v>160</v>
      </c>
      <c r="I47" s="53" t="s">
        <v>159</v>
      </c>
      <c r="J47" s="53" t="s">
        <v>38</v>
      </c>
      <c r="K47" s="53" t="s">
        <v>161</v>
      </c>
      <c r="L47" s="53">
        <v>1</v>
      </c>
      <c r="N47" s="53">
        <v>10</v>
      </c>
      <c r="O47" s="53">
        <v>0.45</v>
      </c>
      <c r="P47" s="53">
        <v>0.65</v>
      </c>
      <c r="Q47" s="16">
        <f t="shared" si="0"/>
        <v>0.55000000000000004</v>
      </c>
      <c r="R47" s="53">
        <v>12.6</v>
      </c>
      <c r="S47" s="53">
        <v>120</v>
      </c>
      <c r="T47" s="16">
        <f t="shared" si="1"/>
        <v>30</v>
      </c>
      <c r="U47" s="53">
        <v>1058</v>
      </c>
      <c r="V47" s="16">
        <f t="shared" si="2"/>
        <v>3174</v>
      </c>
      <c r="W47" s="53">
        <v>1</v>
      </c>
      <c r="X47" s="53" t="s">
        <v>46</v>
      </c>
      <c r="Y47" s="53" t="s">
        <v>55</v>
      </c>
      <c r="Z47" s="53" t="s">
        <v>78</v>
      </c>
      <c r="AA47" s="53" t="s">
        <v>90</v>
      </c>
      <c r="AB47" s="53" t="s">
        <v>158</v>
      </c>
    </row>
    <row r="48" spans="1:28" x14ac:dyDescent="0.15">
      <c r="A48" s="53" t="s">
        <v>41</v>
      </c>
      <c r="B48" s="53" t="s">
        <v>157</v>
      </c>
      <c r="C48" s="62">
        <v>2019</v>
      </c>
      <c r="D48" s="63" t="s">
        <v>184</v>
      </c>
      <c r="E48" s="53" t="s">
        <v>187</v>
      </c>
      <c r="F48" s="53" t="s">
        <v>189</v>
      </c>
      <c r="G48" s="53" t="s">
        <v>42</v>
      </c>
      <c r="H48" s="53" t="s">
        <v>160</v>
      </c>
      <c r="I48" s="53" t="s">
        <v>159</v>
      </c>
      <c r="J48" s="53" t="s">
        <v>38</v>
      </c>
      <c r="K48" s="53" t="s">
        <v>161</v>
      </c>
      <c r="L48" s="53">
        <v>2</v>
      </c>
      <c r="N48" s="53">
        <v>10</v>
      </c>
      <c r="O48" s="53">
        <v>0.6</v>
      </c>
      <c r="P48" s="53">
        <v>0.7</v>
      </c>
      <c r="Q48" s="16">
        <f t="shared" si="0"/>
        <v>0.64999999999999991</v>
      </c>
      <c r="R48" s="53">
        <v>16.100000000000001</v>
      </c>
      <c r="S48" s="53">
        <v>117</v>
      </c>
      <c r="T48" s="16">
        <f t="shared" si="1"/>
        <v>30</v>
      </c>
      <c r="U48" s="53">
        <v>1058</v>
      </c>
      <c r="V48" s="16">
        <f t="shared" si="2"/>
        <v>3174</v>
      </c>
      <c r="W48" s="53">
        <v>1</v>
      </c>
      <c r="X48" s="53" t="s">
        <v>46</v>
      </c>
      <c r="Y48" s="53" t="s">
        <v>55</v>
      </c>
      <c r="Z48" s="53" t="s">
        <v>78</v>
      </c>
      <c r="AA48" s="53" t="s">
        <v>90</v>
      </c>
      <c r="AB48" s="53" t="s">
        <v>158</v>
      </c>
    </row>
    <row r="49" spans="1:28" x14ac:dyDescent="0.15">
      <c r="A49" s="53" t="s">
        <v>41</v>
      </c>
      <c r="B49" s="53" t="s">
        <v>157</v>
      </c>
      <c r="C49" s="62">
        <v>2019</v>
      </c>
      <c r="D49" s="63" t="s">
        <v>184</v>
      </c>
      <c r="E49" s="53" t="s">
        <v>187</v>
      </c>
      <c r="F49" s="53" t="s">
        <v>189</v>
      </c>
      <c r="G49" s="53" t="s">
        <v>42</v>
      </c>
      <c r="H49" s="53" t="s">
        <v>160</v>
      </c>
      <c r="I49" s="53" t="s">
        <v>159</v>
      </c>
      <c r="J49" s="53" t="s">
        <v>38</v>
      </c>
      <c r="K49" s="53" t="s">
        <v>161</v>
      </c>
      <c r="L49" s="53">
        <v>3</v>
      </c>
      <c r="N49" s="53">
        <v>10</v>
      </c>
      <c r="O49" s="53">
        <v>0.65</v>
      </c>
      <c r="P49" s="53">
        <v>0.75</v>
      </c>
      <c r="Q49" s="16">
        <f t="shared" si="0"/>
        <v>0.7</v>
      </c>
      <c r="R49" s="53">
        <v>15.2</v>
      </c>
      <c r="S49" s="53">
        <v>115</v>
      </c>
      <c r="T49" s="16">
        <f t="shared" si="1"/>
        <v>30</v>
      </c>
      <c r="U49" s="53">
        <v>1058</v>
      </c>
      <c r="V49" s="16">
        <f t="shared" si="2"/>
        <v>3174</v>
      </c>
      <c r="W49" s="53">
        <v>1</v>
      </c>
      <c r="X49" s="53" t="s">
        <v>46</v>
      </c>
      <c r="Y49" s="53" t="s">
        <v>55</v>
      </c>
      <c r="Z49" s="53" t="s">
        <v>78</v>
      </c>
      <c r="AA49" s="53" t="s">
        <v>90</v>
      </c>
      <c r="AB49" s="53" t="s">
        <v>158</v>
      </c>
    </row>
    <row r="50" spans="1:28" x14ac:dyDescent="0.15">
      <c r="A50" s="53" t="s">
        <v>41</v>
      </c>
      <c r="B50" s="53" t="s">
        <v>157</v>
      </c>
      <c r="C50" s="62">
        <v>2019</v>
      </c>
      <c r="D50" s="63" t="s">
        <v>184</v>
      </c>
      <c r="E50" s="53" t="s">
        <v>187</v>
      </c>
      <c r="F50" s="53" t="s">
        <v>189</v>
      </c>
      <c r="G50" s="53" t="s">
        <v>42</v>
      </c>
      <c r="H50" s="53" t="s">
        <v>160</v>
      </c>
      <c r="I50" s="53" t="s">
        <v>165</v>
      </c>
      <c r="J50" s="53" t="s">
        <v>38</v>
      </c>
      <c r="K50" s="53" t="s">
        <v>161</v>
      </c>
      <c r="L50" s="53">
        <v>1</v>
      </c>
      <c r="N50" s="53">
        <v>2</v>
      </c>
      <c r="O50" s="53">
        <v>0.5</v>
      </c>
      <c r="P50" s="53">
        <v>0.5</v>
      </c>
      <c r="Q50" s="16">
        <f t="shared" si="0"/>
        <v>0.5</v>
      </c>
      <c r="R50" s="53">
        <v>14.2</v>
      </c>
      <c r="S50" s="53">
        <v>132</v>
      </c>
      <c r="T50" s="16">
        <f t="shared" si="1"/>
        <v>25</v>
      </c>
      <c r="U50" s="53">
        <v>321</v>
      </c>
      <c r="V50" s="16">
        <f t="shared" si="2"/>
        <v>4012.5</v>
      </c>
      <c r="W50" s="53">
        <v>2</v>
      </c>
      <c r="X50" s="53" t="s">
        <v>46</v>
      </c>
      <c r="Y50" s="53" t="s">
        <v>55</v>
      </c>
      <c r="Z50" s="53" t="s">
        <v>78</v>
      </c>
      <c r="AA50" s="53" t="s">
        <v>90</v>
      </c>
      <c r="AB50" s="53" t="s">
        <v>158</v>
      </c>
    </row>
    <row r="51" spans="1:28" x14ac:dyDescent="0.15">
      <c r="A51" s="53" t="s">
        <v>41</v>
      </c>
      <c r="B51" s="53" t="s">
        <v>157</v>
      </c>
      <c r="C51" s="62">
        <v>2019</v>
      </c>
      <c r="D51" s="63" t="s">
        <v>184</v>
      </c>
      <c r="E51" s="53" t="s">
        <v>187</v>
      </c>
      <c r="F51" s="53" t="s">
        <v>189</v>
      </c>
      <c r="G51" s="53" t="s">
        <v>42</v>
      </c>
      <c r="H51" s="53" t="s">
        <v>160</v>
      </c>
      <c r="I51" s="53" t="s">
        <v>165</v>
      </c>
      <c r="J51" s="53" t="s">
        <v>38</v>
      </c>
      <c r="K51" s="53" t="s">
        <v>161</v>
      </c>
      <c r="L51" s="53">
        <v>2</v>
      </c>
      <c r="N51" s="53">
        <v>2</v>
      </c>
      <c r="O51" s="53">
        <v>0.35</v>
      </c>
      <c r="P51" s="53">
        <v>0.45</v>
      </c>
      <c r="Q51" s="16">
        <f t="shared" si="0"/>
        <v>0.4</v>
      </c>
      <c r="R51" s="53">
        <v>12.9</v>
      </c>
      <c r="S51" s="53">
        <v>128</v>
      </c>
      <c r="T51" s="16">
        <f t="shared" si="1"/>
        <v>27</v>
      </c>
      <c r="U51" s="53">
        <v>321</v>
      </c>
      <c r="V51" s="16">
        <f t="shared" si="2"/>
        <v>4333.5</v>
      </c>
      <c r="W51" s="53">
        <v>2</v>
      </c>
      <c r="X51" s="53" t="s">
        <v>46</v>
      </c>
      <c r="Y51" s="53" t="s">
        <v>55</v>
      </c>
      <c r="Z51" s="53" t="s">
        <v>78</v>
      </c>
      <c r="AA51" s="53" t="s">
        <v>90</v>
      </c>
      <c r="AB51" s="53" t="s">
        <v>158</v>
      </c>
    </row>
    <row r="52" spans="1:28" x14ac:dyDescent="0.15">
      <c r="A52" s="53" t="s">
        <v>41</v>
      </c>
      <c r="B52" s="53" t="s">
        <v>157</v>
      </c>
      <c r="C52" s="62">
        <v>2019</v>
      </c>
      <c r="D52" s="63" t="s">
        <v>184</v>
      </c>
      <c r="E52" s="53" t="s">
        <v>187</v>
      </c>
      <c r="F52" s="53" t="s">
        <v>189</v>
      </c>
      <c r="G52" s="53" t="s">
        <v>42</v>
      </c>
      <c r="H52" s="53" t="s">
        <v>160</v>
      </c>
      <c r="I52" s="53" t="s">
        <v>165</v>
      </c>
      <c r="J52" s="53" t="s">
        <v>38</v>
      </c>
      <c r="K52" s="53" t="s">
        <v>161</v>
      </c>
      <c r="L52" s="53">
        <v>3</v>
      </c>
      <c r="N52" s="53">
        <v>2</v>
      </c>
      <c r="O52" s="53">
        <v>0.5</v>
      </c>
      <c r="P52" s="53">
        <v>0.65</v>
      </c>
      <c r="Q52" s="16">
        <f t="shared" si="0"/>
        <v>0.57499999999999996</v>
      </c>
      <c r="R52" s="53">
        <v>14.5</v>
      </c>
      <c r="S52" s="53">
        <v>129</v>
      </c>
      <c r="T52" s="16">
        <f t="shared" si="1"/>
        <v>25</v>
      </c>
      <c r="U52" s="53">
        <v>321</v>
      </c>
      <c r="V52" s="16">
        <f t="shared" si="2"/>
        <v>4012.5</v>
      </c>
      <c r="W52" s="53">
        <v>2</v>
      </c>
      <c r="X52" s="53" t="s">
        <v>46</v>
      </c>
      <c r="Y52" s="53" t="s">
        <v>55</v>
      </c>
      <c r="Z52" s="53" t="s">
        <v>78</v>
      </c>
      <c r="AA52" s="53" t="s">
        <v>90</v>
      </c>
      <c r="AB52" s="53" t="s">
        <v>158</v>
      </c>
    </row>
    <row r="53" spans="1:28" x14ac:dyDescent="0.15">
      <c r="A53" s="53" t="s">
        <v>41</v>
      </c>
      <c r="B53" s="53" t="s">
        <v>157</v>
      </c>
      <c r="C53" s="62">
        <v>2019</v>
      </c>
      <c r="D53" s="63" t="s">
        <v>184</v>
      </c>
      <c r="E53" s="53" t="s">
        <v>187</v>
      </c>
      <c r="F53" s="53" t="s">
        <v>189</v>
      </c>
      <c r="G53" s="53" t="s">
        <v>42</v>
      </c>
      <c r="H53" s="53" t="s">
        <v>164</v>
      </c>
      <c r="I53" s="53" t="s">
        <v>159</v>
      </c>
      <c r="J53" s="53" t="s">
        <v>38</v>
      </c>
      <c r="K53" s="53" t="s">
        <v>161</v>
      </c>
      <c r="L53" s="53">
        <v>1</v>
      </c>
      <c r="N53" s="53">
        <v>1</v>
      </c>
      <c r="O53" s="53">
        <v>0.65</v>
      </c>
      <c r="P53" s="53">
        <v>0.7</v>
      </c>
      <c r="Q53" s="16">
        <f t="shared" si="0"/>
        <v>0.67500000000000004</v>
      </c>
      <c r="R53" s="53">
        <v>15.1</v>
      </c>
      <c r="S53" s="53">
        <v>125</v>
      </c>
      <c r="T53" s="16">
        <f t="shared" si="1"/>
        <v>27</v>
      </c>
      <c r="U53" s="53">
        <v>149</v>
      </c>
      <c r="V53" s="16">
        <f t="shared" si="2"/>
        <v>4023</v>
      </c>
      <c r="W53" s="53">
        <v>2</v>
      </c>
      <c r="X53" s="53" t="s">
        <v>46</v>
      </c>
      <c r="Y53" s="53" t="s">
        <v>55</v>
      </c>
      <c r="Z53" s="53" t="s">
        <v>78</v>
      </c>
      <c r="AA53" s="53" t="s">
        <v>90</v>
      </c>
      <c r="AB53" s="53" t="s">
        <v>158</v>
      </c>
    </row>
    <row r="54" spans="1:28" x14ac:dyDescent="0.15">
      <c r="A54" s="53" t="s">
        <v>41</v>
      </c>
      <c r="B54" s="53" t="s">
        <v>157</v>
      </c>
      <c r="C54" s="62">
        <v>2019</v>
      </c>
      <c r="D54" s="63" t="s">
        <v>184</v>
      </c>
      <c r="E54" s="53" t="s">
        <v>187</v>
      </c>
      <c r="F54" s="53" t="s">
        <v>189</v>
      </c>
      <c r="G54" s="53" t="s">
        <v>42</v>
      </c>
      <c r="H54" s="53" t="s">
        <v>164</v>
      </c>
      <c r="I54" s="53" t="s">
        <v>159</v>
      </c>
      <c r="J54" s="53" t="s">
        <v>38</v>
      </c>
      <c r="K54" s="53" t="s">
        <v>161</v>
      </c>
      <c r="L54" s="53">
        <v>2</v>
      </c>
      <c r="N54" s="53">
        <v>1</v>
      </c>
      <c r="O54" s="53">
        <v>0.45</v>
      </c>
      <c r="P54" s="53">
        <v>0.55000000000000004</v>
      </c>
      <c r="Q54" s="16">
        <f t="shared" si="0"/>
        <v>0.5</v>
      </c>
      <c r="R54" s="53">
        <v>13.8</v>
      </c>
      <c r="S54" s="53">
        <v>128</v>
      </c>
      <c r="T54" s="16">
        <f t="shared" si="1"/>
        <v>27</v>
      </c>
      <c r="U54" s="53">
        <v>149</v>
      </c>
      <c r="V54" s="16">
        <f t="shared" si="2"/>
        <v>4023</v>
      </c>
      <c r="W54" s="53">
        <v>2</v>
      </c>
      <c r="X54" s="53" t="s">
        <v>46</v>
      </c>
      <c r="Y54" s="53" t="s">
        <v>55</v>
      </c>
      <c r="Z54" s="53" t="s">
        <v>78</v>
      </c>
      <c r="AA54" s="53" t="s">
        <v>90</v>
      </c>
      <c r="AB54" s="53" t="s">
        <v>158</v>
      </c>
    </row>
    <row r="55" spans="1:28" x14ac:dyDescent="0.15">
      <c r="A55" s="53" t="s">
        <v>41</v>
      </c>
      <c r="B55" s="53" t="s">
        <v>157</v>
      </c>
      <c r="C55" s="62">
        <v>2019</v>
      </c>
      <c r="D55" s="63" t="s">
        <v>184</v>
      </c>
      <c r="E55" s="53" t="s">
        <v>187</v>
      </c>
      <c r="F55" s="53" t="s">
        <v>189</v>
      </c>
      <c r="G55" s="53" t="s">
        <v>42</v>
      </c>
      <c r="H55" s="53" t="s">
        <v>164</v>
      </c>
      <c r="I55" s="53" t="s">
        <v>159</v>
      </c>
      <c r="J55" s="53" t="s">
        <v>38</v>
      </c>
      <c r="K55" s="53" t="s">
        <v>161</v>
      </c>
      <c r="L55" s="53">
        <v>3</v>
      </c>
      <c r="N55" s="53">
        <v>1</v>
      </c>
      <c r="O55" s="53">
        <v>0.7</v>
      </c>
      <c r="P55" s="53">
        <v>0.6</v>
      </c>
      <c r="Q55" s="16">
        <f t="shared" si="0"/>
        <v>0.64999999999999991</v>
      </c>
      <c r="R55" s="53">
        <v>15.2</v>
      </c>
      <c r="S55" s="53">
        <v>129</v>
      </c>
      <c r="T55" s="16">
        <f t="shared" si="1"/>
        <v>25</v>
      </c>
      <c r="U55" s="53">
        <v>149</v>
      </c>
      <c r="V55" s="16">
        <f t="shared" si="2"/>
        <v>3725</v>
      </c>
      <c r="W55" s="53">
        <v>2</v>
      </c>
      <c r="X55" s="53" t="s">
        <v>46</v>
      </c>
      <c r="Y55" s="53" t="s">
        <v>55</v>
      </c>
      <c r="Z55" s="53" t="s">
        <v>78</v>
      </c>
      <c r="AA55" s="53" t="s">
        <v>90</v>
      </c>
      <c r="AB55" s="53" t="s">
        <v>158</v>
      </c>
    </row>
    <row r="56" spans="1:28" x14ac:dyDescent="0.15">
      <c r="A56" s="53" t="s">
        <v>41</v>
      </c>
      <c r="B56" s="53" t="s">
        <v>157</v>
      </c>
      <c r="C56" s="62">
        <v>2019</v>
      </c>
      <c r="D56" s="63" t="s">
        <v>184</v>
      </c>
      <c r="E56" s="53" t="s">
        <v>187</v>
      </c>
      <c r="F56" s="53" t="s">
        <v>189</v>
      </c>
      <c r="G56" s="53" t="s">
        <v>42</v>
      </c>
      <c r="H56" s="53" t="s">
        <v>164</v>
      </c>
      <c r="I56" s="53" t="s">
        <v>159</v>
      </c>
      <c r="J56" s="53" t="s">
        <v>38</v>
      </c>
      <c r="K56" s="53" t="s">
        <v>161</v>
      </c>
      <c r="L56" s="53">
        <v>1</v>
      </c>
      <c r="N56" s="53">
        <v>5</v>
      </c>
      <c r="O56" s="53">
        <v>0.6</v>
      </c>
      <c r="P56" s="53">
        <v>0.45</v>
      </c>
      <c r="Q56" s="16">
        <f t="shared" si="0"/>
        <v>0.52500000000000002</v>
      </c>
      <c r="R56" s="53">
        <v>15.6</v>
      </c>
      <c r="S56" s="53">
        <v>115</v>
      </c>
      <c r="T56" s="16">
        <f t="shared" si="1"/>
        <v>30</v>
      </c>
      <c r="U56" s="53">
        <v>429</v>
      </c>
      <c r="V56" s="16">
        <f t="shared" si="2"/>
        <v>2574</v>
      </c>
      <c r="W56" s="53">
        <v>2</v>
      </c>
      <c r="X56" s="53" t="s">
        <v>46</v>
      </c>
      <c r="Y56" s="53" t="s">
        <v>55</v>
      </c>
      <c r="Z56" s="53" t="s">
        <v>78</v>
      </c>
      <c r="AA56" s="53" t="s">
        <v>90</v>
      </c>
      <c r="AB56" s="53" t="s">
        <v>158</v>
      </c>
    </row>
    <row r="57" spans="1:28" x14ac:dyDescent="0.15">
      <c r="A57" s="53" t="s">
        <v>41</v>
      </c>
      <c r="B57" s="53" t="s">
        <v>157</v>
      </c>
      <c r="C57" s="62">
        <v>2019</v>
      </c>
      <c r="D57" s="63" t="s">
        <v>184</v>
      </c>
      <c r="E57" s="53" t="s">
        <v>187</v>
      </c>
      <c r="F57" s="53" t="s">
        <v>189</v>
      </c>
      <c r="G57" s="53" t="s">
        <v>42</v>
      </c>
      <c r="H57" s="53" t="s">
        <v>164</v>
      </c>
      <c r="I57" s="53" t="s">
        <v>159</v>
      </c>
      <c r="J57" s="53" t="s">
        <v>38</v>
      </c>
      <c r="K57" s="53" t="s">
        <v>161</v>
      </c>
      <c r="L57" s="53">
        <v>2</v>
      </c>
      <c r="N57" s="53">
        <v>5</v>
      </c>
      <c r="O57" s="53">
        <v>0.4</v>
      </c>
      <c r="P57" s="53">
        <v>0.55000000000000004</v>
      </c>
      <c r="Q57" s="16">
        <f t="shared" si="0"/>
        <v>0.47500000000000003</v>
      </c>
      <c r="R57" s="53">
        <v>13.4</v>
      </c>
      <c r="S57" s="53">
        <v>110</v>
      </c>
      <c r="T57" s="16">
        <f t="shared" si="1"/>
        <v>33</v>
      </c>
      <c r="U57" s="53">
        <v>429</v>
      </c>
      <c r="V57" s="16">
        <f t="shared" si="2"/>
        <v>2831.4</v>
      </c>
      <c r="W57" s="53">
        <v>2</v>
      </c>
      <c r="X57" s="53" t="s">
        <v>46</v>
      </c>
      <c r="Y57" s="53" t="s">
        <v>55</v>
      </c>
      <c r="Z57" s="53" t="s">
        <v>78</v>
      </c>
      <c r="AA57" s="53" t="s">
        <v>90</v>
      </c>
      <c r="AB57" s="53" t="s">
        <v>158</v>
      </c>
    </row>
    <row r="58" spans="1:28" x14ac:dyDescent="0.15">
      <c r="A58" s="53" t="s">
        <v>41</v>
      </c>
      <c r="B58" s="53" t="s">
        <v>157</v>
      </c>
      <c r="C58" s="62">
        <v>2019</v>
      </c>
      <c r="D58" s="63" t="s">
        <v>184</v>
      </c>
      <c r="E58" s="53" t="s">
        <v>187</v>
      </c>
      <c r="F58" s="53" t="s">
        <v>189</v>
      </c>
      <c r="G58" s="53" t="s">
        <v>42</v>
      </c>
      <c r="H58" s="53" t="s">
        <v>164</v>
      </c>
      <c r="I58" s="53" t="s">
        <v>159</v>
      </c>
      <c r="J58" s="53" t="s">
        <v>38</v>
      </c>
      <c r="K58" s="53" t="s">
        <v>161</v>
      </c>
      <c r="L58" s="53">
        <v>3</v>
      </c>
      <c r="N58" s="53">
        <v>5</v>
      </c>
      <c r="O58" s="53">
        <v>0.25</v>
      </c>
      <c r="P58" s="53">
        <v>0.3</v>
      </c>
      <c r="Q58" s="16">
        <f t="shared" si="0"/>
        <v>0.27500000000000002</v>
      </c>
      <c r="R58" s="53">
        <v>16.5</v>
      </c>
      <c r="S58" s="53">
        <v>107</v>
      </c>
      <c r="T58" s="16">
        <f t="shared" si="1"/>
        <v>33</v>
      </c>
      <c r="U58" s="53">
        <v>429</v>
      </c>
      <c r="V58" s="16">
        <f t="shared" si="2"/>
        <v>2831.4</v>
      </c>
      <c r="W58" s="53">
        <v>2</v>
      </c>
      <c r="X58" s="53" t="s">
        <v>46</v>
      </c>
      <c r="Y58" s="53" t="s">
        <v>55</v>
      </c>
      <c r="Z58" s="53" t="s">
        <v>78</v>
      </c>
      <c r="AA58" s="53" t="s">
        <v>90</v>
      </c>
      <c r="AB58" s="53" t="s">
        <v>158</v>
      </c>
    </row>
    <row r="59" spans="1:28" x14ac:dyDescent="0.15">
      <c r="A59" s="53" t="s">
        <v>41</v>
      </c>
      <c r="B59" s="53" t="s">
        <v>157</v>
      </c>
      <c r="C59" s="62">
        <v>2019</v>
      </c>
      <c r="D59" s="63" t="s">
        <v>184</v>
      </c>
      <c r="E59" s="53" t="s">
        <v>187</v>
      </c>
      <c r="F59" s="53" t="s">
        <v>189</v>
      </c>
      <c r="G59" s="53" t="s">
        <v>42</v>
      </c>
      <c r="H59" s="53" t="s">
        <v>164</v>
      </c>
      <c r="I59" s="53" t="s">
        <v>159</v>
      </c>
      <c r="J59" s="53" t="s">
        <v>38</v>
      </c>
      <c r="K59" s="53" t="s">
        <v>161</v>
      </c>
      <c r="L59" s="53">
        <v>1</v>
      </c>
      <c r="N59" s="53">
        <v>8</v>
      </c>
      <c r="O59" s="53">
        <v>1.2</v>
      </c>
      <c r="P59" s="53">
        <v>1.05</v>
      </c>
      <c r="Q59" s="16">
        <f t="shared" si="0"/>
        <v>1.125</v>
      </c>
      <c r="R59" s="53">
        <v>11.2</v>
      </c>
      <c r="S59" s="53">
        <v>100</v>
      </c>
      <c r="T59" s="16">
        <f t="shared" si="1"/>
        <v>33</v>
      </c>
      <c r="U59" s="53">
        <v>429</v>
      </c>
      <c r="V59" s="16">
        <f t="shared" si="2"/>
        <v>1769.625</v>
      </c>
      <c r="W59" s="53">
        <v>2</v>
      </c>
      <c r="X59" s="53" t="s">
        <v>46</v>
      </c>
      <c r="Y59" s="53" t="s">
        <v>55</v>
      </c>
      <c r="Z59" s="53" t="s">
        <v>78</v>
      </c>
      <c r="AA59" s="53" t="s">
        <v>90</v>
      </c>
      <c r="AB59" s="53" t="s">
        <v>158</v>
      </c>
    </row>
    <row r="60" spans="1:28" x14ac:dyDescent="0.15">
      <c r="A60" s="53" t="s">
        <v>41</v>
      </c>
      <c r="B60" s="53" t="s">
        <v>157</v>
      </c>
      <c r="C60" s="62">
        <v>2019</v>
      </c>
      <c r="D60" s="63" t="s">
        <v>184</v>
      </c>
      <c r="E60" s="53" t="s">
        <v>187</v>
      </c>
      <c r="F60" s="53" t="s">
        <v>189</v>
      </c>
      <c r="G60" s="53" t="s">
        <v>42</v>
      </c>
      <c r="H60" s="53" t="s">
        <v>164</v>
      </c>
      <c r="I60" s="53" t="s">
        <v>159</v>
      </c>
      <c r="J60" s="53" t="s">
        <v>38</v>
      </c>
      <c r="K60" s="53" t="s">
        <v>161</v>
      </c>
      <c r="L60" s="53">
        <v>2</v>
      </c>
      <c r="N60" s="53">
        <v>8</v>
      </c>
      <c r="O60" s="53">
        <v>1.3</v>
      </c>
      <c r="P60" s="53">
        <v>1.2</v>
      </c>
      <c r="Q60" s="16">
        <f t="shared" si="0"/>
        <v>1.25</v>
      </c>
      <c r="R60" s="53">
        <v>13.2</v>
      </c>
      <c r="S60" s="53">
        <v>95</v>
      </c>
      <c r="T60" s="16">
        <f t="shared" si="1"/>
        <v>36</v>
      </c>
      <c r="U60" s="53">
        <v>429</v>
      </c>
      <c r="V60" s="16">
        <f t="shared" si="2"/>
        <v>1930.5</v>
      </c>
      <c r="W60" s="53">
        <v>2</v>
      </c>
      <c r="X60" s="53" t="s">
        <v>46</v>
      </c>
      <c r="Y60" s="53" t="s">
        <v>55</v>
      </c>
      <c r="Z60" s="53" t="s">
        <v>78</v>
      </c>
      <c r="AA60" s="53" t="s">
        <v>90</v>
      </c>
      <c r="AB60" s="53" t="s">
        <v>158</v>
      </c>
    </row>
    <row r="61" spans="1:28" x14ac:dyDescent="0.15">
      <c r="A61" s="53" t="s">
        <v>41</v>
      </c>
      <c r="B61" s="53" t="s">
        <v>157</v>
      </c>
      <c r="C61" s="62">
        <v>2019</v>
      </c>
      <c r="D61" s="63" t="s">
        <v>184</v>
      </c>
      <c r="E61" s="53" t="s">
        <v>187</v>
      </c>
      <c r="F61" s="53" t="s">
        <v>189</v>
      </c>
      <c r="G61" s="53" t="s">
        <v>42</v>
      </c>
      <c r="H61" s="53" t="s">
        <v>164</v>
      </c>
      <c r="I61" s="53" t="s">
        <v>159</v>
      </c>
      <c r="J61" s="53" t="s">
        <v>38</v>
      </c>
      <c r="K61" s="53" t="s">
        <v>161</v>
      </c>
      <c r="L61" s="53">
        <v>3</v>
      </c>
      <c r="N61" s="53">
        <v>8</v>
      </c>
      <c r="O61" s="53">
        <v>1.25</v>
      </c>
      <c r="P61" s="53">
        <v>1.1000000000000001</v>
      </c>
      <c r="Q61" s="16">
        <f t="shared" si="0"/>
        <v>1.175</v>
      </c>
      <c r="R61" s="53">
        <v>13.3</v>
      </c>
      <c r="S61" s="53">
        <v>97</v>
      </c>
      <c r="T61" s="16">
        <f t="shared" si="1"/>
        <v>36</v>
      </c>
      <c r="U61" s="53">
        <v>429</v>
      </c>
      <c r="V61" s="16">
        <f t="shared" si="2"/>
        <v>1930.5</v>
      </c>
      <c r="W61" s="53">
        <v>2</v>
      </c>
      <c r="X61" s="53" t="s">
        <v>46</v>
      </c>
      <c r="Y61" s="53" t="s">
        <v>55</v>
      </c>
      <c r="Z61" s="53" t="s">
        <v>78</v>
      </c>
      <c r="AA61" s="53" t="s">
        <v>90</v>
      </c>
      <c r="AB61" s="53" t="s">
        <v>158</v>
      </c>
    </row>
    <row r="62" spans="1:28" x14ac:dyDescent="0.15">
      <c r="A62" s="53" t="s">
        <v>41</v>
      </c>
      <c r="B62" s="53" t="s">
        <v>157</v>
      </c>
      <c r="C62" s="62">
        <v>2019</v>
      </c>
      <c r="D62" s="63" t="s">
        <v>184</v>
      </c>
      <c r="E62" s="53" t="s">
        <v>187</v>
      </c>
      <c r="F62" s="53" t="s">
        <v>189</v>
      </c>
      <c r="G62" s="53" t="s">
        <v>42</v>
      </c>
      <c r="H62" s="53" t="s">
        <v>164</v>
      </c>
      <c r="I62" s="53" t="s">
        <v>159</v>
      </c>
      <c r="J62" s="53" t="s">
        <v>38</v>
      </c>
      <c r="K62" s="53" t="s">
        <v>161</v>
      </c>
      <c r="L62" s="53">
        <v>1</v>
      </c>
      <c r="N62" s="53">
        <v>10</v>
      </c>
      <c r="O62" s="53">
        <v>0.3</v>
      </c>
      <c r="P62" s="53">
        <v>0.45</v>
      </c>
      <c r="Q62" s="16">
        <f t="shared" si="0"/>
        <v>0.375</v>
      </c>
      <c r="R62" s="53">
        <v>14.1</v>
      </c>
      <c r="S62" s="53">
        <v>110</v>
      </c>
      <c r="T62" s="16">
        <f t="shared" si="1"/>
        <v>33</v>
      </c>
      <c r="U62" s="53">
        <v>842</v>
      </c>
      <c r="V62" s="16">
        <f t="shared" si="2"/>
        <v>2778.6</v>
      </c>
      <c r="W62" s="53">
        <v>2</v>
      </c>
      <c r="X62" s="53" t="s">
        <v>46</v>
      </c>
      <c r="Y62" s="53" t="s">
        <v>55</v>
      </c>
      <c r="Z62" s="53" t="s">
        <v>78</v>
      </c>
      <c r="AA62" s="53" t="s">
        <v>90</v>
      </c>
      <c r="AB62" s="53" t="s">
        <v>158</v>
      </c>
    </row>
    <row r="63" spans="1:28" x14ac:dyDescent="0.15">
      <c r="A63" s="53" t="s">
        <v>41</v>
      </c>
      <c r="B63" s="53" t="s">
        <v>157</v>
      </c>
      <c r="C63" s="62">
        <v>2019</v>
      </c>
      <c r="D63" s="63" t="s">
        <v>184</v>
      </c>
      <c r="E63" s="53" t="s">
        <v>187</v>
      </c>
      <c r="F63" s="53" t="s">
        <v>189</v>
      </c>
      <c r="G63" s="53" t="s">
        <v>42</v>
      </c>
      <c r="H63" s="53" t="s">
        <v>164</v>
      </c>
      <c r="I63" s="53" t="s">
        <v>159</v>
      </c>
      <c r="J63" s="53" t="s">
        <v>38</v>
      </c>
      <c r="K63" s="53" t="s">
        <v>161</v>
      </c>
      <c r="L63" s="53">
        <v>2</v>
      </c>
      <c r="N63" s="53">
        <v>10</v>
      </c>
      <c r="O63" s="53">
        <v>0.65</v>
      </c>
      <c r="P63" s="53">
        <v>0.7</v>
      </c>
      <c r="Q63" s="16">
        <f t="shared" si="0"/>
        <v>0.67500000000000004</v>
      </c>
      <c r="R63" s="53">
        <v>15.2</v>
      </c>
      <c r="S63" s="53">
        <v>105</v>
      </c>
      <c r="T63" s="16">
        <f t="shared" si="1"/>
        <v>33</v>
      </c>
      <c r="U63" s="53">
        <v>842</v>
      </c>
      <c r="V63" s="16">
        <f t="shared" si="2"/>
        <v>2778.6</v>
      </c>
      <c r="W63" s="53">
        <v>2</v>
      </c>
      <c r="X63" s="53" t="s">
        <v>46</v>
      </c>
      <c r="Y63" s="53" t="s">
        <v>55</v>
      </c>
      <c r="Z63" s="53" t="s">
        <v>78</v>
      </c>
      <c r="AA63" s="53" t="s">
        <v>90</v>
      </c>
      <c r="AB63" s="53" t="s">
        <v>158</v>
      </c>
    </row>
    <row r="64" spans="1:28" x14ac:dyDescent="0.15">
      <c r="A64" s="53" t="s">
        <v>41</v>
      </c>
      <c r="B64" s="53" t="s">
        <v>157</v>
      </c>
      <c r="C64" s="62">
        <v>2019</v>
      </c>
      <c r="D64" s="63" t="s">
        <v>184</v>
      </c>
      <c r="E64" s="53" t="s">
        <v>187</v>
      </c>
      <c r="F64" s="53" t="s">
        <v>189</v>
      </c>
      <c r="G64" s="53" t="s">
        <v>42</v>
      </c>
      <c r="H64" s="53" t="s">
        <v>164</v>
      </c>
      <c r="I64" s="53" t="s">
        <v>159</v>
      </c>
      <c r="J64" s="53" t="s">
        <v>38</v>
      </c>
      <c r="K64" s="53" t="s">
        <v>161</v>
      </c>
      <c r="L64" s="53">
        <v>3</v>
      </c>
      <c r="N64" s="53">
        <v>10</v>
      </c>
      <c r="O64" s="53">
        <v>0.4</v>
      </c>
      <c r="P64" s="53">
        <v>0.55000000000000004</v>
      </c>
      <c r="Q64" s="16">
        <f t="shared" si="0"/>
        <v>0.47500000000000003</v>
      </c>
      <c r="R64" s="53">
        <v>13.9</v>
      </c>
      <c r="S64" s="53">
        <v>107</v>
      </c>
      <c r="T64" s="16">
        <f t="shared" si="1"/>
        <v>33</v>
      </c>
      <c r="U64" s="53">
        <v>842</v>
      </c>
      <c r="V64" s="16">
        <f t="shared" si="2"/>
        <v>2778.6</v>
      </c>
      <c r="W64" s="53">
        <v>2</v>
      </c>
      <c r="X64" s="53" t="s">
        <v>46</v>
      </c>
      <c r="Y64" s="53" t="s">
        <v>55</v>
      </c>
      <c r="Z64" s="53" t="s">
        <v>78</v>
      </c>
      <c r="AA64" s="53" t="s">
        <v>90</v>
      </c>
      <c r="AB64" s="53" t="s">
        <v>158</v>
      </c>
    </row>
    <row r="65" spans="1:28" x14ac:dyDescent="0.15">
      <c r="A65" s="53" t="s">
        <v>41</v>
      </c>
      <c r="B65" s="53" t="s">
        <v>157</v>
      </c>
      <c r="C65" s="62">
        <v>2019</v>
      </c>
      <c r="D65" s="63" t="s">
        <v>184</v>
      </c>
      <c r="E65" s="53" t="s">
        <v>187</v>
      </c>
      <c r="F65" s="53" t="s">
        <v>189</v>
      </c>
      <c r="G65" s="53" t="s">
        <v>42</v>
      </c>
      <c r="H65" s="53" t="s">
        <v>164</v>
      </c>
      <c r="I65" s="53" t="s">
        <v>165</v>
      </c>
      <c r="J65" s="53" t="s">
        <v>38</v>
      </c>
      <c r="K65" s="53" t="s">
        <v>161</v>
      </c>
      <c r="L65" s="53">
        <v>1</v>
      </c>
      <c r="N65" s="53">
        <v>2</v>
      </c>
      <c r="O65" s="53">
        <v>0.55000000000000004</v>
      </c>
      <c r="P65" s="53">
        <v>0.65</v>
      </c>
      <c r="Q65" s="16">
        <f t="shared" si="0"/>
        <v>0.60000000000000009</v>
      </c>
      <c r="R65" s="53">
        <v>14.7</v>
      </c>
      <c r="S65" s="53">
        <v>124</v>
      </c>
      <c r="T65" s="16">
        <f t="shared" si="1"/>
        <v>27</v>
      </c>
      <c r="U65" s="53">
        <v>321</v>
      </c>
      <c r="V65" s="16">
        <f t="shared" si="2"/>
        <v>4333.5</v>
      </c>
      <c r="W65" s="53">
        <v>1</v>
      </c>
      <c r="X65" s="53" t="s">
        <v>46</v>
      </c>
      <c r="Y65" s="53" t="s">
        <v>55</v>
      </c>
      <c r="Z65" s="53" t="s">
        <v>78</v>
      </c>
      <c r="AA65" s="53" t="s">
        <v>90</v>
      </c>
      <c r="AB65" s="53" t="s">
        <v>158</v>
      </c>
    </row>
    <row r="66" spans="1:28" x14ac:dyDescent="0.15">
      <c r="A66" s="53" t="s">
        <v>41</v>
      </c>
      <c r="B66" s="53" t="s">
        <v>157</v>
      </c>
      <c r="C66" s="62">
        <v>2019</v>
      </c>
      <c r="D66" s="63" t="s">
        <v>184</v>
      </c>
      <c r="E66" s="53" t="s">
        <v>187</v>
      </c>
      <c r="F66" s="53" t="s">
        <v>189</v>
      </c>
      <c r="G66" s="53" t="s">
        <v>42</v>
      </c>
      <c r="H66" s="53" t="s">
        <v>164</v>
      </c>
      <c r="I66" s="53" t="s">
        <v>165</v>
      </c>
      <c r="J66" s="53" t="s">
        <v>38</v>
      </c>
      <c r="K66" s="53" t="s">
        <v>161</v>
      </c>
      <c r="L66" s="53">
        <v>2</v>
      </c>
      <c r="N66" s="53">
        <v>2</v>
      </c>
      <c r="O66" s="53">
        <v>0.25</v>
      </c>
      <c r="P66" s="53">
        <v>0.35</v>
      </c>
      <c r="Q66" s="16">
        <f t="shared" ref="Q66:Q129" si="3">IF(OR(O66="",P66=""),"",AVERAGE(O66,P66))</f>
        <v>0.3</v>
      </c>
      <c r="R66" s="53">
        <v>14.2</v>
      </c>
      <c r="S66" s="53">
        <v>123</v>
      </c>
      <c r="T66" s="16">
        <f t="shared" ref="T66:T129" si="4">IF(H66="","",IF(OR(H66="GREEN",H66="GK"),IF(S66&gt;=$AX$2,VLOOKUP(S66,$AX$2:$AY$10,2,1),""),IF(S66&gt;=$AZ$2,VLOOKUP(S66,$AZ$2:$BA$10,2,1),"")))</f>
        <v>27</v>
      </c>
      <c r="U66" s="53">
        <v>321</v>
      </c>
      <c r="V66" s="16">
        <f t="shared" ref="V66:V129" si="5">IF(OR(N66="",U66="",T66=""),"",U66/N66*T66)</f>
        <v>4333.5</v>
      </c>
      <c r="W66" s="53">
        <v>1</v>
      </c>
      <c r="X66" s="53" t="s">
        <v>46</v>
      </c>
      <c r="Y66" s="53" t="s">
        <v>55</v>
      </c>
      <c r="Z66" s="53" t="s">
        <v>78</v>
      </c>
      <c r="AA66" s="53" t="s">
        <v>90</v>
      </c>
      <c r="AB66" s="53" t="s">
        <v>158</v>
      </c>
    </row>
    <row r="67" spans="1:28" x14ac:dyDescent="0.15">
      <c r="A67" s="53" t="s">
        <v>41</v>
      </c>
      <c r="B67" s="53" t="s">
        <v>157</v>
      </c>
      <c r="C67" s="62">
        <v>2019</v>
      </c>
      <c r="D67" s="63" t="s">
        <v>184</v>
      </c>
      <c r="E67" s="53" t="s">
        <v>187</v>
      </c>
      <c r="F67" s="53" t="s">
        <v>189</v>
      </c>
      <c r="G67" s="53" t="s">
        <v>42</v>
      </c>
      <c r="H67" s="53" t="s">
        <v>164</v>
      </c>
      <c r="I67" s="53" t="s">
        <v>165</v>
      </c>
      <c r="J67" s="53" t="s">
        <v>38</v>
      </c>
      <c r="K67" s="53" t="s">
        <v>161</v>
      </c>
      <c r="L67" s="53">
        <v>3</v>
      </c>
      <c r="N67" s="53">
        <v>2</v>
      </c>
      <c r="O67" s="53">
        <v>0.3</v>
      </c>
      <c r="P67" s="53">
        <v>0.4</v>
      </c>
      <c r="Q67" s="16">
        <f t="shared" si="3"/>
        <v>0.35</v>
      </c>
      <c r="R67" s="53">
        <v>13.9</v>
      </c>
      <c r="S67" s="53">
        <v>125</v>
      </c>
      <c r="T67" s="16">
        <f t="shared" si="4"/>
        <v>27</v>
      </c>
      <c r="U67" s="53">
        <v>321</v>
      </c>
      <c r="V67" s="16">
        <f t="shared" si="5"/>
        <v>4333.5</v>
      </c>
      <c r="W67" s="53">
        <v>1</v>
      </c>
      <c r="X67" s="53" t="s">
        <v>46</v>
      </c>
      <c r="Y67" s="53" t="s">
        <v>55</v>
      </c>
      <c r="Z67" s="53" t="s">
        <v>78</v>
      </c>
      <c r="AA67" s="53" t="s">
        <v>90</v>
      </c>
      <c r="AB67" s="53" t="s">
        <v>158</v>
      </c>
    </row>
    <row r="68" spans="1:28" x14ac:dyDescent="0.15">
      <c r="A68" s="53" t="s">
        <v>41</v>
      </c>
      <c r="B68" s="53" t="s">
        <v>157</v>
      </c>
      <c r="C68" s="62">
        <v>2019</v>
      </c>
      <c r="D68" s="63" t="s">
        <v>184</v>
      </c>
      <c r="E68" s="53" t="s">
        <v>195</v>
      </c>
      <c r="F68" s="53" t="s">
        <v>185</v>
      </c>
      <c r="G68" s="53" t="s">
        <v>42</v>
      </c>
      <c r="H68" s="53" t="s">
        <v>164</v>
      </c>
      <c r="I68" s="53" t="s">
        <v>159</v>
      </c>
      <c r="J68" s="53" t="s">
        <v>38</v>
      </c>
      <c r="K68" s="53" t="s">
        <v>161</v>
      </c>
      <c r="L68" s="53">
        <v>1</v>
      </c>
      <c r="N68" s="53">
        <v>1</v>
      </c>
      <c r="O68" s="53">
        <v>0.25</v>
      </c>
      <c r="P68" s="53">
        <v>0.35</v>
      </c>
      <c r="Q68" s="75">
        <f t="shared" si="3"/>
        <v>0.3</v>
      </c>
      <c r="R68" s="53">
        <v>15.8</v>
      </c>
      <c r="S68" s="53">
        <v>120</v>
      </c>
      <c r="T68" s="16">
        <f t="shared" si="4"/>
        <v>30</v>
      </c>
      <c r="U68" s="53">
        <v>108</v>
      </c>
      <c r="V68" s="16">
        <f t="shared" si="5"/>
        <v>3240</v>
      </c>
      <c r="W68" s="53">
        <v>2</v>
      </c>
      <c r="X68" s="53" t="s">
        <v>46</v>
      </c>
      <c r="Y68" s="53" t="s">
        <v>60</v>
      </c>
      <c r="Z68" s="53" t="s">
        <v>69</v>
      </c>
      <c r="AA68" s="53" t="s">
        <v>86</v>
      </c>
      <c r="AB68" s="53" t="s">
        <v>158</v>
      </c>
    </row>
    <row r="69" spans="1:28" x14ac:dyDescent="0.15">
      <c r="A69" s="53" t="s">
        <v>41</v>
      </c>
      <c r="B69" s="53" t="s">
        <v>157</v>
      </c>
      <c r="C69" s="62">
        <v>2019</v>
      </c>
      <c r="D69" s="63" t="s">
        <v>184</v>
      </c>
      <c r="E69" s="53" t="s">
        <v>195</v>
      </c>
      <c r="F69" s="53" t="s">
        <v>185</v>
      </c>
      <c r="G69" s="53" t="s">
        <v>42</v>
      </c>
      <c r="H69" s="53" t="s">
        <v>164</v>
      </c>
      <c r="I69" s="53" t="s">
        <v>159</v>
      </c>
      <c r="J69" s="53" t="s">
        <v>38</v>
      </c>
      <c r="K69" s="53" t="s">
        <v>161</v>
      </c>
      <c r="L69" s="53">
        <v>2</v>
      </c>
      <c r="N69" s="53">
        <v>1</v>
      </c>
      <c r="O69" s="53">
        <v>0.45</v>
      </c>
      <c r="P69" s="53">
        <v>0.6</v>
      </c>
      <c r="Q69" s="75">
        <f t="shared" si="3"/>
        <v>0.52500000000000002</v>
      </c>
      <c r="R69" s="53">
        <v>15.8</v>
      </c>
      <c r="S69" s="53">
        <v>123</v>
      </c>
      <c r="T69" s="16">
        <f t="shared" si="4"/>
        <v>27</v>
      </c>
      <c r="U69" s="53">
        <v>108</v>
      </c>
      <c r="V69" s="16">
        <f t="shared" si="5"/>
        <v>2916</v>
      </c>
      <c r="W69" s="53">
        <v>2</v>
      </c>
      <c r="X69" s="53" t="s">
        <v>46</v>
      </c>
      <c r="Y69" s="53" t="s">
        <v>60</v>
      </c>
      <c r="Z69" s="53" t="s">
        <v>69</v>
      </c>
      <c r="AA69" s="53" t="s">
        <v>86</v>
      </c>
      <c r="AB69" s="53" t="s">
        <v>158</v>
      </c>
    </row>
    <row r="70" spans="1:28" x14ac:dyDescent="0.15">
      <c r="A70" s="53" t="s">
        <v>41</v>
      </c>
      <c r="B70" s="53" t="s">
        <v>157</v>
      </c>
      <c r="C70" s="62">
        <v>2019</v>
      </c>
      <c r="D70" s="63" t="s">
        <v>184</v>
      </c>
      <c r="E70" s="53" t="s">
        <v>195</v>
      </c>
      <c r="F70" s="53" t="s">
        <v>185</v>
      </c>
      <c r="G70" s="53" t="s">
        <v>42</v>
      </c>
      <c r="H70" s="53" t="s">
        <v>164</v>
      </c>
      <c r="I70" s="53" t="s">
        <v>159</v>
      </c>
      <c r="J70" s="53" t="s">
        <v>38</v>
      </c>
      <c r="K70" s="53" t="s">
        <v>161</v>
      </c>
      <c r="L70" s="53">
        <v>3</v>
      </c>
      <c r="N70" s="53">
        <v>1</v>
      </c>
      <c r="O70" s="53">
        <v>0.65</v>
      </c>
      <c r="P70" s="53">
        <v>0.55000000000000004</v>
      </c>
      <c r="Q70" s="75">
        <f t="shared" si="3"/>
        <v>0.60000000000000009</v>
      </c>
      <c r="R70" s="53">
        <v>13.5</v>
      </c>
      <c r="S70" s="53">
        <v>122</v>
      </c>
      <c r="T70" s="16">
        <f t="shared" si="4"/>
        <v>27</v>
      </c>
      <c r="U70" s="53">
        <v>108</v>
      </c>
      <c r="V70" s="16">
        <f t="shared" si="5"/>
        <v>2916</v>
      </c>
      <c r="W70" s="53">
        <v>2</v>
      </c>
      <c r="X70" s="53" t="s">
        <v>46</v>
      </c>
      <c r="Y70" s="53" t="s">
        <v>60</v>
      </c>
      <c r="Z70" s="53" t="s">
        <v>69</v>
      </c>
      <c r="AA70" s="53" t="s">
        <v>86</v>
      </c>
      <c r="AB70" s="53" t="s">
        <v>158</v>
      </c>
    </row>
    <row r="71" spans="1:28" x14ac:dyDescent="0.15">
      <c r="A71" s="53" t="s">
        <v>41</v>
      </c>
      <c r="B71" s="53" t="s">
        <v>157</v>
      </c>
      <c r="C71" s="62">
        <v>2019</v>
      </c>
      <c r="D71" s="63" t="s">
        <v>184</v>
      </c>
      <c r="E71" s="53" t="s">
        <v>195</v>
      </c>
      <c r="F71" s="53" t="s">
        <v>185</v>
      </c>
      <c r="G71" s="53" t="s">
        <v>42</v>
      </c>
      <c r="H71" s="53" t="s">
        <v>164</v>
      </c>
      <c r="I71" s="53" t="s">
        <v>159</v>
      </c>
      <c r="J71" s="53" t="s">
        <v>38</v>
      </c>
      <c r="K71" s="53" t="s">
        <v>161</v>
      </c>
      <c r="L71" s="53">
        <v>1</v>
      </c>
      <c r="N71" s="53">
        <v>6</v>
      </c>
      <c r="O71" s="53">
        <v>0.8</v>
      </c>
      <c r="P71" s="53">
        <v>0.65</v>
      </c>
      <c r="Q71" s="75">
        <f t="shared" si="3"/>
        <v>0.72500000000000009</v>
      </c>
      <c r="R71" s="53">
        <v>14</v>
      </c>
      <c r="S71" s="53">
        <v>124</v>
      </c>
      <c r="T71" s="16">
        <f t="shared" si="4"/>
        <v>27</v>
      </c>
      <c r="U71" s="53">
        <v>429</v>
      </c>
      <c r="V71" s="16">
        <f t="shared" si="5"/>
        <v>1930.5</v>
      </c>
      <c r="W71" s="53">
        <v>1</v>
      </c>
      <c r="X71" s="53" t="s">
        <v>46</v>
      </c>
      <c r="Y71" s="53" t="s">
        <v>60</v>
      </c>
      <c r="Z71" s="53" t="s">
        <v>69</v>
      </c>
      <c r="AA71" s="53" t="s">
        <v>86</v>
      </c>
      <c r="AB71" s="53" t="s">
        <v>158</v>
      </c>
    </row>
    <row r="72" spans="1:28" x14ac:dyDescent="0.15">
      <c r="A72" s="53" t="s">
        <v>41</v>
      </c>
      <c r="B72" s="53" t="s">
        <v>157</v>
      </c>
      <c r="C72" s="62">
        <v>2019</v>
      </c>
      <c r="D72" s="63" t="s">
        <v>184</v>
      </c>
      <c r="E72" s="53" t="s">
        <v>195</v>
      </c>
      <c r="F72" s="53" t="s">
        <v>185</v>
      </c>
      <c r="G72" s="53" t="s">
        <v>42</v>
      </c>
      <c r="H72" s="53" t="s">
        <v>164</v>
      </c>
      <c r="I72" s="53" t="s">
        <v>159</v>
      </c>
      <c r="J72" s="53" t="s">
        <v>38</v>
      </c>
      <c r="K72" s="53" t="s">
        <v>161</v>
      </c>
      <c r="L72" s="53">
        <v>2</v>
      </c>
      <c r="N72" s="53">
        <v>6</v>
      </c>
      <c r="O72" s="53">
        <v>1</v>
      </c>
      <c r="P72" s="53">
        <v>0.9</v>
      </c>
      <c r="Q72" s="75">
        <f t="shared" si="3"/>
        <v>0.95</v>
      </c>
      <c r="R72" s="53">
        <v>12.3</v>
      </c>
      <c r="S72" s="53">
        <v>125</v>
      </c>
      <c r="T72" s="16">
        <f t="shared" si="4"/>
        <v>27</v>
      </c>
      <c r="U72" s="53">
        <v>429</v>
      </c>
      <c r="V72" s="16">
        <f t="shared" si="5"/>
        <v>1930.5</v>
      </c>
      <c r="W72" s="53">
        <v>1</v>
      </c>
      <c r="X72" s="53" t="s">
        <v>46</v>
      </c>
      <c r="Y72" s="53" t="s">
        <v>60</v>
      </c>
      <c r="Z72" s="53" t="s">
        <v>69</v>
      </c>
      <c r="AA72" s="53" t="s">
        <v>86</v>
      </c>
      <c r="AB72" s="53" t="s">
        <v>158</v>
      </c>
    </row>
    <row r="73" spans="1:28" x14ac:dyDescent="0.15">
      <c r="A73" s="53" t="s">
        <v>41</v>
      </c>
      <c r="B73" s="53" t="s">
        <v>157</v>
      </c>
      <c r="C73" s="62">
        <v>2019</v>
      </c>
      <c r="D73" s="63" t="s">
        <v>184</v>
      </c>
      <c r="E73" s="53" t="s">
        <v>195</v>
      </c>
      <c r="F73" s="53" t="s">
        <v>185</v>
      </c>
      <c r="G73" s="53" t="s">
        <v>42</v>
      </c>
      <c r="H73" s="53" t="s">
        <v>164</v>
      </c>
      <c r="I73" s="53" t="s">
        <v>159</v>
      </c>
      <c r="J73" s="53" t="s">
        <v>38</v>
      </c>
      <c r="K73" s="53" t="s">
        <v>161</v>
      </c>
      <c r="L73" s="53">
        <v>3</v>
      </c>
      <c r="N73" s="53">
        <v>6</v>
      </c>
      <c r="O73" s="53">
        <v>1</v>
      </c>
      <c r="P73" s="53">
        <v>0.85</v>
      </c>
      <c r="Q73" s="75">
        <f t="shared" si="3"/>
        <v>0.92500000000000004</v>
      </c>
      <c r="R73" s="53">
        <v>11.2</v>
      </c>
      <c r="S73" s="53">
        <v>123</v>
      </c>
      <c r="T73" s="16">
        <f t="shared" si="4"/>
        <v>27</v>
      </c>
      <c r="U73" s="53">
        <v>429</v>
      </c>
      <c r="V73" s="16">
        <f t="shared" si="5"/>
        <v>1930.5</v>
      </c>
      <c r="W73" s="53">
        <v>1</v>
      </c>
      <c r="X73" s="53" t="s">
        <v>46</v>
      </c>
      <c r="Y73" s="53" t="s">
        <v>60</v>
      </c>
      <c r="Z73" s="53" t="s">
        <v>69</v>
      </c>
      <c r="AA73" s="53" t="s">
        <v>86</v>
      </c>
      <c r="AB73" s="53" t="s">
        <v>158</v>
      </c>
    </row>
    <row r="74" spans="1:28" x14ac:dyDescent="0.15">
      <c r="A74" s="53" t="s">
        <v>41</v>
      </c>
      <c r="B74" s="53" t="s">
        <v>157</v>
      </c>
      <c r="C74" s="62">
        <v>2019</v>
      </c>
      <c r="D74" s="63" t="s">
        <v>184</v>
      </c>
      <c r="E74" s="53" t="s">
        <v>195</v>
      </c>
      <c r="F74" s="53" t="s">
        <v>185</v>
      </c>
      <c r="G74" s="53" t="s">
        <v>42</v>
      </c>
      <c r="H74" s="53" t="s">
        <v>160</v>
      </c>
      <c r="I74" s="53" t="s">
        <v>159</v>
      </c>
      <c r="J74" s="53" t="s">
        <v>38</v>
      </c>
      <c r="K74" s="53" t="s">
        <v>161</v>
      </c>
      <c r="L74" s="53">
        <v>1</v>
      </c>
      <c r="N74" s="53">
        <v>1</v>
      </c>
      <c r="O74" s="53">
        <v>0.85</v>
      </c>
      <c r="P74" s="53">
        <v>0.8</v>
      </c>
      <c r="Q74" s="75">
        <f t="shared" si="3"/>
        <v>0.82499999999999996</v>
      </c>
      <c r="R74" s="53">
        <v>14</v>
      </c>
      <c r="S74" s="53">
        <v>124</v>
      </c>
      <c r="T74" s="16">
        <f t="shared" si="4"/>
        <v>27</v>
      </c>
      <c r="U74" s="53">
        <v>170</v>
      </c>
      <c r="V74" s="16">
        <f t="shared" si="5"/>
        <v>4590</v>
      </c>
      <c r="W74" s="53">
        <v>2</v>
      </c>
      <c r="X74" s="53" t="s">
        <v>46</v>
      </c>
      <c r="Y74" s="53" t="s">
        <v>60</v>
      </c>
      <c r="Z74" s="53" t="s">
        <v>69</v>
      </c>
      <c r="AA74" s="53" t="s">
        <v>86</v>
      </c>
      <c r="AB74" s="53" t="s">
        <v>158</v>
      </c>
    </row>
    <row r="75" spans="1:28" x14ac:dyDescent="0.15">
      <c r="A75" s="53" t="s">
        <v>41</v>
      </c>
      <c r="B75" s="53" t="s">
        <v>157</v>
      </c>
      <c r="C75" s="62">
        <v>2019</v>
      </c>
      <c r="D75" s="63" t="s">
        <v>184</v>
      </c>
      <c r="E75" s="53" t="s">
        <v>195</v>
      </c>
      <c r="F75" s="53" t="s">
        <v>185</v>
      </c>
      <c r="G75" s="53" t="s">
        <v>42</v>
      </c>
      <c r="H75" s="53" t="s">
        <v>160</v>
      </c>
      <c r="I75" s="53" t="s">
        <v>159</v>
      </c>
      <c r="J75" s="53" t="s">
        <v>38</v>
      </c>
      <c r="K75" s="53" t="s">
        <v>161</v>
      </c>
      <c r="L75" s="53">
        <v>2</v>
      </c>
      <c r="N75" s="53">
        <v>1</v>
      </c>
      <c r="O75" s="53">
        <v>0.65</v>
      </c>
      <c r="P75" s="53">
        <v>0.7</v>
      </c>
      <c r="Q75" s="75">
        <f t="shared" si="3"/>
        <v>0.67500000000000004</v>
      </c>
      <c r="R75" s="53">
        <v>15.2</v>
      </c>
      <c r="S75" s="53">
        <v>125</v>
      </c>
      <c r="T75" s="16">
        <f t="shared" si="4"/>
        <v>27</v>
      </c>
      <c r="U75" s="53">
        <v>170</v>
      </c>
      <c r="V75" s="16">
        <f t="shared" si="5"/>
        <v>4590</v>
      </c>
      <c r="W75" s="53">
        <v>2</v>
      </c>
      <c r="X75" s="53" t="s">
        <v>46</v>
      </c>
      <c r="Y75" s="53" t="s">
        <v>60</v>
      </c>
      <c r="Z75" s="53" t="s">
        <v>69</v>
      </c>
      <c r="AA75" s="53" t="s">
        <v>86</v>
      </c>
      <c r="AB75" s="53" t="s">
        <v>158</v>
      </c>
    </row>
    <row r="76" spans="1:28" x14ac:dyDescent="0.15">
      <c r="A76" s="53" t="s">
        <v>41</v>
      </c>
      <c r="B76" s="53" t="s">
        <v>157</v>
      </c>
      <c r="C76" s="62">
        <v>2019</v>
      </c>
      <c r="D76" s="63" t="s">
        <v>184</v>
      </c>
      <c r="E76" s="53" t="s">
        <v>195</v>
      </c>
      <c r="F76" s="53" t="s">
        <v>185</v>
      </c>
      <c r="G76" s="53" t="s">
        <v>42</v>
      </c>
      <c r="H76" s="53" t="s">
        <v>160</v>
      </c>
      <c r="I76" s="53" t="s">
        <v>159</v>
      </c>
      <c r="J76" s="53" t="s">
        <v>38</v>
      </c>
      <c r="K76" s="53" t="s">
        <v>161</v>
      </c>
      <c r="L76" s="53">
        <v>3</v>
      </c>
      <c r="N76" s="53">
        <v>1</v>
      </c>
      <c r="O76" s="53">
        <v>0.75</v>
      </c>
      <c r="P76" s="53">
        <v>0.9</v>
      </c>
      <c r="Q76" s="75">
        <f t="shared" si="3"/>
        <v>0.82499999999999996</v>
      </c>
      <c r="R76" s="53">
        <v>14.8</v>
      </c>
      <c r="S76" s="53">
        <v>126</v>
      </c>
      <c r="T76" s="16">
        <f t="shared" si="4"/>
        <v>27</v>
      </c>
      <c r="U76" s="53">
        <v>170</v>
      </c>
      <c r="V76" s="16">
        <f t="shared" si="5"/>
        <v>4590</v>
      </c>
      <c r="W76" s="53">
        <v>2</v>
      </c>
      <c r="X76" s="53" t="s">
        <v>46</v>
      </c>
      <c r="Y76" s="53" t="s">
        <v>60</v>
      </c>
      <c r="Z76" s="53" t="s">
        <v>69</v>
      </c>
      <c r="AA76" s="53" t="s">
        <v>86</v>
      </c>
      <c r="AB76" s="53" t="s">
        <v>158</v>
      </c>
    </row>
    <row r="77" spans="1:28" x14ac:dyDescent="0.15">
      <c r="A77" s="53" t="s">
        <v>41</v>
      </c>
      <c r="B77" s="53" t="s">
        <v>157</v>
      </c>
      <c r="C77" s="62">
        <v>2019</v>
      </c>
      <c r="D77" s="63" t="s">
        <v>184</v>
      </c>
      <c r="E77" s="53" t="s">
        <v>195</v>
      </c>
      <c r="F77" s="53" t="s">
        <v>185</v>
      </c>
      <c r="G77" s="53" t="s">
        <v>42</v>
      </c>
      <c r="H77" s="53" t="s">
        <v>160</v>
      </c>
      <c r="I77" s="53" t="s">
        <v>159</v>
      </c>
      <c r="J77" s="53" t="s">
        <v>38</v>
      </c>
      <c r="K77" s="53" t="s">
        <v>161</v>
      </c>
      <c r="L77" s="53">
        <v>1</v>
      </c>
      <c r="N77" s="53">
        <v>4</v>
      </c>
      <c r="O77" s="53">
        <v>0.9</v>
      </c>
      <c r="P77" s="53">
        <v>1</v>
      </c>
      <c r="Q77" s="75">
        <f t="shared" si="3"/>
        <v>0.95</v>
      </c>
      <c r="R77" s="53">
        <v>14.5</v>
      </c>
      <c r="S77" s="53">
        <v>122</v>
      </c>
      <c r="T77" s="16">
        <f t="shared" si="4"/>
        <v>27</v>
      </c>
      <c r="U77" s="53">
        <v>537</v>
      </c>
      <c r="V77" s="16">
        <f t="shared" si="5"/>
        <v>3624.75</v>
      </c>
      <c r="W77" s="53">
        <v>2</v>
      </c>
      <c r="X77" s="53" t="s">
        <v>46</v>
      </c>
      <c r="Y77" s="53" t="s">
        <v>60</v>
      </c>
      <c r="Z77" s="53" t="s">
        <v>69</v>
      </c>
      <c r="AA77" s="53" t="s">
        <v>86</v>
      </c>
      <c r="AB77" s="53" t="s">
        <v>158</v>
      </c>
    </row>
    <row r="78" spans="1:28" x14ac:dyDescent="0.15">
      <c r="A78" s="53" t="s">
        <v>41</v>
      </c>
      <c r="B78" s="53" t="s">
        <v>157</v>
      </c>
      <c r="C78" s="62">
        <v>2019</v>
      </c>
      <c r="D78" s="63" t="s">
        <v>184</v>
      </c>
      <c r="E78" s="53" t="s">
        <v>195</v>
      </c>
      <c r="F78" s="53" t="s">
        <v>185</v>
      </c>
      <c r="G78" s="53" t="s">
        <v>42</v>
      </c>
      <c r="H78" s="53" t="s">
        <v>160</v>
      </c>
      <c r="I78" s="53" t="s">
        <v>159</v>
      </c>
      <c r="J78" s="53" t="s">
        <v>38</v>
      </c>
      <c r="K78" s="53" t="s">
        <v>161</v>
      </c>
      <c r="L78" s="53">
        <v>2</v>
      </c>
      <c r="N78" s="53">
        <v>4</v>
      </c>
      <c r="O78" s="53">
        <v>0.45</v>
      </c>
      <c r="P78" s="53">
        <v>0.5</v>
      </c>
      <c r="Q78" s="75">
        <f t="shared" si="3"/>
        <v>0.47499999999999998</v>
      </c>
      <c r="R78" s="53">
        <v>14.8</v>
      </c>
      <c r="S78" s="53">
        <v>123</v>
      </c>
      <c r="T78" s="16">
        <f t="shared" si="4"/>
        <v>27</v>
      </c>
      <c r="U78" s="53">
        <v>537</v>
      </c>
      <c r="V78" s="16">
        <f t="shared" si="5"/>
        <v>3624.75</v>
      </c>
      <c r="W78" s="53">
        <v>2</v>
      </c>
      <c r="X78" s="53" t="s">
        <v>46</v>
      </c>
      <c r="Y78" s="53" t="s">
        <v>60</v>
      </c>
      <c r="Z78" s="53" t="s">
        <v>69</v>
      </c>
      <c r="AA78" s="53" t="s">
        <v>86</v>
      </c>
      <c r="AB78" s="53" t="s">
        <v>158</v>
      </c>
    </row>
    <row r="79" spans="1:28" x14ac:dyDescent="0.15">
      <c r="A79" s="53" t="s">
        <v>41</v>
      </c>
      <c r="B79" s="53" t="s">
        <v>157</v>
      </c>
      <c r="C79" s="62">
        <v>2019</v>
      </c>
      <c r="D79" s="63" t="s">
        <v>184</v>
      </c>
      <c r="E79" s="53" t="s">
        <v>195</v>
      </c>
      <c r="F79" s="53" t="s">
        <v>185</v>
      </c>
      <c r="G79" s="53" t="s">
        <v>42</v>
      </c>
      <c r="H79" s="53" t="s">
        <v>160</v>
      </c>
      <c r="I79" s="53" t="s">
        <v>159</v>
      </c>
      <c r="J79" s="53" t="s">
        <v>38</v>
      </c>
      <c r="K79" s="53" t="s">
        <v>161</v>
      </c>
      <c r="L79" s="53">
        <v>3</v>
      </c>
      <c r="N79" s="53">
        <v>4</v>
      </c>
      <c r="O79" s="53">
        <v>0.45</v>
      </c>
      <c r="P79" s="53">
        <v>0.6</v>
      </c>
      <c r="Q79" s="75">
        <f t="shared" si="3"/>
        <v>0.52500000000000002</v>
      </c>
      <c r="R79" s="53">
        <v>15.8</v>
      </c>
      <c r="S79" s="53">
        <v>121</v>
      </c>
      <c r="T79" s="16">
        <f t="shared" si="4"/>
        <v>27</v>
      </c>
      <c r="U79" s="53">
        <v>537</v>
      </c>
      <c r="V79" s="16">
        <f t="shared" si="5"/>
        <v>3624.75</v>
      </c>
      <c r="W79" s="53">
        <v>2</v>
      </c>
      <c r="X79" s="53" t="s">
        <v>46</v>
      </c>
      <c r="Y79" s="53" t="s">
        <v>60</v>
      </c>
      <c r="Z79" s="53" t="s">
        <v>69</v>
      </c>
      <c r="AA79" s="53" t="s">
        <v>86</v>
      </c>
      <c r="AB79" s="53" t="s">
        <v>158</v>
      </c>
    </row>
    <row r="80" spans="1:28" x14ac:dyDescent="0.15">
      <c r="A80" s="53" t="s">
        <v>41</v>
      </c>
      <c r="B80" s="53" t="s">
        <v>157</v>
      </c>
      <c r="C80" s="62">
        <v>2019</v>
      </c>
      <c r="D80" s="63" t="s">
        <v>184</v>
      </c>
      <c r="E80" s="53" t="s">
        <v>195</v>
      </c>
      <c r="F80" s="53" t="s">
        <v>185</v>
      </c>
      <c r="G80" s="53" t="s">
        <v>42</v>
      </c>
      <c r="H80" s="53" t="s">
        <v>160</v>
      </c>
      <c r="I80" s="53" t="s">
        <v>159</v>
      </c>
      <c r="J80" s="53" t="s">
        <v>38</v>
      </c>
      <c r="K80" s="53" t="s">
        <v>161</v>
      </c>
      <c r="L80" s="53">
        <v>1</v>
      </c>
      <c r="N80" s="53">
        <v>8</v>
      </c>
      <c r="O80" s="53">
        <v>0.75</v>
      </c>
      <c r="P80" s="53">
        <v>0.85</v>
      </c>
      <c r="Q80" s="75">
        <f t="shared" si="3"/>
        <v>0.8</v>
      </c>
      <c r="R80" s="53">
        <v>12.6</v>
      </c>
      <c r="S80" s="53">
        <v>120</v>
      </c>
      <c r="T80" s="16">
        <f t="shared" si="4"/>
        <v>30</v>
      </c>
      <c r="U80" s="53">
        <v>1058</v>
      </c>
      <c r="V80" s="16">
        <f t="shared" si="5"/>
        <v>3967.5</v>
      </c>
      <c r="W80" s="53">
        <v>4</v>
      </c>
      <c r="X80" s="53" t="s">
        <v>46</v>
      </c>
      <c r="Y80" s="53" t="s">
        <v>60</v>
      </c>
      <c r="Z80" s="53" t="s">
        <v>69</v>
      </c>
      <c r="AA80" s="53" t="s">
        <v>86</v>
      </c>
      <c r="AB80" s="53" t="s">
        <v>158</v>
      </c>
    </row>
    <row r="81" spans="1:34" x14ac:dyDescent="0.15">
      <c r="A81" s="53" t="s">
        <v>41</v>
      </c>
      <c r="B81" s="53" t="s">
        <v>157</v>
      </c>
      <c r="C81" s="62">
        <v>2019</v>
      </c>
      <c r="D81" s="63" t="s">
        <v>184</v>
      </c>
      <c r="E81" s="53" t="s">
        <v>195</v>
      </c>
      <c r="F81" s="53" t="s">
        <v>185</v>
      </c>
      <c r="G81" s="53" t="s">
        <v>42</v>
      </c>
      <c r="H81" s="53" t="s">
        <v>160</v>
      </c>
      <c r="I81" s="53" t="s">
        <v>159</v>
      </c>
      <c r="J81" s="53" t="s">
        <v>38</v>
      </c>
      <c r="K81" s="53" t="s">
        <v>161</v>
      </c>
      <c r="L81" s="53">
        <v>2</v>
      </c>
      <c r="N81" s="53">
        <v>8</v>
      </c>
      <c r="O81" s="53">
        <v>0.9</v>
      </c>
      <c r="P81" s="53">
        <v>0.8</v>
      </c>
      <c r="Q81" s="75">
        <f t="shared" si="3"/>
        <v>0.85000000000000009</v>
      </c>
      <c r="R81" s="53">
        <v>13.7</v>
      </c>
      <c r="S81" s="53">
        <v>120</v>
      </c>
      <c r="T81" s="16">
        <f t="shared" si="4"/>
        <v>30</v>
      </c>
      <c r="U81" s="53">
        <v>1058</v>
      </c>
      <c r="V81" s="16">
        <f t="shared" si="5"/>
        <v>3967.5</v>
      </c>
      <c r="W81" s="53">
        <v>4</v>
      </c>
      <c r="X81" s="53" t="s">
        <v>46</v>
      </c>
      <c r="Y81" s="53" t="s">
        <v>60</v>
      </c>
      <c r="Z81" s="53" t="s">
        <v>69</v>
      </c>
      <c r="AA81" s="53" t="s">
        <v>86</v>
      </c>
      <c r="AB81" s="53" t="s">
        <v>158</v>
      </c>
    </row>
    <row r="82" spans="1:34" x14ac:dyDescent="0.15">
      <c r="A82" s="53" t="s">
        <v>41</v>
      </c>
      <c r="B82" s="53" t="s">
        <v>157</v>
      </c>
      <c r="C82" s="62">
        <v>2019</v>
      </c>
      <c r="D82" s="63" t="s">
        <v>184</v>
      </c>
      <c r="E82" s="53" t="s">
        <v>195</v>
      </c>
      <c r="F82" s="53" t="s">
        <v>185</v>
      </c>
      <c r="G82" s="53" t="s">
        <v>42</v>
      </c>
      <c r="H82" s="53" t="s">
        <v>160</v>
      </c>
      <c r="I82" s="53" t="s">
        <v>159</v>
      </c>
      <c r="J82" s="53" t="s">
        <v>38</v>
      </c>
      <c r="K82" s="53" t="s">
        <v>161</v>
      </c>
      <c r="L82" s="53">
        <v>3</v>
      </c>
      <c r="N82" s="53">
        <v>8</v>
      </c>
      <c r="O82" s="53">
        <v>0.85</v>
      </c>
      <c r="P82" s="53">
        <v>0.9</v>
      </c>
      <c r="Q82" s="75">
        <f t="shared" si="3"/>
        <v>0.875</v>
      </c>
      <c r="R82" s="53">
        <v>13.8</v>
      </c>
      <c r="S82" s="53">
        <v>115</v>
      </c>
      <c r="T82" s="16">
        <f t="shared" si="4"/>
        <v>30</v>
      </c>
      <c r="U82" s="53">
        <v>1058</v>
      </c>
      <c r="V82" s="16">
        <f t="shared" si="5"/>
        <v>3967.5</v>
      </c>
      <c r="W82" s="53">
        <v>4</v>
      </c>
      <c r="X82" s="53" t="s">
        <v>46</v>
      </c>
      <c r="Y82" s="53" t="s">
        <v>60</v>
      </c>
      <c r="Z82" s="53" t="s">
        <v>69</v>
      </c>
      <c r="AA82" s="53" t="s">
        <v>86</v>
      </c>
      <c r="AB82" s="53" t="s">
        <v>158</v>
      </c>
    </row>
    <row r="83" spans="1:34" x14ac:dyDescent="0.15">
      <c r="A83" s="53" t="s">
        <v>41</v>
      </c>
      <c r="B83" s="53" t="s">
        <v>157</v>
      </c>
      <c r="C83" s="62">
        <v>2019</v>
      </c>
      <c r="D83" s="63" t="s">
        <v>184</v>
      </c>
      <c r="E83" s="53" t="s">
        <v>195</v>
      </c>
      <c r="F83" s="53" t="s">
        <v>197</v>
      </c>
      <c r="G83" s="53" t="s">
        <v>42</v>
      </c>
      <c r="H83" s="53" t="s">
        <v>164</v>
      </c>
      <c r="I83" s="53" t="s">
        <v>159</v>
      </c>
      <c r="J83" s="53" t="s">
        <v>38</v>
      </c>
      <c r="K83" s="53" t="s">
        <v>161</v>
      </c>
      <c r="L83" s="53">
        <v>1</v>
      </c>
      <c r="N83" s="53">
        <v>1</v>
      </c>
      <c r="O83" s="53">
        <v>0.6</v>
      </c>
      <c r="P83" s="53">
        <v>0.75</v>
      </c>
      <c r="Q83" s="75">
        <f t="shared" si="3"/>
        <v>0.67500000000000004</v>
      </c>
      <c r="R83" s="53">
        <v>14.8</v>
      </c>
      <c r="S83" s="53">
        <v>123</v>
      </c>
      <c r="T83" s="16">
        <f t="shared" si="4"/>
        <v>27</v>
      </c>
      <c r="U83" s="53">
        <v>105</v>
      </c>
      <c r="V83" s="16">
        <f t="shared" si="5"/>
        <v>2835</v>
      </c>
      <c r="W83" s="53">
        <v>1</v>
      </c>
      <c r="X83" s="53" t="s">
        <v>46</v>
      </c>
      <c r="Y83" s="53" t="s">
        <v>69</v>
      </c>
      <c r="Z83" s="53" t="s">
        <v>86</v>
      </c>
      <c r="AA83" s="53" t="s">
        <v>64</v>
      </c>
      <c r="AB83" s="53" t="s">
        <v>158</v>
      </c>
    </row>
    <row r="84" spans="1:34" x14ac:dyDescent="0.15">
      <c r="A84" s="53" t="s">
        <v>41</v>
      </c>
      <c r="B84" s="53" t="s">
        <v>157</v>
      </c>
      <c r="C84" s="62">
        <v>2019</v>
      </c>
      <c r="D84" s="63" t="s">
        <v>184</v>
      </c>
      <c r="E84" s="53" t="s">
        <v>195</v>
      </c>
      <c r="F84" s="53" t="s">
        <v>197</v>
      </c>
      <c r="G84" s="53" t="s">
        <v>42</v>
      </c>
      <c r="H84" s="53" t="s">
        <v>164</v>
      </c>
      <c r="I84" s="53" t="s">
        <v>159</v>
      </c>
      <c r="J84" s="53" t="s">
        <v>38</v>
      </c>
      <c r="K84" s="53" t="s">
        <v>161</v>
      </c>
      <c r="L84" s="53">
        <v>2</v>
      </c>
      <c r="N84" s="53">
        <v>1</v>
      </c>
      <c r="O84" s="53">
        <v>0.25</v>
      </c>
      <c r="P84" s="53">
        <v>0.2</v>
      </c>
      <c r="Q84" s="75">
        <f t="shared" si="3"/>
        <v>0.22500000000000001</v>
      </c>
      <c r="R84" s="53">
        <v>17.399999999999999</v>
      </c>
      <c r="S84" s="53">
        <v>124</v>
      </c>
      <c r="T84" s="16">
        <f t="shared" si="4"/>
        <v>27</v>
      </c>
      <c r="U84" s="53">
        <v>105</v>
      </c>
      <c r="V84" s="16">
        <f t="shared" si="5"/>
        <v>2835</v>
      </c>
      <c r="W84" s="53">
        <v>1</v>
      </c>
      <c r="X84" s="53" t="s">
        <v>46</v>
      </c>
      <c r="Y84" s="53" t="s">
        <v>69</v>
      </c>
      <c r="Z84" s="53" t="s">
        <v>86</v>
      </c>
      <c r="AA84" s="53" t="s">
        <v>64</v>
      </c>
      <c r="AB84" s="53" t="s">
        <v>158</v>
      </c>
    </row>
    <row r="85" spans="1:34" x14ac:dyDescent="0.15">
      <c r="A85" s="53" t="s">
        <v>41</v>
      </c>
      <c r="B85" s="53" t="s">
        <v>157</v>
      </c>
      <c r="C85" s="62">
        <v>2019</v>
      </c>
      <c r="D85" s="63" t="s">
        <v>184</v>
      </c>
      <c r="E85" s="53" t="s">
        <v>195</v>
      </c>
      <c r="F85" s="53" t="s">
        <v>197</v>
      </c>
      <c r="G85" s="53" t="s">
        <v>42</v>
      </c>
      <c r="H85" s="53" t="s">
        <v>164</v>
      </c>
      <c r="I85" s="53" t="s">
        <v>159</v>
      </c>
      <c r="J85" s="53" t="s">
        <v>38</v>
      </c>
      <c r="K85" s="53" t="s">
        <v>161</v>
      </c>
      <c r="L85" s="53">
        <v>3</v>
      </c>
      <c r="N85" s="53">
        <v>1</v>
      </c>
      <c r="O85" s="53">
        <v>0.6</v>
      </c>
      <c r="P85" s="53">
        <v>0.45</v>
      </c>
      <c r="Q85" s="75">
        <f t="shared" si="3"/>
        <v>0.52500000000000002</v>
      </c>
      <c r="R85" s="53">
        <v>16.899999999999999</v>
      </c>
      <c r="S85" s="53">
        <v>121</v>
      </c>
      <c r="T85" s="16">
        <f t="shared" si="4"/>
        <v>27</v>
      </c>
      <c r="U85" s="53">
        <v>105</v>
      </c>
      <c r="V85" s="16">
        <f t="shared" si="5"/>
        <v>2835</v>
      </c>
      <c r="W85" s="53">
        <v>1</v>
      </c>
      <c r="X85" s="53" t="s">
        <v>46</v>
      </c>
      <c r="Y85" s="53" t="s">
        <v>69</v>
      </c>
      <c r="Z85" s="53" t="s">
        <v>86</v>
      </c>
      <c r="AA85" s="53" t="s">
        <v>64</v>
      </c>
      <c r="AB85" s="53" t="s">
        <v>158</v>
      </c>
    </row>
    <row r="86" spans="1:34" x14ac:dyDescent="0.15">
      <c r="A86" s="53" t="s">
        <v>41</v>
      </c>
      <c r="B86" s="53" t="s">
        <v>157</v>
      </c>
      <c r="C86" s="62">
        <v>2019</v>
      </c>
      <c r="D86" s="63" t="s">
        <v>184</v>
      </c>
      <c r="E86" s="53" t="s">
        <v>195</v>
      </c>
      <c r="F86" s="53" t="s">
        <v>197</v>
      </c>
      <c r="G86" s="53" t="s">
        <v>42</v>
      </c>
      <c r="H86" s="53" t="s">
        <v>164</v>
      </c>
      <c r="I86" s="53" t="s">
        <v>159</v>
      </c>
      <c r="J86" s="53" t="s">
        <v>38</v>
      </c>
      <c r="K86" s="53" t="s">
        <v>161</v>
      </c>
      <c r="L86" s="53">
        <v>1</v>
      </c>
      <c r="N86" s="53">
        <v>6</v>
      </c>
      <c r="O86" s="53">
        <v>0.45</v>
      </c>
      <c r="P86" s="53">
        <v>0.3</v>
      </c>
      <c r="Q86" s="75">
        <f t="shared" si="3"/>
        <v>0.375</v>
      </c>
      <c r="R86" s="53">
        <v>16.899999999999999</v>
      </c>
      <c r="S86" s="53">
        <v>105</v>
      </c>
      <c r="T86" s="16">
        <f t="shared" si="4"/>
        <v>33</v>
      </c>
      <c r="U86" s="53">
        <v>429</v>
      </c>
      <c r="V86" s="16">
        <f t="shared" si="5"/>
        <v>2359.5</v>
      </c>
      <c r="W86" s="53">
        <v>2</v>
      </c>
      <c r="X86" s="53" t="s">
        <v>46</v>
      </c>
      <c r="Y86" s="53" t="s">
        <v>69</v>
      </c>
      <c r="Z86" s="53" t="s">
        <v>86</v>
      </c>
      <c r="AA86" s="53" t="s">
        <v>64</v>
      </c>
      <c r="AB86" s="53" t="s">
        <v>158</v>
      </c>
    </row>
    <row r="87" spans="1:34" x14ac:dyDescent="0.15">
      <c r="A87" s="53" t="s">
        <v>41</v>
      </c>
      <c r="B87" s="53" t="s">
        <v>157</v>
      </c>
      <c r="C87" s="62">
        <v>2019</v>
      </c>
      <c r="D87" s="63" t="s">
        <v>184</v>
      </c>
      <c r="E87" s="53" t="s">
        <v>195</v>
      </c>
      <c r="F87" s="53" t="s">
        <v>197</v>
      </c>
      <c r="G87" s="53" t="s">
        <v>42</v>
      </c>
      <c r="H87" s="53" t="s">
        <v>164</v>
      </c>
      <c r="I87" s="53" t="s">
        <v>159</v>
      </c>
      <c r="J87" s="53" t="s">
        <v>38</v>
      </c>
      <c r="K87" s="53" t="s">
        <v>161</v>
      </c>
      <c r="L87" s="53">
        <v>2</v>
      </c>
      <c r="N87" s="53">
        <v>6</v>
      </c>
      <c r="O87" s="53">
        <v>0.5</v>
      </c>
      <c r="P87" s="53">
        <v>0.45</v>
      </c>
      <c r="Q87" s="75">
        <f t="shared" si="3"/>
        <v>0.47499999999999998</v>
      </c>
      <c r="R87" s="53">
        <v>15.4</v>
      </c>
      <c r="S87" s="53">
        <v>104</v>
      </c>
      <c r="T87" s="16">
        <f t="shared" si="4"/>
        <v>33</v>
      </c>
      <c r="U87" s="53">
        <v>429</v>
      </c>
      <c r="V87" s="16">
        <f t="shared" si="5"/>
        <v>2359.5</v>
      </c>
      <c r="W87" s="53">
        <v>2</v>
      </c>
      <c r="X87" s="53" t="s">
        <v>46</v>
      </c>
      <c r="Y87" s="53" t="s">
        <v>69</v>
      </c>
      <c r="Z87" s="53" t="s">
        <v>86</v>
      </c>
      <c r="AA87" s="53" t="s">
        <v>64</v>
      </c>
      <c r="AB87" s="53" t="s">
        <v>158</v>
      </c>
    </row>
    <row r="88" spans="1:34" x14ac:dyDescent="0.15">
      <c r="A88" s="53" t="s">
        <v>41</v>
      </c>
      <c r="B88" s="53" t="s">
        <v>157</v>
      </c>
      <c r="C88" s="62">
        <v>2019</v>
      </c>
      <c r="D88" s="63" t="s">
        <v>184</v>
      </c>
      <c r="E88" s="53" t="s">
        <v>195</v>
      </c>
      <c r="F88" s="53" t="s">
        <v>197</v>
      </c>
      <c r="G88" s="53" t="s">
        <v>42</v>
      </c>
      <c r="H88" s="53" t="s">
        <v>164</v>
      </c>
      <c r="I88" s="53" t="s">
        <v>159</v>
      </c>
      <c r="J88" s="53" t="s">
        <v>38</v>
      </c>
      <c r="K88" s="53" t="s">
        <v>161</v>
      </c>
      <c r="L88" s="53">
        <v>3</v>
      </c>
      <c r="N88" s="53">
        <v>6</v>
      </c>
      <c r="O88" s="53">
        <v>0.55000000000000004</v>
      </c>
      <c r="P88" s="53">
        <v>0.4</v>
      </c>
      <c r="Q88" s="75">
        <f t="shared" si="3"/>
        <v>0.47500000000000003</v>
      </c>
      <c r="R88" s="53">
        <v>15.7</v>
      </c>
      <c r="S88" s="53">
        <v>111</v>
      </c>
      <c r="T88" s="16">
        <f t="shared" si="4"/>
        <v>33</v>
      </c>
      <c r="U88" s="53">
        <v>429</v>
      </c>
      <c r="V88" s="16">
        <f t="shared" si="5"/>
        <v>2359.5</v>
      </c>
      <c r="W88" s="53">
        <v>2</v>
      </c>
      <c r="X88" s="53" t="s">
        <v>46</v>
      </c>
      <c r="Y88" s="53" t="s">
        <v>69</v>
      </c>
      <c r="Z88" s="53" t="s">
        <v>86</v>
      </c>
      <c r="AA88" s="53" t="s">
        <v>64</v>
      </c>
      <c r="AB88" s="53" t="s">
        <v>158</v>
      </c>
    </row>
    <row r="89" spans="1:34" x14ac:dyDescent="0.15">
      <c r="A89" s="53" t="s">
        <v>41</v>
      </c>
      <c r="B89" s="53" t="s">
        <v>157</v>
      </c>
      <c r="C89" s="62">
        <v>2019</v>
      </c>
      <c r="D89" s="63" t="s">
        <v>184</v>
      </c>
      <c r="E89" s="53" t="s">
        <v>195</v>
      </c>
      <c r="F89" s="53" t="s">
        <v>197</v>
      </c>
      <c r="G89" s="53" t="s">
        <v>42</v>
      </c>
      <c r="H89" s="53" t="s">
        <v>164</v>
      </c>
      <c r="I89" s="53" t="s">
        <v>159</v>
      </c>
      <c r="J89" s="53" t="s">
        <v>38</v>
      </c>
      <c r="K89" s="53" t="s">
        <v>161</v>
      </c>
      <c r="L89" s="53">
        <v>1</v>
      </c>
      <c r="N89" s="53">
        <v>8</v>
      </c>
      <c r="O89" s="53">
        <v>0.6</v>
      </c>
      <c r="P89" s="53">
        <v>0.45</v>
      </c>
      <c r="Q89" s="75">
        <f t="shared" si="3"/>
        <v>0.52500000000000002</v>
      </c>
      <c r="R89" s="53">
        <v>15.9</v>
      </c>
      <c r="S89" s="53">
        <v>118</v>
      </c>
      <c r="T89" s="16">
        <f t="shared" si="4"/>
        <v>30</v>
      </c>
      <c r="U89" s="53">
        <v>842</v>
      </c>
      <c r="V89" s="16">
        <f t="shared" si="5"/>
        <v>3157.5</v>
      </c>
      <c r="W89" s="53">
        <v>1</v>
      </c>
      <c r="X89" s="53" t="s">
        <v>46</v>
      </c>
      <c r="Y89" s="53" t="s">
        <v>69</v>
      </c>
      <c r="Z89" s="53" t="s">
        <v>86</v>
      </c>
      <c r="AA89" s="53" t="s">
        <v>64</v>
      </c>
      <c r="AB89" s="53" t="s">
        <v>158</v>
      </c>
      <c r="AC89" s="76"/>
      <c r="AD89" s="76"/>
      <c r="AE89" s="76"/>
      <c r="AF89" s="76"/>
      <c r="AG89" s="76"/>
      <c r="AH89" s="76"/>
    </row>
    <row r="90" spans="1:34" x14ac:dyDescent="0.15">
      <c r="A90" s="53" t="s">
        <v>41</v>
      </c>
      <c r="B90" s="53" t="s">
        <v>157</v>
      </c>
      <c r="C90" s="62">
        <v>2019</v>
      </c>
      <c r="D90" s="63" t="s">
        <v>184</v>
      </c>
      <c r="E90" s="53" t="s">
        <v>195</v>
      </c>
      <c r="F90" s="53" t="s">
        <v>197</v>
      </c>
      <c r="G90" s="53" t="s">
        <v>42</v>
      </c>
      <c r="H90" s="53" t="s">
        <v>164</v>
      </c>
      <c r="I90" s="53" t="s">
        <v>159</v>
      </c>
      <c r="J90" s="53" t="s">
        <v>38</v>
      </c>
      <c r="K90" s="53" t="s">
        <v>161</v>
      </c>
      <c r="L90" s="53">
        <v>2</v>
      </c>
      <c r="N90" s="53">
        <v>8</v>
      </c>
      <c r="O90" s="53">
        <v>0.25</v>
      </c>
      <c r="P90" s="53">
        <v>0.3</v>
      </c>
      <c r="Q90" s="75">
        <f t="shared" si="3"/>
        <v>0.27500000000000002</v>
      </c>
      <c r="R90" s="53">
        <v>16.100000000000001</v>
      </c>
      <c r="S90" s="53">
        <v>117</v>
      </c>
      <c r="T90" s="16">
        <f t="shared" si="4"/>
        <v>30</v>
      </c>
      <c r="U90" s="53">
        <v>842</v>
      </c>
      <c r="V90" s="16">
        <f t="shared" si="5"/>
        <v>3157.5</v>
      </c>
      <c r="W90" s="53">
        <v>1</v>
      </c>
      <c r="X90" s="53" t="s">
        <v>46</v>
      </c>
      <c r="Y90" s="53" t="s">
        <v>69</v>
      </c>
      <c r="Z90" s="53" t="s">
        <v>86</v>
      </c>
      <c r="AA90" s="53" t="s">
        <v>64</v>
      </c>
      <c r="AB90" s="53" t="s">
        <v>158</v>
      </c>
      <c r="AC90" s="76"/>
      <c r="AD90" s="76"/>
      <c r="AE90" s="76"/>
      <c r="AF90" s="76"/>
      <c r="AG90" s="76"/>
      <c r="AH90" s="76"/>
    </row>
    <row r="91" spans="1:34" x14ac:dyDescent="0.15">
      <c r="A91" s="53" t="s">
        <v>41</v>
      </c>
      <c r="B91" s="53" t="s">
        <v>157</v>
      </c>
      <c r="C91" s="62">
        <v>2019</v>
      </c>
      <c r="D91" s="63" t="s">
        <v>184</v>
      </c>
      <c r="E91" s="53" t="s">
        <v>195</v>
      </c>
      <c r="F91" s="53" t="s">
        <v>197</v>
      </c>
      <c r="G91" s="53" t="s">
        <v>42</v>
      </c>
      <c r="H91" s="53" t="s">
        <v>164</v>
      </c>
      <c r="I91" s="53" t="s">
        <v>159</v>
      </c>
      <c r="J91" s="53" t="s">
        <v>38</v>
      </c>
      <c r="K91" s="53" t="s">
        <v>161</v>
      </c>
      <c r="L91" s="53">
        <v>3</v>
      </c>
      <c r="N91" s="53">
        <v>8</v>
      </c>
      <c r="O91" s="53">
        <v>0.3</v>
      </c>
      <c r="P91" s="53">
        <v>0.25</v>
      </c>
      <c r="Q91" s="75">
        <f t="shared" si="3"/>
        <v>0.27500000000000002</v>
      </c>
      <c r="R91" s="53">
        <v>15.7</v>
      </c>
      <c r="S91" s="53">
        <v>120</v>
      </c>
      <c r="T91" s="16">
        <f t="shared" si="4"/>
        <v>30</v>
      </c>
      <c r="U91" s="53">
        <v>842</v>
      </c>
      <c r="V91" s="16">
        <f t="shared" si="5"/>
        <v>3157.5</v>
      </c>
      <c r="W91" s="53">
        <v>1</v>
      </c>
      <c r="X91" s="53" t="s">
        <v>46</v>
      </c>
      <c r="Y91" s="53" t="s">
        <v>69</v>
      </c>
      <c r="Z91" s="53" t="s">
        <v>86</v>
      </c>
      <c r="AA91" s="53" t="s">
        <v>64</v>
      </c>
      <c r="AB91" s="53" t="s">
        <v>158</v>
      </c>
      <c r="AC91" s="76"/>
      <c r="AD91" s="76"/>
      <c r="AE91" s="76"/>
      <c r="AF91" s="76"/>
      <c r="AG91" s="76"/>
      <c r="AH91" s="76"/>
    </row>
    <row r="92" spans="1:34" x14ac:dyDescent="0.15">
      <c r="A92" s="53" t="s">
        <v>41</v>
      </c>
      <c r="B92" s="53" t="s">
        <v>157</v>
      </c>
      <c r="C92" s="62">
        <v>2019</v>
      </c>
      <c r="D92" s="63" t="s">
        <v>184</v>
      </c>
      <c r="E92" s="53" t="s">
        <v>195</v>
      </c>
      <c r="F92" s="53" t="s">
        <v>197</v>
      </c>
      <c r="G92" s="53" t="s">
        <v>42</v>
      </c>
      <c r="H92" s="53" t="s">
        <v>160</v>
      </c>
      <c r="I92" s="53" t="s">
        <v>159</v>
      </c>
      <c r="J92" s="53" t="s">
        <v>38</v>
      </c>
      <c r="K92" s="53" t="s">
        <v>161</v>
      </c>
      <c r="L92" s="53">
        <v>1</v>
      </c>
      <c r="N92" s="53">
        <v>1</v>
      </c>
      <c r="O92" s="53">
        <v>0.6</v>
      </c>
      <c r="P92" s="53">
        <v>0.5</v>
      </c>
      <c r="Q92" s="75">
        <f t="shared" si="3"/>
        <v>0.55000000000000004</v>
      </c>
      <c r="R92" s="53">
        <v>15.8</v>
      </c>
      <c r="S92" s="53">
        <v>120</v>
      </c>
      <c r="T92" s="16">
        <f t="shared" si="4"/>
        <v>30</v>
      </c>
      <c r="U92" s="53">
        <v>170</v>
      </c>
      <c r="V92" s="16">
        <f t="shared" si="5"/>
        <v>5100</v>
      </c>
      <c r="W92" s="53">
        <v>1</v>
      </c>
      <c r="X92" s="53" t="s">
        <v>46</v>
      </c>
      <c r="Y92" s="53" t="s">
        <v>69</v>
      </c>
      <c r="Z92" s="53" t="s">
        <v>86</v>
      </c>
      <c r="AA92" s="53" t="s">
        <v>64</v>
      </c>
      <c r="AB92" s="53" t="s">
        <v>158</v>
      </c>
      <c r="AC92" s="76"/>
      <c r="AD92" s="76"/>
      <c r="AE92" s="76"/>
      <c r="AF92" s="76"/>
      <c r="AG92" s="76"/>
      <c r="AH92" s="76"/>
    </row>
    <row r="93" spans="1:34" x14ac:dyDescent="0.15">
      <c r="A93" s="53" t="s">
        <v>41</v>
      </c>
      <c r="B93" s="53" t="s">
        <v>157</v>
      </c>
      <c r="C93" s="62">
        <v>2019</v>
      </c>
      <c r="D93" s="63" t="s">
        <v>184</v>
      </c>
      <c r="E93" s="53" t="s">
        <v>195</v>
      </c>
      <c r="F93" s="53" t="s">
        <v>197</v>
      </c>
      <c r="G93" s="53" t="s">
        <v>42</v>
      </c>
      <c r="H93" s="53" t="s">
        <v>160</v>
      </c>
      <c r="I93" s="53" t="s">
        <v>159</v>
      </c>
      <c r="J93" s="53" t="s">
        <v>38</v>
      </c>
      <c r="K93" s="53" t="s">
        <v>161</v>
      </c>
      <c r="L93" s="53">
        <v>2</v>
      </c>
      <c r="N93" s="53">
        <v>1</v>
      </c>
      <c r="O93" s="53">
        <v>0.65</v>
      </c>
      <c r="P93" s="53">
        <v>0.5</v>
      </c>
      <c r="Q93" s="75">
        <f t="shared" si="3"/>
        <v>0.57499999999999996</v>
      </c>
      <c r="R93" s="53">
        <v>16.7</v>
      </c>
      <c r="S93" s="53">
        <v>124</v>
      </c>
      <c r="T93" s="16">
        <f t="shared" si="4"/>
        <v>27</v>
      </c>
      <c r="U93" s="53">
        <v>170</v>
      </c>
      <c r="V93" s="16">
        <f t="shared" si="5"/>
        <v>4590</v>
      </c>
      <c r="W93" s="53">
        <v>1</v>
      </c>
      <c r="X93" s="53" t="s">
        <v>46</v>
      </c>
      <c r="Y93" s="53" t="s">
        <v>69</v>
      </c>
      <c r="Z93" s="53" t="s">
        <v>86</v>
      </c>
      <c r="AA93" s="53" t="s">
        <v>64</v>
      </c>
      <c r="AB93" s="53" t="s">
        <v>158</v>
      </c>
      <c r="AC93" s="76"/>
      <c r="AD93" s="76"/>
      <c r="AE93" s="76"/>
      <c r="AF93" s="76"/>
      <c r="AG93" s="76"/>
      <c r="AH93" s="76"/>
    </row>
    <row r="94" spans="1:34" x14ac:dyDescent="0.15">
      <c r="A94" s="53" t="s">
        <v>41</v>
      </c>
      <c r="B94" s="53" t="s">
        <v>157</v>
      </c>
      <c r="C94" s="62">
        <v>2019</v>
      </c>
      <c r="D94" s="63" t="s">
        <v>184</v>
      </c>
      <c r="E94" s="53" t="s">
        <v>195</v>
      </c>
      <c r="F94" s="53" t="s">
        <v>197</v>
      </c>
      <c r="G94" s="53" t="s">
        <v>42</v>
      </c>
      <c r="H94" s="53" t="s">
        <v>160</v>
      </c>
      <c r="I94" s="53" t="s">
        <v>159</v>
      </c>
      <c r="J94" s="53" t="s">
        <v>38</v>
      </c>
      <c r="K94" s="53" t="s">
        <v>161</v>
      </c>
      <c r="L94" s="53">
        <v>3</v>
      </c>
      <c r="N94" s="53">
        <v>1</v>
      </c>
      <c r="O94" s="53">
        <v>0.45</v>
      </c>
      <c r="P94" s="53">
        <v>0.4</v>
      </c>
      <c r="Q94" s="75">
        <f t="shared" si="3"/>
        <v>0.42500000000000004</v>
      </c>
      <c r="R94" s="53">
        <v>15.4</v>
      </c>
      <c r="S94" s="53">
        <v>123</v>
      </c>
      <c r="T94" s="16">
        <f t="shared" si="4"/>
        <v>27</v>
      </c>
      <c r="U94" s="53">
        <v>170</v>
      </c>
      <c r="V94" s="16">
        <f t="shared" si="5"/>
        <v>4590</v>
      </c>
      <c r="W94" s="53">
        <v>1</v>
      </c>
      <c r="X94" s="53" t="s">
        <v>46</v>
      </c>
      <c r="Y94" s="53" t="s">
        <v>69</v>
      </c>
      <c r="Z94" s="53" t="s">
        <v>86</v>
      </c>
      <c r="AA94" s="53" t="s">
        <v>64</v>
      </c>
      <c r="AB94" s="53" t="s">
        <v>158</v>
      </c>
      <c r="AC94" s="76"/>
      <c r="AD94" s="76"/>
      <c r="AE94" s="76"/>
      <c r="AF94" s="76"/>
      <c r="AG94" s="76"/>
      <c r="AH94" s="76"/>
    </row>
    <row r="95" spans="1:34" x14ac:dyDescent="0.15">
      <c r="A95" s="53" t="s">
        <v>41</v>
      </c>
      <c r="B95" s="53" t="s">
        <v>157</v>
      </c>
      <c r="C95" s="62">
        <v>2019</v>
      </c>
      <c r="D95" s="63" t="s">
        <v>184</v>
      </c>
      <c r="E95" s="53" t="s">
        <v>195</v>
      </c>
      <c r="F95" s="53" t="s">
        <v>197</v>
      </c>
      <c r="G95" s="53" t="s">
        <v>42</v>
      </c>
      <c r="H95" s="53" t="s">
        <v>160</v>
      </c>
      <c r="I95" s="53" t="s">
        <v>159</v>
      </c>
      <c r="J95" s="53" t="s">
        <v>38</v>
      </c>
      <c r="K95" s="53" t="s">
        <v>161</v>
      </c>
      <c r="L95" s="53">
        <v>1</v>
      </c>
      <c r="N95" s="53">
        <v>4</v>
      </c>
      <c r="O95" s="53">
        <v>0.5</v>
      </c>
      <c r="P95" s="53">
        <v>0.4</v>
      </c>
      <c r="Q95" s="75">
        <f t="shared" si="3"/>
        <v>0.45</v>
      </c>
      <c r="R95" s="53">
        <v>17.100000000000001</v>
      </c>
      <c r="S95" s="53">
        <v>123</v>
      </c>
      <c r="T95" s="16">
        <f t="shared" si="4"/>
        <v>27</v>
      </c>
      <c r="U95" s="53">
        <v>537</v>
      </c>
      <c r="V95" s="16">
        <f t="shared" si="5"/>
        <v>3624.75</v>
      </c>
      <c r="W95" s="53">
        <v>2</v>
      </c>
      <c r="X95" s="53" t="s">
        <v>46</v>
      </c>
      <c r="Y95" s="53" t="s">
        <v>69</v>
      </c>
      <c r="Z95" s="53" t="s">
        <v>86</v>
      </c>
      <c r="AA95" s="53" t="s">
        <v>64</v>
      </c>
      <c r="AB95" s="53" t="s">
        <v>158</v>
      </c>
      <c r="AC95" s="76"/>
      <c r="AD95" s="76"/>
      <c r="AE95" s="76"/>
      <c r="AF95" s="76"/>
      <c r="AG95" s="76"/>
      <c r="AH95" s="76"/>
    </row>
    <row r="96" spans="1:34" x14ac:dyDescent="0.15">
      <c r="A96" s="53" t="s">
        <v>41</v>
      </c>
      <c r="B96" s="53" t="s">
        <v>157</v>
      </c>
      <c r="C96" s="62">
        <v>2019</v>
      </c>
      <c r="D96" s="63" t="s">
        <v>184</v>
      </c>
      <c r="E96" s="53" t="s">
        <v>195</v>
      </c>
      <c r="F96" s="53" t="s">
        <v>197</v>
      </c>
      <c r="G96" s="53" t="s">
        <v>42</v>
      </c>
      <c r="H96" s="53" t="s">
        <v>160</v>
      </c>
      <c r="I96" s="53" t="s">
        <v>159</v>
      </c>
      <c r="J96" s="53" t="s">
        <v>38</v>
      </c>
      <c r="K96" s="53" t="s">
        <v>161</v>
      </c>
      <c r="L96" s="53">
        <v>2</v>
      </c>
      <c r="N96" s="53">
        <v>4</v>
      </c>
      <c r="O96" s="53">
        <v>0.25</v>
      </c>
      <c r="P96" s="53">
        <v>0.3</v>
      </c>
      <c r="Q96" s="75">
        <f t="shared" si="3"/>
        <v>0.27500000000000002</v>
      </c>
      <c r="R96" s="53">
        <v>16.8</v>
      </c>
      <c r="S96" s="53">
        <v>122</v>
      </c>
      <c r="T96" s="16">
        <f t="shared" si="4"/>
        <v>27</v>
      </c>
      <c r="U96" s="53">
        <v>537</v>
      </c>
      <c r="V96" s="16">
        <f t="shared" si="5"/>
        <v>3624.75</v>
      </c>
      <c r="W96" s="53">
        <v>2</v>
      </c>
      <c r="X96" s="53" t="s">
        <v>46</v>
      </c>
      <c r="Y96" s="53" t="s">
        <v>69</v>
      </c>
      <c r="Z96" s="53" t="s">
        <v>86</v>
      </c>
      <c r="AA96" s="53" t="s">
        <v>64</v>
      </c>
      <c r="AB96" s="53" t="s">
        <v>158</v>
      </c>
      <c r="AC96" s="76"/>
      <c r="AD96" s="76"/>
      <c r="AE96" s="76"/>
      <c r="AF96" s="76"/>
      <c r="AG96" s="76"/>
      <c r="AH96" s="76"/>
    </row>
    <row r="97" spans="1:34" x14ac:dyDescent="0.15">
      <c r="A97" s="53" t="s">
        <v>41</v>
      </c>
      <c r="B97" s="53" t="s">
        <v>157</v>
      </c>
      <c r="C97" s="62">
        <v>2019</v>
      </c>
      <c r="D97" s="63" t="s">
        <v>184</v>
      </c>
      <c r="E97" s="53" t="s">
        <v>195</v>
      </c>
      <c r="F97" s="53" t="s">
        <v>197</v>
      </c>
      <c r="G97" s="53" t="s">
        <v>42</v>
      </c>
      <c r="H97" s="53" t="s">
        <v>160</v>
      </c>
      <c r="I97" s="53" t="s">
        <v>159</v>
      </c>
      <c r="J97" s="53" t="s">
        <v>38</v>
      </c>
      <c r="K97" s="53" t="s">
        <v>161</v>
      </c>
      <c r="L97" s="53">
        <v>3</v>
      </c>
      <c r="N97" s="53">
        <v>4</v>
      </c>
      <c r="O97" s="53">
        <v>0.6</v>
      </c>
      <c r="P97" s="53">
        <v>0.65</v>
      </c>
      <c r="Q97" s="75">
        <f t="shared" si="3"/>
        <v>0.625</v>
      </c>
      <c r="R97" s="53">
        <v>15.8</v>
      </c>
      <c r="S97" s="53">
        <v>125</v>
      </c>
      <c r="T97" s="16">
        <f t="shared" si="4"/>
        <v>27</v>
      </c>
      <c r="U97" s="53">
        <v>537</v>
      </c>
      <c r="V97" s="16">
        <f t="shared" si="5"/>
        <v>3624.75</v>
      </c>
      <c r="W97" s="53">
        <v>2</v>
      </c>
      <c r="X97" s="53" t="s">
        <v>46</v>
      </c>
      <c r="Y97" s="53" t="s">
        <v>69</v>
      </c>
      <c r="Z97" s="53" t="s">
        <v>86</v>
      </c>
      <c r="AA97" s="53" t="s">
        <v>64</v>
      </c>
      <c r="AB97" s="53" t="s">
        <v>158</v>
      </c>
      <c r="AC97" s="76"/>
      <c r="AD97" s="76"/>
      <c r="AE97" s="76"/>
      <c r="AF97" s="76"/>
      <c r="AG97" s="76"/>
      <c r="AH97" s="76"/>
    </row>
    <row r="98" spans="1:34" x14ac:dyDescent="0.15">
      <c r="A98" s="53" t="s">
        <v>41</v>
      </c>
      <c r="B98" s="53" t="s">
        <v>157</v>
      </c>
      <c r="C98" s="62">
        <v>2019</v>
      </c>
      <c r="D98" s="63" t="s">
        <v>184</v>
      </c>
      <c r="E98" s="53" t="s">
        <v>195</v>
      </c>
      <c r="F98" s="53" t="s">
        <v>197</v>
      </c>
      <c r="G98" s="53" t="s">
        <v>42</v>
      </c>
      <c r="H98" s="53" t="s">
        <v>160</v>
      </c>
      <c r="I98" s="53" t="s">
        <v>159</v>
      </c>
      <c r="J98" s="53" t="s">
        <v>38</v>
      </c>
      <c r="K98" s="53" t="s">
        <v>161</v>
      </c>
      <c r="L98" s="53">
        <v>1</v>
      </c>
      <c r="N98" s="53">
        <v>5</v>
      </c>
      <c r="O98" s="53">
        <v>0.5</v>
      </c>
      <c r="P98" s="53">
        <v>0.55000000000000004</v>
      </c>
      <c r="Q98" s="75">
        <f t="shared" si="3"/>
        <v>0.52500000000000002</v>
      </c>
      <c r="R98" s="53">
        <v>15.7</v>
      </c>
      <c r="S98" s="53">
        <v>120</v>
      </c>
      <c r="T98" s="16">
        <f t="shared" si="4"/>
        <v>30</v>
      </c>
      <c r="U98" s="53">
        <v>540</v>
      </c>
      <c r="V98" s="16">
        <f t="shared" si="5"/>
        <v>3240</v>
      </c>
      <c r="W98" s="53">
        <v>1</v>
      </c>
      <c r="X98" s="53" t="s">
        <v>46</v>
      </c>
      <c r="Y98" s="53" t="s">
        <v>69</v>
      </c>
      <c r="Z98" s="53" t="s">
        <v>86</v>
      </c>
      <c r="AA98" s="53" t="s">
        <v>64</v>
      </c>
      <c r="AB98" s="53" t="s">
        <v>158</v>
      </c>
      <c r="AC98" s="76"/>
      <c r="AD98" s="76"/>
      <c r="AE98" s="76"/>
      <c r="AF98" s="76"/>
      <c r="AG98" s="76"/>
      <c r="AH98" s="76"/>
    </row>
    <row r="99" spans="1:34" x14ac:dyDescent="0.15">
      <c r="A99" s="53" t="s">
        <v>41</v>
      </c>
      <c r="B99" s="53" t="s">
        <v>157</v>
      </c>
      <c r="C99" s="62">
        <v>2019</v>
      </c>
      <c r="D99" s="63" t="s">
        <v>184</v>
      </c>
      <c r="E99" s="53" t="s">
        <v>195</v>
      </c>
      <c r="F99" s="53" t="s">
        <v>197</v>
      </c>
      <c r="G99" s="53" t="s">
        <v>42</v>
      </c>
      <c r="H99" s="53" t="s">
        <v>160</v>
      </c>
      <c r="I99" s="53" t="s">
        <v>159</v>
      </c>
      <c r="J99" s="53" t="s">
        <v>38</v>
      </c>
      <c r="K99" s="53" t="s">
        <v>161</v>
      </c>
      <c r="L99" s="53">
        <v>2</v>
      </c>
      <c r="N99" s="53">
        <v>5</v>
      </c>
      <c r="O99" s="53">
        <v>0.45</v>
      </c>
      <c r="P99" s="53">
        <v>0.4</v>
      </c>
      <c r="Q99" s="75">
        <f t="shared" si="3"/>
        <v>0.42500000000000004</v>
      </c>
      <c r="R99" s="53">
        <v>14.5</v>
      </c>
      <c r="S99" s="53">
        <v>115</v>
      </c>
      <c r="T99" s="16">
        <f t="shared" si="4"/>
        <v>30</v>
      </c>
      <c r="U99" s="53">
        <v>540</v>
      </c>
      <c r="V99" s="16">
        <f t="shared" si="5"/>
        <v>3240</v>
      </c>
      <c r="W99" s="53">
        <v>1</v>
      </c>
      <c r="X99" s="53" t="s">
        <v>46</v>
      </c>
      <c r="Y99" s="53" t="s">
        <v>69</v>
      </c>
      <c r="Z99" s="53" t="s">
        <v>86</v>
      </c>
      <c r="AA99" s="53" t="s">
        <v>64</v>
      </c>
      <c r="AB99" s="53" t="s">
        <v>158</v>
      </c>
      <c r="AC99" s="76"/>
      <c r="AD99" s="76"/>
      <c r="AE99" s="76"/>
      <c r="AF99" s="76"/>
      <c r="AG99" s="76"/>
      <c r="AH99" s="76"/>
    </row>
    <row r="100" spans="1:34" x14ac:dyDescent="0.15">
      <c r="A100" s="53" t="s">
        <v>41</v>
      </c>
      <c r="B100" s="53" t="s">
        <v>157</v>
      </c>
      <c r="C100" s="62">
        <v>2019</v>
      </c>
      <c r="D100" s="63" t="s">
        <v>184</v>
      </c>
      <c r="E100" s="53" t="s">
        <v>195</v>
      </c>
      <c r="F100" s="53" t="s">
        <v>197</v>
      </c>
      <c r="G100" s="53" t="s">
        <v>42</v>
      </c>
      <c r="H100" s="53" t="s">
        <v>160</v>
      </c>
      <c r="I100" s="53" t="s">
        <v>159</v>
      </c>
      <c r="J100" s="53" t="s">
        <v>38</v>
      </c>
      <c r="K100" s="53" t="s">
        <v>161</v>
      </c>
      <c r="L100" s="53">
        <v>3</v>
      </c>
      <c r="N100" s="53">
        <v>5</v>
      </c>
      <c r="O100" s="53">
        <v>0.4</v>
      </c>
      <c r="P100" s="53">
        <v>0.5</v>
      </c>
      <c r="Q100" s="75">
        <f t="shared" si="3"/>
        <v>0.45</v>
      </c>
      <c r="R100" s="53">
        <v>15.2</v>
      </c>
      <c r="S100" s="53">
        <v>117</v>
      </c>
      <c r="T100" s="16">
        <f t="shared" si="4"/>
        <v>30</v>
      </c>
      <c r="U100" s="53">
        <v>540</v>
      </c>
      <c r="V100" s="16">
        <f t="shared" si="5"/>
        <v>3240</v>
      </c>
      <c r="W100" s="53">
        <v>1</v>
      </c>
      <c r="X100" s="53" t="s">
        <v>46</v>
      </c>
      <c r="Y100" s="53" t="s">
        <v>69</v>
      </c>
      <c r="Z100" s="53" t="s">
        <v>86</v>
      </c>
      <c r="AA100" s="53" t="s">
        <v>64</v>
      </c>
      <c r="AB100" s="53" t="s">
        <v>158</v>
      </c>
      <c r="AC100" s="76"/>
      <c r="AD100" s="76"/>
      <c r="AE100" s="76"/>
      <c r="AF100" s="76"/>
      <c r="AG100" s="76"/>
      <c r="AH100" s="76"/>
    </row>
    <row r="101" spans="1:34" x14ac:dyDescent="0.15">
      <c r="A101" s="53" t="s">
        <v>41</v>
      </c>
      <c r="B101" s="53" t="s">
        <v>157</v>
      </c>
      <c r="C101" s="62">
        <v>2019</v>
      </c>
      <c r="D101" s="63" t="s">
        <v>184</v>
      </c>
      <c r="E101" s="53" t="s">
        <v>195</v>
      </c>
      <c r="F101" s="53" t="s">
        <v>197</v>
      </c>
      <c r="G101" s="53" t="s">
        <v>42</v>
      </c>
      <c r="H101" s="53" t="s">
        <v>160</v>
      </c>
      <c r="I101" s="53" t="s">
        <v>159</v>
      </c>
      <c r="J101" s="53" t="s">
        <v>38</v>
      </c>
      <c r="K101" s="53" t="s">
        <v>161</v>
      </c>
      <c r="L101" s="53">
        <v>1</v>
      </c>
      <c r="N101" s="53">
        <v>8</v>
      </c>
      <c r="O101" s="53">
        <v>0.85</v>
      </c>
      <c r="P101" s="53">
        <v>0.9</v>
      </c>
      <c r="Q101" s="75">
        <f t="shared" si="3"/>
        <v>0.875</v>
      </c>
      <c r="R101" s="53">
        <v>12.3</v>
      </c>
      <c r="S101" s="53">
        <v>120</v>
      </c>
      <c r="T101" s="16">
        <f t="shared" si="4"/>
        <v>30</v>
      </c>
      <c r="U101" s="53">
        <v>1058</v>
      </c>
      <c r="V101" s="16">
        <f t="shared" si="5"/>
        <v>3967.5</v>
      </c>
      <c r="W101" s="53">
        <v>2</v>
      </c>
      <c r="X101" s="53" t="s">
        <v>46</v>
      </c>
      <c r="Y101" s="53" t="s">
        <v>69</v>
      </c>
      <c r="Z101" s="53" t="s">
        <v>86</v>
      </c>
      <c r="AA101" s="53" t="s">
        <v>64</v>
      </c>
      <c r="AB101" s="53" t="s">
        <v>158</v>
      </c>
      <c r="AC101" s="76"/>
      <c r="AD101" s="76"/>
      <c r="AE101" s="76"/>
      <c r="AF101" s="76"/>
      <c r="AG101" s="76"/>
      <c r="AH101" s="76"/>
    </row>
    <row r="102" spans="1:34" x14ac:dyDescent="0.15">
      <c r="A102" s="53" t="s">
        <v>41</v>
      </c>
      <c r="B102" s="53" t="s">
        <v>157</v>
      </c>
      <c r="C102" s="62">
        <v>2019</v>
      </c>
      <c r="D102" s="63" t="s">
        <v>184</v>
      </c>
      <c r="E102" s="53" t="s">
        <v>195</v>
      </c>
      <c r="F102" s="53" t="s">
        <v>197</v>
      </c>
      <c r="G102" s="53" t="s">
        <v>42</v>
      </c>
      <c r="H102" s="53" t="s">
        <v>160</v>
      </c>
      <c r="I102" s="53" t="s">
        <v>159</v>
      </c>
      <c r="J102" s="53" t="s">
        <v>38</v>
      </c>
      <c r="K102" s="53" t="s">
        <v>161</v>
      </c>
      <c r="L102" s="53">
        <v>2</v>
      </c>
      <c r="N102" s="53">
        <v>8</v>
      </c>
      <c r="O102" s="53">
        <v>0.65</v>
      </c>
      <c r="P102" s="53">
        <v>0.85</v>
      </c>
      <c r="Q102" s="75">
        <f t="shared" si="3"/>
        <v>0.75</v>
      </c>
      <c r="R102" s="53">
        <v>13.5</v>
      </c>
      <c r="S102" s="53">
        <v>115</v>
      </c>
      <c r="T102" s="16">
        <f t="shared" si="4"/>
        <v>30</v>
      </c>
      <c r="U102" s="53">
        <v>1058</v>
      </c>
      <c r="V102" s="16">
        <f t="shared" si="5"/>
        <v>3967.5</v>
      </c>
      <c r="W102" s="53">
        <v>2</v>
      </c>
      <c r="X102" s="53" t="s">
        <v>46</v>
      </c>
      <c r="Y102" s="53" t="s">
        <v>69</v>
      </c>
      <c r="Z102" s="53" t="s">
        <v>86</v>
      </c>
      <c r="AA102" s="53" t="s">
        <v>64</v>
      </c>
      <c r="AB102" s="53" t="s">
        <v>158</v>
      </c>
      <c r="AC102" s="76"/>
      <c r="AD102" s="76"/>
      <c r="AE102" s="76"/>
      <c r="AF102" s="76"/>
      <c r="AG102" s="76"/>
      <c r="AH102" s="76"/>
    </row>
    <row r="103" spans="1:34" x14ac:dyDescent="0.15">
      <c r="A103" s="53" t="s">
        <v>41</v>
      </c>
      <c r="B103" s="53" t="s">
        <v>157</v>
      </c>
      <c r="C103" s="62">
        <v>2019</v>
      </c>
      <c r="D103" s="63" t="s">
        <v>184</v>
      </c>
      <c r="E103" s="53" t="s">
        <v>195</v>
      </c>
      <c r="F103" s="53" t="s">
        <v>197</v>
      </c>
      <c r="G103" s="53" t="s">
        <v>42</v>
      </c>
      <c r="H103" s="53" t="s">
        <v>160</v>
      </c>
      <c r="I103" s="53" t="s">
        <v>159</v>
      </c>
      <c r="J103" s="53" t="s">
        <v>38</v>
      </c>
      <c r="K103" s="53" t="s">
        <v>161</v>
      </c>
      <c r="L103" s="53">
        <v>3</v>
      </c>
      <c r="N103" s="53">
        <v>8</v>
      </c>
      <c r="O103" s="53">
        <v>0.7</v>
      </c>
      <c r="P103" s="53">
        <v>0.6</v>
      </c>
      <c r="Q103" s="75">
        <f t="shared" si="3"/>
        <v>0.64999999999999991</v>
      </c>
      <c r="R103" s="53">
        <v>14.7</v>
      </c>
      <c r="S103" s="53">
        <v>117</v>
      </c>
      <c r="T103" s="16">
        <f t="shared" si="4"/>
        <v>30</v>
      </c>
      <c r="U103" s="53">
        <v>1058</v>
      </c>
      <c r="V103" s="16">
        <f t="shared" si="5"/>
        <v>3967.5</v>
      </c>
      <c r="W103" s="53">
        <v>2</v>
      </c>
      <c r="X103" s="53" t="s">
        <v>46</v>
      </c>
      <c r="Y103" s="53" t="s">
        <v>69</v>
      </c>
      <c r="Z103" s="53" t="s">
        <v>86</v>
      </c>
      <c r="AA103" s="53" t="s">
        <v>64</v>
      </c>
      <c r="AB103" s="53" t="s">
        <v>158</v>
      </c>
      <c r="AC103" s="76"/>
      <c r="AD103" s="76"/>
      <c r="AE103" s="76"/>
      <c r="AF103" s="76"/>
      <c r="AG103" s="76"/>
      <c r="AH103" s="76"/>
    </row>
    <row r="104" spans="1:34" x14ac:dyDescent="0.15">
      <c r="A104" s="53" t="s">
        <v>41</v>
      </c>
      <c r="B104" s="53" t="s">
        <v>157</v>
      </c>
      <c r="C104" s="62">
        <v>2019</v>
      </c>
      <c r="D104" s="63" t="s">
        <v>184</v>
      </c>
      <c r="E104" s="53" t="s">
        <v>199</v>
      </c>
      <c r="F104" s="53" t="s">
        <v>197</v>
      </c>
      <c r="G104" s="53" t="s">
        <v>42</v>
      </c>
      <c r="H104" s="53" t="s">
        <v>160</v>
      </c>
      <c r="I104" s="53" t="s">
        <v>159</v>
      </c>
      <c r="J104" s="53" t="s">
        <v>38</v>
      </c>
      <c r="K104" s="53" t="s">
        <v>161</v>
      </c>
      <c r="L104" s="53">
        <v>1</v>
      </c>
      <c r="N104" s="53">
        <v>6</v>
      </c>
      <c r="O104" s="53">
        <v>0.3</v>
      </c>
      <c r="P104" s="53">
        <v>0.5</v>
      </c>
      <c r="Q104" s="16">
        <f t="shared" si="3"/>
        <v>0.4</v>
      </c>
      <c r="R104" s="53">
        <v>13.8</v>
      </c>
      <c r="S104" s="53">
        <v>100</v>
      </c>
      <c r="T104" s="16">
        <f t="shared" si="4"/>
        <v>33</v>
      </c>
      <c r="U104" s="53">
        <v>537</v>
      </c>
      <c r="V104" s="16">
        <f t="shared" si="5"/>
        <v>2953.5</v>
      </c>
      <c r="W104" s="53">
        <v>2</v>
      </c>
      <c r="X104" s="53" t="s">
        <v>46</v>
      </c>
      <c r="Y104" s="53" t="s">
        <v>64</v>
      </c>
      <c r="Z104" s="53" t="s">
        <v>97</v>
      </c>
      <c r="AA104" s="53" t="s">
        <v>69</v>
      </c>
      <c r="AB104" s="53" t="s">
        <v>158</v>
      </c>
      <c r="AC104" s="76"/>
      <c r="AD104" s="76"/>
      <c r="AE104" s="76"/>
      <c r="AF104" s="76"/>
      <c r="AG104" s="76"/>
      <c r="AH104" s="76"/>
    </row>
    <row r="105" spans="1:34" x14ac:dyDescent="0.15">
      <c r="A105" s="53" t="s">
        <v>41</v>
      </c>
      <c r="B105" s="53" t="s">
        <v>157</v>
      </c>
      <c r="C105" s="62">
        <v>2019</v>
      </c>
      <c r="D105" s="63" t="s">
        <v>184</v>
      </c>
      <c r="E105" s="53" t="s">
        <v>199</v>
      </c>
      <c r="F105" s="53" t="s">
        <v>197</v>
      </c>
      <c r="G105" s="53" t="s">
        <v>42</v>
      </c>
      <c r="H105" s="53" t="s">
        <v>160</v>
      </c>
      <c r="I105" s="53" t="s">
        <v>159</v>
      </c>
      <c r="J105" s="53" t="s">
        <v>38</v>
      </c>
      <c r="K105" s="53" t="s">
        <v>161</v>
      </c>
      <c r="L105" s="53">
        <v>2</v>
      </c>
      <c r="N105" s="53">
        <v>6</v>
      </c>
      <c r="O105" s="53">
        <v>0.65</v>
      </c>
      <c r="P105" s="53">
        <v>0.7</v>
      </c>
      <c r="Q105" s="16">
        <f t="shared" si="3"/>
        <v>0.67500000000000004</v>
      </c>
      <c r="R105" s="53">
        <v>13.5</v>
      </c>
      <c r="S105" s="53">
        <v>105</v>
      </c>
      <c r="T105" s="16">
        <f t="shared" si="4"/>
        <v>33</v>
      </c>
      <c r="U105" s="53">
        <v>537</v>
      </c>
      <c r="V105" s="16">
        <f t="shared" si="5"/>
        <v>2953.5</v>
      </c>
      <c r="W105" s="53">
        <v>2</v>
      </c>
      <c r="X105" s="53" t="s">
        <v>46</v>
      </c>
      <c r="Y105" s="53" t="s">
        <v>64</v>
      </c>
      <c r="Z105" s="53" t="s">
        <v>97</v>
      </c>
      <c r="AA105" s="53" t="s">
        <v>69</v>
      </c>
      <c r="AB105" s="53" t="s">
        <v>158</v>
      </c>
      <c r="AC105" s="76"/>
      <c r="AD105" s="76"/>
      <c r="AE105" s="76"/>
      <c r="AF105" s="76"/>
      <c r="AG105" s="76"/>
      <c r="AH105" s="76"/>
    </row>
    <row r="106" spans="1:34" x14ac:dyDescent="0.15">
      <c r="A106" s="53" t="s">
        <v>41</v>
      </c>
      <c r="B106" s="53" t="s">
        <v>157</v>
      </c>
      <c r="C106" s="62">
        <v>2019</v>
      </c>
      <c r="D106" s="63" t="s">
        <v>184</v>
      </c>
      <c r="E106" s="53" t="s">
        <v>199</v>
      </c>
      <c r="F106" s="53" t="s">
        <v>197</v>
      </c>
      <c r="G106" s="53" t="s">
        <v>42</v>
      </c>
      <c r="H106" s="53" t="s">
        <v>160</v>
      </c>
      <c r="I106" s="53" t="s">
        <v>159</v>
      </c>
      <c r="J106" s="53" t="s">
        <v>38</v>
      </c>
      <c r="K106" s="53" t="s">
        <v>161</v>
      </c>
      <c r="L106" s="53">
        <v>3</v>
      </c>
      <c r="N106" s="53">
        <v>6</v>
      </c>
      <c r="O106" s="53">
        <v>0.5</v>
      </c>
      <c r="P106" s="53">
        <v>0.55000000000000004</v>
      </c>
      <c r="Q106" s="16">
        <f t="shared" si="3"/>
        <v>0.52500000000000002</v>
      </c>
      <c r="R106" s="53">
        <v>14.5</v>
      </c>
      <c r="S106" s="53">
        <v>107</v>
      </c>
      <c r="T106" s="38">
        <f t="shared" si="4"/>
        <v>33</v>
      </c>
      <c r="U106" s="53">
        <v>537</v>
      </c>
      <c r="V106" s="16">
        <f t="shared" si="5"/>
        <v>2953.5</v>
      </c>
      <c r="W106" s="53">
        <v>2</v>
      </c>
      <c r="X106" s="53" t="s">
        <v>46</v>
      </c>
      <c r="Y106" s="53" t="s">
        <v>64</v>
      </c>
      <c r="Z106" s="53" t="s">
        <v>97</v>
      </c>
      <c r="AA106" s="53" t="s">
        <v>69</v>
      </c>
      <c r="AB106" s="53" t="s">
        <v>158</v>
      </c>
      <c r="AC106" s="76"/>
      <c r="AD106" s="76"/>
      <c r="AE106" s="76"/>
      <c r="AF106" s="76"/>
      <c r="AG106" s="76"/>
      <c r="AH106" s="76"/>
    </row>
    <row r="107" spans="1:34" x14ac:dyDescent="0.15">
      <c r="A107" s="53" t="s">
        <v>41</v>
      </c>
      <c r="B107" s="53" t="s">
        <v>157</v>
      </c>
      <c r="C107" s="62">
        <v>2019</v>
      </c>
      <c r="D107" s="63" t="s">
        <v>184</v>
      </c>
      <c r="E107" s="53" t="s">
        <v>199</v>
      </c>
      <c r="F107" s="53" t="s">
        <v>197</v>
      </c>
      <c r="G107" s="53" t="s">
        <v>42</v>
      </c>
      <c r="H107" s="53" t="s">
        <v>160</v>
      </c>
      <c r="I107" s="53" t="s">
        <v>159</v>
      </c>
      <c r="J107" s="53" t="s">
        <v>38</v>
      </c>
      <c r="K107" s="53" t="s">
        <v>161</v>
      </c>
      <c r="L107" s="53">
        <v>1</v>
      </c>
      <c r="N107" s="53">
        <v>1</v>
      </c>
      <c r="O107" s="53">
        <v>0.5</v>
      </c>
      <c r="P107" s="53">
        <v>0.65</v>
      </c>
      <c r="Q107" s="16">
        <f t="shared" si="3"/>
        <v>0.57499999999999996</v>
      </c>
      <c r="R107" s="53">
        <v>13</v>
      </c>
      <c r="S107" s="53">
        <v>115</v>
      </c>
      <c r="T107" s="38">
        <f t="shared" si="4"/>
        <v>30</v>
      </c>
      <c r="U107" s="53">
        <v>104</v>
      </c>
      <c r="V107" s="16">
        <f t="shared" si="5"/>
        <v>3120</v>
      </c>
      <c r="W107" s="53">
        <v>3</v>
      </c>
      <c r="X107" s="53" t="s">
        <v>46</v>
      </c>
      <c r="Y107" s="53" t="s">
        <v>64</v>
      </c>
      <c r="Z107" s="53" t="s">
        <v>97</v>
      </c>
      <c r="AA107" s="53" t="s">
        <v>69</v>
      </c>
      <c r="AB107" s="53" t="s">
        <v>158</v>
      </c>
      <c r="AC107" s="76"/>
      <c r="AD107" s="76"/>
      <c r="AE107" s="76"/>
      <c r="AF107" s="76"/>
      <c r="AG107" s="76"/>
      <c r="AH107" s="76"/>
    </row>
    <row r="108" spans="1:34" x14ac:dyDescent="0.15">
      <c r="A108" s="53" t="s">
        <v>41</v>
      </c>
      <c r="B108" s="53" t="s">
        <v>157</v>
      </c>
      <c r="C108" s="62">
        <v>2019</v>
      </c>
      <c r="D108" s="63" t="s">
        <v>184</v>
      </c>
      <c r="E108" s="53" t="s">
        <v>199</v>
      </c>
      <c r="F108" s="53" t="s">
        <v>197</v>
      </c>
      <c r="G108" s="53" t="s">
        <v>42</v>
      </c>
      <c r="H108" s="53" t="s">
        <v>160</v>
      </c>
      <c r="I108" s="53" t="s">
        <v>159</v>
      </c>
      <c r="J108" s="53" t="s">
        <v>38</v>
      </c>
      <c r="K108" s="53" t="s">
        <v>161</v>
      </c>
      <c r="L108" s="53">
        <v>2</v>
      </c>
      <c r="N108" s="53">
        <v>1</v>
      </c>
      <c r="O108" s="53">
        <v>1.1499999999999999</v>
      </c>
      <c r="P108" s="53">
        <v>1</v>
      </c>
      <c r="Q108" s="16">
        <f t="shared" si="3"/>
        <v>1.075</v>
      </c>
      <c r="R108" s="53">
        <v>15.6</v>
      </c>
      <c r="S108" s="53">
        <v>117</v>
      </c>
      <c r="T108" s="38">
        <f t="shared" si="4"/>
        <v>30</v>
      </c>
      <c r="U108" s="53">
        <v>104</v>
      </c>
      <c r="V108" s="16">
        <f t="shared" si="5"/>
        <v>3120</v>
      </c>
      <c r="W108" s="53">
        <v>3</v>
      </c>
      <c r="X108" s="53" t="s">
        <v>46</v>
      </c>
      <c r="Y108" s="53" t="s">
        <v>64</v>
      </c>
      <c r="Z108" s="53" t="s">
        <v>97</v>
      </c>
      <c r="AA108" s="53" t="s">
        <v>69</v>
      </c>
      <c r="AB108" s="53" t="s">
        <v>158</v>
      </c>
      <c r="AC108" s="76"/>
      <c r="AD108" s="76"/>
      <c r="AE108" s="76"/>
      <c r="AF108" s="76"/>
      <c r="AG108" s="76"/>
      <c r="AH108" s="76"/>
    </row>
    <row r="109" spans="1:34" x14ac:dyDescent="0.15">
      <c r="A109" s="53" t="s">
        <v>41</v>
      </c>
      <c r="B109" s="53" t="s">
        <v>157</v>
      </c>
      <c r="C109" s="62">
        <v>2019</v>
      </c>
      <c r="D109" s="63" t="s">
        <v>184</v>
      </c>
      <c r="E109" s="53" t="s">
        <v>199</v>
      </c>
      <c r="F109" s="53" t="s">
        <v>197</v>
      </c>
      <c r="G109" s="53" t="s">
        <v>42</v>
      </c>
      <c r="H109" s="53" t="s">
        <v>160</v>
      </c>
      <c r="I109" s="53" t="s">
        <v>159</v>
      </c>
      <c r="J109" s="53" t="s">
        <v>38</v>
      </c>
      <c r="K109" s="53" t="s">
        <v>161</v>
      </c>
      <c r="L109" s="53">
        <v>3</v>
      </c>
      <c r="N109" s="53">
        <v>1</v>
      </c>
      <c r="O109" s="53">
        <v>1.05</v>
      </c>
      <c r="P109" s="53">
        <v>1</v>
      </c>
      <c r="Q109" s="16">
        <f t="shared" si="3"/>
        <v>1.0249999999999999</v>
      </c>
      <c r="R109" s="53">
        <v>15.4</v>
      </c>
      <c r="S109" s="53">
        <v>120</v>
      </c>
      <c r="T109" s="38">
        <f t="shared" si="4"/>
        <v>30</v>
      </c>
      <c r="U109" s="53">
        <v>104</v>
      </c>
      <c r="V109" s="38">
        <f t="shared" si="5"/>
        <v>3120</v>
      </c>
      <c r="W109" s="53">
        <v>3</v>
      </c>
      <c r="X109" s="53" t="s">
        <v>46</v>
      </c>
      <c r="Y109" s="53" t="s">
        <v>64</v>
      </c>
      <c r="Z109" s="53" t="s">
        <v>97</v>
      </c>
      <c r="AA109" s="53" t="s">
        <v>69</v>
      </c>
      <c r="AB109" s="53" t="s">
        <v>158</v>
      </c>
      <c r="AC109" s="76"/>
      <c r="AD109" s="76"/>
      <c r="AE109" s="76"/>
      <c r="AF109" s="76"/>
      <c r="AG109" s="76"/>
      <c r="AH109" s="76"/>
    </row>
    <row r="110" spans="1:34" x14ac:dyDescent="0.15">
      <c r="A110" s="53" t="s">
        <v>41</v>
      </c>
      <c r="B110" s="53" t="s">
        <v>157</v>
      </c>
      <c r="C110" s="62">
        <v>2019</v>
      </c>
      <c r="D110" s="63" t="s">
        <v>184</v>
      </c>
      <c r="E110" s="53" t="s">
        <v>199</v>
      </c>
      <c r="F110" s="53" t="s">
        <v>197</v>
      </c>
      <c r="G110" s="53" t="s">
        <v>42</v>
      </c>
      <c r="H110" s="53" t="s">
        <v>164</v>
      </c>
      <c r="I110" s="53" t="s">
        <v>159</v>
      </c>
      <c r="J110" s="53" t="s">
        <v>38</v>
      </c>
      <c r="K110" s="53" t="s">
        <v>161</v>
      </c>
      <c r="L110" s="53">
        <v>1</v>
      </c>
      <c r="N110" s="53">
        <v>7</v>
      </c>
      <c r="O110" s="53">
        <v>0.95</v>
      </c>
      <c r="P110" s="53">
        <v>1</v>
      </c>
      <c r="Q110" s="16">
        <f t="shared" si="3"/>
        <v>0.97499999999999998</v>
      </c>
      <c r="R110" s="53">
        <v>14.9</v>
      </c>
      <c r="S110" s="53">
        <v>89</v>
      </c>
      <c r="T110" s="38">
        <f t="shared" si="4"/>
        <v>36</v>
      </c>
      <c r="U110" s="53">
        <v>428</v>
      </c>
      <c r="V110" s="38">
        <f t="shared" si="5"/>
        <v>2201.1428571428573</v>
      </c>
      <c r="W110" s="53">
        <v>1</v>
      </c>
      <c r="X110" s="53" t="s">
        <v>46</v>
      </c>
      <c r="Y110" s="53" t="s">
        <v>64</v>
      </c>
      <c r="Z110" s="53" t="s">
        <v>97</v>
      </c>
      <c r="AA110" s="53" t="s">
        <v>69</v>
      </c>
      <c r="AB110" s="53" t="s">
        <v>158</v>
      </c>
      <c r="AC110" s="76"/>
      <c r="AD110" s="76"/>
      <c r="AE110" s="76"/>
      <c r="AF110" s="76"/>
      <c r="AG110" s="76"/>
      <c r="AH110" s="76"/>
    </row>
    <row r="111" spans="1:34" x14ac:dyDescent="0.15">
      <c r="A111" s="53" t="s">
        <v>41</v>
      </c>
      <c r="B111" s="53" t="s">
        <v>157</v>
      </c>
      <c r="C111" s="62">
        <v>2019</v>
      </c>
      <c r="D111" s="63" t="s">
        <v>184</v>
      </c>
      <c r="E111" s="53" t="s">
        <v>199</v>
      </c>
      <c r="F111" s="53" t="s">
        <v>197</v>
      </c>
      <c r="G111" s="53" t="s">
        <v>42</v>
      </c>
      <c r="H111" s="53" t="s">
        <v>164</v>
      </c>
      <c r="I111" s="53" t="s">
        <v>159</v>
      </c>
      <c r="J111" s="53" t="s">
        <v>38</v>
      </c>
      <c r="K111" s="53" t="s">
        <v>161</v>
      </c>
      <c r="L111" s="53">
        <v>2</v>
      </c>
      <c r="N111" s="53">
        <v>7</v>
      </c>
      <c r="O111" s="53">
        <v>0.85</v>
      </c>
      <c r="P111" s="53">
        <v>0.7</v>
      </c>
      <c r="Q111" s="16">
        <f t="shared" si="3"/>
        <v>0.77499999999999991</v>
      </c>
      <c r="R111" s="53">
        <v>15.7</v>
      </c>
      <c r="S111" s="53">
        <v>90</v>
      </c>
      <c r="T111" s="38">
        <f t="shared" si="4"/>
        <v>36</v>
      </c>
      <c r="U111" s="53">
        <v>428</v>
      </c>
      <c r="V111" s="38">
        <f t="shared" si="5"/>
        <v>2201.1428571428573</v>
      </c>
      <c r="W111" s="53">
        <v>1</v>
      </c>
      <c r="X111" s="53" t="s">
        <v>46</v>
      </c>
      <c r="Y111" s="53" t="s">
        <v>64</v>
      </c>
      <c r="Z111" s="53" t="s">
        <v>97</v>
      </c>
      <c r="AA111" s="53" t="s">
        <v>69</v>
      </c>
      <c r="AB111" s="53" t="s">
        <v>158</v>
      </c>
      <c r="AC111" s="76"/>
      <c r="AD111" s="76"/>
      <c r="AE111" s="76"/>
      <c r="AF111" s="76"/>
      <c r="AG111" s="76"/>
      <c r="AH111" s="76"/>
    </row>
    <row r="112" spans="1:34" x14ac:dyDescent="0.15">
      <c r="A112" s="53" t="s">
        <v>41</v>
      </c>
      <c r="B112" s="53" t="s">
        <v>157</v>
      </c>
      <c r="C112" s="62">
        <v>2019</v>
      </c>
      <c r="D112" s="63" t="s">
        <v>184</v>
      </c>
      <c r="E112" s="53" t="s">
        <v>199</v>
      </c>
      <c r="F112" s="53" t="s">
        <v>197</v>
      </c>
      <c r="G112" s="53" t="s">
        <v>42</v>
      </c>
      <c r="H112" s="53" t="s">
        <v>164</v>
      </c>
      <c r="I112" s="53" t="s">
        <v>159</v>
      </c>
      <c r="J112" s="53" t="s">
        <v>38</v>
      </c>
      <c r="K112" s="53" t="s">
        <v>161</v>
      </c>
      <c r="L112" s="53">
        <v>3</v>
      </c>
      <c r="N112" s="53">
        <v>7</v>
      </c>
      <c r="O112" s="53">
        <v>0.65</v>
      </c>
      <c r="P112" s="53">
        <v>0.7</v>
      </c>
      <c r="Q112" s="16">
        <f t="shared" si="3"/>
        <v>0.67500000000000004</v>
      </c>
      <c r="R112" s="53">
        <v>16.8</v>
      </c>
      <c r="S112" s="53">
        <v>96</v>
      </c>
      <c r="T112" s="38">
        <f t="shared" si="4"/>
        <v>36</v>
      </c>
      <c r="U112" s="53">
        <v>428</v>
      </c>
      <c r="V112" s="38">
        <f t="shared" si="5"/>
        <v>2201.1428571428573</v>
      </c>
      <c r="W112" s="53">
        <v>1</v>
      </c>
      <c r="X112" s="53" t="s">
        <v>46</v>
      </c>
      <c r="Y112" s="53" t="s">
        <v>64</v>
      </c>
      <c r="Z112" s="53" t="s">
        <v>97</v>
      </c>
      <c r="AA112" s="53" t="s">
        <v>69</v>
      </c>
      <c r="AB112" s="53" t="s">
        <v>158</v>
      </c>
      <c r="AC112" s="76"/>
      <c r="AD112" s="76"/>
      <c r="AE112" s="76"/>
      <c r="AF112" s="76"/>
      <c r="AG112" s="76"/>
      <c r="AH112" s="76"/>
    </row>
    <row r="113" spans="1:34" x14ac:dyDescent="0.15">
      <c r="A113" s="53" t="s">
        <v>41</v>
      </c>
      <c r="B113" s="53" t="s">
        <v>157</v>
      </c>
      <c r="C113" s="62">
        <v>2019</v>
      </c>
      <c r="D113" s="63" t="s">
        <v>184</v>
      </c>
      <c r="E113" s="53" t="s">
        <v>199</v>
      </c>
      <c r="F113" s="53" t="s">
        <v>197</v>
      </c>
      <c r="G113" s="53" t="s">
        <v>42</v>
      </c>
      <c r="H113" s="53" t="s">
        <v>164</v>
      </c>
      <c r="I113" s="53" t="s">
        <v>159</v>
      </c>
      <c r="J113" s="53" t="s">
        <v>38</v>
      </c>
      <c r="K113" s="53" t="s">
        <v>161</v>
      </c>
      <c r="L113" s="53">
        <v>1</v>
      </c>
      <c r="N113" s="53">
        <v>1</v>
      </c>
      <c r="O113" s="53">
        <v>0.4</v>
      </c>
      <c r="P113" s="53">
        <v>0.45</v>
      </c>
      <c r="Q113" s="75">
        <f t="shared" si="3"/>
        <v>0.42500000000000004</v>
      </c>
      <c r="R113" s="53">
        <v>16.399999999999999</v>
      </c>
      <c r="S113" s="53">
        <v>119</v>
      </c>
      <c r="T113" s="16">
        <f t="shared" si="4"/>
        <v>30</v>
      </c>
      <c r="U113" s="53">
        <v>104</v>
      </c>
      <c r="V113" s="16">
        <f t="shared" si="5"/>
        <v>3120</v>
      </c>
      <c r="W113" s="53">
        <v>3</v>
      </c>
      <c r="X113" s="53" t="s">
        <v>46</v>
      </c>
      <c r="Y113" s="53" t="s">
        <v>64</v>
      </c>
      <c r="Z113" s="53" t="s">
        <v>97</v>
      </c>
      <c r="AA113" s="53" t="s">
        <v>69</v>
      </c>
      <c r="AB113" s="53" t="s">
        <v>158</v>
      </c>
      <c r="AC113" s="76"/>
      <c r="AD113" s="76"/>
      <c r="AE113" s="76"/>
      <c r="AF113" s="76"/>
      <c r="AG113" s="76"/>
      <c r="AH113" s="76"/>
    </row>
    <row r="114" spans="1:34" x14ac:dyDescent="0.15">
      <c r="A114" s="53" t="s">
        <v>41</v>
      </c>
      <c r="B114" s="53" t="s">
        <v>157</v>
      </c>
      <c r="C114" s="62">
        <v>2019</v>
      </c>
      <c r="D114" s="63" t="s">
        <v>184</v>
      </c>
      <c r="E114" s="53" t="s">
        <v>199</v>
      </c>
      <c r="F114" s="53" t="s">
        <v>197</v>
      </c>
      <c r="G114" s="53" t="s">
        <v>42</v>
      </c>
      <c r="H114" s="53" t="s">
        <v>164</v>
      </c>
      <c r="I114" s="53" t="s">
        <v>159</v>
      </c>
      <c r="J114" s="53" t="s">
        <v>38</v>
      </c>
      <c r="K114" s="53" t="s">
        <v>161</v>
      </c>
      <c r="L114" s="53">
        <v>2</v>
      </c>
      <c r="N114" s="53">
        <v>1</v>
      </c>
      <c r="O114" s="53">
        <v>0.25</v>
      </c>
      <c r="P114" s="53">
        <v>0.25</v>
      </c>
      <c r="Q114" s="75">
        <f t="shared" si="3"/>
        <v>0.25</v>
      </c>
      <c r="R114" s="53">
        <v>17.399999999999999</v>
      </c>
      <c r="S114" s="53">
        <v>120</v>
      </c>
      <c r="T114" s="16">
        <f t="shared" si="4"/>
        <v>30</v>
      </c>
      <c r="U114" s="53">
        <v>104</v>
      </c>
      <c r="V114" s="16">
        <f t="shared" si="5"/>
        <v>3120</v>
      </c>
      <c r="W114" s="53">
        <v>3</v>
      </c>
      <c r="X114" s="53" t="s">
        <v>46</v>
      </c>
      <c r="Y114" s="53" t="s">
        <v>64</v>
      </c>
      <c r="Z114" s="53" t="s">
        <v>97</v>
      </c>
      <c r="AA114" s="53" t="s">
        <v>69</v>
      </c>
      <c r="AB114" s="53" t="s">
        <v>158</v>
      </c>
      <c r="AC114" s="76"/>
      <c r="AD114" s="76"/>
      <c r="AE114" s="76"/>
      <c r="AF114" s="76"/>
      <c r="AG114" s="76"/>
      <c r="AH114" s="76"/>
    </row>
    <row r="115" spans="1:34" x14ac:dyDescent="0.15">
      <c r="A115" s="53" t="s">
        <v>41</v>
      </c>
      <c r="B115" s="53" t="s">
        <v>157</v>
      </c>
      <c r="C115" s="62">
        <v>2019</v>
      </c>
      <c r="D115" s="63" t="s">
        <v>184</v>
      </c>
      <c r="E115" s="53" t="s">
        <v>199</v>
      </c>
      <c r="F115" s="53" t="s">
        <v>197</v>
      </c>
      <c r="G115" s="53" t="s">
        <v>42</v>
      </c>
      <c r="H115" s="53" t="s">
        <v>164</v>
      </c>
      <c r="I115" s="53" t="s">
        <v>159</v>
      </c>
      <c r="J115" s="53" t="s">
        <v>38</v>
      </c>
      <c r="K115" s="53" t="s">
        <v>161</v>
      </c>
      <c r="L115" s="53">
        <v>3</v>
      </c>
      <c r="N115" s="53">
        <v>1</v>
      </c>
      <c r="O115" s="53">
        <v>0.35</v>
      </c>
      <c r="P115" s="53">
        <v>0.3</v>
      </c>
      <c r="Q115" s="75">
        <f t="shared" si="3"/>
        <v>0.32499999999999996</v>
      </c>
      <c r="R115" s="53">
        <v>16.8</v>
      </c>
      <c r="S115" s="53">
        <v>117</v>
      </c>
      <c r="T115" s="16">
        <f t="shared" si="4"/>
        <v>30</v>
      </c>
      <c r="U115" s="53">
        <v>104</v>
      </c>
      <c r="V115" s="16">
        <f t="shared" si="5"/>
        <v>3120</v>
      </c>
      <c r="W115" s="53">
        <v>3</v>
      </c>
      <c r="X115" s="53" t="s">
        <v>46</v>
      </c>
      <c r="Y115" s="53" t="s">
        <v>64</v>
      </c>
      <c r="Z115" s="53" t="s">
        <v>97</v>
      </c>
      <c r="AA115" s="53" t="s">
        <v>69</v>
      </c>
      <c r="AB115" s="53" t="s">
        <v>158</v>
      </c>
      <c r="AC115" s="76"/>
      <c r="AD115" s="76"/>
      <c r="AE115" s="76"/>
      <c r="AF115" s="76"/>
      <c r="AG115" s="76"/>
      <c r="AH115" s="76"/>
    </row>
    <row r="116" spans="1:34" x14ac:dyDescent="0.15">
      <c r="A116" s="53" t="s">
        <v>41</v>
      </c>
      <c r="B116" s="53" t="s">
        <v>157</v>
      </c>
      <c r="C116" s="62">
        <v>2019</v>
      </c>
      <c r="D116" s="63" t="s">
        <v>184</v>
      </c>
      <c r="E116" s="53" t="s">
        <v>201</v>
      </c>
      <c r="F116" s="53" t="s">
        <v>202</v>
      </c>
      <c r="G116" s="53" t="s">
        <v>42</v>
      </c>
      <c r="H116" s="53" t="s">
        <v>160</v>
      </c>
      <c r="I116" s="53" t="s">
        <v>159</v>
      </c>
      <c r="J116" s="53" t="s">
        <v>38</v>
      </c>
      <c r="K116" s="53" t="s">
        <v>161</v>
      </c>
      <c r="L116" s="53">
        <v>1</v>
      </c>
      <c r="N116" s="53">
        <v>1</v>
      </c>
      <c r="O116" s="53">
        <v>0.4</v>
      </c>
      <c r="P116" s="53">
        <v>0.4</v>
      </c>
      <c r="Q116" s="75">
        <f t="shared" si="3"/>
        <v>0.4</v>
      </c>
      <c r="R116" s="53">
        <v>15.2</v>
      </c>
      <c r="S116" s="53">
        <v>126</v>
      </c>
      <c r="T116" s="16">
        <f t="shared" si="4"/>
        <v>27</v>
      </c>
      <c r="U116" s="53">
        <v>138</v>
      </c>
      <c r="V116" s="16">
        <f t="shared" si="5"/>
        <v>3726</v>
      </c>
      <c r="W116" s="53">
        <v>3</v>
      </c>
      <c r="X116" s="53" t="s">
        <v>46</v>
      </c>
      <c r="Y116" s="53" t="s">
        <v>55</v>
      </c>
      <c r="Z116" s="53" t="s">
        <v>69</v>
      </c>
      <c r="AA116" s="53" t="s">
        <v>97</v>
      </c>
      <c r="AB116" s="53" t="s">
        <v>158</v>
      </c>
      <c r="AC116" s="76"/>
      <c r="AD116" s="76"/>
      <c r="AE116" s="76"/>
      <c r="AF116" s="76"/>
      <c r="AG116" s="76"/>
      <c r="AH116" s="76"/>
    </row>
    <row r="117" spans="1:34" x14ac:dyDescent="0.15">
      <c r="A117" s="53" t="s">
        <v>41</v>
      </c>
      <c r="B117" s="53" t="s">
        <v>157</v>
      </c>
      <c r="C117" s="62">
        <v>2019</v>
      </c>
      <c r="D117" s="63" t="s">
        <v>184</v>
      </c>
      <c r="E117" s="53" t="s">
        <v>201</v>
      </c>
      <c r="F117" s="53" t="s">
        <v>202</v>
      </c>
      <c r="G117" s="53" t="s">
        <v>42</v>
      </c>
      <c r="H117" s="53" t="s">
        <v>160</v>
      </c>
      <c r="I117" s="53" t="s">
        <v>159</v>
      </c>
      <c r="J117" s="53" t="s">
        <v>38</v>
      </c>
      <c r="K117" s="53" t="s">
        <v>161</v>
      </c>
      <c r="L117" s="53">
        <v>2</v>
      </c>
      <c r="N117" s="53">
        <v>1</v>
      </c>
      <c r="O117" s="53">
        <v>0.25</v>
      </c>
      <c r="P117" s="53">
        <v>0.35</v>
      </c>
      <c r="Q117" s="75">
        <f t="shared" si="3"/>
        <v>0.3</v>
      </c>
      <c r="R117" s="53">
        <v>13.8</v>
      </c>
      <c r="S117" s="53">
        <v>124</v>
      </c>
      <c r="T117" s="16">
        <f t="shared" si="4"/>
        <v>27</v>
      </c>
      <c r="U117" s="53">
        <v>138</v>
      </c>
      <c r="V117" s="16">
        <f t="shared" si="5"/>
        <v>3726</v>
      </c>
      <c r="W117" s="53">
        <v>3</v>
      </c>
      <c r="X117" s="53" t="s">
        <v>46</v>
      </c>
      <c r="Y117" s="53" t="s">
        <v>55</v>
      </c>
      <c r="Z117" s="53" t="s">
        <v>69</v>
      </c>
      <c r="AA117" s="53" t="s">
        <v>97</v>
      </c>
      <c r="AB117" s="53" t="s">
        <v>158</v>
      </c>
      <c r="AC117" s="76"/>
      <c r="AD117" s="76"/>
      <c r="AE117" s="76"/>
      <c r="AF117" s="76"/>
      <c r="AG117" s="76"/>
      <c r="AH117" s="76"/>
    </row>
    <row r="118" spans="1:34" x14ac:dyDescent="0.15">
      <c r="A118" s="53" t="s">
        <v>41</v>
      </c>
      <c r="B118" s="53" t="s">
        <v>157</v>
      </c>
      <c r="C118" s="62">
        <v>2019</v>
      </c>
      <c r="D118" s="63" t="s">
        <v>184</v>
      </c>
      <c r="E118" s="53" t="s">
        <v>201</v>
      </c>
      <c r="F118" s="53" t="s">
        <v>202</v>
      </c>
      <c r="G118" s="53" t="s">
        <v>42</v>
      </c>
      <c r="H118" s="53" t="s">
        <v>160</v>
      </c>
      <c r="I118" s="53" t="s">
        <v>159</v>
      </c>
      <c r="J118" s="53" t="s">
        <v>38</v>
      </c>
      <c r="K118" s="53" t="s">
        <v>161</v>
      </c>
      <c r="L118" s="53">
        <v>3</v>
      </c>
      <c r="N118" s="53">
        <v>1</v>
      </c>
      <c r="O118" s="53">
        <v>0.25</v>
      </c>
      <c r="P118" s="53">
        <v>0.4</v>
      </c>
      <c r="Q118" s="75">
        <f t="shared" si="3"/>
        <v>0.32500000000000001</v>
      </c>
      <c r="R118" s="53">
        <v>14.5</v>
      </c>
      <c r="S118" s="53">
        <v>122</v>
      </c>
      <c r="T118" s="16">
        <f t="shared" si="4"/>
        <v>27</v>
      </c>
      <c r="U118" s="53">
        <v>138</v>
      </c>
      <c r="V118" s="16">
        <f t="shared" si="5"/>
        <v>3726</v>
      </c>
      <c r="W118" s="53">
        <v>3</v>
      </c>
      <c r="X118" s="53" t="s">
        <v>46</v>
      </c>
      <c r="Y118" s="53" t="s">
        <v>55</v>
      </c>
      <c r="Z118" s="53" t="s">
        <v>69</v>
      </c>
      <c r="AA118" s="53" t="s">
        <v>97</v>
      </c>
      <c r="AB118" s="53" t="s">
        <v>158</v>
      </c>
      <c r="AC118" s="76"/>
      <c r="AD118" s="76"/>
      <c r="AE118" s="76"/>
      <c r="AF118" s="76"/>
      <c r="AG118" s="76"/>
      <c r="AH118" s="76"/>
    </row>
    <row r="119" spans="1:34" x14ac:dyDescent="0.15">
      <c r="A119" s="53" t="s">
        <v>41</v>
      </c>
      <c r="B119" s="53" t="s">
        <v>157</v>
      </c>
      <c r="C119" s="62">
        <v>2019</v>
      </c>
      <c r="D119" s="63" t="s">
        <v>184</v>
      </c>
      <c r="E119" s="53" t="s">
        <v>201</v>
      </c>
      <c r="F119" s="53" t="s">
        <v>202</v>
      </c>
      <c r="G119" s="53" t="s">
        <v>42</v>
      </c>
      <c r="H119" s="53" t="s">
        <v>160</v>
      </c>
      <c r="I119" s="53" t="s">
        <v>159</v>
      </c>
      <c r="J119" s="53" t="s">
        <v>38</v>
      </c>
      <c r="K119" s="53" t="s">
        <v>161</v>
      </c>
      <c r="L119" s="53">
        <v>1</v>
      </c>
      <c r="N119" s="53">
        <v>4</v>
      </c>
      <c r="O119" s="53">
        <v>0.25</v>
      </c>
      <c r="P119" s="53">
        <v>0.35</v>
      </c>
      <c r="Q119" s="75">
        <f t="shared" si="3"/>
        <v>0.3</v>
      </c>
      <c r="R119" s="53">
        <v>13.4</v>
      </c>
      <c r="S119" s="53">
        <v>123</v>
      </c>
      <c r="T119" s="16">
        <f t="shared" si="4"/>
        <v>27</v>
      </c>
      <c r="U119" s="53">
        <v>518</v>
      </c>
      <c r="V119" s="16">
        <f t="shared" si="5"/>
        <v>3496.5</v>
      </c>
      <c r="W119" s="53">
        <v>3</v>
      </c>
      <c r="X119" s="53" t="s">
        <v>46</v>
      </c>
      <c r="Y119" s="53" t="s">
        <v>55</v>
      </c>
      <c r="Z119" s="53" t="s">
        <v>69</v>
      </c>
      <c r="AA119" s="53" t="s">
        <v>97</v>
      </c>
      <c r="AB119" s="53" t="s">
        <v>158</v>
      </c>
      <c r="AC119" s="76"/>
      <c r="AD119" s="76"/>
      <c r="AE119" s="76"/>
      <c r="AF119" s="76"/>
      <c r="AG119" s="76"/>
      <c r="AH119" s="76"/>
    </row>
    <row r="120" spans="1:34" x14ac:dyDescent="0.15">
      <c r="A120" s="53" t="s">
        <v>41</v>
      </c>
      <c r="B120" s="53" t="s">
        <v>157</v>
      </c>
      <c r="C120" s="62">
        <v>2019</v>
      </c>
      <c r="D120" s="63" t="s">
        <v>184</v>
      </c>
      <c r="E120" s="53" t="s">
        <v>201</v>
      </c>
      <c r="F120" s="53" t="s">
        <v>202</v>
      </c>
      <c r="G120" s="53" t="s">
        <v>42</v>
      </c>
      <c r="H120" s="53" t="s">
        <v>160</v>
      </c>
      <c r="I120" s="53" t="s">
        <v>159</v>
      </c>
      <c r="J120" s="53" t="s">
        <v>38</v>
      </c>
      <c r="K120" s="53" t="s">
        <v>161</v>
      </c>
      <c r="L120" s="53">
        <v>2</v>
      </c>
      <c r="N120" s="53">
        <v>4</v>
      </c>
      <c r="O120" s="53">
        <v>0.35</v>
      </c>
      <c r="P120" s="53">
        <v>0.3</v>
      </c>
      <c r="Q120" s="75">
        <f t="shared" si="3"/>
        <v>0.32499999999999996</v>
      </c>
      <c r="R120" s="53">
        <v>16.2</v>
      </c>
      <c r="S120" s="53">
        <v>121</v>
      </c>
      <c r="T120" s="16">
        <f t="shared" si="4"/>
        <v>27</v>
      </c>
      <c r="U120" s="53">
        <v>518</v>
      </c>
      <c r="V120" s="16">
        <f t="shared" si="5"/>
        <v>3496.5</v>
      </c>
      <c r="W120" s="53">
        <v>3</v>
      </c>
      <c r="X120" s="53" t="s">
        <v>46</v>
      </c>
      <c r="Y120" s="53" t="s">
        <v>55</v>
      </c>
      <c r="Z120" s="53" t="s">
        <v>69</v>
      </c>
      <c r="AA120" s="53" t="s">
        <v>97</v>
      </c>
      <c r="AB120" s="53" t="s">
        <v>158</v>
      </c>
      <c r="AC120" s="76"/>
      <c r="AD120" s="76"/>
      <c r="AE120" s="76"/>
      <c r="AF120" s="76"/>
      <c r="AG120" s="76"/>
      <c r="AH120" s="76"/>
    </row>
    <row r="121" spans="1:34" x14ac:dyDescent="0.15">
      <c r="A121" s="53" t="s">
        <v>41</v>
      </c>
      <c r="B121" s="53" t="s">
        <v>157</v>
      </c>
      <c r="C121" s="62">
        <v>2019</v>
      </c>
      <c r="D121" s="63" t="s">
        <v>184</v>
      </c>
      <c r="E121" s="53" t="s">
        <v>201</v>
      </c>
      <c r="F121" s="53" t="s">
        <v>202</v>
      </c>
      <c r="G121" s="53" t="s">
        <v>42</v>
      </c>
      <c r="H121" s="53" t="s">
        <v>160</v>
      </c>
      <c r="I121" s="53" t="s">
        <v>159</v>
      </c>
      <c r="J121" s="53" t="s">
        <v>38</v>
      </c>
      <c r="K121" s="53" t="s">
        <v>161</v>
      </c>
      <c r="L121" s="53">
        <v>3</v>
      </c>
      <c r="N121" s="53">
        <v>4</v>
      </c>
      <c r="O121" s="53">
        <v>0.6</v>
      </c>
      <c r="P121" s="53">
        <v>0.4</v>
      </c>
      <c r="Q121" s="72">
        <f t="shared" si="3"/>
        <v>0.5</v>
      </c>
      <c r="R121" s="53">
        <v>13.5</v>
      </c>
      <c r="S121" s="53">
        <v>123</v>
      </c>
      <c r="T121" s="38">
        <f t="shared" si="4"/>
        <v>27</v>
      </c>
      <c r="U121" s="53">
        <v>518</v>
      </c>
      <c r="V121" s="16">
        <f t="shared" si="5"/>
        <v>3496.5</v>
      </c>
      <c r="W121" s="53">
        <v>3</v>
      </c>
      <c r="X121" s="53" t="s">
        <v>46</v>
      </c>
      <c r="Y121" s="53" t="s">
        <v>55</v>
      </c>
      <c r="Z121" s="53" t="s">
        <v>69</v>
      </c>
      <c r="AA121" s="53" t="s">
        <v>97</v>
      </c>
      <c r="AB121" s="53" t="s">
        <v>158</v>
      </c>
      <c r="AC121" s="76"/>
      <c r="AD121" s="76"/>
      <c r="AE121" s="76"/>
      <c r="AF121" s="76"/>
      <c r="AG121" s="76"/>
      <c r="AH121" s="76"/>
    </row>
    <row r="122" spans="1:34" x14ac:dyDescent="0.15">
      <c r="A122" s="53" t="s">
        <v>41</v>
      </c>
      <c r="B122" s="53" t="s">
        <v>157</v>
      </c>
      <c r="C122" s="62">
        <v>2019</v>
      </c>
      <c r="D122" s="63" t="s">
        <v>184</v>
      </c>
      <c r="E122" s="53" t="s">
        <v>201</v>
      </c>
      <c r="F122" s="53" t="s">
        <v>202</v>
      </c>
      <c r="G122" s="53" t="s">
        <v>42</v>
      </c>
      <c r="H122" s="53" t="s">
        <v>160</v>
      </c>
      <c r="I122" s="53" t="s">
        <v>159</v>
      </c>
      <c r="J122" s="53" t="s">
        <v>38</v>
      </c>
      <c r="K122" s="53" t="s">
        <v>161</v>
      </c>
      <c r="L122" s="53">
        <v>1</v>
      </c>
      <c r="N122" s="53">
        <v>3</v>
      </c>
      <c r="O122" s="53">
        <v>0.8</v>
      </c>
      <c r="P122" s="53">
        <v>0.9</v>
      </c>
      <c r="Q122" s="72">
        <f t="shared" si="3"/>
        <v>0.85000000000000009</v>
      </c>
      <c r="R122" s="53">
        <v>13.6</v>
      </c>
      <c r="S122" s="53">
        <v>150</v>
      </c>
      <c r="T122" s="38">
        <f t="shared" si="4"/>
        <v>22</v>
      </c>
      <c r="U122" s="53">
        <v>429</v>
      </c>
      <c r="V122" s="16">
        <f t="shared" si="5"/>
        <v>3146</v>
      </c>
      <c r="W122" s="53">
        <v>3</v>
      </c>
      <c r="X122" s="53" t="s">
        <v>46</v>
      </c>
      <c r="Y122" s="53" t="s">
        <v>55</v>
      </c>
      <c r="Z122" s="53" t="s">
        <v>69</v>
      </c>
      <c r="AA122" s="53" t="s">
        <v>97</v>
      </c>
      <c r="AB122" s="53" t="s">
        <v>158</v>
      </c>
      <c r="AC122" s="76"/>
      <c r="AD122" s="76"/>
      <c r="AE122" s="76"/>
      <c r="AF122" s="76"/>
      <c r="AG122" s="76"/>
      <c r="AH122" s="76"/>
    </row>
    <row r="123" spans="1:34" x14ac:dyDescent="0.15">
      <c r="A123" s="53" t="s">
        <v>41</v>
      </c>
      <c r="B123" s="53" t="s">
        <v>157</v>
      </c>
      <c r="C123" s="62">
        <v>2019</v>
      </c>
      <c r="D123" s="63" t="s">
        <v>184</v>
      </c>
      <c r="E123" s="53" t="s">
        <v>201</v>
      </c>
      <c r="F123" s="53" t="s">
        <v>202</v>
      </c>
      <c r="G123" s="53" t="s">
        <v>42</v>
      </c>
      <c r="H123" s="53" t="s">
        <v>160</v>
      </c>
      <c r="I123" s="53" t="s">
        <v>159</v>
      </c>
      <c r="J123" s="53" t="s">
        <v>38</v>
      </c>
      <c r="K123" s="53" t="s">
        <v>161</v>
      </c>
      <c r="L123" s="53">
        <v>2</v>
      </c>
      <c r="N123" s="53">
        <v>3</v>
      </c>
      <c r="O123" s="53">
        <v>0.75</v>
      </c>
      <c r="P123" s="53">
        <v>0.7</v>
      </c>
      <c r="Q123" s="72">
        <f t="shared" si="3"/>
        <v>0.72499999999999998</v>
      </c>
      <c r="R123" s="53">
        <v>17.399999999999999</v>
      </c>
      <c r="S123" s="53">
        <v>159</v>
      </c>
      <c r="T123" s="38">
        <f t="shared" si="4"/>
        <v>22</v>
      </c>
      <c r="U123" s="53">
        <v>429</v>
      </c>
      <c r="V123" s="16">
        <f t="shared" si="5"/>
        <v>3146</v>
      </c>
      <c r="W123" s="53">
        <v>3</v>
      </c>
      <c r="X123" s="53" t="s">
        <v>46</v>
      </c>
      <c r="Y123" s="53" t="s">
        <v>55</v>
      </c>
      <c r="Z123" s="53" t="s">
        <v>69</v>
      </c>
      <c r="AA123" s="53" t="s">
        <v>97</v>
      </c>
      <c r="AB123" s="53" t="s">
        <v>158</v>
      </c>
      <c r="AC123" s="76"/>
      <c r="AD123" s="76"/>
      <c r="AE123" s="76"/>
      <c r="AF123" s="76"/>
      <c r="AG123" s="76"/>
      <c r="AH123" s="76"/>
    </row>
    <row r="124" spans="1:34" x14ac:dyDescent="0.15">
      <c r="A124" s="53" t="s">
        <v>41</v>
      </c>
      <c r="B124" s="53" t="s">
        <v>157</v>
      </c>
      <c r="C124" s="62">
        <v>2019</v>
      </c>
      <c r="D124" s="63" t="s">
        <v>184</v>
      </c>
      <c r="E124" s="53" t="s">
        <v>201</v>
      </c>
      <c r="F124" s="53" t="s">
        <v>202</v>
      </c>
      <c r="G124" s="53" t="s">
        <v>42</v>
      </c>
      <c r="H124" s="53" t="s">
        <v>160</v>
      </c>
      <c r="I124" s="53" t="s">
        <v>159</v>
      </c>
      <c r="J124" s="53" t="s">
        <v>38</v>
      </c>
      <c r="K124" s="53" t="s">
        <v>161</v>
      </c>
      <c r="L124" s="53">
        <v>3</v>
      </c>
      <c r="N124" s="53">
        <v>3</v>
      </c>
      <c r="O124" s="53">
        <v>0.65</v>
      </c>
      <c r="P124" s="53">
        <v>0.5</v>
      </c>
      <c r="Q124" s="72">
        <f t="shared" si="3"/>
        <v>0.57499999999999996</v>
      </c>
      <c r="R124" s="53">
        <v>13.5</v>
      </c>
      <c r="S124" s="53">
        <v>161</v>
      </c>
      <c r="T124" s="38">
        <f t="shared" si="4"/>
        <v>22</v>
      </c>
      <c r="U124" s="53">
        <v>429</v>
      </c>
      <c r="V124" s="38">
        <f t="shared" si="5"/>
        <v>3146</v>
      </c>
      <c r="W124" s="53">
        <v>3</v>
      </c>
      <c r="X124" s="53" t="s">
        <v>46</v>
      </c>
      <c r="Y124" s="53" t="s">
        <v>55</v>
      </c>
      <c r="Z124" s="53" t="s">
        <v>69</v>
      </c>
      <c r="AA124" s="53" t="s">
        <v>97</v>
      </c>
      <c r="AB124" s="53" t="s">
        <v>158</v>
      </c>
      <c r="AC124" s="76"/>
      <c r="AD124" s="76"/>
      <c r="AE124" s="76"/>
      <c r="AF124" s="76"/>
      <c r="AG124" s="76"/>
      <c r="AH124" s="76"/>
    </row>
    <row r="125" spans="1:34" x14ac:dyDescent="0.15">
      <c r="A125" s="53" t="s">
        <v>41</v>
      </c>
      <c r="B125" s="53" t="s">
        <v>157</v>
      </c>
      <c r="C125" s="62">
        <v>2019</v>
      </c>
      <c r="D125" s="63" t="s">
        <v>184</v>
      </c>
      <c r="E125" s="53" t="s">
        <v>201</v>
      </c>
      <c r="F125" s="53" t="s">
        <v>202</v>
      </c>
      <c r="G125" s="53" t="s">
        <v>42</v>
      </c>
      <c r="H125" s="53" t="s">
        <v>164</v>
      </c>
      <c r="I125" s="53" t="s">
        <v>159</v>
      </c>
      <c r="J125" s="53" t="s">
        <v>38</v>
      </c>
      <c r="K125" s="53" t="s">
        <v>161</v>
      </c>
      <c r="L125" s="53">
        <v>1</v>
      </c>
      <c r="N125" s="53">
        <v>1</v>
      </c>
      <c r="O125" s="53">
        <v>0.3</v>
      </c>
      <c r="P125" s="53">
        <v>0.4</v>
      </c>
      <c r="Q125" s="72">
        <f t="shared" si="3"/>
        <v>0.35</v>
      </c>
      <c r="R125" s="53">
        <v>13.8</v>
      </c>
      <c r="S125" s="53">
        <v>131</v>
      </c>
      <c r="T125" s="38">
        <f t="shared" si="4"/>
        <v>25</v>
      </c>
      <c r="U125" s="53">
        <v>138</v>
      </c>
      <c r="V125" s="38">
        <f t="shared" si="5"/>
        <v>3450</v>
      </c>
      <c r="W125" s="53">
        <v>3</v>
      </c>
      <c r="X125" s="53" t="s">
        <v>46</v>
      </c>
      <c r="Y125" s="53" t="s">
        <v>55</v>
      </c>
      <c r="Z125" s="53" t="s">
        <v>69</v>
      </c>
      <c r="AA125" s="53" t="s">
        <v>97</v>
      </c>
      <c r="AB125" s="53" t="s">
        <v>158</v>
      </c>
      <c r="AC125" s="76"/>
      <c r="AD125" s="76"/>
      <c r="AE125" s="76"/>
      <c r="AF125" s="76"/>
      <c r="AG125" s="76"/>
      <c r="AH125" s="76"/>
    </row>
    <row r="126" spans="1:34" x14ac:dyDescent="0.15">
      <c r="A126" s="53" t="s">
        <v>41</v>
      </c>
      <c r="B126" s="53" t="s">
        <v>157</v>
      </c>
      <c r="C126" s="62">
        <v>2019</v>
      </c>
      <c r="D126" s="63" t="s">
        <v>184</v>
      </c>
      <c r="E126" s="53" t="s">
        <v>201</v>
      </c>
      <c r="F126" s="53" t="s">
        <v>202</v>
      </c>
      <c r="G126" s="53" t="s">
        <v>42</v>
      </c>
      <c r="H126" s="53" t="s">
        <v>164</v>
      </c>
      <c r="I126" s="53" t="s">
        <v>159</v>
      </c>
      <c r="J126" s="53" t="s">
        <v>38</v>
      </c>
      <c r="K126" s="53" t="s">
        <v>161</v>
      </c>
      <c r="L126" s="53">
        <v>2</v>
      </c>
      <c r="N126" s="53">
        <v>1</v>
      </c>
      <c r="O126" s="53">
        <v>0.2</v>
      </c>
      <c r="P126" s="53">
        <v>0.25</v>
      </c>
      <c r="Q126" s="72">
        <f t="shared" si="3"/>
        <v>0.22500000000000001</v>
      </c>
      <c r="R126" s="53">
        <v>16.399999999999999</v>
      </c>
      <c r="S126" s="53">
        <v>129</v>
      </c>
      <c r="T126" s="38">
        <f t="shared" si="4"/>
        <v>25</v>
      </c>
      <c r="U126" s="53">
        <v>138</v>
      </c>
      <c r="V126" s="38">
        <f t="shared" si="5"/>
        <v>3450</v>
      </c>
      <c r="W126" s="53">
        <v>3</v>
      </c>
      <c r="X126" s="53" t="s">
        <v>46</v>
      </c>
      <c r="Y126" s="53" t="s">
        <v>55</v>
      </c>
      <c r="Z126" s="53" t="s">
        <v>69</v>
      </c>
      <c r="AA126" s="53" t="s">
        <v>97</v>
      </c>
      <c r="AB126" s="53" t="s">
        <v>158</v>
      </c>
      <c r="AC126" s="76"/>
      <c r="AD126" s="76"/>
      <c r="AE126" s="76"/>
      <c r="AF126" s="76"/>
      <c r="AG126" s="76"/>
      <c r="AH126" s="76"/>
    </row>
    <row r="127" spans="1:34" x14ac:dyDescent="0.15">
      <c r="A127" s="53" t="s">
        <v>41</v>
      </c>
      <c r="B127" s="53" t="s">
        <v>157</v>
      </c>
      <c r="C127" s="62">
        <v>2019</v>
      </c>
      <c r="D127" s="63" t="s">
        <v>184</v>
      </c>
      <c r="E127" s="53" t="s">
        <v>201</v>
      </c>
      <c r="F127" s="53" t="s">
        <v>202</v>
      </c>
      <c r="G127" s="53" t="s">
        <v>42</v>
      </c>
      <c r="H127" s="53" t="s">
        <v>164</v>
      </c>
      <c r="I127" s="53" t="s">
        <v>159</v>
      </c>
      <c r="J127" s="53" t="s">
        <v>38</v>
      </c>
      <c r="K127" s="53" t="s">
        <v>161</v>
      </c>
      <c r="L127" s="53">
        <v>3</v>
      </c>
      <c r="N127" s="53">
        <v>1</v>
      </c>
      <c r="O127" s="53">
        <v>0.3</v>
      </c>
      <c r="P127" s="53">
        <v>0.35</v>
      </c>
      <c r="Q127" s="72">
        <f t="shared" si="3"/>
        <v>0.32499999999999996</v>
      </c>
      <c r="R127" s="53">
        <v>16.600000000000001</v>
      </c>
      <c r="S127" s="53">
        <v>132</v>
      </c>
      <c r="T127" s="38">
        <f t="shared" si="4"/>
        <v>25</v>
      </c>
      <c r="U127" s="53">
        <v>138</v>
      </c>
      <c r="V127" s="38">
        <f t="shared" si="5"/>
        <v>3450</v>
      </c>
      <c r="W127" s="53">
        <v>3</v>
      </c>
      <c r="X127" s="53" t="s">
        <v>46</v>
      </c>
      <c r="Y127" s="53" t="s">
        <v>55</v>
      </c>
      <c r="Z127" s="53" t="s">
        <v>69</v>
      </c>
      <c r="AA127" s="53" t="s">
        <v>97</v>
      </c>
      <c r="AB127" s="53" t="s">
        <v>158</v>
      </c>
      <c r="AC127" s="76"/>
      <c r="AD127" s="76"/>
      <c r="AE127" s="76"/>
      <c r="AF127" s="76"/>
      <c r="AG127" s="76"/>
      <c r="AH127" s="76"/>
    </row>
    <row r="128" spans="1:34" x14ac:dyDescent="0.15">
      <c r="A128" s="53" t="s">
        <v>41</v>
      </c>
      <c r="B128" s="53" t="s">
        <v>157</v>
      </c>
      <c r="C128" s="62">
        <v>2019</v>
      </c>
      <c r="D128" s="63" t="s">
        <v>184</v>
      </c>
      <c r="E128" s="53" t="s">
        <v>201</v>
      </c>
      <c r="F128" s="53" t="s">
        <v>202</v>
      </c>
      <c r="G128" s="53" t="s">
        <v>42</v>
      </c>
      <c r="H128" s="53" t="s">
        <v>164</v>
      </c>
      <c r="I128" s="53" t="s">
        <v>159</v>
      </c>
      <c r="J128" s="53" t="s">
        <v>38</v>
      </c>
      <c r="K128" s="53" t="s">
        <v>161</v>
      </c>
      <c r="L128" s="53">
        <v>1</v>
      </c>
      <c r="N128" s="53">
        <v>5</v>
      </c>
      <c r="O128" s="53">
        <v>0.4</v>
      </c>
      <c r="P128" s="53">
        <v>0.45</v>
      </c>
      <c r="Q128" s="75">
        <f t="shared" si="3"/>
        <v>0.42500000000000004</v>
      </c>
      <c r="R128" s="53">
        <v>12.4</v>
      </c>
      <c r="S128" s="53">
        <v>122</v>
      </c>
      <c r="T128" s="16">
        <f t="shared" si="4"/>
        <v>27</v>
      </c>
      <c r="U128" s="53">
        <v>410</v>
      </c>
      <c r="V128" s="16">
        <f t="shared" si="5"/>
        <v>2214</v>
      </c>
      <c r="W128" s="53">
        <v>4</v>
      </c>
      <c r="X128" s="53" t="s">
        <v>46</v>
      </c>
      <c r="Y128" s="53" t="s">
        <v>55</v>
      </c>
      <c r="Z128" s="53" t="s">
        <v>69</v>
      </c>
      <c r="AA128" s="53" t="s">
        <v>97</v>
      </c>
      <c r="AB128" s="53" t="s">
        <v>158</v>
      </c>
      <c r="AC128" s="76"/>
      <c r="AD128" s="76"/>
      <c r="AE128" s="76"/>
      <c r="AF128" s="76"/>
      <c r="AG128" s="76"/>
      <c r="AH128" s="76"/>
    </row>
    <row r="129" spans="1:34" x14ac:dyDescent="0.15">
      <c r="A129" s="53" t="s">
        <v>41</v>
      </c>
      <c r="B129" s="53" t="s">
        <v>157</v>
      </c>
      <c r="C129" s="62">
        <v>2019</v>
      </c>
      <c r="D129" s="63" t="s">
        <v>184</v>
      </c>
      <c r="E129" s="53" t="s">
        <v>201</v>
      </c>
      <c r="F129" s="53" t="s">
        <v>202</v>
      </c>
      <c r="G129" s="53" t="s">
        <v>42</v>
      </c>
      <c r="H129" s="53" t="s">
        <v>164</v>
      </c>
      <c r="I129" s="53" t="s">
        <v>159</v>
      </c>
      <c r="J129" s="53" t="s">
        <v>38</v>
      </c>
      <c r="K129" s="53" t="s">
        <v>161</v>
      </c>
      <c r="L129" s="53">
        <v>2</v>
      </c>
      <c r="N129" s="53">
        <v>5</v>
      </c>
      <c r="O129" s="53">
        <v>0.35</v>
      </c>
      <c r="P129" s="53">
        <v>0.35</v>
      </c>
      <c r="Q129" s="75">
        <f t="shared" si="3"/>
        <v>0.35</v>
      </c>
      <c r="R129" s="53">
        <v>13.8</v>
      </c>
      <c r="S129" s="53">
        <v>121</v>
      </c>
      <c r="T129" s="16">
        <f t="shared" si="4"/>
        <v>27</v>
      </c>
      <c r="U129" s="53">
        <v>410</v>
      </c>
      <c r="V129" s="16">
        <f t="shared" si="5"/>
        <v>2214</v>
      </c>
      <c r="W129" s="53">
        <v>4</v>
      </c>
      <c r="X129" s="53" t="s">
        <v>46</v>
      </c>
      <c r="Y129" s="53" t="s">
        <v>55</v>
      </c>
      <c r="Z129" s="53" t="s">
        <v>69</v>
      </c>
      <c r="AA129" s="53" t="s">
        <v>97</v>
      </c>
      <c r="AB129" s="53" t="s">
        <v>158</v>
      </c>
      <c r="AC129" s="76"/>
      <c r="AD129" s="76"/>
      <c r="AE129" s="76"/>
      <c r="AF129" s="76"/>
      <c r="AG129" s="76"/>
      <c r="AH129" s="76"/>
    </row>
    <row r="130" spans="1:34" x14ac:dyDescent="0.15">
      <c r="A130" s="53" t="s">
        <v>41</v>
      </c>
      <c r="B130" s="53" t="s">
        <v>157</v>
      </c>
      <c r="C130" s="62">
        <v>2019</v>
      </c>
      <c r="D130" s="63" t="s">
        <v>184</v>
      </c>
      <c r="E130" s="53" t="s">
        <v>201</v>
      </c>
      <c r="F130" s="53" t="s">
        <v>202</v>
      </c>
      <c r="G130" s="53" t="s">
        <v>42</v>
      </c>
      <c r="H130" s="53" t="s">
        <v>164</v>
      </c>
      <c r="I130" s="53" t="s">
        <v>159</v>
      </c>
      <c r="J130" s="53" t="s">
        <v>38</v>
      </c>
      <c r="K130" s="53" t="s">
        <v>161</v>
      </c>
      <c r="L130" s="53">
        <v>3</v>
      </c>
      <c r="N130" s="53">
        <v>5</v>
      </c>
      <c r="O130" s="53">
        <v>0.6</v>
      </c>
      <c r="P130" s="53">
        <v>0.6</v>
      </c>
      <c r="Q130" s="75">
        <f t="shared" ref="Q130:Q193" si="6">IF(OR(O130="",P130=""),"",AVERAGE(O130,P130))</f>
        <v>0.6</v>
      </c>
      <c r="R130" s="53">
        <v>13.9</v>
      </c>
      <c r="S130" s="53">
        <v>124</v>
      </c>
      <c r="T130" s="16">
        <f t="shared" ref="T130:T193" si="7">IF(H130="","",IF(OR(H130="GREEN",H130="GK"),IF(S130&gt;=$AX$2,VLOOKUP(S130,$AX$2:$AY$10,2,1),""),IF(S130&gt;=$AZ$2,VLOOKUP(S130,$AZ$2:$BA$10,2,1),"")))</f>
        <v>27</v>
      </c>
      <c r="U130" s="53">
        <v>410</v>
      </c>
      <c r="V130" s="16">
        <f t="shared" ref="V130:V193" si="8">IF(OR(N130="",U130="",T130=""),"",U130/N130*T130)</f>
        <v>2214</v>
      </c>
      <c r="W130" s="53">
        <v>4</v>
      </c>
      <c r="X130" s="53" t="s">
        <v>46</v>
      </c>
      <c r="Y130" s="53" t="s">
        <v>55</v>
      </c>
      <c r="Z130" s="53" t="s">
        <v>69</v>
      </c>
      <c r="AA130" s="53" t="s">
        <v>97</v>
      </c>
      <c r="AB130" s="53" t="s">
        <v>158</v>
      </c>
      <c r="AC130" s="76"/>
      <c r="AD130" s="76"/>
      <c r="AE130" s="76"/>
      <c r="AF130" s="76"/>
      <c r="AG130" s="76"/>
      <c r="AH130" s="76"/>
    </row>
    <row r="131" spans="1:34" x14ac:dyDescent="0.15">
      <c r="A131" s="53" t="s">
        <v>41</v>
      </c>
      <c r="B131" s="53" t="s">
        <v>157</v>
      </c>
      <c r="C131" s="62">
        <v>2019</v>
      </c>
      <c r="D131" s="63" t="s">
        <v>184</v>
      </c>
      <c r="E131" s="53" t="s">
        <v>201</v>
      </c>
      <c r="F131" s="53" t="s">
        <v>208</v>
      </c>
      <c r="G131" s="53" t="s">
        <v>42</v>
      </c>
      <c r="H131" s="53" t="s">
        <v>160</v>
      </c>
      <c r="I131" s="53" t="s">
        <v>159</v>
      </c>
      <c r="J131" s="53" t="s">
        <v>38</v>
      </c>
      <c r="K131" s="53" t="s">
        <v>161</v>
      </c>
      <c r="L131" s="53">
        <v>1</v>
      </c>
      <c r="N131" s="53">
        <v>1</v>
      </c>
      <c r="O131" s="53">
        <v>0.4</v>
      </c>
      <c r="P131" s="53">
        <v>0.5</v>
      </c>
      <c r="Q131" s="72">
        <f t="shared" si="6"/>
        <v>0.45</v>
      </c>
      <c r="R131" s="53">
        <v>15.1</v>
      </c>
      <c r="S131" s="53">
        <v>129</v>
      </c>
      <c r="T131" s="38">
        <f t="shared" si="7"/>
        <v>25</v>
      </c>
      <c r="U131" s="53">
        <v>138</v>
      </c>
      <c r="V131" s="16">
        <f t="shared" si="8"/>
        <v>3450</v>
      </c>
      <c r="W131" s="53">
        <v>3</v>
      </c>
      <c r="X131" s="53" t="s">
        <v>46</v>
      </c>
      <c r="Y131" s="53" t="s">
        <v>55</v>
      </c>
      <c r="Z131" s="53" t="s">
        <v>69</v>
      </c>
      <c r="AA131" s="53" t="s">
        <v>64</v>
      </c>
      <c r="AB131" s="53" t="s">
        <v>158</v>
      </c>
      <c r="AC131" s="76"/>
      <c r="AD131" s="76"/>
      <c r="AE131" s="76"/>
      <c r="AF131" s="76"/>
      <c r="AG131" s="76"/>
      <c r="AH131" s="76"/>
    </row>
    <row r="132" spans="1:34" x14ac:dyDescent="0.15">
      <c r="A132" s="53" t="s">
        <v>41</v>
      </c>
      <c r="B132" s="53" t="s">
        <v>157</v>
      </c>
      <c r="C132" s="62">
        <v>2019</v>
      </c>
      <c r="D132" s="63" t="s">
        <v>184</v>
      </c>
      <c r="E132" s="53" t="s">
        <v>201</v>
      </c>
      <c r="F132" s="53" t="s">
        <v>208</v>
      </c>
      <c r="G132" s="53" t="s">
        <v>42</v>
      </c>
      <c r="H132" s="53" t="s">
        <v>160</v>
      </c>
      <c r="I132" s="53" t="s">
        <v>159</v>
      </c>
      <c r="J132" s="53" t="s">
        <v>38</v>
      </c>
      <c r="K132" s="53" t="s">
        <v>161</v>
      </c>
      <c r="L132" s="53">
        <v>2</v>
      </c>
      <c r="N132" s="53">
        <v>1</v>
      </c>
      <c r="O132" s="53">
        <v>0.65</v>
      </c>
      <c r="P132" s="53">
        <v>0.6</v>
      </c>
      <c r="Q132" s="72">
        <f t="shared" si="6"/>
        <v>0.625</v>
      </c>
      <c r="R132" s="53">
        <v>14.7</v>
      </c>
      <c r="S132" s="53">
        <v>131</v>
      </c>
      <c r="T132" s="38">
        <f t="shared" si="7"/>
        <v>25</v>
      </c>
      <c r="U132" s="53">
        <v>138</v>
      </c>
      <c r="V132" s="16">
        <f t="shared" si="8"/>
        <v>3450</v>
      </c>
      <c r="W132" s="53">
        <v>3</v>
      </c>
      <c r="X132" s="53" t="s">
        <v>46</v>
      </c>
      <c r="Y132" s="53" t="s">
        <v>55</v>
      </c>
      <c r="Z132" s="53" t="s">
        <v>69</v>
      </c>
      <c r="AA132" s="53" t="s">
        <v>64</v>
      </c>
      <c r="AB132" s="53" t="s">
        <v>158</v>
      </c>
      <c r="AC132" s="76"/>
      <c r="AD132" s="76"/>
      <c r="AE132" s="76"/>
      <c r="AF132" s="76"/>
      <c r="AG132" s="76"/>
      <c r="AH132" s="76"/>
    </row>
    <row r="133" spans="1:34" x14ac:dyDescent="0.15">
      <c r="A133" s="53" t="s">
        <v>41</v>
      </c>
      <c r="B133" s="53" t="s">
        <v>157</v>
      </c>
      <c r="C133" s="62">
        <v>2019</v>
      </c>
      <c r="D133" s="63" t="s">
        <v>184</v>
      </c>
      <c r="E133" s="53" t="s">
        <v>201</v>
      </c>
      <c r="F133" s="53" t="s">
        <v>208</v>
      </c>
      <c r="G133" s="53" t="s">
        <v>42</v>
      </c>
      <c r="H133" s="53" t="s">
        <v>160</v>
      </c>
      <c r="I133" s="53" t="s">
        <v>159</v>
      </c>
      <c r="J133" s="53" t="s">
        <v>38</v>
      </c>
      <c r="K133" s="53" t="s">
        <v>161</v>
      </c>
      <c r="L133" s="53">
        <v>3</v>
      </c>
      <c r="N133" s="53">
        <v>1</v>
      </c>
      <c r="O133" s="53">
        <v>0.8</v>
      </c>
      <c r="P133" s="53">
        <v>0.65</v>
      </c>
      <c r="Q133" s="72">
        <f t="shared" si="6"/>
        <v>0.72500000000000009</v>
      </c>
      <c r="R133" s="53">
        <v>14.5</v>
      </c>
      <c r="S133" s="53">
        <v>125</v>
      </c>
      <c r="T133" s="38">
        <f t="shared" si="7"/>
        <v>27</v>
      </c>
      <c r="U133" s="53">
        <v>138</v>
      </c>
      <c r="V133" s="38">
        <f t="shared" si="8"/>
        <v>3726</v>
      </c>
      <c r="W133" s="53">
        <v>3</v>
      </c>
      <c r="X133" s="53" t="s">
        <v>46</v>
      </c>
      <c r="Y133" s="53" t="s">
        <v>55</v>
      </c>
      <c r="Z133" s="53" t="s">
        <v>69</v>
      </c>
      <c r="AA133" s="53" t="s">
        <v>64</v>
      </c>
      <c r="AB133" s="53" t="s">
        <v>158</v>
      </c>
      <c r="AC133" s="76"/>
      <c r="AD133" s="76"/>
      <c r="AE133" s="76"/>
      <c r="AF133" s="76"/>
      <c r="AG133" s="76"/>
      <c r="AH133" s="76"/>
    </row>
    <row r="134" spans="1:34" x14ac:dyDescent="0.15">
      <c r="A134" s="53" t="s">
        <v>41</v>
      </c>
      <c r="B134" s="53" t="s">
        <v>157</v>
      </c>
      <c r="C134" s="62">
        <v>2019</v>
      </c>
      <c r="D134" s="63" t="s">
        <v>184</v>
      </c>
      <c r="E134" s="53" t="s">
        <v>201</v>
      </c>
      <c r="F134" s="53" t="s">
        <v>208</v>
      </c>
      <c r="G134" s="53" t="s">
        <v>42</v>
      </c>
      <c r="H134" s="53" t="s">
        <v>160</v>
      </c>
      <c r="I134" s="53" t="s">
        <v>159</v>
      </c>
      <c r="J134" s="53" t="s">
        <v>38</v>
      </c>
      <c r="K134" s="53" t="s">
        <v>161</v>
      </c>
      <c r="L134" s="53">
        <v>1</v>
      </c>
      <c r="N134" s="53">
        <v>4</v>
      </c>
      <c r="O134" s="53">
        <v>0.75</v>
      </c>
      <c r="P134" s="53">
        <v>0.65</v>
      </c>
      <c r="Q134" s="72">
        <f t="shared" si="6"/>
        <v>0.7</v>
      </c>
      <c r="R134" s="53">
        <v>16.7</v>
      </c>
      <c r="S134" s="53">
        <v>123</v>
      </c>
      <c r="T134" s="38">
        <f t="shared" si="7"/>
        <v>27</v>
      </c>
      <c r="U134" s="53">
        <v>518</v>
      </c>
      <c r="V134" s="38">
        <f t="shared" si="8"/>
        <v>3496.5</v>
      </c>
      <c r="W134" s="53">
        <v>2</v>
      </c>
      <c r="X134" s="53" t="s">
        <v>46</v>
      </c>
      <c r="Y134" s="53" t="s">
        <v>55</v>
      </c>
      <c r="Z134" s="53" t="s">
        <v>69</v>
      </c>
      <c r="AA134" s="53" t="s">
        <v>64</v>
      </c>
      <c r="AB134" s="53" t="s">
        <v>158</v>
      </c>
      <c r="AC134" s="76"/>
      <c r="AD134" s="76"/>
      <c r="AE134" s="76"/>
      <c r="AF134" s="76"/>
      <c r="AG134" s="76"/>
      <c r="AH134" s="76"/>
    </row>
    <row r="135" spans="1:34" x14ac:dyDescent="0.15">
      <c r="A135" s="53" t="s">
        <v>41</v>
      </c>
      <c r="B135" s="53" t="s">
        <v>157</v>
      </c>
      <c r="C135" s="62">
        <v>2019</v>
      </c>
      <c r="D135" s="63" t="s">
        <v>184</v>
      </c>
      <c r="E135" s="53" t="s">
        <v>201</v>
      </c>
      <c r="F135" s="53" t="s">
        <v>208</v>
      </c>
      <c r="G135" s="53" t="s">
        <v>42</v>
      </c>
      <c r="H135" s="53" t="s">
        <v>160</v>
      </c>
      <c r="I135" s="53" t="s">
        <v>159</v>
      </c>
      <c r="J135" s="53" t="s">
        <v>38</v>
      </c>
      <c r="K135" s="53" t="s">
        <v>161</v>
      </c>
      <c r="L135" s="53">
        <v>2</v>
      </c>
      <c r="N135" s="53">
        <v>4</v>
      </c>
      <c r="O135" s="53">
        <v>0.85</v>
      </c>
      <c r="P135" s="53">
        <v>0.9</v>
      </c>
      <c r="Q135" s="72">
        <f t="shared" si="6"/>
        <v>0.875</v>
      </c>
      <c r="R135" s="53">
        <v>16</v>
      </c>
      <c r="S135" s="53">
        <v>122</v>
      </c>
      <c r="T135" s="38">
        <f t="shared" si="7"/>
        <v>27</v>
      </c>
      <c r="U135" s="53">
        <v>518</v>
      </c>
      <c r="V135" s="38">
        <f t="shared" si="8"/>
        <v>3496.5</v>
      </c>
      <c r="W135" s="53">
        <v>2</v>
      </c>
      <c r="X135" s="53" t="s">
        <v>46</v>
      </c>
      <c r="Y135" s="53" t="s">
        <v>55</v>
      </c>
      <c r="Z135" s="53" t="s">
        <v>69</v>
      </c>
      <c r="AA135" s="53" t="s">
        <v>64</v>
      </c>
      <c r="AB135" s="53" t="s">
        <v>158</v>
      </c>
      <c r="AC135" s="76"/>
      <c r="AD135" s="76"/>
      <c r="AE135" s="76"/>
      <c r="AF135" s="76"/>
      <c r="AG135" s="76"/>
      <c r="AH135" s="76"/>
    </row>
    <row r="136" spans="1:34" x14ac:dyDescent="0.15">
      <c r="A136" s="53" t="s">
        <v>41</v>
      </c>
      <c r="B136" s="53" t="s">
        <v>157</v>
      </c>
      <c r="C136" s="62">
        <v>2019</v>
      </c>
      <c r="D136" s="63" t="s">
        <v>184</v>
      </c>
      <c r="E136" s="53" t="s">
        <v>201</v>
      </c>
      <c r="F136" s="53" t="s">
        <v>208</v>
      </c>
      <c r="G136" s="53" t="s">
        <v>42</v>
      </c>
      <c r="H136" s="53" t="s">
        <v>160</v>
      </c>
      <c r="I136" s="53" t="s">
        <v>159</v>
      </c>
      <c r="J136" s="53" t="s">
        <v>38</v>
      </c>
      <c r="K136" s="53" t="s">
        <v>161</v>
      </c>
      <c r="L136" s="53">
        <v>3</v>
      </c>
      <c r="N136" s="53">
        <v>4</v>
      </c>
      <c r="O136" s="53">
        <v>0.9</v>
      </c>
      <c r="P136" s="53">
        <v>0.95</v>
      </c>
      <c r="Q136" s="72">
        <f t="shared" si="6"/>
        <v>0.92500000000000004</v>
      </c>
      <c r="R136" s="53">
        <v>13.8</v>
      </c>
      <c r="S136" s="53">
        <v>122</v>
      </c>
      <c r="T136" s="38">
        <f t="shared" si="7"/>
        <v>27</v>
      </c>
      <c r="U136" s="53">
        <v>518</v>
      </c>
      <c r="V136" s="38">
        <f t="shared" si="8"/>
        <v>3496.5</v>
      </c>
      <c r="W136" s="53">
        <v>2</v>
      </c>
      <c r="X136" s="53" t="s">
        <v>46</v>
      </c>
      <c r="Y136" s="53" t="s">
        <v>55</v>
      </c>
      <c r="Z136" s="53" t="s">
        <v>69</v>
      </c>
      <c r="AA136" s="53" t="s">
        <v>64</v>
      </c>
      <c r="AB136" s="53" t="s">
        <v>158</v>
      </c>
      <c r="AC136" s="76"/>
      <c r="AD136" s="76"/>
      <c r="AE136" s="76"/>
      <c r="AF136" s="76"/>
      <c r="AG136" s="76"/>
      <c r="AH136" s="76"/>
    </row>
    <row r="137" spans="1:34" x14ac:dyDescent="0.15">
      <c r="A137" s="53" t="s">
        <v>41</v>
      </c>
      <c r="B137" s="53" t="s">
        <v>157</v>
      </c>
      <c r="C137" s="62">
        <v>2019</v>
      </c>
      <c r="D137" s="63" t="s">
        <v>184</v>
      </c>
      <c r="E137" s="53" t="s">
        <v>201</v>
      </c>
      <c r="F137" s="53" t="s">
        <v>208</v>
      </c>
      <c r="G137" s="53" t="s">
        <v>42</v>
      </c>
      <c r="H137" s="53" t="s">
        <v>160</v>
      </c>
      <c r="I137" s="53" t="s">
        <v>159</v>
      </c>
      <c r="J137" s="53" t="s">
        <v>38</v>
      </c>
      <c r="K137" s="53" t="s">
        <v>161</v>
      </c>
      <c r="L137" s="53">
        <v>1</v>
      </c>
      <c r="N137" s="53">
        <v>3</v>
      </c>
      <c r="O137" s="53">
        <v>0.35</v>
      </c>
      <c r="P137" s="53">
        <v>0.45</v>
      </c>
      <c r="Q137" s="72">
        <f t="shared" si="6"/>
        <v>0.4</v>
      </c>
      <c r="R137" s="53">
        <v>13.6</v>
      </c>
      <c r="S137" s="53">
        <v>160</v>
      </c>
      <c r="T137" s="38">
        <f t="shared" si="7"/>
        <v>22</v>
      </c>
      <c r="U137" s="53">
        <v>429</v>
      </c>
      <c r="V137" s="38">
        <f t="shared" si="8"/>
        <v>3146</v>
      </c>
      <c r="W137" s="53">
        <v>2</v>
      </c>
      <c r="X137" s="53" t="s">
        <v>46</v>
      </c>
      <c r="Y137" s="53" t="s">
        <v>55</v>
      </c>
      <c r="Z137" s="53" t="s">
        <v>69</v>
      </c>
      <c r="AA137" s="53" t="s">
        <v>64</v>
      </c>
      <c r="AB137" s="53" t="s">
        <v>158</v>
      </c>
      <c r="AC137" s="76"/>
      <c r="AD137" s="76"/>
      <c r="AE137" s="76"/>
      <c r="AF137" s="76"/>
      <c r="AG137" s="76"/>
      <c r="AH137" s="76"/>
    </row>
    <row r="138" spans="1:34" x14ac:dyDescent="0.15">
      <c r="A138" s="53" t="s">
        <v>41</v>
      </c>
      <c r="B138" s="53" t="s">
        <v>157</v>
      </c>
      <c r="C138" s="62">
        <v>2019</v>
      </c>
      <c r="D138" s="63" t="s">
        <v>184</v>
      </c>
      <c r="E138" s="53" t="s">
        <v>201</v>
      </c>
      <c r="F138" s="53" t="s">
        <v>208</v>
      </c>
      <c r="G138" s="53" t="s">
        <v>42</v>
      </c>
      <c r="H138" s="53" t="s">
        <v>160</v>
      </c>
      <c r="I138" s="53" t="s">
        <v>159</v>
      </c>
      <c r="J138" s="53" t="s">
        <v>38</v>
      </c>
      <c r="K138" s="53" t="s">
        <v>161</v>
      </c>
      <c r="L138" s="53">
        <v>2</v>
      </c>
      <c r="N138" s="53">
        <v>3</v>
      </c>
      <c r="O138" s="53">
        <v>0.25</v>
      </c>
      <c r="P138" s="53">
        <v>0.3</v>
      </c>
      <c r="Q138" s="72">
        <f t="shared" si="6"/>
        <v>0.27500000000000002</v>
      </c>
      <c r="R138" s="53">
        <v>15.8</v>
      </c>
      <c r="S138" s="53">
        <v>158</v>
      </c>
      <c r="T138" s="38">
        <f t="shared" si="7"/>
        <v>22</v>
      </c>
      <c r="U138" s="53">
        <v>429</v>
      </c>
      <c r="V138" s="38">
        <f t="shared" si="8"/>
        <v>3146</v>
      </c>
      <c r="W138" s="53">
        <v>2</v>
      </c>
      <c r="X138" s="53" t="s">
        <v>46</v>
      </c>
      <c r="Y138" s="53" t="s">
        <v>55</v>
      </c>
      <c r="Z138" s="53" t="s">
        <v>69</v>
      </c>
      <c r="AA138" s="53" t="s">
        <v>64</v>
      </c>
      <c r="AB138" s="53" t="s">
        <v>158</v>
      </c>
      <c r="AC138" s="76"/>
      <c r="AD138" s="76"/>
      <c r="AE138" s="76"/>
      <c r="AF138" s="76"/>
      <c r="AG138" s="76"/>
      <c r="AH138" s="76"/>
    </row>
    <row r="139" spans="1:34" x14ac:dyDescent="0.15">
      <c r="A139" s="53" t="s">
        <v>41</v>
      </c>
      <c r="B139" s="53" t="s">
        <v>157</v>
      </c>
      <c r="C139" s="62">
        <v>2019</v>
      </c>
      <c r="D139" s="63" t="s">
        <v>184</v>
      </c>
      <c r="E139" s="53" t="s">
        <v>201</v>
      </c>
      <c r="F139" s="53" t="s">
        <v>208</v>
      </c>
      <c r="G139" s="53" t="s">
        <v>42</v>
      </c>
      <c r="H139" s="53" t="s">
        <v>160</v>
      </c>
      <c r="I139" s="53" t="s">
        <v>159</v>
      </c>
      <c r="J139" s="53" t="s">
        <v>38</v>
      </c>
      <c r="K139" s="53" t="s">
        <v>161</v>
      </c>
      <c r="L139" s="53">
        <v>3</v>
      </c>
      <c r="N139" s="53">
        <v>3</v>
      </c>
      <c r="O139" s="53">
        <v>0.3</v>
      </c>
      <c r="P139" s="53">
        <v>0.4</v>
      </c>
      <c r="Q139" s="72">
        <f t="shared" si="6"/>
        <v>0.35</v>
      </c>
      <c r="R139" s="53">
        <v>16.2</v>
      </c>
      <c r="S139" s="53">
        <v>153</v>
      </c>
      <c r="T139" s="38">
        <f t="shared" si="7"/>
        <v>22</v>
      </c>
      <c r="U139" s="53">
        <v>429</v>
      </c>
      <c r="V139" s="38">
        <f t="shared" si="8"/>
        <v>3146</v>
      </c>
      <c r="W139" s="53">
        <v>2</v>
      </c>
      <c r="X139" s="53" t="s">
        <v>46</v>
      </c>
      <c r="Y139" s="53" t="s">
        <v>55</v>
      </c>
      <c r="Z139" s="53" t="s">
        <v>69</v>
      </c>
      <c r="AA139" s="53" t="s">
        <v>64</v>
      </c>
      <c r="AB139" s="53" t="s">
        <v>158</v>
      </c>
      <c r="AC139" s="76"/>
      <c r="AD139" s="76"/>
      <c r="AE139" s="76"/>
      <c r="AF139" s="76"/>
      <c r="AG139" s="76"/>
      <c r="AH139" s="76"/>
    </row>
    <row r="140" spans="1:34" x14ac:dyDescent="0.15">
      <c r="A140" s="53" t="s">
        <v>41</v>
      </c>
      <c r="B140" s="53" t="s">
        <v>157</v>
      </c>
      <c r="C140" s="62">
        <v>2019</v>
      </c>
      <c r="D140" s="63" t="s">
        <v>184</v>
      </c>
      <c r="E140" s="53" t="s">
        <v>201</v>
      </c>
      <c r="F140" s="53" t="s">
        <v>208</v>
      </c>
      <c r="G140" s="53" t="s">
        <v>42</v>
      </c>
      <c r="H140" s="53" t="s">
        <v>160</v>
      </c>
      <c r="I140" s="53" t="s">
        <v>159</v>
      </c>
      <c r="J140" s="53" t="s">
        <v>38</v>
      </c>
      <c r="K140" s="53" t="s">
        <v>161</v>
      </c>
      <c r="L140" s="53">
        <v>1</v>
      </c>
      <c r="N140" s="53">
        <v>7</v>
      </c>
      <c r="O140" s="53">
        <v>1</v>
      </c>
      <c r="P140" s="53">
        <v>0.9</v>
      </c>
      <c r="Q140" s="75">
        <f t="shared" si="6"/>
        <v>0.95</v>
      </c>
      <c r="R140" s="53">
        <v>14.8</v>
      </c>
      <c r="S140" s="53">
        <v>118</v>
      </c>
      <c r="T140" s="16">
        <f t="shared" si="7"/>
        <v>30</v>
      </c>
      <c r="U140" s="53">
        <v>734</v>
      </c>
      <c r="V140" s="16">
        <f t="shared" si="8"/>
        <v>3145.7142857142858</v>
      </c>
      <c r="W140" s="53">
        <v>1</v>
      </c>
      <c r="X140" s="53" t="s">
        <v>46</v>
      </c>
      <c r="Y140" s="53" t="s">
        <v>55</v>
      </c>
      <c r="Z140" s="53" t="s">
        <v>69</v>
      </c>
      <c r="AA140" s="53" t="s">
        <v>64</v>
      </c>
      <c r="AB140" s="53" t="s">
        <v>158</v>
      </c>
      <c r="AC140" s="76"/>
      <c r="AD140" s="76"/>
      <c r="AE140" s="76"/>
      <c r="AF140" s="76"/>
      <c r="AG140" s="76"/>
      <c r="AH140" s="76"/>
    </row>
    <row r="141" spans="1:34" x14ac:dyDescent="0.15">
      <c r="A141" s="53" t="s">
        <v>41</v>
      </c>
      <c r="B141" s="53" t="s">
        <v>157</v>
      </c>
      <c r="C141" s="62">
        <v>2019</v>
      </c>
      <c r="D141" s="63" t="s">
        <v>184</v>
      </c>
      <c r="E141" s="53" t="s">
        <v>201</v>
      </c>
      <c r="F141" s="53" t="s">
        <v>208</v>
      </c>
      <c r="G141" s="53" t="s">
        <v>42</v>
      </c>
      <c r="H141" s="53" t="s">
        <v>160</v>
      </c>
      <c r="I141" s="53" t="s">
        <v>159</v>
      </c>
      <c r="J141" s="53" t="s">
        <v>38</v>
      </c>
      <c r="K141" s="53" t="s">
        <v>161</v>
      </c>
      <c r="L141" s="53">
        <v>2</v>
      </c>
      <c r="N141" s="53">
        <v>7</v>
      </c>
      <c r="O141" s="53">
        <v>0.25</v>
      </c>
      <c r="P141" s="53">
        <v>0.4</v>
      </c>
      <c r="Q141" s="75">
        <f t="shared" si="6"/>
        <v>0.32500000000000001</v>
      </c>
      <c r="R141" s="53">
        <v>14.2</v>
      </c>
      <c r="S141" s="53">
        <v>115</v>
      </c>
      <c r="T141" s="16">
        <f t="shared" si="7"/>
        <v>30</v>
      </c>
      <c r="U141" s="53">
        <v>734</v>
      </c>
      <c r="V141" s="16">
        <f t="shared" si="8"/>
        <v>3145.7142857142858</v>
      </c>
      <c r="W141" s="53">
        <v>1</v>
      </c>
      <c r="X141" s="53" t="s">
        <v>46</v>
      </c>
      <c r="Y141" s="53" t="s">
        <v>55</v>
      </c>
      <c r="Z141" s="53" t="s">
        <v>69</v>
      </c>
      <c r="AA141" s="53" t="s">
        <v>64</v>
      </c>
      <c r="AB141" s="53" t="s">
        <v>158</v>
      </c>
      <c r="AC141" s="76"/>
      <c r="AD141" s="76"/>
      <c r="AE141" s="76"/>
      <c r="AF141" s="76"/>
      <c r="AG141" s="76"/>
      <c r="AH141" s="76"/>
    </row>
    <row r="142" spans="1:34" x14ac:dyDescent="0.15">
      <c r="A142" s="53" t="s">
        <v>41</v>
      </c>
      <c r="B142" s="53" t="s">
        <v>157</v>
      </c>
      <c r="C142" s="62">
        <v>2019</v>
      </c>
      <c r="D142" s="63" t="s">
        <v>184</v>
      </c>
      <c r="E142" s="53" t="s">
        <v>201</v>
      </c>
      <c r="F142" s="53" t="s">
        <v>208</v>
      </c>
      <c r="G142" s="53" t="s">
        <v>42</v>
      </c>
      <c r="H142" s="53" t="s">
        <v>160</v>
      </c>
      <c r="I142" s="53" t="s">
        <v>159</v>
      </c>
      <c r="J142" s="53" t="s">
        <v>38</v>
      </c>
      <c r="K142" s="53" t="s">
        <v>161</v>
      </c>
      <c r="L142" s="53">
        <v>3</v>
      </c>
      <c r="N142" s="53">
        <v>7</v>
      </c>
      <c r="O142" s="53">
        <v>0.3</v>
      </c>
      <c r="P142" s="53">
        <v>0.45</v>
      </c>
      <c r="Q142" s="75">
        <f t="shared" si="6"/>
        <v>0.375</v>
      </c>
      <c r="R142" s="53">
        <v>13.3</v>
      </c>
      <c r="S142" s="53">
        <v>119</v>
      </c>
      <c r="T142" s="16">
        <f t="shared" si="7"/>
        <v>30</v>
      </c>
      <c r="U142" s="53">
        <v>734</v>
      </c>
      <c r="V142" s="16">
        <f t="shared" si="8"/>
        <v>3145.7142857142858</v>
      </c>
      <c r="W142" s="53">
        <v>1</v>
      </c>
      <c r="X142" s="53" t="s">
        <v>46</v>
      </c>
      <c r="Y142" s="53" t="s">
        <v>55</v>
      </c>
      <c r="Z142" s="53" t="s">
        <v>69</v>
      </c>
      <c r="AA142" s="53" t="s">
        <v>64</v>
      </c>
      <c r="AB142" s="53" t="s">
        <v>158</v>
      </c>
      <c r="AC142" s="76"/>
      <c r="AD142" s="76"/>
      <c r="AE142" s="76"/>
      <c r="AF142" s="76"/>
      <c r="AG142" s="76"/>
      <c r="AH142" s="76"/>
    </row>
    <row r="143" spans="1:34" x14ac:dyDescent="0.15">
      <c r="A143" s="53" t="s">
        <v>41</v>
      </c>
      <c r="B143" s="53" t="s">
        <v>157</v>
      </c>
      <c r="C143" s="62">
        <v>2019</v>
      </c>
      <c r="D143" s="63" t="s">
        <v>184</v>
      </c>
      <c r="E143" s="53" t="s">
        <v>201</v>
      </c>
      <c r="F143" s="53" t="s">
        <v>208</v>
      </c>
      <c r="G143" s="53" t="s">
        <v>42</v>
      </c>
      <c r="H143" s="53" t="s">
        <v>164</v>
      </c>
      <c r="I143" s="53" t="s">
        <v>159</v>
      </c>
      <c r="J143" s="53" t="s">
        <v>38</v>
      </c>
      <c r="K143" s="53" t="s">
        <v>161</v>
      </c>
      <c r="L143" s="53">
        <v>1</v>
      </c>
      <c r="N143" s="53">
        <v>1</v>
      </c>
      <c r="O143" s="53">
        <v>0.4</v>
      </c>
      <c r="P143" s="53">
        <v>0.6</v>
      </c>
      <c r="Q143" s="75">
        <f t="shared" si="6"/>
        <v>0.5</v>
      </c>
      <c r="R143" s="53">
        <v>13.5</v>
      </c>
      <c r="S143" s="53">
        <v>132</v>
      </c>
      <c r="T143" s="16">
        <f t="shared" si="7"/>
        <v>25</v>
      </c>
      <c r="U143" s="53">
        <v>138</v>
      </c>
      <c r="V143" s="16">
        <f t="shared" si="8"/>
        <v>3450</v>
      </c>
      <c r="W143" s="53">
        <v>3</v>
      </c>
      <c r="X143" s="53" t="s">
        <v>46</v>
      </c>
      <c r="Y143" s="53" t="s">
        <v>55</v>
      </c>
      <c r="Z143" s="53" t="s">
        <v>69</v>
      </c>
      <c r="AA143" s="53" t="s">
        <v>64</v>
      </c>
      <c r="AB143" s="53" t="s">
        <v>158</v>
      </c>
      <c r="AC143" s="76"/>
      <c r="AD143" s="76"/>
      <c r="AE143" s="76"/>
      <c r="AF143" s="76"/>
      <c r="AG143" s="76"/>
      <c r="AH143" s="76"/>
    </row>
    <row r="144" spans="1:34" x14ac:dyDescent="0.15">
      <c r="A144" s="53" t="s">
        <v>41</v>
      </c>
      <c r="B144" s="53" t="s">
        <v>157</v>
      </c>
      <c r="C144" s="62">
        <v>2019</v>
      </c>
      <c r="D144" s="63" t="s">
        <v>184</v>
      </c>
      <c r="E144" s="53" t="s">
        <v>201</v>
      </c>
      <c r="F144" s="53" t="s">
        <v>208</v>
      </c>
      <c r="G144" s="53" t="s">
        <v>42</v>
      </c>
      <c r="H144" s="53" t="s">
        <v>164</v>
      </c>
      <c r="I144" s="53" t="s">
        <v>159</v>
      </c>
      <c r="J144" s="53" t="s">
        <v>38</v>
      </c>
      <c r="K144" s="53" t="s">
        <v>161</v>
      </c>
      <c r="L144" s="53">
        <v>2</v>
      </c>
      <c r="N144" s="53">
        <v>1</v>
      </c>
      <c r="O144" s="53">
        <v>0.65</v>
      </c>
      <c r="P144" s="53">
        <v>0.6</v>
      </c>
      <c r="Q144" s="75">
        <f t="shared" si="6"/>
        <v>0.625</v>
      </c>
      <c r="R144" s="53">
        <v>16.2</v>
      </c>
      <c r="S144" s="53">
        <v>130</v>
      </c>
      <c r="T144" s="16">
        <f t="shared" si="7"/>
        <v>25</v>
      </c>
      <c r="U144" s="53">
        <v>138</v>
      </c>
      <c r="V144" s="16">
        <f t="shared" si="8"/>
        <v>3450</v>
      </c>
      <c r="W144" s="53">
        <v>3</v>
      </c>
      <c r="X144" s="53" t="s">
        <v>46</v>
      </c>
      <c r="Y144" s="53" t="s">
        <v>55</v>
      </c>
      <c r="Z144" s="53" t="s">
        <v>69</v>
      </c>
      <c r="AA144" s="53" t="s">
        <v>64</v>
      </c>
      <c r="AB144" s="53" t="s">
        <v>158</v>
      </c>
      <c r="AC144" s="76"/>
      <c r="AD144" s="76"/>
      <c r="AE144" s="76"/>
      <c r="AF144" s="76"/>
      <c r="AG144" s="76"/>
      <c r="AH144" s="76"/>
    </row>
    <row r="145" spans="1:34" x14ac:dyDescent="0.15">
      <c r="A145" s="53" t="s">
        <v>41</v>
      </c>
      <c r="B145" s="53" t="s">
        <v>157</v>
      </c>
      <c r="C145" s="62">
        <v>2019</v>
      </c>
      <c r="D145" s="63" t="s">
        <v>184</v>
      </c>
      <c r="E145" s="53" t="s">
        <v>201</v>
      </c>
      <c r="F145" s="53" t="s">
        <v>208</v>
      </c>
      <c r="G145" s="53" t="s">
        <v>42</v>
      </c>
      <c r="H145" s="53" t="s">
        <v>164</v>
      </c>
      <c r="I145" s="53" t="s">
        <v>159</v>
      </c>
      <c r="J145" s="53" t="s">
        <v>38</v>
      </c>
      <c r="K145" s="53" t="s">
        <v>161</v>
      </c>
      <c r="L145" s="53">
        <v>3</v>
      </c>
      <c r="N145" s="53">
        <v>1</v>
      </c>
      <c r="O145" s="53">
        <v>0.75</v>
      </c>
      <c r="P145" s="53">
        <v>0.7</v>
      </c>
      <c r="Q145" s="75">
        <f t="shared" si="6"/>
        <v>0.72499999999999998</v>
      </c>
      <c r="R145" s="53">
        <v>15.4</v>
      </c>
      <c r="S145" s="53">
        <v>129</v>
      </c>
      <c r="T145" s="16">
        <f t="shared" si="7"/>
        <v>25</v>
      </c>
      <c r="U145" s="53">
        <v>138</v>
      </c>
      <c r="V145" s="16">
        <f t="shared" si="8"/>
        <v>3450</v>
      </c>
      <c r="W145" s="53">
        <v>3</v>
      </c>
      <c r="X145" s="53" t="s">
        <v>46</v>
      </c>
      <c r="Y145" s="53" t="s">
        <v>55</v>
      </c>
      <c r="Z145" s="53" t="s">
        <v>69</v>
      </c>
      <c r="AA145" s="53" t="s">
        <v>64</v>
      </c>
      <c r="AB145" s="53" t="s">
        <v>158</v>
      </c>
      <c r="AC145" s="76"/>
      <c r="AD145" s="76"/>
      <c r="AE145" s="76"/>
      <c r="AF145" s="76"/>
      <c r="AG145" s="76"/>
      <c r="AH145" s="76"/>
    </row>
    <row r="146" spans="1:34" x14ac:dyDescent="0.15">
      <c r="A146" s="53" t="s">
        <v>41</v>
      </c>
      <c r="B146" s="53" t="s">
        <v>157</v>
      </c>
      <c r="C146" s="62">
        <v>2019</v>
      </c>
      <c r="D146" s="63" t="s">
        <v>184</v>
      </c>
      <c r="E146" s="53" t="s">
        <v>201</v>
      </c>
      <c r="F146" s="53" t="s">
        <v>208</v>
      </c>
      <c r="G146" s="53" t="s">
        <v>42</v>
      </c>
      <c r="H146" s="53" t="s">
        <v>164</v>
      </c>
      <c r="I146" s="53" t="s">
        <v>159</v>
      </c>
      <c r="J146" s="53" t="s">
        <v>38</v>
      </c>
      <c r="K146" s="53" t="s">
        <v>161</v>
      </c>
      <c r="L146" s="53">
        <v>1</v>
      </c>
      <c r="N146" s="53">
        <v>5</v>
      </c>
      <c r="O146" s="53">
        <v>0.8</v>
      </c>
      <c r="P146" s="53">
        <v>0.8</v>
      </c>
      <c r="Q146" s="75">
        <f t="shared" si="6"/>
        <v>0.8</v>
      </c>
      <c r="R146" s="53">
        <v>15.8</v>
      </c>
      <c r="S146" s="53">
        <v>120</v>
      </c>
      <c r="T146" s="16">
        <f t="shared" si="7"/>
        <v>30</v>
      </c>
      <c r="U146" s="53">
        <v>410</v>
      </c>
      <c r="V146" s="16">
        <f t="shared" si="8"/>
        <v>2460</v>
      </c>
      <c r="W146" s="53">
        <v>2</v>
      </c>
      <c r="X146" s="53" t="s">
        <v>46</v>
      </c>
      <c r="Y146" s="53" t="s">
        <v>55</v>
      </c>
      <c r="Z146" s="53" t="s">
        <v>69</v>
      </c>
      <c r="AA146" s="53" t="s">
        <v>64</v>
      </c>
      <c r="AB146" s="53" t="s">
        <v>158</v>
      </c>
      <c r="AC146" s="76"/>
      <c r="AD146" s="76"/>
      <c r="AE146" s="76"/>
      <c r="AF146" s="76"/>
      <c r="AG146" s="76"/>
      <c r="AH146" s="76"/>
    </row>
    <row r="147" spans="1:34" x14ac:dyDescent="0.15">
      <c r="A147" s="53" t="s">
        <v>41</v>
      </c>
      <c r="B147" s="53" t="s">
        <v>157</v>
      </c>
      <c r="C147" s="62">
        <v>2019</v>
      </c>
      <c r="D147" s="63" t="s">
        <v>184</v>
      </c>
      <c r="E147" s="53" t="s">
        <v>201</v>
      </c>
      <c r="F147" s="53" t="s">
        <v>208</v>
      </c>
      <c r="G147" s="53" t="s">
        <v>42</v>
      </c>
      <c r="H147" s="53" t="s">
        <v>164</v>
      </c>
      <c r="I147" s="53" t="s">
        <v>159</v>
      </c>
      <c r="J147" s="53" t="s">
        <v>38</v>
      </c>
      <c r="K147" s="53" t="s">
        <v>161</v>
      </c>
      <c r="L147" s="53">
        <v>2</v>
      </c>
      <c r="N147" s="53">
        <v>5</v>
      </c>
      <c r="O147" s="53">
        <v>0.85</v>
      </c>
      <c r="P147" s="53">
        <v>0.9</v>
      </c>
      <c r="Q147" s="75">
        <f t="shared" si="6"/>
        <v>0.875</v>
      </c>
      <c r="R147" s="53">
        <v>16.7</v>
      </c>
      <c r="S147" s="53">
        <v>115</v>
      </c>
      <c r="T147" s="16">
        <f t="shared" si="7"/>
        <v>30</v>
      </c>
      <c r="U147" s="53">
        <v>410</v>
      </c>
      <c r="V147" s="16">
        <f t="shared" si="8"/>
        <v>2460</v>
      </c>
      <c r="W147" s="53">
        <v>2</v>
      </c>
      <c r="X147" s="53" t="s">
        <v>46</v>
      </c>
      <c r="Y147" s="53" t="s">
        <v>55</v>
      </c>
      <c r="Z147" s="53" t="s">
        <v>69</v>
      </c>
      <c r="AA147" s="53" t="s">
        <v>64</v>
      </c>
      <c r="AB147" s="53" t="s">
        <v>158</v>
      </c>
      <c r="AC147" s="76"/>
      <c r="AD147" s="76"/>
      <c r="AE147" s="76"/>
      <c r="AF147" s="76"/>
      <c r="AG147" s="76"/>
      <c r="AH147" s="76"/>
    </row>
    <row r="148" spans="1:34" x14ac:dyDescent="0.15">
      <c r="A148" s="53" t="s">
        <v>41</v>
      </c>
      <c r="B148" s="53" t="s">
        <v>157</v>
      </c>
      <c r="C148" s="62">
        <v>2019</v>
      </c>
      <c r="D148" s="63" t="s">
        <v>184</v>
      </c>
      <c r="E148" s="53" t="s">
        <v>201</v>
      </c>
      <c r="F148" s="53" t="s">
        <v>208</v>
      </c>
      <c r="G148" s="53" t="s">
        <v>42</v>
      </c>
      <c r="H148" s="53" t="s">
        <v>164</v>
      </c>
      <c r="I148" s="53" t="s">
        <v>159</v>
      </c>
      <c r="J148" s="53" t="s">
        <v>38</v>
      </c>
      <c r="K148" s="53" t="s">
        <v>161</v>
      </c>
      <c r="L148" s="53">
        <v>3</v>
      </c>
      <c r="N148" s="53">
        <v>5</v>
      </c>
      <c r="O148" s="53">
        <v>0.95</v>
      </c>
      <c r="P148" s="53">
        <v>0.9</v>
      </c>
      <c r="Q148" s="75">
        <f t="shared" si="6"/>
        <v>0.92500000000000004</v>
      </c>
      <c r="R148" s="53">
        <v>14.8</v>
      </c>
      <c r="S148" s="53">
        <v>117</v>
      </c>
      <c r="T148" s="16">
        <f t="shared" si="7"/>
        <v>30</v>
      </c>
      <c r="U148" s="53">
        <v>410</v>
      </c>
      <c r="V148" s="16">
        <f t="shared" si="8"/>
        <v>2460</v>
      </c>
      <c r="W148" s="53">
        <v>2</v>
      </c>
      <c r="X148" s="53" t="s">
        <v>46</v>
      </c>
      <c r="Y148" s="53" t="s">
        <v>55</v>
      </c>
      <c r="Z148" s="53" t="s">
        <v>69</v>
      </c>
      <c r="AA148" s="53" t="s">
        <v>64</v>
      </c>
      <c r="AB148" s="53" t="s">
        <v>158</v>
      </c>
      <c r="AC148" s="76"/>
      <c r="AD148" s="76"/>
      <c r="AE148" s="76"/>
      <c r="AF148" s="76"/>
      <c r="AG148" s="76"/>
      <c r="AH148" s="76"/>
    </row>
    <row r="149" spans="1:34" x14ac:dyDescent="0.15">
      <c r="A149" s="53" t="s">
        <v>41</v>
      </c>
      <c r="B149" s="53" t="s">
        <v>157</v>
      </c>
      <c r="C149" s="62">
        <v>2019</v>
      </c>
      <c r="D149" s="63" t="s">
        <v>184</v>
      </c>
      <c r="E149" s="53" t="s">
        <v>201</v>
      </c>
      <c r="F149" s="53" t="s">
        <v>208</v>
      </c>
      <c r="G149" s="53" t="s">
        <v>42</v>
      </c>
      <c r="H149" s="53" t="s">
        <v>164</v>
      </c>
      <c r="I149" s="53" t="s">
        <v>159</v>
      </c>
      <c r="J149" s="53" t="s">
        <v>38</v>
      </c>
      <c r="K149" s="53" t="s">
        <v>161</v>
      </c>
      <c r="L149" s="53">
        <v>1</v>
      </c>
      <c r="N149" s="53">
        <v>8</v>
      </c>
      <c r="O149" s="53">
        <v>1</v>
      </c>
      <c r="P149" s="53">
        <v>0.9</v>
      </c>
      <c r="Q149" s="75">
        <f t="shared" si="6"/>
        <v>0.95</v>
      </c>
      <c r="R149" s="53">
        <v>14.4</v>
      </c>
      <c r="S149" s="53">
        <v>120</v>
      </c>
      <c r="T149" s="16">
        <f t="shared" si="7"/>
        <v>30</v>
      </c>
      <c r="U149" s="53">
        <v>626</v>
      </c>
      <c r="V149" s="16">
        <f t="shared" si="8"/>
        <v>2347.5</v>
      </c>
      <c r="W149" s="53">
        <v>2</v>
      </c>
      <c r="X149" s="53" t="s">
        <v>46</v>
      </c>
      <c r="Y149" s="53" t="s">
        <v>55</v>
      </c>
      <c r="Z149" s="53" t="s">
        <v>69</v>
      </c>
      <c r="AA149" s="53" t="s">
        <v>64</v>
      </c>
      <c r="AB149" s="53" t="s">
        <v>158</v>
      </c>
      <c r="AC149" s="76"/>
      <c r="AD149" s="76"/>
      <c r="AE149" s="76"/>
      <c r="AF149" s="76"/>
      <c r="AG149" s="76"/>
      <c r="AH149" s="76"/>
    </row>
    <row r="150" spans="1:34" x14ac:dyDescent="0.15">
      <c r="A150" s="53" t="s">
        <v>41</v>
      </c>
      <c r="B150" s="53" t="s">
        <v>157</v>
      </c>
      <c r="C150" s="62">
        <v>2019</v>
      </c>
      <c r="D150" s="63" t="s">
        <v>184</v>
      </c>
      <c r="E150" s="53" t="s">
        <v>201</v>
      </c>
      <c r="F150" s="53" t="s">
        <v>208</v>
      </c>
      <c r="G150" s="53" t="s">
        <v>42</v>
      </c>
      <c r="H150" s="53" t="s">
        <v>164</v>
      </c>
      <c r="I150" s="53" t="s">
        <v>159</v>
      </c>
      <c r="J150" s="53" t="s">
        <v>38</v>
      </c>
      <c r="K150" s="53" t="s">
        <v>161</v>
      </c>
      <c r="L150" s="53">
        <v>2</v>
      </c>
      <c r="N150" s="53">
        <v>8</v>
      </c>
      <c r="O150" s="53">
        <v>0.95</v>
      </c>
      <c r="P150" s="53">
        <v>0.9</v>
      </c>
      <c r="Q150" s="75">
        <f t="shared" si="6"/>
        <v>0.92500000000000004</v>
      </c>
      <c r="R150" s="53">
        <v>12.4</v>
      </c>
      <c r="S150" s="53">
        <v>120</v>
      </c>
      <c r="T150" s="16">
        <f t="shared" si="7"/>
        <v>30</v>
      </c>
      <c r="U150" s="53">
        <v>626</v>
      </c>
      <c r="V150" s="16">
        <f t="shared" si="8"/>
        <v>2347.5</v>
      </c>
      <c r="W150" s="53">
        <v>2</v>
      </c>
      <c r="X150" s="53" t="s">
        <v>46</v>
      </c>
      <c r="Y150" s="53" t="s">
        <v>55</v>
      </c>
      <c r="Z150" s="53" t="s">
        <v>69</v>
      </c>
      <c r="AA150" s="53" t="s">
        <v>64</v>
      </c>
      <c r="AB150" s="53" t="s">
        <v>158</v>
      </c>
      <c r="AC150" s="76"/>
      <c r="AD150" s="76"/>
      <c r="AE150" s="76"/>
      <c r="AF150" s="76"/>
      <c r="AG150" s="76"/>
      <c r="AH150" s="76"/>
    </row>
    <row r="151" spans="1:34" x14ac:dyDescent="0.15">
      <c r="A151" s="53" t="s">
        <v>41</v>
      </c>
      <c r="B151" s="53" t="s">
        <v>157</v>
      </c>
      <c r="C151" s="62">
        <v>2019</v>
      </c>
      <c r="D151" s="63" t="s">
        <v>184</v>
      </c>
      <c r="E151" s="53" t="s">
        <v>201</v>
      </c>
      <c r="F151" s="53" t="s">
        <v>208</v>
      </c>
      <c r="G151" s="53" t="s">
        <v>42</v>
      </c>
      <c r="H151" s="53" t="s">
        <v>164</v>
      </c>
      <c r="I151" s="53" t="s">
        <v>159</v>
      </c>
      <c r="J151" s="53" t="s">
        <v>38</v>
      </c>
      <c r="K151" s="53" t="s">
        <v>161</v>
      </c>
      <c r="L151" s="53">
        <v>3</v>
      </c>
      <c r="N151" s="53">
        <v>8</v>
      </c>
      <c r="O151" s="53">
        <v>0.75</v>
      </c>
      <c r="P151" s="53">
        <v>0.8</v>
      </c>
      <c r="Q151" s="72">
        <f t="shared" si="6"/>
        <v>0.77500000000000002</v>
      </c>
      <c r="R151" s="53">
        <v>13.1</v>
      </c>
      <c r="S151" s="53">
        <v>120</v>
      </c>
      <c r="T151" s="38">
        <f t="shared" si="7"/>
        <v>30</v>
      </c>
      <c r="U151" s="53">
        <v>626</v>
      </c>
      <c r="V151" s="16">
        <f t="shared" si="8"/>
        <v>2347.5</v>
      </c>
      <c r="W151" s="53">
        <v>2</v>
      </c>
      <c r="X151" s="53" t="s">
        <v>46</v>
      </c>
      <c r="Y151" s="53" t="s">
        <v>55</v>
      </c>
      <c r="Z151" s="53" t="s">
        <v>69</v>
      </c>
      <c r="AA151" s="53" t="s">
        <v>64</v>
      </c>
      <c r="AB151" s="53" t="s">
        <v>158</v>
      </c>
      <c r="AC151" s="76"/>
      <c r="AD151" s="76"/>
      <c r="AE151" s="76"/>
      <c r="AF151" s="76"/>
      <c r="AG151" s="76"/>
      <c r="AH151" s="76"/>
    </row>
    <row r="152" spans="1:34" x14ac:dyDescent="0.15">
      <c r="A152" s="53" t="s">
        <v>41</v>
      </c>
      <c r="B152" s="53" t="s">
        <v>157</v>
      </c>
      <c r="C152" s="62">
        <v>2019</v>
      </c>
      <c r="D152" s="63" t="s">
        <v>184</v>
      </c>
      <c r="E152" s="53" t="s">
        <v>204</v>
      </c>
      <c r="F152" s="53" t="s">
        <v>205</v>
      </c>
      <c r="G152" s="53" t="s">
        <v>42</v>
      </c>
      <c r="H152" s="53" t="s">
        <v>164</v>
      </c>
      <c r="I152" s="53" t="s">
        <v>159</v>
      </c>
      <c r="J152" s="53" t="s">
        <v>38</v>
      </c>
      <c r="K152" s="53" t="s">
        <v>161</v>
      </c>
      <c r="L152" s="53">
        <v>1</v>
      </c>
      <c r="N152" s="53">
        <v>1</v>
      </c>
      <c r="O152" s="53">
        <v>0.6</v>
      </c>
      <c r="P152" s="53">
        <v>0.75</v>
      </c>
      <c r="Q152" s="72">
        <f t="shared" si="6"/>
        <v>0.67500000000000004</v>
      </c>
      <c r="R152" s="53">
        <v>12.1</v>
      </c>
      <c r="S152" s="53">
        <v>126</v>
      </c>
      <c r="T152" s="38">
        <f t="shared" si="7"/>
        <v>27</v>
      </c>
      <c r="U152" s="53">
        <v>105</v>
      </c>
      <c r="V152" s="16">
        <f t="shared" si="8"/>
        <v>2835</v>
      </c>
      <c r="W152" s="53">
        <v>3</v>
      </c>
      <c r="X152" s="53" t="s">
        <v>46</v>
      </c>
      <c r="Y152" s="53" t="s">
        <v>97</v>
      </c>
      <c r="Z152" s="53" t="s">
        <v>69</v>
      </c>
      <c r="AA152" s="53" t="s">
        <v>55</v>
      </c>
      <c r="AB152" s="53" t="s">
        <v>158</v>
      </c>
      <c r="AC152" s="76"/>
      <c r="AD152" s="76"/>
      <c r="AE152" s="76"/>
      <c r="AF152" s="76"/>
      <c r="AG152" s="76"/>
      <c r="AH152" s="76"/>
    </row>
    <row r="153" spans="1:34" x14ac:dyDescent="0.15">
      <c r="A153" s="53" t="s">
        <v>41</v>
      </c>
      <c r="B153" s="53" t="s">
        <v>157</v>
      </c>
      <c r="C153" s="62">
        <v>2019</v>
      </c>
      <c r="D153" s="63" t="s">
        <v>184</v>
      </c>
      <c r="E153" s="53" t="s">
        <v>204</v>
      </c>
      <c r="F153" s="53" t="s">
        <v>205</v>
      </c>
      <c r="G153" s="53" t="s">
        <v>42</v>
      </c>
      <c r="H153" s="53" t="s">
        <v>164</v>
      </c>
      <c r="I153" s="53" t="s">
        <v>159</v>
      </c>
      <c r="J153" s="53" t="s">
        <v>38</v>
      </c>
      <c r="K153" s="53" t="s">
        <v>161</v>
      </c>
      <c r="L153" s="53">
        <v>2</v>
      </c>
      <c r="N153" s="53">
        <v>1</v>
      </c>
      <c r="O153" s="53">
        <v>0.85</v>
      </c>
      <c r="P153" s="53">
        <v>0.9</v>
      </c>
      <c r="Q153" s="72">
        <f t="shared" si="6"/>
        <v>0.875</v>
      </c>
      <c r="R153" s="53">
        <v>11.5</v>
      </c>
      <c r="S153" s="53">
        <v>128</v>
      </c>
      <c r="T153" s="38">
        <f t="shared" si="7"/>
        <v>27</v>
      </c>
      <c r="U153" s="53">
        <v>105</v>
      </c>
      <c r="V153" s="16">
        <f t="shared" si="8"/>
        <v>2835</v>
      </c>
      <c r="W153" s="53">
        <v>3</v>
      </c>
      <c r="X153" s="53" t="s">
        <v>46</v>
      </c>
      <c r="Y153" s="53" t="s">
        <v>97</v>
      </c>
      <c r="Z153" s="53" t="s">
        <v>69</v>
      </c>
      <c r="AA153" s="53" t="s">
        <v>55</v>
      </c>
      <c r="AB153" s="53" t="s">
        <v>158</v>
      </c>
      <c r="AC153" s="76"/>
      <c r="AD153" s="76"/>
      <c r="AE153" s="76"/>
      <c r="AF153" s="76"/>
      <c r="AG153" s="76"/>
      <c r="AH153" s="76"/>
    </row>
    <row r="154" spans="1:34" x14ac:dyDescent="0.15">
      <c r="A154" s="53" t="s">
        <v>41</v>
      </c>
      <c r="B154" s="53" t="s">
        <v>157</v>
      </c>
      <c r="C154" s="62">
        <v>2019</v>
      </c>
      <c r="D154" s="63" t="s">
        <v>184</v>
      </c>
      <c r="E154" s="53" t="s">
        <v>204</v>
      </c>
      <c r="F154" s="53" t="s">
        <v>205</v>
      </c>
      <c r="G154" s="53" t="s">
        <v>42</v>
      </c>
      <c r="H154" s="53" t="s">
        <v>164</v>
      </c>
      <c r="I154" s="53" t="s">
        <v>159</v>
      </c>
      <c r="J154" s="53" t="s">
        <v>38</v>
      </c>
      <c r="K154" s="53" t="s">
        <v>161</v>
      </c>
      <c r="L154" s="53">
        <v>3</v>
      </c>
      <c r="N154" s="53">
        <v>1</v>
      </c>
      <c r="O154" s="53">
        <v>0.8</v>
      </c>
      <c r="P154" s="53">
        <v>1</v>
      </c>
      <c r="Q154" s="72">
        <f t="shared" si="6"/>
        <v>0.9</v>
      </c>
      <c r="R154" s="53">
        <v>12.8</v>
      </c>
      <c r="S154" s="53">
        <v>127</v>
      </c>
      <c r="T154" s="38">
        <f t="shared" si="7"/>
        <v>27</v>
      </c>
      <c r="U154" s="53">
        <v>105</v>
      </c>
      <c r="V154" s="38">
        <f t="shared" si="8"/>
        <v>2835</v>
      </c>
      <c r="W154" s="53">
        <v>3</v>
      </c>
      <c r="X154" s="53" t="s">
        <v>46</v>
      </c>
      <c r="Y154" s="53" t="s">
        <v>97</v>
      </c>
      <c r="Z154" s="53" t="s">
        <v>69</v>
      </c>
      <c r="AA154" s="53" t="s">
        <v>55</v>
      </c>
      <c r="AB154" s="53" t="s">
        <v>158</v>
      </c>
      <c r="AC154" s="76"/>
      <c r="AD154" s="76"/>
      <c r="AE154" s="76"/>
      <c r="AF154" s="76"/>
      <c r="AG154" s="76"/>
      <c r="AH154" s="76"/>
    </row>
    <row r="155" spans="1:34" x14ac:dyDescent="0.15">
      <c r="A155" s="53" t="s">
        <v>41</v>
      </c>
      <c r="B155" s="53" t="s">
        <v>157</v>
      </c>
      <c r="C155" s="62">
        <v>2018</v>
      </c>
      <c r="D155" s="63" t="s">
        <v>184</v>
      </c>
      <c r="E155" s="53" t="s">
        <v>204</v>
      </c>
      <c r="F155" s="53" t="s">
        <v>205</v>
      </c>
      <c r="G155" s="53" t="s">
        <v>42</v>
      </c>
      <c r="H155" s="53" t="s">
        <v>164</v>
      </c>
      <c r="I155" s="53" t="s">
        <v>159</v>
      </c>
      <c r="J155" s="53" t="s">
        <v>38</v>
      </c>
      <c r="K155" s="53" t="s">
        <v>161</v>
      </c>
      <c r="L155" s="53">
        <v>1</v>
      </c>
      <c r="N155" s="53">
        <v>4</v>
      </c>
      <c r="O155" s="53">
        <v>0.75</v>
      </c>
      <c r="P155" s="53">
        <v>0.8</v>
      </c>
      <c r="Q155" s="16">
        <f t="shared" si="6"/>
        <v>0.77500000000000002</v>
      </c>
      <c r="R155" s="53">
        <v>16.7</v>
      </c>
      <c r="S155" s="53">
        <v>121</v>
      </c>
      <c r="T155" s="16">
        <f t="shared" si="7"/>
        <v>27</v>
      </c>
      <c r="U155" s="53">
        <v>311</v>
      </c>
      <c r="V155" s="16">
        <f t="shared" si="8"/>
        <v>2099.25</v>
      </c>
      <c r="W155" s="53">
        <v>5</v>
      </c>
      <c r="X155" s="53" t="s">
        <v>46</v>
      </c>
      <c r="Y155" s="53" t="s">
        <v>97</v>
      </c>
      <c r="Z155" s="53" t="s">
        <v>69</v>
      </c>
      <c r="AA155" s="53" t="s">
        <v>55</v>
      </c>
      <c r="AB155" s="53" t="s">
        <v>158</v>
      </c>
    </row>
    <row r="156" spans="1:34" x14ac:dyDescent="0.15">
      <c r="A156" s="53" t="s">
        <v>41</v>
      </c>
      <c r="B156" s="53" t="s">
        <v>157</v>
      </c>
      <c r="C156" s="62">
        <v>2018</v>
      </c>
      <c r="D156" s="63" t="s">
        <v>184</v>
      </c>
      <c r="E156" s="53" t="s">
        <v>204</v>
      </c>
      <c r="F156" s="53" t="s">
        <v>205</v>
      </c>
      <c r="G156" s="53" t="s">
        <v>42</v>
      </c>
      <c r="H156" s="53" t="s">
        <v>164</v>
      </c>
      <c r="I156" s="53" t="s">
        <v>159</v>
      </c>
      <c r="J156" s="53" t="s">
        <v>38</v>
      </c>
      <c r="K156" s="53" t="s">
        <v>161</v>
      </c>
      <c r="L156" s="53">
        <v>2</v>
      </c>
      <c r="N156" s="53">
        <v>4</v>
      </c>
      <c r="O156" s="53">
        <v>0.7</v>
      </c>
      <c r="P156" s="53">
        <v>0.55000000000000004</v>
      </c>
      <c r="Q156" s="16">
        <f t="shared" si="6"/>
        <v>0.625</v>
      </c>
      <c r="R156" s="53">
        <v>14.1</v>
      </c>
      <c r="S156" s="53">
        <v>118</v>
      </c>
      <c r="T156" s="16">
        <f t="shared" si="7"/>
        <v>30</v>
      </c>
      <c r="U156" s="53">
        <v>311</v>
      </c>
      <c r="V156" s="16">
        <f t="shared" si="8"/>
        <v>2332.5</v>
      </c>
      <c r="W156" s="53">
        <v>5</v>
      </c>
      <c r="X156" s="53" t="s">
        <v>46</v>
      </c>
      <c r="Y156" s="53" t="s">
        <v>97</v>
      </c>
      <c r="Z156" s="53" t="s">
        <v>69</v>
      </c>
      <c r="AA156" s="53" t="s">
        <v>55</v>
      </c>
      <c r="AB156" s="53" t="s">
        <v>158</v>
      </c>
    </row>
    <row r="157" spans="1:34" x14ac:dyDescent="0.15">
      <c r="A157" s="53" t="s">
        <v>41</v>
      </c>
      <c r="B157" s="53" t="s">
        <v>157</v>
      </c>
      <c r="C157" s="62">
        <v>2018</v>
      </c>
      <c r="D157" s="63" t="s">
        <v>184</v>
      </c>
      <c r="E157" s="53" t="s">
        <v>204</v>
      </c>
      <c r="F157" s="53" t="s">
        <v>205</v>
      </c>
      <c r="G157" s="53" t="s">
        <v>42</v>
      </c>
      <c r="H157" s="53" t="s">
        <v>164</v>
      </c>
      <c r="I157" s="53" t="s">
        <v>159</v>
      </c>
      <c r="J157" s="53" t="s">
        <v>38</v>
      </c>
      <c r="K157" s="53" t="s">
        <v>161</v>
      </c>
      <c r="L157" s="53">
        <v>3</v>
      </c>
      <c r="N157" s="53">
        <v>4</v>
      </c>
      <c r="O157" s="53">
        <v>0.65</v>
      </c>
      <c r="P157" s="53">
        <v>0.5</v>
      </c>
      <c r="Q157" s="16">
        <f t="shared" si="6"/>
        <v>0.57499999999999996</v>
      </c>
      <c r="R157" s="53">
        <v>14.8</v>
      </c>
      <c r="S157" s="53">
        <v>120</v>
      </c>
      <c r="T157" s="16">
        <f t="shared" si="7"/>
        <v>30</v>
      </c>
      <c r="U157" s="53">
        <v>311</v>
      </c>
      <c r="V157" s="16">
        <f t="shared" si="8"/>
        <v>2332.5</v>
      </c>
      <c r="W157" s="53">
        <v>5</v>
      </c>
      <c r="X157" s="53" t="s">
        <v>46</v>
      </c>
      <c r="Y157" s="53" t="s">
        <v>97</v>
      </c>
      <c r="Z157" s="53" t="s">
        <v>69</v>
      </c>
      <c r="AA157" s="53" t="s">
        <v>55</v>
      </c>
      <c r="AB157" s="53" t="s">
        <v>158</v>
      </c>
    </row>
    <row r="158" spans="1:34" x14ac:dyDescent="0.15">
      <c r="A158" s="53" t="s">
        <v>41</v>
      </c>
      <c r="B158" s="53" t="s">
        <v>157</v>
      </c>
      <c r="C158" s="62">
        <v>2018</v>
      </c>
      <c r="D158" s="63" t="s">
        <v>184</v>
      </c>
      <c r="E158" s="53" t="s">
        <v>204</v>
      </c>
      <c r="F158" s="53" t="s">
        <v>205</v>
      </c>
      <c r="G158" s="53" t="s">
        <v>42</v>
      </c>
      <c r="H158" s="53" t="s">
        <v>164</v>
      </c>
      <c r="I158" s="53" t="s">
        <v>159</v>
      </c>
      <c r="J158" s="53" t="s">
        <v>38</v>
      </c>
      <c r="K158" s="53" t="s">
        <v>161</v>
      </c>
      <c r="L158" s="53">
        <v>1</v>
      </c>
      <c r="N158" s="53">
        <v>8</v>
      </c>
      <c r="O158" s="53">
        <v>0.8</v>
      </c>
      <c r="P158" s="53">
        <v>0.75</v>
      </c>
      <c r="Q158" s="16">
        <f t="shared" si="6"/>
        <v>0.77500000000000002</v>
      </c>
      <c r="R158" s="53">
        <v>14.9</v>
      </c>
      <c r="S158" s="53">
        <v>115</v>
      </c>
      <c r="T158" s="16">
        <f t="shared" si="7"/>
        <v>30</v>
      </c>
      <c r="U158" s="53">
        <v>810</v>
      </c>
      <c r="V158" s="16">
        <f t="shared" si="8"/>
        <v>3037.5</v>
      </c>
      <c r="W158" s="53">
        <v>2</v>
      </c>
      <c r="X158" s="53" t="s">
        <v>46</v>
      </c>
      <c r="Y158" s="53" t="s">
        <v>97</v>
      </c>
      <c r="Z158" s="53" t="s">
        <v>69</v>
      </c>
      <c r="AA158" s="53" t="s">
        <v>55</v>
      </c>
      <c r="AB158" s="53" t="s">
        <v>158</v>
      </c>
    </row>
    <row r="159" spans="1:34" x14ac:dyDescent="0.15">
      <c r="A159" s="53" t="s">
        <v>41</v>
      </c>
      <c r="B159" s="53" t="s">
        <v>157</v>
      </c>
      <c r="C159" s="62">
        <v>2018</v>
      </c>
      <c r="D159" s="63" t="s">
        <v>184</v>
      </c>
      <c r="E159" s="53" t="s">
        <v>204</v>
      </c>
      <c r="F159" s="53" t="s">
        <v>205</v>
      </c>
      <c r="G159" s="53" t="s">
        <v>42</v>
      </c>
      <c r="H159" s="53" t="s">
        <v>164</v>
      </c>
      <c r="I159" s="53" t="s">
        <v>159</v>
      </c>
      <c r="J159" s="53" t="s">
        <v>38</v>
      </c>
      <c r="K159" s="53" t="s">
        <v>161</v>
      </c>
      <c r="L159" s="53">
        <v>2</v>
      </c>
      <c r="N159" s="53">
        <v>8</v>
      </c>
      <c r="O159" s="53">
        <v>0.5</v>
      </c>
      <c r="P159" s="53">
        <v>0.4</v>
      </c>
      <c r="Q159" s="16">
        <f t="shared" si="6"/>
        <v>0.45</v>
      </c>
      <c r="R159" s="53">
        <v>15</v>
      </c>
      <c r="S159" s="53">
        <v>119</v>
      </c>
      <c r="T159" s="16">
        <f t="shared" si="7"/>
        <v>30</v>
      </c>
      <c r="U159" s="53">
        <v>810</v>
      </c>
      <c r="V159" s="16">
        <f t="shared" si="8"/>
        <v>3037.5</v>
      </c>
      <c r="W159" s="53">
        <v>2</v>
      </c>
      <c r="X159" s="53" t="s">
        <v>46</v>
      </c>
      <c r="Y159" s="53" t="s">
        <v>97</v>
      </c>
      <c r="Z159" s="53" t="s">
        <v>69</v>
      </c>
      <c r="AA159" s="53" t="s">
        <v>55</v>
      </c>
      <c r="AB159" s="53" t="s">
        <v>158</v>
      </c>
    </row>
    <row r="160" spans="1:34" x14ac:dyDescent="0.15">
      <c r="A160" s="53" t="s">
        <v>41</v>
      </c>
      <c r="B160" s="53" t="s">
        <v>157</v>
      </c>
      <c r="C160" s="62">
        <v>2018</v>
      </c>
      <c r="D160" s="63" t="s">
        <v>184</v>
      </c>
      <c r="E160" s="53" t="s">
        <v>204</v>
      </c>
      <c r="F160" s="53" t="s">
        <v>205</v>
      </c>
      <c r="G160" s="53" t="s">
        <v>42</v>
      </c>
      <c r="H160" s="53" t="s">
        <v>164</v>
      </c>
      <c r="I160" s="53" t="s">
        <v>159</v>
      </c>
      <c r="J160" s="53" t="s">
        <v>38</v>
      </c>
      <c r="K160" s="53" t="s">
        <v>161</v>
      </c>
      <c r="L160" s="53">
        <v>3</v>
      </c>
      <c r="N160" s="53">
        <v>8</v>
      </c>
      <c r="O160" s="53">
        <v>0.65</v>
      </c>
      <c r="P160" s="53">
        <v>0.5</v>
      </c>
      <c r="Q160" s="16">
        <f t="shared" si="6"/>
        <v>0.57499999999999996</v>
      </c>
      <c r="R160" s="53">
        <v>12.7</v>
      </c>
      <c r="S160" s="53">
        <v>117</v>
      </c>
      <c r="T160" s="16">
        <f t="shared" si="7"/>
        <v>30</v>
      </c>
      <c r="U160" s="53">
        <v>810</v>
      </c>
      <c r="V160" s="16">
        <f t="shared" si="8"/>
        <v>3037.5</v>
      </c>
      <c r="W160" s="53">
        <v>2</v>
      </c>
      <c r="X160" s="53" t="s">
        <v>46</v>
      </c>
      <c r="Y160" s="53" t="s">
        <v>97</v>
      </c>
      <c r="Z160" s="53" t="s">
        <v>69</v>
      </c>
      <c r="AA160" s="53" t="s">
        <v>55</v>
      </c>
      <c r="AB160" s="53" t="s">
        <v>158</v>
      </c>
    </row>
    <row r="161" spans="1:34" x14ac:dyDescent="0.15">
      <c r="A161" s="53" t="s">
        <v>41</v>
      </c>
      <c r="B161" s="53" t="s">
        <v>157</v>
      </c>
      <c r="C161" s="62">
        <v>2019</v>
      </c>
      <c r="D161" s="63" t="s">
        <v>184</v>
      </c>
      <c r="E161" s="53" t="s">
        <v>204</v>
      </c>
      <c r="F161" s="53" t="s">
        <v>205</v>
      </c>
      <c r="G161" s="53" t="s">
        <v>42</v>
      </c>
      <c r="H161" s="53" t="s">
        <v>160</v>
      </c>
      <c r="I161" s="53" t="s">
        <v>159</v>
      </c>
      <c r="J161" s="53" t="s">
        <v>38</v>
      </c>
      <c r="K161" s="53" t="s">
        <v>161</v>
      </c>
      <c r="L161" s="53">
        <v>1</v>
      </c>
      <c r="N161" s="53">
        <v>1</v>
      </c>
      <c r="O161" s="53">
        <v>0.3</v>
      </c>
      <c r="P161" s="53">
        <v>0.35</v>
      </c>
      <c r="Q161" s="72">
        <f t="shared" si="6"/>
        <v>0.32499999999999996</v>
      </c>
      <c r="R161" s="53">
        <v>16.3</v>
      </c>
      <c r="S161" s="53">
        <v>130</v>
      </c>
      <c r="T161" s="38">
        <f t="shared" si="7"/>
        <v>25</v>
      </c>
      <c r="U161" s="53">
        <v>105</v>
      </c>
      <c r="V161" s="16">
        <f t="shared" si="8"/>
        <v>2625</v>
      </c>
      <c r="W161" s="53">
        <v>3</v>
      </c>
      <c r="X161" s="53" t="s">
        <v>46</v>
      </c>
      <c r="Y161" s="53" t="s">
        <v>97</v>
      </c>
      <c r="Z161" s="53" t="s">
        <v>69</v>
      </c>
      <c r="AA161" s="53" t="s">
        <v>55</v>
      </c>
      <c r="AB161" s="53" t="s">
        <v>158</v>
      </c>
      <c r="AC161" s="76"/>
      <c r="AD161" s="76"/>
      <c r="AE161" s="76"/>
      <c r="AF161" s="76"/>
      <c r="AG161" s="76"/>
      <c r="AH161" s="76"/>
    </row>
    <row r="162" spans="1:34" x14ac:dyDescent="0.15">
      <c r="A162" s="53" t="s">
        <v>41</v>
      </c>
      <c r="B162" s="53" t="s">
        <v>157</v>
      </c>
      <c r="C162" s="62">
        <v>2019</v>
      </c>
      <c r="D162" s="63" t="s">
        <v>184</v>
      </c>
      <c r="E162" s="53" t="s">
        <v>204</v>
      </c>
      <c r="F162" s="53" t="s">
        <v>205</v>
      </c>
      <c r="G162" s="53" t="s">
        <v>42</v>
      </c>
      <c r="H162" s="53" t="s">
        <v>160</v>
      </c>
      <c r="I162" s="53" t="s">
        <v>159</v>
      </c>
      <c r="J162" s="53" t="s">
        <v>38</v>
      </c>
      <c r="K162" s="53" t="s">
        <v>161</v>
      </c>
      <c r="L162" s="53">
        <v>2</v>
      </c>
      <c r="N162" s="53">
        <v>1</v>
      </c>
      <c r="O162" s="53">
        <v>0.4</v>
      </c>
      <c r="P162" s="53">
        <v>0.4</v>
      </c>
      <c r="Q162" s="72">
        <f t="shared" si="6"/>
        <v>0.4</v>
      </c>
      <c r="R162" s="53">
        <v>15.8</v>
      </c>
      <c r="S162" s="53">
        <v>134</v>
      </c>
      <c r="T162" s="38">
        <f t="shared" si="7"/>
        <v>25</v>
      </c>
      <c r="U162" s="53">
        <v>105</v>
      </c>
      <c r="V162" s="16">
        <f t="shared" si="8"/>
        <v>2625</v>
      </c>
      <c r="W162" s="53">
        <v>3</v>
      </c>
      <c r="X162" s="53" t="s">
        <v>46</v>
      </c>
      <c r="Y162" s="53" t="s">
        <v>97</v>
      </c>
      <c r="Z162" s="53" t="s">
        <v>69</v>
      </c>
      <c r="AA162" s="53" t="s">
        <v>55</v>
      </c>
      <c r="AB162" s="53" t="s">
        <v>158</v>
      </c>
      <c r="AC162" s="76"/>
      <c r="AD162" s="76"/>
      <c r="AE162" s="76"/>
      <c r="AF162" s="76"/>
      <c r="AG162" s="76"/>
      <c r="AH162" s="76"/>
    </row>
    <row r="163" spans="1:34" x14ac:dyDescent="0.15">
      <c r="A163" s="53" t="s">
        <v>41</v>
      </c>
      <c r="B163" s="53" t="s">
        <v>157</v>
      </c>
      <c r="C163" s="62">
        <v>2019</v>
      </c>
      <c r="D163" s="63" t="s">
        <v>184</v>
      </c>
      <c r="E163" s="53" t="s">
        <v>204</v>
      </c>
      <c r="F163" s="53" t="s">
        <v>205</v>
      </c>
      <c r="G163" s="53" t="s">
        <v>42</v>
      </c>
      <c r="H163" s="53" t="s">
        <v>160</v>
      </c>
      <c r="I163" s="53" t="s">
        <v>159</v>
      </c>
      <c r="J163" s="53" t="s">
        <v>38</v>
      </c>
      <c r="K163" s="53" t="s">
        <v>161</v>
      </c>
      <c r="L163" s="53">
        <v>3</v>
      </c>
      <c r="N163" s="53">
        <v>1</v>
      </c>
      <c r="O163" s="53">
        <v>0.35</v>
      </c>
      <c r="P163" s="53">
        <v>0.5</v>
      </c>
      <c r="Q163" s="72">
        <f t="shared" si="6"/>
        <v>0.42499999999999999</v>
      </c>
      <c r="R163" s="53">
        <v>15.4</v>
      </c>
      <c r="S163" s="53">
        <v>131</v>
      </c>
      <c r="T163" s="38">
        <f t="shared" si="7"/>
        <v>25</v>
      </c>
      <c r="U163" s="53">
        <v>105</v>
      </c>
      <c r="V163" s="38">
        <f t="shared" si="8"/>
        <v>2625</v>
      </c>
      <c r="W163" s="53">
        <v>3</v>
      </c>
      <c r="X163" s="53" t="s">
        <v>46</v>
      </c>
      <c r="Y163" s="53" t="s">
        <v>97</v>
      </c>
      <c r="Z163" s="53" t="s">
        <v>69</v>
      </c>
      <c r="AA163" s="53" t="s">
        <v>55</v>
      </c>
      <c r="AB163" s="53" t="s">
        <v>158</v>
      </c>
      <c r="AC163" s="76"/>
      <c r="AD163" s="76"/>
      <c r="AE163" s="76"/>
      <c r="AF163" s="76"/>
      <c r="AG163" s="76"/>
      <c r="AH163" s="76"/>
    </row>
    <row r="164" spans="1:34" x14ac:dyDescent="0.15">
      <c r="A164" s="53" t="s">
        <v>41</v>
      </c>
      <c r="B164" s="53" t="s">
        <v>157</v>
      </c>
      <c r="C164" s="62">
        <v>2018</v>
      </c>
      <c r="D164" s="63" t="s">
        <v>184</v>
      </c>
      <c r="E164" s="53" t="s">
        <v>204</v>
      </c>
      <c r="F164" s="53" t="s">
        <v>205</v>
      </c>
      <c r="G164" s="53" t="s">
        <v>42</v>
      </c>
      <c r="H164" s="53" t="s">
        <v>160</v>
      </c>
      <c r="I164" s="53" t="s">
        <v>159</v>
      </c>
      <c r="J164" s="53" t="s">
        <v>38</v>
      </c>
      <c r="K164" s="53" t="s">
        <v>161</v>
      </c>
      <c r="L164" s="53">
        <v>1</v>
      </c>
      <c r="N164" s="53">
        <v>4</v>
      </c>
      <c r="O164" s="53">
        <v>0.8</v>
      </c>
      <c r="P164" s="53">
        <v>0.65</v>
      </c>
      <c r="Q164" s="16">
        <f t="shared" si="6"/>
        <v>0.72500000000000009</v>
      </c>
      <c r="R164" s="53">
        <v>12.6</v>
      </c>
      <c r="S164" s="53">
        <v>120</v>
      </c>
      <c r="T164" s="16">
        <f t="shared" si="7"/>
        <v>30</v>
      </c>
      <c r="U164" s="53">
        <v>311</v>
      </c>
      <c r="V164" s="16">
        <f t="shared" si="8"/>
        <v>2332.5</v>
      </c>
      <c r="W164" s="53">
        <v>3</v>
      </c>
      <c r="X164" s="53" t="s">
        <v>46</v>
      </c>
      <c r="Y164" s="53" t="s">
        <v>97</v>
      </c>
      <c r="Z164" s="53" t="s">
        <v>69</v>
      </c>
      <c r="AA164" s="53" t="s">
        <v>55</v>
      </c>
      <c r="AB164" s="53" t="s">
        <v>158</v>
      </c>
    </row>
    <row r="165" spans="1:34" x14ac:dyDescent="0.15">
      <c r="A165" s="53" t="s">
        <v>41</v>
      </c>
      <c r="B165" s="53" t="s">
        <v>157</v>
      </c>
      <c r="C165" s="62">
        <v>2018</v>
      </c>
      <c r="D165" s="63" t="s">
        <v>184</v>
      </c>
      <c r="E165" s="53" t="s">
        <v>204</v>
      </c>
      <c r="F165" s="53" t="s">
        <v>205</v>
      </c>
      <c r="G165" s="53" t="s">
        <v>42</v>
      </c>
      <c r="H165" s="53" t="s">
        <v>160</v>
      </c>
      <c r="I165" s="53" t="s">
        <v>159</v>
      </c>
      <c r="J165" s="53" t="s">
        <v>38</v>
      </c>
      <c r="K165" s="53" t="s">
        <v>161</v>
      </c>
      <c r="L165" s="53">
        <v>2</v>
      </c>
      <c r="N165" s="53">
        <v>4</v>
      </c>
      <c r="O165" s="53">
        <v>0.65</v>
      </c>
      <c r="P165" s="53">
        <v>0.7</v>
      </c>
      <c r="Q165" s="16">
        <f t="shared" si="6"/>
        <v>0.67500000000000004</v>
      </c>
      <c r="R165" s="53">
        <v>13.7</v>
      </c>
      <c r="S165" s="53">
        <v>118</v>
      </c>
      <c r="T165" s="16">
        <f t="shared" si="7"/>
        <v>30</v>
      </c>
      <c r="U165" s="53">
        <v>311</v>
      </c>
      <c r="V165" s="16">
        <f t="shared" si="8"/>
        <v>2332.5</v>
      </c>
      <c r="W165" s="53">
        <v>3</v>
      </c>
      <c r="X165" s="53" t="s">
        <v>46</v>
      </c>
      <c r="Y165" s="53" t="s">
        <v>97</v>
      </c>
      <c r="Z165" s="53" t="s">
        <v>69</v>
      </c>
      <c r="AA165" s="53" t="s">
        <v>55</v>
      </c>
      <c r="AB165" s="53" t="s">
        <v>158</v>
      </c>
    </row>
    <row r="166" spans="1:34" x14ac:dyDescent="0.15">
      <c r="A166" s="53" t="s">
        <v>41</v>
      </c>
      <c r="B166" s="53" t="s">
        <v>157</v>
      </c>
      <c r="C166" s="62">
        <v>2018</v>
      </c>
      <c r="D166" s="63" t="s">
        <v>184</v>
      </c>
      <c r="E166" s="53" t="s">
        <v>204</v>
      </c>
      <c r="F166" s="53" t="s">
        <v>205</v>
      </c>
      <c r="G166" s="53" t="s">
        <v>42</v>
      </c>
      <c r="H166" s="53" t="s">
        <v>160</v>
      </c>
      <c r="I166" s="53" t="s">
        <v>159</v>
      </c>
      <c r="J166" s="53" t="s">
        <v>38</v>
      </c>
      <c r="K166" s="53" t="s">
        <v>161</v>
      </c>
      <c r="L166" s="53">
        <v>3</v>
      </c>
      <c r="N166" s="53">
        <v>4</v>
      </c>
      <c r="O166" s="53">
        <v>0.7</v>
      </c>
      <c r="P166" s="53">
        <v>0.5</v>
      </c>
      <c r="Q166" s="16">
        <f t="shared" si="6"/>
        <v>0.6</v>
      </c>
      <c r="R166" s="53">
        <v>15</v>
      </c>
      <c r="S166" s="53">
        <v>120</v>
      </c>
      <c r="T166" s="16">
        <f t="shared" si="7"/>
        <v>30</v>
      </c>
      <c r="U166" s="53">
        <v>311</v>
      </c>
      <c r="V166" s="16">
        <f t="shared" si="8"/>
        <v>2332.5</v>
      </c>
      <c r="W166" s="53">
        <v>3</v>
      </c>
      <c r="X166" s="53" t="s">
        <v>46</v>
      </c>
      <c r="Y166" s="53" t="s">
        <v>97</v>
      </c>
      <c r="Z166" s="53" t="s">
        <v>69</v>
      </c>
      <c r="AA166" s="53" t="s">
        <v>55</v>
      </c>
      <c r="AB166" s="53" t="s">
        <v>158</v>
      </c>
    </row>
    <row r="167" spans="1:34" x14ac:dyDescent="0.15">
      <c r="A167" s="53" t="s">
        <v>41</v>
      </c>
      <c r="B167" s="53" t="s">
        <v>157</v>
      </c>
      <c r="C167" s="62">
        <v>2018</v>
      </c>
      <c r="D167" s="63" t="s">
        <v>184</v>
      </c>
      <c r="E167" s="53" t="s">
        <v>204</v>
      </c>
      <c r="F167" s="53" t="s">
        <v>205</v>
      </c>
      <c r="G167" s="53" t="s">
        <v>42</v>
      </c>
      <c r="H167" s="53" t="s">
        <v>160</v>
      </c>
      <c r="I167" s="53" t="s">
        <v>159</v>
      </c>
      <c r="J167" s="53" t="s">
        <v>38</v>
      </c>
      <c r="K167" s="53" t="s">
        <v>161</v>
      </c>
      <c r="L167" s="53">
        <v>1</v>
      </c>
      <c r="N167" s="53">
        <v>8</v>
      </c>
      <c r="O167" s="53">
        <v>0.4</v>
      </c>
      <c r="P167" s="53">
        <v>0.35</v>
      </c>
      <c r="Q167" s="16">
        <f t="shared" si="6"/>
        <v>0.375</v>
      </c>
      <c r="R167" s="53">
        <v>15.8</v>
      </c>
      <c r="S167" s="53">
        <v>125</v>
      </c>
      <c r="T167" s="16">
        <f t="shared" si="7"/>
        <v>27</v>
      </c>
      <c r="U167" s="53">
        <v>1058</v>
      </c>
      <c r="V167" s="16">
        <f t="shared" si="8"/>
        <v>3570.75</v>
      </c>
      <c r="W167" s="53">
        <v>4</v>
      </c>
      <c r="X167" s="53" t="s">
        <v>46</v>
      </c>
      <c r="Y167" s="53" t="s">
        <v>97</v>
      </c>
      <c r="Z167" s="53" t="s">
        <v>69</v>
      </c>
      <c r="AA167" s="53" t="s">
        <v>55</v>
      </c>
      <c r="AB167" s="53" t="s">
        <v>158</v>
      </c>
    </row>
    <row r="168" spans="1:34" x14ac:dyDescent="0.15">
      <c r="A168" s="53" t="s">
        <v>41</v>
      </c>
      <c r="B168" s="53" t="s">
        <v>157</v>
      </c>
      <c r="C168" s="62">
        <v>2018</v>
      </c>
      <c r="D168" s="63" t="s">
        <v>184</v>
      </c>
      <c r="E168" s="53" t="s">
        <v>204</v>
      </c>
      <c r="F168" s="53" t="s">
        <v>205</v>
      </c>
      <c r="G168" s="53" t="s">
        <v>42</v>
      </c>
      <c r="H168" s="53" t="s">
        <v>160</v>
      </c>
      <c r="I168" s="53" t="s">
        <v>159</v>
      </c>
      <c r="J168" s="53" t="s">
        <v>38</v>
      </c>
      <c r="K168" s="53" t="s">
        <v>161</v>
      </c>
      <c r="L168" s="53">
        <v>2</v>
      </c>
      <c r="N168" s="53">
        <v>8</v>
      </c>
      <c r="O168" s="53">
        <v>0.5</v>
      </c>
      <c r="P168" s="53">
        <v>0.4</v>
      </c>
      <c r="Q168" s="16">
        <f t="shared" si="6"/>
        <v>0.45</v>
      </c>
      <c r="R168" s="53">
        <v>16</v>
      </c>
      <c r="S168" s="53">
        <v>123</v>
      </c>
      <c r="T168" s="16">
        <f t="shared" si="7"/>
        <v>27</v>
      </c>
      <c r="U168" s="53">
        <v>1058</v>
      </c>
      <c r="V168" s="16">
        <f t="shared" si="8"/>
        <v>3570.75</v>
      </c>
      <c r="W168" s="53">
        <v>4</v>
      </c>
      <c r="X168" s="53" t="s">
        <v>46</v>
      </c>
      <c r="Y168" s="53" t="s">
        <v>97</v>
      </c>
      <c r="Z168" s="53" t="s">
        <v>69</v>
      </c>
      <c r="AA168" s="53" t="s">
        <v>55</v>
      </c>
      <c r="AB168" s="53" t="s">
        <v>158</v>
      </c>
    </row>
    <row r="169" spans="1:34" x14ac:dyDescent="0.15">
      <c r="A169" s="53" t="s">
        <v>41</v>
      </c>
      <c r="B169" s="53" t="s">
        <v>157</v>
      </c>
      <c r="C169" s="62">
        <v>2018</v>
      </c>
      <c r="D169" s="63" t="s">
        <v>184</v>
      </c>
      <c r="E169" s="53" t="s">
        <v>204</v>
      </c>
      <c r="F169" s="53" t="s">
        <v>205</v>
      </c>
      <c r="G169" s="53" t="s">
        <v>42</v>
      </c>
      <c r="H169" s="53" t="s">
        <v>160</v>
      </c>
      <c r="I169" s="53" t="s">
        <v>159</v>
      </c>
      <c r="J169" s="53" t="s">
        <v>38</v>
      </c>
      <c r="K169" s="53" t="s">
        <v>161</v>
      </c>
      <c r="L169" s="53">
        <v>3</v>
      </c>
      <c r="N169" s="53">
        <v>8</v>
      </c>
      <c r="O169" s="53">
        <v>0.6</v>
      </c>
      <c r="P169" s="53">
        <v>0.5</v>
      </c>
      <c r="Q169" s="16">
        <f t="shared" si="6"/>
        <v>0.55000000000000004</v>
      </c>
      <c r="R169" s="53">
        <v>14.7</v>
      </c>
      <c r="S169" s="53">
        <v>122</v>
      </c>
      <c r="T169" s="16">
        <f t="shared" si="7"/>
        <v>27</v>
      </c>
      <c r="U169" s="53">
        <v>1058</v>
      </c>
      <c r="V169" s="16">
        <f t="shared" si="8"/>
        <v>3570.75</v>
      </c>
      <c r="W169" s="53">
        <v>4</v>
      </c>
      <c r="X169" s="53" t="s">
        <v>46</v>
      </c>
      <c r="Y169" s="53" t="s">
        <v>97</v>
      </c>
      <c r="Z169" s="53" t="s">
        <v>69</v>
      </c>
      <c r="AA169" s="53" t="s">
        <v>55</v>
      </c>
      <c r="AB169" s="53" t="s">
        <v>158</v>
      </c>
    </row>
    <row r="170" spans="1:34" x14ac:dyDescent="0.15">
      <c r="A170" s="53" t="s">
        <v>41</v>
      </c>
      <c r="B170" s="53" t="s">
        <v>157</v>
      </c>
      <c r="C170" s="62">
        <v>2019</v>
      </c>
      <c r="D170" s="63" t="s">
        <v>184</v>
      </c>
      <c r="E170" s="53" t="s">
        <v>210</v>
      </c>
      <c r="F170" s="53" t="s">
        <v>211</v>
      </c>
      <c r="G170" s="53" t="s">
        <v>42</v>
      </c>
      <c r="H170" s="53" t="s">
        <v>160</v>
      </c>
      <c r="I170" s="53" t="s">
        <v>159</v>
      </c>
      <c r="J170" s="53" t="s">
        <v>38</v>
      </c>
      <c r="K170" s="53" t="s">
        <v>161</v>
      </c>
      <c r="L170" s="53">
        <v>1</v>
      </c>
      <c r="N170" s="53">
        <v>1</v>
      </c>
      <c r="O170" s="53">
        <v>0.5</v>
      </c>
      <c r="P170" s="53">
        <v>0.5</v>
      </c>
      <c r="Q170" s="16">
        <f t="shared" si="6"/>
        <v>0.5</v>
      </c>
      <c r="R170" s="53">
        <v>15.2</v>
      </c>
      <c r="S170" s="53">
        <v>125</v>
      </c>
      <c r="T170" s="38">
        <f t="shared" si="7"/>
        <v>27</v>
      </c>
      <c r="U170" s="53">
        <v>96</v>
      </c>
      <c r="V170" s="38">
        <f t="shared" si="8"/>
        <v>2592</v>
      </c>
      <c r="W170" s="53">
        <v>4</v>
      </c>
      <c r="X170" s="53" t="s">
        <v>46</v>
      </c>
      <c r="Y170" s="53" t="s">
        <v>55</v>
      </c>
      <c r="Z170" s="53" t="s">
        <v>69</v>
      </c>
      <c r="AA170" s="53" t="s">
        <v>97</v>
      </c>
      <c r="AB170" s="53" t="s">
        <v>158</v>
      </c>
      <c r="AC170" s="76"/>
      <c r="AD170" s="76"/>
      <c r="AE170" s="76"/>
      <c r="AF170" s="76"/>
      <c r="AG170" s="76"/>
      <c r="AH170" s="76"/>
    </row>
    <row r="171" spans="1:34" x14ac:dyDescent="0.15">
      <c r="A171" s="53" t="s">
        <v>41</v>
      </c>
      <c r="B171" s="53" t="s">
        <v>157</v>
      </c>
      <c r="C171" s="62">
        <v>2019</v>
      </c>
      <c r="D171" s="63" t="s">
        <v>184</v>
      </c>
      <c r="E171" s="53" t="s">
        <v>210</v>
      </c>
      <c r="F171" s="53" t="s">
        <v>211</v>
      </c>
      <c r="G171" s="53" t="s">
        <v>42</v>
      </c>
      <c r="H171" s="53" t="s">
        <v>160</v>
      </c>
      <c r="I171" s="53" t="s">
        <v>159</v>
      </c>
      <c r="J171" s="53" t="s">
        <v>38</v>
      </c>
      <c r="K171" s="53" t="s">
        <v>161</v>
      </c>
      <c r="L171" s="53">
        <v>2</v>
      </c>
      <c r="N171" s="53">
        <v>1</v>
      </c>
      <c r="O171" s="53">
        <v>0.45</v>
      </c>
      <c r="P171" s="53">
        <v>0.3</v>
      </c>
      <c r="Q171" s="16">
        <f t="shared" si="6"/>
        <v>0.375</v>
      </c>
      <c r="R171" s="53">
        <v>13.8</v>
      </c>
      <c r="S171" s="53">
        <v>127</v>
      </c>
      <c r="T171" s="38">
        <f t="shared" si="7"/>
        <v>27</v>
      </c>
      <c r="U171" s="53">
        <v>96</v>
      </c>
      <c r="V171" s="38">
        <f t="shared" si="8"/>
        <v>2592</v>
      </c>
      <c r="W171" s="53">
        <v>4</v>
      </c>
      <c r="X171" s="53" t="s">
        <v>46</v>
      </c>
      <c r="Y171" s="53" t="s">
        <v>55</v>
      </c>
      <c r="Z171" s="53" t="s">
        <v>69</v>
      </c>
      <c r="AA171" s="53" t="s">
        <v>97</v>
      </c>
      <c r="AB171" s="53" t="s">
        <v>158</v>
      </c>
      <c r="AC171" s="76"/>
      <c r="AD171" s="76"/>
      <c r="AE171" s="76"/>
      <c r="AF171" s="76"/>
      <c r="AG171" s="76"/>
      <c r="AH171" s="76"/>
    </row>
    <row r="172" spans="1:34" x14ac:dyDescent="0.15">
      <c r="A172" s="53" t="s">
        <v>41</v>
      </c>
      <c r="B172" s="53" t="s">
        <v>157</v>
      </c>
      <c r="C172" s="62">
        <v>2019</v>
      </c>
      <c r="D172" s="63" t="s">
        <v>184</v>
      </c>
      <c r="E172" s="53" t="s">
        <v>210</v>
      </c>
      <c r="F172" s="53" t="s">
        <v>211</v>
      </c>
      <c r="G172" s="53" t="s">
        <v>42</v>
      </c>
      <c r="H172" s="53" t="s">
        <v>160</v>
      </c>
      <c r="I172" s="53" t="s">
        <v>159</v>
      </c>
      <c r="J172" s="53" t="s">
        <v>38</v>
      </c>
      <c r="K172" s="53" t="s">
        <v>161</v>
      </c>
      <c r="L172" s="53">
        <v>3</v>
      </c>
      <c r="N172" s="53">
        <v>1</v>
      </c>
      <c r="O172" s="53">
        <v>0.75</v>
      </c>
      <c r="P172" s="53">
        <v>0.5</v>
      </c>
      <c r="Q172" s="16">
        <f t="shared" si="6"/>
        <v>0.625</v>
      </c>
      <c r="R172" s="53">
        <v>16</v>
      </c>
      <c r="S172" s="53">
        <v>123</v>
      </c>
      <c r="T172" s="38">
        <f t="shared" si="7"/>
        <v>27</v>
      </c>
      <c r="U172" s="53">
        <v>96</v>
      </c>
      <c r="V172" s="38">
        <f t="shared" si="8"/>
        <v>2592</v>
      </c>
      <c r="W172" s="53">
        <v>4</v>
      </c>
      <c r="X172" s="53" t="s">
        <v>46</v>
      </c>
      <c r="Y172" s="53" t="s">
        <v>55</v>
      </c>
      <c r="Z172" s="53" t="s">
        <v>69</v>
      </c>
      <c r="AA172" s="53" t="s">
        <v>97</v>
      </c>
      <c r="AB172" s="53" t="s">
        <v>158</v>
      </c>
      <c r="AC172" s="76"/>
      <c r="AD172" s="76"/>
      <c r="AE172" s="76"/>
      <c r="AF172" s="76"/>
      <c r="AG172" s="76"/>
      <c r="AH172" s="76"/>
    </row>
    <row r="173" spans="1:34" x14ac:dyDescent="0.15">
      <c r="A173" s="53" t="s">
        <v>41</v>
      </c>
      <c r="B173" s="53" t="s">
        <v>157</v>
      </c>
      <c r="C173" s="62">
        <v>2019</v>
      </c>
      <c r="D173" s="63" t="s">
        <v>184</v>
      </c>
      <c r="E173" s="53" t="s">
        <v>210</v>
      </c>
      <c r="F173" s="53" t="s">
        <v>211</v>
      </c>
      <c r="G173" s="53" t="s">
        <v>42</v>
      </c>
      <c r="H173" s="53" t="s">
        <v>160</v>
      </c>
      <c r="I173" s="53" t="s">
        <v>159</v>
      </c>
      <c r="J173" s="53" t="s">
        <v>38</v>
      </c>
      <c r="K173" s="53" t="s">
        <v>161</v>
      </c>
      <c r="L173" s="53">
        <v>1</v>
      </c>
      <c r="N173" s="53">
        <v>4</v>
      </c>
      <c r="O173" s="53">
        <v>0.65</v>
      </c>
      <c r="P173" s="53">
        <v>0.5</v>
      </c>
      <c r="Q173" s="16">
        <f t="shared" si="6"/>
        <v>0.57499999999999996</v>
      </c>
      <c r="R173" s="53">
        <v>12.8</v>
      </c>
      <c r="S173" s="53">
        <v>122</v>
      </c>
      <c r="T173" s="38">
        <f t="shared" si="7"/>
        <v>27</v>
      </c>
      <c r="U173" s="53">
        <v>320</v>
      </c>
      <c r="V173" s="38">
        <f t="shared" si="8"/>
        <v>2160</v>
      </c>
      <c r="W173" s="53">
        <v>2</v>
      </c>
      <c r="X173" s="53" t="s">
        <v>46</v>
      </c>
      <c r="Y173" s="53" t="s">
        <v>55</v>
      </c>
      <c r="Z173" s="53" t="s">
        <v>69</v>
      </c>
      <c r="AA173" s="53" t="s">
        <v>97</v>
      </c>
      <c r="AB173" s="53" t="s">
        <v>158</v>
      </c>
      <c r="AC173" s="76"/>
      <c r="AD173" s="76"/>
      <c r="AE173" s="76"/>
      <c r="AF173" s="76"/>
      <c r="AG173" s="76"/>
      <c r="AH173" s="76"/>
    </row>
    <row r="174" spans="1:34" x14ac:dyDescent="0.15">
      <c r="A174" s="53" t="s">
        <v>41</v>
      </c>
      <c r="B174" s="53" t="s">
        <v>157</v>
      </c>
      <c r="C174" s="62">
        <v>2019</v>
      </c>
      <c r="D174" s="63" t="s">
        <v>184</v>
      </c>
      <c r="E174" s="53" t="s">
        <v>210</v>
      </c>
      <c r="F174" s="53" t="s">
        <v>211</v>
      </c>
      <c r="G174" s="53" t="s">
        <v>42</v>
      </c>
      <c r="H174" s="53" t="s">
        <v>160</v>
      </c>
      <c r="I174" s="53" t="s">
        <v>159</v>
      </c>
      <c r="J174" s="53" t="s">
        <v>38</v>
      </c>
      <c r="K174" s="53" t="s">
        <v>161</v>
      </c>
      <c r="L174" s="53">
        <v>2</v>
      </c>
      <c r="N174" s="53">
        <v>4</v>
      </c>
      <c r="O174" s="53">
        <v>0.3</v>
      </c>
      <c r="P174" s="53">
        <v>0.3</v>
      </c>
      <c r="Q174" s="16">
        <f t="shared" si="6"/>
        <v>0.3</v>
      </c>
      <c r="R174" s="53">
        <v>14.1</v>
      </c>
      <c r="S174" s="53">
        <v>120</v>
      </c>
      <c r="T174" s="38">
        <f t="shared" si="7"/>
        <v>30</v>
      </c>
      <c r="U174" s="53">
        <v>320</v>
      </c>
      <c r="V174" s="38">
        <f t="shared" si="8"/>
        <v>2400</v>
      </c>
      <c r="W174" s="53">
        <v>2</v>
      </c>
      <c r="X174" s="53" t="s">
        <v>46</v>
      </c>
      <c r="Y174" s="53" t="s">
        <v>55</v>
      </c>
      <c r="Z174" s="53" t="s">
        <v>69</v>
      </c>
      <c r="AA174" s="53" t="s">
        <v>97</v>
      </c>
      <c r="AB174" s="53" t="s">
        <v>158</v>
      </c>
      <c r="AC174" s="76"/>
      <c r="AD174" s="76"/>
      <c r="AE174" s="76"/>
      <c r="AF174" s="76"/>
      <c r="AG174" s="76"/>
      <c r="AH174" s="76"/>
    </row>
    <row r="175" spans="1:34" x14ac:dyDescent="0.15">
      <c r="A175" s="53" t="s">
        <v>41</v>
      </c>
      <c r="B175" s="53" t="s">
        <v>157</v>
      </c>
      <c r="C175" s="62">
        <v>2019</v>
      </c>
      <c r="D175" s="63" t="s">
        <v>184</v>
      </c>
      <c r="E175" s="53" t="s">
        <v>210</v>
      </c>
      <c r="F175" s="53" t="s">
        <v>211</v>
      </c>
      <c r="G175" s="53" t="s">
        <v>42</v>
      </c>
      <c r="H175" s="53" t="s">
        <v>160</v>
      </c>
      <c r="I175" s="53" t="s">
        <v>159</v>
      </c>
      <c r="J175" s="53" t="s">
        <v>38</v>
      </c>
      <c r="K175" s="53" t="s">
        <v>161</v>
      </c>
      <c r="L175" s="53">
        <v>3</v>
      </c>
      <c r="N175" s="53">
        <v>4</v>
      </c>
      <c r="O175" s="53">
        <v>0.3</v>
      </c>
      <c r="P175" s="53">
        <v>0.3</v>
      </c>
      <c r="Q175" s="16">
        <f t="shared" si="6"/>
        <v>0.3</v>
      </c>
      <c r="R175" s="53">
        <v>13.4</v>
      </c>
      <c r="S175" s="53">
        <v>115</v>
      </c>
      <c r="T175" s="38">
        <f t="shared" si="7"/>
        <v>30</v>
      </c>
      <c r="U175" s="53">
        <v>320</v>
      </c>
      <c r="V175" s="38">
        <f t="shared" si="8"/>
        <v>2400</v>
      </c>
      <c r="W175" s="53">
        <v>2</v>
      </c>
      <c r="X175" s="53" t="s">
        <v>46</v>
      </c>
      <c r="Y175" s="53" t="s">
        <v>55</v>
      </c>
      <c r="Z175" s="53" t="s">
        <v>69</v>
      </c>
      <c r="AA175" s="53" t="s">
        <v>97</v>
      </c>
      <c r="AB175" s="53" t="s">
        <v>158</v>
      </c>
      <c r="AC175" s="76"/>
      <c r="AD175" s="76"/>
      <c r="AE175" s="76"/>
      <c r="AF175" s="76"/>
      <c r="AG175" s="76"/>
      <c r="AH175" s="76"/>
    </row>
    <row r="176" spans="1:34" x14ac:dyDescent="0.15">
      <c r="A176" s="53" t="s">
        <v>41</v>
      </c>
      <c r="B176" s="53" t="s">
        <v>157</v>
      </c>
      <c r="C176" s="62">
        <v>2019</v>
      </c>
      <c r="D176" s="63" t="s">
        <v>184</v>
      </c>
      <c r="E176" s="53" t="s">
        <v>210</v>
      </c>
      <c r="F176" s="53" t="s">
        <v>211</v>
      </c>
      <c r="G176" s="53" t="s">
        <v>42</v>
      </c>
      <c r="H176" s="53" t="s">
        <v>164</v>
      </c>
      <c r="I176" s="53" t="s">
        <v>159</v>
      </c>
      <c r="J176" s="53" t="s">
        <v>38</v>
      </c>
      <c r="K176" s="53" t="s">
        <v>161</v>
      </c>
      <c r="L176" s="53">
        <v>1</v>
      </c>
      <c r="N176" s="53">
        <v>1</v>
      </c>
      <c r="O176" s="53">
        <v>0.2</v>
      </c>
      <c r="P176" s="53">
        <v>0.3</v>
      </c>
      <c r="Q176" s="16">
        <f t="shared" si="6"/>
        <v>0.25</v>
      </c>
      <c r="R176" s="53">
        <v>14.7</v>
      </c>
      <c r="S176" s="53">
        <v>126</v>
      </c>
      <c r="T176" s="38">
        <f t="shared" si="7"/>
        <v>27</v>
      </c>
      <c r="U176" s="53">
        <v>96</v>
      </c>
      <c r="V176" s="38">
        <f t="shared" si="8"/>
        <v>2592</v>
      </c>
      <c r="W176" s="53">
        <v>3</v>
      </c>
      <c r="X176" s="53" t="s">
        <v>46</v>
      </c>
      <c r="Y176" s="53" t="s">
        <v>55</v>
      </c>
      <c r="Z176" s="53" t="s">
        <v>69</v>
      </c>
      <c r="AA176" s="53" t="s">
        <v>97</v>
      </c>
      <c r="AB176" s="53" t="s">
        <v>158</v>
      </c>
      <c r="AC176" s="76"/>
      <c r="AD176" s="76"/>
      <c r="AE176" s="76"/>
      <c r="AF176" s="76"/>
      <c r="AG176" s="76"/>
      <c r="AH176" s="76"/>
    </row>
    <row r="177" spans="1:34" x14ac:dyDescent="0.15">
      <c r="A177" s="53" t="s">
        <v>41</v>
      </c>
      <c r="B177" s="53" t="s">
        <v>157</v>
      </c>
      <c r="C177" s="62">
        <v>2019</v>
      </c>
      <c r="D177" s="63" t="s">
        <v>184</v>
      </c>
      <c r="E177" s="53" t="s">
        <v>210</v>
      </c>
      <c r="F177" s="53" t="s">
        <v>211</v>
      </c>
      <c r="G177" s="53" t="s">
        <v>42</v>
      </c>
      <c r="H177" s="53" t="s">
        <v>164</v>
      </c>
      <c r="I177" s="53" t="s">
        <v>159</v>
      </c>
      <c r="J177" s="53" t="s">
        <v>38</v>
      </c>
      <c r="K177" s="53" t="s">
        <v>161</v>
      </c>
      <c r="L177" s="53">
        <v>2</v>
      </c>
      <c r="N177" s="53">
        <v>1</v>
      </c>
      <c r="O177" s="53">
        <v>0.65</v>
      </c>
      <c r="P177" s="53">
        <v>0.7</v>
      </c>
      <c r="Q177" s="16">
        <f t="shared" si="6"/>
        <v>0.67500000000000004</v>
      </c>
      <c r="R177" s="53">
        <v>13.3</v>
      </c>
      <c r="S177" s="53">
        <v>128</v>
      </c>
      <c r="T177" s="38">
        <f t="shared" si="7"/>
        <v>27</v>
      </c>
      <c r="U177" s="53">
        <v>96</v>
      </c>
      <c r="V177" s="38">
        <f t="shared" si="8"/>
        <v>2592</v>
      </c>
      <c r="W177" s="53">
        <v>3</v>
      </c>
      <c r="X177" s="53" t="s">
        <v>46</v>
      </c>
      <c r="Y177" s="53" t="s">
        <v>55</v>
      </c>
      <c r="Z177" s="53" t="s">
        <v>69</v>
      </c>
      <c r="AA177" s="53" t="s">
        <v>97</v>
      </c>
      <c r="AB177" s="53" t="s">
        <v>158</v>
      </c>
      <c r="AC177" s="76"/>
      <c r="AD177" s="76"/>
      <c r="AE177" s="76"/>
      <c r="AF177" s="76"/>
      <c r="AG177" s="76"/>
      <c r="AH177" s="76"/>
    </row>
    <row r="178" spans="1:34" x14ac:dyDescent="0.15">
      <c r="A178" s="53" t="s">
        <v>41</v>
      </c>
      <c r="B178" s="53" t="s">
        <v>157</v>
      </c>
      <c r="C178" s="62">
        <v>2019</v>
      </c>
      <c r="D178" s="63" t="s">
        <v>184</v>
      </c>
      <c r="E178" s="53" t="s">
        <v>210</v>
      </c>
      <c r="F178" s="53" t="s">
        <v>211</v>
      </c>
      <c r="G178" s="53" t="s">
        <v>42</v>
      </c>
      <c r="H178" s="53" t="s">
        <v>164</v>
      </c>
      <c r="I178" s="53" t="s">
        <v>159</v>
      </c>
      <c r="J178" s="53" t="s">
        <v>38</v>
      </c>
      <c r="K178" s="53" t="s">
        <v>161</v>
      </c>
      <c r="L178" s="53">
        <v>3</v>
      </c>
      <c r="N178" s="53">
        <v>1</v>
      </c>
      <c r="O178" s="53">
        <v>0.8</v>
      </c>
      <c r="P178" s="53">
        <v>0.7</v>
      </c>
      <c r="Q178" s="16">
        <f t="shared" si="6"/>
        <v>0.75</v>
      </c>
      <c r="R178" s="53">
        <v>15.1</v>
      </c>
      <c r="S178" s="53">
        <v>124</v>
      </c>
      <c r="T178" s="38">
        <f t="shared" si="7"/>
        <v>27</v>
      </c>
      <c r="U178" s="53">
        <v>96</v>
      </c>
      <c r="V178" s="38">
        <f t="shared" si="8"/>
        <v>2592</v>
      </c>
      <c r="W178" s="53">
        <v>3</v>
      </c>
      <c r="X178" s="53" t="s">
        <v>46</v>
      </c>
      <c r="Y178" s="53" t="s">
        <v>55</v>
      </c>
      <c r="Z178" s="53" t="s">
        <v>69</v>
      </c>
      <c r="AA178" s="53" t="s">
        <v>97</v>
      </c>
      <c r="AB178" s="53" t="s">
        <v>158</v>
      </c>
      <c r="AC178" s="76"/>
      <c r="AD178" s="76"/>
      <c r="AE178" s="76"/>
      <c r="AF178" s="76"/>
      <c r="AG178" s="76"/>
      <c r="AH178" s="76"/>
    </row>
    <row r="179" spans="1:34" x14ac:dyDescent="0.15">
      <c r="A179" s="53" t="s">
        <v>41</v>
      </c>
      <c r="B179" s="53" t="s">
        <v>157</v>
      </c>
      <c r="C179" s="62">
        <v>2019</v>
      </c>
      <c r="D179" s="63" t="s">
        <v>184</v>
      </c>
      <c r="E179" s="53" t="s">
        <v>210</v>
      </c>
      <c r="F179" s="53" t="s">
        <v>211</v>
      </c>
      <c r="G179" s="53" t="s">
        <v>42</v>
      </c>
      <c r="H179" s="53" t="s">
        <v>164</v>
      </c>
      <c r="I179" s="53" t="s">
        <v>159</v>
      </c>
      <c r="J179" s="53" t="s">
        <v>38</v>
      </c>
      <c r="K179" s="53" t="s">
        <v>161</v>
      </c>
      <c r="L179" s="53">
        <v>1</v>
      </c>
      <c r="N179" s="53">
        <v>4</v>
      </c>
      <c r="O179" s="53">
        <v>0.95</v>
      </c>
      <c r="P179" s="53">
        <v>0.8</v>
      </c>
      <c r="Q179" s="16">
        <f t="shared" si="6"/>
        <v>0.875</v>
      </c>
      <c r="R179" s="53">
        <v>16.5</v>
      </c>
      <c r="S179" s="53">
        <v>120</v>
      </c>
      <c r="T179" s="38">
        <f t="shared" si="7"/>
        <v>30</v>
      </c>
      <c r="U179" s="53">
        <v>320</v>
      </c>
      <c r="V179" s="38">
        <f t="shared" si="8"/>
        <v>2400</v>
      </c>
      <c r="W179" s="53">
        <v>2</v>
      </c>
      <c r="X179" s="53" t="s">
        <v>46</v>
      </c>
      <c r="Y179" s="53" t="s">
        <v>55</v>
      </c>
      <c r="Z179" s="53" t="s">
        <v>69</v>
      </c>
      <c r="AA179" s="53" t="s">
        <v>97</v>
      </c>
      <c r="AB179" s="53" t="s">
        <v>158</v>
      </c>
      <c r="AC179" s="76"/>
      <c r="AD179" s="76"/>
      <c r="AE179" s="76"/>
      <c r="AF179" s="76"/>
      <c r="AG179" s="76"/>
      <c r="AH179" s="76"/>
    </row>
    <row r="180" spans="1:34" x14ac:dyDescent="0.15">
      <c r="A180" s="53" t="s">
        <v>41</v>
      </c>
      <c r="B180" s="53" t="s">
        <v>157</v>
      </c>
      <c r="C180" s="62">
        <v>2019</v>
      </c>
      <c r="D180" s="63" t="s">
        <v>184</v>
      </c>
      <c r="E180" s="53" t="s">
        <v>210</v>
      </c>
      <c r="F180" s="53" t="s">
        <v>211</v>
      </c>
      <c r="G180" s="53" t="s">
        <v>42</v>
      </c>
      <c r="H180" s="53" t="s">
        <v>164</v>
      </c>
      <c r="I180" s="53" t="s">
        <v>159</v>
      </c>
      <c r="J180" s="53" t="s">
        <v>38</v>
      </c>
      <c r="K180" s="53" t="s">
        <v>161</v>
      </c>
      <c r="L180" s="53">
        <v>2</v>
      </c>
      <c r="N180" s="53">
        <v>4</v>
      </c>
      <c r="O180" s="53">
        <v>1.05</v>
      </c>
      <c r="P180" s="53">
        <v>0.95</v>
      </c>
      <c r="Q180" s="16">
        <f t="shared" si="6"/>
        <v>1</v>
      </c>
      <c r="R180" s="53">
        <v>14.7</v>
      </c>
      <c r="S180" s="53">
        <v>117</v>
      </c>
      <c r="T180" s="38">
        <f t="shared" si="7"/>
        <v>30</v>
      </c>
      <c r="U180" s="53">
        <v>320</v>
      </c>
      <c r="V180" s="38">
        <f t="shared" si="8"/>
        <v>2400</v>
      </c>
      <c r="W180" s="53">
        <v>2</v>
      </c>
      <c r="X180" s="53" t="s">
        <v>46</v>
      </c>
      <c r="Y180" s="53" t="s">
        <v>55</v>
      </c>
      <c r="Z180" s="53" t="s">
        <v>69</v>
      </c>
      <c r="AA180" s="53" t="s">
        <v>97</v>
      </c>
      <c r="AB180" s="53" t="s">
        <v>158</v>
      </c>
      <c r="AC180" s="76"/>
      <c r="AD180" s="76"/>
      <c r="AE180" s="76"/>
      <c r="AF180" s="76"/>
      <c r="AG180" s="76"/>
      <c r="AH180" s="76"/>
    </row>
    <row r="181" spans="1:34" x14ac:dyDescent="0.15">
      <c r="A181" s="53" t="s">
        <v>41</v>
      </c>
      <c r="B181" s="53" t="s">
        <v>157</v>
      </c>
      <c r="C181" s="62">
        <v>2019</v>
      </c>
      <c r="D181" s="63" t="s">
        <v>184</v>
      </c>
      <c r="E181" s="53" t="s">
        <v>210</v>
      </c>
      <c r="F181" s="53" t="s">
        <v>211</v>
      </c>
      <c r="G181" s="53" t="s">
        <v>42</v>
      </c>
      <c r="H181" s="53" t="s">
        <v>164</v>
      </c>
      <c r="I181" s="53" t="s">
        <v>159</v>
      </c>
      <c r="J181" s="53" t="s">
        <v>38</v>
      </c>
      <c r="K181" s="53" t="s">
        <v>161</v>
      </c>
      <c r="L181" s="53">
        <v>3</v>
      </c>
      <c r="N181" s="53">
        <v>4</v>
      </c>
      <c r="O181" s="53">
        <v>0.8</v>
      </c>
      <c r="P181" s="53">
        <v>0.9</v>
      </c>
      <c r="Q181" s="16">
        <f t="shared" si="6"/>
        <v>0.85000000000000009</v>
      </c>
      <c r="R181" s="53">
        <v>15.4</v>
      </c>
      <c r="S181" s="53">
        <v>119</v>
      </c>
      <c r="T181" s="38">
        <f t="shared" si="7"/>
        <v>30</v>
      </c>
      <c r="U181" s="53">
        <v>320</v>
      </c>
      <c r="V181" s="38">
        <f t="shared" si="8"/>
        <v>2400</v>
      </c>
      <c r="W181" s="53">
        <v>2</v>
      </c>
      <c r="X181" s="53" t="s">
        <v>46</v>
      </c>
      <c r="Y181" s="53" t="s">
        <v>55</v>
      </c>
      <c r="Z181" s="53" t="s">
        <v>69</v>
      </c>
      <c r="AA181" s="53" t="s">
        <v>97</v>
      </c>
      <c r="AB181" s="53" t="s">
        <v>258</v>
      </c>
      <c r="AC181" s="76"/>
      <c r="AD181" s="76"/>
      <c r="AE181" s="76"/>
      <c r="AF181" s="76"/>
      <c r="AG181" s="76"/>
      <c r="AH181" s="76"/>
    </row>
    <row r="182" spans="1:34" x14ac:dyDescent="0.15">
      <c r="Q182" s="75" t="str">
        <f t="shared" si="6"/>
        <v/>
      </c>
      <c r="T182" s="16" t="str">
        <f t="shared" si="7"/>
        <v/>
      </c>
      <c r="V182" s="16" t="str">
        <f t="shared" si="8"/>
        <v/>
      </c>
    </row>
    <row r="183" spans="1:34" x14ac:dyDescent="0.15">
      <c r="Q183" s="75" t="str">
        <f t="shared" si="6"/>
        <v/>
      </c>
      <c r="T183" s="16" t="str">
        <f t="shared" si="7"/>
        <v/>
      </c>
      <c r="V183" s="16" t="str">
        <f t="shared" si="8"/>
        <v/>
      </c>
    </row>
    <row r="184" spans="1:34" x14ac:dyDescent="0.15">
      <c r="Q184" s="75" t="str">
        <f t="shared" si="6"/>
        <v/>
      </c>
      <c r="T184" s="16" t="str">
        <f t="shared" si="7"/>
        <v/>
      </c>
      <c r="V184" s="16" t="str">
        <f t="shared" si="8"/>
        <v/>
      </c>
    </row>
    <row r="185" spans="1:34" x14ac:dyDescent="0.15">
      <c r="Q185" s="75" t="str">
        <f t="shared" si="6"/>
        <v/>
      </c>
      <c r="T185" s="16" t="str">
        <f t="shared" si="7"/>
        <v/>
      </c>
      <c r="V185" s="16" t="str">
        <f t="shared" si="8"/>
        <v/>
      </c>
    </row>
    <row r="186" spans="1:34" x14ac:dyDescent="0.15">
      <c r="Q186" s="75" t="str">
        <f t="shared" si="6"/>
        <v/>
      </c>
      <c r="T186" s="16" t="str">
        <f t="shared" si="7"/>
        <v/>
      </c>
      <c r="V186" s="16" t="str">
        <f t="shared" si="8"/>
        <v/>
      </c>
    </row>
    <row r="187" spans="1:34" x14ac:dyDescent="0.15">
      <c r="Q187" s="75" t="str">
        <f t="shared" si="6"/>
        <v/>
      </c>
      <c r="T187" s="16" t="str">
        <f t="shared" si="7"/>
        <v/>
      </c>
      <c r="V187" s="16" t="str">
        <f t="shared" si="8"/>
        <v/>
      </c>
    </row>
    <row r="188" spans="1:34" x14ac:dyDescent="0.15">
      <c r="Q188" s="75" t="str">
        <f t="shared" si="6"/>
        <v/>
      </c>
      <c r="T188" s="16" t="str">
        <f t="shared" si="7"/>
        <v/>
      </c>
      <c r="V188" s="16" t="str">
        <f t="shared" si="8"/>
        <v/>
      </c>
    </row>
    <row r="189" spans="1:34" x14ac:dyDescent="0.15">
      <c r="Q189" s="75" t="str">
        <f t="shared" si="6"/>
        <v/>
      </c>
      <c r="T189" s="16" t="str">
        <f t="shared" si="7"/>
        <v/>
      </c>
      <c r="V189" s="16" t="str">
        <f t="shared" si="8"/>
        <v/>
      </c>
    </row>
    <row r="190" spans="1:34" x14ac:dyDescent="0.15">
      <c r="Q190" s="75" t="str">
        <f t="shared" si="6"/>
        <v/>
      </c>
      <c r="T190" s="16" t="str">
        <f t="shared" si="7"/>
        <v/>
      </c>
      <c r="V190" s="16" t="str">
        <f t="shared" si="8"/>
        <v/>
      </c>
    </row>
    <row r="191" spans="1:34" x14ac:dyDescent="0.15">
      <c r="Q191" s="75" t="str">
        <f t="shared" si="6"/>
        <v/>
      </c>
      <c r="T191" s="16" t="str">
        <f t="shared" si="7"/>
        <v/>
      </c>
      <c r="V191" s="16" t="str">
        <f t="shared" si="8"/>
        <v/>
      </c>
    </row>
    <row r="192" spans="1:34" x14ac:dyDescent="0.15">
      <c r="Q192" s="75" t="str">
        <f t="shared" si="6"/>
        <v/>
      </c>
      <c r="T192" s="16" t="str">
        <f t="shared" si="7"/>
        <v/>
      </c>
      <c r="V192" s="16" t="str">
        <f t="shared" si="8"/>
        <v/>
      </c>
    </row>
    <row r="193" spans="17:22" x14ac:dyDescent="0.15">
      <c r="Q193" s="75" t="str">
        <f t="shared" si="6"/>
        <v/>
      </c>
      <c r="T193" s="16" t="str">
        <f t="shared" si="7"/>
        <v/>
      </c>
      <c r="V193" s="16" t="str">
        <f t="shared" si="8"/>
        <v/>
      </c>
    </row>
    <row r="194" spans="17:22" x14ac:dyDescent="0.15">
      <c r="Q194" s="75" t="str">
        <f t="shared" ref="Q194:Q257" si="9">IF(OR(O194="",P194=""),"",AVERAGE(O194,P194))</f>
        <v/>
      </c>
      <c r="T194" s="16" t="str">
        <f t="shared" ref="T194:T257" si="10">IF(H194="","",IF(OR(H194="GREEN",H194="GK"),IF(S194&gt;=$AX$2,VLOOKUP(S194,$AX$2:$AY$10,2,1),""),IF(S194&gt;=$AZ$2,VLOOKUP(S194,$AZ$2:$BA$10,2,1),"")))</f>
        <v/>
      </c>
      <c r="V194" s="16" t="str">
        <f t="shared" ref="V194:V257" si="11">IF(OR(N194="",U194="",T194=""),"",U194/N194*T194)</f>
        <v/>
      </c>
    </row>
    <row r="195" spans="17:22" x14ac:dyDescent="0.15">
      <c r="Q195" s="75" t="str">
        <f t="shared" si="9"/>
        <v/>
      </c>
      <c r="T195" s="16" t="str">
        <f t="shared" si="10"/>
        <v/>
      </c>
      <c r="V195" s="16" t="str">
        <f t="shared" si="11"/>
        <v/>
      </c>
    </row>
    <row r="196" spans="17:22" x14ac:dyDescent="0.15">
      <c r="Q196" s="75" t="str">
        <f t="shared" si="9"/>
        <v/>
      </c>
      <c r="T196" s="16" t="str">
        <f t="shared" si="10"/>
        <v/>
      </c>
      <c r="V196" s="16" t="str">
        <f t="shared" si="11"/>
        <v/>
      </c>
    </row>
    <row r="197" spans="17:22" x14ac:dyDescent="0.15">
      <c r="Q197" s="75" t="str">
        <f t="shared" si="9"/>
        <v/>
      </c>
      <c r="T197" s="16" t="str">
        <f t="shared" si="10"/>
        <v/>
      </c>
      <c r="V197" s="16" t="str">
        <f t="shared" si="11"/>
        <v/>
      </c>
    </row>
    <row r="198" spans="17:22" x14ac:dyDescent="0.15">
      <c r="Q198" s="75" t="str">
        <f t="shared" si="9"/>
        <v/>
      </c>
      <c r="T198" s="16" t="str">
        <f t="shared" si="10"/>
        <v/>
      </c>
      <c r="V198" s="16" t="str">
        <f t="shared" si="11"/>
        <v/>
      </c>
    </row>
    <row r="199" spans="17:22" x14ac:dyDescent="0.15">
      <c r="Q199" s="75" t="str">
        <f t="shared" si="9"/>
        <v/>
      </c>
      <c r="T199" s="16" t="str">
        <f t="shared" si="10"/>
        <v/>
      </c>
      <c r="V199" s="16" t="str">
        <f t="shared" si="11"/>
        <v/>
      </c>
    </row>
    <row r="200" spans="17:22" x14ac:dyDescent="0.15">
      <c r="Q200" s="75" t="str">
        <f t="shared" si="9"/>
        <v/>
      </c>
      <c r="T200" s="16" t="str">
        <f t="shared" si="10"/>
        <v/>
      </c>
      <c r="V200" s="16" t="str">
        <f t="shared" si="11"/>
        <v/>
      </c>
    </row>
    <row r="201" spans="17:22" x14ac:dyDescent="0.15">
      <c r="Q201" s="75" t="str">
        <f t="shared" si="9"/>
        <v/>
      </c>
      <c r="T201" s="16" t="str">
        <f t="shared" si="10"/>
        <v/>
      </c>
      <c r="V201" s="16" t="str">
        <f t="shared" si="11"/>
        <v/>
      </c>
    </row>
    <row r="202" spans="17:22" x14ac:dyDescent="0.15">
      <c r="Q202" s="75" t="str">
        <f t="shared" si="9"/>
        <v/>
      </c>
      <c r="T202" s="16" t="str">
        <f t="shared" si="10"/>
        <v/>
      </c>
      <c r="V202" s="16" t="str">
        <f t="shared" si="11"/>
        <v/>
      </c>
    </row>
    <row r="203" spans="17:22" x14ac:dyDescent="0.15">
      <c r="Q203" s="75" t="str">
        <f t="shared" si="9"/>
        <v/>
      </c>
      <c r="T203" s="16" t="str">
        <f t="shared" si="10"/>
        <v/>
      </c>
      <c r="V203" s="16" t="str">
        <f t="shared" si="11"/>
        <v/>
      </c>
    </row>
    <row r="204" spans="17:22" x14ac:dyDescent="0.15">
      <c r="Q204" s="75" t="str">
        <f t="shared" si="9"/>
        <v/>
      </c>
      <c r="T204" s="16" t="str">
        <f t="shared" si="10"/>
        <v/>
      </c>
      <c r="V204" s="16" t="str">
        <f t="shared" si="11"/>
        <v/>
      </c>
    </row>
    <row r="205" spans="17:22" x14ac:dyDescent="0.15">
      <c r="Q205" s="75" t="str">
        <f t="shared" si="9"/>
        <v/>
      </c>
      <c r="T205" s="16" t="str">
        <f t="shared" si="10"/>
        <v/>
      </c>
      <c r="V205" s="16" t="str">
        <f t="shared" si="11"/>
        <v/>
      </c>
    </row>
    <row r="206" spans="17:22" x14ac:dyDescent="0.15">
      <c r="Q206" s="75" t="str">
        <f t="shared" si="9"/>
        <v/>
      </c>
      <c r="T206" s="16" t="str">
        <f t="shared" si="10"/>
        <v/>
      </c>
      <c r="V206" s="16" t="str">
        <f t="shared" si="11"/>
        <v/>
      </c>
    </row>
    <row r="207" spans="17:22" x14ac:dyDescent="0.15">
      <c r="Q207" s="75" t="str">
        <f t="shared" si="9"/>
        <v/>
      </c>
      <c r="T207" s="16" t="str">
        <f t="shared" si="10"/>
        <v/>
      </c>
      <c r="V207" s="16" t="str">
        <f t="shared" si="11"/>
        <v/>
      </c>
    </row>
    <row r="208" spans="17:22" x14ac:dyDescent="0.15">
      <c r="Q208" s="75" t="str">
        <f t="shared" si="9"/>
        <v/>
      </c>
      <c r="T208" s="16" t="str">
        <f t="shared" si="10"/>
        <v/>
      </c>
      <c r="V208" s="16" t="str">
        <f t="shared" si="11"/>
        <v/>
      </c>
    </row>
    <row r="209" spans="17:22" x14ac:dyDescent="0.15">
      <c r="Q209" s="75" t="str">
        <f t="shared" si="9"/>
        <v/>
      </c>
      <c r="T209" s="16" t="str">
        <f t="shared" si="10"/>
        <v/>
      </c>
      <c r="V209" s="16" t="str">
        <f t="shared" si="11"/>
        <v/>
      </c>
    </row>
    <row r="210" spans="17:22" x14ac:dyDescent="0.15">
      <c r="Q210" s="75" t="str">
        <f t="shared" si="9"/>
        <v/>
      </c>
      <c r="T210" s="16" t="str">
        <f t="shared" si="10"/>
        <v/>
      </c>
      <c r="V210" s="16" t="str">
        <f t="shared" si="11"/>
        <v/>
      </c>
    </row>
    <row r="211" spans="17:22" x14ac:dyDescent="0.15">
      <c r="Q211" s="75" t="str">
        <f t="shared" si="9"/>
        <v/>
      </c>
      <c r="T211" s="16" t="str">
        <f t="shared" si="10"/>
        <v/>
      </c>
      <c r="V211" s="16" t="str">
        <f t="shared" si="11"/>
        <v/>
      </c>
    </row>
    <row r="212" spans="17:22" x14ac:dyDescent="0.15">
      <c r="Q212" s="75" t="str">
        <f t="shared" si="9"/>
        <v/>
      </c>
      <c r="T212" s="16" t="str">
        <f t="shared" si="10"/>
        <v/>
      </c>
      <c r="V212" s="16" t="str">
        <f t="shared" si="11"/>
        <v/>
      </c>
    </row>
    <row r="213" spans="17:22" x14ac:dyDescent="0.15">
      <c r="Q213" s="75" t="str">
        <f t="shared" si="9"/>
        <v/>
      </c>
      <c r="T213" s="16" t="str">
        <f t="shared" si="10"/>
        <v/>
      </c>
      <c r="V213" s="16" t="str">
        <f t="shared" si="11"/>
        <v/>
      </c>
    </row>
    <row r="214" spans="17:22" x14ac:dyDescent="0.15">
      <c r="Q214" s="75" t="str">
        <f t="shared" si="9"/>
        <v/>
      </c>
      <c r="T214" s="16" t="str">
        <f t="shared" si="10"/>
        <v/>
      </c>
      <c r="V214" s="16" t="str">
        <f t="shared" si="11"/>
        <v/>
      </c>
    </row>
    <row r="215" spans="17:22" x14ac:dyDescent="0.15">
      <c r="Q215" s="75" t="str">
        <f t="shared" si="9"/>
        <v/>
      </c>
      <c r="T215" s="16" t="str">
        <f t="shared" si="10"/>
        <v/>
      </c>
      <c r="V215" s="16" t="str">
        <f t="shared" si="11"/>
        <v/>
      </c>
    </row>
    <row r="216" spans="17:22" x14ac:dyDescent="0.15">
      <c r="Q216" s="75" t="str">
        <f t="shared" si="9"/>
        <v/>
      </c>
      <c r="T216" s="16" t="str">
        <f t="shared" si="10"/>
        <v/>
      </c>
      <c r="V216" s="16" t="str">
        <f t="shared" si="11"/>
        <v/>
      </c>
    </row>
    <row r="217" spans="17:22" x14ac:dyDescent="0.15">
      <c r="Q217" s="75" t="str">
        <f t="shared" si="9"/>
        <v/>
      </c>
      <c r="T217" s="16" t="str">
        <f t="shared" si="10"/>
        <v/>
      </c>
      <c r="V217" s="16" t="str">
        <f t="shared" si="11"/>
        <v/>
      </c>
    </row>
    <row r="218" spans="17:22" x14ac:dyDescent="0.15">
      <c r="Q218" s="75" t="str">
        <f t="shared" si="9"/>
        <v/>
      </c>
      <c r="T218" s="16" t="str">
        <f t="shared" si="10"/>
        <v/>
      </c>
      <c r="V218" s="16" t="str">
        <f t="shared" si="11"/>
        <v/>
      </c>
    </row>
    <row r="219" spans="17:22" x14ac:dyDescent="0.15">
      <c r="Q219" s="75" t="str">
        <f t="shared" si="9"/>
        <v/>
      </c>
      <c r="T219" s="16" t="str">
        <f t="shared" si="10"/>
        <v/>
      </c>
      <c r="V219" s="16" t="str">
        <f t="shared" si="11"/>
        <v/>
      </c>
    </row>
    <row r="220" spans="17:22" x14ac:dyDescent="0.15">
      <c r="Q220" s="75" t="str">
        <f t="shared" si="9"/>
        <v/>
      </c>
      <c r="T220" s="16" t="str">
        <f t="shared" si="10"/>
        <v/>
      </c>
      <c r="V220" s="16" t="str">
        <f t="shared" si="11"/>
        <v/>
      </c>
    </row>
    <row r="221" spans="17:22" x14ac:dyDescent="0.15">
      <c r="Q221" s="75" t="str">
        <f t="shared" si="9"/>
        <v/>
      </c>
      <c r="T221" s="16" t="str">
        <f t="shared" si="10"/>
        <v/>
      </c>
      <c r="V221" s="16" t="str">
        <f t="shared" si="11"/>
        <v/>
      </c>
    </row>
    <row r="222" spans="17:22" x14ac:dyDescent="0.15">
      <c r="Q222" s="75" t="str">
        <f t="shared" si="9"/>
        <v/>
      </c>
      <c r="T222" s="16" t="str">
        <f t="shared" si="10"/>
        <v/>
      </c>
      <c r="V222" s="16" t="str">
        <f t="shared" si="11"/>
        <v/>
      </c>
    </row>
    <row r="223" spans="17:22" x14ac:dyDescent="0.15">
      <c r="Q223" s="75" t="str">
        <f t="shared" si="9"/>
        <v/>
      </c>
      <c r="T223" s="16" t="str">
        <f t="shared" si="10"/>
        <v/>
      </c>
      <c r="V223" s="16" t="str">
        <f t="shared" si="11"/>
        <v/>
      </c>
    </row>
    <row r="224" spans="17:22" x14ac:dyDescent="0.15">
      <c r="Q224" s="75" t="str">
        <f t="shared" si="9"/>
        <v/>
      </c>
      <c r="T224" s="16" t="str">
        <f t="shared" si="10"/>
        <v/>
      </c>
      <c r="V224" s="16" t="str">
        <f t="shared" si="11"/>
        <v/>
      </c>
    </row>
    <row r="225" spans="17:22" x14ac:dyDescent="0.15">
      <c r="Q225" s="75" t="str">
        <f t="shared" si="9"/>
        <v/>
      </c>
      <c r="T225" s="16" t="str">
        <f t="shared" si="10"/>
        <v/>
      </c>
      <c r="V225" s="16" t="str">
        <f t="shared" si="11"/>
        <v/>
      </c>
    </row>
    <row r="226" spans="17:22" x14ac:dyDescent="0.15">
      <c r="Q226" s="75" t="str">
        <f t="shared" si="9"/>
        <v/>
      </c>
      <c r="T226" s="16" t="str">
        <f t="shared" si="10"/>
        <v/>
      </c>
      <c r="V226" s="16" t="str">
        <f t="shared" si="11"/>
        <v/>
      </c>
    </row>
    <row r="227" spans="17:22" x14ac:dyDescent="0.15">
      <c r="Q227" s="75" t="str">
        <f t="shared" si="9"/>
        <v/>
      </c>
      <c r="T227" s="16" t="str">
        <f t="shared" si="10"/>
        <v/>
      </c>
      <c r="V227" s="16" t="str">
        <f t="shared" si="11"/>
        <v/>
      </c>
    </row>
    <row r="228" spans="17:22" x14ac:dyDescent="0.15">
      <c r="Q228" s="75" t="str">
        <f t="shared" si="9"/>
        <v/>
      </c>
      <c r="T228" s="16" t="str">
        <f t="shared" si="10"/>
        <v/>
      </c>
      <c r="V228" s="16" t="str">
        <f t="shared" si="11"/>
        <v/>
      </c>
    </row>
    <row r="229" spans="17:22" x14ac:dyDescent="0.15">
      <c r="Q229" s="75" t="str">
        <f t="shared" si="9"/>
        <v/>
      </c>
      <c r="T229" s="16" t="str">
        <f t="shared" si="10"/>
        <v/>
      </c>
      <c r="V229" s="16" t="str">
        <f t="shared" si="11"/>
        <v/>
      </c>
    </row>
    <row r="230" spans="17:22" x14ac:dyDescent="0.15">
      <c r="Q230" s="75" t="str">
        <f t="shared" si="9"/>
        <v/>
      </c>
      <c r="T230" s="16" t="str">
        <f t="shared" si="10"/>
        <v/>
      </c>
      <c r="V230" s="16" t="str">
        <f t="shared" si="11"/>
        <v/>
      </c>
    </row>
    <row r="231" spans="17:22" x14ac:dyDescent="0.15">
      <c r="Q231" s="75" t="str">
        <f t="shared" si="9"/>
        <v/>
      </c>
      <c r="T231" s="16" t="str">
        <f t="shared" si="10"/>
        <v/>
      </c>
      <c r="V231" s="16" t="str">
        <f t="shared" si="11"/>
        <v/>
      </c>
    </row>
    <row r="232" spans="17:22" x14ac:dyDescent="0.15">
      <c r="Q232" s="75" t="str">
        <f t="shared" si="9"/>
        <v/>
      </c>
      <c r="T232" s="16" t="str">
        <f t="shared" si="10"/>
        <v/>
      </c>
      <c r="V232" s="16" t="str">
        <f t="shared" si="11"/>
        <v/>
      </c>
    </row>
    <row r="233" spans="17:22" x14ac:dyDescent="0.15">
      <c r="Q233" s="75" t="str">
        <f t="shared" si="9"/>
        <v/>
      </c>
      <c r="T233" s="16" t="str">
        <f t="shared" si="10"/>
        <v/>
      </c>
      <c r="V233" s="16" t="str">
        <f t="shared" si="11"/>
        <v/>
      </c>
    </row>
    <row r="234" spans="17:22" x14ac:dyDescent="0.15">
      <c r="Q234" s="75" t="str">
        <f t="shared" si="9"/>
        <v/>
      </c>
      <c r="T234" s="16" t="str">
        <f t="shared" si="10"/>
        <v/>
      </c>
      <c r="V234" s="16" t="str">
        <f t="shared" si="11"/>
        <v/>
      </c>
    </row>
    <row r="235" spans="17:22" x14ac:dyDescent="0.15">
      <c r="Q235" s="75" t="str">
        <f t="shared" si="9"/>
        <v/>
      </c>
      <c r="T235" s="16" t="str">
        <f t="shared" si="10"/>
        <v/>
      </c>
      <c r="V235" s="16" t="str">
        <f t="shared" si="11"/>
        <v/>
      </c>
    </row>
    <row r="236" spans="17:22" x14ac:dyDescent="0.15">
      <c r="Q236" s="75" t="str">
        <f t="shared" si="9"/>
        <v/>
      </c>
      <c r="T236" s="16" t="str">
        <f t="shared" si="10"/>
        <v/>
      </c>
      <c r="V236" s="16" t="str">
        <f t="shared" si="11"/>
        <v/>
      </c>
    </row>
    <row r="237" spans="17:22" x14ac:dyDescent="0.15">
      <c r="Q237" s="75" t="str">
        <f t="shared" si="9"/>
        <v/>
      </c>
      <c r="T237" s="16" t="str">
        <f t="shared" si="10"/>
        <v/>
      </c>
      <c r="V237" s="16" t="str">
        <f t="shared" si="11"/>
        <v/>
      </c>
    </row>
    <row r="238" spans="17:22" x14ac:dyDescent="0.15">
      <c r="Q238" s="75" t="str">
        <f t="shared" si="9"/>
        <v/>
      </c>
      <c r="T238" s="16" t="str">
        <f t="shared" si="10"/>
        <v/>
      </c>
      <c r="V238" s="16" t="str">
        <f t="shared" si="11"/>
        <v/>
      </c>
    </row>
    <row r="239" spans="17:22" x14ac:dyDescent="0.15">
      <c r="Q239" s="75" t="str">
        <f t="shared" si="9"/>
        <v/>
      </c>
      <c r="T239" s="16" t="str">
        <f t="shared" si="10"/>
        <v/>
      </c>
      <c r="V239" s="16" t="str">
        <f t="shared" si="11"/>
        <v/>
      </c>
    </row>
    <row r="240" spans="17:22" x14ac:dyDescent="0.15">
      <c r="Q240" s="75" t="str">
        <f t="shared" si="9"/>
        <v/>
      </c>
      <c r="T240" s="16" t="str">
        <f t="shared" si="10"/>
        <v/>
      </c>
      <c r="V240" s="16" t="str">
        <f t="shared" si="11"/>
        <v/>
      </c>
    </row>
    <row r="241" spans="17:22" x14ac:dyDescent="0.15">
      <c r="Q241" s="75" t="str">
        <f t="shared" si="9"/>
        <v/>
      </c>
      <c r="T241" s="16" t="str">
        <f t="shared" si="10"/>
        <v/>
      </c>
      <c r="V241" s="16" t="str">
        <f t="shared" si="11"/>
        <v/>
      </c>
    </row>
    <row r="242" spans="17:22" x14ac:dyDescent="0.15">
      <c r="Q242" s="75" t="str">
        <f t="shared" si="9"/>
        <v/>
      </c>
      <c r="T242" s="16" t="str">
        <f t="shared" si="10"/>
        <v/>
      </c>
      <c r="V242" s="16" t="str">
        <f t="shared" si="11"/>
        <v/>
      </c>
    </row>
    <row r="243" spans="17:22" x14ac:dyDescent="0.15">
      <c r="Q243" s="75" t="str">
        <f t="shared" si="9"/>
        <v/>
      </c>
      <c r="T243" s="16" t="str">
        <f t="shared" si="10"/>
        <v/>
      </c>
      <c r="V243" s="16" t="str">
        <f t="shared" si="11"/>
        <v/>
      </c>
    </row>
    <row r="244" spans="17:22" x14ac:dyDescent="0.15">
      <c r="Q244" s="75" t="str">
        <f t="shared" si="9"/>
        <v/>
      </c>
      <c r="T244" s="16" t="str">
        <f t="shared" si="10"/>
        <v/>
      </c>
      <c r="V244" s="16" t="str">
        <f t="shared" si="11"/>
        <v/>
      </c>
    </row>
    <row r="245" spans="17:22" x14ac:dyDescent="0.15">
      <c r="Q245" s="75" t="str">
        <f t="shared" si="9"/>
        <v/>
      </c>
      <c r="T245" s="16" t="str">
        <f t="shared" si="10"/>
        <v/>
      </c>
      <c r="V245" s="16" t="str">
        <f t="shared" si="11"/>
        <v/>
      </c>
    </row>
    <row r="246" spans="17:22" x14ac:dyDescent="0.15">
      <c r="Q246" s="75" t="str">
        <f t="shared" si="9"/>
        <v/>
      </c>
      <c r="T246" s="16" t="str">
        <f t="shared" si="10"/>
        <v/>
      </c>
      <c r="V246" s="16" t="str">
        <f t="shared" si="11"/>
        <v/>
      </c>
    </row>
    <row r="247" spans="17:22" x14ac:dyDescent="0.15">
      <c r="Q247" s="75" t="str">
        <f t="shared" si="9"/>
        <v/>
      </c>
      <c r="T247" s="16" t="str">
        <f t="shared" si="10"/>
        <v/>
      </c>
      <c r="V247" s="16" t="str">
        <f t="shared" si="11"/>
        <v/>
      </c>
    </row>
    <row r="248" spans="17:22" x14ac:dyDescent="0.15">
      <c r="Q248" s="75" t="str">
        <f t="shared" si="9"/>
        <v/>
      </c>
      <c r="T248" s="16" t="str">
        <f t="shared" si="10"/>
        <v/>
      </c>
      <c r="V248" s="16" t="str">
        <f t="shared" si="11"/>
        <v/>
      </c>
    </row>
    <row r="249" spans="17:22" x14ac:dyDescent="0.15">
      <c r="Q249" s="75" t="str">
        <f t="shared" si="9"/>
        <v/>
      </c>
      <c r="T249" s="16" t="str">
        <f t="shared" si="10"/>
        <v/>
      </c>
      <c r="V249" s="16" t="str">
        <f t="shared" si="11"/>
        <v/>
      </c>
    </row>
    <row r="250" spans="17:22" x14ac:dyDescent="0.15">
      <c r="Q250" s="75" t="str">
        <f t="shared" si="9"/>
        <v/>
      </c>
      <c r="T250" s="16" t="str">
        <f t="shared" si="10"/>
        <v/>
      </c>
      <c r="V250" s="16" t="str">
        <f t="shared" si="11"/>
        <v/>
      </c>
    </row>
    <row r="251" spans="17:22" x14ac:dyDescent="0.15">
      <c r="Q251" s="75" t="str">
        <f t="shared" si="9"/>
        <v/>
      </c>
      <c r="T251" s="16" t="str">
        <f t="shared" si="10"/>
        <v/>
      </c>
      <c r="V251" s="16" t="str">
        <f t="shared" si="11"/>
        <v/>
      </c>
    </row>
    <row r="252" spans="17:22" x14ac:dyDescent="0.15">
      <c r="Q252" s="75" t="str">
        <f t="shared" si="9"/>
        <v/>
      </c>
      <c r="T252" s="16" t="str">
        <f t="shared" si="10"/>
        <v/>
      </c>
      <c r="V252" s="16" t="str">
        <f t="shared" si="11"/>
        <v/>
      </c>
    </row>
    <row r="253" spans="17:22" x14ac:dyDescent="0.15">
      <c r="Q253" s="75" t="str">
        <f t="shared" si="9"/>
        <v/>
      </c>
      <c r="T253" s="16" t="str">
        <f t="shared" si="10"/>
        <v/>
      </c>
      <c r="V253" s="16" t="str">
        <f t="shared" si="11"/>
        <v/>
      </c>
    </row>
    <row r="254" spans="17:22" x14ac:dyDescent="0.15">
      <c r="Q254" s="75" t="str">
        <f t="shared" si="9"/>
        <v/>
      </c>
      <c r="T254" s="16" t="str">
        <f t="shared" si="10"/>
        <v/>
      </c>
      <c r="V254" s="16" t="str">
        <f t="shared" si="11"/>
        <v/>
      </c>
    </row>
    <row r="255" spans="17:22" x14ac:dyDescent="0.15">
      <c r="Q255" s="75" t="str">
        <f t="shared" si="9"/>
        <v/>
      </c>
      <c r="T255" s="16" t="str">
        <f t="shared" si="10"/>
        <v/>
      </c>
      <c r="V255" s="16" t="str">
        <f t="shared" si="11"/>
        <v/>
      </c>
    </row>
    <row r="256" spans="17:22" x14ac:dyDescent="0.15">
      <c r="Q256" s="75" t="str">
        <f t="shared" si="9"/>
        <v/>
      </c>
      <c r="T256" s="16" t="str">
        <f t="shared" si="10"/>
        <v/>
      </c>
      <c r="V256" s="16" t="str">
        <f t="shared" si="11"/>
        <v/>
      </c>
    </row>
    <row r="257" spans="17:22" x14ac:dyDescent="0.15">
      <c r="Q257" s="75" t="str">
        <f t="shared" si="9"/>
        <v/>
      </c>
      <c r="T257" s="16" t="str">
        <f t="shared" si="10"/>
        <v/>
      </c>
      <c r="V257" s="16" t="str">
        <f t="shared" si="11"/>
        <v/>
      </c>
    </row>
    <row r="258" spans="17:22" x14ac:dyDescent="0.15">
      <c r="Q258" s="75" t="str">
        <f t="shared" ref="Q258:Q321" si="12">IF(OR(O258="",P258=""),"",AVERAGE(O258,P258))</f>
        <v/>
      </c>
      <c r="T258" s="16" t="str">
        <f t="shared" ref="T258:T321" si="13">IF(H258="","",IF(OR(H258="GREEN",H258="GK"),IF(S258&gt;=$AX$2,VLOOKUP(S258,$AX$2:$AY$10,2,1),""),IF(S258&gt;=$AZ$2,VLOOKUP(S258,$AZ$2:$BA$10,2,1),"")))</f>
        <v/>
      </c>
      <c r="V258" s="16" t="str">
        <f t="shared" ref="V258:V321" si="14">IF(OR(N258="",U258="",T258=""),"",U258/N258*T258)</f>
        <v/>
      </c>
    </row>
    <row r="259" spans="17:22" x14ac:dyDescent="0.15">
      <c r="Q259" s="75" t="str">
        <f t="shared" si="12"/>
        <v/>
      </c>
      <c r="T259" s="16" t="str">
        <f t="shared" si="13"/>
        <v/>
      </c>
      <c r="V259" s="16" t="str">
        <f t="shared" si="14"/>
        <v/>
      </c>
    </row>
    <row r="260" spans="17:22" x14ac:dyDescent="0.15">
      <c r="Q260" s="75" t="str">
        <f t="shared" si="12"/>
        <v/>
      </c>
      <c r="T260" s="16" t="str">
        <f t="shared" si="13"/>
        <v/>
      </c>
      <c r="V260" s="16" t="str">
        <f t="shared" si="14"/>
        <v/>
      </c>
    </row>
    <row r="261" spans="17:22" x14ac:dyDescent="0.15">
      <c r="Q261" s="75" t="str">
        <f t="shared" si="12"/>
        <v/>
      </c>
      <c r="T261" s="16" t="str">
        <f t="shared" si="13"/>
        <v/>
      </c>
      <c r="V261" s="16" t="str">
        <f t="shared" si="14"/>
        <v/>
      </c>
    </row>
    <row r="262" spans="17:22" x14ac:dyDescent="0.15">
      <c r="Q262" s="75" t="str">
        <f t="shared" si="12"/>
        <v/>
      </c>
      <c r="T262" s="16" t="str">
        <f t="shared" si="13"/>
        <v/>
      </c>
      <c r="V262" s="16" t="str">
        <f t="shared" si="14"/>
        <v/>
      </c>
    </row>
    <row r="263" spans="17:22" x14ac:dyDescent="0.15">
      <c r="Q263" s="75" t="str">
        <f t="shared" si="12"/>
        <v/>
      </c>
      <c r="T263" s="16" t="str">
        <f t="shared" si="13"/>
        <v/>
      </c>
      <c r="V263" s="16" t="str">
        <f t="shared" si="14"/>
        <v/>
      </c>
    </row>
    <row r="264" spans="17:22" x14ac:dyDescent="0.15">
      <c r="Q264" s="75" t="str">
        <f t="shared" si="12"/>
        <v/>
      </c>
      <c r="T264" s="16" t="str">
        <f t="shared" si="13"/>
        <v/>
      </c>
      <c r="V264" s="16" t="str">
        <f t="shared" si="14"/>
        <v/>
      </c>
    </row>
    <row r="265" spans="17:22" x14ac:dyDescent="0.15">
      <c r="Q265" s="75" t="str">
        <f t="shared" si="12"/>
        <v/>
      </c>
      <c r="T265" s="16" t="str">
        <f t="shared" si="13"/>
        <v/>
      </c>
      <c r="V265" s="16" t="str">
        <f t="shared" si="14"/>
        <v/>
      </c>
    </row>
    <row r="266" spans="17:22" x14ac:dyDescent="0.15">
      <c r="Q266" s="75" t="str">
        <f t="shared" si="12"/>
        <v/>
      </c>
      <c r="T266" s="16" t="str">
        <f t="shared" si="13"/>
        <v/>
      </c>
      <c r="V266" s="16" t="str">
        <f t="shared" si="14"/>
        <v/>
      </c>
    </row>
    <row r="267" spans="17:22" x14ac:dyDescent="0.15">
      <c r="Q267" s="75" t="str">
        <f t="shared" si="12"/>
        <v/>
      </c>
      <c r="T267" s="16" t="str">
        <f t="shared" si="13"/>
        <v/>
      </c>
      <c r="V267" s="16" t="str">
        <f t="shared" si="14"/>
        <v/>
      </c>
    </row>
    <row r="268" spans="17:22" x14ac:dyDescent="0.15">
      <c r="Q268" s="75" t="str">
        <f t="shared" si="12"/>
        <v/>
      </c>
      <c r="T268" s="16" t="str">
        <f t="shared" si="13"/>
        <v/>
      </c>
      <c r="V268" s="16" t="str">
        <f t="shared" si="14"/>
        <v/>
      </c>
    </row>
    <row r="269" spans="17:22" x14ac:dyDescent="0.15">
      <c r="Q269" s="75" t="str">
        <f t="shared" si="12"/>
        <v/>
      </c>
      <c r="T269" s="16" t="str">
        <f t="shared" si="13"/>
        <v/>
      </c>
      <c r="V269" s="16" t="str">
        <f t="shared" si="14"/>
        <v/>
      </c>
    </row>
    <row r="270" spans="17:22" x14ac:dyDescent="0.15">
      <c r="Q270" s="75" t="str">
        <f t="shared" si="12"/>
        <v/>
      </c>
      <c r="T270" s="16" t="str">
        <f t="shared" si="13"/>
        <v/>
      </c>
      <c r="V270" s="16" t="str">
        <f t="shared" si="14"/>
        <v/>
      </c>
    </row>
    <row r="271" spans="17:22" x14ac:dyDescent="0.15">
      <c r="Q271" s="75" t="str">
        <f t="shared" si="12"/>
        <v/>
      </c>
      <c r="T271" s="16" t="str">
        <f t="shared" si="13"/>
        <v/>
      </c>
      <c r="V271" s="16" t="str">
        <f t="shared" si="14"/>
        <v/>
      </c>
    </row>
    <row r="272" spans="17:22" x14ac:dyDescent="0.15">
      <c r="Q272" s="75" t="str">
        <f t="shared" si="12"/>
        <v/>
      </c>
      <c r="T272" s="16" t="str">
        <f t="shared" si="13"/>
        <v/>
      </c>
      <c r="V272" s="16" t="str">
        <f t="shared" si="14"/>
        <v/>
      </c>
    </row>
    <row r="273" spans="17:22" x14ac:dyDescent="0.15">
      <c r="Q273" s="75" t="str">
        <f t="shared" si="12"/>
        <v/>
      </c>
      <c r="T273" s="16" t="str">
        <f t="shared" si="13"/>
        <v/>
      </c>
      <c r="V273" s="16" t="str">
        <f t="shared" si="14"/>
        <v/>
      </c>
    </row>
    <row r="274" spans="17:22" x14ac:dyDescent="0.15">
      <c r="Q274" s="75" t="str">
        <f t="shared" si="12"/>
        <v/>
      </c>
      <c r="T274" s="16" t="str">
        <f t="shared" si="13"/>
        <v/>
      </c>
      <c r="V274" s="16" t="str">
        <f t="shared" si="14"/>
        <v/>
      </c>
    </row>
    <row r="275" spans="17:22" x14ac:dyDescent="0.15">
      <c r="Q275" s="75" t="str">
        <f t="shared" si="12"/>
        <v/>
      </c>
      <c r="T275" s="16" t="str">
        <f t="shared" si="13"/>
        <v/>
      </c>
      <c r="V275" s="16" t="str">
        <f t="shared" si="14"/>
        <v/>
      </c>
    </row>
    <row r="276" spans="17:22" x14ac:dyDescent="0.15">
      <c r="Q276" s="75" t="str">
        <f t="shared" si="12"/>
        <v/>
      </c>
      <c r="T276" s="16" t="str">
        <f t="shared" si="13"/>
        <v/>
      </c>
      <c r="V276" s="16" t="str">
        <f t="shared" si="14"/>
        <v/>
      </c>
    </row>
    <row r="277" spans="17:22" x14ac:dyDescent="0.15">
      <c r="Q277" s="75" t="str">
        <f t="shared" si="12"/>
        <v/>
      </c>
      <c r="T277" s="16" t="str">
        <f t="shared" si="13"/>
        <v/>
      </c>
      <c r="V277" s="16" t="str">
        <f t="shared" si="14"/>
        <v/>
      </c>
    </row>
    <row r="278" spans="17:22" x14ac:dyDescent="0.15">
      <c r="Q278" s="75" t="str">
        <f t="shared" si="12"/>
        <v/>
      </c>
      <c r="T278" s="16" t="str">
        <f t="shared" si="13"/>
        <v/>
      </c>
      <c r="V278" s="16" t="str">
        <f t="shared" si="14"/>
        <v/>
      </c>
    </row>
    <row r="279" spans="17:22" x14ac:dyDescent="0.15">
      <c r="Q279" s="75" t="str">
        <f t="shared" si="12"/>
        <v/>
      </c>
      <c r="T279" s="16" t="str">
        <f t="shared" si="13"/>
        <v/>
      </c>
      <c r="V279" s="16" t="str">
        <f t="shared" si="14"/>
        <v/>
      </c>
    </row>
    <row r="280" spans="17:22" x14ac:dyDescent="0.15">
      <c r="Q280" s="75" t="str">
        <f t="shared" si="12"/>
        <v/>
      </c>
      <c r="T280" s="16" t="str">
        <f t="shared" si="13"/>
        <v/>
      </c>
      <c r="V280" s="16" t="str">
        <f t="shared" si="14"/>
        <v/>
      </c>
    </row>
    <row r="281" spans="17:22" x14ac:dyDescent="0.15">
      <c r="Q281" s="75" t="str">
        <f t="shared" si="12"/>
        <v/>
      </c>
      <c r="T281" s="16" t="str">
        <f t="shared" si="13"/>
        <v/>
      </c>
      <c r="V281" s="16" t="str">
        <f t="shared" si="14"/>
        <v/>
      </c>
    </row>
    <row r="282" spans="17:22" x14ac:dyDescent="0.15">
      <c r="Q282" s="75" t="str">
        <f t="shared" si="12"/>
        <v/>
      </c>
      <c r="T282" s="16" t="str">
        <f t="shared" si="13"/>
        <v/>
      </c>
      <c r="V282" s="16" t="str">
        <f t="shared" si="14"/>
        <v/>
      </c>
    </row>
    <row r="283" spans="17:22" x14ac:dyDescent="0.15">
      <c r="Q283" s="75" t="str">
        <f t="shared" si="12"/>
        <v/>
      </c>
      <c r="T283" s="16" t="str">
        <f t="shared" si="13"/>
        <v/>
      </c>
      <c r="V283" s="16" t="str">
        <f t="shared" si="14"/>
        <v/>
      </c>
    </row>
    <row r="284" spans="17:22" x14ac:dyDescent="0.15">
      <c r="Q284" s="75" t="str">
        <f t="shared" si="12"/>
        <v/>
      </c>
      <c r="T284" s="16" t="str">
        <f t="shared" si="13"/>
        <v/>
      </c>
      <c r="V284" s="16" t="str">
        <f t="shared" si="14"/>
        <v/>
      </c>
    </row>
    <row r="285" spans="17:22" x14ac:dyDescent="0.15">
      <c r="Q285" s="75" t="str">
        <f t="shared" si="12"/>
        <v/>
      </c>
      <c r="T285" s="16" t="str">
        <f t="shared" si="13"/>
        <v/>
      </c>
      <c r="V285" s="16" t="str">
        <f t="shared" si="14"/>
        <v/>
      </c>
    </row>
    <row r="286" spans="17:22" x14ac:dyDescent="0.15">
      <c r="Q286" s="75" t="str">
        <f t="shared" si="12"/>
        <v/>
      </c>
      <c r="T286" s="16" t="str">
        <f t="shared" si="13"/>
        <v/>
      </c>
      <c r="V286" s="16" t="str">
        <f t="shared" si="14"/>
        <v/>
      </c>
    </row>
    <row r="287" spans="17:22" x14ac:dyDescent="0.15">
      <c r="Q287" s="75" t="str">
        <f t="shared" si="12"/>
        <v/>
      </c>
      <c r="T287" s="16" t="str">
        <f t="shared" si="13"/>
        <v/>
      </c>
      <c r="V287" s="16" t="str">
        <f t="shared" si="14"/>
        <v/>
      </c>
    </row>
    <row r="288" spans="17:22" x14ac:dyDescent="0.15">
      <c r="Q288" s="75" t="str">
        <f t="shared" si="12"/>
        <v/>
      </c>
      <c r="T288" s="16" t="str">
        <f t="shared" si="13"/>
        <v/>
      </c>
      <c r="V288" s="16" t="str">
        <f t="shared" si="14"/>
        <v/>
      </c>
    </row>
    <row r="289" spans="17:22" x14ac:dyDescent="0.15">
      <c r="Q289" s="75" t="str">
        <f t="shared" si="12"/>
        <v/>
      </c>
      <c r="T289" s="16" t="str">
        <f t="shared" si="13"/>
        <v/>
      </c>
      <c r="V289" s="16" t="str">
        <f t="shared" si="14"/>
        <v/>
      </c>
    </row>
    <row r="290" spans="17:22" x14ac:dyDescent="0.15">
      <c r="Q290" s="75" t="str">
        <f t="shared" si="12"/>
        <v/>
      </c>
      <c r="T290" s="16" t="str">
        <f t="shared" si="13"/>
        <v/>
      </c>
      <c r="V290" s="16" t="str">
        <f t="shared" si="14"/>
        <v/>
      </c>
    </row>
    <row r="291" spans="17:22" x14ac:dyDescent="0.15">
      <c r="Q291" s="75" t="str">
        <f t="shared" si="12"/>
        <v/>
      </c>
      <c r="T291" s="16" t="str">
        <f t="shared" si="13"/>
        <v/>
      </c>
      <c r="V291" s="16" t="str">
        <f t="shared" si="14"/>
        <v/>
      </c>
    </row>
    <row r="292" spans="17:22" x14ac:dyDescent="0.15">
      <c r="Q292" s="75" t="str">
        <f t="shared" si="12"/>
        <v/>
      </c>
      <c r="T292" s="16" t="str">
        <f t="shared" si="13"/>
        <v/>
      </c>
      <c r="V292" s="16" t="str">
        <f t="shared" si="14"/>
        <v/>
      </c>
    </row>
    <row r="293" spans="17:22" x14ac:dyDescent="0.15">
      <c r="Q293" s="75" t="str">
        <f t="shared" si="12"/>
        <v/>
      </c>
      <c r="T293" s="16" t="str">
        <f t="shared" si="13"/>
        <v/>
      </c>
      <c r="V293" s="16" t="str">
        <f t="shared" si="14"/>
        <v/>
      </c>
    </row>
    <row r="294" spans="17:22" x14ac:dyDescent="0.15">
      <c r="Q294" s="75" t="str">
        <f t="shared" si="12"/>
        <v/>
      </c>
      <c r="T294" s="16" t="str">
        <f t="shared" si="13"/>
        <v/>
      </c>
      <c r="V294" s="16" t="str">
        <f t="shared" si="14"/>
        <v/>
      </c>
    </row>
    <row r="295" spans="17:22" x14ac:dyDescent="0.15">
      <c r="Q295" s="75" t="str">
        <f t="shared" si="12"/>
        <v/>
      </c>
      <c r="T295" s="16" t="str">
        <f t="shared" si="13"/>
        <v/>
      </c>
      <c r="V295" s="16" t="str">
        <f t="shared" si="14"/>
        <v/>
      </c>
    </row>
    <row r="296" spans="17:22" x14ac:dyDescent="0.15">
      <c r="Q296" s="75" t="str">
        <f t="shared" si="12"/>
        <v/>
      </c>
      <c r="T296" s="16" t="str">
        <f t="shared" si="13"/>
        <v/>
      </c>
      <c r="V296" s="16" t="str">
        <f t="shared" si="14"/>
        <v/>
      </c>
    </row>
    <row r="297" spans="17:22" x14ac:dyDescent="0.15">
      <c r="Q297" s="75" t="str">
        <f t="shared" si="12"/>
        <v/>
      </c>
      <c r="T297" s="16" t="str">
        <f t="shared" si="13"/>
        <v/>
      </c>
      <c r="V297" s="16" t="str">
        <f t="shared" si="14"/>
        <v/>
      </c>
    </row>
    <row r="298" spans="17:22" x14ac:dyDescent="0.15">
      <c r="Q298" s="75" t="str">
        <f t="shared" si="12"/>
        <v/>
      </c>
      <c r="T298" s="16" t="str">
        <f t="shared" si="13"/>
        <v/>
      </c>
      <c r="V298" s="16" t="str">
        <f t="shared" si="14"/>
        <v/>
      </c>
    </row>
    <row r="299" spans="17:22" x14ac:dyDescent="0.15">
      <c r="Q299" s="75" t="str">
        <f t="shared" si="12"/>
        <v/>
      </c>
      <c r="T299" s="16" t="str">
        <f t="shared" si="13"/>
        <v/>
      </c>
      <c r="V299" s="16" t="str">
        <f t="shared" si="14"/>
        <v/>
      </c>
    </row>
    <row r="300" spans="17:22" x14ac:dyDescent="0.15">
      <c r="Q300" s="75" t="str">
        <f t="shared" si="12"/>
        <v/>
      </c>
      <c r="T300" s="16" t="str">
        <f t="shared" si="13"/>
        <v/>
      </c>
      <c r="V300" s="16" t="str">
        <f t="shared" si="14"/>
        <v/>
      </c>
    </row>
    <row r="301" spans="17:22" x14ac:dyDescent="0.15">
      <c r="Q301" s="75" t="str">
        <f t="shared" si="12"/>
        <v/>
      </c>
      <c r="T301" s="16" t="str">
        <f t="shared" si="13"/>
        <v/>
      </c>
      <c r="V301" s="16" t="str">
        <f t="shared" si="14"/>
        <v/>
      </c>
    </row>
    <row r="302" spans="17:22" x14ac:dyDescent="0.15">
      <c r="Q302" s="75" t="str">
        <f t="shared" si="12"/>
        <v/>
      </c>
      <c r="T302" s="16" t="str">
        <f t="shared" si="13"/>
        <v/>
      </c>
      <c r="V302" s="16" t="str">
        <f t="shared" si="14"/>
        <v/>
      </c>
    </row>
    <row r="303" spans="17:22" x14ac:dyDescent="0.15">
      <c r="Q303" s="75" t="str">
        <f t="shared" si="12"/>
        <v/>
      </c>
      <c r="T303" s="16" t="str">
        <f t="shared" si="13"/>
        <v/>
      </c>
      <c r="V303" s="16" t="str">
        <f t="shared" si="14"/>
        <v/>
      </c>
    </row>
    <row r="304" spans="17:22" x14ac:dyDescent="0.15">
      <c r="Q304" s="75" t="str">
        <f t="shared" si="12"/>
        <v/>
      </c>
      <c r="T304" s="16" t="str">
        <f t="shared" si="13"/>
        <v/>
      </c>
      <c r="V304" s="16" t="str">
        <f t="shared" si="14"/>
        <v/>
      </c>
    </row>
    <row r="305" spans="17:22" x14ac:dyDescent="0.15">
      <c r="Q305" s="75" t="str">
        <f t="shared" si="12"/>
        <v/>
      </c>
      <c r="T305" s="16" t="str">
        <f t="shared" si="13"/>
        <v/>
      </c>
      <c r="V305" s="16" t="str">
        <f t="shared" si="14"/>
        <v/>
      </c>
    </row>
    <row r="306" spans="17:22" x14ac:dyDescent="0.15">
      <c r="Q306" s="75" t="str">
        <f t="shared" si="12"/>
        <v/>
      </c>
      <c r="T306" s="16" t="str">
        <f t="shared" si="13"/>
        <v/>
      </c>
      <c r="V306" s="16" t="str">
        <f t="shared" si="14"/>
        <v/>
      </c>
    </row>
    <row r="307" spans="17:22" x14ac:dyDescent="0.15">
      <c r="Q307" s="75" t="str">
        <f t="shared" si="12"/>
        <v/>
      </c>
      <c r="T307" s="16" t="str">
        <f t="shared" si="13"/>
        <v/>
      </c>
      <c r="V307" s="16" t="str">
        <f t="shared" si="14"/>
        <v/>
      </c>
    </row>
    <row r="308" spans="17:22" x14ac:dyDescent="0.15">
      <c r="Q308" s="75" t="str">
        <f t="shared" si="12"/>
        <v/>
      </c>
      <c r="T308" s="16" t="str">
        <f t="shared" si="13"/>
        <v/>
      </c>
      <c r="V308" s="16" t="str">
        <f t="shared" si="14"/>
        <v/>
      </c>
    </row>
    <row r="309" spans="17:22" x14ac:dyDescent="0.15">
      <c r="Q309" s="75" t="str">
        <f t="shared" si="12"/>
        <v/>
      </c>
      <c r="T309" s="16" t="str">
        <f t="shared" si="13"/>
        <v/>
      </c>
      <c r="V309" s="16" t="str">
        <f t="shared" si="14"/>
        <v/>
      </c>
    </row>
    <row r="310" spans="17:22" x14ac:dyDescent="0.15">
      <c r="Q310" s="75" t="str">
        <f t="shared" si="12"/>
        <v/>
      </c>
      <c r="T310" s="16" t="str">
        <f t="shared" si="13"/>
        <v/>
      </c>
      <c r="V310" s="16" t="str">
        <f t="shared" si="14"/>
        <v/>
      </c>
    </row>
    <row r="311" spans="17:22" x14ac:dyDescent="0.15">
      <c r="Q311" s="75" t="str">
        <f t="shared" si="12"/>
        <v/>
      </c>
      <c r="T311" s="16" t="str">
        <f t="shared" si="13"/>
        <v/>
      </c>
      <c r="V311" s="16" t="str">
        <f t="shared" si="14"/>
        <v/>
      </c>
    </row>
    <row r="312" spans="17:22" x14ac:dyDescent="0.15">
      <c r="Q312" s="75" t="str">
        <f t="shared" si="12"/>
        <v/>
      </c>
      <c r="T312" s="16" t="str">
        <f t="shared" si="13"/>
        <v/>
      </c>
      <c r="V312" s="16" t="str">
        <f t="shared" si="14"/>
        <v/>
      </c>
    </row>
    <row r="313" spans="17:22" x14ac:dyDescent="0.15">
      <c r="Q313" s="75" t="str">
        <f t="shared" si="12"/>
        <v/>
      </c>
      <c r="T313" s="16" t="str">
        <f t="shared" si="13"/>
        <v/>
      </c>
      <c r="V313" s="16" t="str">
        <f t="shared" si="14"/>
        <v/>
      </c>
    </row>
    <row r="314" spans="17:22" x14ac:dyDescent="0.15">
      <c r="Q314" s="75" t="str">
        <f t="shared" si="12"/>
        <v/>
      </c>
      <c r="T314" s="16" t="str">
        <f t="shared" si="13"/>
        <v/>
      </c>
      <c r="V314" s="16" t="str">
        <f t="shared" si="14"/>
        <v/>
      </c>
    </row>
    <row r="315" spans="17:22" x14ac:dyDescent="0.15">
      <c r="Q315" s="75" t="str">
        <f t="shared" si="12"/>
        <v/>
      </c>
      <c r="T315" s="16" t="str">
        <f t="shared" si="13"/>
        <v/>
      </c>
      <c r="V315" s="16" t="str">
        <f t="shared" si="14"/>
        <v/>
      </c>
    </row>
    <row r="316" spans="17:22" x14ac:dyDescent="0.15">
      <c r="Q316" s="75" t="str">
        <f t="shared" si="12"/>
        <v/>
      </c>
      <c r="T316" s="16" t="str">
        <f t="shared" si="13"/>
        <v/>
      </c>
      <c r="V316" s="16" t="str">
        <f t="shared" si="14"/>
        <v/>
      </c>
    </row>
    <row r="317" spans="17:22" x14ac:dyDescent="0.15">
      <c r="Q317" s="75" t="str">
        <f t="shared" si="12"/>
        <v/>
      </c>
      <c r="T317" s="16" t="str">
        <f t="shared" si="13"/>
        <v/>
      </c>
      <c r="V317" s="16" t="str">
        <f t="shared" si="14"/>
        <v/>
      </c>
    </row>
    <row r="318" spans="17:22" x14ac:dyDescent="0.15">
      <c r="Q318" s="75" t="str">
        <f t="shared" si="12"/>
        <v/>
      </c>
      <c r="T318" s="16" t="str">
        <f t="shared" si="13"/>
        <v/>
      </c>
      <c r="V318" s="16" t="str">
        <f t="shared" si="14"/>
        <v/>
      </c>
    </row>
    <row r="319" spans="17:22" x14ac:dyDescent="0.15">
      <c r="Q319" s="75" t="str">
        <f t="shared" si="12"/>
        <v/>
      </c>
      <c r="T319" s="16" t="str">
        <f t="shared" si="13"/>
        <v/>
      </c>
      <c r="V319" s="16" t="str">
        <f t="shared" si="14"/>
        <v/>
      </c>
    </row>
    <row r="320" spans="17:22" x14ac:dyDescent="0.15">
      <c r="Q320" s="75" t="str">
        <f t="shared" si="12"/>
        <v/>
      </c>
      <c r="T320" s="16" t="str">
        <f t="shared" si="13"/>
        <v/>
      </c>
      <c r="V320" s="16" t="str">
        <f t="shared" si="14"/>
        <v/>
      </c>
    </row>
    <row r="321" spans="17:22" x14ac:dyDescent="0.15">
      <c r="Q321" s="75" t="str">
        <f t="shared" si="12"/>
        <v/>
      </c>
      <c r="T321" s="16" t="str">
        <f t="shared" si="13"/>
        <v/>
      </c>
      <c r="V321" s="16" t="str">
        <f t="shared" si="14"/>
        <v/>
      </c>
    </row>
    <row r="322" spans="17:22" x14ac:dyDescent="0.15">
      <c r="Q322" s="75" t="str">
        <f t="shared" ref="Q322:Q385" si="15">IF(OR(O322="",P322=""),"",AVERAGE(O322,P322))</f>
        <v/>
      </c>
      <c r="T322" s="16" t="str">
        <f t="shared" ref="T322:T385" si="16">IF(H322="","",IF(OR(H322="GREEN",H322="GK"),IF(S322&gt;=$AX$2,VLOOKUP(S322,$AX$2:$AY$10,2,1),""),IF(S322&gt;=$AZ$2,VLOOKUP(S322,$AZ$2:$BA$10,2,1),"")))</f>
        <v/>
      </c>
      <c r="V322" s="16" t="str">
        <f t="shared" ref="V322:V385" si="17">IF(OR(N322="",U322="",T322=""),"",U322/N322*T322)</f>
        <v/>
      </c>
    </row>
    <row r="323" spans="17:22" x14ac:dyDescent="0.15">
      <c r="Q323" s="75" t="str">
        <f t="shared" si="15"/>
        <v/>
      </c>
      <c r="T323" s="16" t="str">
        <f t="shared" si="16"/>
        <v/>
      </c>
      <c r="V323" s="16" t="str">
        <f t="shared" si="17"/>
        <v/>
      </c>
    </row>
    <row r="324" spans="17:22" x14ac:dyDescent="0.15">
      <c r="Q324" s="75" t="str">
        <f t="shared" si="15"/>
        <v/>
      </c>
      <c r="T324" s="16" t="str">
        <f t="shared" si="16"/>
        <v/>
      </c>
      <c r="V324" s="16" t="str">
        <f t="shared" si="17"/>
        <v/>
      </c>
    </row>
    <row r="325" spans="17:22" x14ac:dyDescent="0.15">
      <c r="Q325" s="75" t="str">
        <f t="shared" si="15"/>
        <v/>
      </c>
      <c r="T325" s="16" t="str">
        <f t="shared" si="16"/>
        <v/>
      </c>
      <c r="V325" s="16" t="str">
        <f t="shared" si="17"/>
        <v/>
      </c>
    </row>
    <row r="326" spans="17:22" x14ac:dyDescent="0.15">
      <c r="Q326" s="75" t="str">
        <f t="shared" si="15"/>
        <v/>
      </c>
      <c r="T326" s="16" t="str">
        <f t="shared" si="16"/>
        <v/>
      </c>
      <c r="V326" s="16" t="str">
        <f t="shared" si="17"/>
        <v/>
      </c>
    </row>
    <row r="327" spans="17:22" x14ac:dyDescent="0.15">
      <c r="Q327" s="75" t="str">
        <f t="shared" si="15"/>
        <v/>
      </c>
      <c r="T327" s="16" t="str">
        <f t="shared" si="16"/>
        <v/>
      </c>
      <c r="V327" s="16" t="str">
        <f t="shared" si="17"/>
        <v/>
      </c>
    </row>
    <row r="328" spans="17:22" x14ac:dyDescent="0.15">
      <c r="Q328" s="75" t="str">
        <f t="shared" si="15"/>
        <v/>
      </c>
      <c r="T328" s="16" t="str">
        <f t="shared" si="16"/>
        <v/>
      </c>
      <c r="V328" s="16" t="str">
        <f t="shared" si="17"/>
        <v/>
      </c>
    </row>
    <row r="329" spans="17:22" x14ac:dyDescent="0.15">
      <c r="Q329" s="75" t="str">
        <f t="shared" si="15"/>
        <v/>
      </c>
      <c r="T329" s="16" t="str">
        <f t="shared" si="16"/>
        <v/>
      </c>
      <c r="V329" s="16" t="str">
        <f t="shared" si="17"/>
        <v/>
      </c>
    </row>
    <row r="330" spans="17:22" x14ac:dyDescent="0.15">
      <c r="Q330" s="75" t="str">
        <f t="shared" si="15"/>
        <v/>
      </c>
      <c r="T330" s="16" t="str">
        <f t="shared" si="16"/>
        <v/>
      </c>
      <c r="V330" s="16" t="str">
        <f t="shared" si="17"/>
        <v/>
      </c>
    </row>
    <row r="331" spans="17:22" x14ac:dyDescent="0.15">
      <c r="Q331" s="75" t="str">
        <f t="shared" si="15"/>
        <v/>
      </c>
      <c r="T331" s="16" t="str">
        <f t="shared" si="16"/>
        <v/>
      </c>
      <c r="V331" s="16" t="str">
        <f t="shared" si="17"/>
        <v/>
      </c>
    </row>
    <row r="332" spans="17:22" x14ac:dyDescent="0.15">
      <c r="Q332" s="75" t="str">
        <f t="shared" si="15"/>
        <v/>
      </c>
      <c r="T332" s="16" t="str">
        <f t="shared" si="16"/>
        <v/>
      </c>
      <c r="V332" s="16" t="str">
        <f t="shared" si="17"/>
        <v/>
      </c>
    </row>
    <row r="333" spans="17:22" x14ac:dyDescent="0.15">
      <c r="Q333" s="75" t="str">
        <f t="shared" si="15"/>
        <v/>
      </c>
      <c r="T333" s="16" t="str">
        <f t="shared" si="16"/>
        <v/>
      </c>
      <c r="V333" s="16" t="str">
        <f t="shared" si="17"/>
        <v/>
      </c>
    </row>
    <row r="334" spans="17:22" x14ac:dyDescent="0.15">
      <c r="Q334" s="75" t="str">
        <f t="shared" si="15"/>
        <v/>
      </c>
      <c r="T334" s="16" t="str">
        <f t="shared" si="16"/>
        <v/>
      </c>
      <c r="V334" s="16" t="str">
        <f t="shared" si="17"/>
        <v/>
      </c>
    </row>
    <row r="335" spans="17:22" x14ac:dyDescent="0.15">
      <c r="Q335" s="75" t="str">
        <f t="shared" si="15"/>
        <v/>
      </c>
      <c r="T335" s="16" t="str">
        <f t="shared" si="16"/>
        <v/>
      </c>
      <c r="V335" s="16" t="str">
        <f t="shared" si="17"/>
        <v/>
      </c>
    </row>
    <row r="336" spans="17:22" x14ac:dyDescent="0.15">
      <c r="Q336" s="75" t="str">
        <f t="shared" si="15"/>
        <v/>
      </c>
      <c r="T336" s="16" t="str">
        <f t="shared" si="16"/>
        <v/>
      </c>
      <c r="V336" s="16" t="str">
        <f t="shared" si="17"/>
        <v/>
      </c>
    </row>
    <row r="337" spans="17:22" x14ac:dyDescent="0.15">
      <c r="Q337" s="75" t="str">
        <f t="shared" si="15"/>
        <v/>
      </c>
      <c r="T337" s="16" t="str">
        <f t="shared" si="16"/>
        <v/>
      </c>
      <c r="V337" s="16" t="str">
        <f t="shared" si="17"/>
        <v/>
      </c>
    </row>
    <row r="338" spans="17:22" x14ac:dyDescent="0.15">
      <c r="Q338" s="75" t="str">
        <f t="shared" si="15"/>
        <v/>
      </c>
      <c r="T338" s="16" t="str">
        <f t="shared" si="16"/>
        <v/>
      </c>
      <c r="V338" s="16" t="str">
        <f t="shared" si="17"/>
        <v/>
      </c>
    </row>
    <row r="339" spans="17:22" x14ac:dyDescent="0.15">
      <c r="Q339" s="75" t="str">
        <f t="shared" si="15"/>
        <v/>
      </c>
      <c r="T339" s="16" t="str">
        <f t="shared" si="16"/>
        <v/>
      </c>
      <c r="V339" s="16" t="str">
        <f t="shared" si="17"/>
        <v/>
      </c>
    </row>
    <row r="340" spans="17:22" x14ac:dyDescent="0.15">
      <c r="Q340" s="75" t="str">
        <f t="shared" si="15"/>
        <v/>
      </c>
      <c r="T340" s="16" t="str">
        <f t="shared" si="16"/>
        <v/>
      </c>
      <c r="V340" s="16" t="str">
        <f t="shared" si="17"/>
        <v/>
      </c>
    </row>
    <row r="341" spans="17:22" x14ac:dyDescent="0.15">
      <c r="Q341" s="75" t="str">
        <f t="shared" si="15"/>
        <v/>
      </c>
      <c r="T341" s="16" t="str">
        <f t="shared" si="16"/>
        <v/>
      </c>
      <c r="V341" s="16" t="str">
        <f t="shared" si="17"/>
        <v/>
      </c>
    </row>
    <row r="342" spans="17:22" x14ac:dyDescent="0.15">
      <c r="Q342" s="75" t="str">
        <f t="shared" si="15"/>
        <v/>
      </c>
      <c r="T342" s="16" t="str">
        <f t="shared" si="16"/>
        <v/>
      </c>
      <c r="V342" s="16" t="str">
        <f t="shared" si="17"/>
        <v/>
      </c>
    </row>
    <row r="343" spans="17:22" x14ac:dyDescent="0.15">
      <c r="Q343" s="75" t="str">
        <f t="shared" si="15"/>
        <v/>
      </c>
      <c r="T343" s="16" t="str">
        <f t="shared" si="16"/>
        <v/>
      </c>
      <c r="V343" s="16" t="str">
        <f t="shared" si="17"/>
        <v/>
      </c>
    </row>
    <row r="344" spans="17:22" x14ac:dyDescent="0.15">
      <c r="Q344" s="75" t="str">
        <f t="shared" si="15"/>
        <v/>
      </c>
      <c r="T344" s="16" t="str">
        <f t="shared" si="16"/>
        <v/>
      </c>
      <c r="V344" s="16" t="str">
        <f t="shared" si="17"/>
        <v/>
      </c>
    </row>
    <row r="345" spans="17:22" x14ac:dyDescent="0.15">
      <c r="Q345" s="75" t="str">
        <f t="shared" si="15"/>
        <v/>
      </c>
      <c r="T345" s="16" t="str">
        <f t="shared" si="16"/>
        <v/>
      </c>
      <c r="V345" s="16" t="str">
        <f t="shared" si="17"/>
        <v/>
      </c>
    </row>
    <row r="346" spans="17:22" x14ac:dyDescent="0.15">
      <c r="Q346" s="75" t="str">
        <f t="shared" si="15"/>
        <v/>
      </c>
      <c r="T346" s="16" t="str">
        <f t="shared" si="16"/>
        <v/>
      </c>
      <c r="V346" s="16" t="str">
        <f t="shared" si="17"/>
        <v/>
      </c>
    </row>
    <row r="347" spans="17:22" x14ac:dyDescent="0.15">
      <c r="Q347" s="75" t="str">
        <f t="shared" si="15"/>
        <v/>
      </c>
      <c r="T347" s="16" t="str">
        <f t="shared" si="16"/>
        <v/>
      </c>
      <c r="V347" s="16" t="str">
        <f t="shared" si="17"/>
        <v/>
      </c>
    </row>
    <row r="348" spans="17:22" x14ac:dyDescent="0.15">
      <c r="Q348" s="75" t="str">
        <f t="shared" si="15"/>
        <v/>
      </c>
      <c r="T348" s="16" t="str">
        <f t="shared" si="16"/>
        <v/>
      </c>
      <c r="V348" s="16" t="str">
        <f t="shared" si="17"/>
        <v/>
      </c>
    </row>
    <row r="349" spans="17:22" x14ac:dyDescent="0.15">
      <c r="Q349" s="75" t="str">
        <f t="shared" si="15"/>
        <v/>
      </c>
      <c r="T349" s="16" t="str">
        <f t="shared" si="16"/>
        <v/>
      </c>
      <c r="V349" s="16" t="str">
        <f t="shared" si="17"/>
        <v/>
      </c>
    </row>
    <row r="350" spans="17:22" x14ac:dyDescent="0.15">
      <c r="Q350" s="75" t="str">
        <f t="shared" si="15"/>
        <v/>
      </c>
      <c r="T350" s="16" t="str">
        <f t="shared" si="16"/>
        <v/>
      </c>
      <c r="V350" s="16" t="str">
        <f t="shared" si="17"/>
        <v/>
      </c>
    </row>
    <row r="351" spans="17:22" x14ac:dyDescent="0.15">
      <c r="Q351" s="75" t="str">
        <f t="shared" si="15"/>
        <v/>
      </c>
      <c r="T351" s="16" t="str">
        <f t="shared" si="16"/>
        <v/>
      </c>
      <c r="V351" s="16" t="str">
        <f t="shared" si="17"/>
        <v/>
      </c>
    </row>
    <row r="352" spans="17:22" x14ac:dyDescent="0.15">
      <c r="Q352" s="75" t="str">
        <f t="shared" si="15"/>
        <v/>
      </c>
      <c r="T352" s="16" t="str">
        <f t="shared" si="16"/>
        <v/>
      </c>
      <c r="V352" s="16" t="str">
        <f t="shared" si="17"/>
        <v/>
      </c>
    </row>
    <row r="353" spans="17:22" x14ac:dyDescent="0.15">
      <c r="Q353" s="75" t="str">
        <f t="shared" si="15"/>
        <v/>
      </c>
      <c r="T353" s="16" t="str">
        <f t="shared" si="16"/>
        <v/>
      </c>
      <c r="V353" s="16" t="str">
        <f t="shared" si="17"/>
        <v/>
      </c>
    </row>
    <row r="354" spans="17:22" x14ac:dyDescent="0.15">
      <c r="Q354" s="75" t="str">
        <f t="shared" si="15"/>
        <v/>
      </c>
      <c r="T354" s="16" t="str">
        <f t="shared" si="16"/>
        <v/>
      </c>
      <c r="V354" s="16" t="str">
        <f t="shared" si="17"/>
        <v/>
      </c>
    </row>
    <row r="355" spans="17:22" x14ac:dyDescent="0.15">
      <c r="Q355" s="75" t="str">
        <f t="shared" si="15"/>
        <v/>
      </c>
      <c r="T355" s="16" t="str">
        <f t="shared" si="16"/>
        <v/>
      </c>
      <c r="V355" s="16" t="str">
        <f t="shared" si="17"/>
        <v/>
      </c>
    </row>
    <row r="356" spans="17:22" x14ac:dyDescent="0.15">
      <c r="Q356" s="75" t="str">
        <f t="shared" si="15"/>
        <v/>
      </c>
      <c r="T356" s="16" t="str">
        <f t="shared" si="16"/>
        <v/>
      </c>
      <c r="V356" s="16" t="str">
        <f t="shared" si="17"/>
        <v/>
      </c>
    </row>
    <row r="357" spans="17:22" x14ac:dyDescent="0.15">
      <c r="Q357" s="75" t="str">
        <f t="shared" si="15"/>
        <v/>
      </c>
      <c r="T357" s="16" t="str">
        <f t="shared" si="16"/>
        <v/>
      </c>
      <c r="V357" s="16" t="str">
        <f t="shared" si="17"/>
        <v/>
      </c>
    </row>
    <row r="358" spans="17:22" x14ac:dyDescent="0.15">
      <c r="Q358" s="75" t="str">
        <f t="shared" si="15"/>
        <v/>
      </c>
      <c r="T358" s="16" t="str">
        <f t="shared" si="16"/>
        <v/>
      </c>
      <c r="V358" s="16" t="str">
        <f t="shared" si="17"/>
        <v/>
      </c>
    </row>
    <row r="359" spans="17:22" x14ac:dyDescent="0.15">
      <c r="Q359" s="75" t="str">
        <f t="shared" si="15"/>
        <v/>
      </c>
      <c r="T359" s="16" t="str">
        <f t="shared" si="16"/>
        <v/>
      </c>
      <c r="V359" s="16" t="str">
        <f t="shared" si="17"/>
        <v/>
      </c>
    </row>
    <row r="360" spans="17:22" x14ac:dyDescent="0.15">
      <c r="Q360" s="75" t="str">
        <f t="shared" si="15"/>
        <v/>
      </c>
      <c r="T360" s="16" t="str">
        <f t="shared" si="16"/>
        <v/>
      </c>
      <c r="V360" s="16" t="str">
        <f t="shared" si="17"/>
        <v/>
      </c>
    </row>
    <row r="361" spans="17:22" x14ac:dyDescent="0.15">
      <c r="Q361" s="75" t="str">
        <f t="shared" si="15"/>
        <v/>
      </c>
      <c r="T361" s="16" t="str">
        <f t="shared" si="16"/>
        <v/>
      </c>
      <c r="V361" s="16" t="str">
        <f t="shared" si="17"/>
        <v/>
      </c>
    </row>
    <row r="362" spans="17:22" x14ac:dyDescent="0.15">
      <c r="Q362" s="75" t="str">
        <f t="shared" si="15"/>
        <v/>
      </c>
      <c r="T362" s="16" t="str">
        <f t="shared" si="16"/>
        <v/>
      </c>
      <c r="V362" s="16" t="str">
        <f t="shared" si="17"/>
        <v/>
      </c>
    </row>
    <row r="363" spans="17:22" x14ac:dyDescent="0.15">
      <c r="Q363" s="75" t="str">
        <f t="shared" si="15"/>
        <v/>
      </c>
      <c r="T363" s="16" t="str">
        <f t="shared" si="16"/>
        <v/>
      </c>
      <c r="V363" s="16" t="str">
        <f t="shared" si="17"/>
        <v/>
      </c>
    </row>
    <row r="364" spans="17:22" x14ac:dyDescent="0.15">
      <c r="Q364" s="75" t="str">
        <f t="shared" si="15"/>
        <v/>
      </c>
      <c r="T364" s="16" t="str">
        <f t="shared" si="16"/>
        <v/>
      </c>
      <c r="V364" s="16" t="str">
        <f t="shared" si="17"/>
        <v/>
      </c>
    </row>
    <row r="365" spans="17:22" x14ac:dyDescent="0.15">
      <c r="Q365" s="75" t="str">
        <f t="shared" si="15"/>
        <v/>
      </c>
      <c r="T365" s="16" t="str">
        <f t="shared" si="16"/>
        <v/>
      </c>
      <c r="V365" s="16" t="str">
        <f t="shared" si="17"/>
        <v/>
      </c>
    </row>
    <row r="366" spans="17:22" x14ac:dyDescent="0.15">
      <c r="Q366" s="75" t="str">
        <f t="shared" si="15"/>
        <v/>
      </c>
      <c r="T366" s="16" t="str">
        <f t="shared" si="16"/>
        <v/>
      </c>
      <c r="V366" s="16" t="str">
        <f t="shared" si="17"/>
        <v/>
      </c>
    </row>
    <row r="367" spans="17:22" x14ac:dyDescent="0.15">
      <c r="Q367" s="75" t="str">
        <f t="shared" si="15"/>
        <v/>
      </c>
      <c r="T367" s="16" t="str">
        <f t="shared" si="16"/>
        <v/>
      </c>
      <c r="V367" s="16" t="str">
        <f t="shared" si="17"/>
        <v/>
      </c>
    </row>
    <row r="368" spans="17:22" x14ac:dyDescent="0.15">
      <c r="Q368" s="75" t="str">
        <f t="shared" si="15"/>
        <v/>
      </c>
      <c r="T368" s="16" t="str">
        <f t="shared" si="16"/>
        <v/>
      </c>
      <c r="V368" s="16" t="str">
        <f t="shared" si="17"/>
        <v/>
      </c>
    </row>
    <row r="369" spans="17:22" x14ac:dyDescent="0.15">
      <c r="Q369" s="75" t="str">
        <f t="shared" si="15"/>
        <v/>
      </c>
      <c r="T369" s="16" t="str">
        <f t="shared" si="16"/>
        <v/>
      </c>
      <c r="V369" s="16" t="str">
        <f t="shared" si="17"/>
        <v/>
      </c>
    </row>
    <row r="370" spans="17:22" x14ac:dyDescent="0.15">
      <c r="Q370" s="75" t="str">
        <f t="shared" si="15"/>
        <v/>
      </c>
      <c r="T370" s="16" t="str">
        <f t="shared" si="16"/>
        <v/>
      </c>
      <c r="V370" s="16" t="str">
        <f t="shared" si="17"/>
        <v/>
      </c>
    </row>
    <row r="371" spans="17:22" x14ac:dyDescent="0.15">
      <c r="Q371" s="75" t="str">
        <f t="shared" si="15"/>
        <v/>
      </c>
      <c r="T371" s="16" t="str">
        <f t="shared" si="16"/>
        <v/>
      </c>
      <c r="V371" s="16" t="str">
        <f t="shared" si="17"/>
        <v/>
      </c>
    </row>
    <row r="372" spans="17:22" x14ac:dyDescent="0.15">
      <c r="Q372" s="75" t="str">
        <f t="shared" si="15"/>
        <v/>
      </c>
      <c r="T372" s="16" t="str">
        <f t="shared" si="16"/>
        <v/>
      </c>
      <c r="V372" s="16" t="str">
        <f t="shared" si="17"/>
        <v/>
      </c>
    </row>
    <row r="373" spans="17:22" x14ac:dyDescent="0.15">
      <c r="Q373" s="75" t="str">
        <f t="shared" si="15"/>
        <v/>
      </c>
      <c r="T373" s="16" t="str">
        <f t="shared" si="16"/>
        <v/>
      </c>
      <c r="V373" s="16" t="str">
        <f t="shared" si="17"/>
        <v/>
      </c>
    </row>
    <row r="374" spans="17:22" x14ac:dyDescent="0.15">
      <c r="Q374" s="75" t="str">
        <f t="shared" si="15"/>
        <v/>
      </c>
      <c r="T374" s="16" t="str">
        <f t="shared" si="16"/>
        <v/>
      </c>
      <c r="V374" s="16" t="str">
        <f t="shared" si="17"/>
        <v/>
      </c>
    </row>
    <row r="375" spans="17:22" x14ac:dyDescent="0.15">
      <c r="Q375" s="75" t="str">
        <f t="shared" si="15"/>
        <v/>
      </c>
      <c r="T375" s="16" t="str">
        <f t="shared" si="16"/>
        <v/>
      </c>
      <c r="V375" s="16" t="str">
        <f t="shared" si="17"/>
        <v/>
      </c>
    </row>
    <row r="376" spans="17:22" x14ac:dyDescent="0.15">
      <c r="Q376" s="75" t="str">
        <f t="shared" si="15"/>
        <v/>
      </c>
      <c r="T376" s="16" t="str">
        <f t="shared" si="16"/>
        <v/>
      </c>
      <c r="V376" s="16" t="str">
        <f t="shared" si="17"/>
        <v/>
      </c>
    </row>
    <row r="377" spans="17:22" x14ac:dyDescent="0.15">
      <c r="Q377" s="75" t="str">
        <f t="shared" si="15"/>
        <v/>
      </c>
      <c r="T377" s="16" t="str">
        <f t="shared" si="16"/>
        <v/>
      </c>
      <c r="V377" s="16" t="str">
        <f t="shared" si="17"/>
        <v/>
      </c>
    </row>
    <row r="378" spans="17:22" x14ac:dyDescent="0.15">
      <c r="Q378" s="75" t="str">
        <f t="shared" si="15"/>
        <v/>
      </c>
      <c r="T378" s="16" t="str">
        <f t="shared" si="16"/>
        <v/>
      </c>
      <c r="V378" s="16" t="str">
        <f t="shared" si="17"/>
        <v/>
      </c>
    </row>
    <row r="379" spans="17:22" x14ac:dyDescent="0.15">
      <c r="Q379" s="75" t="str">
        <f t="shared" si="15"/>
        <v/>
      </c>
      <c r="T379" s="16" t="str">
        <f t="shared" si="16"/>
        <v/>
      </c>
      <c r="V379" s="16" t="str">
        <f t="shared" si="17"/>
        <v/>
      </c>
    </row>
    <row r="380" spans="17:22" x14ac:dyDescent="0.15">
      <c r="Q380" s="75" t="str">
        <f t="shared" si="15"/>
        <v/>
      </c>
      <c r="T380" s="16" t="str">
        <f t="shared" si="16"/>
        <v/>
      </c>
      <c r="V380" s="16" t="str">
        <f t="shared" si="17"/>
        <v/>
      </c>
    </row>
    <row r="381" spans="17:22" x14ac:dyDescent="0.15">
      <c r="Q381" s="75" t="str">
        <f t="shared" si="15"/>
        <v/>
      </c>
      <c r="T381" s="16" t="str">
        <f t="shared" si="16"/>
        <v/>
      </c>
      <c r="V381" s="16" t="str">
        <f t="shared" si="17"/>
        <v/>
      </c>
    </row>
    <row r="382" spans="17:22" x14ac:dyDescent="0.15">
      <c r="Q382" s="75" t="str">
        <f t="shared" si="15"/>
        <v/>
      </c>
      <c r="T382" s="16" t="str">
        <f t="shared" si="16"/>
        <v/>
      </c>
      <c r="V382" s="16" t="str">
        <f t="shared" si="17"/>
        <v/>
      </c>
    </row>
    <row r="383" spans="17:22" x14ac:dyDescent="0.15">
      <c r="Q383" s="75" t="str">
        <f t="shared" si="15"/>
        <v/>
      </c>
      <c r="T383" s="16" t="str">
        <f t="shared" si="16"/>
        <v/>
      </c>
      <c r="V383" s="16" t="str">
        <f t="shared" si="17"/>
        <v/>
      </c>
    </row>
    <row r="384" spans="17:22" x14ac:dyDescent="0.15">
      <c r="Q384" s="75" t="str">
        <f t="shared" si="15"/>
        <v/>
      </c>
      <c r="T384" s="16" t="str">
        <f t="shared" si="16"/>
        <v/>
      </c>
      <c r="V384" s="16" t="str">
        <f t="shared" si="17"/>
        <v/>
      </c>
    </row>
    <row r="385" spans="17:22" x14ac:dyDescent="0.15">
      <c r="Q385" s="75" t="str">
        <f t="shared" si="15"/>
        <v/>
      </c>
      <c r="T385" s="16" t="str">
        <f t="shared" si="16"/>
        <v/>
      </c>
      <c r="V385" s="16" t="str">
        <f t="shared" si="17"/>
        <v/>
      </c>
    </row>
    <row r="386" spans="17:22" x14ac:dyDescent="0.15">
      <c r="Q386" s="75" t="str">
        <f t="shared" ref="Q386:Q398" si="18">IF(OR(O386="",P386=""),"",AVERAGE(O386,P386))</f>
        <v/>
      </c>
      <c r="T386" s="16" t="str">
        <f t="shared" ref="T386:T426" si="19">IF(H386="","",IF(OR(H386="GREEN",H386="GK"),IF(S386&gt;=$AX$2,VLOOKUP(S386,$AX$2:$AY$10,2,1),""),IF(S386&gt;=$AZ$2,VLOOKUP(S386,$AZ$2:$BA$10,2,1),"")))</f>
        <v/>
      </c>
      <c r="V386" s="16" t="str">
        <f t="shared" ref="V386:V406" si="20">IF(OR(N386="",U386="",T386=""),"",U386/N386*T386)</f>
        <v/>
      </c>
    </row>
    <row r="387" spans="17:22" x14ac:dyDescent="0.15">
      <c r="Q387" s="75" t="str">
        <f t="shared" si="18"/>
        <v/>
      </c>
      <c r="T387" s="16" t="str">
        <f t="shared" si="19"/>
        <v/>
      </c>
      <c r="V387" s="16" t="str">
        <f t="shared" si="20"/>
        <v/>
      </c>
    </row>
    <row r="388" spans="17:22" x14ac:dyDescent="0.15">
      <c r="Q388" s="75" t="str">
        <f t="shared" si="18"/>
        <v/>
      </c>
      <c r="T388" s="16" t="str">
        <f t="shared" si="19"/>
        <v/>
      </c>
      <c r="V388" s="16" t="str">
        <f t="shared" si="20"/>
        <v/>
      </c>
    </row>
    <row r="389" spans="17:22" x14ac:dyDescent="0.15">
      <c r="Q389" s="75" t="str">
        <f t="shared" si="18"/>
        <v/>
      </c>
      <c r="T389" s="16" t="str">
        <f t="shared" si="19"/>
        <v/>
      </c>
      <c r="V389" s="16" t="str">
        <f t="shared" si="20"/>
        <v/>
      </c>
    </row>
    <row r="390" spans="17:22" x14ac:dyDescent="0.15">
      <c r="Q390" s="75" t="str">
        <f t="shared" si="18"/>
        <v/>
      </c>
      <c r="T390" s="16" t="str">
        <f t="shared" si="19"/>
        <v/>
      </c>
      <c r="V390" s="16" t="str">
        <f t="shared" si="20"/>
        <v/>
      </c>
    </row>
    <row r="391" spans="17:22" x14ac:dyDescent="0.15">
      <c r="Q391" s="75" t="str">
        <f t="shared" si="18"/>
        <v/>
      </c>
      <c r="T391" s="16" t="str">
        <f t="shared" si="19"/>
        <v/>
      </c>
      <c r="V391" s="16" t="str">
        <f t="shared" si="20"/>
        <v/>
      </c>
    </row>
    <row r="392" spans="17:22" x14ac:dyDescent="0.15">
      <c r="Q392" s="75" t="str">
        <f t="shared" si="18"/>
        <v/>
      </c>
      <c r="T392" s="16" t="str">
        <f t="shared" si="19"/>
        <v/>
      </c>
      <c r="V392" s="16" t="str">
        <f t="shared" si="20"/>
        <v/>
      </c>
    </row>
    <row r="393" spans="17:22" x14ac:dyDescent="0.15">
      <c r="Q393" s="75" t="str">
        <f t="shared" si="18"/>
        <v/>
      </c>
      <c r="T393" s="16" t="str">
        <f t="shared" si="19"/>
        <v/>
      </c>
      <c r="V393" s="16" t="str">
        <f t="shared" si="20"/>
        <v/>
      </c>
    </row>
    <row r="394" spans="17:22" x14ac:dyDescent="0.15">
      <c r="Q394" s="75" t="str">
        <f t="shared" si="18"/>
        <v/>
      </c>
      <c r="T394" s="16" t="str">
        <f t="shared" si="19"/>
        <v/>
      </c>
      <c r="V394" s="16" t="str">
        <f t="shared" si="20"/>
        <v/>
      </c>
    </row>
    <row r="395" spans="17:22" x14ac:dyDescent="0.15">
      <c r="Q395" s="75" t="str">
        <f t="shared" si="18"/>
        <v/>
      </c>
      <c r="T395" s="16" t="str">
        <f t="shared" si="19"/>
        <v/>
      </c>
      <c r="V395" s="16" t="str">
        <f t="shared" si="20"/>
        <v/>
      </c>
    </row>
    <row r="396" spans="17:22" x14ac:dyDescent="0.15">
      <c r="Q396" s="75" t="str">
        <f t="shared" si="18"/>
        <v/>
      </c>
      <c r="T396" s="16" t="str">
        <f t="shared" si="19"/>
        <v/>
      </c>
      <c r="V396" s="16" t="str">
        <f t="shared" si="20"/>
        <v/>
      </c>
    </row>
    <row r="397" spans="17:22" x14ac:dyDescent="0.15">
      <c r="Q397" s="75" t="str">
        <f t="shared" si="18"/>
        <v/>
      </c>
      <c r="T397" s="16" t="str">
        <f t="shared" si="19"/>
        <v/>
      </c>
      <c r="V397" s="16" t="str">
        <f t="shared" si="20"/>
        <v/>
      </c>
    </row>
    <row r="398" spans="17:22" x14ac:dyDescent="0.15">
      <c r="Q398" s="75" t="str">
        <f t="shared" si="18"/>
        <v/>
      </c>
      <c r="T398" s="16" t="str">
        <f t="shared" si="19"/>
        <v/>
      </c>
      <c r="V398" s="16" t="str">
        <f t="shared" si="20"/>
        <v/>
      </c>
    </row>
    <row r="399" spans="17:22" x14ac:dyDescent="0.15">
      <c r="T399" s="16" t="str">
        <f t="shared" si="19"/>
        <v/>
      </c>
      <c r="V399" s="16" t="str">
        <f t="shared" si="20"/>
        <v/>
      </c>
    </row>
    <row r="400" spans="17:22" x14ac:dyDescent="0.15">
      <c r="T400" s="16" t="str">
        <f t="shared" si="19"/>
        <v/>
      </c>
      <c r="V400" s="16" t="str">
        <f t="shared" si="20"/>
        <v/>
      </c>
    </row>
    <row r="401" spans="20:22" x14ac:dyDescent="0.15">
      <c r="T401" s="16" t="str">
        <f t="shared" si="19"/>
        <v/>
      </c>
      <c r="V401" s="16" t="str">
        <f t="shared" si="20"/>
        <v/>
      </c>
    </row>
    <row r="402" spans="20:22" x14ac:dyDescent="0.15">
      <c r="T402" s="16" t="str">
        <f t="shared" si="19"/>
        <v/>
      </c>
      <c r="V402" s="16" t="str">
        <f t="shared" si="20"/>
        <v/>
      </c>
    </row>
    <row r="403" spans="20:22" x14ac:dyDescent="0.15">
      <c r="T403" s="16" t="str">
        <f t="shared" si="19"/>
        <v/>
      </c>
      <c r="V403" s="16" t="str">
        <f t="shared" si="20"/>
        <v/>
      </c>
    </row>
    <row r="404" spans="20:22" x14ac:dyDescent="0.15">
      <c r="T404" s="16" t="str">
        <f t="shared" si="19"/>
        <v/>
      </c>
      <c r="V404" s="16" t="str">
        <f t="shared" si="20"/>
        <v/>
      </c>
    </row>
    <row r="405" spans="20:22" x14ac:dyDescent="0.15">
      <c r="T405" s="16" t="str">
        <f t="shared" si="19"/>
        <v/>
      </c>
      <c r="V405" s="16" t="str">
        <f t="shared" si="20"/>
        <v/>
      </c>
    </row>
    <row r="406" spans="20:22" x14ac:dyDescent="0.15">
      <c r="T406" s="16" t="str">
        <f t="shared" si="19"/>
        <v/>
      </c>
      <c r="V406" s="16" t="str">
        <f t="shared" si="20"/>
        <v/>
      </c>
    </row>
    <row r="407" spans="20:22" x14ac:dyDescent="0.15">
      <c r="T407" s="16" t="str">
        <f t="shared" si="19"/>
        <v/>
      </c>
    </row>
    <row r="408" spans="20:22" x14ac:dyDescent="0.15">
      <c r="T408" s="16" t="str">
        <f t="shared" si="19"/>
        <v/>
      </c>
    </row>
    <row r="409" spans="20:22" x14ac:dyDescent="0.15">
      <c r="T409" s="16" t="str">
        <f t="shared" si="19"/>
        <v/>
      </c>
    </row>
    <row r="410" spans="20:22" x14ac:dyDescent="0.15">
      <c r="T410" s="16" t="str">
        <f t="shared" si="19"/>
        <v/>
      </c>
    </row>
    <row r="411" spans="20:22" x14ac:dyDescent="0.15">
      <c r="T411" s="16" t="str">
        <f t="shared" si="19"/>
        <v/>
      </c>
    </row>
    <row r="412" spans="20:22" x14ac:dyDescent="0.15">
      <c r="T412" s="16" t="str">
        <f t="shared" si="19"/>
        <v/>
      </c>
    </row>
    <row r="413" spans="20:22" x14ac:dyDescent="0.15">
      <c r="T413" s="16" t="str">
        <f t="shared" si="19"/>
        <v/>
      </c>
    </row>
    <row r="414" spans="20:22" x14ac:dyDescent="0.15">
      <c r="T414" s="16" t="str">
        <f t="shared" si="19"/>
        <v/>
      </c>
    </row>
    <row r="415" spans="20:22" x14ac:dyDescent="0.15">
      <c r="T415" s="16" t="str">
        <f t="shared" si="19"/>
        <v/>
      </c>
    </row>
    <row r="416" spans="20:22" x14ac:dyDescent="0.15">
      <c r="T416" s="16" t="str">
        <f t="shared" si="19"/>
        <v/>
      </c>
    </row>
    <row r="417" spans="20:20" x14ac:dyDescent="0.15">
      <c r="T417" s="16" t="str">
        <f t="shared" si="19"/>
        <v/>
      </c>
    </row>
    <row r="418" spans="20:20" x14ac:dyDescent="0.15">
      <c r="T418" s="16" t="str">
        <f t="shared" si="19"/>
        <v/>
      </c>
    </row>
    <row r="419" spans="20:20" x14ac:dyDescent="0.15">
      <c r="T419" s="16" t="str">
        <f t="shared" si="19"/>
        <v/>
      </c>
    </row>
    <row r="420" spans="20:20" x14ac:dyDescent="0.15">
      <c r="T420" s="16" t="str">
        <f t="shared" si="19"/>
        <v/>
      </c>
    </row>
    <row r="421" spans="20:20" x14ac:dyDescent="0.15">
      <c r="T421" s="16" t="str">
        <f t="shared" si="19"/>
        <v/>
      </c>
    </row>
    <row r="422" spans="20:20" x14ac:dyDescent="0.15">
      <c r="T422" s="16" t="str">
        <f t="shared" si="19"/>
        <v/>
      </c>
    </row>
    <row r="423" spans="20:20" x14ac:dyDescent="0.15">
      <c r="T423" s="16" t="str">
        <f t="shared" si="19"/>
        <v/>
      </c>
    </row>
    <row r="424" spans="20:20" x14ac:dyDescent="0.15">
      <c r="T424" s="16" t="str">
        <f t="shared" si="19"/>
        <v/>
      </c>
    </row>
    <row r="425" spans="20:20" x14ac:dyDescent="0.15">
      <c r="T425" s="16" t="str">
        <f t="shared" si="19"/>
        <v/>
      </c>
    </row>
    <row r="426" spans="20:20" x14ac:dyDescent="0.15">
      <c r="T426" s="16" t="str">
        <f t="shared" si="19"/>
        <v/>
      </c>
    </row>
  </sheetData>
  <autoFilter ref="A1:BA426" xr:uid="{00000000-0009-0000-0000-000001000000}"/>
  <phoneticPr fontId="3"/>
  <dataValidations count="14">
    <dataValidation type="list" allowBlank="1" showInputMessage="1" showErrorMessage="1" sqref="Y182:AA382" xr:uid="{E07D22B4-CEBB-4E5B-BDA1-E23DD3D441D8}">
      <formula1>$AV$2:$AV$16</formula1>
    </dataValidation>
    <dataValidation type="list" allowBlank="1" showInputMessage="1" showErrorMessage="1" sqref="X2:X382" xr:uid="{D152A015-AE39-42AA-8EEF-9E16A8727728}">
      <formula1>$AT$2:$AT$3</formula1>
    </dataValidation>
    <dataValidation type="list" allowBlank="1" showInputMessage="1" showErrorMessage="1" sqref="K199:K382" xr:uid="{3C1327AA-D046-4B45-8C06-1E41F69BE24E}">
      <formula1>$AR$2:$AR$19</formula1>
    </dataValidation>
    <dataValidation type="list" allowBlank="1" showInputMessage="1" showErrorMessage="1" sqref="A2:A382" xr:uid="{26B63692-53B3-47AF-B410-8090B492F92B}">
      <formula1>$AE$2:$AE$16</formula1>
    </dataValidation>
    <dataValidation type="list" allowBlank="1" showInputMessage="1" showErrorMessage="1" sqref="G2:G382" xr:uid="{035334AD-7D82-47FC-AB5A-6B69A1CD589A}">
      <formula1>$AJ$2:$AJ$4</formula1>
    </dataValidation>
    <dataValidation type="decimal" allowBlank="1" showInputMessage="1" showErrorMessage="1" error="硬度を正しく入力して下さい。" sqref="O2:P382" xr:uid="{4FDC76D6-D771-4A2A-9C44-9A8F7D8ADB97}">
      <formula1>0</formula1>
      <formula2>7</formula2>
    </dataValidation>
    <dataValidation type="list" allowBlank="1" showInputMessage="1" showErrorMessage="1" sqref="I2:I382" xr:uid="{F6289463-D69E-498E-858D-6CF283CE9A75}">
      <formula1>$AN$5:$AN$6</formula1>
    </dataValidation>
    <dataValidation type="list" allowBlank="1" showInputMessage="1" showErrorMessage="1" sqref="F1:F65536" xr:uid="{E9DA8B38-C9D6-4C9A-84C1-86A4E030C232}">
      <formula1>$AH$2:$AH$11</formula1>
    </dataValidation>
    <dataValidation type="list" allowBlank="1" showInputMessage="1" showErrorMessage="1" sqref="Y2:AA181" xr:uid="{83965EDD-226B-47CA-B699-08B787124635}">
      <formula1>$AV$2:$AV$23</formula1>
    </dataValidation>
    <dataValidation type="list" allowBlank="1" showInputMessage="1" showErrorMessage="1" sqref="K2:K198" xr:uid="{6000AB47-6E08-47FE-901E-B92618A52DBB}">
      <formula1>$AR$2:$AR$23</formula1>
    </dataValidation>
    <dataValidation type="list" allowBlank="1" showInputMessage="1" showErrorMessage="1" sqref="E1:E65536" xr:uid="{06481313-A4AE-4C13-97D9-63BEBC3548F8}">
      <formula1>$AG$2:$AG$11</formula1>
    </dataValidation>
    <dataValidation allowBlank="1" showInputMessage="1" showErrorMessage="1" sqref="B2:B181" xr:uid="{21ABDA1C-523F-4207-8CB7-035CD0775631}"/>
    <dataValidation type="list" allowBlank="1" showInputMessage="1" showErrorMessage="1" sqref="J2:J382" xr:uid="{016F1B05-FB8B-4A6E-B617-1DCB7EDCC9BC}">
      <formula1>$AP$2:$AP$19</formula1>
    </dataValidation>
    <dataValidation type="list" allowBlank="1" showInputMessage="1" showErrorMessage="1" sqref="H2:H382" xr:uid="{2FA61837-3659-48BF-A4E8-35901FFBC7A3}">
      <formula1>$AL$2:$AL$8</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02CF1-A3D7-4B64-9258-5AA00D51AA17}">
  <dimension ref="A1:BA82"/>
  <sheetViews>
    <sheetView zoomScale="85" zoomScaleNormal="85" workbookViewId="0">
      <selection activeCell="AB32" sqref="AB3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232</v>
      </c>
      <c r="C2" s="53">
        <v>2019</v>
      </c>
      <c r="D2" s="81" t="s">
        <v>233</v>
      </c>
      <c r="E2" s="53" t="s">
        <v>234</v>
      </c>
      <c r="F2" s="53" t="s">
        <v>235</v>
      </c>
      <c r="G2" s="53" t="s">
        <v>42</v>
      </c>
      <c r="H2" s="53" t="s">
        <v>164</v>
      </c>
      <c r="I2" s="53" t="s">
        <v>165</v>
      </c>
      <c r="J2" s="53" t="s">
        <v>38</v>
      </c>
      <c r="K2" s="53" t="s">
        <v>161</v>
      </c>
      <c r="L2" s="53">
        <v>1</v>
      </c>
      <c r="N2" s="53">
        <v>5</v>
      </c>
      <c r="O2" s="53">
        <v>0.65</v>
      </c>
      <c r="P2" s="53">
        <v>0.65</v>
      </c>
      <c r="Q2" s="75">
        <f t="shared" ref="Q2:Q61" si="0">IF(OR(O2="",P2=""),"",AVERAGE(O2,P2))</f>
        <v>0.65</v>
      </c>
      <c r="R2" s="53">
        <v>13.9</v>
      </c>
      <c r="S2" s="53">
        <v>101</v>
      </c>
      <c r="T2" s="16">
        <f t="shared" ref="T2:T61" si="1">IF(H2="","",IF(OR(H2="GREEN",H2="GK"),IF(S2&gt;=$AX$2,VLOOKUP(S2,$AX$2:$AY$10,2,1),""),IF(S2&gt;=$AZ$2,VLOOKUP(S2,$AZ$2:$BA$10,2,1),"")))</f>
        <v>33</v>
      </c>
      <c r="U2" s="53">
        <v>539</v>
      </c>
      <c r="V2" s="16">
        <f t="shared" ref="V2:V61" si="2">IF(OR(N2="",U2="",T2=""),"",U2/N2*T2)</f>
        <v>3557.4</v>
      </c>
      <c r="W2" s="53">
        <v>4</v>
      </c>
      <c r="X2" s="53" t="s">
        <v>46</v>
      </c>
      <c r="Y2" s="53" t="s">
        <v>55</v>
      </c>
      <c r="Z2" s="53" t="s">
        <v>106</v>
      </c>
      <c r="AA2" s="53" t="s">
        <v>90</v>
      </c>
      <c r="AB2" s="53" t="s">
        <v>158</v>
      </c>
      <c r="AE2" s="64" t="s">
        <v>35</v>
      </c>
      <c r="AG2" s="23" t="s">
        <v>236</v>
      </c>
      <c r="AH2" s="82" t="s">
        <v>237</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232</v>
      </c>
      <c r="C3" s="53">
        <v>2019</v>
      </c>
      <c r="D3" s="81" t="s">
        <v>233</v>
      </c>
      <c r="E3" s="53" t="s">
        <v>234</v>
      </c>
      <c r="F3" s="53" t="s">
        <v>235</v>
      </c>
      <c r="G3" s="53" t="s">
        <v>42</v>
      </c>
      <c r="H3" s="53" t="s">
        <v>164</v>
      </c>
      <c r="I3" s="53" t="s">
        <v>165</v>
      </c>
      <c r="J3" s="53" t="s">
        <v>38</v>
      </c>
      <c r="K3" s="53" t="s">
        <v>161</v>
      </c>
      <c r="L3" s="53">
        <v>2</v>
      </c>
      <c r="N3" s="53">
        <v>5</v>
      </c>
      <c r="O3" s="53">
        <v>0.55000000000000004</v>
      </c>
      <c r="P3" s="53">
        <v>0.55000000000000004</v>
      </c>
      <c r="Q3" s="75">
        <f t="shared" si="0"/>
        <v>0.55000000000000004</v>
      </c>
      <c r="R3" s="53">
        <v>13.6</v>
      </c>
      <c r="S3" s="53">
        <v>95</v>
      </c>
      <c r="T3" s="16">
        <f t="shared" si="1"/>
        <v>36</v>
      </c>
      <c r="U3" s="53">
        <v>539</v>
      </c>
      <c r="V3" s="16">
        <f t="shared" si="2"/>
        <v>3880.7999999999997</v>
      </c>
      <c r="W3" s="53">
        <v>4</v>
      </c>
      <c r="X3" s="53" t="s">
        <v>46</v>
      </c>
      <c r="Y3" s="53" t="s">
        <v>55</v>
      </c>
      <c r="Z3" s="53" t="s">
        <v>106</v>
      </c>
      <c r="AA3" s="53" t="s">
        <v>90</v>
      </c>
      <c r="AB3" s="53" t="s">
        <v>158</v>
      </c>
      <c r="AE3" s="22" t="s">
        <v>41</v>
      </c>
      <c r="AG3" s="23" t="s">
        <v>238</v>
      </c>
      <c r="AH3" s="82" t="s">
        <v>235</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232</v>
      </c>
      <c r="C4" s="53">
        <v>2019</v>
      </c>
      <c r="D4" s="81" t="s">
        <v>233</v>
      </c>
      <c r="E4" s="53" t="s">
        <v>234</v>
      </c>
      <c r="F4" s="53" t="s">
        <v>235</v>
      </c>
      <c r="G4" s="53" t="s">
        <v>42</v>
      </c>
      <c r="H4" s="53" t="s">
        <v>164</v>
      </c>
      <c r="I4" s="53" t="s">
        <v>165</v>
      </c>
      <c r="J4" s="53" t="s">
        <v>38</v>
      </c>
      <c r="K4" s="53" t="s">
        <v>161</v>
      </c>
      <c r="L4" s="53">
        <v>3</v>
      </c>
      <c r="N4" s="53">
        <v>5</v>
      </c>
      <c r="O4" s="53">
        <v>0.6</v>
      </c>
      <c r="P4" s="53">
        <v>0.65</v>
      </c>
      <c r="Q4" s="75">
        <f t="shared" si="0"/>
        <v>0.625</v>
      </c>
      <c r="R4" s="53">
        <v>14.2</v>
      </c>
      <c r="S4" s="53">
        <v>100</v>
      </c>
      <c r="T4" s="16">
        <f t="shared" si="1"/>
        <v>33</v>
      </c>
      <c r="U4" s="53">
        <v>539</v>
      </c>
      <c r="V4" s="16">
        <f t="shared" si="2"/>
        <v>3557.4</v>
      </c>
      <c r="W4" s="53">
        <v>4</v>
      </c>
      <c r="X4" s="53" t="s">
        <v>46</v>
      </c>
      <c r="Y4" s="53" t="s">
        <v>55</v>
      </c>
      <c r="Z4" s="53" t="s">
        <v>106</v>
      </c>
      <c r="AA4" s="53" t="s">
        <v>90</v>
      </c>
      <c r="AB4" s="53" t="s">
        <v>158</v>
      </c>
      <c r="AE4" s="22" t="s">
        <v>34</v>
      </c>
      <c r="AG4" s="23" t="s">
        <v>239</v>
      </c>
      <c r="AH4" s="82" t="s">
        <v>240</v>
      </c>
      <c r="AJ4" s="27" t="s">
        <v>48</v>
      </c>
      <c r="AL4" s="27" t="s">
        <v>241</v>
      </c>
      <c r="AN4" s="28" t="s">
        <v>49</v>
      </c>
      <c r="AP4" s="23" t="s">
        <v>93</v>
      </c>
      <c r="AR4" s="23" t="s">
        <v>121</v>
      </c>
      <c r="AT4" s="28"/>
      <c r="AV4" s="23" t="s">
        <v>50</v>
      </c>
      <c r="AX4" s="24">
        <v>75</v>
      </c>
      <c r="AY4" s="25">
        <v>42</v>
      </c>
      <c r="AZ4" s="25">
        <v>76</v>
      </c>
      <c r="BA4" s="26">
        <v>39</v>
      </c>
    </row>
    <row r="5" spans="1:53" x14ac:dyDescent="0.15">
      <c r="A5" s="53" t="s">
        <v>56</v>
      </c>
      <c r="B5" s="53" t="s">
        <v>232</v>
      </c>
      <c r="C5" s="53">
        <v>2019</v>
      </c>
      <c r="D5" s="81" t="s">
        <v>233</v>
      </c>
      <c r="E5" s="53" t="s">
        <v>234</v>
      </c>
      <c r="F5" s="53" t="s">
        <v>235</v>
      </c>
      <c r="G5" s="53" t="s">
        <v>42</v>
      </c>
      <c r="H5" s="53" t="s">
        <v>160</v>
      </c>
      <c r="I5" s="53" t="s">
        <v>165</v>
      </c>
      <c r="J5" s="53" t="s">
        <v>38</v>
      </c>
      <c r="K5" s="53" t="s">
        <v>161</v>
      </c>
      <c r="L5" s="53">
        <v>1</v>
      </c>
      <c r="N5" s="53">
        <v>1</v>
      </c>
      <c r="O5" s="53">
        <v>0.6</v>
      </c>
      <c r="P5" s="53">
        <v>0.5</v>
      </c>
      <c r="Q5" s="75">
        <f t="shared" si="0"/>
        <v>0.55000000000000004</v>
      </c>
      <c r="R5" s="53">
        <v>17.3</v>
      </c>
      <c r="S5" s="53">
        <v>144</v>
      </c>
      <c r="T5" s="16">
        <f t="shared" si="1"/>
        <v>22</v>
      </c>
      <c r="U5" s="53">
        <v>183</v>
      </c>
      <c r="V5" s="16">
        <f t="shared" si="2"/>
        <v>4026</v>
      </c>
      <c r="W5" s="53">
        <v>4</v>
      </c>
      <c r="X5" s="53" t="s">
        <v>46</v>
      </c>
      <c r="Y5" s="53" t="s">
        <v>55</v>
      </c>
      <c r="Z5" s="53" t="s">
        <v>106</v>
      </c>
      <c r="AA5" s="53" t="s">
        <v>90</v>
      </c>
      <c r="AB5" s="53" t="s">
        <v>158</v>
      </c>
      <c r="AE5" s="22" t="s">
        <v>51</v>
      </c>
      <c r="AG5" s="23" t="s">
        <v>242</v>
      </c>
      <c r="AH5" s="82" t="s">
        <v>243</v>
      </c>
      <c r="AJ5" s="28"/>
      <c r="AL5" s="73" t="s">
        <v>66</v>
      </c>
      <c r="AN5" s="73" t="s">
        <v>52</v>
      </c>
      <c r="AP5" s="23" t="s">
        <v>244</v>
      </c>
      <c r="AR5" s="23" t="s">
        <v>54</v>
      </c>
      <c r="AV5" s="23" t="s">
        <v>55</v>
      </c>
      <c r="AX5" s="24">
        <v>84</v>
      </c>
      <c r="AY5" s="25">
        <v>39</v>
      </c>
      <c r="AZ5" s="25">
        <v>84</v>
      </c>
      <c r="BA5" s="26">
        <v>36</v>
      </c>
    </row>
    <row r="6" spans="1:53" x14ac:dyDescent="0.15">
      <c r="A6" s="53" t="s">
        <v>56</v>
      </c>
      <c r="B6" s="53" t="s">
        <v>232</v>
      </c>
      <c r="C6" s="53">
        <v>2019</v>
      </c>
      <c r="D6" s="81" t="s">
        <v>233</v>
      </c>
      <c r="E6" s="53" t="s">
        <v>234</v>
      </c>
      <c r="F6" s="53" t="s">
        <v>235</v>
      </c>
      <c r="G6" s="53" t="s">
        <v>42</v>
      </c>
      <c r="H6" s="53" t="s">
        <v>160</v>
      </c>
      <c r="I6" s="53" t="s">
        <v>165</v>
      </c>
      <c r="J6" s="53" t="s">
        <v>38</v>
      </c>
      <c r="K6" s="53" t="s">
        <v>161</v>
      </c>
      <c r="L6" s="53">
        <v>2</v>
      </c>
      <c r="N6" s="53">
        <v>1</v>
      </c>
      <c r="O6" s="53">
        <v>0.55000000000000004</v>
      </c>
      <c r="P6" s="53">
        <v>0.6</v>
      </c>
      <c r="Q6" s="75">
        <f t="shared" si="0"/>
        <v>0.57499999999999996</v>
      </c>
      <c r="R6" s="53">
        <v>16.600000000000001</v>
      </c>
      <c r="S6" s="53">
        <v>139</v>
      </c>
      <c r="T6" s="16">
        <f t="shared" si="1"/>
        <v>22</v>
      </c>
      <c r="U6" s="53">
        <v>183</v>
      </c>
      <c r="V6" s="16">
        <f t="shared" si="2"/>
        <v>4026</v>
      </c>
      <c r="W6" s="53">
        <v>4</v>
      </c>
      <c r="X6" s="53" t="s">
        <v>46</v>
      </c>
      <c r="Y6" s="53" t="s">
        <v>55</v>
      </c>
      <c r="Z6" s="53" t="s">
        <v>106</v>
      </c>
      <c r="AA6" s="53" t="s">
        <v>90</v>
      </c>
      <c r="AB6" s="53" t="s">
        <v>158</v>
      </c>
      <c r="AE6" s="22" t="s">
        <v>56</v>
      </c>
      <c r="AG6" s="23" t="s">
        <v>245</v>
      </c>
      <c r="AH6" s="82" t="s">
        <v>243</v>
      </c>
      <c r="AL6" s="73" t="s">
        <v>99</v>
      </c>
      <c r="AN6" s="73" t="s">
        <v>57</v>
      </c>
      <c r="AP6" s="23" t="s">
        <v>53</v>
      </c>
      <c r="AR6" s="23" t="s">
        <v>59</v>
      </c>
      <c r="AV6" s="23" t="s">
        <v>60</v>
      </c>
      <c r="AX6" s="24">
        <v>97</v>
      </c>
      <c r="AY6" s="25">
        <v>36</v>
      </c>
      <c r="AZ6" s="25">
        <v>99</v>
      </c>
      <c r="BA6" s="26">
        <v>33</v>
      </c>
    </row>
    <row r="7" spans="1:53" x14ac:dyDescent="0.15">
      <c r="A7" s="53" t="s">
        <v>56</v>
      </c>
      <c r="B7" s="53" t="s">
        <v>232</v>
      </c>
      <c r="C7" s="53">
        <v>2019</v>
      </c>
      <c r="D7" s="81" t="s">
        <v>233</v>
      </c>
      <c r="E7" s="53" t="s">
        <v>234</v>
      </c>
      <c r="F7" s="53" t="s">
        <v>235</v>
      </c>
      <c r="G7" s="53" t="s">
        <v>42</v>
      </c>
      <c r="H7" s="53" t="s">
        <v>160</v>
      </c>
      <c r="I7" s="53" t="s">
        <v>165</v>
      </c>
      <c r="J7" s="53" t="s">
        <v>38</v>
      </c>
      <c r="K7" s="53" t="s">
        <v>161</v>
      </c>
      <c r="L7" s="53">
        <v>3</v>
      </c>
      <c r="N7" s="53">
        <v>1</v>
      </c>
      <c r="O7" s="53">
        <v>0.55000000000000004</v>
      </c>
      <c r="P7" s="53">
        <v>0.55000000000000004</v>
      </c>
      <c r="Q7" s="75">
        <f t="shared" si="0"/>
        <v>0.55000000000000004</v>
      </c>
      <c r="R7" s="53">
        <v>14.2</v>
      </c>
      <c r="S7" s="53">
        <v>138</v>
      </c>
      <c r="T7" s="16">
        <f t="shared" si="1"/>
        <v>22</v>
      </c>
      <c r="U7" s="53">
        <v>183</v>
      </c>
      <c r="V7" s="16">
        <f t="shared" si="2"/>
        <v>4026</v>
      </c>
      <c r="W7" s="53">
        <v>4</v>
      </c>
      <c r="X7" s="53" t="s">
        <v>46</v>
      </c>
      <c r="Y7" s="53" t="s">
        <v>55</v>
      </c>
      <c r="Z7" s="53" t="s">
        <v>106</v>
      </c>
      <c r="AA7" s="53" t="s">
        <v>90</v>
      </c>
      <c r="AB7" s="53" t="s">
        <v>158</v>
      </c>
      <c r="AE7" s="22" t="s">
        <v>61</v>
      </c>
      <c r="AG7" s="23" t="s">
        <v>246</v>
      </c>
      <c r="AH7" s="82" t="s">
        <v>247</v>
      </c>
      <c r="AL7" s="83" t="s">
        <v>109</v>
      </c>
      <c r="AP7" s="23" t="s">
        <v>58</v>
      </c>
      <c r="AR7" s="23" t="s">
        <v>122</v>
      </c>
      <c r="AV7" s="23" t="s">
        <v>64</v>
      </c>
      <c r="AX7" s="24">
        <v>109</v>
      </c>
      <c r="AY7" s="25">
        <v>33</v>
      </c>
      <c r="AZ7" s="25">
        <v>113</v>
      </c>
      <c r="BA7" s="26">
        <v>30</v>
      </c>
    </row>
    <row r="8" spans="1:53" x14ac:dyDescent="0.15">
      <c r="A8" s="53" t="s">
        <v>56</v>
      </c>
      <c r="B8" s="53" t="s">
        <v>232</v>
      </c>
      <c r="C8" s="53">
        <v>2019</v>
      </c>
      <c r="D8" s="81" t="s">
        <v>233</v>
      </c>
      <c r="E8" s="53" t="s">
        <v>248</v>
      </c>
      <c r="F8" s="53" t="s">
        <v>235</v>
      </c>
      <c r="G8" s="53" t="s">
        <v>42</v>
      </c>
      <c r="H8" s="53" t="s">
        <v>164</v>
      </c>
      <c r="I8" s="53" t="s">
        <v>159</v>
      </c>
      <c r="J8" s="53" t="s">
        <v>38</v>
      </c>
      <c r="K8" s="53" t="s">
        <v>161</v>
      </c>
      <c r="L8" s="53">
        <v>1</v>
      </c>
      <c r="N8" s="53">
        <v>1</v>
      </c>
      <c r="O8" s="53">
        <v>0.7</v>
      </c>
      <c r="P8" s="53">
        <v>0.7</v>
      </c>
      <c r="Q8" s="75">
        <f t="shared" si="0"/>
        <v>0.7</v>
      </c>
      <c r="R8" s="53">
        <v>16.100000000000001</v>
      </c>
      <c r="S8" s="53">
        <v>140</v>
      </c>
      <c r="T8" s="16">
        <f t="shared" si="1"/>
        <v>22</v>
      </c>
      <c r="U8" s="53">
        <v>138</v>
      </c>
      <c r="V8" s="16">
        <f t="shared" si="2"/>
        <v>3036</v>
      </c>
      <c r="W8" s="53">
        <v>8</v>
      </c>
      <c r="X8" s="53" t="s">
        <v>46</v>
      </c>
      <c r="Y8" s="53" t="s">
        <v>55</v>
      </c>
      <c r="Z8" s="53" t="s">
        <v>97</v>
      </c>
      <c r="AA8" s="53" t="s">
        <v>64</v>
      </c>
      <c r="AB8" s="53" t="s">
        <v>158</v>
      </c>
      <c r="AE8" s="22" t="s">
        <v>59</v>
      </c>
      <c r="AG8" s="23" t="s">
        <v>249</v>
      </c>
      <c r="AH8" s="82" t="s">
        <v>247</v>
      </c>
      <c r="AL8" s="83" t="s">
        <v>134</v>
      </c>
      <c r="AP8" s="23" t="s">
        <v>62</v>
      </c>
      <c r="AR8" s="23" t="s">
        <v>81</v>
      </c>
      <c r="AV8" s="23" t="s">
        <v>97</v>
      </c>
      <c r="AX8" s="24">
        <v>119</v>
      </c>
      <c r="AY8" s="25">
        <v>30</v>
      </c>
      <c r="AZ8" s="25">
        <v>121</v>
      </c>
      <c r="BA8" s="26">
        <v>27</v>
      </c>
    </row>
    <row r="9" spans="1:53" x14ac:dyDescent="0.15">
      <c r="A9" s="53" t="s">
        <v>56</v>
      </c>
      <c r="B9" s="53" t="s">
        <v>232</v>
      </c>
      <c r="C9" s="53">
        <v>2019</v>
      </c>
      <c r="D9" s="81" t="s">
        <v>233</v>
      </c>
      <c r="E9" s="53" t="s">
        <v>248</v>
      </c>
      <c r="F9" s="53" t="s">
        <v>235</v>
      </c>
      <c r="G9" s="53" t="s">
        <v>42</v>
      </c>
      <c r="H9" s="53" t="s">
        <v>164</v>
      </c>
      <c r="I9" s="53" t="s">
        <v>159</v>
      </c>
      <c r="J9" s="53" t="s">
        <v>38</v>
      </c>
      <c r="K9" s="53" t="s">
        <v>161</v>
      </c>
      <c r="L9" s="53">
        <v>2</v>
      </c>
      <c r="N9" s="53">
        <v>1</v>
      </c>
      <c r="O9" s="53">
        <v>0.65</v>
      </c>
      <c r="P9" s="53">
        <v>0.65</v>
      </c>
      <c r="Q9" s="75">
        <f t="shared" si="0"/>
        <v>0.65</v>
      </c>
      <c r="R9" s="53">
        <v>16.8</v>
      </c>
      <c r="S9" s="53">
        <v>140</v>
      </c>
      <c r="T9" s="16">
        <f t="shared" si="1"/>
        <v>22</v>
      </c>
      <c r="U9" s="53">
        <v>138</v>
      </c>
      <c r="V9" s="16">
        <f t="shared" si="2"/>
        <v>3036</v>
      </c>
      <c r="W9" s="53">
        <v>8</v>
      </c>
      <c r="X9" s="53" t="s">
        <v>46</v>
      </c>
      <c r="Y9" s="53" t="s">
        <v>55</v>
      </c>
      <c r="Z9" s="53" t="s">
        <v>97</v>
      </c>
      <c r="AA9" s="53" t="s">
        <v>64</v>
      </c>
      <c r="AB9" s="53" t="s">
        <v>158</v>
      </c>
      <c r="AE9" s="22" t="s">
        <v>98</v>
      </c>
      <c r="AG9" s="23" t="s">
        <v>234</v>
      </c>
      <c r="AH9" s="23" t="s">
        <v>235</v>
      </c>
      <c r="AL9" s="73"/>
      <c r="AP9" s="23" t="s">
        <v>95</v>
      </c>
      <c r="AR9" s="23" t="s">
        <v>89</v>
      </c>
      <c r="AV9" s="23" t="s">
        <v>102</v>
      </c>
      <c r="AX9" s="24">
        <v>128</v>
      </c>
      <c r="AY9" s="25">
        <v>27</v>
      </c>
      <c r="AZ9" s="25">
        <v>129</v>
      </c>
      <c r="BA9" s="26">
        <v>25</v>
      </c>
    </row>
    <row r="10" spans="1:53" x14ac:dyDescent="0.15">
      <c r="A10" s="53" t="s">
        <v>56</v>
      </c>
      <c r="B10" s="53" t="s">
        <v>232</v>
      </c>
      <c r="C10" s="53">
        <v>2019</v>
      </c>
      <c r="D10" s="81" t="s">
        <v>233</v>
      </c>
      <c r="E10" s="53" t="s">
        <v>248</v>
      </c>
      <c r="F10" s="53" t="s">
        <v>235</v>
      </c>
      <c r="G10" s="53" t="s">
        <v>42</v>
      </c>
      <c r="H10" s="53" t="s">
        <v>164</v>
      </c>
      <c r="I10" s="53" t="s">
        <v>159</v>
      </c>
      <c r="J10" s="53" t="s">
        <v>38</v>
      </c>
      <c r="K10" s="53" t="s">
        <v>161</v>
      </c>
      <c r="L10" s="53">
        <v>3</v>
      </c>
      <c r="N10" s="53">
        <v>1</v>
      </c>
      <c r="O10" s="53">
        <v>0.75</v>
      </c>
      <c r="P10" s="53">
        <v>0.8</v>
      </c>
      <c r="Q10" s="75">
        <f t="shared" si="0"/>
        <v>0.77500000000000002</v>
      </c>
      <c r="R10" s="53">
        <v>16.3</v>
      </c>
      <c r="S10" s="53">
        <v>139</v>
      </c>
      <c r="T10" s="16">
        <f t="shared" si="1"/>
        <v>22</v>
      </c>
      <c r="U10" s="53">
        <v>138</v>
      </c>
      <c r="V10" s="16">
        <f t="shared" si="2"/>
        <v>3036</v>
      </c>
      <c r="W10" s="53">
        <v>8</v>
      </c>
      <c r="X10" s="53" t="s">
        <v>46</v>
      </c>
      <c r="Y10" s="53" t="s">
        <v>55</v>
      </c>
      <c r="Z10" s="53" t="s">
        <v>97</v>
      </c>
      <c r="AA10" s="53" t="s">
        <v>64</v>
      </c>
      <c r="AB10" s="53" t="s">
        <v>158</v>
      </c>
      <c r="AE10" s="22" t="s">
        <v>103</v>
      </c>
      <c r="AG10" s="23" t="s">
        <v>246</v>
      </c>
      <c r="AH10" s="82" t="s">
        <v>243</v>
      </c>
      <c r="AL10" s="83"/>
      <c r="AP10" s="23" t="s">
        <v>100</v>
      </c>
      <c r="AR10" s="23" t="s">
        <v>123</v>
      </c>
      <c r="AV10" s="23" t="s">
        <v>106</v>
      </c>
      <c r="AX10" s="24">
        <v>138</v>
      </c>
      <c r="AY10" s="25">
        <v>25</v>
      </c>
      <c r="AZ10" s="25">
        <v>138</v>
      </c>
      <c r="BA10" s="26">
        <v>22</v>
      </c>
    </row>
    <row r="11" spans="1:53" x14ac:dyDescent="0.15">
      <c r="A11" s="53" t="s">
        <v>56</v>
      </c>
      <c r="B11" s="53" t="s">
        <v>232</v>
      </c>
      <c r="C11" s="53">
        <v>2019</v>
      </c>
      <c r="D11" s="81" t="s">
        <v>233</v>
      </c>
      <c r="E11" s="53" t="s">
        <v>248</v>
      </c>
      <c r="F11" s="53" t="s">
        <v>235</v>
      </c>
      <c r="G11" s="53" t="s">
        <v>42</v>
      </c>
      <c r="H11" s="53" t="s">
        <v>160</v>
      </c>
      <c r="I11" s="53" t="s">
        <v>159</v>
      </c>
      <c r="J11" s="53" t="s">
        <v>38</v>
      </c>
      <c r="K11" s="53" t="s">
        <v>161</v>
      </c>
      <c r="L11" s="53">
        <v>1</v>
      </c>
      <c r="N11" s="53">
        <v>1</v>
      </c>
      <c r="O11" s="53">
        <v>0.65</v>
      </c>
      <c r="P11" s="53">
        <v>0.7</v>
      </c>
      <c r="Q11" s="75">
        <f t="shared" si="0"/>
        <v>0.67500000000000004</v>
      </c>
      <c r="R11" s="53">
        <v>15.5</v>
      </c>
      <c r="S11" s="53">
        <v>133</v>
      </c>
      <c r="T11" s="16">
        <f t="shared" si="1"/>
        <v>25</v>
      </c>
      <c r="U11" s="53">
        <v>138</v>
      </c>
      <c r="V11" s="16">
        <f t="shared" si="2"/>
        <v>3450</v>
      </c>
      <c r="W11" s="53">
        <v>4</v>
      </c>
      <c r="X11" s="53" t="s">
        <v>46</v>
      </c>
      <c r="Y11" s="53" t="s">
        <v>55</v>
      </c>
      <c r="Z11" s="53" t="s">
        <v>97</v>
      </c>
      <c r="AA11" s="53" t="s">
        <v>64</v>
      </c>
      <c r="AB11" s="53" t="s">
        <v>158</v>
      </c>
      <c r="AE11" s="22" t="s">
        <v>65</v>
      </c>
      <c r="AG11" s="23" t="s">
        <v>245</v>
      </c>
      <c r="AH11" s="82" t="s">
        <v>243</v>
      </c>
      <c r="AJ11" s="83"/>
      <c r="AP11" s="23" t="s">
        <v>104</v>
      </c>
      <c r="AR11" s="23" t="s">
        <v>87</v>
      </c>
      <c r="AV11" s="23" t="s">
        <v>69</v>
      </c>
    </row>
    <row r="12" spans="1:53" x14ac:dyDescent="0.15">
      <c r="A12" s="53" t="s">
        <v>56</v>
      </c>
      <c r="B12" s="53" t="s">
        <v>232</v>
      </c>
      <c r="C12" s="53">
        <v>2019</v>
      </c>
      <c r="D12" s="81" t="s">
        <v>233</v>
      </c>
      <c r="E12" s="53" t="s">
        <v>248</v>
      </c>
      <c r="F12" s="53" t="s">
        <v>235</v>
      </c>
      <c r="G12" s="53" t="s">
        <v>42</v>
      </c>
      <c r="H12" s="53" t="s">
        <v>160</v>
      </c>
      <c r="I12" s="53" t="s">
        <v>159</v>
      </c>
      <c r="J12" s="53" t="s">
        <v>38</v>
      </c>
      <c r="K12" s="53" t="s">
        <v>161</v>
      </c>
      <c r="L12" s="53">
        <v>2</v>
      </c>
      <c r="N12" s="53">
        <v>1</v>
      </c>
      <c r="O12" s="53">
        <v>0.65</v>
      </c>
      <c r="P12" s="53">
        <v>0.6</v>
      </c>
      <c r="Q12" s="75">
        <f t="shared" si="0"/>
        <v>0.625</v>
      </c>
      <c r="R12" s="53">
        <v>16.8</v>
      </c>
      <c r="S12" s="53">
        <v>129</v>
      </c>
      <c r="T12" s="16">
        <f t="shared" si="1"/>
        <v>25</v>
      </c>
      <c r="U12" s="53">
        <v>138</v>
      </c>
      <c r="V12" s="16">
        <f t="shared" si="2"/>
        <v>3450</v>
      </c>
      <c r="W12" s="53">
        <v>4</v>
      </c>
      <c r="X12" s="53" t="s">
        <v>46</v>
      </c>
      <c r="Y12" s="53" t="s">
        <v>55</v>
      </c>
      <c r="Z12" s="53" t="s">
        <v>97</v>
      </c>
      <c r="AA12" s="53" t="s">
        <v>64</v>
      </c>
      <c r="AB12" s="53" t="s">
        <v>158</v>
      </c>
      <c r="AE12" s="22" t="s">
        <v>70</v>
      </c>
      <c r="AG12" s="23" t="s">
        <v>238</v>
      </c>
      <c r="AH12" s="82" t="s">
        <v>243</v>
      </c>
      <c r="AJ12" s="83"/>
      <c r="AP12" s="23" t="s">
        <v>67</v>
      </c>
      <c r="AR12" s="23" t="s">
        <v>124</v>
      </c>
      <c r="AV12" s="23" t="s">
        <v>72</v>
      </c>
    </row>
    <row r="13" spans="1:53" x14ac:dyDescent="0.15">
      <c r="A13" s="53" t="s">
        <v>56</v>
      </c>
      <c r="B13" s="53" t="s">
        <v>232</v>
      </c>
      <c r="C13" s="53">
        <v>2019</v>
      </c>
      <c r="D13" s="81" t="s">
        <v>233</v>
      </c>
      <c r="E13" s="53" t="s">
        <v>248</v>
      </c>
      <c r="F13" s="53" t="s">
        <v>235</v>
      </c>
      <c r="G13" s="53" t="s">
        <v>42</v>
      </c>
      <c r="H13" s="53" t="s">
        <v>160</v>
      </c>
      <c r="I13" s="53" t="s">
        <v>159</v>
      </c>
      <c r="J13" s="53" t="s">
        <v>38</v>
      </c>
      <c r="K13" s="53" t="s">
        <v>161</v>
      </c>
      <c r="L13" s="53">
        <v>3</v>
      </c>
      <c r="N13" s="53">
        <v>1</v>
      </c>
      <c r="O13" s="53">
        <v>0.5</v>
      </c>
      <c r="P13" s="53">
        <v>0.5</v>
      </c>
      <c r="Q13" s="75">
        <f t="shared" si="0"/>
        <v>0.5</v>
      </c>
      <c r="R13" s="53">
        <v>18.2</v>
      </c>
      <c r="S13" s="53">
        <v>127</v>
      </c>
      <c r="T13" s="16">
        <f t="shared" si="1"/>
        <v>27</v>
      </c>
      <c r="U13" s="53">
        <v>138</v>
      </c>
      <c r="V13" s="16">
        <f t="shared" si="2"/>
        <v>3726</v>
      </c>
      <c r="W13" s="53">
        <v>4</v>
      </c>
      <c r="X13" s="53" t="s">
        <v>46</v>
      </c>
      <c r="Y13" s="53" t="s">
        <v>55</v>
      </c>
      <c r="Z13" s="53" t="s">
        <v>97</v>
      </c>
      <c r="AA13" s="53" t="s">
        <v>64</v>
      </c>
      <c r="AB13" s="53" t="s">
        <v>158</v>
      </c>
      <c r="AE13" s="22" t="s">
        <v>73</v>
      </c>
      <c r="AP13" s="23" t="s">
        <v>71</v>
      </c>
      <c r="AR13" s="23" t="s">
        <v>103</v>
      </c>
      <c r="AV13" s="23" t="s">
        <v>75</v>
      </c>
    </row>
    <row r="14" spans="1:53" x14ac:dyDescent="0.15">
      <c r="A14" s="53" t="s">
        <v>56</v>
      </c>
      <c r="B14" s="53" t="s">
        <v>232</v>
      </c>
      <c r="C14" s="53">
        <v>2019</v>
      </c>
      <c r="D14" s="81" t="s">
        <v>233</v>
      </c>
      <c r="E14" s="53" t="s">
        <v>162</v>
      </c>
      <c r="F14" s="53" t="s">
        <v>250</v>
      </c>
      <c r="G14" s="53" t="s">
        <v>42</v>
      </c>
      <c r="H14" s="53" t="s">
        <v>164</v>
      </c>
      <c r="I14" s="53" t="s">
        <v>159</v>
      </c>
      <c r="J14" s="53" t="s">
        <v>38</v>
      </c>
      <c r="K14" s="53" t="s">
        <v>161</v>
      </c>
      <c r="L14" s="53">
        <v>1</v>
      </c>
      <c r="N14" s="53">
        <v>1</v>
      </c>
      <c r="O14" s="53">
        <v>0.65</v>
      </c>
      <c r="P14" s="53">
        <v>0.65</v>
      </c>
      <c r="Q14" s="75">
        <f t="shared" si="0"/>
        <v>0.65</v>
      </c>
      <c r="R14" s="53">
        <v>15</v>
      </c>
      <c r="S14" s="53">
        <v>121</v>
      </c>
      <c r="T14" s="16">
        <f t="shared" si="1"/>
        <v>27</v>
      </c>
      <c r="U14" s="53">
        <v>106</v>
      </c>
      <c r="V14" s="16">
        <f t="shared" si="2"/>
        <v>2862</v>
      </c>
      <c r="W14" s="53">
        <v>2</v>
      </c>
      <c r="X14" s="53" t="s">
        <v>46</v>
      </c>
      <c r="Y14" s="53" t="s">
        <v>55</v>
      </c>
      <c r="Z14" s="53" t="s">
        <v>64</v>
      </c>
      <c r="AA14" s="53" t="s">
        <v>78</v>
      </c>
      <c r="AB14" s="53" t="s">
        <v>158</v>
      </c>
      <c r="AE14" s="22" t="s">
        <v>76</v>
      </c>
      <c r="AP14" s="23" t="s">
        <v>74</v>
      </c>
      <c r="AR14" s="23" t="s">
        <v>125</v>
      </c>
      <c r="AV14" s="23" t="s">
        <v>78</v>
      </c>
    </row>
    <row r="15" spans="1:53" x14ac:dyDescent="0.15">
      <c r="A15" s="53" t="s">
        <v>56</v>
      </c>
      <c r="B15" s="53" t="s">
        <v>232</v>
      </c>
      <c r="C15" s="53">
        <v>2019</v>
      </c>
      <c r="D15" s="81" t="s">
        <v>233</v>
      </c>
      <c r="E15" s="53" t="s">
        <v>162</v>
      </c>
      <c r="F15" s="53" t="s">
        <v>250</v>
      </c>
      <c r="G15" s="53" t="s">
        <v>42</v>
      </c>
      <c r="H15" s="53" t="s">
        <v>164</v>
      </c>
      <c r="I15" s="53" t="s">
        <v>159</v>
      </c>
      <c r="J15" s="53" t="s">
        <v>38</v>
      </c>
      <c r="K15" s="53" t="s">
        <v>161</v>
      </c>
      <c r="L15" s="53">
        <v>2</v>
      </c>
      <c r="N15" s="53">
        <v>1</v>
      </c>
      <c r="O15" s="53">
        <v>0.6</v>
      </c>
      <c r="P15" s="53">
        <v>0.65</v>
      </c>
      <c r="Q15" s="75">
        <f t="shared" si="0"/>
        <v>0.625</v>
      </c>
      <c r="R15" s="53">
        <v>14.9</v>
      </c>
      <c r="S15" s="53">
        <v>125</v>
      </c>
      <c r="T15" s="16">
        <f t="shared" si="1"/>
        <v>27</v>
      </c>
      <c r="U15" s="53">
        <v>106</v>
      </c>
      <c r="V15" s="16">
        <f t="shared" si="2"/>
        <v>2862</v>
      </c>
      <c r="W15" s="53">
        <v>2</v>
      </c>
      <c r="X15" s="53" t="s">
        <v>46</v>
      </c>
      <c r="Y15" s="53" t="s">
        <v>55</v>
      </c>
      <c r="Z15" s="53" t="s">
        <v>64</v>
      </c>
      <c r="AA15" s="53" t="s">
        <v>78</v>
      </c>
      <c r="AB15" s="53" t="s">
        <v>158</v>
      </c>
      <c r="AE15" s="22" t="s">
        <v>79</v>
      </c>
      <c r="AP15" s="23" t="s">
        <v>77</v>
      </c>
      <c r="AR15" s="23" t="s">
        <v>94</v>
      </c>
      <c r="AV15" s="23" t="s">
        <v>107</v>
      </c>
    </row>
    <row r="16" spans="1:53" x14ac:dyDescent="0.15">
      <c r="A16" s="53" t="s">
        <v>56</v>
      </c>
      <c r="B16" s="53" t="s">
        <v>232</v>
      </c>
      <c r="C16" s="53">
        <v>2019</v>
      </c>
      <c r="D16" s="81" t="s">
        <v>233</v>
      </c>
      <c r="E16" s="53" t="s">
        <v>162</v>
      </c>
      <c r="F16" s="53" t="s">
        <v>250</v>
      </c>
      <c r="G16" s="53" t="s">
        <v>42</v>
      </c>
      <c r="H16" s="53" t="s">
        <v>164</v>
      </c>
      <c r="I16" s="53" t="s">
        <v>159</v>
      </c>
      <c r="J16" s="53" t="s">
        <v>38</v>
      </c>
      <c r="K16" s="53" t="s">
        <v>161</v>
      </c>
      <c r="L16" s="53">
        <v>3</v>
      </c>
      <c r="N16" s="53">
        <v>1</v>
      </c>
      <c r="O16" s="53">
        <v>0.55000000000000004</v>
      </c>
      <c r="P16" s="53">
        <v>0.55000000000000004</v>
      </c>
      <c r="Q16" s="75">
        <f t="shared" si="0"/>
        <v>0.55000000000000004</v>
      </c>
      <c r="R16" s="53">
        <v>17.3</v>
      </c>
      <c r="S16" s="53">
        <v>122</v>
      </c>
      <c r="T16" s="16">
        <f t="shared" si="1"/>
        <v>27</v>
      </c>
      <c r="U16" s="53">
        <v>106</v>
      </c>
      <c r="V16" s="16">
        <f t="shared" si="2"/>
        <v>2862</v>
      </c>
      <c r="W16" s="53">
        <v>2</v>
      </c>
      <c r="X16" s="53" t="s">
        <v>46</v>
      </c>
      <c r="Y16" s="53" t="s">
        <v>55</v>
      </c>
      <c r="Z16" s="53" t="s">
        <v>64</v>
      </c>
      <c r="AA16" s="53" t="s">
        <v>78</v>
      </c>
      <c r="AB16" s="53" t="s">
        <v>158</v>
      </c>
      <c r="AE16" s="22" t="s">
        <v>82</v>
      </c>
      <c r="AP16" s="23" t="s">
        <v>80</v>
      </c>
      <c r="AR16" s="23" t="s">
        <v>63</v>
      </c>
      <c r="AV16" s="23" t="s">
        <v>84</v>
      </c>
    </row>
    <row r="17" spans="1:48" x14ac:dyDescent="0.15">
      <c r="A17" s="53" t="s">
        <v>56</v>
      </c>
      <c r="B17" s="53" t="s">
        <v>232</v>
      </c>
      <c r="C17" s="53">
        <v>2019</v>
      </c>
      <c r="D17" s="81" t="s">
        <v>233</v>
      </c>
      <c r="E17" s="53" t="s">
        <v>162</v>
      </c>
      <c r="F17" s="53" t="s">
        <v>250</v>
      </c>
      <c r="G17" s="53" t="s">
        <v>42</v>
      </c>
      <c r="H17" s="53" t="s">
        <v>160</v>
      </c>
      <c r="I17" s="53" t="s">
        <v>159</v>
      </c>
      <c r="J17" s="53" t="s">
        <v>38</v>
      </c>
      <c r="K17" s="53" t="s">
        <v>161</v>
      </c>
      <c r="L17" s="53">
        <v>1</v>
      </c>
      <c r="N17" s="53">
        <v>1</v>
      </c>
      <c r="O17" s="53">
        <v>0.7</v>
      </c>
      <c r="P17" s="53">
        <v>0.7</v>
      </c>
      <c r="Q17" s="75">
        <f t="shared" si="0"/>
        <v>0.7</v>
      </c>
      <c r="R17" s="53">
        <v>16.3</v>
      </c>
      <c r="S17" s="53">
        <v>116</v>
      </c>
      <c r="T17" s="16">
        <f t="shared" si="1"/>
        <v>30</v>
      </c>
      <c r="U17" s="53">
        <v>138</v>
      </c>
      <c r="V17" s="16">
        <f t="shared" si="2"/>
        <v>4140</v>
      </c>
      <c r="W17" s="53">
        <v>4</v>
      </c>
      <c r="X17" s="53" t="s">
        <v>46</v>
      </c>
      <c r="Y17" s="53" t="s">
        <v>55</v>
      </c>
      <c r="Z17" s="53" t="s">
        <v>64</v>
      </c>
      <c r="AA17" s="53" t="s">
        <v>78</v>
      </c>
      <c r="AB17" s="53" t="s">
        <v>158</v>
      </c>
      <c r="AE17" s="22" t="s">
        <v>85</v>
      </c>
      <c r="AP17" s="27" t="s">
        <v>110</v>
      </c>
      <c r="AR17" s="23" t="s">
        <v>96</v>
      </c>
      <c r="AV17" s="23" t="s">
        <v>86</v>
      </c>
    </row>
    <row r="18" spans="1:48" x14ac:dyDescent="0.15">
      <c r="A18" s="53" t="s">
        <v>56</v>
      </c>
      <c r="B18" s="53" t="s">
        <v>232</v>
      </c>
      <c r="C18" s="53">
        <v>2019</v>
      </c>
      <c r="D18" s="81" t="s">
        <v>233</v>
      </c>
      <c r="E18" s="53" t="s">
        <v>162</v>
      </c>
      <c r="F18" s="53" t="s">
        <v>250</v>
      </c>
      <c r="G18" s="53" t="s">
        <v>42</v>
      </c>
      <c r="H18" s="53" t="s">
        <v>160</v>
      </c>
      <c r="I18" s="53" t="s">
        <v>159</v>
      </c>
      <c r="J18" s="53" t="s">
        <v>38</v>
      </c>
      <c r="K18" s="53" t="s">
        <v>161</v>
      </c>
      <c r="L18" s="53">
        <v>2</v>
      </c>
      <c r="N18" s="53">
        <v>1</v>
      </c>
      <c r="O18" s="53">
        <v>0.7</v>
      </c>
      <c r="P18" s="53">
        <v>0.7</v>
      </c>
      <c r="Q18" s="75">
        <f t="shared" si="0"/>
        <v>0.7</v>
      </c>
      <c r="R18" s="53">
        <v>16.8</v>
      </c>
      <c r="S18" s="53">
        <v>124</v>
      </c>
      <c r="T18" s="16">
        <f t="shared" si="1"/>
        <v>27</v>
      </c>
      <c r="U18" s="53">
        <v>138</v>
      </c>
      <c r="V18" s="16">
        <f t="shared" si="2"/>
        <v>3726</v>
      </c>
      <c r="W18" s="53">
        <v>4</v>
      </c>
      <c r="X18" s="53" t="s">
        <v>46</v>
      </c>
      <c r="Y18" s="53" t="s">
        <v>55</v>
      </c>
      <c r="Z18" s="53" t="s">
        <v>64</v>
      </c>
      <c r="AA18" s="53" t="s">
        <v>78</v>
      </c>
      <c r="AB18" s="53" t="s">
        <v>158</v>
      </c>
      <c r="AE18" s="22" t="s">
        <v>87</v>
      </c>
      <c r="AP18" s="27" t="s">
        <v>111</v>
      </c>
      <c r="AR18" s="23" t="s">
        <v>101</v>
      </c>
      <c r="AV18" s="23" t="s">
        <v>88</v>
      </c>
    </row>
    <row r="19" spans="1:48" x14ac:dyDescent="0.15">
      <c r="A19" s="53" t="s">
        <v>56</v>
      </c>
      <c r="B19" s="53" t="s">
        <v>232</v>
      </c>
      <c r="C19" s="53">
        <v>2019</v>
      </c>
      <c r="D19" s="81" t="s">
        <v>233</v>
      </c>
      <c r="E19" s="53" t="s">
        <v>162</v>
      </c>
      <c r="F19" s="53" t="s">
        <v>250</v>
      </c>
      <c r="G19" s="53" t="s">
        <v>42</v>
      </c>
      <c r="H19" s="53" t="s">
        <v>160</v>
      </c>
      <c r="I19" s="53" t="s">
        <v>159</v>
      </c>
      <c r="J19" s="53" t="s">
        <v>38</v>
      </c>
      <c r="K19" s="53" t="s">
        <v>161</v>
      </c>
      <c r="L19" s="53">
        <v>3</v>
      </c>
      <c r="N19" s="53">
        <v>1</v>
      </c>
      <c r="O19" s="53">
        <v>0.7</v>
      </c>
      <c r="P19" s="53">
        <v>0.8</v>
      </c>
      <c r="Q19" s="75">
        <f t="shared" si="0"/>
        <v>0.75</v>
      </c>
      <c r="R19" s="53">
        <v>15.1</v>
      </c>
      <c r="S19" s="53">
        <v>119</v>
      </c>
      <c r="T19" s="16">
        <f t="shared" si="1"/>
        <v>30</v>
      </c>
      <c r="U19" s="53">
        <v>138</v>
      </c>
      <c r="V19" s="16">
        <f t="shared" si="2"/>
        <v>4140</v>
      </c>
      <c r="W19" s="53">
        <v>4</v>
      </c>
      <c r="X19" s="53" t="s">
        <v>46</v>
      </c>
      <c r="Y19" s="53" t="s">
        <v>55</v>
      </c>
      <c r="Z19" s="53" t="s">
        <v>64</v>
      </c>
      <c r="AA19" s="53" t="s">
        <v>78</v>
      </c>
      <c r="AB19" s="53" t="s">
        <v>158</v>
      </c>
      <c r="AE19" s="35" t="s">
        <v>89</v>
      </c>
      <c r="AP19" s="27" t="s">
        <v>112</v>
      </c>
      <c r="AR19" s="23" t="s">
        <v>126</v>
      </c>
      <c r="AV19" s="23" t="s">
        <v>90</v>
      </c>
    </row>
    <row r="20" spans="1:48" x14ac:dyDescent="0.15">
      <c r="A20" s="53" t="s">
        <v>56</v>
      </c>
      <c r="B20" s="53" t="s">
        <v>232</v>
      </c>
      <c r="C20" s="53">
        <v>2019</v>
      </c>
      <c r="D20" s="81" t="s">
        <v>233</v>
      </c>
      <c r="E20" s="53" t="s">
        <v>251</v>
      </c>
      <c r="F20" s="53" t="s">
        <v>252</v>
      </c>
      <c r="G20" s="53" t="s">
        <v>42</v>
      </c>
      <c r="H20" s="53" t="s">
        <v>164</v>
      </c>
      <c r="I20" s="53" t="s">
        <v>159</v>
      </c>
      <c r="J20" s="53" t="s">
        <v>38</v>
      </c>
      <c r="K20" s="53" t="s">
        <v>161</v>
      </c>
      <c r="L20" s="53">
        <v>1</v>
      </c>
      <c r="N20" s="53">
        <v>1</v>
      </c>
      <c r="O20" s="53">
        <v>0.55000000000000004</v>
      </c>
      <c r="P20" s="53">
        <v>0.5</v>
      </c>
      <c r="Q20" s="75">
        <f t="shared" si="0"/>
        <v>0.52500000000000002</v>
      </c>
      <c r="R20" s="53">
        <v>14.4</v>
      </c>
      <c r="S20" s="53">
        <v>115</v>
      </c>
      <c r="T20" s="16">
        <f t="shared" si="1"/>
        <v>30</v>
      </c>
      <c r="U20" s="53">
        <v>138</v>
      </c>
      <c r="V20" s="16">
        <f t="shared" si="2"/>
        <v>4140</v>
      </c>
      <c r="W20" s="53">
        <v>4</v>
      </c>
      <c r="X20" s="53" t="s">
        <v>46</v>
      </c>
      <c r="Y20" s="53" t="s">
        <v>55</v>
      </c>
      <c r="Z20" s="53" t="s">
        <v>64</v>
      </c>
      <c r="AA20" s="53" t="s">
        <v>97</v>
      </c>
      <c r="AB20" s="53" t="s">
        <v>158</v>
      </c>
      <c r="AP20" s="27" t="s">
        <v>113</v>
      </c>
      <c r="AR20" s="23" t="s">
        <v>105</v>
      </c>
      <c r="AV20" s="27" t="s">
        <v>135</v>
      </c>
    </row>
    <row r="21" spans="1:48" x14ac:dyDescent="0.15">
      <c r="A21" s="53" t="s">
        <v>56</v>
      </c>
      <c r="B21" s="53" t="s">
        <v>232</v>
      </c>
      <c r="C21" s="53">
        <v>2019</v>
      </c>
      <c r="D21" s="81" t="s">
        <v>233</v>
      </c>
      <c r="E21" s="53" t="s">
        <v>251</v>
      </c>
      <c r="F21" s="53" t="s">
        <v>252</v>
      </c>
      <c r="G21" s="53" t="s">
        <v>42</v>
      </c>
      <c r="H21" s="53" t="s">
        <v>164</v>
      </c>
      <c r="I21" s="53" t="s">
        <v>159</v>
      </c>
      <c r="J21" s="53" t="s">
        <v>38</v>
      </c>
      <c r="K21" s="53" t="s">
        <v>161</v>
      </c>
      <c r="L21" s="53">
        <v>2</v>
      </c>
      <c r="N21" s="53">
        <v>1</v>
      </c>
      <c r="O21" s="53">
        <v>0.55000000000000004</v>
      </c>
      <c r="P21" s="53">
        <v>0.5</v>
      </c>
      <c r="Q21" s="75">
        <f t="shared" si="0"/>
        <v>0.52500000000000002</v>
      </c>
      <c r="R21" s="53">
        <v>12.6</v>
      </c>
      <c r="S21" s="53">
        <v>120</v>
      </c>
      <c r="T21" s="16">
        <f t="shared" si="1"/>
        <v>30</v>
      </c>
      <c r="U21" s="53">
        <v>138</v>
      </c>
      <c r="V21" s="16">
        <f t="shared" si="2"/>
        <v>4140</v>
      </c>
      <c r="W21" s="53">
        <v>4</v>
      </c>
      <c r="X21" s="53" t="s">
        <v>46</v>
      </c>
      <c r="Y21" s="53" t="s">
        <v>55</v>
      </c>
      <c r="Z21" s="53" t="s">
        <v>64</v>
      </c>
      <c r="AA21" s="53" t="s">
        <v>97</v>
      </c>
      <c r="AB21" s="53" t="s">
        <v>158</v>
      </c>
      <c r="AP21" s="27" t="s">
        <v>114</v>
      </c>
      <c r="AR21" s="23" t="s">
        <v>68</v>
      </c>
      <c r="AV21" s="28" t="s">
        <v>253</v>
      </c>
    </row>
    <row r="22" spans="1:48" x14ac:dyDescent="0.15">
      <c r="A22" s="53" t="s">
        <v>56</v>
      </c>
      <c r="B22" s="53" t="s">
        <v>232</v>
      </c>
      <c r="C22" s="53">
        <v>2019</v>
      </c>
      <c r="D22" s="81" t="s">
        <v>233</v>
      </c>
      <c r="E22" s="53" t="s">
        <v>251</v>
      </c>
      <c r="F22" s="53" t="s">
        <v>252</v>
      </c>
      <c r="G22" s="53" t="s">
        <v>42</v>
      </c>
      <c r="H22" s="53" t="s">
        <v>164</v>
      </c>
      <c r="I22" s="53" t="s">
        <v>159</v>
      </c>
      <c r="J22" s="53" t="s">
        <v>38</v>
      </c>
      <c r="K22" s="53" t="s">
        <v>161</v>
      </c>
      <c r="L22" s="53">
        <v>3</v>
      </c>
      <c r="N22" s="53">
        <v>1</v>
      </c>
      <c r="O22" s="53">
        <v>0.65</v>
      </c>
      <c r="P22" s="53">
        <v>0.7</v>
      </c>
      <c r="Q22" s="75">
        <f t="shared" si="0"/>
        <v>0.67500000000000004</v>
      </c>
      <c r="R22" s="53">
        <v>11.3</v>
      </c>
      <c r="S22" s="53">
        <v>122</v>
      </c>
      <c r="T22" s="16">
        <f t="shared" si="1"/>
        <v>27</v>
      </c>
      <c r="U22" s="53">
        <v>138</v>
      </c>
      <c r="V22" s="16">
        <f t="shared" si="2"/>
        <v>3726</v>
      </c>
      <c r="W22" s="53">
        <v>4</v>
      </c>
      <c r="X22" s="53" t="s">
        <v>46</v>
      </c>
      <c r="Y22" s="53" t="s">
        <v>55</v>
      </c>
      <c r="Z22" s="53" t="s">
        <v>64</v>
      </c>
      <c r="AA22" s="53" t="s">
        <v>97</v>
      </c>
      <c r="AB22" s="53" t="s">
        <v>158</v>
      </c>
      <c r="AP22" s="27" t="s">
        <v>115</v>
      </c>
      <c r="AR22" s="23" t="s">
        <v>83</v>
      </c>
    </row>
    <row r="23" spans="1:48" x14ac:dyDescent="0.15">
      <c r="A23" s="53" t="s">
        <v>56</v>
      </c>
      <c r="B23" s="53" t="s">
        <v>232</v>
      </c>
      <c r="C23" s="53">
        <v>2019</v>
      </c>
      <c r="D23" s="81" t="s">
        <v>233</v>
      </c>
      <c r="E23" s="53" t="s">
        <v>251</v>
      </c>
      <c r="F23" s="53" t="s">
        <v>252</v>
      </c>
      <c r="G23" s="53" t="s">
        <v>42</v>
      </c>
      <c r="H23" s="53" t="s">
        <v>160</v>
      </c>
      <c r="I23" s="53" t="s">
        <v>159</v>
      </c>
      <c r="J23" s="53" t="s">
        <v>38</v>
      </c>
      <c r="K23" s="53" t="s">
        <v>161</v>
      </c>
      <c r="L23" s="53">
        <v>1</v>
      </c>
      <c r="N23" s="53">
        <v>1</v>
      </c>
      <c r="O23" s="53">
        <v>0.7</v>
      </c>
      <c r="P23" s="53">
        <v>0.75</v>
      </c>
      <c r="Q23" s="75">
        <f t="shared" si="0"/>
        <v>0.72499999999999998</v>
      </c>
      <c r="R23" s="53">
        <v>16.5</v>
      </c>
      <c r="S23" s="53">
        <v>130</v>
      </c>
      <c r="T23" s="16">
        <f t="shared" si="1"/>
        <v>25</v>
      </c>
      <c r="U23" s="53">
        <v>138</v>
      </c>
      <c r="V23" s="16">
        <f t="shared" si="2"/>
        <v>3450</v>
      </c>
      <c r="W23" s="53">
        <v>6</v>
      </c>
      <c r="X23" s="53" t="s">
        <v>46</v>
      </c>
      <c r="Y23" s="53" t="s">
        <v>55</v>
      </c>
      <c r="Z23" s="53" t="s">
        <v>64</v>
      </c>
      <c r="AA23" s="53" t="s">
        <v>97</v>
      </c>
      <c r="AB23" s="53" t="s">
        <v>158</v>
      </c>
      <c r="AP23" s="27" t="s">
        <v>137</v>
      </c>
      <c r="AR23" s="23" t="s">
        <v>61</v>
      </c>
    </row>
    <row r="24" spans="1:48" x14ac:dyDescent="0.15">
      <c r="A24" s="53" t="s">
        <v>56</v>
      </c>
      <c r="B24" s="53" t="s">
        <v>232</v>
      </c>
      <c r="C24" s="53">
        <v>2019</v>
      </c>
      <c r="D24" s="81" t="s">
        <v>233</v>
      </c>
      <c r="E24" s="53" t="s">
        <v>251</v>
      </c>
      <c r="F24" s="53" t="s">
        <v>252</v>
      </c>
      <c r="G24" s="53" t="s">
        <v>42</v>
      </c>
      <c r="H24" s="53" t="s">
        <v>160</v>
      </c>
      <c r="I24" s="53" t="s">
        <v>159</v>
      </c>
      <c r="J24" s="53" t="s">
        <v>38</v>
      </c>
      <c r="K24" s="53" t="s">
        <v>161</v>
      </c>
      <c r="L24" s="53">
        <v>2</v>
      </c>
      <c r="N24" s="53">
        <v>1</v>
      </c>
      <c r="O24" s="53">
        <v>0.65</v>
      </c>
      <c r="P24" s="53">
        <v>0.6</v>
      </c>
      <c r="Q24" s="75">
        <f t="shared" si="0"/>
        <v>0.625</v>
      </c>
      <c r="R24" s="53">
        <v>18.3</v>
      </c>
      <c r="S24" s="53">
        <v>134</v>
      </c>
      <c r="T24" s="16">
        <f t="shared" si="1"/>
        <v>25</v>
      </c>
      <c r="U24" s="53">
        <v>138</v>
      </c>
      <c r="V24" s="16">
        <f t="shared" si="2"/>
        <v>3450</v>
      </c>
      <c r="W24" s="53">
        <v>6</v>
      </c>
      <c r="X24" s="53" t="s">
        <v>46</v>
      </c>
      <c r="Y24" s="53" t="s">
        <v>55</v>
      </c>
      <c r="Z24" s="53" t="s">
        <v>64</v>
      </c>
      <c r="AA24" s="53" t="s">
        <v>97</v>
      </c>
      <c r="AB24" s="53" t="s">
        <v>158</v>
      </c>
      <c r="AP24" s="27" t="s">
        <v>138</v>
      </c>
      <c r="AR24" s="23" t="s">
        <v>91</v>
      </c>
    </row>
    <row r="25" spans="1:48" x14ac:dyDescent="0.15">
      <c r="A25" s="53" t="s">
        <v>56</v>
      </c>
      <c r="B25" s="53" t="s">
        <v>232</v>
      </c>
      <c r="C25" s="53">
        <v>2019</v>
      </c>
      <c r="D25" s="81" t="s">
        <v>233</v>
      </c>
      <c r="E25" s="53" t="s">
        <v>251</v>
      </c>
      <c r="F25" s="53" t="s">
        <v>252</v>
      </c>
      <c r="G25" s="53" t="s">
        <v>42</v>
      </c>
      <c r="H25" s="53" t="s">
        <v>160</v>
      </c>
      <c r="I25" s="53" t="s">
        <v>159</v>
      </c>
      <c r="J25" s="53" t="s">
        <v>38</v>
      </c>
      <c r="K25" s="53" t="s">
        <v>161</v>
      </c>
      <c r="L25" s="53">
        <v>3</v>
      </c>
      <c r="N25" s="53">
        <v>1</v>
      </c>
      <c r="O25" s="53">
        <v>0.75</v>
      </c>
      <c r="P25" s="53">
        <v>0.7</v>
      </c>
      <c r="Q25" s="75">
        <f t="shared" si="0"/>
        <v>0.72499999999999998</v>
      </c>
      <c r="R25" s="53">
        <v>16.7</v>
      </c>
      <c r="S25" s="53">
        <v>125</v>
      </c>
      <c r="T25" s="16">
        <f t="shared" si="1"/>
        <v>27</v>
      </c>
      <c r="U25" s="53">
        <v>138</v>
      </c>
      <c r="V25" s="16">
        <f t="shared" si="2"/>
        <v>3726</v>
      </c>
      <c r="W25" s="53">
        <v>6</v>
      </c>
      <c r="X25" s="53" t="s">
        <v>46</v>
      </c>
      <c r="Y25" s="53" t="s">
        <v>55</v>
      </c>
      <c r="Z25" s="53" t="s">
        <v>64</v>
      </c>
      <c r="AA25" s="53" t="s">
        <v>97</v>
      </c>
      <c r="AB25" s="53" t="s">
        <v>158</v>
      </c>
      <c r="AP25" s="27" t="s">
        <v>116</v>
      </c>
      <c r="AR25" s="27" t="s">
        <v>92</v>
      </c>
    </row>
    <row r="26" spans="1:48" x14ac:dyDescent="0.15">
      <c r="A26" s="53" t="s">
        <v>56</v>
      </c>
      <c r="B26" s="53" t="s">
        <v>232</v>
      </c>
      <c r="C26" s="53">
        <v>2019</v>
      </c>
      <c r="D26" s="81" t="s">
        <v>233</v>
      </c>
      <c r="E26" s="53" t="s">
        <v>254</v>
      </c>
      <c r="F26" s="53" t="s">
        <v>250</v>
      </c>
      <c r="G26" s="53" t="s">
        <v>42</v>
      </c>
      <c r="H26" s="53" t="s">
        <v>164</v>
      </c>
      <c r="I26" s="53" t="s">
        <v>159</v>
      </c>
      <c r="J26" s="53" t="s">
        <v>38</v>
      </c>
      <c r="K26" s="53" t="s">
        <v>161</v>
      </c>
      <c r="L26" s="53">
        <v>1</v>
      </c>
      <c r="N26" s="53">
        <v>5</v>
      </c>
      <c r="O26" s="53">
        <v>0.9</v>
      </c>
      <c r="P26" s="53">
        <v>0.9</v>
      </c>
      <c r="Q26" s="16">
        <f t="shared" si="0"/>
        <v>0.9</v>
      </c>
      <c r="R26" s="53">
        <v>16.399999999999999</v>
      </c>
      <c r="S26" s="53">
        <v>102</v>
      </c>
      <c r="T26" s="16">
        <f t="shared" si="1"/>
        <v>33</v>
      </c>
      <c r="U26" s="53">
        <v>418</v>
      </c>
      <c r="V26" s="16">
        <f t="shared" si="2"/>
        <v>2758.7999999999997</v>
      </c>
      <c r="W26" s="53">
        <v>4</v>
      </c>
      <c r="X26" s="53" t="s">
        <v>39</v>
      </c>
      <c r="Y26" s="53" t="s">
        <v>55</v>
      </c>
      <c r="Z26" s="53" t="s">
        <v>78</v>
      </c>
      <c r="AA26" s="53" t="s">
        <v>47</v>
      </c>
      <c r="AB26" s="53" t="s">
        <v>158</v>
      </c>
      <c r="AP26" s="27" t="s">
        <v>117</v>
      </c>
      <c r="AR26" s="53" t="s">
        <v>153</v>
      </c>
    </row>
    <row r="27" spans="1:48" x14ac:dyDescent="0.15">
      <c r="A27" s="53" t="s">
        <v>56</v>
      </c>
      <c r="B27" s="53" t="s">
        <v>232</v>
      </c>
      <c r="C27" s="53">
        <v>2019</v>
      </c>
      <c r="D27" s="81" t="s">
        <v>233</v>
      </c>
      <c r="E27" s="53" t="s">
        <v>254</v>
      </c>
      <c r="F27" s="53" t="s">
        <v>250</v>
      </c>
      <c r="G27" s="53" t="s">
        <v>42</v>
      </c>
      <c r="H27" s="53" t="s">
        <v>164</v>
      </c>
      <c r="I27" s="53" t="s">
        <v>159</v>
      </c>
      <c r="J27" s="53" t="s">
        <v>38</v>
      </c>
      <c r="K27" s="53" t="s">
        <v>161</v>
      </c>
      <c r="L27" s="53">
        <v>2</v>
      </c>
      <c r="N27" s="53">
        <v>5</v>
      </c>
      <c r="O27" s="53">
        <v>0.75</v>
      </c>
      <c r="P27" s="53">
        <v>0.75</v>
      </c>
      <c r="Q27" s="16">
        <f t="shared" si="0"/>
        <v>0.75</v>
      </c>
      <c r="R27" s="53">
        <v>13.4</v>
      </c>
      <c r="S27" s="53">
        <v>104</v>
      </c>
      <c r="T27" s="16">
        <f t="shared" si="1"/>
        <v>33</v>
      </c>
      <c r="U27" s="53">
        <v>418</v>
      </c>
      <c r="V27" s="16">
        <f t="shared" si="2"/>
        <v>2758.7999999999997</v>
      </c>
      <c r="W27" s="53">
        <v>4</v>
      </c>
      <c r="X27" s="53" t="s">
        <v>39</v>
      </c>
      <c r="Y27" s="53" t="s">
        <v>55</v>
      </c>
      <c r="Z27" s="53" t="s">
        <v>78</v>
      </c>
      <c r="AA27" s="53" t="s">
        <v>47</v>
      </c>
      <c r="AB27" s="53" t="s">
        <v>158</v>
      </c>
      <c r="AP27" s="27" t="s">
        <v>118</v>
      </c>
    </row>
    <row r="28" spans="1:48" x14ac:dyDescent="0.15">
      <c r="A28" s="53" t="s">
        <v>56</v>
      </c>
      <c r="B28" s="53" t="s">
        <v>232</v>
      </c>
      <c r="C28" s="53">
        <v>2019</v>
      </c>
      <c r="D28" s="81" t="s">
        <v>233</v>
      </c>
      <c r="E28" s="53" t="s">
        <v>254</v>
      </c>
      <c r="F28" s="53" t="s">
        <v>250</v>
      </c>
      <c r="G28" s="53" t="s">
        <v>42</v>
      </c>
      <c r="H28" s="53" t="s">
        <v>164</v>
      </c>
      <c r="I28" s="53" t="s">
        <v>159</v>
      </c>
      <c r="J28" s="53" t="s">
        <v>38</v>
      </c>
      <c r="K28" s="53" t="s">
        <v>161</v>
      </c>
      <c r="L28" s="53">
        <v>3</v>
      </c>
      <c r="N28" s="53">
        <v>5</v>
      </c>
      <c r="O28" s="53">
        <v>0.75</v>
      </c>
      <c r="P28" s="53">
        <v>0.75</v>
      </c>
      <c r="Q28" s="16">
        <f t="shared" si="0"/>
        <v>0.75</v>
      </c>
      <c r="R28" s="53">
        <v>14.2</v>
      </c>
      <c r="S28" s="53">
        <v>99</v>
      </c>
      <c r="T28" s="16">
        <f t="shared" si="1"/>
        <v>33</v>
      </c>
      <c r="U28" s="53">
        <v>418</v>
      </c>
      <c r="V28" s="16">
        <f t="shared" si="2"/>
        <v>2758.7999999999997</v>
      </c>
      <c r="W28" s="53">
        <v>4</v>
      </c>
      <c r="X28" s="53" t="s">
        <v>39</v>
      </c>
      <c r="Y28" s="53" t="s">
        <v>55</v>
      </c>
      <c r="Z28" s="53" t="s">
        <v>78</v>
      </c>
      <c r="AA28" s="53" t="s">
        <v>47</v>
      </c>
      <c r="AB28" s="53" t="s">
        <v>158</v>
      </c>
    </row>
    <row r="29" spans="1:48" x14ac:dyDescent="0.15">
      <c r="A29" s="53" t="s">
        <v>56</v>
      </c>
      <c r="B29" s="53" t="s">
        <v>232</v>
      </c>
      <c r="C29" s="53">
        <v>2019</v>
      </c>
      <c r="D29" s="81" t="s">
        <v>233</v>
      </c>
      <c r="E29" s="53" t="s">
        <v>254</v>
      </c>
      <c r="F29" s="53" t="s">
        <v>250</v>
      </c>
      <c r="G29" s="53" t="s">
        <v>42</v>
      </c>
      <c r="H29" s="53" t="s">
        <v>160</v>
      </c>
      <c r="I29" s="53" t="s">
        <v>159</v>
      </c>
      <c r="J29" s="53" t="s">
        <v>38</v>
      </c>
      <c r="K29" s="53" t="s">
        <v>161</v>
      </c>
      <c r="L29" s="53">
        <v>1</v>
      </c>
      <c r="N29" s="53">
        <v>4</v>
      </c>
      <c r="O29" s="53">
        <v>0.6</v>
      </c>
      <c r="P29" s="53">
        <v>0.65</v>
      </c>
      <c r="Q29" s="16">
        <f t="shared" si="0"/>
        <v>0.625</v>
      </c>
      <c r="R29" s="53">
        <v>15.6</v>
      </c>
      <c r="S29" s="53">
        <v>96</v>
      </c>
      <c r="T29" s="16">
        <f t="shared" si="1"/>
        <v>36</v>
      </c>
      <c r="U29" s="53">
        <v>418</v>
      </c>
      <c r="V29" s="16">
        <f t="shared" si="2"/>
        <v>3762</v>
      </c>
      <c r="W29" s="53">
        <v>4</v>
      </c>
      <c r="X29" s="53" t="s">
        <v>39</v>
      </c>
      <c r="Y29" s="53" t="s">
        <v>55</v>
      </c>
      <c r="Z29" s="53" t="s">
        <v>78</v>
      </c>
      <c r="AA29" s="53" t="s">
        <v>47</v>
      </c>
      <c r="AB29" s="53" t="s">
        <v>158</v>
      </c>
    </row>
    <row r="30" spans="1:48" x14ac:dyDescent="0.15">
      <c r="A30" s="53" t="s">
        <v>56</v>
      </c>
      <c r="B30" s="53" t="s">
        <v>232</v>
      </c>
      <c r="C30" s="53">
        <v>2019</v>
      </c>
      <c r="D30" s="81" t="s">
        <v>233</v>
      </c>
      <c r="E30" s="53" t="s">
        <v>254</v>
      </c>
      <c r="F30" s="53" t="s">
        <v>250</v>
      </c>
      <c r="G30" s="53" t="s">
        <v>42</v>
      </c>
      <c r="H30" s="53" t="s">
        <v>160</v>
      </c>
      <c r="I30" s="53" t="s">
        <v>159</v>
      </c>
      <c r="J30" s="53" t="s">
        <v>38</v>
      </c>
      <c r="K30" s="53" t="s">
        <v>161</v>
      </c>
      <c r="L30" s="53">
        <v>2</v>
      </c>
      <c r="N30" s="53">
        <v>4</v>
      </c>
      <c r="O30" s="53">
        <v>0.5</v>
      </c>
      <c r="P30" s="53">
        <v>0.5</v>
      </c>
      <c r="Q30" s="16">
        <f t="shared" si="0"/>
        <v>0.5</v>
      </c>
      <c r="R30" s="53">
        <v>17.899999999999999</v>
      </c>
      <c r="S30" s="53">
        <v>99</v>
      </c>
      <c r="T30" s="16">
        <f t="shared" si="1"/>
        <v>33</v>
      </c>
      <c r="U30" s="53">
        <v>418</v>
      </c>
      <c r="V30" s="16">
        <f t="shared" si="2"/>
        <v>3448.5</v>
      </c>
      <c r="W30" s="53">
        <v>4</v>
      </c>
      <c r="X30" s="53" t="s">
        <v>39</v>
      </c>
      <c r="Y30" s="53" t="s">
        <v>55</v>
      </c>
      <c r="Z30" s="53" t="s">
        <v>78</v>
      </c>
      <c r="AA30" s="53" t="s">
        <v>47</v>
      </c>
      <c r="AB30" s="53" t="s">
        <v>158</v>
      </c>
    </row>
    <row r="31" spans="1:48" x14ac:dyDescent="0.15">
      <c r="A31" s="53" t="s">
        <v>56</v>
      </c>
      <c r="B31" s="53" t="s">
        <v>232</v>
      </c>
      <c r="C31" s="53">
        <v>2019</v>
      </c>
      <c r="D31" s="81" t="s">
        <v>233</v>
      </c>
      <c r="E31" s="53" t="s">
        <v>254</v>
      </c>
      <c r="F31" s="53" t="s">
        <v>250</v>
      </c>
      <c r="G31" s="53" t="s">
        <v>42</v>
      </c>
      <c r="H31" s="53" t="s">
        <v>160</v>
      </c>
      <c r="I31" s="53" t="s">
        <v>159</v>
      </c>
      <c r="J31" s="53" t="s">
        <v>38</v>
      </c>
      <c r="K31" s="53" t="s">
        <v>161</v>
      </c>
      <c r="L31" s="53">
        <v>3</v>
      </c>
      <c r="N31" s="53">
        <v>4</v>
      </c>
      <c r="O31" s="53">
        <v>0.6</v>
      </c>
      <c r="P31" s="53">
        <v>0.6</v>
      </c>
      <c r="Q31" s="16">
        <f t="shared" si="0"/>
        <v>0.6</v>
      </c>
      <c r="R31" s="53">
        <v>16</v>
      </c>
      <c r="S31" s="53">
        <v>102</v>
      </c>
      <c r="T31" s="16">
        <f t="shared" si="1"/>
        <v>33</v>
      </c>
      <c r="U31" s="53">
        <v>418</v>
      </c>
      <c r="V31" s="16">
        <f t="shared" si="2"/>
        <v>3448.5</v>
      </c>
      <c r="W31" s="53">
        <v>4</v>
      </c>
      <c r="X31" s="53" t="s">
        <v>39</v>
      </c>
      <c r="Y31" s="53" t="s">
        <v>55</v>
      </c>
      <c r="Z31" s="53" t="s">
        <v>78</v>
      </c>
      <c r="AA31" s="53" t="s">
        <v>47</v>
      </c>
      <c r="AB31" s="53" t="s">
        <v>158</v>
      </c>
    </row>
    <row r="32" spans="1:48" x14ac:dyDescent="0.15">
      <c r="A32" s="53" t="s">
        <v>56</v>
      </c>
      <c r="B32" s="53" t="s">
        <v>232</v>
      </c>
      <c r="C32" s="53">
        <v>2019</v>
      </c>
      <c r="D32" s="81" t="s">
        <v>233</v>
      </c>
      <c r="E32" s="53" t="s">
        <v>162</v>
      </c>
      <c r="F32" s="53" t="s">
        <v>247</v>
      </c>
      <c r="G32" s="53" t="s">
        <v>42</v>
      </c>
      <c r="H32" s="53" t="s">
        <v>164</v>
      </c>
      <c r="I32" s="53" t="s">
        <v>159</v>
      </c>
      <c r="J32" s="53" t="s">
        <v>38</v>
      </c>
      <c r="K32" s="53" t="s">
        <v>161</v>
      </c>
      <c r="L32" s="53">
        <v>1</v>
      </c>
      <c r="N32" s="53">
        <v>6</v>
      </c>
      <c r="O32" s="53">
        <v>0.7</v>
      </c>
      <c r="P32" s="53">
        <v>0.7</v>
      </c>
      <c r="Q32" s="16">
        <f t="shared" si="0"/>
        <v>0.7</v>
      </c>
      <c r="R32" s="53">
        <v>14.2</v>
      </c>
      <c r="S32" s="53">
        <v>81</v>
      </c>
      <c r="T32" s="16">
        <f t="shared" si="1"/>
        <v>39</v>
      </c>
      <c r="U32" s="53">
        <v>322</v>
      </c>
      <c r="V32" s="16">
        <f t="shared" si="2"/>
        <v>2093</v>
      </c>
      <c r="W32" s="53">
        <v>2</v>
      </c>
      <c r="X32" s="53" t="s">
        <v>46</v>
      </c>
      <c r="Y32" s="53" t="s">
        <v>55</v>
      </c>
      <c r="Z32" s="53" t="s">
        <v>64</v>
      </c>
      <c r="AA32" s="53" t="s">
        <v>78</v>
      </c>
      <c r="AB32" s="53" t="s">
        <v>258</v>
      </c>
    </row>
    <row r="33" spans="1:28" x14ac:dyDescent="0.15">
      <c r="A33" s="53" t="s">
        <v>56</v>
      </c>
      <c r="B33" s="53" t="s">
        <v>232</v>
      </c>
      <c r="C33" s="53">
        <v>2019</v>
      </c>
      <c r="D33" s="81" t="s">
        <v>233</v>
      </c>
      <c r="E33" s="53" t="s">
        <v>162</v>
      </c>
      <c r="F33" s="53" t="s">
        <v>247</v>
      </c>
      <c r="G33" s="53" t="s">
        <v>42</v>
      </c>
      <c r="H33" s="53" t="s">
        <v>164</v>
      </c>
      <c r="I33" s="53" t="s">
        <v>159</v>
      </c>
      <c r="J33" s="53" t="s">
        <v>38</v>
      </c>
      <c r="K33" s="53" t="s">
        <v>161</v>
      </c>
      <c r="L33" s="53">
        <v>2</v>
      </c>
      <c r="N33" s="53">
        <v>6</v>
      </c>
      <c r="O33" s="53">
        <v>0.75</v>
      </c>
      <c r="P33" s="53">
        <v>0.75</v>
      </c>
      <c r="Q33" s="16">
        <f t="shared" si="0"/>
        <v>0.75</v>
      </c>
      <c r="R33" s="53">
        <v>14.8</v>
      </c>
      <c r="S33" s="53">
        <v>76</v>
      </c>
      <c r="T33" s="16">
        <f t="shared" si="1"/>
        <v>39</v>
      </c>
      <c r="U33" s="53">
        <v>322</v>
      </c>
      <c r="V33" s="16">
        <f t="shared" si="2"/>
        <v>2093</v>
      </c>
      <c r="W33" s="53">
        <v>2</v>
      </c>
      <c r="X33" s="53" t="s">
        <v>46</v>
      </c>
      <c r="Y33" s="53" t="s">
        <v>55</v>
      </c>
      <c r="Z33" s="53" t="s">
        <v>64</v>
      </c>
      <c r="AA33" s="53" t="s">
        <v>78</v>
      </c>
      <c r="AB33" s="53" t="s">
        <v>158</v>
      </c>
    </row>
    <row r="34" spans="1:28" x14ac:dyDescent="0.15">
      <c r="A34" s="53" t="s">
        <v>56</v>
      </c>
      <c r="B34" s="53" t="s">
        <v>232</v>
      </c>
      <c r="C34" s="53">
        <v>2019</v>
      </c>
      <c r="D34" s="81" t="s">
        <v>233</v>
      </c>
      <c r="E34" s="53" t="s">
        <v>162</v>
      </c>
      <c r="F34" s="53" t="s">
        <v>247</v>
      </c>
      <c r="G34" s="53" t="s">
        <v>42</v>
      </c>
      <c r="H34" s="53" t="s">
        <v>164</v>
      </c>
      <c r="I34" s="53" t="s">
        <v>159</v>
      </c>
      <c r="J34" s="53" t="s">
        <v>38</v>
      </c>
      <c r="K34" s="53" t="s">
        <v>161</v>
      </c>
      <c r="L34" s="53">
        <v>3</v>
      </c>
      <c r="N34" s="53">
        <v>6</v>
      </c>
      <c r="O34" s="53">
        <v>0.75</v>
      </c>
      <c r="P34" s="53">
        <v>0.75</v>
      </c>
      <c r="Q34" s="16">
        <f t="shared" si="0"/>
        <v>0.75</v>
      </c>
      <c r="R34" s="53">
        <v>14.5</v>
      </c>
      <c r="S34" s="53">
        <v>78</v>
      </c>
      <c r="T34" s="16">
        <f t="shared" si="1"/>
        <v>39</v>
      </c>
      <c r="U34" s="53">
        <v>322</v>
      </c>
      <c r="V34" s="16">
        <f t="shared" si="2"/>
        <v>2093</v>
      </c>
      <c r="W34" s="53">
        <v>2</v>
      </c>
      <c r="X34" s="53" t="s">
        <v>46</v>
      </c>
      <c r="Y34" s="53" t="s">
        <v>55</v>
      </c>
      <c r="Z34" s="53" t="s">
        <v>64</v>
      </c>
      <c r="AA34" s="53" t="s">
        <v>78</v>
      </c>
      <c r="AB34" s="53" t="s">
        <v>158</v>
      </c>
    </row>
    <row r="35" spans="1:28" x14ac:dyDescent="0.15">
      <c r="A35" s="53" t="s">
        <v>56</v>
      </c>
      <c r="B35" s="53" t="s">
        <v>232</v>
      </c>
      <c r="C35" s="53">
        <v>2019</v>
      </c>
      <c r="D35" s="81" t="s">
        <v>233</v>
      </c>
      <c r="E35" s="53" t="s">
        <v>162</v>
      </c>
      <c r="F35" s="53" t="s">
        <v>247</v>
      </c>
      <c r="G35" s="53" t="s">
        <v>42</v>
      </c>
      <c r="H35" s="53" t="s">
        <v>160</v>
      </c>
      <c r="I35" s="53" t="s">
        <v>159</v>
      </c>
      <c r="J35" s="53" t="s">
        <v>38</v>
      </c>
      <c r="K35" s="53" t="s">
        <v>161</v>
      </c>
      <c r="L35" s="53">
        <v>1</v>
      </c>
      <c r="N35" s="53">
        <v>1</v>
      </c>
      <c r="O35" s="53">
        <v>0.75</v>
      </c>
      <c r="P35" s="53">
        <v>0.6</v>
      </c>
      <c r="Q35" s="16">
        <f t="shared" si="0"/>
        <v>0.67500000000000004</v>
      </c>
      <c r="R35" s="53">
        <v>16.899999999999999</v>
      </c>
      <c r="S35" s="53">
        <v>112</v>
      </c>
      <c r="T35" s="16">
        <f t="shared" si="1"/>
        <v>33</v>
      </c>
      <c r="U35" s="53">
        <v>138</v>
      </c>
      <c r="V35" s="16">
        <f t="shared" si="2"/>
        <v>4554</v>
      </c>
      <c r="W35" s="53">
        <v>3</v>
      </c>
      <c r="X35" s="53" t="s">
        <v>46</v>
      </c>
      <c r="Y35" s="53" t="s">
        <v>55</v>
      </c>
      <c r="Z35" s="53" t="s">
        <v>64</v>
      </c>
      <c r="AA35" s="53" t="s">
        <v>78</v>
      </c>
      <c r="AB35" s="53" t="s">
        <v>158</v>
      </c>
    </row>
    <row r="36" spans="1:28" x14ac:dyDescent="0.15">
      <c r="A36" s="53" t="s">
        <v>56</v>
      </c>
      <c r="B36" s="53" t="s">
        <v>232</v>
      </c>
      <c r="C36" s="53">
        <v>2019</v>
      </c>
      <c r="D36" s="81" t="s">
        <v>233</v>
      </c>
      <c r="E36" s="53" t="s">
        <v>162</v>
      </c>
      <c r="F36" s="53" t="s">
        <v>247</v>
      </c>
      <c r="G36" s="53" t="s">
        <v>42</v>
      </c>
      <c r="H36" s="53" t="s">
        <v>160</v>
      </c>
      <c r="I36" s="53" t="s">
        <v>159</v>
      </c>
      <c r="J36" s="53" t="s">
        <v>38</v>
      </c>
      <c r="K36" s="53" t="s">
        <v>161</v>
      </c>
      <c r="L36" s="53">
        <v>2</v>
      </c>
      <c r="N36" s="53">
        <v>1</v>
      </c>
      <c r="O36" s="53">
        <v>0.65</v>
      </c>
      <c r="P36" s="53">
        <v>0.8</v>
      </c>
      <c r="Q36" s="16">
        <f t="shared" si="0"/>
        <v>0.72500000000000009</v>
      </c>
      <c r="R36" s="53">
        <v>14.7</v>
      </c>
      <c r="S36" s="53">
        <v>118</v>
      </c>
      <c r="T36" s="16">
        <f t="shared" si="1"/>
        <v>30</v>
      </c>
      <c r="U36" s="53">
        <v>138</v>
      </c>
      <c r="V36" s="16">
        <f t="shared" si="2"/>
        <v>4140</v>
      </c>
      <c r="W36" s="53">
        <v>3</v>
      </c>
      <c r="X36" s="53" t="s">
        <v>46</v>
      </c>
      <c r="Y36" s="53" t="s">
        <v>55</v>
      </c>
      <c r="Z36" s="53" t="s">
        <v>64</v>
      </c>
      <c r="AA36" s="53" t="s">
        <v>78</v>
      </c>
      <c r="AB36" s="53" t="s">
        <v>158</v>
      </c>
    </row>
    <row r="37" spans="1:28" x14ac:dyDescent="0.15">
      <c r="A37" s="53" t="s">
        <v>56</v>
      </c>
      <c r="B37" s="53" t="s">
        <v>232</v>
      </c>
      <c r="C37" s="53">
        <v>2019</v>
      </c>
      <c r="D37" s="81" t="s">
        <v>233</v>
      </c>
      <c r="E37" s="53" t="s">
        <v>162</v>
      </c>
      <c r="F37" s="53" t="s">
        <v>247</v>
      </c>
      <c r="G37" s="53" t="s">
        <v>42</v>
      </c>
      <c r="H37" s="53" t="s">
        <v>160</v>
      </c>
      <c r="I37" s="53" t="s">
        <v>159</v>
      </c>
      <c r="J37" s="53" t="s">
        <v>38</v>
      </c>
      <c r="K37" s="53" t="s">
        <v>161</v>
      </c>
      <c r="L37" s="53">
        <v>3</v>
      </c>
      <c r="N37" s="53">
        <v>1</v>
      </c>
      <c r="O37" s="53">
        <v>0.6</v>
      </c>
      <c r="P37" s="53">
        <v>0.6</v>
      </c>
      <c r="Q37" s="16">
        <f t="shared" si="0"/>
        <v>0.6</v>
      </c>
      <c r="R37" s="53">
        <v>15.6</v>
      </c>
      <c r="S37" s="53">
        <v>124</v>
      </c>
      <c r="T37" s="16">
        <f t="shared" si="1"/>
        <v>27</v>
      </c>
      <c r="U37" s="53">
        <v>138</v>
      </c>
      <c r="V37" s="16">
        <f t="shared" si="2"/>
        <v>3726</v>
      </c>
      <c r="W37" s="53">
        <v>3</v>
      </c>
      <c r="X37" s="53" t="s">
        <v>46</v>
      </c>
      <c r="Y37" s="53" t="s">
        <v>55</v>
      </c>
      <c r="Z37" s="53" t="s">
        <v>64</v>
      </c>
      <c r="AA37" s="53" t="s">
        <v>78</v>
      </c>
      <c r="AB37" s="53" t="s">
        <v>158</v>
      </c>
    </row>
    <row r="38" spans="1:28" x14ac:dyDescent="0.15">
      <c r="A38" s="53" t="s">
        <v>56</v>
      </c>
      <c r="B38" s="53" t="s">
        <v>232</v>
      </c>
      <c r="C38" s="53">
        <v>2019</v>
      </c>
      <c r="D38" s="81" t="s">
        <v>233</v>
      </c>
      <c r="E38" s="53" t="s">
        <v>255</v>
      </c>
      <c r="F38" s="53" t="s">
        <v>247</v>
      </c>
      <c r="G38" s="53" t="s">
        <v>42</v>
      </c>
      <c r="H38" s="53" t="s">
        <v>164</v>
      </c>
      <c r="I38" s="53" t="s">
        <v>159</v>
      </c>
      <c r="J38" s="53" t="s">
        <v>38</v>
      </c>
      <c r="K38" s="53" t="s">
        <v>161</v>
      </c>
      <c r="L38" s="53">
        <v>1</v>
      </c>
      <c r="N38" s="53">
        <v>1</v>
      </c>
      <c r="O38" s="53">
        <v>0.75</v>
      </c>
      <c r="P38" s="53">
        <v>0.85</v>
      </c>
      <c r="Q38" s="16">
        <f t="shared" si="0"/>
        <v>0.8</v>
      </c>
      <c r="R38" s="53">
        <v>15.2</v>
      </c>
      <c r="S38" s="53">
        <v>132</v>
      </c>
      <c r="T38" s="16">
        <f t="shared" si="1"/>
        <v>25</v>
      </c>
      <c r="U38" s="53">
        <v>138</v>
      </c>
      <c r="V38" s="16">
        <f t="shared" si="2"/>
        <v>3450</v>
      </c>
      <c r="W38" s="53">
        <v>1</v>
      </c>
      <c r="X38" s="53" t="s">
        <v>39</v>
      </c>
      <c r="Y38" s="53" t="s">
        <v>64</v>
      </c>
      <c r="Z38" s="53" t="s">
        <v>40</v>
      </c>
      <c r="AA38" s="53" t="s">
        <v>78</v>
      </c>
      <c r="AB38" s="53" t="s">
        <v>158</v>
      </c>
    </row>
    <row r="39" spans="1:28" x14ac:dyDescent="0.15">
      <c r="A39" s="53" t="s">
        <v>56</v>
      </c>
      <c r="B39" s="53" t="s">
        <v>232</v>
      </c>
      <c r="C39" s="53">
        <v>2019</v>
      </c>
      <c r="D39" s="81" t="s">
        <v>233</v>
      </c>
      <c r="E39" s="53" t="s">
        <v>255</v>
      </c>
      <c r="F39" s="53" t="s">
        <v>247</v>
      </c>
      <c r="G39" s="53" t="s">
        <v>42</v>
      </c>
      <c r="H39" s="53" t="s">
        <v>164</v>
      </c>
      <c r="I39" s="53" t="s">
        <v>159</v>
      </c>
      <c r="J39" s="53" t="s">
        <v>38</v>
      </c>
      <c r="K39" s="53" t="s">
        <v>161</v>
      </c>
      <c r="L39" s="53">
        <v>2</v>
      </c>
      <c r="N39" s="53">
        <v>1</v>
      </c>
      <c r="O39" s="53">
        <v>0.75</v>
      </c>
      <c r="P39" s="53">
        <v>0.75</v>
      </c>
      <c r="Q39" s="16">
        <f t="shared" si="0"/>
        <v>0.75</v>
      </c>
      <c r="R39" s="53">
        <v>13.5</v>
      </c>
      <c r="S39" s="53">
        <v>128</v>
      </c>
      <c r="T39" s="16">
        <f t="shared" si="1"/>
        <v>27</v>
      </c>
      <c r="U39" s="53">
        <v>138</v>
      </c>
      <c r="V39" s="16">
        <f t="shared" si="2"/>
        <v>3726</v>
      </c>
      <c r="W39" s="53">
        <v>1</v>
      </c>
      <c r="X39" s="53" t="s">
        <v>39</v>
      </c>
      <c r="Y39" s="53" t="s">
        <v>64</v>
      </c>
      <c r="Z39" s="53" t="s">
        <v>40</v>
      </c>
      <c r="AA39" s="53" t="s">
        <v>78</v>
      </c>
      <c r="AB39" s="53" t="s">
        <v>158</v>
      </c>
    </row>
    <row r="40" spans="1:28" x14ac:dyDescent="0.15">
      <c r="A40" s="53" t="s">
        <v>56</v>
      </c>
      <c r="B40" s="53" t="s">
        <v>232</v>
      </c>
      <c r="C40" s="53">
        <v>2019</v>
      </c>
      <c r="D40" s="81" t="s">
        <v>233</v>
      </c>
      <c r="E40" s="53" t="s">
        <v>255</v>
      </c>
      <c r="F40" s="53" t="s">
        <v>247</v>
      </c>
      <c r="G40" s="53" t="s">
        <v>42</v>
      </c>
      <c r="H40" s="53" t="s">
        <v>164</v>
      </c>
      <c r="I40" s="53" t="s">
        <v>159</v>
      </c>
      <c r="J40" s="53" t="s">
        <v>38</v>
      </c>
      <c r="K40" s="53" t="s">
        <v>161</v>
      </c>
      <c r="L40" s="53">
        <v>3</v>
      </c>
      <c r="N40" s="53">
        <v>1</v>
      </c>
      <c r="O40" s="53">
        <v>0.95</v>
      </c>
      <c r="P40" s="53">
        <v>0.9</v>
      </c>
      <c r="Q40" s="16">
        <f t="shared" si="0"/>
        <v>0.92500000000000004</v>
      </c>
      <c r="R40" s="53">
        <v>14</v>
      </c>
      <c r="S40" s="53">
        <v>132</v>
      </c>
      <c r="T40" s="16">
        <f t="shared" si="1"/>
        <v>25</v>
      </c>
      <c r="U40" s="53">
        <v>138</v>
      </c>
      <c r="V40" s="16">
        <f t="shared" si="2"/>
        <v>3450</v>
      </c>
      <c r="W40" s="53">
        <v>1</v>
      </c>
      <c r="X40" s="53" t="s">
        <v>39</v>
      </c>
      <c r="Y40" s="53" t="s">
        <v>64</v>
      </c>
      <c r="Z40" s="53" t="s">
        <v>40</v>
      </c>
      <c r="AA40" s="53" t="s">
        <v>78</v>
      </c>
      <c r="AB40" s="53" t="s">
        <v>158</v>
      </c>
    </row>
    <row r="41" spans="1:28" x14ac:dyDescent="0.15">
      <c r="A41" s="53" t="s">
        <v>56</v>
      </c>
      <c r="B41" s="53" t="s">
        <v>232</v>
      </c>
      <c r="C41" s="53">
        <v>2019</v>
      </c>
      <c r="D41" s="81" t="s">
        <v>233</v>
      </c>
      <c r="E41" s="53" t="s">
        <v>255</v>
      </c>
      <c r="F41" s="53" t="s">
        <v>247</v>
      </c>
      <c r="G41" s="53" t="s">
        <v>42</v>
      </c>
      <c r="H41" s="53" t="s">
        <v>160</v>
      </c>
      <c r="I41" s="53" t="s">
        <v>159</v>
      </c>
      <c r="J41" s="53" t="s">
        <v>38</v>
      </c>
      <c r="K41" s="53" t="s">
        <v>161</v>
      </c>
      <c r="L41" s="53">
        <v>1</v>
      </c>
      <c r="N41" s="53">
        <v>1</v>
      </c>
      <c r="O41" s="53">
        <v>0.8</v>
      </c>
      <c r="P41" s="53">
        <v>0.8</v>
      </c>
      <c r="Q41" s="16">
        <f t="shared" si="0"/>
        <v>0.8</v>
      </c>
      <c r="R41" s="53">
        <v>15.5</v>
      </c>
      <c r="S41" s="53">
        <v>134</v>
      </c>
      <c r="T41" s="16">
        <f t="shared" si="1"/>
        <v>25</v>
      </c>
      <c r="U41" s="53">
        <v>150</v>
      </c>
      <c r="V41" s="16">
        <f t="shared" si="2"/>
        <v>3750</v>
      </c>
      <c r="W41" s="53">
        <v>1</v>
      </c>
      <c r="X41" s="53" t="s">
        <v>39</v>
      </c>
      <c r="Y41" s="53" t="s">
        <v>64</v>
      </c>
      <c r="Z41" s="53" t="s">
        <v>40</v>
      </c>
      <c r="AA41" s="53" t="s">
        <v>78</v>
      </c>
      <c r="AB41" s="53" t="s">
        <v>158</v>
      </c>
    </row>
    <row r="42" spans="1:28" x14ac:dyDescent="0.15">
      <c r="A42" s="53" t="s">
        <v>56</v>
      </c>
      <c r="B42" s="53" t="s">
        <v>232</v>
      </c>
      <c r="C42" s="53">
        <v>2019</v>
      </c>
      <c r="D42" s="81" t="s">
        <v>233</v>
      </c>
      <c r="E42" s="53" t="s">
        <v>255</v>
      </c>
      <c r="F42" s="53" t="s">
        <v>247</v>
      </c>
      <c r="G42" s="53" t="s">
        <v>42</v>
      </c>
      <c r="H42" s="53" t="s">
        <v>160</v>
      </c>
      <c r="I42" s="53" t="s">
        <v>159</v>
      </c>
      <c r="J42" s="53" t="s">
        <v>38</v>
      </c>
      <c r="K42" s="53" t="s">
        <v>161</v>
      </c>
      <c r="L42" s="53">
        <v>2</v>
      </c>
      <c r="N42" s="53">
        <v>1</v>
      </c>
      <c r="O42" s="53">
        <v>0.9</v>
      </c>
      <c r="P42" s="53">
        <v>0.9</v>
      </c>
      <c r="Q42" s="16">
        <f t="shared" si="0"/>
        <v>0.9</v>
      </c>
      <c r="R42" s="53">
        <v>14.3</v>
      </c>
      <c r="S42" s="53">
        <v>132</v>
      </c>
      <c r="T42" s="16">
        <f t="shared" si="1"/>
        <v>25</v>
      </c>
      <c r="U42" s="53">
        <v>150</v>
      </c>
      <c r="V42" s="16">
        <f t="shared" si="2"/>
        <v>3750</v>
      </c>
      <c r="W42" s="53">
        <v>1</v>
      </c>
      <c r="X42" s="53" t="s">
        <v>39</v>
      </c>
      <c r="Y42" s="53" t="s">
        <v>64</v>
      </c>
      <c r="Z42" s="53" t="s">
        <v>40</v>
      </c>
      <c r="AA42" s="53" t="s">
        <v>78</v>
      </c>
      <c r="AB42" s="53" t="s">
        <v>158</v>
      </c>
    </row>
    <row r="43" spans="1:28" x14ac:dyDescent="0.15">
      <c r="A43" s="53" t="s">
        <v>56</v>
      </c>
      <c r="B43" s="53" t="s">
        <v>232</v>
      </c>
      <c r="C43" s="53">
        <v>2019</v>
      </c>
      <c r="D43" s="81" t="s">
        <v>233</v>
      </c>
      <c r="E43" s="53" t="s">
        <v>255</v>
      </c>
      <c r="F43" s="53" t="s">
        <v>247</v>
      </c>
      <c r="G43" s="53" t="s">
        <v>42</v>
      </c>
      <c r="H43" s="53" t="s">
        <v>160</v>
      </c>
      <c r="I43" s="53" t="s">
        <v>159</v>
      </c>
      <c r="J43" s="53" t="s">
        <v>38</v>
      </c>
      <c r="K43" s="53" t="s">
        <v>161</v>
      </c>
      <c r="L43" s="53">
        <v>3</v>
      </c>
      <c r="N43" s="53">
        <v>1</v>
      </c>
      <c r="O43" s="53">
        <v>0.8</v>
      </c>
      <c r="P43" s="53">
        <v>0.75</v>
      </c>
      <c r="Q43" s="16">
        <f t="shared" si="0"/>
        <v>0.77500000000000002</v>
      </c>
      <c r="R43" s="53">
        <v>16.7</v>
      </c>
      <c r="S43" s="53">
        <v>128</v>
      </c>
      <c r="T43" s="16">
        <f t="shared" si="1"/>
        <v>27</v>
      </c>
      <c r="U43" s="53">
        <v>150</v>
      </c>
      <c r="V43" s="16">
        <f t="shared" si="2"/>
        <v>4050</v>
      </c>
      <c r="W43" s="53">
        <v>1</v>
      </c>
      <c r="X43" s="53" t="s">
        <v>39</v>
      </c>
      <c r="Y43" s="53" t="s">
        <v>64</v>
      </c>
      <c r="Z43" s="53" t="s">
        <v>40</v>
      </c>
      <c r="AA43" s="53" t="s">
        <v>78</v>
      </c>
      <c r="AB43" s="53" t="s">
        <v>158</v>
      </c>
    </row>
    <row r="44" spans="1:28" x14ac:dyDescent="0.15">
      <c r="A44" s="53" t="s">
        <v>56</v>
      </c>
      <c r="B44" s="53" t="s">
        <v>232</v>
      </c>
      <c r="C44" s="53">
        <v>2019</v>
      </c>
      <c r="D44" s="81" t="s">
        <v>233</v>
      </c>
      <c r="E44" s="53" t="s">
        <v>256</v>
      </c>
      <c r="F44" s="53" t="s">
        <v>237</v>
      </c>
      <c r="G44" s="53" t="s">
        <v>42</v>
      </c>
      <c r="H44" s="53" t="s">
        <v>164</v>
      </c>
      <c r="I44" s="53" t="s">
        <v>159</v>
      </c>
      <c r="J44" s="53" t="s">
        <v>38</v>
      </c>
      <c r="K44" s="53" t="s">
        <v>161</v>
      </c>
      <c r="L44" s="53">
        <v>1</v>
      </c>
      <c r="N44" s="53">
        <v>5</v>
      </c>
      <c r="O44" s="53">
        <v>0.6</v>
      </c>
      <c r="P44" s="53">
        <v>0.6</v>
      </c>
      <c r="Q44" s="16">
        <f t="shared" si="0"/>
        <v>0.6</v>
      </c>
      <c r="R44" s="53">
        <v>15.9</v>
      </c>
      <c r="S44" s="53">
        <v>91</v>
      </c>
      <c r="T44" s="16">
        <f t="shared" si="1"/>
        <v>36</v>
      </c>
      <c r="U44" s="53">
        <v>429</v>
      </c>
      <c r="V44" s="16">
        <f t="shared" si="2"/>
        <v>3088.7999999999997</v>
      </c>
      <c r="W44" s="53">
        <v>1</v>
      </c>
      <c r="X44" s="53" t="s">
        <v>39</v>
      </c>
      <c r="Y44" s="53" t="s">
        <v>47</v>
      </c>
      <c r="Z44" s="53" t="s">
        <v>55</v>
      </c>
      <c r="AA44" s="53" t="s">
        <v>64</v>
      </c>
      <c r="AB44" s="53" t="s">
        <v>158</v>
      </c>
    </row>
    <row r="45" spans="1:28" x14ac:dyDescent="0.15">
      <c r="A45" s="53" t="s">
        <v>56</v>
      </c>
      <c r="B45" s="53" t="s">
        <v>232</v>
      </c>
      <c r="C45" s="53">
        <v>2019</v>
      </c>
      <c r="D45" s="81" t="s">
        <v>233</v>
      </c>
      <c r="E45" s="53" t="s">
        <v>256</v>
      </c>
      <c r="F45" s="53" t="s">
        <v>237</v>
      </c>
      <c r="G45" s="53" t="s">
        <v>42</v>
      </c>
      <c r="H45" s="53" t="s">
        <v>164</v>
      </c>
      <c r="I45" s="53" t="s">
        <v>159</v>
      </c>
      <c r="J45" s="53" t="s">
        <v>38</v>
      </c>
      <c r="K45" s="53" t="s">
        <v>161</v>
      </c>
      <c r="L45" s="53">
        <v>2</v>
      </c>
      <c r="N45" s="53">
        <v>5</v>
      </c>
      <c r="O45" s="53">
        <v>0.65</v>
      </c>
      <c r="P45" s="53">
        <v>0.6</v>
      </c>
      <c r="Q45" s="16">
        <f t="shared" si="0"/>
        <v>0.625</v>
      </c>
      <c r="R45" s="53">
        <v>15.3</v>
      </c>
      <c r="S45" s="53">
        <v>92</v>
      </c>
      <c r="T45" s="16">
        <f t="shared" si="1"/>
        <v>36</v>
      </c>
      <c r="U45" s="53">
        <v>429</v>
      </c>
      <c r="V45" s="16">
        <f t="shared" si="2"/>
        <v>3088.7999999999997</v>
      </c>
      <c r="W45" s="53">
        <v>1</v>
      </c>
      <c r="X45" s="53" t="s">
        <v>39</v>
      </c>
      <c r="Y45" s="53" t="s">
        <v>47</v>
      </c>
      <c r="Z45" s="53" t="s">
        <v>55</v>
      </c>
      <c r="AA45" s="53" t="s">
        <v>64</v>
      </c>
      <c r="AB45" s="53" t="s">
        <v>158</v>
      </c>
    </row>
    <row r="46" spans="1:28" x14ac:dyDescent="0.15">
      <c r="A46" s="53" t="s">
        <v>56</v>
      </c>
      <c r="B46" s="53" t="s">
        <v>232</v>
      </c>
      <c r="C46" s="53">
        <v>2019</v>
      </c>
      <c r="D46" s="81" t="s">
        <v>233</v>
      </c>
      <c r="E46" s="53" t="s">
        <v>256</v>
      </c>
      <c r="F46" s="53" t="s">
        <v>237</v>
      </c>
      <c r="G46" s="53" t="s">
        <v>42</v>
      </c>
      <c r="H46" s="53" t="s">
        <v>164</v>
      </c>
      <c r="I46" s="53" t="s">
        <v>159</v>
      </c>
      <c r="J46" s="53" t="s">
        <v>38</v>
      </c>
      <c r="K46" s="53" t="s">
        <v>161</v>
      </c>
      <c r="L46" s="53">
        <v>3</v>
      </c>
      <c r="N46" s="53">
        <v>5</v>
      </c>
      <c r="O46" s="53">
        <v>0.7</v>
      </c>
      <c r="P46" s="53">
        <v>0.65</v>
      </c>
      <c r="Q46" s="16">
        <f t="shared" si="0"/>
        <v>0.67500000000000004</v>
      </c>
      <c r="R46" s="53">
        <v>14.8</v>
      </c>
      <c r="S46" s="53">
        <v>89</v>
      </c>
      <c r="T46" s="16">
        <f t="shared" si="1"/>
        <v>36</v>
      </c>
      <c r="U46" s="53">
        <v>429</v>
      </c>
      <c r="V46" s="16">
        <f t="shared" si="2"/>
        <v>3088.7999999999997</v>
      </c>
      <c r="W46" s="53">
        <v>1</v>
      </c>
      <c r="X46" s="53" t="s">
        <v>39</v>
      </c>
      <c r="Y46" s="53" t="s">
        <v>47</v>
      </c>
      <c r="Z46" s="53" t="s">
        <v>55</v>
      </c>
      <c r="AA46" s="53" t="s">
        <v>64</v>
      </c>
      <c r="AB46" s="53" t="s">
        <v>158</v>
      </c>
    </row>
    <row r="47" spans="1:28" x14ac:dyDescent="0.15">
      <c r="A47" s="53" t="s">
        <v>56</v>
      </c>
      <c r="B47" s="53" t="s">
        <v>232</v>
      </c>
      <c r="C47" s="53">
        <v>2019</v>
      </c>
      <c r="D47" s="81" t="s">
        <v>233</v>
      </c>
      <c r="E47" s="53" t="s">
        <v>256</v>
      </c>
      <c r="F47" s="53" t="s">
        <v>237</v>
      </c>
      <c r="G47" s="53" t="s">
        <v>42</v>
      </c>
      <c r="H47" s="53" t="s">
        <v>160</v>
      </c>
      <c r="I47" s="53" t="s">
        <v>159</v>
      </c>
      <c r="J47" s="53" t="s">
        <v>38</v>
      </c>
      <c r="K47" s="53" t="s">
        <v>161</v>
      </c>
      <c r="L47" s="53">
        <v>1</v>
      </c>
      <c r="N47" s="53">
        <v>4</v>
      </c>
      <c r="O47" s="53">
        <v>0.6</v>
      </c>
      <c r="P47" s="53">
        <v>0.55000000000000004</v>
      </c>
      <c r="Q47" s="16">
        <f t="shared" si="0"/>
        <v>0.57499999999999996</v>
      </c>
      <c r="R47" s="53">
        <v>16.5</v>
      </c>
      <c r="S47" s="53">
        <v>98</v>
      </c>
      <c r="T47" s="16">
        <f t="shared" si="1"/>
        <v>36</v>
      </c>
      <c r="U47" s="53">
        <v>429</v>
      </c>
      <c r="V47" s="16">
        <f t="shared" si="2"/>
        <v>3861</v>
      </c>
      <c r="W47" s="53">
        <v>1</v>
      </c>
      <c r="X47" s="53" t="s">
        <v>39</v>
      </c>
      <c r="Y47" s="53" t="s">
        <v>47</v>
      </c>
      <c r="Z47" s="53" t="s">
        <v>55</v>
      </c>
      <c r="AA47" s="53" t="s">
        <v>64</v>
      </c>
      <c r="AB47" s="53" t="s">
        <v>158</v>
      </c>
    </row>
    <row r="48" spans="1:28" x14ac:dyDescent="0.15">
      <c r="A48" s="53" t="s">
        <v>56</v>
      </c>
      <c r="B48" s="53" t="s">
        <v>232</v>
      </c>
      <c r="C48" s="53">
        <v>2019</v>
      </c>
      <c r="D48" s="81" t="s">
        <v>233</v>
      </c>
      <c r="E48" s="53" t="s">
        <v>256</v>
      </c>
      <c r="F48" s="53" t="s">
        <v>237</v>
      </c>
      <c r="G48" s="53" t="s">
        <v>42</v>
      </c>
      <c r="H48" s="53" t="s">
        <v>160</v>
      </c>
      <c r="I48" s="53" t="s">
        <v>159</v>
      </c>
      <c r="J48" s="53" t="s">
        <v>38</v>
      </c>
      <c r="K48" s="53" t="s">
        <v>161</v>
      </c>
      <c r="L48" s="53">
        <v>2</v>
      </c>
      <c r="N48" s="53">
        <v>4</v>
      </c>
      <c r="O48" s="53">
        <v>0.55000000000000004</v>
      </c>
      <c r="P48" s="53">
        <v>0.5</v>
      </c>
      <c r="Q48" s="16">
        <f t="shared" si="0"/>
        <v>0.52500000000000002</v>
      </c>
      <c r="R48" s="53">
        <v>16</v>
      </c>
      <c r="S48" s="53">
        <v>98</v>
      </c>
      <c r="T48" s="16">
        <f t="shared" si="1"/>
        <v>36</v>
      </c>
      <c r="U48" s="53">
        <v>429</v>
      </c>
      <c r="V48" s="16">
        <f t="shared" si="2"/>
        <v>3861</v>
      </c>
      <c r="W48" s="53">
        <v>1</v>
      </c>
      <c r="X48" s="53" t="s">
        <v>39</v>
      </c>
      <c r="Y48" s="53" t="s">
        <v>47</v>
      </c>
      <c r="Z48" s="53" t="s">
        <v>55</v>
      </c>
      <c r="AA48" s="53" t="s">
        <v>64</v>
      </c>
      <c r="AB48" s="53" t="s">
        <v>158</v>
      </c>
    </row>
    <row r="49" spans="1:28" x14ac:dyDescent="0.15">
      <c r="A49" s="53" t="s">
        <v>56</v>
      </c>
      <c r="B49" s="53" t="s">
        <v>232</v>
      </c>
      <c r="C49" s="53">
        <v>2019</v>
      </c>
      <c r="D49" s="81" t="s">
        <v>233</v>
      </c>
      <c r="E49" s="53" t="s">
        <v>256</v>
      </c>
      <c r="F49" s="53" t="s">
        <v>237</v>
      </c>
      <c r="G49" s="53" t="s">
        <v>42</v>
      </c>
      <c r="H49" s="53" t="s">
        <v>160</v>
      </c>
      <c r="I49" s="53" t="s">
        <v>159</v>
      </c>
      <c r="J49" s="53" t="s">
        <v>38</v>
      </c>
      <c r="K49" s="53" t="s">
        <v>161</v>
      </c>
      <c r="L49" s="53">
        <v>3</v>
      </c>
      <c r="N49" s="53">
        <v>4</v>
      </c>
      <c r="O49" s="53">
        <v>0.5</v>
      </c>
      <c r="P49" s="53">
        <v>0.5</v>
      </c>
      <c r="Q49" s="16">
        <f t="shared" si="0"/>
        <v>0.5</v>
      </c>
      <c r="R49" s="53">
        <v>15.8</v>
      </c>
      <c r="S49" s="53">
        <v>96</v>
      </c>
      <c r="T49" s="16">
        <f t="shared" si="1"/>
        <v>36</v>
      </c>
      <c r="U49" s="53">
        <v>429</v>
      </c>
      <c r="V49" s="16">
        <f t="shared" si="2"/>
        <v>3861</v>
      </c>
      <c r="W49" s="53">
        <v>1</v>
      </c>
      <c r="X49" s="53" t="s">
        <v>39</v>
      </c>
      <c r="Y49" s="53" t="s">
        <v>47</v>
      </c>
      <c r="Z49" s="53" t="s">
        <v>55</v>
      </c>
      <c r="AA49" s="53" t="s">
        <v>64</v>
      </c>
      <c r="AB49" s="53" t="s">
        <v>158</v>
      </c>
    </row>
    <row r="50" spans="1:28" x14ac:dyDescent="0.15">
      <c r="A50" s="53" t="s">
        <v>56</v>
      </c>
      <c r="B50" s="53" t="s">
        <v>232</v>
      </c>
      <c r="C50" s="53">
        <v>2019</v>
      </c>
      <c r="D50" s="81" t="s">
        <v>233</v>
      </c>
      <c r="E50" s="53" t="s">
        <v>248</v>
      </c>
      <c r="F50" s="53" t="s">
        <v>250</v>
      </c>
      <c r="G50" s="53" t="s">
        <v>42</v>
      </c>
      <c r="H50" s="53" t="s">
        <v>164</v>
      </c>
      <c r="I50" s="53" t="s">
        <v>159</v>
      </c>
      <c r="J50" s="53" t="s">
        <v>38</v>
      </c>
      <c r="K50" s="53" t="s">
        <v>161</v>
      </c>
      <c r="L50" s="53">
        <v>1</v>
      </c>
      <c r="N50" s="53">
        <v>1</v>
      </c>
      <c r="O50" s="53">
        <v>0.6</v>
      </c>
      <c r="P50" s="53">
        <v>0.5</v>
      </c>
      <c r="Q50" s="16">
        <f t="shared" si="0"/>
        <v>0.55000000000000004</v>
      </c>
      <c r="R50" s="53">
        <v>13.7</v>
      </c>
      <c r="S50" s="53">
        <v>129</v>
      </c>
      <c r="T50" s="16">
        <f t="shared" si="1"/>
        <v>25</v>
      </c>
      <c r="U50" s="53">
        <v>117</v>
      </c>
      <c r="V50" s="16">
        <f t="shared" si="2"/>
        <v>2925</v>
      </c>
      <c r="W50" s="53">
        <v>6</v>
      </c>
      <c r="X50" s="53" t="s">
        <v>46</v>
      </c>
      <c r="Y50" s="53" t="s">
        <v>64</v>
      </c>
      <c r="Z50" s="53" t="s">
        <v>86</v>
      </c>
      <c r="AA50" s="53" t="s">
        <v>97</v>
      </c>
      <c r="AB50" s="53" t="s">
        <v>158</v>
      </c>
    </row>
    <row r="51" spans="1:28" x14ac:dyDescent="0.15">
      <c r="A51" s="53" t="s">
        <v>56</v>
      </c>
      <c r="B51" s="53" t="s">
        <v>232</v>
      </c>
      <c r="C51" s="53">
        <v>2019</v>
      </c>
      <c r="D51" s="81" t="s">
        <v>233</v>
      </c>
      <c r="E51" s="53" t="s">
        <v>248</v>
      </c>
      <c r="F51" s="53" t="s">
        <v>250</v>
      </c>
      <c r="G51" s="53" t="s">
        <v>42</v>
      </c>
      <c r="H51" s="53" t="s">
        <v>164</v>
      </c>
      <c r="I51" s="53" t="s">
        <v>159</v>
      </c>
      <c r="J51" s="53" t="s">
        <v>38</v>
      </c>
      <c r="K51" s="53" t="s">
        <v>161</v>
      </c>
      <c r="L51" s="53">
        <v>2</v>
      </c>
      <c r="N51" s="53">
        <v>1</v>
      </c>
      <c r="O51" s="53">
        <v>0.5</v>
      </c>
      <c r="P51" s="53">
        <v>0.5</v>
      </c>
      <c r="Q51" s="16">
        <f t="shared" si="0"/>
        <v>0.5</v>
      </c>
      <c r="R51" s="53">
        <v>14.6</v>
      </c>
      <c r="S51" s="53">
        <v>125</v>
      </c>
      <c r="T51" s="16">
        <f t="shared" si="1"/>
        <v>27</v>
      </c>
      <c r="U51" s="53">
        <v>117</v>
      </c>
      <c r="V51" s="16">
        <f t="shared" si="2"/>
        <v>3159</v>
      </c>
      <c r="W51" s="53">
        <v>6</v>
      </c>
      <c r="X51" s="53" t="s">
        <v>46</v>
      </c>
      <c r="Y51" s="53" t="s">
        <v>64</v>
      </c>
      <c r="Z51" s="53" t="s">
        <v>86</v>
      </c>
      <c r="AA51" s="53" t="s">
        <v>97</v>
      </c>
      <c r="AB51" s="53" t="s">
        <v>158</v>
      </c>
    </row>
    <row r="52" spans="1:28" x14ac:dyDescent="0.15">
      <c r="A52" s="53" t="s">
        <v>56</v>
      </c>
      <c r="B52" s="53" t="s">
        <v>232</v>
      </c>
      <c r="C52" s="53">
        <v>2019</v>
      </c>
      <c r="D52" s="81" t="s">
        <v>233</v>
      </c>
      <c r="E52" s="53" t="s">
        <v>248</v>
      </c>
      <c r="F52" s="53" t="s">
        <v>250</v>
      </c>
      <c r="G52" s="53" t="s">
        <v>42</v>
      </c>
      <c r="H52" s="53" t="s">
        <v>164</v>
      </c>
      <c r="I52" s="53" t="s">
        <v>159</v>
      </c>
      <c r="J52" s="53" t="s">
        <v>38</v>
      </c>
      <c r="K52" s="53" t="s">
        <v>161</v>
      </c>
      <c r="L52" s="53">
        <v>3</v>
      </c>
      <c r="N52" s="53">
        <v>1</v>
      </c>
      <c r="O52" s="53">
        <v>0.5</v>
      </c>
      <c r="P52" s="53">
        <v>0.5</v>
      </c>
      <c r="Q52" s="16">
        <f t="shared" si="0"/>
        <v>0.5</v>
      </c>
      <c r="R52" s="53">
        <v>14</v>
      </c>
      <c r="S52" s="53">
        <v>126</v>
      </c>
      <c r="T52" s="16">
        <f t="shared" si="1"/>
        <v>27</v>
      </c>
      <c r="U52" s="53">
        <v>117</v>
      </c>
      <c r="V52" s="16">
        <f t="shared" si="2"/>
        <v>3159</v>
      </c>
      <c r="W52" s="53">
        <v>6</v>
      </c>
      <c r="X52" s="53" t="s">
        <v>46</v>
      </c>
      <c r="Y52" s="53" t="s">
        <v>64</v>
      </c>
      <c r="Z52" s="53" t="s">
        <v>86</v>
      </c>
      <c r="AA52" s="53" t="s">
        <v>97</v>
      </c>
      <c r="AB52" s="53" t="s">
        <v>158</v>
      </c>
    </row>
    <row r="53" spans="1:28" x14ac:dyDescent="0.15">
      <c r="A53" s="53" t="s">
        <v>56</v>
      </c>
      <c r="B53" s="53" t="s">
        <v>232</v>
      </c>
      <c r="C53" s="53">
        <v>2019</v>
      </c>
      <c r="D53" s="81" t="s">
        <v>233</v>
      </c>
      <c r="E53" s="53" t="s">
        <v>248</v>
      </c>
      <c r="F53" s="53" t="s">
        <v>250</v>
      </c>
      <c r="G53" s="53" t="s">
        <v>42</v>
      </c>
      <c r="H53" s="53" t="s">
        <v>160</v>
      </c>
      <c r="I53" s="53" t="s">
        <v>159</v>
      </c>
      <c r="J53" s="53" t="s">
        <v>38</v>
      </c>
      <c r="K53" s="53" t="s">
        <v>161</v>
      </c>
      <c r="L53" s="53">
        <v>1</v>
      </c>
      <c r="N53" s="53">
        <v>1</v>
      </c>
      <c r="O53" s="53">
        <v>0.7</v>
      </c>
      <c r="P53" s="53">
        <v>0.7</v>
      </c>
      <c r="Q53" s="16">
        <f t="shared" si="0"/>
        <v>0.7</v>
      </c>
      <c r="R53" s="53">
        <v>15.8</v>
      </c>
      <c r="S53" s="53">
        <v>126</v>
      </c>
      <c r="T53" s="16">
        <f t="shared" si="1"/>
        <v>27</v>
      </c>
      <c r="U53" s="53">
        <v>117</v>
      </c>
      <c r="V53" s="16">
        <f t="shared" si="2"/>
        <v>3159</v>
      </c>
      <c r="W53" s="53">
        <v>12</v>
      </c>
      <c r="X53" s="53" t="s">
        <v>46</v>
      </c>
      <c r="Y53" s="53" t="s">
        <v>64</v>
      </c>
      <c r="Z53" s="53" t="s">
        <v>86</v>
      </c>
      <c r="AA53" s="53" t="s">
        <v>97</v>
      </c>
      <c r="AB53" s="53" t="s">
        <v>158</v>
      </c>
    </row>
    <row r="54" spans="1:28" x14ac:dyDescent="0.15">
      <c r="A54" s="53" t="s">
        <v>56</v>
      </c>
      <c r="B54" s="53" t="s">
        <v>232</v>
      </c>
      <c r="C54" s="53">
        <v>2019</v>
      </c>
      <c r="D54" s="81" t="s">
        <v>233</v>
      </c>
      <c r="E54" s="53" t="s">
        <v>248</v>
      </c>
      <c r="F54" s="53" t="s">
        <v>250</v>
      </c>
      <c r="G54" s="53" t="s">
        <v>42</v>
      </c>
      <c r="H54" s="53" t="s">
        <v>160</v>
      </c>
      <c r="I54" s="53" t="s">
        <v>159</v>
      </c>
      <c r="J54" s="53" t="s">
        <v>38</v>
      </c>
      <c r="K54" s="53" t="s">
        <v>161</v>
      </c>
      <c r="L54" s="53">
        <v>2</v>
      </c>
      <c r="N54" s="53">
        <v>1</v>
      </c>
      <c r="O54" s="53">
        <v>0.7</v>
      </c>
      <c r="P54" s="53">
        <v>0.75</v>
      </c>
      <c r="Q54" s="16">
        <f t="shared" si="0"/>
        <v>0.72499999999999998</v>
      </c>
      <c r="R54" s="53">
        <v>17.5</v>
      </c>
      <c r="S54" s="53">
        <v>130</v>
      </c>
      <c r="T54" s="16">
        <f t="shared" si="1"/>
        <v>25</v>
      </c>
      <c r="U54" s="53">
        <v>117</v>
      </c>
      <c r="V54" s="16">
        <f t="shared" si="2"/>
        <v>2925</v>
      </c>
      <c r="W54" s="53">
        <v>12</v>
      </c>
      <c r="X54" s="53" t="s">
        <v>46</v>
      </c>
      <c r="Y54" s="53" t="s">
        <v>64</v>
      </c>
      <c r="Z54" s="53" t="s">
        <v>86</v>
      </c>
      <c r="AA54" s="53" t="s">
        <v>97</v>
      </c>
      <c r="AB54" s="53" t="s">
        <v>158</v>
      </c>
    </row>
    <row r="55" spans="1:28" x14ac:dyDescent="0.15">
      <c r="A55" s="53" t="s">
        <v>56</v>
      </c>
      <c r="B55" s="53" t="s">
        <v>232</v>
      </c>
      <c r="C55" s="53">
        <v>2019</v>
      </c>
      <c r="D55" s="81" t="s">
        <v>233</v>
      </c>
      <c r="E55" s="53" t="s">
        <v>248</v>
      </c>
      <c r="F55" s="53" t="s">
        <v>250</v>
      </c>
      <c r="G55" s="53" t="s">
        <v>42</v>
      </c>
      <c r="H55" s="53" t="s">
        <v>160</v>
      </c>
      <c r="I55" s="53" t="s">
        <v>159</v>
      </c>
      <c r="J55" s="53" t="s">
        <v>38</v>
      </c>
      <c r="K55" s="53" t="s">
        <v>161</v>
      </c>
      <c r="L55" s="53">
        <v>3</v>
      </c>
      <c r="N55" s="53">
        <v>1</v>
      </c>
      <c r="O55" s="53">
        <v>0.7</v>
      </c>
      <c r="P55" s="53">
        <v>0.75</v>
      </c>
      <c r="Q55" s="16">
        <f t="shared" si="0"/>
        <v>0.72499999999999998</v>
      </c>
      <c r="R55" s="53">
        <v>16.2</v>
      </c>
      <c r="S55" s="53">
        <v>131</v>
      </c>
      <c r="T55" s="16">
        <f t="shared" si="1"/>
        <v>25</v>
      </c>
      <c r="U55" s="53">
        <v>117</v>
      </c>
      <c r="V55" s="16">
        <f t="shared" si="2"/>
        <v>2925</v>
      </c>
      <c r="W55" s="53">
        <v>12</v>
      </c>
      <c r="X55" s="53" t="s">
        <v>46</v>
      </c>
      <c r="Y55" s="53" t="s">
        <v>64</v>
      </c>
      <c r="Z55" s="53" t="s">
        <v>86</v>
      </c>
      <c r="AA55" s="53" t="s">
        <v>97</v>
      </c>
      <c r="AB55" s="53" t="s">
        <v>158</v>
      </c>
    </row>
    <row r="56" spans="1:28" x14ac:dyDescent="0.15">
      <c r="A56" s="53" t="s">
        <v>56</v>
      </c>
      <c r="B56" s="53" t="s">
        <v>232</v>
      </c>
      <c r="C56" s="53">
        <v>2019</v>
      </c>
      <c r="D56" s="81" t="s">
        <v>233</v>
      </c>
      <c r="E56" s="53" t="s">
        <v>257</v>
      </c>
      <c r="F56" s="53" t="s">
        <v>250</v>
      </c>
      <c r="G56" s="53" t="s">
        <v>42</v>
      </c>
      <c r="H56" s="53" t="s">
        <v>164</v>
      </c>
      <c r="I56" s="53" t="s">
        <v>159</v>
      </c>
      <c r="J56" s="53" t="s">
        <v>38</v>
      </c>
      <c r="K56" s="53" t="s">
        <v>161</v>
      </c>
      <c r="L56" s="53">
        <v>1</v>
      </c>
      <c r="N56" s="53">
        <v>1</v>
      </c>
      <c r="O56" s="53">
        <v>0.65</v>
      </c>
      <c r="P56" s="53">
        <v>0.7</v>
      </c>
      <c r="Q56" s="16">
        <f t="shared" si="0"/>
        <v>0.67500000000000004</v>
      </c>
      <c r="R56" s="53">
        <v>15.2</v>
      </c>
      <c r="S56" s="53">
        <v>136</v>
      </c>
      <c r="T56" s="16">
        <f t="shared" si="1"/>
        <v>25</v>
      </c>
      <c r="U56" s="53">
        <v>138</v>
      </c>
      <c r="V56" s="16">
        <f t="shared" si="2"/>
        <v>3450</v>
      </c>
      <c r="W56" s="53">
        <v>6</v>
      </c>
      <c r="X56" s="53" t="s">
        <v>46</v>
      </c>
      <c r="Y56" s="53" t="s">
        <v>55</v>
      </c>
      <c r="Z56" s="53" t="s">
        <v>97</v>
      </c>
      <c r="AA56" s="53" t="s">
        <v>64</v>
      </c>
      <c r="AB56" s="53" t="s">
        <v>158</v>
      </c>
    </row>
    <row r="57" spans="1:28" x14ac:dyDescent="0.15">
      <c r="A57" s="53" t="s">
        <v>56</v>
      </c>
      <c r="B57" s="53" t="s">
        <v>232</v>
      </c>
      <c r="C57" s="53">
        <v>2019</v>
      </c>
      <c r="D57" s="81" t="s">
        <v>233</v>
      </c>
      <c r="E57" s="53" t="s">
        <v>257</v>
      </c>
      <c r="F57" s="53" t="s">
        <v>250</v>
      </c>
      <c r="G57" s="53" t="s">
        <v>42</v>
      </c>
      <c r="H57" s="53" t="s">
        <v>164</v>
      </c>
      <c r="I57" s="53" t="s">
        <v>159</v>
      </c>
      <c r="J57" s="53" t="s">
        <v>38</v>
      </c>
      <c r="K57" s="53" t="s">
        <v>161</v>
      </c>
      <c r="L57" s="53">
        <v>2</v>
      </c>
      <c r="N57" s="53">
        <v>1</v>
      </c>
      <c r="O57" s="53">
        <v>0.7</v>
      </c>
      <c r="P57" s="53">
        <v>0.7</v>
      </c>
      <c r="Q57" s="16">
        <f t="shared" si="0"/>
        <v>0.7</v>
      </c>
      <c r="R57" s="53">
        <v>15.3</v>
      </c>
      <c r="S57" s="53">
        <v>143</v>
      </c>
      <c r="T57" s="16">
        <f t="shared" si="1"/>
        <v>22</v>
      </c>
      <c r="U57" s="53">
        <v>138</v>
      </c>
      <c r="V57" s="16">
        <f t="shared" si="2"/>
        <v>3036</v>
      </c>
      <c r="W57" s="53">
        <v>6</v>
      </c>
      <c r="X57" s="53" t="s">
        <v>46</v>
      </c>
      <c r="Y57" s="53" t="s">
        <v>55</v>
      </c>
      <c r="Z57" s="53" t="s">
        <v>97</v>
      </c>
      <c r="AA57" s="53" t="s">
        <v>64</v>
      </c>
      <c r="AB57" s="53" t="s">
        <v>158</v>
      </c>
    </row>
    <row r="58" spans="1:28" x14ac:dyDescent="0.15">
      <c r="A58" s="53" t="s">
        <v>56</v>
      </c>
      <c r="B58" s="53" t="s">
        <v>232</v>
      </c>
      <c r="C58" s="53">
        <v>2019</v>
      </c>
      <c r="D58" s="81" t="s">
        <v>233</v>
      </c>
      <c r="E58" s="53" t="s">
        <v>257</v>
      </c>
      <c r="F58" s="53" t="s">
        <v>250</v>
      </c>
      <c r="G58" s="53" t="s">
        <v>42</v>
      </c>
      <c r="H58" s="53" t="s">
        <v>164</v>
      </c>
      <c r="I58" s="53" t="s">
        <v>159</v>
      </c>
      <c r="J58" s="53" t="s">
        <v>38</v>
      </c>
      <c r="K58" s="53" t="s">
        <v>161</v>
      </c>
      <c r="L58" s="53">
        <v>3</v>
      </c>
      <c r="N58" s="53">
        <v>1</v>
      </c>
      <c r="O58" s="53">
        <v>0.8</v>
      </c>
      <c r="P58" s="53">
        <v>0.75</v>
      </c>
      <c r="Q58" s="16">
        <f t="shared" si="0"/>
        <v>0.77500000000000002</v>
      </c>
      <c r="R58" s="53">
        <v>15.1</v>
      </c>
      <c r="S58" s="53">
        <v>143</v>
      </c>
      <c r="T58" s="16">
        <f t="shared" si="1"/>
        <v>22</v>
      </c>
      <c r="U58" s="53">
        <v>138</v>
      </c>
      <c r="V58" s="16">
        <f t="shared" si="2"/>
        <v>3036</v>
      </c>
      <c r="W58" s="53">
        <v>6</v>
      </c>
      <c r="X58" s="53" t="s">
        <v>46</v>
      </c>
      <c r="Y58" s="53" t="s">
        <v>55</v>
      </c>
      <c r="Z58" s="53" t="s">
        <v>97</v>
      </c>
      <c r="AA58" s="53" t="s">
        <v>64</v>
      </c>
      <c r="AB58" s="53" t="s">
        <v>158</v>
      </c>
    </row>
    <row r="59" spans="1:28" x14ac:dyDescent="0.15">
      <c r="A59" s="53" t="s">
        <v>56</v>
      </c>
      <c r="B59" s="53" t="s">
        <v>232</v>
      </c>
      <c r="C59" s="53">
        <v>2019</v>
      </c>
      <c r="D59" s="81" t="s">
        <v>233</v>
      </c>
      <c r="E59" s="53" t="s">
        <v>257</v>
      </c>
      <c r="F59" s="53" t="s">
        <v>250</v>
      </c>
      <c r="G59" s="53" t="s">
        <v>42</v>
      </c>
      <c r="H59" s="53" t="s">
        <v>160</v>
      </c>
      <c r="I59" s="53" t="s">
        <v>159</v>
      </c>
      <c r="J59" s="53" t="s">
        <v>38</v>
      </c>
      <c r="K59" s="53" t="s">
        <v>161</v>
      </c>
      <c r="L59" s="53">
        <v>1</v>
      </c>
      <c r="N59" s="53">
        <v>1</v>
      </c>
      <c r="O59" s="53">
        <v>0.6</v>
      </c>
      <c r="P59" s="53">
        <v>0.6</v>
      </c>
      <c r="Q59" s="16">
        <f t="shared" si="0"/>
        <v>0.6</v>
      </c>
      <c r="R59" s="53">
        <v>16.399999999999999</v>
      </c>
      <c r="S59" s="53">
        <v>138</v>
      </c>
      <c r="T59" s="16">
        <f t="shared" si="1"/>
        <v>22</v>
      </c>
      <c r="U59" s="53">
        <v>138</v>
      </c>
      <c r="V59" s="16">
        <f t="shared" si="2"/>
        <v>3036</v>
      </c>
      <c r="W59" s="53">
        <v>6</v>
      </c>
      <c r="X59" s="53" t="s">
        <v>46</v>
      </c>
      <c r="Y59" s="53" t="s">
        <v>55</v>
      </c>
      <c r="Z59" s="53" t="s">
        <v>97</v>
      </c>
      <c r="AA59" s="53" t="s">
        <v>64</v>
      </c>
      <c r="AB59" s="53" t="s">
        <v>158</v>
      </c>
    </row>
    <row r="60" spans="1:28" x14ac:dyDescent="0.15">
      <c r="A60" s="53" t="s">
        <v>56</v>
      </c>
      <c r="B60" s="53" t="s">
        <v>232</v>
      </c>
      <c r="C60" s="53">
        <v>2019</v>
      </c>
      <c r="D60" s="81" t="s">
        <v>233</v>
      </c>
      <c r="E60" s="53" t="s">
        <v>257</v>
      </c>
      <c r="F60" s="53" t="s">
        <v>250</v>
      </c>
      <c r="G60" s="53" t="s">
        <v>42</v>
      </c>
      <c r="H60" s="53" t="s">
        <v>160</v>
      </c>
      <c r="I60" s="53" t="s">
        <v>159</v>
      </c>
      <c r="J60" s="53" t="s">
        <v>38</v>
      </c>
      <c r="K60" s="53" t="s">
        <v>161</v>
      </c>
      <c r="L60" s="53">
        <v>2</v>
      </c>
      <c r="N60" s="53">
        <v>1</v>
      </c>
      <c r="O60" s="53">
        <v>0.6</v>
      </c>
      <c r="P60" s="53">
        <v>0.65</v>
      </c>
      <c r="Q60" s="16">
        <f t="shared" si="0"/>
        <v>0.625</v>
      </c>
      <c r="R60" s="53">
        <v>16.100000000000001</v>
      </c>
      <c r="S60" s="53">
        <v>133</v>
      </c>
      <c r="T60" s="16">
        <f t="shared" si="1"/>
        <v>25</v>
      </c>
      <c r="U60" s="53">
        <v>138</v>
      </c>
      <c r="V60" s="16">
        <f t="shared" si="2"/>
        <v>3450</v>
      </c>
      <c r="W60" s="53">
        <v>6</v>
      </c>
      <c r="X60" s="53" t="s">
        <v>46</v>
      </c>
      <c r="Y60" s="53" t="s">
        <v>55</v>
      </c>
      <c r="Z60" s="53" t="s">
        <v>97</v>
      </c>
      <c r="AA60" s="53" t="s">
        <v>64</v>
      </c>
      <c r="AB60" s="53" t="s">
        <v>158</v>
      </c>
    </row>
    <row r="61" spans="1:28" x14ac:dyDescent="0.15">
      <c r="A61" s="53" t="s">
        <v>56</v>
      </c>
      <c r="B61" s="53" t="s">
        <v>232</v>
      </c>
      <c r="C61" s="53">
        <v>2019</v>
      </c>
      <c r="D61" s="81" t="s">
        <v>233</v>
      </c>
      <c r="E61" s="53" t="s">
        <v>257</v>
      </c>
      <c r="F61" s="53" t="s">
        <v>250</v>
      </c>
      <c r="G61" s="53" t="s">
        <v>42</v>
      </c>
      <c r="H61" s="53" t="s">
        <v>160</v>
      </c>
      <c r="I61" s="53" t="s">
        <v>159</v>
      </c>
      <c r="J61" s="53" t="s">
        <v>38</v>
      </c>
      <c r="K61" s="53" t="s">
        <v>161</v>
      </c>
      <c r="L61" s="53">
        <v>3</v>
      </c>
      <c r="N61" s="53">
        <v>1</v>
      </c>
      <c r="O61" s="53">
        <v>0.7</v>
      </c>
      <c r="P61" s="53">
        <v>0.65</v>
      </c>
      <c r="Q61" s="16">
        <f t="shared" si="0"/>
        <v>0.67500000000000004</v>
      </c>
      <c r="R61" s="53">
        <v>16.2</v>
      </c>
      <c r="S61" s="53">
        <v>136</v>
      </c>
      <c r="T61" s="16">
        <f t="shared" si="1"/>
        <v>25</v>
      </c>
      <c r="U61" s="53">
        <v>138</v>
      </c>
      <c r="V61" s="16">
        <f t="shared" si="2"/>
        <v>3450</v>
      </c>
      <c r="W61" s="53">
        <v>6</v>
      </c>
      <c r="X61" s="53" t="s">
        <v>46</v>
      </c>
      <c r="Y61" s="53" t="s">
        <v>55</v>
      </c>
      <c r="Z61" s="53" t="s">
        <v>97</v>
      </c>
      <c r="AA61" s="53" t="s">
        <v>64</v>
      </c>
      <c r="AB61" s="53" t="s">
        <v>158</v>
      </c>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AE4349F0-A619-4A7F-9F2E-6BF476FF63CD}">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F027029B-A1BB-4119-9E09-50F4E0C10C4E}">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DDE59532-3383-4DCE-8028-9F82193AC727}">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FFFD5C14-E568-4045-A914-903650ACEBE0}">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98586B45-3FF7-42C1-9C7D-22F18EE1D622}">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C8EB21C2-1B7B-49D1-BBB8-0D719651D55D}"/>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1B7E9A5B-80D8-4F77-98F6-187104937615}">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8E812639-66EB-4256-BD22-1E960EA4E953}">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5D0FDCE7-8998-495F-BFB8-E0384C7CEC78}">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16C2D436-FD33-4D25-8D79-867A708C3DD5}">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0D10E957-B8DE-4873-8687-05DDFC330F74}">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800B0DE7-82FB-4E37-88B7-50B2EB58AAA5}">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FB13A4F5-21ED-4E1F-B4E8-C1AA901C6CF9}">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E64CD6F5-10F6-48D4-B0DF-8617AFBA2F56}">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D9C5CA28-F53A-4403-8376-C4B3802115FF}">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P2:P500 O62:O500" xr:uid="{173EE874-05E0-4618-B77F-D8530AEBD01F}">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1AAB9E7F-A9E8-4859-BA87-646A976DBE91}">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D589CDA7-9A6D-45D4-A2E4-D5840D8E0AAD}">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5382A-64E0-4EA4-87C9-21618612DEF9}">
  <dimension ref="A1:BA91"/>
  <sheetViews>
    <sheetView zoomScale="70" zoomScaleNormal="70" workbookViewId="0">
      <selection activeCell="AG28" sqref="AG28"/>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168</v>
      </c>
      <c r="C1" s="85" t="s">
        <v>169</v>
      </c>
      <c r="D1" s="86" t="s">
        <v>3</v>
      </c>
      <c r="E1" s="87" t="s">
        <v>4</v>
      </c>
      <c r="F1" s="87" t="s">
        <v>5</v>
      </c>
      <c r="G1" s="87" t="s">
        <v>6</v>
      </c>
      <c r="H1" s="87" t="s">
        <v>7</v>
      </c>
      <c r="I1" s="87" t="s">
        <v>8</v>
      </c>
      <c r="J1" s="87" t="s">
        <v>9</v>
      </c>
      <c r="K1" s="87" t="s">
        <v>10</v>
      </c>
      <c r="L1" s="86" t="s">
        <v>170</v>
      </c>
      <c r="M1" s="86" t="s">
        <v>171</v>
      </c>
      <c r="N1" s="86" t="s">
        <v>13</v>
      </c>
      <c r="O1" s="86" t="s">
        <v>172</v>
      </c>
      <c r="P1" s="86" t="s">
        <v>173</v>
      </c>
      <c r="Q1" s="88" t="s">
        <v>174</v>
      </c>
      <c r="R1" s="86" t="s">
        <v>175</v>
      </c>
      <c r="S1" s="86" t="s">
        <v>176</v>
      </c>
      <c r="T1" s="88" t="s">
        <v>19</v>
      </c>
      <c r="U1" s="89" t="s">
        <v>108</v>
      </c>
      <c r="V1" s="90" t="s">
        <v>20</v>
      </c>
      <c r="W1" s="86" t="s">
        <v>177</v>
      </c>
      <c r="X1" s="87" t="s">
        <v>22</v>
      </c>
      <c r="Y1" s="87" t="s">
        <v>23</v>
      </c>
      <c r="Z1" s="87" t="s">
        <v>24</v>
      </c>
      <c r="AA1" s="91" t="s">
        <v>25</v>
      </c>
      <c r="AB1" s="92" t="s">
        <v>178</v>
      </c>
      <c r="AE1" s="94" t="s">
        <v>0</v>
      </c>
      <c r="AF1" s="95"/>
      <c r="AG1" s="94" t="s">
        <v>4</v>
      </c>
      <c r="AH1" s="94" t="s">
        <v>5</v>
      </c>
      <c r="AI1" s="95"/>
      <c r="AJ1" s="94" t="s">
        <v>6</v>
      </c>
      <c r="AK1" s="95"/>
      <c r="AL1" s="96" t="s">
        <v>7</v>
      </c>
      <c r="AM1" s="95"/>
      <c r="AN1" s="96" t="s">
        <v>8</v>
      </c>
      <c r="AO1" s="95"/>
      <c r="AP1" s="96" t="s">
        <v>27</v>
      </c>
      <c r="AQ1" s="95"/>
      <c r="AR1" s="96" t="s">
        <v>10</v>
      </c>
      <c r="AS1" s="95"/>
      <c r="AT1" s="97" t="s">
        <v>179</v>
      </c>
      <c r="AU1" s="95"/>
      <c r="AV1" s="96" t="s">
        <v>29</v>
      </c>
      <c r="AX1" s="98" t="s">
        <v>180</v>
      </c>
      <c r="AY1" s="99" t="s">
        <v>181</v>
      </c>
      <c r="AZ1" s="99" t="s">
        <v>182</v>
      </c>
      <c r="BA1" s="100" t="s">
        <v>183</v>
      </c>
    </row>
    <row r="2" spans="1:53" x14ac:dyDescent="0.15">
      <c r="A2" s="93" t="s">
        <v>51</v>
      </c>
      <c r="B2" s="93" t="s">
        <v>157</v>
      </c>
      <c r="C2" s="93">
        <v>2019</v>
      </c>
      <c r="D2" s="101" t="s">
        <v>259</v>
      </c>
      <c r="E2" s="93" t="s">
        <v>260</v>
      </c>
      <c r="F2" s="93" t="s">
        <v>261</v>
      </c>
      <c r="G2" s="93" t="s">
        <v>42</v>
      </c>
      <c r="H2" s="93" t="s">
        <v>164</v>
      </c>
      <c r="I2" s="93" t="s">
        <v>159</v>
      </c>
      <c r="J2" s="93" t="s">
        <v>38</v>
      </c>
      <c r="L2" s="93">
        <v>1</v>
      </c>
      <c r="N2" s="93">
        <v>1</v>
      </c>
      <c r="O2" s="93">
        <v>1</v>
      </c>
      <c r="P2" s="93">
        <v>1</v>
      </c>
      <c r="Q2" s="102">
        <f t="shared" ref="Q2:Q65" si="0">IF(OR(O2="",P2=""),"",AVERAGE(O2,P2))</f>
        <v>1</v>
      </c>
      <c r="R2" s="93">
        <v>15.3</v>
      </c>
      <c r="S2" s="93">
        <v>118</v>
      </c>
      <c r="T2" s="103">
        <f t="shared" ref="T2:T65" si="1">IF(H2="","",IF(OR(H2="GREEN",H2="GK"),IF(S2&gt;=$AX$2,VLOOKUP(S2,$AX$2:$AY$12,2,1),""),IF(S2&gt;=$AZ$2,VLOOKUP(S2,$AZ$2:$BA$12,2,1),"")))</f>
        <v>30</v>
      </c>
      <c r="U2" s="93">
        <v>98</v>
      </c>
      <c r="V2" s="104">
        <f t="shared" ref="V2:V65" si="2">IF(OR(N2="",U2="",T2=""),"",U2/N2*T2)</f>
        <v>2940</v>
      </c>
      <c r="W2" s="93">
        <v>8</v>
      </c>
      <c r="X2" s="93" t="s">
        <v>46</v>
      </c>
      <c r="Y2" s="93" t="s">
        <v>69</v>
      </c>
      <c r="Z2" s="93" t="s">
        <v>97</v>
      </c>
      <c r="AA2" s="93" t="s">
        <v>88</v>
      </c>
      <c r="AB2" s="93" t="s">
        <v>158</v>
      </c>
      <c r="AE2" s="105" t="s">
        <v>35</v>
      </c>
      <c r="AG2" s="106" t="s">
        <v>210</v>
      </c>
      <c r="AH2" s="106" t="s">
        <v>262</v>
      </c>
      <c r="AJ2" s="106" t="s">
        <v>36</v>
      </c>
      <c r="AL2" s="106" t="s">
        <v>186</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259</v>
      </c>
      <c r="E3" s="93" t="s">
        <v>260</v>
      </c>
      <c r="F3" s="93" t="s">
        <v>261</v>
      </c>
      <c r="G3" s="93" t="s">
        <v>42</v>
      </c>
      <c r="H3" s="93" t="s">
        <v>164</v>
      </c>
      <c r="I3" s="93" t="s">
        <v>159</v>
      </c>
      <c r="J3" s="93" t="s">
        <v>38</v>
      </c>
      <c r="L3" s="93">
        <v>2</v>
      </c>
      <c r="N3" s="93">
        <v>1</v>
      </c>
      <c r="O3" s="93">
        <v>0.95</v>
      </c>
      <c r="P3" s="93">
        <v>0.9</v>
      </c>
      <c r="Q3" s="102">
        <f t="shared" si="0"/>
        <v>0.92500000000000004</v>
      </c>
      <c r="R3" s="93">
        <v>15.7</v>
      </c>
      <c r="S3" s="93">
        <v>120</v>
      </c>
      <c r="T3" s="103">
        <f t="shared" si="1"/>
        <v>30</v>
      </c>
      <c r="U3" s="93">
        <v>98</v>
      </c>
      <c r="V3" s="104">
        <f t="shared" si="2"/>
        <v>2940</v>
      </c>
      <c r="W3" s="93">
        <v>8</v>
      </c>
      <c r="X3" s="93" t="s">
        <v>46</v>
      </c>
      <c r="Y3" s="93" t="s">
        <v>69</v>
      </c>
      <c r="Z3" s="93" t="s">
        <v>97</v>
      </c>
      <c r="AA3" s="93" t="s">
        <v>88</v>
      </c>
      <c r="AB3" s="93" t="s">
        <v>158</v>
      </c>
      <c r="AE3" s="110" t="s">
        <v>41</v>
      </c>
      <c r="AG3" s="106" t="s">
        <v>263</v>
      </c>
      <c r="AH3" s="106" t="s">
        <v>264</v>
      </c>
      <c r="AJ3" s="111" t="s">
        <v>42</v>
      </c>
      <c r="AL3" s="111" t="s">
        <v>188</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259</v>
      </c>
      <c r="E4" s="93" t="s">
        <v>260</v>
      </c>
      <c r="F4" s="93" t="s">
        <v>261</v>
      </c>
      <c r="G4" s="93" t="s">
        <v>42</v>
      </c>
      <c r="H4" s="93" t="s">
        <v>164</v>
      </c>
      <c r="I4" s="93" t="s">
        <v>159</v>
      </c>
      <c r="J4" s="93" t="s">
        <v>38</v>
      </c>
      <c r="L4" s="93">
        <v>3</v>
      </c>
      <c r="N4" s="93">
        <v>1</v>
      </c>
      <c r="O4" s="93">
        <v>1</v>
      </c>
      <c r="P4" s="93">
        <v>0.9</v>
      </c>
      <c r="Q4" s="102">
        <f t="shared" si="0"/>
        <v>0.95</v>
      </c>
      <c r="R4" s="93">
        <v>16</v>
      </c>
      <c r="S4" s="93">
        <v>122</v>
      </c>
      <c r="T4" s="103">
        <f t="shared" si="1"/>
        <v>27</v>
      </c>
      <c r="U4" s="93">
        <v>98</v>
      </c>
      <c r="V4" s="104">
        <f t="shared" si="2"/>
        <v>2646</v>
      </c>
      <c r="W4" s="93">
        <v>8</v>
      </c>
      <c r="X4" s="93" t="s">
        <v>46</v>
      </c>
      <c r="Y4" s="93" t="s">
        <v>69</v>
      </c>
      <c r="Z4" s="93" t="s">
        <v>97</v>
      </c>
      <c r="AA4" s="93" t="s">
        <v>88</v>
      </c>
      <c r="AB4" s="93" t="s">
        <v>158</v>
      </c>
      <c r="AE4" s="110" t="s">
        <v>34</v>
      </c>
      <c r="AG4" s="106" t="s">
        <v>265</v>
      </c>
      <c r="AH4" s="106" t="s">
        <v>266</v>
      </c>
      <c r="AJ4" s="115" t="s">
        <v>48</v>
      </c>
      <c r="AL4" s="115" t="s">
        <v>190</v>
      </c>
      <c r="AN4" s="116" t="s">
        <v>191</v>
      </c>
      <c r="AP4" s="111" t="s">
        <v>192</v>
      </c>
      <c r="AR4" s="111" t="s">
        <v>193</v>
      </c>
      <c r="AT4" s="116"/>
      <c r="AV4" s="111" t="s">
        <v>50</v>
      </c>
      <c r="AX4" s="112">
        <v>75</v>
      </c>
      <c r="AY4" s="113">
        <v>42</v>
      </c>
      <c r="AZ4" s="113">
        <v>76</v>
      </c>
      <c r="BA4" s="114">
        <v>39</v>
      </c>
    </row>
    <row r="5" spans="1:53" x14ac:dyDescent="0.15">
      <c r="A5" s="93" t="s">
        <v>51</v>
      </c>
      <c r="B5" s="93" t="s">
        <v>157</v>
      </c>
      <c r="C5" s="93">
        <v>2019</v>
      </c>
      <c r="D5" s="101" t="s">
        <v>259</v>
      </c>
      <c r="E5" s="93" t="s">
        <v>260</v>
      </c>
      <c r="F5" s="93" t="s">
        <v>261</v>
      </c>
      <c r="G5" s="93" t="s">
        <v>42</v>
      </c>
      <c r="H5" s="93" t="s">
        <v>160</v>
      </c>
      <c r="I5" s="93" t="s">
        <v>159</v>
      </c>
      <c r="J5" s="93" t="s">
        <v>38</v>
      </c>
      <c r="L5" s="93">
        <v>1</v>
      </c>
      <c r="N5" s="93">
        <v>1</v>
      </c>
      <c r="O5" s="93">
        <v>0.85</v>
      </c>
      <c r="P5" s="93">
        <v>0.75</v>
      </c>
      <c r="Q5" s="102">
        <f t="shared" si="0"/>
        <v>0.8</v>
      </c>
      <c r="R5" s="93">
        <v>16.8</v>
      </c>
      <c r="S5" s="93">
        <v>136</v>
      </c>
      <c r="T5" s="103">
        <f t="shared" si="1"/>
        <v>25</v>
      </c>
      <c r="U5" s="93">
        <v>138</v>
      </c>
      <c r="V5" s="104">
        <f t="shared" si="2"/>
        <v>3450</v>
      </c>
      <c r="W5" s="93">
        <v>8</v>
      </c>
      <c r="X5" s="93" t="s">
        <v>46</v>
      </c>
      <c r="Y5" s="93" t="s">
        <v>69</v>
      </c>
      <c r="Z5" s="93" t="s">
        <v>97</v>
      </c>
      <c r="AA5" s="93" t="s">
        <v>88</v>
      </c>
      <c r="AB5" s="93" t="s">
        <v>158</v>
      </c>
      <c r="AE5" s="110" t="s">
        <v>51</v>
      </c>
      <c r="AG5" s="106" t="s">
        <v>267</v>
      </c>
      <c r="AH5" s="106" t="s">
        <v>261</v>
      </c>
      <c r="AJ5" s="116"/>
      <c r="AL5" s="117" t="s">
        <v>164</v>
      </c>
      <c r="AN5" s="117" t="s">
        <v>159</v>
      </c>
      <c r="AP5" s="111" t="s">
        <v>196</v>
      </c>
      <c r="AR5" s="111" t="s">
        <v>54</v>
      </c>
      <c r="AV5" s="111" t="s">
        <v>55</v>
      </c>
      <c r="AX5" s="112">
        <v>84</v>
      </c>
      <c r="AY5" s="113">
        <v>39</v>
      </c>
      <c r="AZ5" s="113">
        <v>84</v>
      </c>
      <c r="BA5" s="114">
        <v>36</v>
      </c>
    </row>
    <row r="6" spans="1:53" x14ac:dyDescent="0.15">
      <c r="A6" s="93" t="s">
        <v>51</v>
      </c>
      <c r="B6" s="93" t="s">
        <v>157</v>
      </c>
      <c r="C6" s="93">
        <v>2019</v>
      </c>
      <c r="D6" s="101" t="s">
        <v>259</v>
      </c>
      <c r="E6" s="93" t="s">
        <v>260</v>
      </c>
      <c r="F6" s="93" t="s">
        <v>261</v>
      </c>
      <c r="G6" s="93" t="s">
        <v>42</v>
      </c>
      <c r="H6" s="93" t="s">
        <v>160</v>
      </c>
      <c r="I6" s="93" t="s">
        <v>159</v>
      </c>
      <c r="J6" s="93" t="s">
        <v>38</v>
      </c>
      <c r="L6" s="93">
        <v>2</v>
      </c>
      <c r="N6" s="93">
        <v>1</v>
      </c>
      <c r="O6" s="93">
        <v>0.8</v>
      </c>
      <c r="P6" s="93">
        <v>0.8</v>
      </c>
      <c r="Q6" s="102">
        <f t="shared" si="0"/>
        <v>0.8</v>
      </c>
      <c r="R6" s="93">
        <v>17</v>
      </c>
      <c r="S6" s="93">
        <v>134</v>
      </c>
      <c r="T6" s="103">
        <f t="shared" si="1"/>
        <v>25</v>
      </c>
      <c r="U6" s="93">
        <v>138</v>
      </c>
      <c r="V6" s="104">
        <f t="shared" si="2"/>
        <v>3450</v>
      </c>
      <c r="W6" s="93">
        <v>8</v>
      </c>
      <c r="X6" s="93" t="s">
        <v>46</v>
      </c>
      <c r="Y6" s="93" t="s">
        <v>69</v>
      </c>
      <c r="Z6" s="93" t="s">
        <v>97</v>
      </c>
      <c r="AA6" s="93" t="s">
        <v>88</v>
      </c>
      <c r="AB6" s="93" t="s">
        <v>158</v>
      </c>
      <c r="AE6" s="110" t="s">
        <v>56</v>
      </c>
      <c r="AG6" s="106" t="s">
        <v>268</v>
      </c>
      <c r="AH6" s="106" t="s">
        <v>269</v>
      </c>
      <c r="AL6" s="117" t="s">
        <v>198</v>
      </c>
      <c r="AN6" s="117" t="s">
        <v>165</v>
      </c>
      <c r="AP6" s="111" t="s">
        <v>53</v>
      </c>
      <c r="AR6" s="111" t="s">
        <v>59</v>
      </c>
      <c r="AV6" s="111" t="s">
        <v>60</v>
      </c>
      <c r="AX6" s="112">
        <v>97</v>
      </c>
      <c r="AY6" s="113">
        <v>36</v>
      </c>
      <c r="AZ6" s="113">
        <v>99</v>
      </c>
      <c r="BA6" s="114">
        <v>33</v>
      </c>
    </row>
    <row r="7" spans="1:53" x14ac:dyDescent="0.15">
      <c r="A7" s="93" t="s">
        <v>51</v>
      </c>
      <c r="B7" s="93" t="s">
        <v>157</v>
      </c>
      <c r="C7" s="93">
        <v>2019</v>
      </c>
      <c r="D7" s="101" t="s">
        <v>259</v>
      </c>
      <c r="E7" s="93" t="s">
        <v>260</v>
      </c>
      <c r="F7" s="93" t="s">
        <v>261</v>
      </c>
      <c r="G7" s="93" t="s">
        <v>42</v>
      </c>
      <c r="H7" s="93" t="s">
        <v>160</v>
      </c>
      <c r="I7" s="93" t="s">
        <v>159</v>
      </c>
      <c r="J7" s="93" t="s">
        <v>38</v>
      </c>
      <c r="L7" s="93">
        <v>3</v>
      </c>
      <c r="N7" s="93">
        <v>1</v>
      </c>
      <c r="O7" s="93">
        <v>0.75</v>
      </c>
      <c r="P7" s="93">
        <v>0.85</v>
      </c>
      <c r="Q7" s="102">
        <f t="shared" si="0"/>
        <v>0.8</v>
      </c>
      <c r="R7" s="93">
        <v>17.3</v>
      </c>
      <c r="S7" s="93">
        <v>138</v>
      </c>
      <c r="T7" s="103">
        <f t="shared" si="1"/>
        <v>22</v>
      </c>
      <c r="U7" s="93">
        <v>138</v>
      </c>
      <c r="V7" s="104">
        <f t="shared" si="2"/>
        <v>3036</v>
      </c>
      <c r="W7" s="93">
        <v>8</v>
      </c>
      <c r="X7" s="93" t="s">
        <v>46</v>
      </c>
      <c r="Y7" s="93" t="s">
        <v>69</v>
      </c>
      <c r="Z7" s="93" t="s">
        <v>97</v>
      </c>
      <c r="AA7" s="93" t="s">
        <v>88</v>
      </c>
      <c r="AB7" s="93" t="s">
        <v>158</v>
      </c>
      <c r="AE7" s="110" t="s">
        <v>61</v>
      </c>
      <c r="AG7" s="106" t="s">
        <v>270</v>
      </c>
      <c r="AH7" s="106" t="s">
        <v>262</v>
      </c>
      <c r="AL7" s="93" t="s">
        <v>194</v>
      </c>
      <c r="AP7" s="111" t="s">
        <v>58</v>
      </c>
      <c r="AR7" s="111" t="s">
        <v>200</v>
      </c>
      <c r="AV7" s="111" t="s">
        <v>64</v>
      </c>
      <c r="AX7" s="112">
        <v>109</v>
      </c>
      <c r="AY7" s="113">
        <v>33</v>
      </c>
      <c r="AZ7" s="113">
        <v>113</v>
      </c>
      <c r="BA7" s="114">
        <v>30</v>
      </c>
    </row>
    <row r="8" spans="1:53" x14ac:dyDescent="0.15">
      <c r="A8" s="93" t="s">
        <v>51</v>
      </c>
      <c r="B8" s="93" t="s">
        <v>157</v>
      </c>
      <c r="C8" s="93">
        <v>2019</v>
      </c>
      <c r="D8" s="101" t="s">
        <v>259</v>
      </c>
      <c r="E8" s="93" t="s">
        <v>263</v>
      </c>
      <c r="F8" s="93" t="s">
        <v>264</v>
      </c>
      <c r="G8" s="93" t="s">
        <v>36</v>
      </c>
      <c r="H8" s="93" t="s">
        <v>164</v>
      </c>
      <c r="I8" s="93" t="s">
        <v>159</v>
      </c>
      <c r="J8" s="93" t="s">
        <v>38</v>
      </c>
      <c r="L8" s="93">
        <v>1</v>
      </c>
      <c r="N8" s="93">
        <v>1</v>
      </c>
      <c r="O8" s="93">
        <v>0.5</v>
      </c>
      <c r="P8" s="93">
        <v>0.5</v>
      </c>
      <c r="Q8" s="102">
        <f t="shared" si="0"/>
        <v>0.5</v>
      </c>
      <c r="R8" s="93">
        <v>14.7</v>
      </c>
      <c r="S8" s="93">
        <v>130</v>
      </c>
      <c r="T8" s="103">
        <f t="shared" si="1"/>
        <v>25</v>
      </c>
      <c r="U8" s="93">
        <v>138</v>
      </c>
      <c r="V8" s="104">
        <f t="shared" si="2"/>
        <v>3450</v>
      </c>
      <c r="W8" s="93">
        <v>10</v>
      </c>
      <c r="X8" s="93" t="s">
        <v>46</v>
      </c>
      <c r="Y8" s="93" t="s">
        <v>55</v>
      </c>
      <c r="Z8" s="93" t="s">
        <v>47</v>
      </c>
      <c r="AA8" s="93" t="s">
        <v>69</v>
      </c>
      <c r="AB8" s="93" t="s">
        <v>158</v>
      </c>
      <c r="AE8" s="110" t="s">
        <v>59</v>
      </c>
      <c r="AG8" s="106" t="s">
        <v>271</v>
      </c>
      <c r="AH8" s="106" t="s">
        <v>272</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259</v>
      </c>
      <c r="E9" s="93" t="s">
        <v>263</v>
      </c>
      <c r="F9" s="93" t="s">
        <v>264</v>
      </c>
      <c r="G9" s="93" t="s">
        <v>36</v>
      </c>
      <c r="H9" s="93" t="s">
        <v>164</v>
      </c>
      <c r="I9" s="93" t="s">
        <v>159</v>
      </c>
      <c r="J9" s="93" t="s">
        <v>38</v>
      </c>
      <c r="L9" s="93">
        <v>2</v>
      </c>
      <c r="N9" s="93">
        <v>1</v>
      </c>
      <c r="O9" s="93">
        <v>0.5</v>
      </c>
      <c r="P9" s="93">
        <v>0.5</v>
      </c>
      <c r="Q9" s="102">
        <f t="shared" si="0"/>
        <v>0.5</v>
      </c>
      <c r="R9" s="93">
        <v>15.1</v>
      </c>
      <c r="S9" s="93">
        <v>134</v>
      </c>
      <c r="T9" s="103">
        <f t="shared" si="1"/>
        <v>25</v>
      </c>
      <c r="U9" s="93">
        <v>138</v>
      </c>
      <c r="V9" s="104">
        <f t="shared" si="2"/>
        <v>3450</v>
      </c>
      <c r="W9" s="93">
        <v>10</v>
      </c>
      <c r="X9" s="93" t="s">
        <v>46</v>
      </c>
      <c r="Y9" s="93" t="s">
        <v>55</v>
      </c>
      <c r="Z9" s="93" t="s">
        <v>47</v>
      </c>
      <c r="AA9" s="93" t="s">
        <v>69</v>
      </c>
      <c r="AB9" s="93" t="s">
        <v>158</v>
      </c>
      <c r="AE9" s="110" t="s">
        <v>203</v>
      </c>
      <c r="AG9" s="106" t="s">
        <v>273</v>
      </c>
      <c r="AH9" s="106" t="s">
        <v>261</v>
      </c>
      <c r="AL9" s="117"/>
      <c r="AP9" s="111" t="s">
        <v>95</v>
      </c>
      <c r="AR9" s="111" t="s">
        <v>206</v>
      </c>
      <c r="AV9" s="111" t="s">
        <v>102</v>
      </c>
      <c r="AX9" s="112">
        <v>128</v>
      </c>
      <c r="AY9" s="113">
        <v>27</v>
      </c>
      <c r="AZ9" s="113">
        <v>129</v>
      </c>
      <c r="BA9" s="114">
        <v>25</v>
      </c>
    </row>
    <row r="10" spans="1:53" x14ac:dyDescent="0.15">
      <c r="A10" s="93" t="s">
        <v>51</v>
      </c>
      <c r="B10" s="93" t="s">
        <v>157</v>
      </c>
      <c r="C10" s="93">
        <v>2019</v>
      </c>
      <c r="D10" s="101" t="s">
        <v>259</v>
      </c>
      <c r="E10" s="93" t="s">
        <v>263</v>
      </c>
      <c r="F10" s="93" t="s">
        <v>264</v>
      </c>
      <c r="G10" s="93" t="s">
        <v>36</v>
      </c>
      <c r="H10" s="93" t="s">
        <v>164</v>
      </c>
      <c r="I10" s="93" t="s">
        <v>159</v>
      </c>
      <c r="J10" s="93" t="s">
        <v>38</v>
      </c>
      <c r="L10" s="93">
        <v>3</v>
      </c>
      <c r="N10" s="93">
        <v>1</v>
      </c>
      <c r="O10" s="93">
        <v>0.25</v>
      </c>
      <c r="P10" s="93">
        <v>0.55000000000000004</v>
      </c>
      <c r="Q10" s="102">
        <f t="shared" si="0"/>
        <v>0.4</v>
      </c>
      <c r="R10" s="93">
        <v>14.4</v>
      </c>
      <c r="S10" s="93">
        <v>130</v>
      </c>
      <c r="T10" s="103">
        <f t="shared" si="1"/>
        <v>25</v>
      </c>
      <c r="U10" s="93">
        <v>138</v>
      </c>
      <c r="V10" s="104">
        <f t="shared" si="2"/>
        <v>3450</v>
      </c>
      <c r="W10" s="93">
        <v>10</v>
      </c>
      <c r="X10" s="93" t="s">
        <v>46</v>
      </c>
      <c r="Y10" s="93" t="s">
        <v>55</v>
      </c>
      <c r="Z10" s="93" t="s">
        <v>47</v>
      </c>
      <c r="AA10" s="93" t="s">
        <v>69</v>
      </c>
      <c r="AB10" s="93" t="s">
        <v>158</v>
      </c>
      <c r="AE10" s="110" t="s">
        <v>207</v>
      </c>
      <c r="AG10" s="106" t="s">
        <v>260</v>
      </c>
      <c r="AH10" s="111" t="s">
        <v>261</v>
      </c>
      <c r="AP10" s="111" t="s">
        <v>100</v>
      </c>
      <c r="AR10" s="111" t="s">
        <v>209</v>
      </c>
      <c r="AV10" s="111" t="s">
        <v>106</v>
      </c>
      <c r="AX10" s="112">
        <v>138</v>
      </c>
      <c r="AY10" s="113">
        <v>25</v>
      </c>
      <c r="AZ10" s="113">
        <v>138</v>
      </c>
      <c r="BA10" s="114">
        <v>22</v>
      </c>
    </row>
    <row r="11" spans="1:53" x14ac:dyDescent="0.15">
      <c r="A11" s="93" t="s">
        <v>51</v>
      </c>
      <c r="B11" s="93" t="s">
        <v>157</v>
      </c>
      <c r="C11" s="93">
        <v>2019</v>
      </c>
      <c r="D11" s="101" t="s">
        <v>259</v>
      </c>
      <c r="E11" s="93" t="s">
        <v>263</v>
      </c>
      <c r="F11" s="93" t="s">
        <v>264</v>
      </c>
      <c r="G11" s="93" t="s">
        <v>36</v>
      </c>
      <c r="H11" s="93" t="s">
        <v>194</v>
      </c>
      <c r="I11" s="93" t="s">
        <v>159</v>
      </c>
      <c r="J11" s="93" t="s">
        <v>38</v>
      </c>
      <c r="L11" s="93">
        <v>1</v>
      </c>
      <c r="N11" s="93">
        <v>5</v>
      </c>
      <c r="O11" s="93">
        <v>0.5</v>
      </c>
      <c r="P11" s="93">
        <v>0.5</v>
      </c>
      <c r="Q11" s="102">
        <f t="shared" si="0"/>
        <v>0.5</v>
      </c>
      <c r="R11" s="93">
        <v>16.7</v>
      </c>
      <c r="S11" s="93">
        <v>77</v>
      </c>
      <c r="T11" s="103">
        <f t="shared" si="1"/>
        <v>39</v>
      </c>
      <c r="U11" s="93">
        <v>398</v>
      </c>
      <c r="V11" s="104">
        <f t="shared" si="2"/>
        <v>3104.3999999999996</v>
      </c>
      <c r="W11" s="93">
        <v>10</v>
      </c>
      <c r="X11" s="93" t="s">
        <v>46</v>
      </c>
      <c r="Y11" s="93" t="s">
        <v>55</v>
      </c>
      <c r="Z11" s="93" t="s">
        <v>47</v>
      </c>
      <c r="AA11" s="93" t="s">
        <v>69</v>
      </c>
      <c r="AB11" s="93" t="s">
        <v>158</v>
      </c>
      <c r="AE11" s="110" t="s">
        <v>68</v>
      </c>
      <c r="AG11" s="106" t="s">
        <v>139</v>
      </c>
      <c r="AH11" s="111" t="s">
        <v>274</v>
      </c>
      <c r="AP11" s="111" t="s">
        <v>104</v>
      </c>
      <c r="AR11" s="111" t="s">
        <v>212</v>
      </c>
      <c r="AV11" s="111" t="s">
        <v>69</v>
      </c>
      <c r="AX11" s="112">
        <v>151</v>
      </c>
      <c r="AY11" s="113">
        <v>22</v>
      </c>
      <c r="AZ11" s="113">
        <v>152</v>
      </c>
      <c r="BA11" s="114">
        <v>18</v>
      </c>
    </row>
    <row r="12" spans="1:53" x14ac:dyDescent="0.15">
      <c r="A12" s="93" t="s">
        <v>51</v>
      </c>
      <c r="B12" s="93" t="s">
        <v>157</v>
      </c>
      <c r="C12" s="93">
        <v>2019</v>
      </c>
      <c r="D12" s="101" t="s">
        <v>259</v>
      </c>
      <c r="E12" s="93" t="s">
        <v>263</v>
      </c>
      <c r="F12" s="93" t="s">
        <v>264</v>
      </c>
      <c r="G12" s="93" t="s">
        <v>36</v>
      </c>
      <c r="H12" s="93" t="s">
        <v>194</v>
      </c>
      <c r="I12" s="93" t="s">
        <v>159</v>
      </c>
      <c r="J12" s="93" t="s">
        <v>38</v>
      </c>
      <c r="L12" s="93">
        <v>2</v>
      </c>
      <c r="N12" s="93">
        <v>5</v>
      </c>
      <c r="O12" s="93">
        <v>0.25</v>
      </c>
      <c r="P12" s="93">
        <v>0.25</v>
      </c>
      <c r="Q12" s="102">
        <f t="shared" si="0"/>
        <v>0.25</v>
      </c>
      <c r="R12" s="93">
        <v>18.2</v>
      </c>
      <c r="S12" s="93">
        <v>81</v>
      </c>
      <c r="T12" s="103">
        <f t="shared" si="1"/>
        <v>39</v>
      </c>
      <c r="U12" s="93">
        <v>398</v>
      </c>
      <c r="V12" s="104">
        <f t="shared" si="2"/>
        <v>3104.3999999999996</v>
      </c>
      <c r="W12" s="93">
        <v>10</v>
      </c>
      <c r="X12" s="93" t="s">
        <v>46</v>
      </c>
      <c r="Y12" s="93" t="s">
        <v>55</v>
      </c>
      <c r="Z12" s="93" t="s">
        <v>47</v>
      </c>
      <c r="AA12" s="93" t="s">
        <v>69</v>
      </c>
      <c r="AB12" s="93" t="s">
        <v>158</v>
      </c>
      <c r="AE12" s="110" t="s">
        <v>213</v>
      </c>
      <c r="AG12" s="111"/>
      <c r="AH12" s="111"/>
      <c r="AP12" s="111" t="s">
        <v>67</v>
      </c>
      <c r="AR12" s="111" t="s">
        <v>214</v>
      </c>
      <c r="AV12" s="111" t="s">
        <v>72</v>
      </c>
      <c r="AX12" s="118">
        <v>180</v>
      </c>
      <c r="AY12" s="119">
        <v>18</v>
      </c>
      <c r="AZ12" s="119">
        <v>181</v>
      </c>
      <c r="BA12" s="120">
        <v>16</v>
      </c>
    </row>
    <row r="13" spans="1:53" x14ac:dyDescent="0.15">
      <c r="A13" s="93" t="s">
        <v>51</v>
      </c>
      <c r="B13" s="93" t="s">
        <v>157</v>
      </c>
      <c r="C13" s="93">
        <v>2019</v>
      </c>
      <c r="D13" s="101" t="s">
        <v>259</v>
      </c>
      <c r="E13" s="93" t="s">
        <v>263</v>
      </c>
      <c r="F13" s="93" t="s">
        <v>264</v>
      </c>
      <c r="G13" s="93" t="s">
        <v>36</v>
      </c>
      <c r="H13" s="93" t="s">
        <v>194</v>
      </c>
      <c r="I13" s="93" t="s">
        <v>159</v>
      </c>
      <c r="J13" s="93" t="s">
        <v>38</v>
      </c>
      <c r="L13" s="93">
        <v>3</v>
      </c>
      <c r="N13" s="93">
        <v>5</v>
      </c>
      <c r="O13" s="93">
        <v>0.5</v>
      </c>
      <c r="P13" s="93">
        <v>0.25</v>
      </c>
      <c r="Q13" s="102">
        <f t="shared" si="0"/>
        <v>0.375</v>
      </c>
      <c r="R13" s="93">
        <v>18.100000000000001</v>
      </c>
      <c r="S13" s="93">
        <v>84</v>
      </c>
      <c r="T13" s="103">
        <f t="shared" si="1"/>
        <v>36</v>
      </c>
      <c r="U13" s="93">
        <v>398</v>
      </c>
      <c r="V13" s="104">
        <f t="shared" si="2"/>
        <v>2865.6</v>
      </c>
      <c r="W13" s="93">
        <v>10</v>
      </c>
      <c r="X13" s="93" t="s">
        <v>46</v>
      </c>
      <c r="Y13" s="93" t="s">
        <v>55</v>
      </c>
      <c r="Z13" s="93" t="s">
        <v>47</v>
      </c>
      <c r="AA13" s="93" t="s">
        <v>69</v>
      </c>
      <c r="AB13" s="93" t="s">
        <v>158</v>
      </c>
      <c r="AE13" s="110" t="s">
        <v>215</v>
      </c>
      <c r="AG13" s="111"/>
      <c r="AH13" s="111"/>
      <c r="AP13" s="111" t="s">
        <v>71</v>
      </c>
      <c r="AR13" s="111" t="s">
        <v>207</v>
      </c>
      <c r="AV13" s="111" t="s">
        <v>75</v>
      </c>
    </row>
    <row r="14" spans="1:53" x14ac:dyDescent="0.15">
      <c r="A14" s="93" t="s">
        <v>51</v>
      </c>
      <c r="B14" s="93" t="s">
        <v>157</v>
      </c>
      <c r="C14" s="93">
        <v>2019</v>
      </c>
      <c r="D14" s="101" t="s">
        <v>259</v>
      </c>
      <c r="E14" s="93" t="s">
        <v>263</v>
      </c>
      <c r="F14" s="93" t="s">
        <v>264</v>
      </c>
      <c r="G14" s="93" t="s">
        <v>36</v>
      </c>
      <c r="H14" s="93" t="s">
        <v>160</v>
      </c>
      <c r="I14" s="93" t="s">
        <v>159</v>
      </c>
      <c r="J14" s="93" t="s">
        <v>38</v>
      </c>
      <c r="L14" s="93">
        <v>1</v>
      </c>
      <c r="N14" s="93">
        <v>1</v>
      </c>
      <c r="O14" s="93">
        <v>0.75</v>
      </c>
      <c r="P14" s="93">
        <v>0.6</v>
      </c>
      <c r="Q14" s="102">
        <f t="shared" si="0"/>
        <v>0.67500000000000004</v>
      </c>
      <c r="R14" s="93">
        <v>16.399999999999999</v>
      </c>
      <c r="S14" s="93">
        <v>134</v>
      </c>
      <c r="T14" s="103">
        <f t="shared" si="1"/>
        <v>25</v>
      </c>
      <c r="U14" s="93">
        <v>138</v>
      </c>
      <c r="V14" s="104">
        <f t="shared" si="2"/>
        <v>3450</v>
      </c>
      <c r="W14" s="93">
        <v>10</v>
      </c>
      <c r="X14" s="93" t="s">
        <v>46</v>
      </c>
      <c r="Y14" s="93" t="s">
        <v>55</v>
      </c>
      <c r="Z14" s="93" t="s">
        <v>47</v>
      </c>
      <c r="AA14" s="93" t="s">
        <v>69</v>
      </c>
      <c r="AB14" s="93" t="s">
        <v>158</v>
      </c>
      <c r="AE14" s="110" t="s">
        <v>96</v>
      </c>
      <c r="AG14" s="111"/>
      <c r="AH14" s="111"/>
      <c r="AP14" s="111" t="s">
        <v>74</v>
      </c>
      <c r="AR14" s="111" t="s">
        <v>216</v>
      </c>
      <c r="AV14" s="111" t="s">
        <v>78</v>
      </c>
    </row>
    <row r="15" spans="1:53" x14ac:dyDescent="0.15">
      <c r="A15" s="93" t="s">
        <v>51</v>
      </c>
      <c r="B15" s="93" t="s">
        <v>157</v>
      </c>
      <c r="C15" s="93">
        <v>2019</v>
      </c>
      <c r="D15" s="101" t="s">
        <v>259</v>
      </c>
      <c r="E15" s="93" t="s">
        <v>263</v>
      </c>
      <c r="F15" s="93" t="s">
        <v>264</v>
      </c>
      <c r="G15" s="93" t="s">
        <v>36</v>
      </c>
      <c r="H15" s="93" t="s">
        <v>160</v>
      </c>
      <c r="I15" s="93" t="s">
        <v>159</v>
      </c>
      <c r="J15" s="93" t="s">
        <v>38</v>
      </c>
      <c r="L15" s="93">
        <v>2</v>
      </c>
      <c r="N15" s="93">
        <v>1</v>
      </c>
      <c r="O15" s="93">
        <v>0.65</v>
      </c>
      <c r="P15" s="93">
        <v>0.65</v>
      </c>
      <c r="Q15" s="102">
        <f t="shared" si="0"/>
        <v>0.65</v>
      </c>
      <c r="R15" s="93">
        <v>16.8</v>
      </c>
      <c r="S15" s="93">
        <v>138</v>
      </c>
      <c r="T15" s="103">
        <f t="shared" si="1"/>
        <v>22</v>
      </c>
      <c r="U15" s="93">
        <v>138</v>
      </c>
      <c r="V15" s="104">
        <f t="shared" si="2"/>
        <v>3036</v>
      </c>
      <c r="W15" s="93">
        <v>10</v>
      </c>
      <c r="X15" s="93" t="s">
        <v>46</v>
      </c>
      <c r="Y15" s="93" t="s">
        <v>55</v>
      </c>
      <c r="Z15" s="93" t="s">
        <v>47</v>
      </c>
      <c r="AA15" s="93" t="s">
        <v>69</v>
      </c>
      <c r="AB15" s="93" t="s">
        <v>158</v>
      </c>
      <c r="AE15" s="110" t="s">
        <v>217</v>
      </c>
      <c r="AG15" s="111"/>
      <c r="AH15" s="111"/>
      <c r="AP15" s="111" t="s">
        <v>77</v>
      </c>
      <c r="AR15" s="111" t="s">
        <v>80</v>
      </c>
      <c r="AV15" s="111" t="s">
        <v>107</v>
      </c>
    </row>
    <row r="16" spans="1:53" x14ac:dyDescent="0.15">
      <c r="A16" s="93" t="s">
        <v>51</v>
      </c>
      <c r="B16" s="93" t="s">
        <v>157</v>
      </c>
      <c r="C16" s="93">
        <v>2019</v>
      </c>
      <c r="D16" s="101" t="s">
        <v>259</v>
      </c>
      <c r="E16" s="93" t="s">
        <v>263</v>
      </c>
      <c r="F16" s="93" t="s">
        <v>264</v>
      </c>
      <c r="G16" s="93" t="s">
        <v>36</v>
      </c>
      <c r="H16" s="93" t="s">
        <v>160</v>
      </c>
      <c r="I16" s="93" t="s">
        <v>159</v>
      </c>
      <c r="J16" s="93" t="s">
        <v>38</v>
      </c>
      <c r="L16" s="93">
        <v>3</v>
      </c>
      <c r="N16" s="93">
        <v>1</v>
      </c>
      <c r="O16" s="93">
        <v>0.7</v>
      </c>
      <c r="P16" s="93">
        <v>0.55000000000000004</v>
      </c>
      <c r="Q16" s="102">
        <f t="shared" si="0"/>
        <v>0.625</v>
      </c>
      <c r="R16" s="93">
        <v>17</v>
      </c>
      <c r="S16" s="93">
        <v>138</v>
      </c>
      <c r="T16" s="103">
        <f t="shared" si="1"/>
        <v>22</v>
      </c>
      <c r="U16" s="93">
        <v>138</v>
      </c>
      <c r="V16" s="104">
        <f t="shared" si="2"/>
        <v>3036</v>
      </c>
      <c r="W16" s="93">
        <v>10</v>
      </c>
      <c r="X16" s="93" t="s">
        <v>46</v>
      </c>
      <c r="Y16" s="93" t="s">
        <v>55</v>
      </c>
      <c r="Z16" s="93" t="s">
        <v>47</v>
      </c>
      <c r="AA16" s="93" t="s">
        <v>69</v>
      </c>
      <c r="AB16" s="93" t="s">
        <v>158</v>
      </c>
      <c r="AE16" s="110" t="s">
        <v>218</v>
      </c>
      <c r="AG16" s="116"/>
      <c r="AH16" s="116"/>
      <c r="AP16" s="111" t="s">
        <v>80</v>
      </c>
      <c r="AR16" s="111" t="s">
        <v>63</v>
      </c>
      <c r="AV16" s="111" t="s">
        <v>84</v>
      </c>
    </row>
    <row r="17" spans="1:48" x14ac:dyDescent="0.15">
      <c r="A17" s="93" t="s">
        <v>51</v>
      </c>
      <c r="B17" s="93" t="s">
        <v>157</v>
      </c>
      <c r="C17" s="93">
        <v>2019</v>
      </c>
      <c r="D17" s="101" t="s">
        <v>259</v>
      </c>
      <c r="E17" s="93" t="s">
        <v>139</v>
      </c>
      <c r="F17" s="93" t="s">
        <v>274</v>
      </c>
      <c r="G17" s="93" t="s">
        <v>42</v>
      </c>
      <c r="H17" s="93" t="s">
        <v>164</v>
      </c>
      <c r="I17" s="93" t="s">
        <v>159</v>
      </c>
      <c r="J17" s="93" t="s">
        <v>38</v>
      </c>
      <c r="L17" s="93">
        <v>1</v>
      </c>
      <c r="N17" s="93">
        <v>1</v>
      </c>
      <c r="O17" s="93">
        <v>1</v>
      </c>
      <c r="P17" s="93">
        <v>1</v>
      </c>
      <c r="Q17" s="102">
        <f t="shared" si="0"/>
        <v>1</v>
      </c>
      <c r="R17" s="93">
        <v>16.600000000000001</v>
      </c>
      <c r="S17" s="93">
        <v>92</v>
      </c>
      <c r="T17" s="103">
        <f t="shared" si="1"/>
        <v>36</v>
      </c>
      <c r="U17" s="93">
        <v>100</v>
      </c>
      <c r="V17" s="104">
        <f t="shared" si="2"/>
        <v>3600</v>
      </c>
      <c r="W17" s="93">
        <v>18</v>
      </c>
      <c r="X17" s="93" t="s">
        <v>46</v>
      </c>
      <c r="Y17" s="93" t="s">
        <v>69</v>
      </c>
      <c r="Z17" s="93" t="s">
        <v>55</v>
      </c>
      <c r="AA17" s="93" t="s">
        <v>97</v>
      </c>
      <c r="AB17" s="93" t="s">
        <v>158</v>
      </c>
      <c r="AE17" s="110" t="s">
        <v>219</v>
      </c>
      <c r="AP17" s="115" t="s">
        <v>220</v>
      </c>
      <c r="AR17" s="111" t="s">
        <v>96</v>
      </c>
      <c r="AV17" s="111" t="s">
        <v>86</v>
      </c>
    </row>
    <row r="18" spans="1:48" x14ac:dyDescent="0.15">
      <c r="A18" s="93" t="s">
        <v>51</v>
      </c>
      <c r="B18" s="93" t="s">
        <v>157</v>
      </c>
      <c r="C18" s="93">
        <v>2019</v>
      </c>
      <c r="D18" s="101" t="s">
        <v>259</v>
      </c>
      <c r="E18" s="93" t="s">
        <v>139</v>
      </c>
      <c r="F18" s="93" t="s">
        <v>274</v>
      </c>
      <c r="G18" s="93" t="s">
        <v>42</v>
      </c>
      <c r="H18" s="93" t="s">
        <v>164</v>
      </c>
      <c r="I18" s="93" t="s">
        <v>159</v>
      </c>
      <c r="J18" s="93" t="s">
        <v>38</v>
      </c>
      <c r="L18" s="93">
        <v>2</v>
      </c>
      <c r="N18" s="93">
        <v>1</v>
      </c>
      <c r="O18" s="93">
        <v>1.05</v>
      </c>
      <c r="P18" s="93">
        <v>1.05</v>
      </c>
      <c r="Q18" s="102">
        <f t="shared" si="0"/>
        <v>1.05</v>
      </c>
      <c r="R18" s="93">
        <v>19.2</v>
      </c>
      <c r="S18" s="93">
        <v>84</v>
      </c>
      <c r="T18" s="103">
        <f t="shared" si="1"/>
        <v>36</v>
      </c>
      <c r="U18" s="93">
        <v>100</v>
      </c>
      <c r="V18" s="104">
        <f t="shared" si="2"/>
        <v>3600</v>
      </c>
      <c r="W18" s="93">
        <v>18</v>
      </c>
      <c r="X18" s="93" t="s">
        <v>46</v>
      </c>
      <c r="Y18" s="93" t="s">
        <v>69</v>
      </c>
      <c r="Z18" s="93" t="s">
        <v>55</v>
      </c>
      <c r="AA18" s="93" t="s">
        <v>97</v>
      </c>
      <c r="AB18" s="93" t="s">
        <v>158</v>
      </c>
      <c r="AE18" s="110" t="s">
        <v>212</v>
      </c>
      <c r="AP18" s="115" t="s">
        <v>221</v>
      </c>
      <c r="AR18" s="111" t="s">
        <v>101</v>
      </c>
      <c r="AV18" s="111" t="s">
        <v>88</v>
      </c>
    </row>
    <row r="19" spans="1:48" x14ac:dyDescent="0.15">
      <c r="A19" s="93" t="s">
        <v>51</v>
      </c>
      <c r="B19" s="93" t="s">
        <v>157</v>
      </c>
      <c r="C19" s="93">
        <v>2019</v>
      </c>
      <c r="D19" s="101" t="s">
        <v>259</v>
      </c>
      <c r="E19" s="93" t="s">
        <v>139</v>
      </c>
      <c r="F19" s="93" t="s">
        <v>274</v>
      </c>
      <c r="G19" s="93" t="s">
        <v>42</v>
      </c>
      <c r="H19" s="93" t="s">
        <v>164</v>
      </c>
      <c r="I19" s="93" t="s">
        <v>159</v>
      </c>
      <c r="J19" s="93" t="s">
        <v>38</v>
      </c>
      <c r="L19" s="93">
        <v>3</v>
      </c>
      <c r="N19" s="93">
        <v>1</v>
      </c>
      <c r="O19" s="93">
        <v>0.95</v>
      </c>
      <c r="P19" s="93">
        <v>1</v>
      </c>
      <c r="Q19" s="102">
        <f t="shared" si="0"/>
        <v>0.97499999999999998</v>
      </c>
      <c r="R19" s="93">
        <v>17.3</v>
      </c>
      <c r="S19" s="93">
        <v>89</v>
      </c>
      <c r="T19" s="103">
        <f t="shared" si="1"/>
        <v>36</v>
      </c>
      <c r="U19" s="93">
        <v>100</v>
      </c>
      <c r="V19" s="104">
        <f t="shared" si="2"/>
        <v>3600</v>
      </c>
      <c r="W19" s="93">
        <v>18</v>
      </c>
      <c r="X19" s="93" t="s">
        <v>46</v>
      </c>
      <c r="Y19" s="93" t="s">
        <v>69</v>
      </c>
      <c r="Z19" s="93" t="s">
        <v>55</v>
      </c>
      <c r="AA19" s="93" t="s">
        <v>97</v>
      </c>
      <c r="AB19" s="93" t="s">
        <v>158</v>
      </c>
      <c r="AE19" s="121" t="s">
        <v>206</v>
      </c>
      <c r="AP19" s="115" t="s">
        <v>222</v>
      </c>
      <c r="AR19" s="111" t="s">
        <v>223</v>
      </c>
      <c r="AV19" s="111" t="s">
        <v>90</v>
      </c>
    </row>
    <row r="20" spans="1:48" x14ac:dyDescent="0.15">
      <c r="A20" s="93" t="s">
        <v>51</v>
      </c>
      <c r="B20" s="93" t="s">
        <v>157</v>
      </c>
      <c r="C20" s="93">
        <v>2019</v>
      </c>
      <c r="D20" s="101" t="s">
        <v>259</v>
      </c>
      <c r="E20" s="93" t="s">
        <v>139</v>
      </c>
      <c r="F20" s="93" t="s">
        <v>274</v>
      </c>
      <c r="G20" s="93" t="s">
        <v>42</v>
      </c>
      <c r="H20" s="93" t="s">
        <v>160</v>
      </c>
      <c r="I20" s="93" t="s">
        <v>159</v>
      </c>
      <c r="J20" s="93" t="s">
        <v>38</v>
      </c>
      <c r="L20" s="93">
        <v>1</v>
      </c>
      <c r="N20" s="93">
        <v>1</v>
      </c>
      <c r="O20" s="93">
        <v>0.75</v>
      </c>
      <c r="P20" s="93">
        <v>0.8</v>
      </c>
      <c r="Q20" s="102">
        <f t="shared" si="0"/>
        <v>0.77500000000000002</v>
      </c>
      <c r="R20" s="93">
        <v>16.5</v>
      </c>
      <c r="S20" s="93">
        <v>92</v>
      </c>
      <c r="T20" s="103">
        <f t="shared" si="1"/>
        <v>36</v>
      </c>
      <c r="U20" s="93">
        <v>79</v>
      </c>
      <c r="V20" s="104">
        <f t="shared" si="2"/>
        <v>2844</v>
      </c>
      <c r="W20" s="93">
        <v>18</v>
      </c>
      <c r="X20" s="93" t="s">
        <v>46</v>
      </c>
      <c r="Y20" s="93" t="s">
        <v>69</v>
      </c>
      <c r="Z20" s="93" t="s">
        <v>55</v>
      </c>
      <c r="AA20" s="93" t="s">
        <v>97</v>
      </c>
      <c r="AB20" s="93" t="s">
        <v>158</v>
      </c>
      <c r="AE20" s="121"/>
      <c r="AP20" s="115" t="s">
        <v>224</v>
      </c>
      <c r="AR20" s="111" t="s">
        <v>105</v>
      </c>
      <c r="AV20" s="115" t="s">
        <v>225</v>
      </c>
    </row>
    <row r="21" spans="1:48" x14ac:dyDescent="0.15">
      <c r="A21" s="93" t="s">
        <v>51</v>
      </c>
      <c r="B21" s="93" t="s">
        <v>157</v>
      </c>
      <c r="C21" s="93">
        <v>2019</v>
      </c>
      <c r="D21" s="101" t="s">
        <v>259</v>
      </c>
      <c r="E21" s="93" t="s">
        <v>139</v>
      </c>
      <c r="F21" s="93" t="s">
        <v>274</v>
      </c>
      <c r="G21" s="93" t="s">
        <v>42</v>
      </c>
      <c r="H21" s="93" t="s">
        <v>160</v>
      </c>
      <c r="I21" s="93" t="s">
        <v>159</v>
      </c>
      <c r="J21" s="93" t="s">
        <v>38</v>
      </c>
      <c r="L21" s="93">
        <v>2</v>
      </c>
      <c r="N21" s="93">
        <v>1</v>
      </c>
      <c r="O21" s="93">
        <v>0.8</v>
      </c>
      <c r="P21" s="93">
        <v>0.65</v>
      </c>
      <c r="Q21" s="102">
        <f t="shared" si="0"/>
        <v>0.72500000000000009</v>
      </c>
      <c r="R21" s="93">
        <v>15.6</v>
      </c>
      <c r="S21" s="93">
        <v>87</v>
      </c>
      <c r="T21" s="103">
        <f t="shared" si="1"/>
        <v>36</v>
      </c>
      <c r="U21" s="93">
        <v>79</v>
      </c>
      <c r="V21" s="104">
        <f t="shared" si="2"/>
        <v>2844</v>
      </c>
      <c r="W21" s="93">
        <v>18</v>
      </c>
      <c r="X21" s="93" t="s">
        <v>46</v>
      </c>
      <c r="Y21" s="93" t="s">
        <v>69</v>
      </c>
      <c r="Z21" s="93" t="s">
        <v>55</v>
      </c>
      <c r="AA21" s="93" t="s">
        <v>97</v>
      </c>
      <c r="AB21" s="93" t="s">
        <v>158</v>
      </c>
      <c r="AE21" s="116"/>
      <c r="AP21" s="115" t="s">
        <v>226</v>
      </c>
      <c r="AR21" s="111" t="s">
        <v>68</v>
      </c>
      <c r="AV21" s="115" t="s">
        <v>227</v>
      </c>
    </row>
    <row r="22" spans="1:48" x14ac:dyDescent="0.15">
      <c r="A22" s="93" t="s">
        <v>51</v>
      </c>
      <c r="B22" s="93" t="s">
        <v>157</v>
      </c>
      <c r="C22" s="93">
        <v>2019</v>
      </c>
      <c r="D22" s="101" t="s">
        <v>259</v>
      </c>
      <c r="E22" s="93" t="s">
        <v>139</v>
      </c>
      <c r="F22" s="93" t="s">
        <v>274</v>
      </c>
      <c r="G22" s="93" t="s">
        <v>42</v>
      </c>
      <c r="H22" s="93" t="s">
        <v>160</v>
      </c>
      <c r="I22" s="93" t="s">
        <v>159</v>
      </c>
      <c r="J22" s="93" t="s">
        <v>38</v>
      </c>
      <c r="L22" s="93">
        <v>3</v>
      </c>
      <c r="N22" s="93">
        <v>1</v>
      </c>
      <c r="O22" s="93">
        <v>0.7</v>
      </c>
      <c r="P22" s="93">
        <v>0.75</v>
      </c>
      <c r="Q22" s="102">
        <f t="shared" si="0"/>
        <v>0.72499999999999998</v>
      </c>
      <c r="R22" s="93">
        <v>15.1</v>
      </c>
      <c r="S22" s="93">
        <v>86</v>
      </c>
      <c r="T22" s="103">
        <f t="shared" si="1"/>
        <v>36</v>
      </c>
      <c r="U22" s="93">
        <v>79</v>
      </c>
      <c r="V22" s="104">
        <f t="shared" si="2"/>
        <v>2844</v>
      </c>
      <c r="W22" s="93">
        <v>18</v>
      </c>
      <c r="X22" s="93" t="s">
        <v>46</v>
      </c>
      <c r="Y22" s="93" t="s">
        <v>69</v>
      </c>
      <c r="Z22" s="93" t="s">
        <v>55</v>
      </c>
      <c r="AA22" s="93" t="s">
        <v>97</v>
      </c>
      <c r="AB22" s="93" t="s">
        <v>158</v>
      </c>
      <c r="AP22" s="115" t="s">
        <v>228</v>
      </c>
      <c r="AR22" s="111" t="s">
        <v>83</v>
      </c>
      <c r="AV22" s="115"/>
    </row>
    <row r="23" spans="1:48" x14ac:dyDescent="0.15">
      <c r="A23" s="93" t="s">
        <v>51</v>
      </c>
      <c r="B23" s="93" t="s">
        <v>157</v>
      </c>
      <c r="C23" s="93">
        <v>2019</v>
      </c>
      <c r="D23" s="101" t="s">
        <v>259</v>
      </c>
      <c r="E23" s="93" t="s">
        <v>268</v>
      </c>
      <c r="F23" s="93" t="s">
        <v>269</v>
      </c>
      <c r="G23" s="93" t="s">
        <v>36</v>
      </c>
      <c r="H23" s="93" t="s">
        <v>164</v>
      </c>
      <c r="I23" s="93" t="s">
        <v>159</v>
      </c>
      <c r="J23" s="93" t="s">
        <v>38</v>
      </c>
      <c r="L23" s="93">
        <v>1</v>
      </c>
      <c r="N23" s="93">
        <v>1</v>
      </c>
      <c r="O23" s="93">
        <v>0.65</v>
      </c>
      <c r="P23" s="93">
        <v>0.6</v>
      </c>
      <c r="Q23" s="102">
        <f t="shared" si="0"/>
        <v>0.625</v>
      </c>
      <c r="R23" s="93">
        <v>17.2</v>
      </c>
      <c r="S23" s="93">
        <v>142</v>
      </c>
      <c r="T23" s="103">
        <f t="shared" si="1"/>
        <v>22</v>
      </c>
      <c r="U23" s="93">
        <v>128</v>
      </c>
      <c r="V23" s="104">
        <f t="shared" si="2"/>
        <v>2816</v>
      </c>
      <c r="W23" s="93">
        <v>10</v>
      </c>
      <c r="X23" s="93" t="s">
        <v>46</v>
      </c>
      <c r="Y23" s="93" t="s">
        <v>69</v>
      </c>
      <c r="Z23" s="93" t="s">
        <v>55</v>
      </c>
      <c r="AA23" s="93" t="s">
        <v>47</v>
      </c>
      <c r="AB23" s="93" t="s">
        <v>158</v>
      </c>
      <c r="AP23" s="115" t="s">
        <v>275</v>
      </c>
      <c r="AR23" s="111" t="s">
        <v>61</v>
      </c>
    </row>
    <row r="24" spans="1:48" x14ac:dyDescent="0.15">
      <c r="A24" s="93" t="s">
        <v>51</v>
      </c>
      <c r="B24" s="93" t="s">
        <v>157</v>
      </c>
      <c r="C24" s="93">
        <v>2019</v>
      </c>
      <c r="D24" s="101" t="s">
        <v>259</v>
      </c>
      <c r="E24" s="93" t="s">
        <v>268</v>
      </c>
      <c r="F24" s="93" t="s">
        <v>269</v>
      </c>
      <c r="G24" s="93" t="s">
        <v>36</v>
      </c>
      <c r="H24" s="93" t="s">
        <v>164</v>
      </c>
      <c r="I24" s="93" t="s">
        <v>159</v>
      </c>
      <c r="J24" s="93" t="s">
        <v>38</v>
      </c>
      <c r="L24" s="93">
        <v>2</v>
      </c>
      <c r="N24" s="93">
        <v>1</v>
      </c>
      <c r="O24" s="93">
        <v>0.5</v>
      </c>
      <c r="P24" s="93">
        <v>0.55000000000000004</v>
      </c>
      <c r="Q24" s="102">
        <f t="shared" si="0"/>
        <v>0.52500000000000002</v>
      </c>
      <c r="R24" s="93">
        <v>16.5</v>
      </c>
      <c r="S24" s="93">
        <v>138</v>
      </c>
      <c r="T24" s="103">
        <f t="shared" si="1"/>
        <v>22</v>
      </c>
      <c r="U24" s="93">
        <v>128</v>
      </c>
      <c r="V24" s="104">
        <f t="shared" si="2"/>
        <v>2816</v>
      </c>
      <c r="W24" s="93">
        <v>10</v>
      </c>
      <c r="X24" s="93" t="s">
        <v>46</v>
      </c>
      <c r="Y24" s="93" t="s">
        <v>69</v>
      </c>
      <c r="Z24" s="93" t="s">
        <v>55</v>
      </c>
      <c r="AA24" s="93" t="s">
        <v>47</v>
      </c>
      <c r="AB24" s="93" t="s">
        <v>158</v>
      </c>
      <c r="AP24" s="115" t="s">
        <v>276</v>
      </c>
      <c r="AR24" s="111" t="s">
        <v>91</v>
      </c>
    </row>
    <row r="25" spans="1:48" x14ac:dyDescent="0.15">
      <c r="A25" s="93" t="s">
        <v>51</v>
      </c>
      <c r="B25" s="93" t="s">
        <v>157</v>
      </c>
      <c r="C25" s="93">
        <v>2019</v>
      </c>
      <c r="D25" s="101" t="s">
        <v>259</v>
      </c>
      <c r="E25" s="93" t="s">
        <v>268</v>
      </c>
      <c r="F25" s="93" t="s">
        <v>269</v>
      </c>
      <c r="G25" s="93" t="s">
        <v>36</v>
      </c>
      <c r="H25" s="93" t="s">
        <v>164</v>
      </c>
      <c r="I25" s="93" t="s">
        <v>159</v>
      </c>
      <c r="J25" s="93" t="s">
        <v>38</v>
      </c>
      <c r="L25" s="93">
        <v>3</v>
      </c>
      <c r="N25" s="93">
        <v>1</v>
      </c>
      <c r="O25" s="93">
        <v>0.7</v>
      </c>
      <c r="P25" s="93">
        <v>0.65</v>
      </c>
      <c r="Q25" s="102">
        <f t="shared" si="0"/>
        <v>0.67500000000000004</v>
      </c>
      <c r="R25" s="93">
        <v>17.5</v>
      </c>
      <c r="S25" s="93">
        <v>146</v>
      </c>
      <c r="T25" s="103">
        <f t="shared" si="1"/>
        <v>22</v>
      </c>
      <c r="U25" s="93">
        <v>128</v>
      </c>
      <c r="V25" s="104">
        <f t="shared" si="2"/>
        <v>2816</v>
      </c>
      <c r="W25" s="93">
        <v>10</v>
      </c>
      <c r="X25" s="93" t="s">
        <v>46</v>
      </c>
      <c r="Y25" s="93" t="s">
        <v>69</v>
      </c>
      <c r="Z25" s="93" t="s">
        <v>55</v>
      </c>
      <c r="AA25" s="93" t="s">
        <v>47</v>
      </c>
      <c r="AB25" s="93" t="s">
        <v>158</v>
      </c>
      <c r="AP25" s="115" t="s">
        <v>277</v>
      </c>
      <c r="AR25" s="115" t="s">
        <v>51</v>
      </c>
    </row>
    <row r="26" spans="1:48" x14ac:dyDescent="0.15">
      <c r="A26" s="93" t="s">
        <v>51</v>
      </c>
      <c r="B26" s="93" t="s">
        <v>157</v>
      </c>
      <c r="C26" s="93">
        <v>2019</v>
      </c>
      <c r="D26" s="101" t="s">
        <v>259</v>
      </c>
      <c r="E26" s="93" t="s">
        <v>268</v>
      </c>
      <c r="F26" s="93" t="s">
        <v>269</v>
      </c>
      <c r="G26" s="93" t="s">
        <v>36</v>
      </c>
      <c r="H26" s="93" t="s">
        <v>160</v>
      </c>
      <c r="I26" s="93" t="s">
        <v>159</v>
      </c>
      <c r="J26" s="93" t="s">
        <v>38</v>
      </c>
      <c r="L26" s="93">
        <v>1</v>
      </c>
      <c r="N26" s="93">
        <v>1</v>
      </c>
      <c r="O26" s="93">
        <v>0.8</v>
      </c>
      <c r="P26" s="93">
        <v>0.8</v>
      </c>
      <c r="Q26" s="102">
        <f t="shared" si="0"/>
        <v>0.8</v>
      </c>
      <c r="R26" s="93">
        <v>16.8</v>
      </c>
      <c r="S26" s="93">
        <v>132</v>
      </c>
      <c r="T26" s="103">
        <f t="shared" si="1"/>
        <v>25</v>
      </c>
      <c r="U26" s="93">
        <v>128</v>
      </c>
      <c r="V26" s="104">
        <f t="shared" si="2"/>
        <v>3200</v>
      </c>
      <c r="W26" s="93">
        <v>10</v>
      </c>
      <c r="X26" s="93" t="s">
        <v>46</v>
      </c>
      <c r="Y26" s="93" t="s">
        <v>69</v>
      </c>
      <c r="Z26" s="93" t="s">
        <v>55</v>
      </c>
      <c r="AA26" s="93" t="s">
        <v>47</v>
      </c>
      <c r="AB26" s="93" t="s">
        <v>158</v>
      </c>
      <c r="AP26" s="115" t="s">
        <v>229</v>
      </c>
      <c r="AR26" s="93" t="s">
        <v>230</v>
      </c>
    </row>
    <row r="27" spans="1:48" x14ac:dyDescent="0.15">
      <c r="A27" s="93" t="s">
        <v>51</v>
      </c>
      <c r="B27" s="93" t="s">
        <v>157</v>
      </c>
      <c r="C27" s="93">
        <v>2019</v>
      </c>
      <c r="D27" s="101" t="s">
        <v>259</v>
      </c>
      <c r="E27" s="93" t="s">
        <v>268</v>
      </c>
      <c r="F27" s="93" t="s">
        <v>269</v>
      </c>
      <c r="G27" s="93" t="s">
        <v>36</v>
      </c>
      <c r="H27" s="93" t="s">
        <v>160</v>
      </c>
      <c r="I27" s="93" t="s">
        <v>159</v>
      </c>
      <c r="J27" s="93" t="s">
        <v>38</v>
      </c>
      <c r="L27" s="93">
        <v>2</v>
      </c>
      <c r="N27" s="93">
        <v>1</v>
      </c>
      <c r="O27" s="93">
        <v>0.75</v>
      </c>
      <c r="P27" s="93">
        <v>0.85</v>
      </c>
      <c r="Q27" s="102">
        <f t="shared" si="0"/>
        <v>0.8</v>
      </c>
      <c r="R27" s="93">
        <v>16.600000000000001</v>
      </c>
      <c r="S27" s="93">
        <v>130</v>
      </c>
      <c r="T27" s="103">
        <f t="shared" si="1"/>
        <v>25</v>
      </c>
      <c r="U27" s="93">
        <v>128</v>
      </c>
      <c r="V27" s="104">
        <f t="shared" si="2"/>
        <v>3200</v>
      </c>
      <c r="W27" s="93">
        <v>10</v>
      </c>
      <c r="X27" s="93" t="s">
        <v>46</v>
      </c>
      <c r="Y27" s="93" t="s">
        <v>69</v>
      </c>
      <c r="Z27" s="93" t="s">
        <v>55</v>
      </c>
      <c r="AA27" s="93" t="s">
        <v>47</v>
      </c>
      <c r="AB27" s="93" t="s">
        <v>158</v>
      </c>
      <c r="AP27" s="115" t="s">
        <v>231</v>
      </c>
    </row>
    <row r="28" spans="1:48" x14ac:dyDescent="0.15">
      <c r="A28" s="93" t="s">
        <v>51</v>
      </c>
      <c r="B28" s="93" t="s">
        <v>157</v>
      </c>
      <c r="C28" s="93">
        <v>2019</v>
      </c>
      <c r="D28" s="101" t="s">
        <v>259</v>
      </c>
      <c r="E28" s="93" t="s">
        <v>268</v>
      </c>
      <c r="F28" s="93" t="s">
        <v>269</v>
      </c>
      <c r="G28" s="93" t="s">
        <v>36</v>
      </c>
      <c r="H28" s="93" t="s">
        <v>160</v>
      </c>
      <c r="I28" s="93" t="s">
        <v>159</v>
      </c>
      <c r="J28" s="93" t="s">
        <v>38</v>
      </c>
      <c r="L28" s="93">
        <v>3</v>
      </c>
      <c r="N28" s="93">
        <v>1</v>
      </c>
      <c r="O28" s="93">
        <v>0.9</v>
      </c>
      <c r="P28" s="93">
        <v>0.75</v>
      </c>
      <c r="Q28" s="102">
        <f t="shared" si="0"/>
        <v>0.82499999999999996</v>
      </c>
      <c r="R28" s="93">
        <v>17.399999999999999</v>
      </c>
      <c r="S28" s="93">
        <v>136</v>
      </c>
      <c r="T28" s="103">
        <f t="shared" si="1"/>
        <v>25</v>
      </c>
      <c r="U28" s="93">
        <v>128</v>
      </c>
      <c r="V28" s="104">
        <f t="shared" si="2"/>
        <v>3200</v>
      </c>
      <c r="W28" s="93">
        <v>10</v>
      </c>
      <c r="X28" s="93" t="s">
        <v>46</v>
      </c>
      <c r="Y28" s="93" t="s">
        <v>69</v>
      </c>
      <c r="Z28" s="93" t="s">
        <v>55</v>
      </c>
      <c r="AA28" s="93" t="s">
        <v>47</v>
      </c>
      <c r="AB28" s="93" t="s">
        <v>158</v>
      </c>
    </row>
    <row r="29" spans="1:48" x14ac:dyDescent="0.15">
      <c r="A29" s="93" t="s">
        <v>51</v>
      </c>
      <c r="B29" s="93" t="s">
        <v>157</v>
      </c>
      <c r="C29" s="93">
        <v>2019</v>
      </c>
      <c r="D29" s="101" t="s">
        <v>259</v>
      </c>
      <c r="E29" s="93" t="s">
        <v>210</v>
      </c>
      <c r="F29" s="93" t="s">
        <v>262</v>
      </c>
      <c r="G29" s="93" t="s">
        <v>42</v>
      </c>
      <c r="H29" s="93" t="s">
        <v>164</v>
      </c>
      <c r="I29" s="93" t="s">
        <v>159</v>
      </c>
      <c r="J29" s="93" t="s">
        <v>38</v>
      </c>
      <c r="L29" s="93">
        <v>1</v>
      </c>
      <c r="N29" s="93">
        <v>1</v>
      </c>
      <c r="O29" s="93">
        <v>0.75</v>
      </c>
      <c r="P29" s="93">
        <v>0.65</v>
      </c>
      <c r="Q29" s="102">
        <f t="shared" si="0"/>
        <v>0.7</v>
      </c>
      <c r="R29" s="93">
        <v>17.2</v>
      </c>
      <c r="S29" s="93">
        <v>116</v>
      </c>
      <c r="T29" s="103">
        <f t="shared" si="1"/>
        <v>30</v>
      </c>
      <c r="U29" s="93">
        <v>89</v>
      </c>
      <c r="V29" s="104">
        <f t="shared" si="2"/>
        <v>2670</v>
      </c>
      <c r="W29" s="93">
        <v>17</v>
      </c>
      <c r="X29" s="93" t="s">
        <v>46</v>
      </c>
      <c r="Y29" s="93" t="s">
        <v>55</v>
      </c>
      <c r="Z29" s="93" t="s">
        <v>69</v>
      </c>
      <c r="AA29" s="93" t="s">
        <v>90</v>
      </c>
      <c r="AB29" s="93" t="s">
        <v>158</v>
      </c>
    </row>
    <row r="30" spans="1:48" x14ac:dyDescent="0.15">
      <c r="A30" s="93" t="s">
        <v>51</v>
      </c>
      <c r="B30" s="93" t="s">
        <v>157</v>
      </c>
      <c r="C30" s="93">
        <v>2019</v>
      </c>
      <c r="D30" s="101" t="s">
        <v>259</v>
      </c>
      <c r="E30" s="93" t="s">
        <v>210</v>
      </c>
      <c r="F30" s="93" t="s">
        <v>262</v>
      </c>
      <c r="G30" s="93" t="s">
        <v>42</v>
      </c>
      <c r="H30" s="93" t="s">
        <v>164</v>
      </c>
      <c r="I30" s="93" t="s">
        <v>159</v>
      </c>
      <c r="J30" s="93" t="s">
        <v>38</v>
      </c>
      <c r="L30" s="93">
        <v>2</v>
      </c>
      <c r="N30" s="93">
        <v>1</v>
      </c>
      <c r="O30" s="93">
        <v>0.8</v>
      </c>
      <c r="P30" s="93">
        <v>0.9</v>
      </c>
      <c r="Q30" s="102">
        <f t="shared" si="0"/>
        <v>0.85000000000000009</v>
      </c>
      <c r="R30" s="93">
        <v>15.1</v>
      </c>
      <c r="S30" s="93">
        <v>112</v>
      </c>
      <c r="T30" s="103">
        <f t="shared" si="1"/>
        <v>33</v>
      </c>
      <c r="U30" s="93">
        <v>89</v>
      </c>
      <c r="V30" s="104">
        <f t="shared" si="2"/>
        <v>2937</v>
      </c>
      <c r="W30" s="93">
        <v>17</v>
      </c>
      <c r="X30" s="93" t="s">
        <v>46</v>
      </c>
      <c r="Y30" s="93" t="s">
        <v>55</v>
      </c>
      <c r="Z30" s="93" t="s">
        <v>69</v>
      </c>
      <c r="AA30" s="93" t="s">
        <v>90</v>
      </c>
      <c r="AB30" s="93" t="s">
        <v>158</v>
      </c>
    </row>
    <row r="31" spans="1:48" x14ac:dyDescent="0.15">
      <c r="A31" s="93" t="s">
        <v>51</v>
      </c>
      <c r="B31" s="93" t="s">
        <v>157</v>
      </c>
      <c r="C31" s="93">
        <v>2019</v>
      </c>
      <c r="D31" s="101" t="s">
        <v>259</v>
      </c>
      <c r="E31" s="93" t="s">
        <v>210</v>
      </c>
      <c r="F31" s="93" t="s">
        <v>262</v>
      </c>
      <c r="G31" s="93" t="s">
        <v>42</v>
      </c>
      <c r="H31" s="93" t="s">
        <v>164</v>
      </c>
      <c r="I31" s="93" t="s">
        <v>159</v>
      </c>
      <c r="J31" s="93" t="s">
        <v>38</v>
      </c>
      <c r="L31" s="93">
        <v>3</v>
      </c>
      <c r="N31" s="93">
        <v>1</v>
      </c>
      <c r="O31" s="93">
        <v>0.85</v>
      </c>
      <c r="P31" s="93">
        <v>0.85</v>
      </c>
      <c r="Q31" s="102">
        <f t="shared" si="0"/>
        <v>0.85</v>
      </c>
      <c r="R31" s="93">
        <v>15.3</v>
      </c>
      <c r="S31" s="93">
        <v>112</v>
      </c>
      <c r="T31" s="103">
        <f t="shared" si="1"/>
        <v>33</v>
      </c>
      <c r="U31" s="93">
        <v>89</v>
      </c>
      <c r="V31" s="104">
        <f t="shared" si="2"/>
        <v>2937</v>
      </c>
      <c r="W31" s="93">
        <v>17</v>
      </c>
      <c r="X31" s="93" t="s">
        <v>46</v>
      </c>
      <c r="Y31" s="93" t="s">
        <v>55</v>
      </c>
      <c r="Z31" s="93" t="s">
        <v>69</v>
      </c>
      <c r="AA31" s="93" t="s">
        <v>90</v>
      </c>
      <c r="AB31" s="93" t="s">
        <v>158</v>
      </c>
    </row>
    <row r="32" spans="1:48" x14ac:dyDescent="0.15">
      <c r="A32" s="93" t="s">
        <v>51</v>
      </c>
      <c r="B32" s="93" t="s">
        <v>157</v>
      </c>
      <c r="C32" s="93">
        <v>2019</v>
      </c>
      <c r="D32" s="101" t="s">
        <v>259</v>
      </c>
      <c r="E32" s="93" t="s">
        <v>210</v>
      </c>
      <c r="F32" s="93" t="s">
        <v>262</v>
      </c>
      <c r="G32" s="93" t="s">
        <v>42</v>
      </c>
      <c r="H32" s="93" t="s">
        <v>160</v>
      </c>
      <c r="I32" s="93" t="s">
        <v>159</v>
      </c>
      <c r="J32" s="93" t="s">
        <v>38</v>
      </c>
      <c r="L32" s="93">
        <v>1</v>
      </c>
      <c r="N32" s="93">
        <v>1</v>
      </c>
      <c r="O32" s="93">
        <v>1.1000000000000001</v>
      </c>
      <c r="P32" s="93">
        <v>0.95</v>
      </c>
      <c r="Q32" s="102">
        <f t="shared" si="0"/>
        <v>1.0249999999999999</v>
      </c>
      <c r="R32" s="93">
        <v>16.2</v>
      </c>
      <c r="S32" s="93">
        <v>138</v>
      </c>
      <c r="T32" s="103">
        <f t="shared" si="1"/>
        <v>22</v>
      </c>
      <c r="U32" s="93">
        <v>89</v>
      </c>
      <c r="V32" s="104">
        <f t="shared" si="2"/>
        <v>1958</v>
      </c>
      <c r="W32" s="93">
        <v>17</v>
      </c>
      <c r="X32" s="93" t="s">
        <v>46</v>
      </c>
      <c r="Y32" s="93" t="s">
        <v>55</v>
      </c>
      <c r="Z32" s="93" t="s">
        <v>69</v>
      </c>
      <c r="AA32" s="93" t="s">
        <v>90</v>
      </c>
      <c r="AB32" s="93" t="s">
        <v>158</v>
      </c>
    </row>
    <row r="33" spans="1:28" x14ac:dyDescent="0.15">
      <c r="A33" s="93" t="s">
        <v>51</v>
      </c>
      <c r="B33" s="93" t="s">
        <v>157</v>
      </c>
      <c r="C33" s="93">
        <v>2019</v>
      </c>
      <c r="D33" s="101" t="s">
        <v>259</v>
      </c>
      <c r="E33" s="93" t="s">
        <v>210</v>
      </c>
      <c r="F33" s="93" t="s">
        <v>262</v>
      </c>
      <c r="G33" s="93" t="s">
        <v>42</v>
      </c>
      <c r="H33" s="93" t="s">
        <v>160</v>
      </c>
      <c r="I33" s="93" t="s">
        <v>159</v>
      </c>
      <c r="J33" s="93" t="s">
        <v>38</v>
      </c>
      <c r="L33" s="93">
        <v>2</v>
      </c>
      <c r="N33" s="93">
        <v>1</v>
      </c>
      <c r="O33" s="93">
        <v>1</v>
      </c>
      <c r="P33" s="93">
        <v>1</v>
      </c>
      <c r="Q33" s="102">
        <f t="shared" si="0"/>
        <v>1</v>
      </c>
      <c r="R33" s="93">
        <v>15.9</v>
      </c>
      <c r="S33" s="93">
        <v>136</v>
      </c>
      <c r="T33" s="103">
        <f t="shared" si="1"/>
        <v>25</v>
      </c>
      <c r="U33" s="93">
        <v>89</v>
      </c>
      <c r="V33" s="104">
        <f t="shared" si="2"/>
        <v>2225</v>
      </c>
      <c r="W33" s="93">
        <v>17</v>
      </c>
      <c r="X33" s="93" t="s">
        <v>46</v>
      </c>
      <c r="Y33" s="93" t="s">
        <v>55</v>
      </c>
      <c r="Z33" s="93" t="s">
        <v>69</v>
      </c>
      <c r="AA33" s="93" t="s">
        <v>90</v>
      </c>
      <c r="AB33" s="93" t="s">
        <v>158</v>
      </c>
    </row>
    <row r="34" spans="1:28" x14ac:dyDescent="0.15">
      <c r="A34" s="93" t="s">
        <v>51</v>
      </c>
      <c r="B34" s="93" t="s">
        <v>157</v>
      </c>
      <c r="C34" s="93">
        <v>2019</v>
      </c>
      <c r="D34" s="101" t="s">
        <v>259</v>
      </c>
      <c r="E34" s="93" t="s">
        <v>210</v>
      </c>
      <c r="F34" s="93" t="s">
        <v>262</v>
      </c>
      <c r="G34" s="93" t="s">
        <v>42</v>
      </c>
      <c r="H34" s="93" t="s">
        <v>160</v>
      </c>
      <c r="I34" s="93" t="s">
        <v>159</v>
      </c>
      <c r="J34" s="93" t="s">
        <v>38</v>
      </c>
      <c r="L34" s="93">
        <v>3</v>
      </c>
      <c r="N34" s="93">
        <v>1</v>
      </c>
      <c r="O34" s="93">
        <v>0.9</v>
      </c>
      <c r="P34" s="93">
        <v>1.1499999999999999</v>
      </c>
      <c r="Q34" s="102">
        <f t="shared" si="0"/>
        <v>1.0249999999999999</v>
      </c>
      <c r="R34" s="93">
        <v>15.5</v>
      </c>
      <c r="S34" s="93">
        <v>132</v>
      </c>
      <c r="T34" s="103">
        <f t="shared" si="1"/>
        <v>25</v>
      </c>
      <c r="U34" s="93">
        <v>89</v>
      </c>
      <c r="V34" s="104">
        <f t="shared" si="2"/>
        <v>2225</v>
      </c>
      <c r="W34" s="93">
        <v>17</v>
      </c>
      <c r="X34" s="93" t="s">
        <v>46</v>
      </c>
      <c r="Y34" s="93" t="s">
        <v>55</v>
      </c>
      <c r="Z34" s="93" t="s">
        <v>69</v>
      </c>
      <c r="AA34" s="93" t="s">
        <v>90</v>
      </c>
      <c r="AB34" s="93" t="s">
        <v>158</v>
      </c>
    </row>
    <row r="35" spans="1:28" x14ac:dyDescent="0.15">
      <c r="A35" s="93" t="s">
        <v>51</v>
      </c>
      <c r="B35" s="93" t="s">
        <v>157</v>
      </c>
      <c r="C35" s="93">
        <v>2019</v>
      </c>
      <c r="D35" s="101" t="s">
        <v>259</v>
      </c>
      <c r="E35" s="93" t="s">
        <v>270</v>
      </c>
      <c r="F35" s="93" t="s">
        <v>262</v>
      </c>
      <c r="G35" s="93" t="s">
        <v>42</v>
      </c>
      <c r="H35" s="93" t="s">
        <v>164</v>
      </c>
      <c r="I35" s="93" t="s">
        <v>159</v>
      </c>
      <c r="J35" s="93" t="s">
        <v>38</v>
      </c>
      <c r="L35" s="93">
        <v>1</v>
      </c>
      <c r="N35" s="93">
        <v>8</v>
      </c>
      <c r="O35" s="93">
        <v>1</v>
      </c>
      <c r="P35" s="93">
        <v>1</v>
      </c>
      <c r="Q35" s="102">
        <f t="shared" si="0"/>
        <v>1</v>
      </c>
      <c r="R35" s="93">
        <v>15.9</v>
      </c>
      <c r="S35" s="93">
        <v>76</v>
      </c>
      <c r="T35" s="103">
        <f t="shared" si="1"/>
        <v>39</v>
      </c>
      <c r="U35" s="93">
        <v>498</v>
      </c>
      <c r="V35" s="104">
        <f t="shared" si="2"/>
        <v>2427.75</v>
      </c>
      <c r="W35" s="93">
        <v>26</v>
      </c>
      <c r="X35" s="93" t="s">
        <v>46</v>
      </c>
      <c r="Y35" s="93" t="s">
        <v>55</v>
      </c>
      <c r="Z35" s="93" t="s">
        <v>97</v>
      </c>
      <c r="AA35" s="93" t="s">
        <v>78</v>
      </c>
      <c r="AB35" s="93" t="s">
        <v>158</v>
      </c>
    </row>
    <row r="36" spans="1:28" x14ac:dyDescent="0.15">
      <c r="A36" s="93" t="s">
        <v>51</v>
      </c>
      <c r="B36" s="93" t="s">
        <v>157</v>
      </c>
      <c r="C36" s="93">
        <v>2019</v>
      </c>
      <c r="D36" s="101" t="s">
        <v>259</v>
      </c>
      <c r="E36" s="93" t="s">
        <v>270</v>
      </c>
      <c r="F36" s="93" t="s">
        <v>262</v>
      </c>
      <c r="G36" s="93" t="s">
        <v>42</v>
      </c>
      <c r="H36" s="93" t="s">
        <v>164</v>
      </c>
      <c r="I36" s="93" t="s">
        <v>159</v>
      </c>
      <c r="J36" s="93" t="s">
        <v>38</v>
      </c>
      <c r="L36" s="93">
        <v>2</v>
      </c>
      <c r="N36" s="93">
        <v>8</v>
      </c>
      <c r="O36" s="93">
        <v>1.05</v>
      </c>
      <c r="P36" s="93">
        <v>0.95</v>
      </c>
      <c r="Q36" s="102">
        <f t="shared" si="0"/>
        <v>1</v>
      </c>
      <c r="R36" s="93">
        <v>16.3</v>
      </c>
      <c r="S36" s="93">
        <v>85</v>
      </c>
      <c r="T36" s="103">
        <f t="shared" si="1"/>
        <v>36</v>
      </c>
      <c r="U36" s="93">
        <v>498</v>
      </c>
      <c r="V36" s="104">
        <f t="shared" si="2"/>
        <v>2241</v>
      </c>
      <c r="W36" s="93">
        <v>26</v>
      </c>
      <c r="X36" s="93" t="s">
        <v>46</v>
      </c>
      <c r="Y36" s="93" t="s">
        <v>55</v>
      </c>
      <c r="Z36" s="93" t="s">
        <v>97</v>
      </c>
      <c r="AA36" s="93" t="s">
        <v>78</v>
      </c>
      <c r="AB36" s="93" t="s">
        <v>158</v>
      </c>
    </row>
    <row r="37" spans="1:28" x14ac:dyDescent="0.15">
      <c r="A37" s="93" t="s">
        <v>51</v>
      </c>
      <c r="B37" s="93" t="s">
        <v>157</v>
      </c>
      <c r="C37" s="93">
        <v>2019</v>
      </c>
      <c r="D37" s="101" t="s">
        <v>259</v>
      </c>
      <c r="E37" s="93" t="s">
        <v>270</v>
      </c>
      <c r="F37" s="93" t="s">
        <v>262</v>
      </c>
      <c r="G37" s="93" t="s">
        <v>42</v>
      </c>
      <c r="H37" s="93" t="s">
        <v>164</v>
      </c>
      <c r="I37" s="93" t="s">
        <v>159</v>
      </c>
      <c r="J37" s="93" t="s">
        <v>38</v>
      </c>
      <c r="L37" s="93">
        <v>3</v>
      </c>
      <c r="N37" s="93">
        <v>8</v>
      </c>
      <c r="O37" s="93">
        <v>0.9</v>
      </c>
      <c r="P37" s="93">
        <v>1</v>
      </c>
      <c r="Q37" s="102">
        <f t="shared" si="0"/>
        <v>0.95</v>
      </c>
      <c r="R37" s="93">
        <v>16.7</v>
      </c>
      <c r="S37" s="93">
        <v>88</v>
      </c>
      <c r="T37" s="103">
        <f t="shared" si="1"/>
        <v>36</v>
      </c>
      <c r="U37" s="93">
        <v>498</v>
      </c>
      <c r="V37" s="104">
        <f t="shared" si="2"/>
        <v>2241</v>
      </c>
      <c r="W37" s="93">
        <v>26</v>
      </c>
      <c r="X37" s="93" t="s">
        <v>46</v>
      </c>
      <c r="Y37" s="93" t="s">
        <v>55</v>
      </c>
      <c r="Z37" s="93" t="s">
        <v>97</v>
      </c>
      <c r="AA37" s="93" t="s">
        <v>78</v>
      </c>
      <c r="AB37" s="93" t="s">
        <v>158</v>
      </c>
    </row>
    <row r="38" spans="1:28" x14ac:dyDescent="0.15">
      <c r="A38" s="93" t="s">
        <v>51</v>
      </c>
      <c r="B38" s="93" t="s">
        <v>157</v>
      </c>
      <c r="C38" s="93">
        <v>2019</v>
      </c>
      <c r="D38" s="101" t="s">
        <v>259</v>
      </c>
      <c r="E38" s="93" t="s">
        <v>270</v>
      </c>
      <c r="F38" s="93" t="s">
        <v>262</v>
      </c>
      <c r="G38" s="93" t="s">
        <v>42</v>
      </c>
      <c r="H38" s="93" t="s">
        <v>164</v>
      </c>
      <c r="I38" s="93" t="s">
        <v>165</v>
      </c>
      <c r="J38" s="93" t="s">
        <v>38</v>
      </c>
      <c r="L38" s="93">
        <v>1</v>
      </c>
      <c r="N38" s="93">
        <v>4</v>
      </c>
      <c r="O38" s="93">
        <v>0.7</v>
      </c>
      <c r="P38" s="93">
        <v>0.8</v>
      </c>
      <c r="Q38" s="102">
        <f t="shared" si="0"/>
        <v>0.75</v>
      </c>
      <c r="R38" s="93">
        <v>15.5</v>
      </c>
      <c r="S38" s="93">
        <v>99</v>
      </c>
      <c r="T38" s="103">
        <f t="shared" si="1"/>
        <v>33</v>
      </c>
      <c r="U38" s="93">
        <v>398</v>
      </c>
      <c r="V38" s="104">
        <f t="shared" si="2"/>
        <v>3283.5</v>
      </c>
      <c r="W38" s="93">
        <v>26</v>
      </c>
      <c r="X38" s="93" t="s">
        <v>46</v>
      </c>
      <c r="Y38" s="93" t="s">
        <v>55</v>
      </c>
      <c r="Z38" s="93" t="s">
        <v>97</v>
      </c>
      <c r="AA38" s="93" t="s">
        <v>78</v>
      </c>
      <c r="AB38" s="93" t="s">
        <v>158</v>
      </c>
    </row>
    <row r="39" spans="1:28" x14ac:dyDescent="0.15">
      <c r="A39" s="93" t="s">
        <v>51</v>
      </c>
      <c r="B39" s="93" t="s">
        <v>157</v>
      </c>
      <c r="C39" s="93">
        <v>2019</v>
      </c>
      <c r="D39" s="101" t="s">
        <v>259</v>
      </c>
      <c r="E39" s="93" t="s">
        <v>270</v>
      </c>
      <c r="F39" s="93" t="s">
        <v>262</v>
      </c>
      <c r="G39" s="93" t="s">
        <v>42</v>
      </c>
      <c r="H39" s="93" t="s">
        <v>164</v>
      </c>
      <c r="I39" s="93" t="s">
        <v>165</v>
      </c>
      <c r="J39" s="93" t="s">
        <v>38</v>
      </c>
      <c r="L39" s="93">
        <v>2</v>
      </c>
      <c r="N39" s="93">
        <v>4</v>
      </c>
      <c r="O39" s="93">
        <v>0.8</v>
      </c>
      <c r="P39" s="93">
        <v>0.75</v>
      </c>
      <c r="Q39" s="102">
        <f t="shared" si="0"/>
        <v>0.77500000000000002</v>
      </c>
      <c r="R39" s="93">
        <v>15</v>
      </c>
      <c r="S39" s="93">
        <v>97</v>
      </c>
      <c r="T39" s="103">
        <f t="shared" si="1"/>
        <v>36</v>
      </c>
      <c r="U39" s="93">
        <v>398</v>
      </c>
      <c r="V39" s="104">
        <f t="shared" si="2"/>
        <v>3582</v>
      </c>
      <c r="W39" s="93">
        <v>26</v>
      </c>
      <c r="X39" s="93" t="s">
        <v>46</v>
      </c>
      <c r="Y39" s="93" t="s">
        <v>55</v>
      </c>
      <c r="Z39" s="93" t="s">
        <v>97</v>
      </c>
      <c r="AA39" s="93" t="s">
        <v>78</v>
      </c>
      <c r="AB39" s="93" t="s">
        <v>158</v>
      </c>
    </row>
    <row r="40" spans="1:28" x14ac:dyDescent="0.15">
      <c r="A40" s="93" t="s">
        <v>51</v>
      </c>
      <c r="B40" s="93" t="s">
        <v>157</v>
      </c>
      <c r="C40" s="93">
        <v>2019</v>
      </c>
      <c r="D40" s="101" t="s">
        <v>259</v>
      </c>
      <c r="E40" s="93" t="s">
        <v>270</v>
      </c>
      <c r="F40" s="93" t="s">
        <v>262</v>
      </c>
      <c r="G40" s="93" t="s">
        <v>42</v>
      </c>
      <c r="H40" s="93" t="s">
        <v>164</v>
      </c>
      <c r="I40" s="93" t="s">
        <v>165</v>
      </c>
      <c r="J40" s="93" t="s">
        <v>38</v>
      </c>
      <c r="L40" s="93">
        <v>3</v>
      </c>
      <c r="N40" s="93">
        <v>4</v>
      </c>
      <c r="O40" s="93">
        <v>0.75</v>
      </c>
      <c r="P40" s="93">
        <v>0.85</v>
      </c>
      <c r="Q40" s="102">
        <f t="shared" si="0"/>
        <v>0.8</v>
      </c>
      <c r="R40" s="93">
        <v>15.7</v>
      </c>
      <c r="S40" s="93">
        <v>102</v>
      </c>
      <c r="T40" s="103">
        <f t="shared" si="1"/>
        <v>33</v>
      </c>
      <c r="U40" s="93">
        <v>398</v>
      </c>
      <c r="V40" s="104">
        <f t="shared" si="2"/>
        <v>3283.5</v>
      </c>
      <c r="W40" s="93">
        <v>26</v>
      </c>
      <c r="X40" s="93" t="s">
        <v>46</v>
      </c>
      <c r="Y40" s="93" t="s">
        <v>55</v>
      </c>
      <c r="Z40" s="93" t="s">
        <v>97</v>
      </c>
      <c r="AA40" s="93" t="s">
        <v>78</v>
      </c>
      <c r="AB40" s="93" t="s">
        <v>158</v>
      </c>
    </row>
    <row r="41" spans="1:28" x14ac:dyDescent="0.15">
      <c r="A41" s="93" t="s">
        <v>51</v>
      </c>
      <c r="B41" s="93" t="s">
        <v>157</v>
      </c>
      <c r="C41" s="93">
        <v>2019</v>
      </c>
      <c r="D41" s="101" t="s">
        <v>259</v>
      </c>
      <c r="E41" s="93" t="s">
        <v>270</v>
      </c>
      <c r="F41" s="93" t="s">
        <v>262</v>
      </c>
      <c r="G41" s="93" t="s">
        <v>42</v>
      </c>
      <c r="H41" s="93" t="s">
        <v>194</v>
      </c>
      <c r="I41" s="93" t="s">
        <v>159</v>
      </c>
      <c r="J41" s="93" t="s">
        <v>38</v>
      </c>
      <c r="L41" s="93">
        <v>1</v>
      </c>
      <c r="N41" s="93">
        <v>5</v>
      </c>
      <c r="O41" s="93">
        <v>0.65</v>
      </c>
      <c r="P41" s="93">
        <v>0.55000000000000004</v>
      </c>
      <c r="Q41" s="102">
        <f t="shared" si="0"/>
        <v>0.60000000000000009</v>
      </c>
      <c r="R41" s="93">
        <v>16.399999999999999</v>
      </c>
      <c r="S41" s="93">
        <v>93</v>
      </c>
      <c r="T41" s="103">
        <f t="shared" si="1"/>
        <v>36</v>
      </c>
      <c r="U41" s="93">
        <v>298</v>
      </c>
      <c r="V41" s="104">
        <f t="shared" si="2"/>
        <v>2145.6</v>
      </c>
      <c r="W41" s="93">
        <v>26</v>
      </c>
      <c r="X41" s="93" t="s">
        <v>46</v>
      </c>
      <c r="Y41" s="93" t="s">
        <v>55</v>
      </c>
      <c r="Z41" s="93" t="s">
        <v>97</v>
      </c>
      <c r="AA41" s="93" t="s">
        <v>78</v>
      </c>
      <c r="AB41" s="93" t="s">
        <v>158</v>
      </c>
    </row>
    <row r="42" spans="1:28" x14ac:dyDescent="0.15">
      <c r="A42" s="93" t="s">
        <v>51</v>
      </c>
      <c r="B42" s="93" t="s">
        <v>157</v>
      </c>
      <c r="C42" s="93">
        <v>2019</v>
      </c>
      <c r="D42" s="101" t="s">
        <v>259</v>
      </c>
      <c r="E42" s="93" t="s">
        <v>270</v>
      </c>
      <c r="F42" s="93" t="s">
        <v>262</v>
      </c>
      <c r="G42" s="93" t="s">
        <v>42</v>
      </c>
      <c r="H42" s="93" t="s">
        <v>194</v>
      </c>
      <c r="I42" s="93" t="s">
        <v>159</v>
      </c>
      <c r="J42" s="93" t="s">
        <v>38</v>
      </c>
      <c r="L42" s="93">
        <v>2</v>
      </c>
      <c r="N42" s="93">
        <v>5</v>
      </c>
      <c r="O42" s="93">
        <v>0.5</v>
      </c>
      <c r="P42" s="93">
        <v>0.55000000000000004</v>
      </c>
      <c r="Q42" s="102">
        <f t="shared" si="0"/>
        <v>0.52500000000000002</v>
      </c>
      <c r="R42" s="93">
        <v>15.7</v>
      </c>
      <c r="S42" s="93">
        <v>78</v>
      </c>
      <c r="T42" s="103">
        <f t="shared" si="1"/>
        <v>39</v>
      </c>
      <c r="U42" s="93">
        <v>298</v>
      </c>
      <c r="V42" s="104">
        <f t="shared" si="2"/>
        <v>2324.4</v>
      </c>
      <c r="W42" s="93">
        <v>26</v>
      </c>
      <c r="X42" s="93" t="s">
        <v>46</v>
      </c>
      <c r="Y42" s="93" t="s">
        <v>55</v>
      </c>
      <c r="Z42" s="93" t="s">
        <v>97</v>
      </c>
      <c r="AA42" s="93" t="s">
        <v>78</v>
      </c>
      <c r="AB42" s="93" t="s">
        <v>158</v>
      </c>
    </row>
    <row r="43" spans="1:28" x14ac:dyDescent="0.15">
      <c r="A43" s="93" t="s">
        <v>51</v>
      </c>
      <c r="B43" s="93" t="s">
        <v>157</v>
      </c>
      <c r="C43" s="93">
        <v>2019</v>
      </c>
      <c r="D43" s="101" t="s">
        <v>259</v>
      </c>
      <c r="E43" s="93" t="s">
        <v>270</v>
      </c>
      <c r="F43" s="93" t="s">
        <v>262</v>
      </c>
      <c r="G43" s="93" t="s">
        <v>42</v>
      </c>
      <c r="H43" s="93" t="s">
        <v>194</v>
      </c>
      <c r="I43" s="93" t="s">
        <v>159</v>
      </c>
      <c r="J43" s="93" t="s">
        <v>38</v>
      </c>
      <c r="L43" s="93">
        <v>3</v>
      </c>
      <c r="N43" s="93">
        <v>5</v>
      </c>
      <c r="O43" s="93">
        <v>0.6</v>
      </c>
      <c r="P43" s="93">
        <v>0.6</v>
      </c>
      <c r="Q43" s="102">
        <f t="shared" si="0"/>
        <v>0.6</v>
      </c>
      <c r="R43" s="93">
        <v>16.600000000000001</v>
      </c>
      <c r="S43" s="93">
        <v>90</v>
      </c>
      <c r="T43" s="103">
        <f t="shared" si="1"/>
        <v>36</v>
      </c>
      <c r="U43" s="93">
        <v>298</v>
      </c>
      <c r="V43" s="104">
        <f t="shared" si="2"/>
        <v>2145.6</v>
      </c>
      <c r="W43" s="93">
        <v>26</v>
      </c>
      <c r="X43" s="93" t="s">
        <v>46</v>
      </c>
      <c r="Y43" s="93" t="s">
        <v>55</v>
      </c>
      <c r="Z43" s="93" t="s">
        <v>97</v>
      </c>
      <c r="AA43" s="93" t="s">
        <v>78</v>
      </c>
      <c r="AB43" s="93" t="s">
        <v>158</v>
      </c>
    </row>
    <row r="44" spans="1:28" x14ac:dyDescent="0.15">
      <c r="A44" s="93" t="s">
        <v>51</v>
      </c>
      <c r="B44" s="93" t="s">
        <v>157</v>
      </c>
      <c r="C44" s="93">
        <v>2019</v>
      </c>
      <c r="D44" s="101" t="s">
        <v>259</v>
      </c>
      <c r="E44" s="93" t="s">
        <v>270</v>
      </c>
      <c r="F44" s="93" t="s">
        <v>262</v>
      </c>
      <c r="G44" s="93" t="s">
        <v>42</v>
      </c>
      <c r="H44" s="93" t="s">
        <v>160</v>
      </c>
      <c r="I44" s="93" t="s">
        <v>159</v>
      </c>
      <c r="J44" s="93" t="s">
        <v>38</v>
      </c>
      <c r="L44" s="93">
        <v>1</v>
      </c>
      <c r="N44" s="93">
        <v>1</v>
      </c>
      <c r="O44" s="93">
        <v>0.7</v>
      </c>
      <c r="P44" s="93">
        <v>0.75</v>
      </c>
      <c r="Q44" s="102">
        <f t="shared" si="0"/>
        <v>0.72499999999999998</v>
      </c>
      <c r="R44" s="93">
        <v>16.8</v>
      </c>
      <c r="S44" s="93">
        <v>136</v>
      </c>
      <c r="T44" s="103">
        <f t="shared" si="1"/>
        <v>25</v>
      </c>
      <c r="U44" s="93">
        <v>138</v>
      </c>
      <c r="V44" s="104">
        <f t="shared" si="2"/>
        <v>3450</v>
      </c>
      <c r="W44" s="93">
        <v>26</v>
      </c>
      <c r="X44" s="93" t="s">
        <v>46</v>
      </c>
      <c r="Y44" s="93" t="s">
        <v>55</v>
      </c>
      <c r="Z44" s="93" t="s">
        <v>97</v>
      </c>
      <c r="AA44" s="93" t="s">
        <v>78</v>
      </c>
      <c r="AB44" s="93" t="s">
        <v>158</v>
      </c>
    </row>
    <row r="45" spans="1:28" x14ac:dyDescent="0.15">
      <c r="A45" s="93" t="s">
        <v>51</v>
      </c>
      <c r="B45" s="93" t="s">
        <v>157</v>
      </c>
      <c r="C45" s="93">
        <v>2019</v>
      </c>
      <c r="D45" s="101" t="s">
        <v>259</v>
      </c>
      <c r="E45" s="93" t="s">
        <v>270</v>
      </c>
      <c r="F45" s="93" t="s">
        <v>262</v>
      </c>
      <c r="G45" s="93" t="s">
        <v>42</v>
      </c>
      <c r="H45" s="93" t="s">
        <v>160</v>
      </c>
      <c r="I45" s="93" t="s">
        <v>159</v>
      </c>
      <c r="J45" s="93" t="s">
        <v>38</v>
      </c>
      <c r="L45" s="93">
        <v>2</v>
      </c>
      <c r="N45" s="93">
        <v>1</v>
      </c>
      <c r="O45" s="93">
        <v>0.65</v>
      </c>
      <c r="P45" s="93">
        <v>0.65</v>
      </c>
      <c r="Q45" s="102">
        <f t="shared" si="0"/>
        <v>0.65</v>
      </c>
      <c r="R45" s="93">
        <v>16.399999999999999</v>
      </c>
      <c r="S45" s="93">
        <v>134</v>
      </c>
      <c r="T45" s="103">
        <f t="shared" si="1"/>
        <v>25</v>
      </c>
      <c r="U45" s="93">
        <v>138</v>
      </c>
      <c r="V45" s="104">
        <f t="shared" si="2"/>
        <v>3450</v>
      </c>
      <c r="W45" s="93">
        <v>26</v>
      </c>
      <c r="X45" s="93" t="s">
        <v>46</v>
      </c>
      <c r="Y45" s="93" t="s">
        <v>55</v>
      </c>
      <c r="Z45" s="93" t="s">
        <v>97</v>
      </c>
      <c r="AA45" s="93" t="s">
        <v>78</v>
      </c>
      <c r="AB45" s="93" t="s">
        <v>158</v>
      </c>
    </row>
    <row r="46" spans="1:28" x14ac:dyDescent="0.15">
      <c r="A46" s="93" t="s">
        <v>51</v>
      </c>
      <c r="B46" s="93" t="s">
        <v>157</v>
      </c>
      <c r="C46" s="93">
        <v>2019</v>
      </c>
      <c r="D46" s="101" t="s">
        <v>259</v>
      </c>
      <c r="E46" s="93" t="s">
        <v>270</v>
      </c>
      <c r="F46" s="93" t="s">
        <v>262</v>
      </c>
      <c r="G46" s="93" t="s">
        <v>42</v>
      </c>
      <c r="H46" s="93" t="s">
        <v>160</v>
      </c>
      <c r="I46" s="93" t="s">
        <v>159</v>
      </c>
      <c r="J46" s="93" t="s">
        <v>38</v>
      </c>
      <c r="L46" s="93">
        <v>3</v>
      </c>
      <c r="N46" s="93">
        <v>1</v>
      </c>
      <c r="O46" s="93">
        <v>0.85</v>
      </c>
      <c r="P46" s="93">
        <v>0.8</v>
      </c>
      <c r="Q46" s="102">
        <v>0.8</v>
      </c>
      <c r="R46" s="93">
        <v>17.2</v>
      </c>
      <c r="S46" s="93">
        <v>138</v>
      </c>
      <c r="T46" s="103">
        <f t="shared" si="1"/>
        <v>22</v>
      </c>
      <c r="U46" s="93">
        <v>138</v>
      </c>
      <c r="V46" s="104">
        <f t="shared" si="2"/>
        <v>3036</v>
      </c>
      <c r="W46" s="93">
        <v>26</v>
      </c>
      <c r="X46" s="93" t="s">
        <v>46</v>
      </c>
      <c r="Y46" s="93" t="s">
        <v>55</v>
      </c>
      <c r="Z46" s="93" t="s">
        <v>97</v>
      </c>
      <c r="AA46" s="93" t="s">
        <v>78</v>
      </c>
      <c r="AB46" s="93" t="s">
        <v>158</v>
      </c>
    </row>
    <row r="47" spans="1:28" x14ac:dyDescent="0.15">
      <c r="A47" s="93" t="s">
        <v>51</v>
      </c>
      <c r="B47" s="93" t="s">
        <v>157</v>
      </c>
      <c r="C47" s="93">
        <v>2019</v>
      </c>
      <c r="D47" s="101" t="s">
        <v>259</v>
      </c>
      <c r="E47" s="93" t="s">
        <v>270</v>
      </c>
      <c r="F47" s="93" t="s">
        <v>262</v>
      </c>
      <c r="G47" s="93" t="s">
        <v>42</v>
      </c>
      <c r="H47" s="93" t="s">
        <v>160</v>
      </c>
      <c r="I47" s="93" t="s">
        <v>165</v>
      </c>
      <c r="J47" s="93" t="s">
        <v>38</v>
      </c>
      <c r="L47" s="93">
        <v>1</v>
      </c>
      <c r="N47" s="93">
        <v>4</v>
      </c>
      <c r="O47" s="93">
        <v>0.5</v>
      </c>
      <c r="P47" s="93">
        <v>0.5</v>
      </c>
      <c r="Q47" s="102">
        <f t="shared" si="0"/>
        <v>0.5</v>
      </c>
      <c r="R47" s="93">
        <v>17.899999999999999</v>
      </c>
      <c r="S47" s="93">
        <v>99</v>
      </c>
      <c r="T47" s="103">
        <f t="shared" si="1"/>
        <v>33</v>
      </c>
      <c r="U47" s="93">
        <v>498</v>
      </c>
      <c r="V47" s="104">
        <f t="shared" si="2"/>
        <v>4108.5</v>
      </c>
      <c r="W47" s="93">
        <v>26</v>
      </c>
      <c r="X47" s="93" t="s">
        <v>46</v>
      </c>
      <c r="Y47" s="93" t="s">
        <v>55</v>
      </c>
      <c r="Z47" s="93" t="s">
        <v>97</v>
      </c>
      <c r="AA47" s="93" t="s">
        <v>78</v>
      </c>
      <c r="AB47" s="93" t="s">
        <v>158</v>
      </c>
    </row>
    <row r="48" spans="1:28" x14ac:dyDescent="0.15">
      <c r="A48" s="93" t="s">
        <v>51</v>
      </c>
      <c r="B48" s="93" t="s">
        <v>157</v>
      </c>
      <c r="C48" s="93">
        <v>2019</v>
      </c>
      <c r="D48" s="101" t="s">
        <v>259</v>
      </c>
      <c r="E48" s="93" t="s">
        <v>270</v>
      </c>
      <c r="F48" s="93" t="s">
        <v>262</v>
      </c>
      <c r="G48" s="93" t="s">
        <v>42</v>
      </c>
      <c r="H48" s="93" t="s">
        <v>160</v>
      </c>
      <c r="I48" s="93" t="s">
        <v>165</v>
      </c>
      <c r="J48" s="93" t="s">
        <v>38</v>
      </c>
      <c r="L48" s="93">
        <v>2</v>
      </c>
      <c r="N48" s="93">
        <v>4</v>
      </c>
      <c r="O48" s="93">
        <v>0.65</v>
      </c>
      <c r="P48" s="93">
        <v>0.55000000000000004</v>
      </c>
      <c r="Q48" s="102">
        <f t="shared" si="0"/>
        <v>0.60000000000000009</v>
      </c>
      <c r="R48" s="93">
        <v>18.2</v>
      </c>
      <c r="S48" s="93">
        <v>106</v>
      </c>
      <c r="T48" s="103">
        <f t="shared" si="1"/>
        <v>33</v>
      </c>
      <c r="U48" s="93">
        <v>498</v>
      </c>
      <c r="V48" s="104">
        <f t="shared" si="2"/>
        <v>4108.5</v>
      </c>
      <c r="W48" s="93">
        <v>26</v>
      </c>
      <c r="X48" s="93" t="s">
        <v>46</v>
      </c>
      <c r="Y48" s="93" t="s">
        <v>55</v>
      </c>
      <c r="Z48" s="93" t="s">
        <v>97</v>
      </c>
      <c r="AA48" s="93" t="s">
        <v>78</v>
      </c>
      <c r="AB48" s="93" t="s">
        <v>158</v>
      </c>
    </row>
    <row r="49" spans="1:28" x14ac:dyDescent="0.15">
      <c r="A49" s="93" t="s">
        <v>51</v>
      </c>
      <c r="B49" s="93" t="s">
        <v>157</v>
      </c>
      <c r="C49" s="93">
        <v>2019</v>
      </c>
      <c r="D49" s="101" t="s">
        <v>259</v>
      </c>
      <c r="E49" s="93" t="s">
        <v>270</v>
      </c>
      <c r="F49" s="93" t="s">
        <v>262</v>
      </c>
      <c r="G49" s="93" t="s">
        <v>42</v>
      </c>
      <c r="H49" s="93" t="s">
        <v>160</v>
      </c>
      <c r="I49" s="93" t="s">
        <v>165</v>
      </c>
      <c r="J49" s="93" t="s">
        <v>38</v>
      </c>
      <c r="L49" s="93">
        <v>3</v>
      </c>
      <c r="N49" s="93">
        <v>4</v>
      </c>
      <c r="O49" s="93">
        <v>0.6</v>
      </c>
      <c r="P49" s="93">
        <v>0.6</v>
      </c>
      <c r="Q49" s="102">
        <f t="shared" si="0"/>
        <v>0.6</v>
      </c>
      <c r="R49" s="93">
        <v>17.600000000000001</v>
      </c>
      <c r="S49" s="93">
        <v>108</v>
      </c>
      <c r="T49" s="103">
        <f t="shared" si="1"/>
        <v>33</v>
      </c>
      <c r="U49" s="93">
        <v>498</v>
      </c>
      <c r="V49" s="104">
        <f t="shared" si="2"/>
        <v>4108.5</v>
      </c>
      <c r="W49" s="93">
        <v>26</v>
      </c>
      <c r="X49" s="93" t="s">
        <v>46</v>
      </c>
      <c r="Y49" s="93" t="s">
        <v>55</v>
      </c>
      <c r="Z49" s="93" t="s">
        <v>97</v>
      </c>
      <c r="AA49" s="93" t="s">
        <v>78</v>
      </c>
      <c r="AB49" s="93" t="s">
        <v>158</v>
      </c>
    </row>
    <row r="50" spans="1:28" x14ac:dyDescent="0.15">
      <c r="A50" s="93" t="s">
        <v>51</v>
      </c>
      <c r="B50" s="93" t="s">
        <v>157</v>
      </c>
      <c r="C50" s="93">
        <v>2019</v>
      </c>
      <c r="D50" s="101" t="s">
        <v>259</v>
      </c>
      <c r="E50" s="93" t="s">
        <v>265</v>
      </c>
      <c r="F50" s="93" t="s">
        <v>266</v>
      </c>
      <c r="G50" s="93" t="s">
        <v>42</v>
      </c>
      <c r="H50" s="93" t="s">
        <v>164</v>
      </c>
      <c r="I50" s="93" t="s">
        <v>159</v>
      </c>
      <c r="J50" s="93" t="s">
        <v>38</v>
      </c>
      <c r="L50" s="93">
        <v>1</v>
      </c>
      <c r="N50" s="93">
        <v>1</v>
      </c>
      <c r="O50" s="93">
        <v>1</v>
      </c>
      <c r="P50" s="93">
        <v>1.05</v>
      </c>
      <c r="Q50" s="102">
        <f t="shared" si="0"/>
        <v>1.0249999999999999</v>
      </c>
      <c r="R50" s="93">
        <v>14.8</v>
      </c>
      <c r="S50" s="93">
        <v>128</v>
      </c>
      <c r="T50" s="103">
        <f t="shared" si="1"/>
        <v>27</v>
      </c>
      <c r="U50" s="93">
        <v>128</v>
      </c>
      <c r="V50" s="104">
        <f t="shared" si="2"/>
        <v>3456</v>
      </c>
      <c r="W50" s="93">
        <v>3</v>
      </c>
      <c r="X50" s="93" t="s">
        <v>39</v>
      </c>
      <c r="Y50" s="93" t="s">
        <v>69</v>
      </c>
      <c r="Z50" s="93" t="s">
        <v>88</v>
      </c>
      <c r="AA50" s="93" t="s">
        <v>97</v>
      </c>
      <c r="AB50" s="93" t="s">
        <v>158</v>
      </c>
    </row>
    <row r="51" spans="1:28" x14ac:dyDescent="0.15">
      <c r="A51" s="93" t="s">
        <v>51</v>
      </c>
      <c r="B51" s="93" t="s">
        <v>157</v>
      </c>
      <c r="C51" s="93">
        <v>2019</v>
      </c>
      <c r="D51" s="101" t="s">
        <v>259</v>
      </c>
      <c r="E51" s="93" t="s">
        <v>265</v>
      </c>
      <c r="F51" s="93" t="s">
        <v>266</v>
      </c>
      <c r="G51" s="93" t="s">
        <v>42</v>
      </c>
      <c r="H51" s="93" t="s">
        <v>164</v>
      </c>
      <c r="I51" s="93" t="s">
        <v>159</v>
      </c>
      <c r="J51" s="93" t="s">
        <v>38</v>
      </c>
      <c r="L51" s="93">
        <v>2</v>
      </c>
      <c r="N51" s="93">
        <v>1</v>
      </c>
      <c r="O51" s="93">
        <v>0.95</v>
      </c>
      <c r="P51" s="93">
        <v>1</v>
      </c>
      <c r="Q51" s="102">
        <f t="shared" si="0"/>
        <v>0.97499999999999998</v>
      </c>
      <c r="R51" s="93">
        <v>16.3</v>
      </c>
      <c r="S51" s="93">
        <v>138</v>
      </c>
      <c r="T51" s="103">
        <f t="shared" si="1"/>
        <v>22</v>
      </c>
      <c r="U51" s="93">
        <v>128</v>
      </c>
      <c r="V51" s="104">
        <f t="shared" si="2"/>
        <v>2816</v>
      </c>
      <c r="W51" s="93">
        <v>3</v>
      </c>
      <c r="X51" s="93" t="s">
        <v>39</v>
      </c>
      <c r="Y51" s="93" t="s">
        <v>69</v>
      </c>
      <c r="Z51" s="93" t="s">
        <v>88</v>
      </c>
      <c r="AA51" s="93" t="s">
        <v>97</v>
      </c>
      <c r="AB51" s="93" t="s">
        <v>158</v>
      </c>
    </row>
    <row r="52" spans="1:28" x14ac:dyDescent="0.15">
      <c r="A52" s="93" t="s">
        <v>51</v>
      </c>
      <c r="B52" s="93" t="s">
        <v>157</v>
      </c>
      <c r="C52" s="93">
        <v>2019</v>
      </c>
      <c r="D52" s="101" t="s">
        <v>259</v>
      </c>
      <c r="E52" s="93" t="s">
        <v>265</v>
      </c>
      <c r="F52" s="93" t="s">
        <v>266</v>
      </c>
      <c r="G52" s="93" t="s">
        <v>42</v>
      </c>
      <c r="H52" s="93" t="s">
        <v>164</v>
      </c>
      <c r="I52" s="93" t="s">
        <v>159</v>
      </c>
      <c r="J52" s="93" t="s">
        <v>38</v>
      </c>
      <c r="L52" s="93">
        <v>3</v>
      </c>
      <c r="N52" s="93">
        <v>1</v>
      </c>
      <c r="O52" s="93">
        <v>1.1000000000000001</v>
      </c>
      <c r="P52" s="93">
        <v>1.1499999999999999</v>
      </c>
      <c r="Q52" s="102">
        <f t="shared" si="0"/>
        <v>1.125</v>
      </c>
      <c r="R52" s="93">
        <v>15</v>
      </c>
      <c r="S52" s="93">
        <v>130</v>
      </c>
      <c r="T52" s="103">
        <f t="shared" si="1"/>
        <v>25</v>
      </c>
      <c r="U52" s="93">
        <v>128</v>
      </c>
      <c r="V52" s="104">
        <f t="shared" si="2"/>
        <v>3200</v>
      </c>
      <c r="W52" s="93">
        <v>3</v>
      </c>
      <c r="X52" s="93" t="s">
        <v>39</v>
      </c>
      <c r="Y52" s="93" t="s">
        <v>69</v>
      </c>
      <c r="Z52" s="93" t="s">
        <v>88</v>
      </c>
      <c r="AA52" s="93" t="s">
        <v>97</v>
      </c>
      <c r="AB52" s="93" t="s">
        <v>158</v>
      </c>
    </row>
    <row r="53" spans="1:28" x14ac:dyDescent="0.15">
      <c r="A53" s="93" t="s">
        <v>51</v>
      </c>
      <c r="B53" s="93" t="s">
        <v>157</v>
      </c>
      <c r="C53" s="93">
        <v>2019</v>
      </c>
      <c r="D53" s="101" t="s">
        <v>259</v>
      </c>
      <c r="E53" s="93" t="s">
        <v>265</v>
      </c>
      <c r="F53" s="93" t="s">
        <v>266</v>
      </c>
      <c r="G53" s="93" t="s">
        <v>42</v>
      </c>
      <c r="H53" s="93" t="s">
        <v>160</v>
      </c>
      <c r="I53" s="93" t="s">
        <v>159</v>
      </c>
      <c r="J53" s="93" t="s">
        <v>38</v>
      </c>
      <c r="L53" s="93">
        <v>1</v>
      </c>
      <c r="N53" s="93">
        <v>1</v>
      </c>
      <c r="O53" s="93">
        <v>0.8</v>
      </c>
      <c r="P53" s="93">
        <v>1</v>
      </c>
      <c r="Q53" s="102">
        <f t="shared" si="0"/>
        <v>0.9</v>
      </c>
      <c r="R53" s="93">
        <v>16.100000000000001</v>
      </c>
      <c r="S53" s="93">
        <v>130</v>
      </c>
      <c r="T53" s="103">
        <f t="shared" si="1"/>
        <v>25</v>
      </c>
      <c r="U53" s="93">
        <v>128</v>
      </c>
      <c r="V53" s="104">
        <f t="shared" si="2"/>
        <v>3200</v>
      </c>
      <c r="W53" s="93">
        <v>3</v>
      </c>
      <c r="X53" s="93" t="s">
        <v>39</v>
      </c>
      <c r="Y53" s="93" t="s">
        <v>69</v>
      </c>
      <c r="Z53" s="93" t="s">
        <v>88</v>
      </c>
      <c r="AA53" s="93" t="s">
        <v>97</v>
      </c>
      <c r="AB53" s="93" t="s">
        <v>158</v>
      </c>
    </row>
    <row r="54" spans="1:28" x14ac:dyDescent="0.15">
      <c r="A54" s="93" t="s">
        <v>51</v>
      </c>
      <c r="B54" s="93" t="s">
        <v>157</v>
      </c>
      <c r="C54" s="93">
        <v>2019</v>
      </c>
      <c r="D54" s="101" t="s">
        <v>259</v>
      </c>
      <c r="E54" s="93" t="s">
        <v>265</v>
      </c>
      <c r="F54" s="93" t="s">
        <v>266</v>
      </c>
      <c r="G54" s="93" t="s">
        <v>42</v>
      </c>
      <c r="H54" s="93" t="s">
        <v>160</v>
      </c>
      <c r="I54" s="93" t="s">
        <v>159</v>
      </c>
      <c r="J54" s="93" t="s">
        <v>38</v>
      </c>
      <c r="L54" s="93">
        <v>2</v>
      </c>
      <c r="N54" s="93">
        <v>1</v>
      </c>
      <c r="O54" s="93">
        <v>0.95</v>
      </c>
      <c r="P54" s="93">
        <v>0.95</v>
      </c>
      <c r="Q54" s="102">
        <f t="shared" si="0"/>
        <v>0.95</v>
      </c>
      <c r="R54" s="93">
        <v>16.600000000000001</v>
      </c>
      <c r="S54" s="93">
        <v>136</v>
      </c>
      <c r="T54" s="103">
        <f t="shared" si="1"/>
        <v>25</v>
      </c>
      <c r="U54" s="93">
        <v>128</v>
      </c>
      <c r="V54" s="104">
        <f t="shared" si="2"/>
        <v>3200</v>
      </c>
      <c r="W54" s="93">
        <v>3</v>
      </c>
      <c r="X54" s="93" t="s">
        <v>39</v>
      </c>
      <c r="Y54" s="93" t="s">
        <v>69</v>
      </c>
      <c r="Z54" s="93" t="s">
        <v>88</v>
      </c>
      <c r="AA54" s="93" t="s">
        <v>97</v>
      </c>
      <c r="AB54" s="93" t="s">
        <v>158</v>
      </c>
    </row>
    <row r="55" spans="1:28" x14ac:dyDescent="0.15">
      <c r="A55" s="93" t="s">
        <v>51</v>
      </c>
      <c r="B55" s="93" t="s">
        <v>157</v>
      </c>
      <c r="C55" s="93">
        <v>2019</v>
      </c>
      <c r="D55" s="101" t="s">
        <v>259</v>
      </c>
      <c r="E55" s="93" t="s">
        <v>265</v>
      </c>
      <c r="F55" s="93" t="s">
        <v>266</v>
      </c>
      <c r="G55" s="93" t="s">
        <v>42</v>
      </c>
      <c r="H55" s="93" t="s">
        <v>160</v>
      </c>
      <c r="I55" s="93" t="s">
        <v>159</v>
      </c>
      <c r="J55" s="93" t="s">
        <v>38</v>
      </c>
      <c r="L55" s="93">
        <v>3</v>
      </c>
      <c r="N55" s="93">
        <v>1</v>
      </c>
      <c r="O55" s="93">
        <v>1</v>
      </c>
      <c r="P55" s="93">
        <v>1.05</v>
      </c>
      <c r="Q55" s="102">
        <f t="shared" si="0"/>
        <v>1.0249999999999999</v>
      </c>
      <c r="R55" s="93">
        <v>15.4</v>
      </c>
      <c r="S55" s="93">
        <v>132</v>
      </c>
      <c r="T55" s="103">
        <f t="shared" si="1"/>
        <v>25</v>
      </c>
      <c r="U55" s="93">
        <v>128</v>
      </c>
      <c r="V55" s="104">
        <f t="shared" si="2"/>
        <v>3200</v>
      </c>
      <c r="W55" s="93">
        <v>3</v>
      </c>
      <c r="X55" s="93" t="s">
        <v>39</v>
      </c>
      <c r="Y55" s="93" t="s">
        <v>69</v>
      </c>
      <c r="Z55" s="93" t="s">
        <v>88</v>
      </c>
      <c r="AA55" s="93" t="s">
        <v>97</v>
      </c>
      <c r="AB55" s="93" t="s">
        <v>158</v>
      </c>
    </row>
    <row r="56" spans="1:28" x14ac:dyDescent="0.15">
      <c r="A56" s="93" t="s">
        <v>51</v>
      </c>
      <c r="B56" s="93" t="s">
        <v>157</v>
      </c>
      <c r="C56" s="93">
        <v>2019</v>
      </c>
      <c r="D56" s="101" t="s">
        <v>259</v>
      </c>
      <c r="E56" s="93" t="s">
        <v>267</v>
      </c>
      <c r="F56" s="93" t="s">
        <v>261</v>
      </c>
      <c r="G56" s="93" t="s">
        <v>36</v>
      </c>
      <c r="H56" s="93" t="s">
        <v>164</v>
      </c>
      <c r="I56" s="93" t="s">
        <v>159</v>
      </c>
      <c r="J56" s="93" t="s">
        <v>38</v>
      </c>
      <c r="L56" s="93">
        <v>1</v>
      </c>
      <c r="N56" s="93">
        <v>1</v>
      </c>
      <c r="O56" s="93">
        <v>1.05</v>
      </c>
      <c r="P56" s="93">
        <v>1.05</v>
      </c>
      <c r="Q56" s="102">
        <f t="shared" si="0"/>
        <v>1.05</v>
      </c>
      <c r="R56" s="93">
        <v>15.7</v>
      </c>
      <c r="S56" s="93">
        <v>110</v>
      </c>
      <c r="T56" s="103">
        <f t="shared" si="1"/>
        <v>33</v>
      </c>
      <c r="U56" s="93">
        <v>100</v>
      </c>
      <c r="V56" s="104">
        <f t="shared" si="2"/>
        <v>3300</v>
      </c>
      <c r="W56" s="93">
        <v>3</v>
      </c>
      <c r="X56" s="93" t="s">
        <v>46</v>
      </c>
      <c r="Y56" s="93" t="s">
        <v>69</v>
      </c>
      <c r="Z56" s="93" t="s">
        <v>97</v>
      </c>
      <c r="AA56" s="93" t="s">
        <v>78</v>
      </c>
      <c r="AB56" s="93" t="s">
        <v>158</v>
      </c>
    </row>
    <row r="57" spans="1:28" x14ac:dyDescent="0.15">
      <c r="A57" s="93" t="s">
        <v>51</v>
      </c>
      <c r="B57" s="93" t="s">
        <v>157</v>
      </c>
      <c r="C57" s="93">
        <v>2019</v>
      </c>
      <c r="D57" s="101" t="s">
        <v>259</v>
      </c>
      <c r="E57" s="93" t="s">
        <v>267</v>
      </c>
      <c r="F57" s="93" t="s">
        <v>261</v>
      </c>
      <c r="G57" s="93" t="s">
        <v>36</v>
      </c>
      <c r="H57" s="93" t="s">
        <v>164</v>
      </c>
      <c r="I57" s="93" t="s">
        <v>159</v>
      </c>
      <c r="J57" s="93" t="s">
        <v>38</v>
      </c>
      <c r="L57" s="93">
        <v>2</v>
      </c>
      <c r="N57" s="93">
        <v>1</v>
      </c>
      <c r="O57" s="93">
        <v>1.1000000000000001</v>
      </c>
      <c r="P57" s="93">
        <v>1</v>
      </c>
      <c r="Q57" s="102">
        <f t="shared" si="0"/>
        <v>1.05</v>
      </c>
      <c r="R57" s="93">
        <v>15.3</v>
      </c>
      <c r="S57" s="93">
        <v>112</v>
      </c>
      <c r="T57" s="103">
        <f t="shared" si="1"/>
        <v>33</v>
      </c>
      <c r="U57" s="93">
        <v>100</v>
      </c>
      <c r="V57" s="104">
        <f t="shared" si="2"/>
        <v>3300</v>
      </c>
      <c r="W57" s="93">
        <v>3</v>
      </c>
      <c r="X57" s="93" t="s">
        <v>46</v>
      </c>
      <c r="Y57" s="93" t="s">
        <v>69</v>
      </c>
      <c r="Z57" s="93" t="s">
        <v>97</v>
      </c>
      <c r="AA57" s="93" t="s">
        <v>78</v>
      </c>
      <c r="AB57" s="93" t="s">
        <v>158</v>
      </c>
    </row>
    <row r="58" spans="1:28" x14ac:dyDescent="0.15">
      <c r="A58" s="93" t="s">
        <v>51</v>
      </c>
      <c r="B58" s="93" t="s">
        <v>157</v>
      </c>
      <c r="C58" s="93">
        <v>2019</v>
      </c>
      <c r="D58" s="101" t="s">
        <v>259</v>
      </c>
      <c r="E58" s="93" t="s">
        <v>267</v>
      </c>
      <c r="F58" s="93" t="s">
        <v>261</v>
      </c>
      <c r="G58" s="93" t="s">
        <v>36</v>
      </c>
      <c r="H58" s="93" t="s">
        <v>164</v>
      </c>
      <c r="I58" s="93" t="s">
        <v>159</v>
      </c>
      <c r="J58" s="93" t="s">
        <v>38</v>
      </c>
      <c r="L58" s="93">
        <v>3</v>
      </c>
      <c r="N58" s="93">
        <v>1</v>
      </c>
      <c r="O58" s="93">
        <v>0.95</v>
      </c>
      <c r="P58" s="93">
        <v>1</v>
      </c>
      <c r="Q58" s="102">
        <f t="shared" si="0"/>
        <v>0.97499999999999998</v>
      </c>
      <c r="R58" s="93">
        <v>15.9</v>
      </c>
      <c r="S58" s="93">
        <v>114</v>
      </c>
      <c r="T58" s="103">
        <f t="shared" si="1"/>
        <v>30</v>
      </c>
      <c r="U58" s="93">
        <v>100</v>
      </c>
      <c r="V58" s="104">
        <f t="shared" si="2"/>
        <v>3000</v>
      </c>
      <c r="W58" s="93">
        <v>3</v>
      </c>
      <c r="X58" s="93" t="s">
        <v>46</v>
      </c>
      <c r="Y58" s="93" t="s">
        <v>69</v>
      </c>
      <c r="Z58" s="93" t="s">
        <v>97</v>
      </c>
      <c r="AA58" s="93" t="s">
        <v>78</v>
      </c>
      <c r="AB58" s="93" t="s">
        <v>158</v>
      </c>
    </row>
    <row r="59" spans="1:28" x14ac:dyDescent="0.15">
      <c r="A59" s="93" t="s">
        <v>51</v>
      </c>
      <c r="B59" s="93" t="s">
        <v>157</v>
      </c>
      <c r="C59" s="93">
        <v>2019</v>
      </c>
      <c r="D59" s="101" t="s">
        <v>259</v>
      </c>
      <c r="E59" s="93" t="s">
        <v>267</v>
      </c>
      <c r="F59" s="93" t="s">
        <v>261</v>
      </c>
      <c r="G59" s="93" t="s">
        <v>36</v>
      </c>
      <c r="H59" s="93" t="s">
        <v>160</v>
      </c>
      <c r="I59" s="93" t="s">
        <v>159</v>
      </c>
      <c r="J59" s="93" t="s">
        <v>38</v>
      </c>
      <c r="L59" s="93">
        <v>1</v>
      </c>
      <c r="N59" s="93">
        <v>1</v>
      </c>
      <c r="O59" s="93">
        <v>0.85</v>
      </c>
      <c r="P59" s="93">
        <v>0.75</v>
      </c>
      <c r="Q59" s="102">
        <f t="shared" si="0"/>
        <v>0.8</v>
      </c>
      <c r="R59" s="93">
        <v>15.3</v>
      </c>
      <c r="S59" s="93">
        <v>106</v>
      </c>
      <c r="T59" s="103">
        <f t="shared" si="1"/>
        <v>33</v>
      </c>
      <c r="U59" s="93">
        <v>128</v>
      </c>
      <c r="V59" s="104">
        <f t="shared" si="2"/>
        <v>4224</v>
      </c>
      <c r="W59" s="93">
        <v>3</v>
      </c>
      <c r="X59" s="93" t="s">
        <v>46</v>
      </c>
      <c r="Y59" s="93" t="s">
        <v>69</v>
      </c>
      <c r="Z59" s="93" t="s">
        <v>97</v>
      </c>
      <c r="AA59" s="93" t="s">
        <v>78</v>
      </c>
      <c r="AB59" s="93" t="s">
        <v>158</v>
      </c>
    </row>
    <row r="60" spans="1:28" x14ac:dyDescent="0.15">
      <c r="A60" s="93" t="s">
        <v>51</v>
      </c>
      <c r="B60" s="93" t="s">
        <v>157</v>
      </c>
      <c r="C60" s="93">
        <v>2019</v>
      </c>
      <c r="D60" s="101" t="s">
        <v>259</v>
      </c>
      <c r="E60" s="93" t="s">
        <v>267</v>
      </c>
      <c r="F60" s="93" t="s">
        <v>261</v>
      </c>
      <c r="G60" s="93" t="s">
        <v>36</v>
      </c>
      <c r="H60" s="93" t="s">
        <v>160</v>
      </c>
      <c r="I60" s="93" t="s">
        <v>159</v>
      </c>
      <c r="J60" s="93" t="s">
        <v>38</v>
      </c>
      <c r="L60" s="93">
        <v>2</v>
      </c>
      <c r="N60" s="93">
        <v>1</v>
      </c>
      <c r="O60" s="93">
        <v>0.8</v>
      </c>
      <c r="P60" s="93">
        <v>0.8</v>
      </c>
      <c r="Q60" s="102">
        <f t="shared" si="0"/>
        <v>0.8</v>
      </c>
      <c r="R60" s="93">
        <v>16</v>
      </c>
      <c r="S60" s="93">
        <v>116</v>
      </c>
      <c r="T60" s="103">
        <f t="shared" si="1"/>
        <v>30</v>
      </c>
      <c r="U60" s="93">
        <v>128</v>
      </c>
      <c r="V60" s="104">
        <f t="shared" si="2"/>
        <v>3840</v>
      </c>
      <c r="W60" s="93">
        <v>3</v>
      </c>
      <c r="X60" s="93" t="s">
        <v>46</v>
      </c>
      <c r="Y60" s="93" t="s">
        <v>69</v>
      </c>
      <c r="Z60" s="93" t="s">
        <v>97</v>
      </c>
      <c r="AA60" s="93" t="s">
        <v>78</v>
      </c>
      <c r="AB60" s="93" t="s">
        <v>158</v>
      </c>
    </row>
    <row r="61" spans="1:28" x14ac:dyDescent="0.15">
      <c r="A61" s="93" t="s">
        <v>51</v>
      </c>
      <c r="B61" s="93" t="s">
        <v>157</v>
      </c>
      <c r="C61" s="93">
        <v>2019</v>
      </c>
      <c r="D61" s="101" t="s">
        <v>259</v>
      </c>
      <c r="E61" s="93" t="s">
        <v>267</v>
      </c>
      <c r="F61" s="93" t="s">
        <v>261</v>
      </c>
      <c r="G61" s="93" t="s">
        <v>36</v>
      </c>
      <c r="H61" s="93" t="s">
        <v>160</v>
      </c>
      <c r="I61" s="93" t="s">
        <v>159</v>
      </c>
      <c r="J61" s="93" t="s">
        <v>38</v>
      </c>
      <c r="L61" s="93">
        <v>3</v>
      </c>
      <c r="N61" s="93">
        <v>1</v>
      </c>
      <c r="O61" s="93">
        <v>0.8</v>
      </c>
      <c r="P61" s="93">
        <v>0.7</v>
      </c>
      <c r="Q61" s="102">
        <f t="shared" si="0"/>
        <v>0.75</v>
      </c>
      <c r="R61" s="93">
        <v>15.6</v>
      </c>
      <c r="S61" s="93">
        <v>108</v>
      </c>
      <c r="T61" s="103">
        <f t="shared" si="1"/>
        <v>33</v>
      </c>
      <c r="U61" s="93">
        <v>128</v>
      </c>
      <c r="V61" s="104">
        <f t="shared" si="2"/>
        <v>4224</v>
      </c>
      <c r="W61" s="93">
        <v>3</v>
      </c>
      <c r="X61" s="93" t="s">
        <v>46</v>
      </c>
      <c r="Y61" s="93" t="s">
        <v>69</v>
      </c>
      <c r="Z61" s="93" t="s">
        <v>97</v>
      </c>
      <c r="AA61" s="93" t="s">
        <v>78</v>
      </c>
      <c r="AB61" s="93" t="s">
        <v>158</v>
      </c>
    </row>
    <row r="62" spans="1:28" x14ac:dyDescent="0.15">
      <c r="A62" s="93" t="s">
        <v>51</v>
      </c>
      <c r="B62" s="93" t="s">
        <v>157</v>
      </c>
      <c r="C62" s="93">
        <v>2019</v>
      </c>
      <c r="D62" s="101" t="s">
        <v>259</v>
      </c>
      <c r="E62" s="93" t="s">
        <v>271</v>
      </c>
      <c r="F62" s="93" t="s">
        <v>272</v>
      </c>
      <c r="G62" s="93" t="s">
        <v>36</v>
      </c>
      <c r="H62" s="93" t="s">
        <v>164</v>
      </c>
      <c r="I62" s="93" t="s">
        <v>159</v>
      </c>
      <c r="J62" s="93" t="s">
        <v>38</v>
      </c>
      <c r="L62" s="93">
        <v>1</v>
      </c>
      <c r="N62" s="93">
        <v>1</v>
      </c>
      <c r="O62" s="93">
        <v>0.75</v>
      </c>
      <c r="P62" s="93">
        <v>0.75</v>
      </c>
      <c r="Q62" s="102">
        <f t="shared" si="0"/>
        <v>0.75</v>
      </c>
      <c r="R62" s="93">
        <v>16.899999999999999</v>
      </c>
      <c r="S62" s="93">
        <v>144</v>
      </c>
      <c r="T62" s="103">
        <f t="shared" si="1"/>
        <v>22</v>
      </c>
      <c r="U62" s="93">
        <v>98</v>
      </c>
      <c r="V62" s="104">
        <f t="shared" si="2"/>
        <v>2156</v>
      </c>
      <c r="W62" s="93">
        <v>12</v>
      </c>
      <c r="X62" s="93" t="s">
        <v>46</v>
      </c>
      <c r="Y62" s="93" t="s">
        <v>97</v>
      </c>
      <c r="Z62" s="93" t="s">
        <v>69</v>
      </c>
      <c r="AA62" s="93" t="s">
        <v>55</v>
      </c>
      <c r="AB62" s="93" t="s">
        <v>158</v>
      </c>
    </row>
    <row r="63" spans="1:28" x14ac:dyDescent="0.15">
      <c r="A63" s="93" t="s">
        <v>51</v>
      </c>
      <c r="B63" s="93" t="s">
        <v>157</v>
      </c>
      <c r="C63" s="93">
        <v>2019</v>
      </c>
      <c r="D63" s="101" t="s">
        <v>259</v>
      </c>
      <c r="E63" s="93" t="s">
        <v>271</v>
      </c>
      <c r="F63" s="93" t="s">
        <v>272</v>
      </c>
      <c r="G63" s="93" t="s">
        <v>36</v>
      </c>
      <c r="H63" s="93" t="s">
        <v>164</v>
      </c>
      <c r="I63" s="93" t="s">
        <v>159</v>
      </c>
      <c r="J63" s="93" t="s">
        <v>38</v>
      </c>
      <c r="L63" s="93">
        <v>2</v>
      </c>
      <c r="N63" s="93">
        <v>1</v>
      </c>
      <c r="O63" s="93">
        <v>0.8</v>
      </c>
      <c r="P63" s="93">
        <v>0.7</v>
      </c>
      <c r="Q63" s="102">
        <f t="shared" si="0"/>
        <v>0.75</v>
      </c>
      <c r="R63" s="93">
        <v>16.399999999999999</v>
      </c>
      <c r="S63" s="93">
        <v>144</v>
      </c>
      <c r="T63" s="103">
        <f t="shared" si="1"/>
        <v>22</v>
      </c>
      <c r="U63" s="93">
        <v>98</v>
      </c>
      <c r="V63" s="104">
        <f t="shared" si="2"/>
        <v>2156</v>
      </c>
      <c r="W63" s="93">
        <v>12</v>
      </c>
      <c r="X63" s="93" t="s">
        <v>46</v>
      </c>
      <c r="Y63" s="93" t="s">
        <v>97</v>
      </c>
      <c r="Z63" s="93" t="s">
        <v>69</v>
      </c>
      <c r="AA63" s="93" t="s">
        <v>55</v>
      </c>
      <c r="AB63" s="93" t="s">
        <v>158</v>
      </c>
    </row>
    <row r="64" spans="1:28" x14ac:dyDescent="0.15">
      <c r="A64" s="93" t="s">
        <v>51</v>
      </c>
      <c r="B64" s="93" t="s">
        <v>157</v>
      </c>
      <c r="C64" s="93">
        <v>2019</v>
      </c>
      <c r="D64" s="101" t="s">
        <v>259</v>
      </c>
      <c r="E64" s="93" t="s">
        <v>271</v>
      </c>
      <c r="F64" s="93" t="s">
        <v>272</v>
      </c>
      <c r="G64" s="93" t="s">
        <v>36</v>
      </c>
      <c r="H64" s="93" t="s">
        <v>164</v>
      </c>
      <c r="I64" s="93" t="s">
        <v>159</v>
      </c>
      <c r="J64" s="93" t="s">
        <v>38</v>
      </c>
      <c r="L64" s="93">
        <v>3</v>
      </c>
      <c r="N64" s="93">
        <v>1</v>
      </c>
      <c r="O64" s="93">
        <v>0.7</v>
      </c>
      <c r="P64" s="93">
        <v>0.75</v>
      </c>
      <c r="Q64" s="102">
        <f t="shared" si="0"/>
        <v>0.72499999999999998</v>
      </c>
      <c r="R64" s="93">
        <v>16.600000000000001</v>
      </c>
      <c r="S64" s="93">
        <v>136</v>
      </c>
      <c r="T64" s="103">
        <f t="shared" si="1"/>
        <v>25</v>
      </c>
      <c r="U64" s="93">
        <v>98</v>
      </c>
      <c r="V64" s="104">
        <f t="shared" si="2"/>
        <v>2450</v>
      </c>
      <c r="W64" s="93">
        <v>12</v>
      </c>
      <c r="X64" s="93" t="s">
        <v>46</v>
      </c>
      <c r="Y64" s="93" t="s">
        <v>97</v>
      </c>
      <c r="Z64" s="93" t="s">
        <v>69</v>
      </c>
      <c r="AA64" s="93" t="s">
        <v>55</v>
      </c>
      <c r="AB64" s="93" t="s">
        <v>158</v>
      </c>
    </row>
    <row r="65" spans="1:28" x14ac:dyDescent="0.15">
      <c r="A65" s="93" t="s">
        <v>51</v>
      </c>
      <c r="B65" s="93" t="s">
        <v>157</v>
      </c>
      <c r="C65" s="93">
        <v>2019</v>
      </c>
      <c r="D65" s="101" t="s">
        <v>259</v>
      </c>
      <c r="E65" s="93" t="s">
        <v>271</v>
      </c>
      <c r="F65" s="93" t="s">
        <v>272</v>
      </c>
      <c r="G65" s="93" t="s">
        <v>36</v>
      </c>
      <c r="H65" s="93" t="s">
        <v>160</v>
      </c>
      <c r="I65" s="93" t="s">
        <v>159</v>
      </c>
      <c r="J65" s="93" t="s">
        <v>38</v>
      </c>
      <c r="L65" s="93">
        <v>1</v>
      </c>
      <c r="N65" s="93">
        <v>1</v>
      </c>
      <c r="O65" s="93">
        <v>0.6</v>
      </c>
      <c r="P65" s="93">
        <v>0.8</v>
      </c>
      <c r="Q65" s="103">
        <f t="shared" si="0"/>
        <v>0.7</v>
      </c>
      <c r="R65" s="93">
        <v>17.8</v>
      </c>
      <c r="S65" s="93">
        <v>138</v>
      </c>
      <c r="T65" s="103">
        <f t="shared" si="1"/>
        <v>22</v>
      </c>
      <c r="U65" s="93">
        <v>98</v>
      </c>
      <c r="V65" s="103">
        <f t="shared" si="2"/>
        <v>2156</v>
      </c>
      <c r="W65" s="93">
        <v>12</v>
      </c>
      <c r="X65" s="93" t="s">
        <v>46</v>
      </c>
      <c r="Y65" s="93" t="s">
        <v>97</v>
      </c>
      <c r="Z65" s="93" t="s">
        <v>69</v>
      </c>
      <c r="AA65" s="93" t="s">
        <v>55</v>
      </c>
      <c r="AB65" s="93" t="s">
        <v>158</v>
      </c>
    </row>
    <row r="66" spans="1:28" x14ac:dyDescent="0.15">
      <c r="A66" s="93" t="s">
        <v>51</v>
      </c>
      <c r="B66" s="93" t="s">
        <v>157</v>
      </c>
      <c r="C66" s="93">
        <v>2019</v>
      </c>
      <c r="D66" s="101" t="s">
        <v>259</v>
      </c>
      <c r="E66" s="93" t="s">
        <v>271</v>
      </c>
      <c r="F66" s="93" t="s">
        <v>272</v>
      </c>
      <c r="G66" s="93" t="s">
        <v>36</v>
      </c>
      <c r="H66" s="93" t="s">
        <v>160</v>
      </c>
      <c r="I66" s="93" t="s">
        <v>159</v>
      </c>
      <c r="J66" s="93" t="s">
        <v>38</v>
      </c>
      <c r="L66" s="93">
        <v>2</v>
      </c>
      <c r="N66" s="93">
        <v>1</v>
      </c>
      <c r="O66" s="93">
        <v>0.75</v>
      </c>
      <c r="P66" s="93">
        <v>0.75</v>
      </c>
      <c r="Q66" s="103">
        <f t="shared" ref="Q66:Q85" si="3">IF(OR(O66="",P66=""),"",AVERAGE(O66,P66))</f>
        <v>0.75</v>
      </c>
      <c r="R66" s="93">
        <v>16.7</v>
      </c>
      <c r="S66" s="93">
        <v>130</v>
      </c>
      <c r="T66" s="103">
        <f t="shared" ref="T66:T85" si="4">IF(H66="","",IF(OR(H66="GREEN",H66="GK"),IF(S66&gt;=$AX$2,VLOOKUP(S66,$AX$2:$AY$12,2,1),""),IF(S66&gt;=$AZ$2,VLOOKUP(S66,$AZ$2:$BA$12,2,1),"")))</f>
        <v>25</v>
      </c>
      <c r="U66" s="93">
        <v>98</v>
      </c>
      <c r="V66" s="103">
        <f t="shared" ref="V66:V85" si="5">IF(OR(N66="",U66="",T66=""),"",U66/N66*T66)</f>
        <v>2450</v>
      </c>
      <c r="W66" s="93">
        <v>12</v>
      </c>
      <c r="X66" s="93" t="s">
        <v>46</v>
      </c>
      <c r="Y66" s="93" t="s">
        <v>97</v>
      </c>
      <c r="Z66" s="93" t="s">
        <v>69</v>
      </c>
      <c r="AA66" s="93" t="s">
        <v>55</v>
      </c>
      <c r="AB66" s="93" t="s">
        <v>158</v>
      </c>
    </row>
    <row r="67" spans="1:28" x14ac:dyDescent="0.15">
      <c r="A67" s="93" t="s">
        <v>51</v>
      </c>
      <c r="B67" s="93" t="s">
        <v>157</v>
      </c>
      <c r="C67" s="93">
        <v>2019</v>
      </c>
      <c r="D67" s="101" t="s">
        <v>259</v>
      </c>
      <c r="E67" s="93" t="s">
        <v>271</v>
      </c>
      <c r="F67" s="93" t="s">
        <v>272</v>
      </c>
      <c r="G67" s="93" t="s">
        <v>36</v>
      </c>
      <c r="H67" s="93" t="s">
        <v>160</v>
      </c>
      <c r="I67" s="93" t="s">
        <v>159</v>
      </c>
      <c r="J67" s="93" t="s">
        <v>38</v>
      </c>
      <c r="L67" s="93">
        <v>3</v>
      </c>
      <c r="N67" s="93">
        <v>1</v>
      </c>
      <c r="O67" s="93">
        <v>0.75</v>
      </c>
      <c r="P67" s="93">
        <v>0.8</v>
      </c>
      <c r="Q67" s="103">
        <f t="shared" si="3"/>
        <v>0.77500000000000002</v>
      </c>
      <c r="R67" s="93">
        <v>16.3</v>
      </c>
      <c r="S67" s="93">
        <v>128</v>
      </c>
      <c r="T67" s="103">
        <f t="shared" si="4"/>
        <v>27</v>
      </c>
      <c r="U67" s="93">
        <v>98</v>
      </c>
      <c r="V67" s="103">
        <f t="shared" si="5"/>
        <v>2646</v>
      </c>
      <c r="W67" s="93">
        <v>12</v>
      </c>
      <c r="X67" s="93" t="s">
        <v>46</v>
      </c>
      <c r="Y67" s="93" t="s">
        <v>97</v>
      </c>
      <c r="Z67" s="93" t="s">
        <v>69</v>
      </c>
      <c r="AA67" s="93" t="s">
        <v>55</v>
      </c>
      <c r="AB67" s="93" t="s">
        <v>158</v>
      </c>
    </row>
    <row r="68" spans="1:28" x14ac:dyDescent="0.15">
      <c r="A68" s="93" t="s">
        <v>51</v>
      </c>
      <c r="B68" s="93" t="s">
        <v>157</v>
      </c>
      <c r="C68" s="93">
        <v>2019</v>
      </c>
      <c r="D68" s="101" t="s">
        <v>259</v>
      </c>
      <c r="E68" s="93" t="s">
        <v>273</v>
      </c>
      <c r="F68" s="93" t="s">
        <v>261</v>
      </c>
      <c r="G68" s="93" t="s">
        <v>42</v>
      </c>
      <c r="H68" s="93" t="s">
        <v>164</v>
      </c>
      <c r="I68" s="93" t="s">
        <v>159</v>
      </c>
      <c r="J68" s="93" t="s">
        <v>38</v>
      </c>
      <c r="L68" s="93">
        <v>1</v>
      </c>
      <c r="N68" s="93">
        <v>1</v>
      </c>
      <c r="O68" s="93">
        <v>0.8</v>
      </c>
      <c r="P68" s="93">
        <v>0.75</v>
      </c>
      <c r="Q68" s="103">
        <f t="shared" si="3"/>
        <v>0.77500000000000002</v>
      </c>
      <c r="R68" s="93">
        <v>14.4</v>
      </c>
      <c r="S68" s="93">
        <v>116</v>
      </c>
      <c r="T68" s="103">
        <f t="shared" si="4"/>
        <v>30</v>
      </c>
      <c r="U68" s="93">
        <v>78</v>
      </c>
      <c r="V68" s="103">
        <f t="shared" si="5"/>
        <v>2340</v>
      </c>
      <c r="W68" s="93">
        <v>6</v>
      </c>
      <c r="X68" s="93" t="s">
        <v>46</v>
      </c>
      <c r="Y68" s="93" t="s">
        <v>69</v>
      </c>
      <c r="Z68" s="93" t="s">
        <v>88</v>
      </c>
      <c r="AA68" s="93" t="s">
        <v>55</v>
      </c>
      <c r="AB68" s="93" t="s">
        <v>158</v>
      </c>
    </row>
    <row r="69" spans="1:28" x14ac:dyDescent="0.15">
      <c r="A69" s="93" t="s">
        <v>51</v>
      </c>
      <c r="B69" s="93" t="s">
        <v>157</v>
      </c>
      <c r="C69" s="93">
        <v>2019</v>
      </c>
      <c r="D69" s="101" t="s">
        <v>259</v>
      </c>
      <c r="E69" s="93" t="s">
        <v>273</v>
      </c>
      <c r="F69" s="93" t="s">
        <v>261</v>
      </c>
      <c r="G69" s="93" t="s">
        <v>42</v>
      </c>
      <c r="H69" s="93" t="s">
        <v>164</v>
      </c>
      <c r="I69" s="93" t="s">
        <v>159</v>
      </c>
      <c r="J69" s="93" t="s">
        <v>38</v>
      </c>
      <c r="L69" s="93">
        <v>2</v>
      </c>
      <c r="N69" s="93">
        <v>1</v>
      </c>
      <c r="O69" s="93">
        <v>0.9</v>
      </c>
      <c r="P69" s="93">
        <v>0.9</v>
      </c>
      <c r="Q69" s="103">
        <f t="shared" si="3"/>
        <v>0.9</v>
      </c>
      <c r="R69" s="93">
        <v>13.8</v>
      </c>
      <c r="S69" s="93">
        <v>116</v>
      </c>
      <c r="T69" s="103">
        <f t="shared" si="4"/>
        <v>30</v>
      </c>
      <c r="U69" s="93">
        <v>78</v>
      </c>
      <c r="V69" s="103">
        <f t="shared" si="5"/>
        <v>2340</v>
      </c>
      <c r="W69" s="93">
        <v>6</v>
      </c>
      <c r="X69" s="93" t="s">
        <v>46</v>
      </c>
      <c r="Y69" s="93" t="s">
        <v>69</v>
      </c>
      <c r="Z69" s="93" t="s">
        <v>88</v>
      </c>
      <c r="AA69" s="93" t="s">
        <v>55</v>
      </c>
      <c r="AB69" s="93" t="s">
        <v>158</v>
      </c>
    </row>
    <row r="70" spans="1:28" x14ac:dyDescent="0.15">
      <c r="A70" s="93" t="s">
        <v>51</v>
      </c>
      <c r="B70" s="93" t="s">
        <v>157</v>
      </c>
      <c r="C70" s="93">
        <v>2019</v>
      </c>
      <c r="D70" s="101" t="s">
        <v>259</v>
      </c>
      <c r="E70" s="93" t="s">
        <v>273</v>
      </c>
      <c r="F70" s="93" t="s">
        <v>261</v>
      </c>
      <c r="G70" s="93" t="s">
        <v>42</v>
      </c>
      <c r="H70" s="93" t="s">
        <v>164</v>
      </c>
      <c r="I70" s="93" t="s">
        <v>159</v>
      </c>
      <c r="J70" s="93" t="s">
        <v>38</v>
      </c>
      <c r="L70" s="93">
        <v>3</v>
      </c>
      <c r="N70" s="93">
        <v>1</v>
      </c>
      <c r="O70" s="93">
        <v>0.85</v>
      </c>
      <c r="P70" s="93">
        <v>0.85</v>
      </c>
      <c r="Q70" s="103">
        <f t="shared" si="3"/>
        <v>0.85</v>
      </c>
      <c r="R70" s="93">
        <v>13.6</v>
      </c>
      <c r="S70" s="93">
        <v>112</v>
      </c>
      <c r="T70" s="103">
        <f t="shared" si="4"/>
        <v>33</v>
      </c>
      <c r="U70" s="93">
        <v>78</v>
      </c>
      <c r="V70" s="103">
        <f t="shared" si="5"/>
        <v>2574</v>
      </c>
      <c r="W70" s="93">
        <v>6</v>
      </c>
      <c r="X70" s="93" t="s">
        <v>46</v>
      </c>
      <c r="Y70" s="93" t="s">
        <v>69</v>
      </c>
      <c r="Z70" s="93" t="s">
        <v>88</v>
      </c>
      <c r="AA70" s="93" t="s">
        <v>55</v>
      </c>
      <c r="AB70" s="93" t="s">
        <v>158</v>
      </c>
    </row>
    <row r="71" spans="1:28" x14ac:dyDescent="0.15">
      <c r="A71" s="93" t="s">
        <v>51</v>
      </c>
      <c r="B71" s="93" t="s">
        <v>157</v>
      </c>
      <c r="C71" s="93">
        <v>2019</v>
      </c>
      <c r="D71" s="101" t="s">
        <v>259</v>
      </c>
      <c r="E71" s="93" t="s">
        <v>273</v>
      </c>
      <c r="F71" s="93" t="s">
        <v>261</v>
      </c>
      <c r="G71" s="93" t="s">
        <v>42</v>
      </c>
      <c r="H71" s="93" t="s">
        <v>160</v>
      </c>
      <c r="I71" s="93" t="s">
        <v>159</v>
      </c>
      <c r="J71" s="93" t="s">
        <v>38</v>
      </c>
      <c r="L71" s="93">
        <v>1</v>
      </c>
      <c r="N71" s="93">
        <v>1</v>
      </c>
      <c r="O71" s="93">
        <v>0.65</v>
      </c>
      <c r="P71" s="93">
        <v>0.65</v>
      </c>
      <c r="Q71" s="103">
        <f t="shared" si="3"/>
        <v>0.65</v>
      </c>
      <c r="R71" s="93">
        <v>17.5</v>
      </c>
      <c r="S71" s="93">
        <v>130</v>
      </c>
      <c r="T71" s="103">
        <f t="shared" si="4"/>
        <v>25</v>
      </c>
      <c r="U71" s="93">
        <v>128</v>
      </c>
      <c r="V71" s="103">
        <f t="shared" si="5"/>
        <v>3200</v>
      </c>
      <c r="W71" s="93">
        <v>6</v>
      </c>
      <c r="X71" s="93" t="s">
        <v>46</v>
      </c>
      <c r="Y71" s="93" t="s">
        <v>69</v>
      </c>
      <c r="Z71" s="93" t="s">
        <v>88</v>
      </c>
      <c r="AA71" s="93" t="s">
        <v>55</v>
      </c>
      <c r="AB71" s="93" t="s">
        <v>158</v>
      </c>
    </row>
    <row r="72" spans="1:28" x14ac:dyDescent="0.15">
      <c r="A72" s="93" t="s">
        <v>51</v>
      </c>
      <c r="B72" s="93" t="s">
        <v>157</v>
      </c>
      <c r="C72" s="93">
        <v>2019</v>
      </c>
      <c r="D72" s="101" t="s">
        <v>259</v>
      </c>
      <c r="E72" s="93" t="s">
        <v>273</v>
      </c>
      <c r="F72" s="93" t="s">
        <v>261</v>
      </c>
      <c r="G72" s="93" t="s">
        <v>42</v>
      </c>
      <c r="H72" s="93" t="s">
        <v>160</v>
      </c>
      <c r="I72" s="93" t="s">
        <v>159</v>
      </c>
      <c r="J72" s="93" t="s">
        <v>38</v>
      </c>
      <c r="L72" s="93">
        <v>2</v>
      </c>
      <c r="N72" s="93">
        <v>1</v>
      </c>
      <c r="O72" s="93">
        <v>0.7</v>
      </c>
      <c r="P72" s="93">
        <v>0.6</v>
      </c>
      <c r="Q72" s="103">
        <f t="shared" si="3"/>
        <v>0.64999999999999991</v>
      </c>
      <c r="R72" s="93">
        <v>17.899999999999999</v>
      </c>
      <c r="S72" s="93">
        <v>134</v>
      </c>
      <c r="T72" s="103">
        <f t="shared" si="4"/>
        <v>25</v>
      </c>
      <c r="U72" s="93">
        <v>128</v>
      </c>
      <c r="V72" s="103">
        <f t="shared" si="5"/>
        <v>3200</v>
      </c>
      <c r="W72" s="93">
        <v>6</v>
      </c>
      <c r="X72" s="93" t="s">
        <v>46</v>
      </c>
      <c r="Y72" s="93" t="s">
        <v>69</v>
      </c>
      <c r="Z72" s="93" t="s">
        <v>88</v>
      </c>
      <c r="AA72" s="93" t="s">
        <v>55</v>
      </c>
      <c r="AB72" s="93" t="s">
        <v>158</v>
      </c>
    </row>
    <row r="73" spans="1:28" x14ac:dyDescent="0.15">
      <c r="A73" s="93" t="s">
        <v>51</v>
      </c>
      <c r="B73" s="93" t="s">
        <v>157</v>
      </c>
      <c r="C73" s="93">
        <v>2019</v>
      </c>
      <c r="D73" s="101" t="s">
        <v>259</v>
      </c>
      <c r="E73" s="93" t="s">
        <v>273</v>
      </c>
      <c r="F73" s="93" t="s">
        <v>261</v>
      </c>
      <c r="G73" s="93" t="s">
        <v>42</v>
      </c>
      <c r="H73" s="93" t="s">
        <v>160</v>
      </c>
      <c r="I73" s="93" t="s">
        <v>159</v>
      </c>
      <c r="J73" s="93" t="s">
        <v>38</v>
      </c>
      <c r="L73" s="93">
        <v>3</v>
      </c>
      <c r="N73" s="93">
        <v>1</v>
      </c>
      <c r="O73" s="93">
        <v>0.6</v>
      </c>
      <c r="P73" s="93">
        <v>0.55000000000000004</v>
      </c>
      <c r="Q73" s="103">
        <f t="shared" si="3"/>
        <v>0.57499999999999996</v>
      </c>
      <c r="R73" s="93">
        <v>18.100000000000001</v>
      </c>
      <c r="S73" s="93">
        <v>128</v>
      </c>
      <c r="T73" s="103">
        <f t="shared" si="4"/>
        <v>27</v>
      </c>
      <c r="U73" s="93">
        <v>128</v>
      </c>
      <c r="V73" s="103">
        <f t="shared" si="5"/>
        <v>3456</v>
      </c>
      <c r="W73" s="93">
        <v>6</v>
      </c>
      <c r="X73" s="93" t="s">
        <v>46</v>
      </c>
      <c r="Y73" s="93" t="s">
        <v>69</v>
      </c>
      <c r="Z73" s="93" t="s">
        <v>88</v>
      </c>
      <c r="AA73" s="93" t="s">
        <v>55</v>
      </c>
      <c r="AB73" s="93" t="s">
        <v>158</v>
      </c>
    </row>
    <row r="74" spans="1:28" x14ac:dyDescent="0.15">
      <c r="D74" s="101"/>
      <c r="Q74" s="103" t="str">
        <f t="shared" si="3"/>
        <v/>
      </c>
      <c r="T74" s="103" t="str">
        <f t="shared" si="4"/>
        <v/>
      </c>
      <c r="V74" s="103" t="str">
        <f t="shared" si="5"/>
        <v/>
      </c>
    </row>
    <row r="75" spans="1:28" x14ac:dyDescent="0.15">
      <c r="D75" s="101"/>
      <c r="Q75" s="103" t="str">
        <f t="shared" si="3"/>
        <v/>
      </c>
      <c r="T75" s="103" t="str">
        <f t="shared" si="4"/>
        <v/>
      </c>
      <c r="V75" s="103" t="str">
        <f t="shared" si="5"/>
        <v/>
      </c>
    </row>
    <row r="76" spans="1:28" x14ac:dyDescent="0.15">
      <c r="D76" s="101"/>
      <c r="Q76" s="103" t="str">
        <f t="shared" si="3"/>
        <v/>
      </c>
      <c r="T76" s="103" t="str">
        <f t="shared" si="4"/>
        <v/>
      </c>
      <c r="V76" s="103" t="str">
        <f t="shared" si="5"/>
        <v/>
      </c>
    </row>
    <row r="77" spans="1:28" x14ac:dyDescent="0.15">
      <c r="D77" s="101"/>
      <c r="Q77" s="103" t="str">
        <f t="shared" si="3"/>
        <v/>
      </c>
      <c r="T77" s="103" t="str">
        <f t="shared" si="4"/>
        <v/>
      </c>
      <c r="V77" s="103" t="str">
        <f t="shared" si="5"/>
        <v/>
      </c>
    </row>
    <row r="78" spans="1:28" x14ac:dyDescent="0.15">
      <c r="D78" s="101"/>
      <c r="Q78" s="103" t="str">
        <f t="shared" si="3"/>
        <v/>
      </c>
      <c r="T78" s="103" t="str">
        <f t="shared" si="4"/>
        <v/>
      </c>
      <c r="V78" s="103" t="str">
        <f t="shared" si="5"/>
        <v/>
      </c>
    </row>
    <row r="79" spans="1:28" x14ac:dyDescent="0.15">
      <c r="D79" s="101"/>
      <c r="Q79" s="103" t="str">
        <f t="shared" si="3"/>
        <v/>
      </c>
      <c r="T79" s="103" t="str">
        <f t="shared" si="4"/>
        <v/>
      </c>
      <c r="V79" s="103" t="str">
        <f t="shared" si="5"/>
        <v/>
      </c>
    </row>
    <row r="80" spans="1:28"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AEFB0608-4D9F-4BAF-AC64-86BB3B074174}">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25392A02-4B51-4E7B-BD03-A5219A4F9A92}">
      <formula1>$AV$2:$AV$20</formula1>
    </dataValidation>
    <dataValidation type="list" allowBlank="1" showInputMessage="1" showErrorMessage="1" sqref="K2:K89" xr:uid="{7B379570-BD3F-4252-9938-A8495D693BCC}">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69716EA0-1B42-4665-AECC-CC1A10DB76EF}">
      <formula1>$AR$2:$AR$25</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57479577-EB4A-4012-9441-947703CB42B2}">
      <formula1>$AN$5:$AN$6</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0EDB246E-3845-44EA-8419-C4F3541B5F5B}">
      <formula1>$AL$4:$AL$12</formula1>
    </dataValidation>
    <dataValidation type="list" allowBlank="1" showInputMessage="1" showErrorMessage="1" sqref="Y2:AA500" xr:uid="{E8B60401-9C16-49C2-B676-D83A3F9ADD9D}">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2BA7BD01-ECAA-4910-BF94-63C9AB60A802}">
      <formula1>$AP$2:$AP$27</formula1>
    </dataValidation>
    <dataValidation type="list" allowBlank="1" showInputMessage="1" showErrorMessage="1" sqref="H2:H500" xr:uid="{F78EF3CA-1E54-412A-AD36-8238206C1625}">
      <formula1>$AL$2:$AL$8</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24A4A420-B828-43EB-BC54-647EB643CC16}">
      <formula1>$AT$2:$AT$3</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12EFB673-BEFD-40D2-A3BF-540B0F7B159E}">
      <formula1>$AH$2:$AH$11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61B67F94-029C-4DED-A3C6-1ADCF6EF7EEB}"/>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D094AE0D-C40E-44EB-894C-5EF858E35731}">
      <formula1>$AG$2:$AG$11</formula1>
    </dataValidation>
    <dataValidation type="list" allowBlank="1" showInputMessage="1" showErrorMessage="1" sqref="WVI983042:WVI983119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A2:A500" xr:uid="{ABE6C8F3-06CE-4E32-B3DF-8D07BC50FF41}">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226690F9-F6F0-4CC3-AB3F-103DB9F20F85}">
      <formula1>$AJ$2:$AJ$4</formula1>
    </dataValidation>
  </dataValidations>
  <pageMargins left="0.69930555555555596" right="0.69930555555555596" top="0.75" bottom="0.75" header="0.3" footer="0.3"/>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DB97C-E5E4-4713-9068-954EE577130D}">
  <sheetPr>
    <pageSetUpPr fitToPage="1"/>
  </sheetPr>
  <dimension ref="A1:BA123"/>
  <sheetViews>
    <sheetView zoomScale="80" zoomScaleNormal="80" workbookViewId="0">
      <selection activeCell="E52" sqref="E52"/>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278</v>
      </c>
      <c r="B1" s="55" t="s">
        <v>1</v>
      </c>
      <c r="C1" s="55" t="s">
        <v>2</v>
      </c>
      <c r="D1" s="56" t="s">
        <v>3</v>
      </c>
      <c r="E1" s="56" t="s">
        <v>279</v>
      </c>
      <c r="F1" s="56" t="s">
        <v>5</v>
      </c>
      <c r="G1" s="56" t="s">
        <v>6</v>
      </c>
      <c r="H1" s="56" t="s">
        <v>280</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232</v>
      </c>
      <c r="C2" s="127">
        <v>2019</v>
      </c>
      <c r="D2" s="128" t="s">
        <v>233</v>
      </c>
      <c r="E2" s="127" t="s">
        <v>281</v>
      </c>
      <c r="F2" s="127" t="s">
        <v>282</v>
      </c>
      <c r="G2" s="127" t="s">
        <v>42</v>
      </c>
      <c r="H2" s="53" t="s">
        <v>164</v>
      </c>
      <c r="I2" s="53" t="s">
        <v>159</v>
      </c>
      <c r="J2" s="127" t="s">
        <v>38</v>
      </c>
      <c r="K2" s="53" t="s">
        <v>161</v>
      </c>
      <c r="L2" s="53">
        <v>1</v>
      </c>
      <c r="M2" s="53"/>
      <c r="N2" s="53">
        <v>4</v>
      </c>
      <c r="O2" s="53">
        <v>0.9</v>
      </c>
      <c r="P2" s="53">
        <v>0.8</v>
      </c>
      <c r="Q2" s="75">
        <f t="shared" ref="Q2:Q65" si="0">IF(OR(O2="",P2=""),"",AVERAGE(O2,P2))</f>
        <v>0.85000000000000009</v>
      </c>
      <c r="R2" s="53">
        <v>17.2</v>
      </c>
      <c r="S2" s="53">
        <v>97</v>
      </c>
      <c r="T2" s="16">
        <f t="shared" ref="T2:T65" si="1">IF(H2="","",IF(OR(H2="GREEN",H2="GK"),IF(S2&gt;=$AX$2,VLOOKUP(S2,$AX$2:$AY$15,2,1),""),IF(S2&gt;=$AZ$2,VLOOKUP(S2,$AZ$2:$BA$15,2,1),"")))</f>
        <v>36</v>
      </c>
      <c r="U2" s="53">
        <v>350</v>
      </c>
      <c r="V2" s="129">
        <f t="shared" ref="V2:V65" si="2">IF(OR(N2="",U2="",T2=""),"",U2/N2*T2)</f>
        <v>3150</v>
      </c>
      <c r="W2" s="53">
        <v>4</v>
      </c>
      <c r="X2" s="127" t="s">
        <v>39</v>
      </c>
      <c r="Y2" s="53" t="s">
        <v>86</v>
      </c>
      <c r="Z2" s="53" t="s">
        <v>55</v>
      </c>
      <c r="AA2" s="53" t="s">
        <v>97</v>
      </c>
      <c r="AB2" s="127" t="s">
        <v>258</v>
      </c>
      <c r="AC2" s="34"/>
      <c r="AE2" s="64" t="s">
        <v>35</v>
      </c>
      <c r="AG2" s="49" t="s">
        <v>281</v>
      </c>
      <c r="AH2" s="49" t="s">
        <v>282</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232</v>
      </c>
      <c r="C3" s="127">
        <v>2019</v>
      </c>
      <c r="D3" s="128" t="s">
        <v>233</v>
      </c>
      <c r="E3" s="127" t="s">
        <v>281</v>
      </c>
      <c r="F3" s="127" t="s">
        <v>282</v>
      </c>
      <c r="G3" s="127" t="s">
        <v>42</v>
      </c>
      <c r="H3" s="53" t="s">
        <v>164</v>
      </c>
      <c r="I3" s="53" t="s">
        <v>159</v>
      </c>
      <c r="J3" s="127" t="s">
        <v>38</v>
      </c>
      <c r="K3" s="53" t="s">
        <v>161</v>
      </c>
      <c r="L3" s="53">
        <v>2</v>
      </c>
      <c r="N3" s="53">
        <v>4</v>
      </c>
      <c r="O3" s="53">
        <v>0.8</v>
      </c>
      <c r="P3" s="53">
        <v>0.85</v>
      </c>
      <c r="Q3" s="75">
        <f t="shared" si="0"/>
        <v>0.82499999999999996</v>
      </c>
      <c r="R3" s="53">
        <v>14.5</v>
      </c>
      <c r="S3" s="53">
        <v>104</v>
      </c>
      <c r="T3" s="16">
        <f t="shared" si="1"/>
        <v>33</v>
      </c>
      <c r="U3" s="53">
        <v>350</v>
      </c>
      <c r="V3" s="129">
        <f t="shared" si="2"/>
        <v>2887.5</v>
      </c>
      <c r="W3" s="53">
        <v>4</v>
      </c>
      <c r="X3" s="127" t="s">
        <v>39</v>
      </c>
      <c r="Y3" s="53" t="s">
        <v>86</v>
      </c>
      <c r="Z3" s="53" t="s">
        <v>55</v>
      </c>
      <c r="AA3" s="53" t="s">
        <v>97</v>
      </c>
      <c r="AB3" s="127" t="s">
        <v>258</v>
      </c>
      <c r="AC3" s="34"/>
      <c r="AE3" s="22" t="s">
        <v>41</v>
      </c>
      <c r="AG3" s="49" t="s">
        <v>283</v>
      </c>
      <c r="AH3" s="49" t="s">
        <v>284</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232</v>
      </c>
      <c r="C4" s="127">
        <v>2019</v>
      </c>
      <c r="D4" s="128" t="s">
        <v>233</v>
      </c>
      <c r="E4" s="127" t="s">
        <v>281</v>
      </c>
      <c r="F4" s="127" t="s">
        <v>282</v>
      </c>
      <c r="G4" s="127" t="s">
        <v>42</v>
      </c>
      <c r="H4" s="53" t="s">
        <v>164</v>
      </c>
      <c r="I4" s="53" t="s">
        <v>159</v>
      </c>
      <c r="J4" s="127" t="s">
        <v>38</v>
      </c>
      <c r="K4" s="53" t="s">
        <v>161</v>
      </c>
      <c r="L4" s="53">
        <v>3</v>
      </c>
      <c r="N4" s="53">
        <v>4</v>
      </c>
      <c r="O4" s="53">
        <v>0.8</v>
      </c>
      <c r="P4" s="53">
        <v>0.95</v>
      </c>
      <c r="Q4" s="75">
        <f t="shared" si="0"/>
        <v>0.875</v>
      </c>
      <c r="R4" s="53">
        <v>14.4</v>
      </c>
      <c r="S4" s="53">
        <v>97</v>
      </c>
      <c r="T4" s="16">
        <f t="shared" si="1"/>
        <v>36</v>
      </c>
      <c r="U4" s="53">
        <v>350</v>
      </c>
      <c r="V4" s="129">
        <f t="shared" si="2"/>
        <v>3150</v>
      </c>
      <c r="W4" s="53">
        <v>4</v>
      </c>
      <c r="X4" s="127" t="s">
        <v>39</v>
      </c>
      <c r="Y4" s="53" t="s">
        <v>86</v>
      </c>
      <c r="Z4" s="53" t="s">
        <v>55</v>
      </c>
      <c r="AA4" s="53" t="s">
        <v>97</v>
      </c>
      <c r="AB4" s="127" t="s">
        <v>258</v>
      </c>
      <c r="AC4" s="34"/>
      <c r="AE4" s="22" t="s">
        <v>34</v>
      </c>
      <c r="AG4" s="49" t="s">
        <v>285</v>
      </c>
      <c r="AH4" s="49" t="s">
        <v>286</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232</v>
      </c>
      <c r="C5" s="127">
        <v>2019</v>
      </c>
      <c r="D5" s="128" t="s">
        <v>233</v>
      </c>
      <c r="E5" s="127" t="s">
        <v>281</v>
      </c>
      <c r="F5" s="127" t="s">
        <v>282</v>
      </c>
      <c r="G5" s="127" t="s">
        <v>42</v>
      </c>
      <c r="H5" s="53" t="s">
        <v>160</v>
      </c>
      <c r="I5" s="53" t="s">
        <v>159</v>
      </c>
      <c r="J5" s="127" t="s">
        <v>38</v>
      </c>
      <c r="K5" s="53" t="s">
        <v>161</v>
      </c>
      <c r="L5" s="53">
        <v>1</v>
      </c>
      <c r="N5" s="53">
        <v>1</v>
      </c>
      <c r="O5" s="53">
        <v>0.5</v>
      </c>
      <c r="P5" s="53">
        <v>0.5</v>
      </c>
      <c r="Q5" s="75">
        <f t="shared" si="0"/>
        <v>0.5</v>
      </c>
      <c r="R5" s="53" t="s">
        <v>287</v>
      </c>
      <c r="S5" s="53">
        <v>126</v>
      </c>
      <c r="T5" s="16">
        <f t="shared" si="1"/>
        <v>27</v>
      </c>
      <c r="U5" s="53">
        <v>138</v>
      </c>
      <c r="V5" s="129">
        <f t="shared" si="2"/>
        <v>3726</v>
      </c>
      <c r="W5" s="53">
        <v>4</v>
      </c>
      <c r="X5" s="127" t="s">
        <v>39</v>
      </c>
      <c r="Y5" s="53" t="s">
        <v>86</v>
      </c>
      <c r="Z5" s="53" t="s">
        <v>55</v>
      </c>
      <c r="AA5" s="53" t="s">
        <v>97</v>
      </c>
      <c r="AB5" s="127" t="s">
        <v>258</v>
      </c>
      <c r="AC5" s="34"/>
      <c r="AE5" s="22" t="s">
        <v>51</v>
      </c>
      <c r="AG5" s="49" t="s">
        <v>288</v>
      </c>
      <c r="AH5" s="49" t="s">
        <v>289</v>
      </c>
      <c r="AJ5" s="27"/>
      <c r="AL5" s="73" t="s">
        <v>66</v>
      </c>
      <c r="AN5" s="73" t="s">
        <v>52</v>
      </c>
      <c r="AP5" s="23" t="s">
        <v>119</v>
      </c>
      <c r="AR5" s="23" t="s">
        <v>54</v>
      </c>
      <c r="AV5" s="23" t="s">
        <v>55</v>
      </c>
      <c r="AX5" s="24">
        <v>84</v>
      </c>
      <c r="AY5" s="25">
        <v>39</v>
      </c>
      <c r="AZ5" s="25">
        <v>84</v>
      </c>
      <c r="BA5" s="26">
        <v>36</v>
      </c>
    </row>
    <row r="6" spans="1:53" x14ac:dyDescent="0.15">
      <c r="A6" s="127" t="s">
        <v>61</v>
      </c>
      <c r="B6" s="127" t="s">
        <v>232</v>
      </c>
      <c r="C6" s="127">
        <v>2019</v>
      </c>
      <c r="D6" s="128" t="s">
        <v>233</v>
      </c>
      <c r="E6" s="127" t="s">
        <v>281</v>
      </c>
      <c r="F6" s="127" t="s">
        <v>282</v>
      </c>
      <c r="G6" s="127" t="s">
        <v>42</v>
      </c>
      <c r="H6" s="53" t="s">
        <v>160</v>
      </c>
      <c r="I6" s="53" t="s">
        <v>159</v>
      </c>
      <c r="J6" s="127" t="s">
        <v>38</v>
      </c>
      <c r="K6" s="53" t="s">
        <v>161</v>
      </c>
      <c r="L6" s="53">
        <v>2</v>
      </c>
      <c r="N6" s="53">
        <v>1</v>
      </c>
      <c r="O6" s="53">
        <v>0.5</v>
      </c>
      <c r="P6" s="53">
        <v>0.5</v>
      </c>
      <c r="Q6" s="75">
        <f t="shared" si="0"/>
        <v>0.5</v>
      </c>
      <c r="R6" s="53">
        <v>17.7</v>
      </c>
      <c r="S6" s="53">
        <v>132</v>
      </c>
      <c r="T6" s="16">
        <f t="shared" si="1"/>
        <v>25</v>
      </c>
      <c r="U6" s="53">
        <v>138</v>
      </c>
      <c r="V6" s="129">
        <f t="shared" si="2"/>
        <v>3450</v>
      </c>
      <c r="W6" s="53">
        <v>4</v>
      </c>
      <c r="X6" s="127" t="s">
        <v>39</v>
      </c>
      <c r="Y6" s="53" t="s">
        <v>86</v>
      </c>
      <c r="Z6" s="53" t="s">
        <v>55</v>
      </c>
      <c r="AA6" s="53" t="s">
        <v>97</v>
      </c>
      <c r="AB6" s="127" t="s">
        <v>258</v>
      </c>
      <c r="AC6" s="34"/>
      <c r="AE6" s="22" t="s">
        <v>56</v>
      </c>
      <c r="AG6" s="49" t="s">
        <v>290</v>
      </c>
      <c r="AH6" s="49" t="s">
        <v>291</v>
      </c>
      <c r="AJ6" s="27"/>
      <c r="AL6" s="73" t="s">
        <v>99</v>
      </c>
      <c r="AN6" s="73" t="s">
        <v>57</v>
      </c>
      <c r="AP6" s="23" t="s">
        <v>53</v>
      </c>
      <c r="AR6" s="23" t="s">
        <v>59</v>
      </c>
      <c r="AV6" s="23" t="s">
        <v>60</v>
      </c>
      <c r="AX6" s="24">
        <v>97</v>
      </c>
      <c r="AY6" s="25">
        <v>36</v>
      </c>
      <c r="AZ6" s="25">
        <v>99</v>
      </c>
      <c r="BA6" s="26">
        <v>33</v>
      </c>
    </row>
    <row r="7" spans="1:53" x14ac:dyDescent="0.15">
      <c r="A7" s="127" t="s">
        <v>61</v>
      </c>
      <c r="B7" s="127" t="s">
        <v>232</v>
      </c>
      <c r="C7" s="127">
        <v>2019</v>
      </c>
      <c r="D7" s="128" t="s">
        <v>233</v>
      </c>
      <c r="E7" s="127" t="s">
        <v>281</v>
      </c>
      <c r="F7" s="127" t="s">
        <v>282</v>
      </c>
      <c r="G7" s="127" t="s">
        <v>42</v>
      </c>
      <c r="H7" s="53" t="s">
        <v>160</v>
      </c>
      <c r="I7" s="53" t="s">
        <v>159</v>
      </c>
      <c r="J7" s="127" t="s">
        <v>38</v>
      </c>
      <c r="K7" s="53" t="s">
        <v>161</v>
      </c>
      <c r="L7" s="53">
        <v>3</v>
      </c>
      <c r="N7" s="53">
        <v>1</v>
      </c>
      <c r="O7" s="53">
        <v>0.5</v>
      </c>
      <c r="P7" s="53">
        <v>0.5</v>
      </c>
      <c r="Q7" s="75">
        <f t="shared" si="0"/>
        <v>0.5</v>
      </c>
      <c r="R7" s="53">
        <v>17.3</v>
      </c>
      <c r="S7" s="53">
        <v>130</v>
      </c>
      <c r="T7" s="16">
        <f t="shared" si="1"/>
        <v>25</v>
      </c>
      <c r="U7" s="53">
        <v>138</v>
      </c>
      <c r="V7" s="129">
        <f t="shared" si="2"/>
        <v>3450</v>
      </c>
      <c r="W7" s="53">
        <v>4</v>
      </c>
      <c r="X7" s="127" t="s">
        <v>39</v>
      </c>
      <c r="Y7" s="53" t="s">
        <v>86</v>
      </c>
      <c r="Z7" s="53" t="s">
        <v>55</v>
      </c>
      <c r="AA7" s="53" t="s">
        <v>97</v>
      </c>
      <c r="AB7" s="127" t="s">
        <v>258</v>
      </c>
      <c r="AC7" s="34"/>
      <c r="AE7" s="22" t="s">
        <v>61</v>
      </c>
      <c r="AG7" s="49" t="s">
        <v>292</v>
      </c>
      <c r="AH7" s="49" t="s">
        <v>293</v>
      </c>
      <c r="AJ7" s="27"/>
      <c r="AL7" s="34" t="s">
        <v>109</v>
      </c>
      <c r="AN7" s="73"/>
      <c r="AP7" s="23" t="s">
        <v>58</v>
      </c>
      <c r="AR7" s="23" t="s">
        <v>122</v>
      </c>
      <c r="AV7" s="23" t="s">
        <v>64</v>
      </c>
      <c r="AX7" s="24">
        <v>109</v>
      </c>
      <c r="AY7" s="25">
        <v>33</v>
      </c>
      <c r="AZ7" s="25">
        <v>113</v>
      </c>
      <c r="BA7" s="26">
        <v>30</v>
      </c>
    </row>
    <row r="8" spans="1:53" x14ac:dyDescent="0.15">
      <c r="A8" s="127" t="s">
        <v>61</v>
      </c>
      <c r="B8" s="127" t="s">
        <v>232</v>
      </c>
      <c r="C8" s="127">
        <v>2019</v>
      </c>
      <c r="D8" s="128" t="s">
        <v>233</v>
      </c>
      <c r="E8" s="127" t="s">
        <v>283</v>
      </c>
      <c r="F8" s="127" t="s">
        <v>284</v>
      </c>
      <c r="G8" s="127" t="s">
        <v>42</v>
      </c>
      <c r="H8" s="53" t="s">
        <v>164</v>
      </c>
      <c r="I8" s="53" t="s">
        <v>159</v>
      </c>
      <c r="J8" s="127" t="s">
        <v>38</v>
      </c>
      <c r="K8" s="53" t="s">
        <v>161</v>
      </c>
      <c r="L8" s="53">
        <v>1</v>
      </c>
      <c r="N8" s="53">
        <v>4</v>
      </c>
      <c r="O8" s="53">
        <v>1</v>
      </c>
      <c r="P8" s="53">
        <v>0.95</v>
      </c>
      <c r="Q8" s="75">
        <f t="shared" si="0"/>
        <v>0.97499999999999998</v>
      </c>
      <c r="R8" s="53">
        <v>17</v>
      </c>
      <c r="S8" s="53">
        <v>103</v>
      </c>
      <c r="T8" s="16">
        <f t="shared" si="1"/>
        <v>33</v>
      </c>
      <c r="U8" s="53">
        <v>398</v>
      </c>
      <c r="V8" s="129">
        <f t="shared" si="2"/>
        <v>3283.5</v>
      </c>
      <c r="W8" s="53">
        <v>12</v>
      </c>
      <c r="X8" s="127" t="s">
        <v>46</v>
      </c>
      <c r="Y8" s="53" t="s">
        <v>97</v>
      </c>
      <c r="Z8" s="53" t="s">
        <v>47</v>
      </c>
      <c r="AA8" s="53" t="s">
        <v>55</v>
      </c>
      <c r="AB8" s="127" t="s">
        <v>258</v>
      </c>
      <c r="AC8" s="34"/>
      <c r="AE8" s="22" t="s">
        <v>59</v>
      </c>
      <c r="AG8" s="49" t="s">
        <v>294</v>
      </c>
      <c r="AH8" s="49" t="s">
        <v>295</v>
      </c>
      <c r="AJ8" s="28"/>
      <c r="AL8" s="34" t="s">
        <v>134</v>
      </c>
      <c r="AN8" s="73"/>
      <c r="AP8" s="23" t="s">
        <v>62</v>
      </c>
      <c r="AR8" s="23" t="s">
        <v>81</v>
      </c>
      <c r="AV8" s="23" t="s">
        <v>97</v>
      </c>
      <c r="AX8" s="24">
        <v>119</v>
      </c>
      <c r="AY8" s="25">
        <v>30</v>
      </c>
      <c r="AZ8" s="25">
        <v>121</v>
      </c>
      <c r="BA8" s="26">
        <v>27</v>
      </c>
    </row>
    <row r="9" spans="1:53" x14ac:dyDescent="0.15">
      <c r="A9" s="127" t="s">
        <v>61</v>
      </c>
      <c r="B9" s="127" t="s">
        <v>232</v>
      </c>
      <c r="C9" s="127">
        <v>2019</v>
      </c>
      <c r="D9" s="128" t="s">
        <v>233</v>
      </c>
      <c r="E9" s="127" t="s">
        <v>283</v>
      </c>
      <c r="F9" s="127" t="s">
        <v>284</v>
      </c>
      <c r="G9" s="127" t="s">
        <v>42</v>
      </c>
      <c r="H9" s="53" t="s">
        <v>164</v>
      </c>
      <c r="I9" s="53" t="s">
        <v>159</v>
      </c>
      <c r="J9" s="127" t="s">
        <v>38</v>
      </c>
      <c r="K9" s="53" t="s">
        <v>161</v>
      </c>
      <c r="L9" s="53">
        <v>2</v>
      </c>
      <c r="N9" s="53">
        <v>4</v>
      </c>
      <c r="O9" s="53">
        <v>0.8</v>
      </c>
      <c r="P9" s="53">
        <v>0.85</v>
      </c>
      <c r="Q9" s="75">
        <f t="shared" si="0"/>
        <v>0.82499999999999996</v>
      </c>
      <c r="R9" s="34">
        <v>11</v>
      </c>
      <c r="S9" s="53">
        <v>103</v>
      </c>
      <c r="T9" s="16">
        <f t="shared" si="1"/>
        <v>33</v>
      </c>
      <c r="U9" s="53">
        <v>398</v>
      </c>
      <c r="V9" s="129">
        <f t="shared" si="2"/>
        <v>3283.5</v>
      </c>
      <c r="W9" s="53">
        <v>12</v>
      </c>
      <c r="X9" s="127" t="s">
        <v>46</v>
      </c>
      <c r="Y9" s="53" t="s">
        <v>97</v>
      </c>
      <c r="Z9" s="53" t="s">
        <v>47</v>
      </c>
      <c r="AA9" s="53" t="s">
        <v>55</v>
      </c>
      <c r="AB9" s="127" t="s">
        <v>258</v>
      </c>
      <c r="AC9" s="34"/>
      <c r="AE9" s="22" t="s">
        <v>98</v>
      </c>
      <c r="AG9" s="49" t="s">
        <v>133</v>
      </c>
      <c r="AH9" s="49" t="s">
        <v>296</v>
      </c>
      <c r="AL9" s="73"/>
      <c r="AN9" s="73"/>
      <c r="AP9" s="23" t="s">
        <v>95</v>
      </c>
      <c r="AR9" s="23" t="s">
        <v>89</v>
      </c>
      <c r="AV9" s="23" t="s">
        <v>102</v>
      </c>
      <c r="AX9" s="24">
        <v>128</v>
      </c>
      <c r="AY9" s="25">
        <v>27</v>
      </c>
      <c r="AZ9" s="25">
        <v>129</v>
      </c>
      <c r="BA9" s="26">
        <v>25</v>
      </c>
    </row>
    <row r="10" spans="1:53" x14ac:dyDescent="0.15">
      <c r="A10" s="127" t="s">
        <v>61</v>
      </c>
      <c r="B10" s="127" t="s">
        <v>232</v>
      </c>
      <c r="C10" s="127">
        <v>2019</v>
      </c>
      <c r="D10" s="128" t="s">
        <v>233</v>
      </c>
      <c r="E10" s="127" t="s">
        <v>283</v>
      </c>
      <c r="F10" s="127" t="s">
        <v>284</v>
      </c>
      <c r="G10" s="127" t="s">
        <v>42</v>
      </c>
      <c r="H10" s="53" t="s">
        <v>164</v>
      </c>
      <c r="I10" s="53" t="s">
        <v>159</v>
      </c>
      <c r="J10" s="127" t="s">
        <v>38</v>
      </c>
      <c r="K10" s="53" t="s">
        <v>161</v>
      </c>
      <c r="L10" s="53">
        <v>3</v>
      </c>
      <c r="N10" s="53">
        <v>4</v>
      </c>
      <c r="O10" s="53">
        <v>0.9</v>
      </c>
      <c r="P10" s="53">
        <v>0.95</v>
      </c>
      <c r="Q10" s="75">
        <f t="shared" si="0"/>
        <v>0.92500000000000004</v>
      </c>
      <c r="R10" s="53">
        <v>18.8</v>
      </c>
      <c r="S10" s="53">
        <v>104</v>
      </c>
      <c r="T10" s="16">
        <f t="shared" si="1"/>
        <v>33</v>
      </c>
      <c r="U10" s="53">
        <v>398</v>
      </c>
      <c r="V10" s="129">
        <f t="shared" si="2"/>
        <v>3283.5</v>
      </c>
      <c r="W10" s="53">
        <v>12</v>
      </c>
      <c r="X10" s="127" t="s">
        <v>46</v>
      </c>
      <c r="Y10" s="53" t="s">
        <v>97</v>
      </c>
      <c r="Z10" s="53" t="s">
        <v>47</v>
      </c>
      <c r="AA10" s="53" t="s">
        <v>55</v>
      </c>
      <c r="AB10" s="127" t="s">
        <v>258</v>
      </c>
      <c r="AC10" s="34"/>
      <c r="AE10" s="22" t="s">
        <v>103</v>
      </c>
      <c r="AG10" s="49" t="s">
        <v>297</v>
      </c>
      <c r="AH10" s="49" t="s">
        <v>298</v>
      </c>
      <c r="AL10" s="27"/>
      <c r="AP10" s="23" t="s">
        <v>100</v>
      </c>
      <c r="AR10" s="23" t="s">
        <v>123</v>
      </c>
      <c r="AV10" s="23" t="s">
        <v>106</v>
      </c>
      <c r="AX10" s="24">
        <v>138</v>
      </c>
      <c r="AY10" s="25">
        <v>25</v>
      </c>
      <c r="AZ10" s="25">
        <v>138</v>
      </c>
      <c r="BA10" s="26">
        <v>22</v>
      </c>
    </row>
    <row r="11" spans="1:53" x14ac:dyDescent="0.15">
      <c r="A11" s="127" t="s">
        <v>61</v>
      </c>
      <c r="B11" s="127" t="s">
        <v>232</v>
      </c>
      <c r="C11" s="127">
        <v>2019</v>
      </c>
      <c r="D11" s="128" t="s">
        <v>233</v>
      </c>
      <c r="E11" s="127" t="s">
        <v>283</v>
      </c>
      <c r="F11" s="127" t="s">
        <v>284</v>
      </c>
      <c r="G11" s="127" t="s">
        <v>42</v>
      </c>
      <c r="H11" s="53" t="s">
        <v>160</v>
      </c>
      <c r="I11" s="53" t="s">
        <v>159</v>
      </c>
      <c r="J11" s="127" t="s">
        <v>38</v>
      </c>
      <c r="K11" s="53" t="s">
        <v>161</v>
      </c>
      <c r="L11" s="53">
        <v>1</v>
      </c>
      <c r="N11" s="53">
        <v>3</v>
      </c>
      <c r="O11" s="53">
        <v>0.5</v>
      </c>
      <c r="P11" s="53">
        <v>0.5</v>
      </c>
      <c r="Q11" s="75">
        <f t="shared" si="0"/>
        <v>0.5</v>
      </c>
      <c r="R11" s="53">
        <v>18</v>
      </c>
      <c r="S11" s="53">
        <v>134</v>
      </c>
      <c r="T11" s="16">
        <f t="shared" si="1"/>
        <v>25</v>
      </c>
      <c r="U11" s="53">
        <v>474</v>
      </c>
      <c r="V11" s="129">
        <f t="shared" si="2"/>
        <v>3950</v>
      </c>
      <c r="W11" s="53">
        <v>12</v>
      </c>
      <c r="X11" s="127" t="s">
        <v>46</v>
      </c>
      <c r="Y11" s="53" t="s">
        <v>97</v>
      </c>
      <c r="Z11" s="53" t="s">
        <v>47</v>
      </c>
      <c r="AA11" s="53" t="s">
        <v>55</v>
      </c>
      <c r="AB11" s="127" t="s">
        <v>258</v>
      </c>
      <c r="AC11" s="34"/>
      <c r="AE11" s="22" t="s">
        <v>65</v>
      </c>
      <c r="AG11" s="49" t="s">
        <v>299</v>
      </c>
      <c r="AH11" s="49" t="s">
        <v>298</v>
      </c>
      <c r="AL11" s="134"/>
      <c r="AP11" s="23" t="s">
        <v>104</v>
      </c>
      <c r="AR11" s="23" t="s">
        <v>87</v>
      </c>
      <c r="AV11" s="135" t="s">
        <v>300</v>
      </c>
      <c r="AX11" s="24">
        <v>151</v>
      </c>
      <c r="AY11" s="25">
        <v>22</v>
      </c>
      <c r="AZ11" s="25">
        <v>152</v>
      </c>
      <c r="BA11" s="26">
        <v>18</v>
      </c>
    </row>
    <row r="12" spans="1:53" x14ac:dyDescent="0.15">
      <c r="A12" s="127" t="s">
        <v>61</v>
      </c>
      <c r="B12" s="127" t="s">
        <v>232</v>
      </c>
      <c r="C12" s="127">
        <v>2019</v>
      </c>
      <c r="D12" s="128" t="s">
        <v>233</v>
      </c>
      <c r="E12" s="127" t="s">
        <v>283</v>
      </c>
      <c r="F12" s="127" t="s">
        <v>284</v>
      </c>
      <c r="G12" s="127" t="s">
        <v>42</v>
      </c>
      <c r="H12" s="53" t="s">
        <v>160</v>
      </c>
      <c r="I12" s="53" t="s">
        <v>159</v>
      </c>
      <c r="J12" s="127" t="s">
        <v>38</v>
      </c>
      <c r="K12" s="53" t="s">
        <v>161</v>
      </c>
      <c r="L12" s="53">
        <v>2</v>
      </c>
      <c r="N12" s="53">
        <v>3</v>
      </c>
      <c r="O12" s="53">
        <v>0.65</v>
      </c>
      <c r="P12" s="53">
        <v>0.6</v>
      </c>
      <c r="Q12" s="75">
        <f t="shared" si="0"/>
        <v>0.625</v>
      </c>
      <c r="R12" s="34">
        <v>19.2</v>
      </c>
      <c r="S12" s="53">
        <v>126</v>
      </c>
      <c r="T12" s="16">
        <f t="shared" si="1"/>
        <v>27</v>
      </c>
      <c r="U12" s="53">
        <v>474</v>
      </c>
      <c r="V12" s="129">
        <f t="shared" si="2"/>
        <v>4266</v>
      </c>
      <c r="W12" s="53">
        <v>12</v>
      </c>
      <c r="X12" s="127" t="s">
        <v>46</v>
      </c>
      <c r="Y12" s="53" t="s">
        <v>97</v>
      </c>
      <c r="Z12" s="53" t="s">
        <v>47</v>
      </c>
      <c r="AA12" s="53" t="s">
        <v>55</v>
      </c>
      <c r="AB12" s="127" t="s">
        <v>258</v>
      </c>
      <c r="AC12" s="34"/>
      <c r="AE12" s="22" t="s">
        <v>70</v>
      </c>
      <c r="AG12" s="23"/>
      <c r="AH12" s="22"/>
      <c r="AL12" s="134"/>
      <c r="AP12" s="23" t="s">
        <v>67</v>
      </c>
      <c r="AR12" s="23" t="s">
        <v>124</v>
      </c>
      <c r="AV12" s="135" t="s">
        <v>301</v>
      </c>
      <c r="AX12" s="24">
        <v>180</v>
      </c>
      <c r="AY12" s="25">
        <v>18</v>
      </c>
      <c r="AZ12" s="25">
        <v>181</v>
      </c>
      <c r="BA12" s="26">
        <v>16</v>
      </c>
    </row>
    <row r="13" spans="1:53" x14ac:dyDescent="0.15">
      <c r="A13" s="127" t="s">
        <v>61</v>
      </c>
      <c r="B13" s="127" t="s">
        <v>232</v>
      </c>
      <c r="C13" s="127">
        <v>2019</v>
      </c>
      <c r="D13" s="128" t="s">
        <v>233</v>
      </c>
      <c r="E13" s="127" t="s">
        <v>283</v>
      </c>
      <c r="F13" s="127" t="s">
        <v>284</v>
      </c>
      <c r="G13" s="127" t="s">
        <v>42</v>
      </c>
      <c r="H13" s="53" t="s">
        <v>160</v>
      </c>
      <c r="I13" s="53" t="s">
        <v>159</v>
      </c>
      <c r="J13" s="127" t="s">
        <v>38</v>
      </c>
      <c r="K13" s="53" t="s">
        <v>161</v>
      </c>
      <c r="L13" s="53">
        <v>3</v>
      </c>
      <c r="N13" s="53">
        <v>3</v>
      </c>
      <c r="O13" s="53">
        <v>0.6</v>
      </c>
      <c r="P13" s="53">
        <v>0.5</v>
      </c>
      <c r="Q13" s="75">
        <f t="shared" si="0"/>
        <v>0.55000000000000004</v>
      </c>
      <c r="R13" s="53">
        <v>14.6</v>
      </c>
      <c r="S13" s="53">
        <v>116</v>
      </c>
      <c r="T13" s="16">
        <f t="shared" si="1"/>
        <v>30</v>
      </c>
      <c r="U13" s="53">
        <v>474</v>
      </c>
      <c r="V13" s="129">
        <f t="shared" si="2"/>
        <v>4740</v>
      </c>
      <c r="W13" s="53">
        <v>12</v>
      </c>
      <c r="X13" s="127" t="s">
        <v>46</v>
      </c>
      <c r="Y13" s="53" t="s">
        <v>97</v>
      </c>
      <c r="Z13" s="53" t="s">
        <v>47</v>
      </c>
      <c r="AA13" s="53" t="s">
        <v>55</v>
      </c>
      <c r="AB13" s="127" t="s">
        <v>258</v>
      </c>
      <c r="AC13" s="34"/>
      <c r="AE13" s="22" t="s">
        <v>73</v>
      </c>
      <c r="AG13" s="23"/>
      <c r="AH13" s="22"/>
      <c r="AL13" s="136"/>
      <c r="AP13" s="23" t="s">
        <v>71</v>
      </c>
      <c r="AR13" s="23" t="s">
        <v>103</v>
      </c>
      <c r="AV13" s="135" t="s">
        <v>302</v>
      </c>
      <c r="AX13" s="24"/>
      <c r="AY13" s="25"/>
      <c r="AZ13" s="25"/>
      <c r="BA13" s="26"/>
    </row>
    <row r="14" spans="1:53" x14ac:dyDescent="0.15">
      <c r="A14" s="127" t="s">
        <v>61</v>
      </c>
      <c r="B14" s="127" t="s">
        <v>232</v>
      </c>
      <c r="C14" s="127">
        <v>2019</v>
      </c>
      <c r="D14" s="128" t="s">
        <v>233</v>
      </c>
      <c r="E14" s="127" t="s">
        <v>285</v>
      </c>
      <c r="F14" s="127" t="s">
        <v>286</v>
      </c>
      <c r="G14" s="127" t="s">
        <v>42</v>
      </c>
      <c r="H14" s="53" t="s">
        <v>164</v>
      </c>
      <c r="I14" s="53" t="s">
        <v>159</v>
      </c>
      <c r="J14" s="127" t="s">
        <v>38</v>
      </c>
      <c r="K14" s="53" t="s">
        <v>161</v>
      </c>
      <c r="L14" s="53">
        <v>1</v>
      </c>
      <c r="N14" s="53">
        <v>4</v>
      </c>
      <c r="O14" s="53">
        <v>0.8</v>
      </c>
      <c r="P14" s="53">
        <v>1</v>
      </c>
      <c r="Q14" s="75">
        <f t="shared" si="0"/>
        <v>0.9</v>
      </c>
      <c r="R14" s="53">
        <v>17</v>
      </c>
      <c r="S14" s="53">
        <v>93</v>
      </c>
      <c r="T14" s="16">
        <f t="shared" si="1"/>
        <v>36</v>
      </c>
      <c r="U14" s="53">
        <v>298</v>
      </c>
      <c r="V14" s="129">
        <f t="shared" si="2"/>
        <v>2682</v>
      </c>
      <c r="W14" s="53">
        <v>12</v>
      </c>
      <c r="X14" s="127" t="s">
        <v>46</v>
      </c>
      <c r="Y14" s="53" t="s">
        <v>69</v>
      </c>
      <c r="Z14" s="53" t="s">
        <v>55</v>
      </c>
      <c r="AA14" s="53" t="s">
        <v>90</v>
      </c>
      <c r="AB14" s="127" t="s">
        <v>258</v>
      </c>
      <c r="AC14" s="34"/>
      <c r="AE14" s="22" t="s">
        <v>76</v>
      </c>
      <c r="AG14" s="23"/>
      <c r="AH14" s="22"/>
      <c r="AL14" s="34"/>
      <c r="AP14" s="23" t="s">
        <v>74</v>
      </c>
      <c r="AR14" s="23" t="s">
        <v>125</v>
      </c>
      <c r="AV14" s="135" t="s">
        <v>303</v>
      </c>
      <c r="AX14" s="24"/>
      <c r="AY14" s="25"/>
      <c r="AZ14" s="25"/>
      <c r="BA14" s="26"/>
    </row>
    <row r="15" spans="1:53" x14ac:dyDescent="0.15">
      <c r="A15" s="127" t="s">
        <v>61</v>
      </c>
      <c r="B15" s="127" t="s">
        <v>232</v>
      </c>
      <c r="C15" s="127">
        <v>2019</v>
      </c>
      <c r="D15" s="128" t="s">
        <v>233</v>
      </c>
      <c r="E15" s="127" t="s">
        <v>285</v>
      </c>
      <c r="F15" s="127" t="s">
        <v>286</v>
      </c>
      <c r="G15" s="127" t="s">
        <v>42</v>
      </c>
      <c r="H15" s="53" t="s">
        <v>164</v>
      </c>
      <c r="I15" s="53" t="s">
        <v>159</v>
      </c>
      <c r="J15" s="127" t="s">
        <v>38</v>
      </c>
      <c r="K15" s="53" t="s">
        <v>161</v>
      </c>
      <c r="L15" s="53">
        <v>2</v>
      </c>
      <c r="N15" s="53">
        <v>4</v>
      </c>
      <c r="O15" s="53">
        <v>1</v>
      </c>
      <c r="P15" s="53">
        <v>0.85</v>
      </c>
      <c r="Q15" s="75">
        <f t="shared" si="0"/>
        <v>0.92500000000000004</v>
      </c>
      <c r="R15" s="34">
        <v>17.399999999999999</v>
      </c>
      <c r="S15" s="53">
        <v>87</v>
      </c>
      <c r="T15" s="16">
        <f t="shared" si="1"/>
        <v>36</v>
      </c>
      <c r="U15" s="53">
        <v>298</v>
      </c>
      <c r="V15" s="129">
        <f t="shared" si="2"/>
        <v>2682</v>
      </c>
      <c r="W15" s="53">
        <v>12</v>
      </c>
      <c r="X15" s="127" t="s">
        <v>46</v>
      </c>
      <c r="Y15" s="53" t="s">
        <v>69</v>
      </c>
      <c r="Z15" s="53" t="s">
        <v>55</v>
      </c>
      <c r="AA15" s="53" t="s">
        <v>90</v>
      </c>
      <c r="AB15" s="127" t="s">
        <v>258</v>
      </c>
      <c r="AC15" s="34"/>
      <c r="AE15" s="22" t="s">
        <v>79</v>
      </c>
      <c r="AG15" s="23"/>
      <c r="AH15" s="23"/>
      <c r="AL15" s="34"/>
      <c r="AP15" s="23" t="s">
        <v>77</v>
      </c>
      <c r="AR15" s="23" t="s">
        <v>94</v>
      </c>
      <c r="AV15" s="135" t="s">
        <v>304</v>
      </c>
      <c r="AX15" s="31"/>
      <c r="AY15" s="32"/>
      <c r="AZ15" s="32"/>
      <c r="BA15" s="33"/>
    </row>
    <row r="16" spans="1:53" x14ac:dyDescent="0.15">
      <c r="A16" s="127" t="s">
        <v>61</v>
      </c>
      <c r="B16" s="127" t="s">
        <v>232</v>
      </c>
      <c r="C16" s="127">
        <v>2019</v>
      </c>
      <c r="D16" s="128" t="s">
        <v>233</v>
      </c>
      <c r="E16" s="127" t="s">
        <v>285</v>
      </c>
      <c r="F16" s="127" t="s">
        <v>286</v>
      </c>
      <c r="G16" s="127" t="s">
        <v>42</v>
      </c>
      <c r="H16" s="53" t="s">
        <v>164</v>
      </c>
      <c r="I16" s="53" t="s">
        <v>159</v>
      </c>
      <c r="J16" s="127" t="s">
        <v>38</v>
      </c>
      <c r="K16" s="53" t="s">
        <v>161</v>
      </c>
      <c r="L16" s="53">
        <v>3</v>
      </c>
      <c r="N16" s="53">
        <v>4</v>
      </c>
      <c r="O16" s="53">
        <v>0.9</v>
      </c>
      <c r="P16" s="53">
        <v>0.7</v>
      </c>
      <c r="Q16" s="75">
        <f t="shared" si="0"/>
        <v>0.8</v>
      </c>
      <c r="R16" s="53">
        <v>17.399999999999999</v>
      </c>
      <c r="S16" s="53">
        <v>90</v>
      </c>
      <c r="T16" s="16">
        <f t="shared" si="1"/>
        <v>36</v>
      </c>
      <c r="U16" s="53">
        <v>298</v>
      </c>
      <c r="V16" s="129">
        <f t="shared" si="2"/>
        <v>2682</v>
      </c>
      <c r="W16" s="53">
        <v>12</v>
      </c>
      <c r="X16" s="127" t="s">
        <v>46</v>
      </c>
      <c r="Y16" s="53" t="s">
        <v>69</v>
      </c>
      <c r="Z16" s="53" t="s">
        <v>55</v>
      </c>
      <c r="AA16" s="53" t="s">
        <v>90</v>
      </c>
      <c r="AB16" s="127" t="s">
        <v>258</v>
      </c>
      <c r="AC16" s="34"/>
      <c r="AE16" s="22" t="s">
        <v>82</v>
      </c>
      <c r="AG16" s="23"/>
      <c r="AH16" s="23"/>
      <c r="AP16" s="23" t="s">
        <v>80</v>
      </c>
      <c r="AR16" s="23" t="s">
        <v>63</v>
      </c>
      <c r="AV16" s="135" t="s">
        <v>305</v>
      </c>
    </row>
    <row r="17" spans="1:48" x14ac:dyDescent="0.15">
      <c r="A17" s="127" t="s">
        <v>61</v>
      </c>
      <c r="B17" s="127" t="s">
        <v>232</v>
      </c>
      <c r="C17" s="127">
        <v>2019</v>
      </c>
      <c r="D17" s="128" t="s">
        <v>233</v>
      </c>
      <c r="E17" s="127" t="s">
        <v>285</v>
      </c>
      <c r="F17" s="127" t="s">
        <v>286</v>
      </c>
      <c r="G17" s="127" t="s">
        <v>42</v>
      </c>
      <c r="H17" s="53" t="s">
        <v>160</v>
      </c>
      <c r="I17" s="53" t="s">
        <v>159</v>
      </c>
      <c r="J17" s="127" t="s">
        <v>38</v>
      </c>
      <c r="K17" s="53" t="s">
        <v>161</v>
      </c>
      <c r="L17" s="53">
        <v>1</v>
      </c>
      <c r="N17" s="53">
        <v>4</v>
      </c>
      <c r="O17" s="53">
        <v>0.5</v>
      </c>
      <c r="P17" s="53">
        <v>0.5</v>
      </c>
      <c r="Q17" s="75">
        <f t="shared" si="0"/>
        <v>0.5</v>
      </c>
      <c r="R17" s="53">
        <v>19</v>
      </c>
      <c r="S17" s="53">
        <v>102</v>
      </c>
      <c r="T17" s="16">
        <f t="shared" si="1"/>
        <v>33</v>
      </c>
      <c r="U17" s="53">
        <v>398</v>
      </c>
      <c r="V17" s="129">
        <f t="shared" si="2"/>
        <v>3283.5</v>
      </c>
      <c r="W17" s="53">
        <v>12</v>
      </c>
      <c r="X17" s="127" t="s">
        <v>46</v>
      </c>
      <c r="Y17" s="53" t="s">
        <v>69</v>
      </c>
      <c r="Z17" s="53" t="s">
        <v>55</v>
      </c>
      <c r="AA17" s="53" t="s">
        <v>90</v>
      </c>
      <c r="AB17" s="127" t="s">
        <v>258</v>
      </c>
      <c r="AC17" s="34"/>
      <c r="AE17" s="22" t="s">
        <v>85</v>
      </c>
      <c r="AP17" s="27" t="s">
        <v>110</v>
      </c>
      <c r="AR17" s="23" t="s">
        <v>96</v>
      </c>
      <c r="AV17" s="135" t="s">
        <v>253</v>
      </c>
    </row>
    <row r="18" spans="1:48" x14ac:dyDescent="0.15">
      <c r="A18" s="127" t="s">
        <v>61</v>
      </c>
      <c r="B18" s="127" t="s">
        <v>232</v>
      </c>
      <c r="C18" s="127">
        <v>2019</v>
      </c>
      <c r="D18" s="128" t="s">
        <v>233</v>
      </c>
      <c r="E18" s="127" t="s">
        <v>285</v>
      </c>
      <c r="F18" s="127" t="s">
        <v>286</v>
      </c>
      <c r="G18" s="127" t="s">
        <v>42</v>
      </c>
      <c r="H18" s="53" t="s">
        <v>160</v>
      </c>
      <c r="I18" s="53" t="s">
        <v>159</v>
      </c>
      <c r="J18" s="127" t="s">
        <v>38</v>
      </c>
      <c r="K18" s="53" t="s">
        <v>161</v>
      </c>
      <c r="L18" s="53">
        <v>2</v>
      </c>
      <c r="N18" s="53">
        <v>4</v>
      </c>
      <c r="O18" s="53">
        <v>0.5</v>
      </c>
      <c r="P18" s="53">
        <v>0.5</v>
      </c>
      <c r="Q18" s="75">
        <f t="shared" si="0"/>
        <v>0.5</v>
      </c>
      <c r="R18" s="34">
        <v>18</v>
      </c>
      <c r="S18" s="53">
        <v>97</v>
      </c>
      <c r="T18" s="16">
        <f t="shared" si="1"/>
        <v>36</v>
      </c>
      <c r="U18" s="53">
        <v>398</v>
      </c>
      <c r="V18" s="129">
        <f t="shared" si="2"/>
        <v>3582</v>
      </c>
      <c r="W18" s="53">
        <v>12</v>
      </c>
      <c r="X18" s="127" t="s">
        <v>46</v>
      </c>
      <c r="Y18" s="53" t="s">
        <v>69</v>
      </c>
      <c r="Z18" s="53" t="s">
        <v>55</v>
      </c>
      <c r="AA18" s="53" t="s">
        <v>90</v>
      </c>
      <c r="AB18" s="127" t="s">
        <v>258</v>
      </c>
      <c r="AC18" s="34"/>
      <c r="AE18" s="22" t="s">
        <v>87</v>
      </c>
      <c r="AP18" s="27" t="s">
        <v>111</v>
      </c>
      <c r="AR18" s="23" t="s">
        <v>101</v>
      </c>
      <c r="AV18" s="135" t="s">
        <v>135</v>
      </c>
    </row>
    <row r="19" spans="1:48" x14ac:dyDescent="0.15">
      <c r="A19" s="127" t="s">
        <v>61</v>
      </c>
      <c r="B19" s="127" t="s">
        <v>232</v>
      </c>
      <c r="C19" s="127">
        <v>2019</v>
      </c>
      <c r="D19" s="128" t="s">
        <v>233</v>
      </c>
      <c r="E19" s="127" t="s">
        <v>285</v>
      </c>
      <c r="F19" s="127" t="s">
        <v>286</v>
      </c>
      <c r="G19" s="127" t="s">
        <v>42</v>
      </c>
      <c r="H19" s="53" t="s">
        <v>160</v>
      </c>
      <c r="I19" s="53" t="s">
        <v>159</v>
      </c>
      <c r="J19" s="127" t="s">
        <v>38</v>
      </c>
      <c r="K19" s="53" t="s">
        <v>161</v>
      </c>
      <c r="L19" s="53">
        <v>3</v>
      </c>
      <c r="N19" s="53">
        <v>4</v>
      </c>
      <c r="O19" s="34">
        <v>0.5</v>
      </c>
      <c r="P19" s="53">
        <v>0.5</v>
      </c>
      <c r="Q19" s="75">
        <f t="shared" si="0"/>
        <v>0.5</v>
      </c>
      <c r="R19" s="53">
        <v>17.7</v>
      </c>
      <c r="S19" s="53">
        <v>99</v>
      </c>
      <c r="T19" s="16">
        <f t="shared" si="1"/>
        <v>33</v>
      </c>
      <c r="U19" s="53">
        <v>398</v>
      </c>
      <c r="V19" s="129">
        <f t="shared" si="2"/>
        <v>3283.5</v>
      </c>
      <c r="W19" s="53">
        <v>12</v>
      </c>
      <c r="X19" s="127" t="s">
        <v>46</v>
      </c>
      <c r="Y19" s="53" t="s">
        <v>306</v>
      </c>
      <c r="Z19" s="53" t="s">
        <v>55</v>
      </c>
      <c r="AA19" s="53" t="s">
        <v>90</v>
      </c>
      <c r="AB19" s="127" t="s">
        <v>258</v>
      </c>
      <c r="AC19" s="34"/>
      <c r="AE19" s="35" t="s">
        <v>89</v>
      </c>
      <c r="AP19" s="27" t="s">
        <v>112</v>
      </c>
      <c r="AR19" s="23" t="s">
        <v>126</v>
      </c>
      <c r="AV19" s="135" t="s">
        <v>307</v>
      </c>
    </row>
    <row r="20" spans="1:48" x14ac:dyDescent="0.15">
      <c r="A20" s="127" t="s">
        <v>61</v>
      </c>
      <c r="B20" s="127" t="s">
        <v>232</v>
      </c>
      <c r="C20" s="127">
        <v>2019</v>
      </c>
      <c r="D20" s="128" t="s">
        <v>233</v>
      </c>
      <c r="E20" s="127" t="s">
        <v>288</v>
      </c>
      <c r="F20" s="127" t="s">
        <v>289</v>
      </c>
      <c r="G20" s="127" t="s">
        <v>42</v>
      </c>
      <c r="H20" s="53" t="s">
        <v>164</v>
      </c>
      <c r="I20" s="53" t="s">
        <v>159</v>
      </c>
      <c r="J20" s="127" t="s">
        <v>38</v>
      </c>
      <c r="K20" s="53" t="s">
        <v>161</v>
      </c>
      <c r="L20" s="53">
        <v>1</v>
      </c>
      <c r="N20" s="53">
        <v>1</v>
      </c>
      <c r="O20" s="53">
        <v>1.2</v>
      </c>
      <c r="P20" s="53">
        <v>1.5</v>
      </c>
      <c r="Q20" s="75">
        <f t="shared" si="0"/>
        <v>1.35</v>
      </c>
      <c r="R20" s="53">
        <v>17.399999999999999</v>
      </c>
      <c r="S20" s="53">
        <v>110</v>
      </c>
      <c r="T20" s="16">
        <f t="shared" si="1"/>
        <v>33</v>
      </c>
      <c r="U20" s="53">
        <v>128</v>
      </c>
      <c r="V20" s="129">
        <f t="shared" si="2"/>
        <v>4224</v>
      </c>
      <c r="W20" s="53">
        <v>12</v>
      </c>
      <c r="X20" s="127" t="s">
        <v>46</v>
      </c>
      <c r="Y20" s="53" t="s">
        <v>97</v>
      </c>
      <c r="Z20" s="53" t="s">
        <v>78</v>
      </c>
      <c r="AA20" s="53" t="s">
        <v>55</v>
      </c>
      <c r="AB20" s="127" t="s">
        <v>258</v>
      </c>
      <c r="AC20" s="34"/>
      <c r="AE20" s="22"/>
      <c r="AP20" s="27" t="s">
        <v>113</v>
      </c>
      <c r="AR20" s="23" t="s">
        <v>105</v>
      </c>
      <c r="AV20" s="135" t="s">
        <v>308</v>
      </c>
    </row>
    <row r="21" spans="1:48" x14ac:dyDescent="0.15">
      <c r="A21" s="127" t="s">
        <v>61</v>
      </c>
      <c r="B21" s="127" t="s">
        <v>232</v>
      </c>
      <c r="C21" s="127">
        <v>2019</v>
      </c>
      <c r="D21" s="128" t="s">
        <v>233</v>
      </c>
      <c r="E21" s="127" t="s">
        <v>288</v>
      </c>
      <c r="F21" s="127" t="s">
        <v>289</v>
      </c>
      <c r="G21" s="127" t="s">
        <v>42</v>
      </c>
      <c r="H21" s="53" t="s">
        <v>164</v>
      </c>
      <c r="I21" s="53" t="s">
        <v>159</v>
      </c>
      <c r="J21" s="127" t="s">
        <v>38</v>
      </c>
      <c r="K21" s="53" t="s">
        <v>161</v>
      </c>
      <c r="L21" s="53">
        <v>2</v>
      </c>
      <c r="N21" s="53">
        <v>1</v>
      </c>
      <c r="O21" s="53">
        <v>0.5</v>
      </c>
      <c r="P21" s="53">
        <v>0.75</v>
      </c>
      <c r="Q21" s="75">
        <f t="shared" si="0"/>
        <v>0.625</v>
      </c>
      <c r="R21" s="53">
        <v>17</v>
      </c>
      <c r="S21" s="53">
        <v>109</v>
      </c>
      <c r="T21" s="16">
        <f t="shared" si="1"/>
        <v>33</v>
      </c>
      <c r="U21" s="53">
        <v>128</v>
      </c>
      <c r="V21" s="129">
        <f t="shared" si="2"/>
        <v>4224</v>
      </c>
      <c r="W21" s="53">
        <v>12</v>
      </c>
      <c r="X21" s="127" t="s">
        <v>46</v>
      </c>
      <c r="Y21" s="53" t="s">
        <v>97</v>
      </c>
      <c r="Z21" s="53" t="s">
        <v>78</v>
      </c>
      <c r="AA21" s="53" t="s">
        <v>55</v>
      </c>
      <c r="AB21" s="127" t="s">
        <v>258</v>
      </c>
      <c r="AC21" s="34"/>
      <c r="AE21" s="22"/>
      <c r="AP21" s="27" t="s">
        <v>114</v>
      </c>
      <c r="AR21" s="23" t="s">
        <v>68</v>
      </c>
      <c r="AV21" s="135" t="s">
        <v>309</v>
      </c>
    </row>
    <row r="22" spans="1:48" x14ac:dyDescent="0.15">
      <c r="A22" s="127" t="s">
        <v>61</v>
      </c>
      <c r="B22" s="127" t="s">
        <v>232</v>
      </c>
      <c r="C22" s="127">
        <v>2019</v>
      </c>
      <c r="D22" s="128" t="s">
        <v>233</v>
      </c>
      <c r="E22" s="127" t="s">
        <v>288</v>
      </c>
      <c r="F22" s="127" t="s">
        <v>289</v>
      </c>
      <c r="G22" s="127" t="s">
        <v>42</v>
      </c>
      <c r="H22" s="53" t="s">
        <v>164</v>
      </c>
      <c r="I22" s="53" t="s">
        <v>159</v>
      </c>
      <c r="J22" s="127" t="s">
        <v>38</v>
      </c>
      <c r="K22" s="53" t="s">
        <v>161</v>
      </c>
      <c r="L22" s="53">
        <v>3</v>
      </c>
      <c r="N22" s="53">
        <v>1</v>
      </c>
      <c r="O22" s="53">
        <v>1.05</v>
      </c>
      <c r="P22" s="53">
        <v>0.9</v>
      </c>
      <c r="Q22" s="75">
        <f t="shared" si="0"/>
        <v>0.97500000000000009</v>
      </c>
      <c r="R22" s="53">
        <v>17.5</v>
      </c>
      <c r="S22" s="53">
        <v>109</v>
      </c>
      <c r="T22" s="16">
        <f t="shared" si="1"/>
        <v>33</v>
      </c>
      <c r="U22" s="53">
        <v>128</v>
      </c>
      <c r="V22" s="129">
        <f t="shared" si="2"/>
        <v>4224</v>
      </c>
      <c r="W22" s="53">
        <v>12</v>
      </c>
      <c r="X22" s="127" t="s">
        <v>46</v>
      </c>
      <c r="Y22" s="53" t="s">
        <v>97</v>
      </c>
      <c r="Z22" s="53" t="s">
        <v>78</v>
      </c>
      <c r="AA22" s="53" t="s">
        <v>55</v>
      </c>
      <c r="AB22" s="127" t="s">
        <v>258</v>
      </c>
      <c r="AC22" s="34"/>
      <c r="AE22" s="35"/>
      <c r="AP22" s="27" t="s">
        <v>115</v>
      </c>
      <c r="AR22" s="23" t="s">
        <v>83</v>
      </c>
      <c r="AV22" s="23"/>
    </row>
    <row r="23" spans="1:48" x14ac:dyDescent="0.15">
      <c r="A23" s="127" t="s">
        <v>61</v>
      </c>
      <c r="B23" s="127" t="s">
        <v>232</v>
      </c>
      <c r="C23" s="127">
        <v>2019</v>
      </c>
      <c r="D23" s="128" t="s">
        <v>233</v>
      </c>
      <c r="E23" s="127" t="s">
        <v>288</v>
      </c>
      <c r="F23" s="127" t="s">
        <v>289</v>
      </c>
      <c r="G23" s="127" t="s">
        <v>42</v>
      </c>
      <c r="H23" s="53" t="s">
        <v>160</v>
      </c>
      <c r="I23" s="53" t="s">
        <v>159</v>
      </c>
      <c r="J23" s="127" t="s">
        <v>38</v>
      </c>
      <c r="K23" s="53" t="s">
        <v>161</v>
      </c>
      <c r="L23" s="53">
        <v>1</v>
      </c>
      <c r="N23" s="53">
        <v>4</v>
      </c>
      <c r="O23" s="53">
        <v>0.75</v>
      </c>
      <c r="P23" s="53">
        <v>0.8</v>
      </c>
      <c r="Q23" s="75">
        <f t="shared" si="0"/>
        <v>0.77500000000000002</v>
      </c>
      <c r="R23" s="53">
        <v>17.100000000000001</v>
      </c>
      <c r="S23" s="53">
        <v>103</v>
      </c>
      <c r="T23" s="16">
        <f t="shared" si="1"/>
        <v>33</v>
      </c>
      <c r="U23" s="53">
        <v>398</v>
      </c>
      <c r="V23" s="129">
        <f t="shared" si="2"/>
        <v>3283.5</v>
      </c>
      <c r="W23" s="53">
        <v>12</v>
      </c>
      <c r="X23" s="127" t="s">
        <v>46</v>
      </c>
      <c r="Y23" s="53" t="s">
        <v>97</v>
      </c>
      <c r="Z23" s="53" t="s">
        <v>78</v>
      </c>
      <c r="AA23" s="53" t="s">
        <v>55</v>
      </c>
      <c r="AB23" s="127" t="s">
        <v>258</v>
      </c>
      <c r="AC23" s="34"/>
      <c r="AE23" s="22"/>
      <c r="AP23" s="27" t="s">
        <v>137</v>
      </c>
      <c r="AR23" s="23" t="s">
        <v>61</v>
      </c>
    </row>
    <row r="24" spans="1:48" x14ac:dyDescent="0.15">
      <c r="A24" s="127" t="s">
        <v>61</v>
      </c>
      <c r="B24" s="127" t="s">
        <v>232</v>
      </c>
      <c r="C24" s="127">
        <v>2019</v>
      </c>
      <c r="D24" s="128" t="s">
        <v>233</v>
      </c>
      <c r="E24" s="127" t="s">
        <v>288</v>
      </c>
      <c r="F24" s="127" t="s">
        <v>289</v>
      </c>
      <c r="G24" s="127" t="s">
        <v>42</v>
      </c>
      <c r="H24" s="53" t="s">
        <v>160</v>
      </c>
      <c r="I24" s="53" t="s">
        <v>159</v>
      </c>
      <c r="J24" s="127" t="s">
        <v>38</v>
      </c>
      <c r="K24" s="53" t="s">
        <v>161</v>
      </c>
      <c r="L24" s="53">
        <v>2</v>
      </c>
      <c r="N24" s="53">
        <v>4</v>
      </c>
      <c r="O24" s="53">
        <v>0.75</v>
      </c>
      <c r="P24" s="53">
        <v>0.7</v>
      </c>
      <c r="Q24" s="75">
        <f t="shared" si="0"/>
        <v>0.72499999999999998</v>
      </c>
      <c r="R24" s="53">
        <v>17.399999999999999</v>
      </c>
      <c r="S24" s="53">
        <v>101</v>
      </c>
      <c r="T24" s="16">
        <f t="shared" si="1"/>
        <v>33</v>
      </c>
      <c r="U24" s="53">
        <v>398</v>
      </c>
      <c r="V24" s="129">
        <f t="shared" si="2"/>
        <v>3283.5</v>
      </c>
      <c r="W24" s="53">
        <v>12</v>
      </c>
      <c r="X24" s="127" t="s">
        <v>46</v>
      </c>
      <c r="Y24" s="53" t="s">
        <v>97</v>
      </c>
      <c r="Z24" s="53" t="s">
        <v>78</v>
      </c>
      <c r="AA24" s="53" t="s">
        <v>55</v>
      </c>
      <c r="AB24" s="127" t="s">
        <v>258</v>
      </c>
      <c r="AC24" s="34"/>
      <c r="AE24" s="22"/>
      <c r="AP24" s="27" t="s">
        <v>138</v>
      </c>
      <c r="AR24" s="23" t="s">
        <v>91</v>
      </c>
    </row>
    <row r="25" spans="1:48" x14ac:dyDescent="0.15">
      <c r="A25" s="127" t="s">
        <v>61</v>
      </c>
      <c r="B25" s="127" t="s">
        <v>232</v>
      </c>
      <c r="C25" s="127">
        <v>2019</v>
      </c>
      <c r="D25" s="128" t="s">
        <v>233</v>
      </c>
      <c r="E25" s="127" t="s">
        <v>288</v>
      </c>
      <c r="F25" s="127" t="s">
        <v>289</v>
      </c>
      <c r="G25" s="127" t="s">
        <v>42</v>
      </c>
      <c r="H25" s="53" t="s">
        <v>160</v>
      </c>
      <c r="I25" s="53" t="s">
        <v>159</v>
      </c>
      <c r="J25" s="127" t="s">
        <v>38</v>
      </c>
      <c r="K25" s="53" t="s">
        <v>161</v>
      </c>
      <c r="L25" s="53">
        <v>3</v>
      </c>
      <c r="N25" s="53">
        <v>4</v>
      </c>
      <c r="O25" s="34">
        <v>0.7</v>
      </c>
      <c r="P25" s="53">
        <v>1.25</v>
      </c>
      <c r="Q25" s="75">
        <f t="shared" si="0"/>
        <v>0.97499999999999998</v>
      </c>
      <c r="R25" s="53">
        <v>19</v>
      </c>
      <c r="S25" s="53">
        <v>104</v>
      </c>
      <c r="T25" s="16">
        <f t="shared" si="1"/>
        <v>33</v>
      </c>
      <c r="U25" s="53">
        <v>398</v>
      </c>
      <c r="V25" s="129">
        <f t="shared" si="2"/>
        <v>3283.5</v>
      </c>
      <c r="W25" s="53">
        <v>12</v>
      </c>
      <c r="X25" s="127" t="s">
        <v>46</v>
      </c>
      <c r="Y25" s="53" t="s">
        <v>97</v>
      </c>
      <c r="Z25" s="53" t="s">
        <v>78</v>
      </c>
      <c r="AA25" s="53" t="s">
        <v>55</v>
      </c>
      <c r="AB25" s="127" t="s">
        <v>258</v>
      </c>
      <c r="AC25" s="34"/>
      <c r="AE25" s="35"/>
      <c r="AP25" s="27" t="s">
        <v>116</v>
      </c>
      <c r="AR25" s="27" t="s">
        <v>92</v>
      </c>
    </row>
    <row r="26" spans="1:48" x14ac:dyDescent="0.15">
      <c r="A26" s="127" t="s">
        <v>61</v>
      </c>
      <c r="B26" s="127" t="s">
        <v>232</v>
      </c>
      <c r="C26" s="127">
        <v>2019</v>
      </c>
      <c r="D26" s="128" t="s">
        <v>233</v>
      </c>
      <c r="E26" s="127" t="s">
        <v>290</v>
      </c>
      <c r="F26" s="127" t="s">
        <v>291</v>
      </c>
      <c r="G26" s="127" t="s">
        <v>42</v>
      </c>
      <c r="H26" s="53" t="s">
        <v>164</v>
      </c>
      <c r="I26" s="53" t="s">
        <v>159</v>
      </c>
      <c r="J26" s="127" t="s">
        <v>38</v>
      </c>
      <c r="K26" s="53" t="s">
        <v>161</v>
      </c>
      <c r="L26" s="53">
        <v>1</v>
      </c>
      <c r="N26" s="53">
        <v>1</v>
      </c>
      <c r="O26" s="34">
        <v>1.2</v>
      </c>
      <c r="P26" s="53">
        <v>0.8</v>
      </c>
      <c r="Q26" s="75">
        <f t="shared" si="0"/>
        <v>1</v>
      </c>
      <c r="R26" s="53">
        <v>19</v>
      </c>
      <c r="S26" s="53">
        <v>127</v>
      </c>
      <c r="T26" s="16">
        <f t="shared" si="1"/>
        <v>27</v>
      </c>
      <c r="U26" s="53">
        <v>108</v>
      </c>
      <c r="V26" s="129">
        <f t="shared" si="2"/>
        <v>2916</v>
      </c>
      <c r="W26" s="53">
        <v>10</v>
      </c>
      <c r="X26" s="127" t="s">
        <v>46</v>
      </c>
      <c r="Y26" s="53" t="s">
        <v>69</v>
      </c>
      <c r="Z26" s="53" t="s">
        <v>55</v>
      </c>
      <c r="AA26" s="53" t="s">
        <v>97</v>
      </c>
      <c r="AB26" s="127" t="s">
        <v>258</v>
      </c>
      <c r="AC26" s="34"/>
      <c r="AD26" s="34"/>
      <c r="AE26" s="35"/>
      <c r="AP26" s="27" t="s">
        <v>117</v>
      </c>
      <c r="AR26" s="23" t="s">
        <v>153</v>
      </c>
    </row>
    <row r="27" spans="1:48" x14ac:dyDescent="0.15">
      <c r="A27" s="127" t="s">
        <v>61</v>
      </c>
      <c r="B27" s="127" t="s">
        <v>232</v>
      </c>
      <c r="C27" s="127">
        <v>2019</v>
      </c>
      <c r="D27" s="128" t="s">
        <v>233</v>
      </c>
      <c r="E27" s="127" t="s">
        <v>290</v>
      </c>
      <c r="F27" s="127" t="s">
        <v>291</v>
      </c>
      <c r="G27" s="127" t="s">
        <v>42</v>
      </c>
      <c r="H27" s="53" t="s">
        <v>164</v>
      </c>
      <c r="I27" s="53" t="s">
        <v>159</v>
      </c>
      <c r="J27" s="127" t="s">
        <v>38</v>
      </c>
      <c r="K27" s="53" t="s">
        <v>161</v>
      </c>
      <c r="L27" s="53">
        <v>2</v>
      </c>
      <c r="N27" s="53">
        <v>1</v>
      </c>
      <c r="O27" s="34">
        <v>0.75</v>
      </c>
      <c r="P27" s="53">
        <v>0.85</v>
      </c>
      <c r="Q27" s="75">
        <f t="shared" si="0"/>
        <v>0.8</v>
      </c>
      <c r="R27" s="53">
        <v>17.5</v>
      </c>
      <c r="S27" s="53">
        <v>111</v>
      </c>
      <c r="T27" s="16">
        <f t="shared" si="1"/>
        <v>33</v>
      </c>
      <c r="U27" s="53">
        <v>108</v>
      </c>
      <c r="V27" s="129">
        <f t="shared" si="2"/>
        <v>3564</v>
      </c>
      <c r="W27" s="53">
        <v>10</v>
      </c>
      <c r="X27" s="127" t="s">
        <v>46</v>
      </c>
      <c r="Y27" s="53" t="s">
        <v>69</v>
      </c>
      <c r="Z27" s="53" t="s">
        <v>55</v>
      </c>
      <c r="AA27" s="53" t="s">
        <v>97</v>
      </c>
      <c r="AB27" s="127" t="s">
        <v>258</v>
      </c>
      <c r="AC27" s="34"/>
      <c r="AD27" s="34"/>
      <c r="AE27" s="28"/>
      <c r="AP27" s="27" t="s">
        <v>118</v>
      </c>
      <c r="AR27" s="23"/>
    </row>
    <row r="28" spans="1:48" x14ac:dyDescent="0.15">
      <c r="A28" s="127" t="s">
        <v>61</v>
      </c>
      <c r="B28" s="127" t="s">
        <v>232</v>
      </c>
      <c r="C28" s="127">
        <v>2019</v>
      </c>
      <c r="D28" s="128" t="s">
        <v>233</v>
      </c>
      <c r="E28" s="127" t="s">
        <v>290</v>
      </c>
      <c r="F28" s="127" t="s">
        <v>291</v>
      </c>
      <c r="G28" s="127" t="s">
        <v>42</v>
      </c>
      <c r="H28" s="53" t="s">
        <v>164</v>
      </c>
      <c r="I28" s="53" t="s">
        <v>159</v>
      </c>
      <c r="J28" s="127" t="s">
        <v>38</v>
      </c>
      <c r="K28" s="53" t="s">
        <v>161</v>
      </c>
      <c r="L28" s="53">
        <v>3</v>
      </c>
      <c r="N28" s="53">
        <v>1</v>
      </c>
      <c r="O28" s="34">
        <v>0.85</v>
      </c>
      <c r="P28" s="53">
        <v>0.5</v>
      </c>
      <c r="Q28" s="75">
        <f t="shared" si="0"/>
        <v>0.67500000000000004</v>
      </c>
      <c r="R28" s="53">
        <v>17.899999999999999</v>
      </c>
      <c r="S28" s="53">
        <v>120</v>
      </c>
      <c r="T28" s="16">
        <f t="shared" si="1"/>
        <v>30</v>
      </c>
      <c r="U28" s="53">
        <v>108</v>
      </c>
      <c r="V28" s="129">
        <f t="shared" si="2"/>
        <v>3240</v>
      </c>
      <c r="W28" s="53">
        <v>10</v>
      </c>
      <c r="X28" s="127" t="s">
        <v>46</v>
      </c>
      <c r="Y28" s="53" t="s">
        <v>69</v>
      </c>
      <c r="Z28" s="53" t="s">
        <v>55</v>
      </c>
      <c r="AA28" s="53" t="s">
        <v>97</v>
      </c>
      <c r="AB28" s="127" t="s">
        <v>258</v>
      </c>
      <c r="AC28" s="34"/>
      <c r="AD28" s="34"/>
      <c r="AP28" s="27"/>
      <c r="AR28" s="23"/>
    </row>
    <row r="29" spans="1:48" x14ac:dyDescent="0.15">
      <c r="A29" s="127" t="s">
        <v>61</v>
      </c>
      <c r="B29" s="127" t="s">
        <v>232</v>
      </c>
      <c r="C29" s="127">
        <v>2019</v>
      </c>
      <c r="D29" s="128" t="s">
        <v>233</v>
      </c>
      <c r="E29" s="127" t="s">
        <v>290</v>
      </c>
      <c r="F29" s="127" t="s">
        <v>291</v>
      </c>
      <c r="G29" s="127" t="s">
        <v>42</v>
      </c>
      <c r="H29" s="53" t="s">
        <v>194</v>
      </c>
      <c r="I29" s="53" t="s">
        <v>159</v>
      </c>
      <c r="J29" s="127" t="s">
        <v>38</v>
      </c>
      <c r="K29" s="53" t="s">
        <v>161</v>
      </c>
      <c r="L29" s="53">
        <v>1</v>
      </c>
      <c r="N29" s="53">
        <v>5</v>
      </c>
      <c r="O29" s="34">
        <v>0.5</v>
      </c>
      <c r="P29" s="53">
        <v>0.5</v>
      </c>
      <c r="Q29" s="75">
        <f t="shared" si="0"/>
        <v>0.5</v>
      </c>
      <c r="R29" s="53">
        <v>19</v>
      </c>
      <c r="S29" s="53">
        <v>102</v>
      </c>
      <c r="T29" s="16">
        <f t="shared" si="1"/>
        <v>33</v>
      </c>
      <c r="U29" s="53">
        <v>429</v>
      </c>
      <c r="V29" s="129">
        <f t="shared" si="2"/>
        <v>2831.4</v>
      </c>
      <c r="W29" s="53">
        <v>10</v>
      </c>
      <c r="X29" s="127" t="s">
        <v>46</v>
      </c>
      <c r="Y29" s="53" t="s">
        <v>69</v>
      </c>
      <c r="Z29" s="53" t="s">
        <v>55</v>
      </c>
      <c r="AA29" s="53" t="s">
        <v>97</v>
      </c>
      <c r="AB29" s="127" t="s">
        <v>258</v>
      </c>
      <c r="AC29" s="34"/>
      <c r="AD29" s="34"/>
      <c r="AE29" s="35"/>
      <c r="AP29" s="27" t="s">
        <v>117</v>
      </c>
      <c r="AR29" s="23" t="s">
        <v>153</v>
      </c>
    </row>
    <row r="30" spans="1:48" x14ac:dyDescent="0.15">
      <c r="A30" s="127" t="s">
        <v>61</v>
      </c>
      <c r="B30" s="127" t="s">
        <v>232</v>
      </c>
      <c r="C30" s="127">
        <v>2019</v>
      </c>
      <c r="D30" s="128" t="s">
        <v>233</v>
      </c>
      <c r="E30" s="127" t="s">
        <v>290</v>
      </c>
      <c r="F30" s="127" t="s">
        <v>291</v>
      </c>
      <c r="G30" s="127" t="s">
        <v>42</v>
      </c>
      <c r="H30" s="53" t="s">
        <v>194</v>
      </c>
      <c r="I30" s="53" t="s">
        <v>159</v>
      </c>
      <c r="J30" s="127" t="s">
        <v>38</v>
      </c>
      <c r="K30" s="53" t="s">
        <v>161</v>
      </c>
      <c r="L30" s="53">
        <v>2</v>
      </c>
      <c r="N30" s="53">
        <v>5</v>
      </c>
      <c r="O30" s="34">
        <v>0.5</v>
      </c>
      <c r="P30" s="53">
        <v>0.5</v>
      </c>
      <c r="Q30" s="75">
        <f t="shared" si="0"/>
        <v>0.5</v>
      </c>
      <c r="R30" s="53">
        <v>18.899999999999999</v>
      </c>
      <c r="S30" s="53">
        <v>92</v>
      </c>
      <c r="T30" s="16">
        <f t="shared" si="1"/>
        <v>36</v>
      </c>
      <c r="U30" s="53">
        <v>429</v>
      </c>
      <c r="V30" s="129">
        <f t="shared" si="2"/>
        <v>3088.7999999999997</v>
      </c>
      <c r="W30" s="53">
        <v>10</v>
      </c>
      <c r="X30" s="127" t="s">
        <v>46</v>
      </c>
      <c r="Y30" s="53" t="s">
        <v>69</v>
      </c>
      <c r="Z30" s="53" t="s">
        <v>55</v>
      </c>
      <c r="AA30" s="53" t="s">
        <v>97</v>
      </c>
      <c r="AB30" s="127" t="s">
        <v>258</v>
      </c>
      <c r="AC30" s="34"/>
      <c r="AD30" s="34"/>
      <c r="AE30" s="28"/>
      <c r="AP30" s="27" t="s">
        <v>118</v>
      </c>
      <c r="AR30" s="23"/>
    </row>
    <row r="31" spans="1:48" x14ac:dyDescent="0.15">
      <c r="A31" s="127" t="s">
        <v>61</v>
      </c>
      <c r="B31" s="127" t="s">
        <v>232</v>
      </c>
      <c r="C31" s="127">
        <v>2019</v>
      </c>
      <c r="D31" s="128" t="s">
        <v>233</v>
      </c>
      <c r="E31" s="127" t="s">
        <v>290</v>
      </c>
      <c r="F31" s="127" t="s">
        <v>291</v>
      </c>
      <c r="G31" s="127" t="s">
        <v>42</v>
      </c>
      <c r="H31" s="53" t="s">
        <v>194</v>
      </c>
      <c r="I31" s="53" t="s">
        <v>159</v>
      </c>
      <c r="J31" s="127" t="s">
        <v>38</v>
      </c>
      <c r="K31" s="53" t="s">
        <v>161</v>
      </c>
      <c r="L31" s="53">
        <v>3</v>
      </c>
      <c r="N31" s="53">
        <v>5</v>
      </c>
      <c r="O31" s="34">
        <v>0.5</v>
      </c>
      <c r="P31" s="53">
        <v>0.5</v>
      </c>
      <c r="Q31" s="75">
        <f t="shared" si="0"/>
        <v>0.5</v>
      </c>
      <c r="R31" s="53">
        <v>19</v>
      </c>
      <c r="S31" s="53">
        <v>105</v>
      </c>
      <c r="T31" s="16">
        <f t="shared" si="1"/>
        <v>33</v>
      </c>
      <c r="U31" s="53">
        <v>429</v>
      </c>
      <c r="V31" s="129">
        <f t="shared" si="2"/>
        <v>2831.4</v>
      </c>
      <c r="W31" s="53">
        <v>10</v>
      </c>
      <c r="X31" s="127" t="s">
        <v>46</v>
      </c>
      <c r="Y31" s="53" t="s">
        <v>69</v>
      </c>
      <c r="Z31" s="53" t="s">
        <v>55</v>
      </c>
      <c r="AA31" s="53" t="s">
        <v>97</v>
      </c>
      <c r="AB31" s="127" t="s">
        <v>258</v>
      </c>
      <c r="AC31" s="34"/>
      <c r="AD31" s="34"/>
      <c r="AP31" s="27"/>
      <c r="AR31" s="23"/>
    </row>
    <row r="32" spans="1:48" x14ac:dyDescent="0.15">
      <c r="A32" s="127" t="s">
        <v>61</v>
      </c>
      <c r="B32" s="127" t="s">
        <v>232</v>
      </c>
      <c r="C32" s="127">
        <v>2019</v>
      </c>
      <c r="D32" s="128" t="s">
        <v>233</v>
      </c>
      <c r="E32" s="127" t="s">
        <v>290</v>
      </c>
      <c r="F32" s="127" t="s">
        <v>291</v>
      </c>
      <c r="G32" s="127" t="s">
        <v>42</v>
      </c>
      <c r="H32" s="53" t="s">
        <v>160</v>
      </c>
      <c r="I32" s="53" t="s">
        <v>159</v>
      </c>
      <c r="J32" s="127" t="s">
        <v>38</v>
      </c>
      <c r="K32" s="53" t="s">
        <v>161</v>
      </c>
      <c r="L32" s="53">
        <v>1</v>
      </c>
      <c r="N32" s="53">
        <v>1</v>
      </c>
      <c r="O32" s="34">
        <v>1.3</v>
      </c>
      <c r="P32" s="53">
        <v>1.65</v>
      </c>
      <c r="Q32" s="75">
        <f t="shared" si="0"/>
        <v>1.4750000000000001</v>
      </c>
      <c r="R32" s="53">
        <v>18.5</v>
      </c>
      <c r="S32" s="53">
        <v>150</v>
      </c>
      <c r="T32" s="16">
        <f t="shared" si="1"/>
        <v>22</v>
      </c>
      <c r="U32" s="53">
        <v>138</v>
      </c>
      <c r="V32" s="129">
        <f t="shared" si="2"/>
        <v>3036</v>
      </c>
      <c r="W32" s="53">
        <v>10</v>
      </c>
      <c r="X32" s="127" t="s">
        <v>46</v>
      </c>
      <c r="Y32" s="53" t="s">
        <v>69</v>
      </c>
      <c r="Z32" s="53" t="s">
        <v>55</v>
      </c>
      <c r="AA32" s="53" t="s">
        <v>97</v>
      </c>
      <c r="AB32" s="127" t="s">
        <v>258</v>
      </c>
      <c r="AC32" s="34"/>
    </row>
    <row r="33" spans="1:29" x14ac:dyDescent="0.15">
      <c r="A33" s="127" t="s">
        <v>61</v>
      </c>
      <c r="B33" s="127" t="s">
        <v>232</v>
      </c>
      <c r="C33" s="127">
        <v>2019</v>
      </c>
      <c r="D33" s="128" t="s">
        <v>233</v>
      </c>
      <c r="E33" s="127" t="s">
        <v>290</v>
      </c>
      <c r="F33" s="127" t="s">
        <v>291</v>
      </c>
      <c r="G33" s="127" t="s">
        <v>42</v>
      </c>
      <c r="H33" s="53" t="s">
        <v>160</v>
      </c>
      <c r="I33" s="53" t="s">
        <v>159</v>
      </c>
      <c r="J33" s="127" t="s">
        <v>38</v>
      </c>
      <c r="K33" s="53" t="s">
        <v>161</v>
      </c>
      <c r="L33" s="53">
        <v>2</v>
      </c>
      <c r="N33" s="53">
        <v>1</v>
      </c>
      <c r="O33" s="34">
        <v>0.8</v>
      </c>
      <c r="P33" s="53">
        <v>0.85</v>
      </c>
      <c r="Q33" s="75">
        <f t="shared" si="0"/>
        <v>0.82499999999999996</v>
      </c>
      <c r="R33" s="53">
        <v>18.399999999999999</v>
      </c>
      <c r="S33" s="53">
        <v>140</v>
      </c>
      <c r="T33" s="16">
        <f t="shared" si="1"/>
        <v>22</v>
      </c>
      <c r="U33" s="53">
        <v>138</v>
      </c>
      <c r="V33" s="129">
        <f t="shared" si="2"/>
        <v>3036</v>
      </c>
      <c r="W33" s="53">
        <v>10</v>
      </c>
      <c r="X33" s="127" t="s">
        <v>46</v>
      </c>
      <c r="Y33" s="53" t="s">
        <v>69</v>
      </c>
      <c r="Z33" s="53" t="s">
        <v>55</v>
      </c>
      <c r="AA33" s="53" t="s">
        <v>97</v>
      </c>
      <c r="AB33" s="127" t="s">
        <v>258</v>
      </c>
      <c r="AC33" s="34"/>
    </row>
    <row r="34" spans="1:29" x14ac:dyDescent="0.15">
      <c r="A34" s="127" t="s">
        <v>61</v>
      </c>
      <c r="B34" s="127" t="s">
        <v>232</v>
      </c>
      <c r="C34" s="127">
        <v>2019</v>
      </c>
      <c r="D34" s="128" t="s">
        <v>233</v>
      </c>
      <c r="E34" s="127" t="s">
        <v>290</v>
      </c>
      <c r="F34" s="127" t="s">
        <v>291</v>
      </c>
      <c r="G34" s="127" t="s">
        <v>42</v>
      </c>
      <c r="H34" s="53" t="s">
        <v>160</v>
      </c>
      <c r="I34" s="53" t="s">
        <v>159</v>
      </c>
      <c r="J34" s="127" t="s">
        <v>38</v>
      </c>
      <c r="K34" s="53" t="s">
        <v>161</v>
      </c>
      <c r="L34" s="53">
        <v>3</v>
      </c>
      <c r="N34" s="53">
        <v>1</v>
      </c>
      <c r="O34" s="34">
        <v>1.1000000000000001</v>
      </c>
      <c r="P34" s="53">
        <v>1.1000000000000001</v>
      </c>
      <c r="Q34" s="75">
        <f t="shared" si="0"/>
        <v>1.1000000000000001</v>
      </c>
      <c r="R34" s="53">
        <v>17.2</v>
      </c>
      <c r="S34" s="53">
        <v>138</v>
      </c>
      <c r="T34" s="16">
        <f t="shared" si="1"/>
        <v>22</v>
      </c>
      <c r="U34" s="53">
        <v>138</v>
      </c>
      <c r="V34" s="129">
        <f t="shared" si="2"/>
        <v>3036</v>
      </c>
      <c r="W34" s="53">
        <v>10</v>
      </c>
      <c r="X34" s="127" t="s">
        <v>46</v>
      </c>
      <c r="Y34" s="53" t="s">
        <v>69</v>
      </c>
      <c r="Z34" s="53" t="s">
        <v>55</v>
      </c>
      <c r="AA34" s="53" t="s">
        <v>97</v>
      </c>
      <c r="AB34" s="127" t="s">
        <v>258</v>
      </c>
      <c r="AC34" s="34"/>
    </row>
    <row r="35" spans="1:29" x14ac:dyDescent="0.15">
      <c r="A35" s="127" t="s">
        <v>61</v>
      </c>
      <c r="B35" s="127" t="s">
        <v>232</v>
      </c>
      <c r="C35" s="127">
        <v>2019</v>
      </c>
      <c r="D35" s="128" t="s">
        <v>233</v>
      </c>
      <c r="E35" s="127" t="s">
        <v>290</v>
      </c>
      <c r="F35" s="127" t="s">
        <v>291</v>
      </c>
      <c r="G35" s="127" t="s">
        <v>42</v>
      </c>
      <c r="H35" s="53" t="s">
        <v>160</v>
      </c>
      <c r="I35" s="53" t="s">
        <v>165</v>
      </c>
      <c r="J35" s="127" t="s">
        <v>38</v>
      </c>
      <c r="K35" s="53" t="s">
        <v>161</v>
      </c>
      <c r="L35" s="53">
        <v>1</v>
      </c>
      <c r="N35" s="53">
        <v>1</v>
      </c>
      <c r="O35" s="34">
        <v>0.5</v>
      </c>
      <c r="P35" s="53">
        <v>0.5</v>
      </c>
      <c r="Q35" s="75">
        <f t="shared" si="0"/>
        <v>0.5</v>
      </c>
      <c r="R35" s="53">
        <v>17</v>
      </c>
      <c r="S35" s="53">
        <v>123</v>
      </c>
      <c r="T35" s="16">
        <f t="shared" si="1"/>
        <v>27</v>
      </c>
      <c r="U35" s="53">
        <v>138</v>
      </c>
      <c r="V35" s="129">
        <f t="shared" si="2"/>
        <v>3726</v>
      </c>
      <c r="W35" s="53">
        <v>10</v>
      </c>
      <c r="X35" s="127" t="s">
        <v>46</v>
      </c>
      <c r="Y35" s="53" t="s">
        <v>69</v>
      </c>
      <c r="Z35" s="53" t="s">
        <v>55</v>
      </c>
      <c r="AA35" s="53" t="s">
        <v>97</v>
      </c>
      <c r="AB35" s="127" t="s">
        <v>258</v>
      </c>
      <c r="AC35" s="34"/>
    </row>
    <row r="36" spans="1:29" x14ac:dyDescent="0.15">
      <c r="A36" s="127" t="s">
        <v>61</v>
      </c>
      <c r="B36" s="127" t="s">
        <v>232</v>
      </c>
      <c r="C36" s="127">
        <v>2019</v>
      </c>
      <c r="D36" s="128" t="s">
        <v>233</v>
      </c>
      <c r="E36" s="127" t="s">
        <v>290</v>
      </c>
      <c r="F36" s="127" t="s">
        <v>291</v>
      </c>
      <c r="G36" s="127" t="s">
        <v>42</v>
      </c>
      <c r="H36" s="53" t="s">
        <v>160</v>
      </c>
      <c r="I36" s="53" t="s">
        <v>165</v>
      </c>
      <c r="J36" s="127" t="s">
        <v>38</v>
      </c>
      <c r="K36" s="53" t="s">
        <v>161</v>
      </c>
      <c r="L36" s="53">
        <v>2</v>
      </c>
      <c r="N36" s="53">
        <v>1</v>
      </c>
      <c r="O36" s="34">
        <v>0.5</v>
      </c>
      <c r="P36" s="53">
        <v>0.5</v>
      </c>
      <c r="Q36" s="75">
        <f t="shared" si="0"/>
        <v>0.5</v>
      </c>
      <c r="R36" s="53">
        <v>17</v>
      </c>
      <c r="S36" s="53">
        <v>119</v>
      </c>
      <c r="T36" s="16">
        <f t="shared" si="1"/>
        <v>30</v>
      </c>
      <c r="U36" s="53">
        <v>138</v>
      </c>
      <c r="V36" s="129">
        <f t="shared" si="2"/>
        <v>4140</v>
      </c>
      <c r="W36" s="53">
        <v>10</v>
      </c>
      <c r="X36" s="127" t="s">
        <v>46</v>
      </c>
      <c r="Y36" s="53" t="s">
        <v>69</v>
      </c>
      <c r="Z36" s="53" t="s">
        <v>55</v>
      </c>
      <c r="AA36" s="53" t="s">
        <v>97</v>
      </c>
      <c r="AB36" s="127" t="s">
        <v>258</v>
      </c>
      <c r="AC36" s="34"/>
    </row>
    <row r="37" spans="1:29" x14ac:dyDescent="0.15">
      <c r="A37" s="127" t="s">
        <v>61</v>
      </c>
      <c r="B37" s="127" t="s">
        <v>232</v>
      </c>
      <c r="C37" s="127">
        <v>2019</v>
      </c>
      <c r="D37" s="128" t="s">
        <v>233</v>
      </c>
      <c r="E37" s="127" t="s">
        <v>290</v>
      </c>
      <c r="F37" s="127" t="s">
        <v>291</v>
      </c>
      <c r="G37" s="127" t="s">
        <v>42</v>
      </c>
      <c r="H37" s="53" t="s">
        <v>160</v>
      </c>
      <c r="I37" s="53" t="s">
        <v>165</v>
      </c>
      <c r="J37" s="127" t="s">
        <v>38</v>
      </c>
      <c r="K37" s="53" t="s">
        <v>161</v>
      </c>
      <c r="L37" s="53">
        <v>3</v>
      </c>
      <c r="N37" s="53">
        <v>1</v>
      </c>
      <c r="O37" s="34">
        <v>0.5</v>
      </c>
      <c r="P37" s="53">
        <v>0.5</v>
      </c>
      <c r="Q37" s="75">
        <f t="shared" si="0"/>
        <v>0.5</v>
      </c>
      <c r="R37" s="53">
        <v>17.3</v>
      </c>
      <c r="S37" s="53">
        <v>114</v>
      </c>
      <c r="T37" s="16">
        <f t="shared" si="1"/>
        <v>30</v>
      </c>
      <c r="U37" s="53">
        <v>138</v>
      </c>
      <c r="V37" s="129">
        <f t="shared" si="2"/>
        <v>4140</v>
      </c>
      <c r="W37" s="53">
        <v>10</v>
      </c>
      <c r="X37" s="127" t="s">
        <v>46</v>
      </c>
      <c r="Y37" s="53" t="s">
        <v>69</v>
      </c>
      <c r="Z37" s="53" t="s">
        <v>55</v>
      </c>
      <c r="AA37" s="53" t="s">
        <v>97</v>
      </c>
      <c r="AB37" s="127" t="s">
        <v>258</v>
      </c>
      <c r="AC37" s="34"/>
    </row>
    <row r="38" spans="1:29" x14ac:dyDescent="0.15">
      <c r="A38" s="127" t="s">
        <v>61</v>
      </c>
      <c r="B38" s="127" t="s">
        <v>232</v>
      </c>
      <c r="C38" s="127">
        <v>2019</v>
      </c>
      <c r="D38" s="128" t="s">
        <v>233</v>
      </c>
      <c r="E38" s="127" t="s">
        <v>292</v>
      </c>
      <c r="F38" s="127" t="s">
        <v>293</v>
      </c>
      <c r="G38" s="127" t="s">
        <v>42</v>
      </c>
      <c r="H38" s="53" t="s">
        <v>164</v>
      </c>
      <c r="I38" s="53" t="s">
        <v>159</v>
      </c>
      <c r="J38" s="127" t="s">
        <v>38</v>
      </c>
      <c r="K38" s="53" t="s">
        <v>161</v>
      </c>
      <c r="L38" s="53">
        <v>1</v>
      </c>
      <c r="N38" s="53">
        <v>1</v>
      </c>
      <c r="O38" s="34">
        <v>0.5</v>
      </c>
      <c r="P38" s="53">
        <v>0.5</v>
      </c>
      <c r="Q38" s="75">
        <f t="shared" si="0"/>
        <v>0.5</v>
      </c>
      <c r="R38" s="53">
        <v>17.899999999999999</v>
      </c>
      <c r="S38" s="53">
        <v>108</v>
      </c>
      <c r="T38" s="16">
        <f t="shared" si="1"/>
        <v>33</v>
      </c>
      <c r="U38" s="53">
        <v>98</v>
      </c>
      <c r="V38" s="129">
        <f t="shared" si="2"/>
        <v>3234</v>
      </c>
      <c r="W38" s="53">
        <v>12</v>
      </c>
      <c r="X38" s="127" t="s">
        <v>46</v>
      </c>
      <c r="Y38" s="53" t="s">
        <v>47</v>
      </c>
      <c r="Z38" s="53" t="s">
        <v>55</v>
      </c>
      <c r="AA38" s="53" t="s">
        <v>69</v>
      </c>
      <c r="AB38" s="127" t="s">
        <v>258</v>
      </c>
      <c r="AC38" s="34"/>
    </row>
    <row r="39" spans="1:29" x14ac:dyDescent="0.15">
      <c r="A39" s="127" t="s">
        <v>61</v>
      </c>
      <c r="B39" s="127" t="s">
        <v>232</v>
      </c>
      <c r="C39" s="127">
        <v>2019</v>
      </c>
      <c r="D39" s="128" t="s">
        <v>233</v>
      </c>
      <c r="E39" s="127" t="s">
        <v>292</v>
      </c>
      <c r="F39" s="127" t="s">
        <v>293</v>
      </c>
      <c r="G39" s="127" t="s">
        <v>42</v>
      </c>
      <c r="H39" s="53" t="s">
        <v>164</v>
      </c>
      <c r="I39" s="53" t="s">
        <v>159</v>
      </c>
      <c r="J39" s="127" t="s">
        <v>38</v>
      </c>
      <c r="K39" s="53" t="s">
        <v>161</v>
      </c>
      <c r="L39" s="53">
        <v>2</v>
      </c>
      <c r="N39" s="53">
        <v>1</v>
      </c>
      <c r="O39" s="34">
        <v>0.5</v>
      </c>
      <c r="P39" s="53">
        <v>0.5</v>
      </c>
      <c r="Q39" s="75">
        <f t="shared" si="0"/>
        <v>0.5</v>
      </c>
      <c r="R39" s="53">
        <v>18.600000000000001</v>
      </c>
      <c r="S39" s="53">
        <v>113</v>
      </c>
      <c r="T39" s="16">
        <f t="shared" si="1"/>
        <v>30</v>
      </c>
      <c r="U39" s="53">
        <v>98</v>
      </c>
      <c r="V39" s="129">
        <f t="shared" si="2"/>
        <v>2940</v>
      </c>
      <c r="W39" s="53">
        <v>12</v>
      </c>
      <c r="X39" s="127" t="s">
        <v>46</v>
      </c>
      <c r="Y39" s="53" t="s">
        <v>47</v>
      </c>
      <c r="Z39" s="53" t="s">
        <v>55</v>
      </c>
      <c r="AA39" s="53" t="s">
        <v>69</v>
      </c>
      <c r="AB39" s="127" t="s">
        <v>258</v>
      </c>
      <c r="AC39" s="34"/>
    </row>
    <row r="40" spans="1:29" x14ac:dyDescent="0.15">
      <c r="A40" s="127" t="s">
        <v>61</v>
      </c>
      <c r="B40" s="127" t="s">
        <v>232</v>
      </c>
      <c r="C40" s="127">
        <v>2019</v>
      </c>
      <c r="D40" s="128" t="s">
        <v>233</v>
      </c>
      <c r="E40" s="127" t="s">
        <v>292</v>
      </c>
      <c r="F40" s="127" t="s">
        <v>293</v>
      </c>
      <c r="G40" s="127" t="s">
        <v>42</v>
      </c>
      <c r="H40" s="53" t="s">
        <v>164</v>
      </c>
      <c r="I40" s="53" t="s">
        <v>159</v>
      </c>
      <c r="J40" s="127" t="s">
        <v>38</v>
      </c>
      <c r="K40" s="53" t="s">
        <v>161</v>
      </c>
      <c r="L40" s="53">
        <v>3</v>
      </c>
      <c r="N40" s="53">
        <v>1</v>
      </c>
      <c r="O40" s="34">
        <v>0.5</v>
      </c>
      <c r="P40" s="53">
        <v>0.5</v>
      </c>
      <c r="Q40" s="75">
        <f t="shared" si="0"/>
        <v>0.5</v>
      </c>
      <c r="R40" s="53">
        <v>19.100000000000001</v>
      </c>
      <c r="S40" s="53">
        <v>112</v>
      </c>
      <c r="T40" s="16">
        <f t="shared" si="1"/>
        <v>33</v>
      </c>
      <c r="U40" s="53">
        <v>98</v>
      </c>
      <c r="V40" s="129">
        <f t="shared" si="2"/>
        <v>3234</v>
      </c>
      <c r="W40" s="53">
        <v>12</v>
      </c>
      <c r="X40" s="127" t="s">
        <v>46</v>
      </c>
      <c r="Y40" s="53" t="s">
        <v>47</v>
      </c>
      <c r="Z40" s="53" t="s">
        <v>55</v>
      </c>
      <c r="AA40" s="53" t="s">
        <v>69</v>
      </c>
      <c r="AB40" s="127" t="s">
        <v>258</v>
      </c>
      <c r="AC40" s="34"/>
    </row>
    <row r="41" spans="1:29" x14ac:dyDescent="0.15">
      <c r="A41" s="127" t="s">
        <v>61</v>
      </c>
      <c r="B41" s="127" t="s">
        <v>232</v>
      </c>
      <c r="C41" s="127">
        <v>2019</v>
      </c>
      <c r="D41" s="128" t="s">
        <v>233</v>
      </c>
      <c r="E41" s="127" t="s">
        <v>292</v>
      </c>
      <c r="F41" s="127" t="s">
        <v>293</v>
      </c>
      <c r="G41" s="127" t="s">
        <v>42</v>
      </c>
      <c r="H41" s="53" t="s">
        <v>160</v>
      </c>
      <c r="I41" s="53" t="s">
        <v>159</v>
      </c>
      <c r="J41" s="127" t="s">
        <v>38</v>
      </c>
      <c r="K41" s="53" t="s">
        <v>161</v>
      </c>
      <c r="L41" s="53">
        <v>1</v>
      </c>
      <c r="N41" s="53">
        <v>1</v>
      </c>
      <c r="O41" s="34">
        <v>0.5</v>
      </c>
      <c r="P41" s="53">
        <v>0.5</v>
      </c>
      <c r="Q41" s="75">
        <f t="shared" si="0"/>
        <v>0.5</v>
      </c>
      <c r="R41" s="53">
        <v>18.399999999999999</v>
      </c>
      <c r="S41" s="53">
        <v>139</v>
      </c>
      <c r="T41" s="16">
        <f t="shared" si="1"/>
        <v>22</v>
      </c>
      <c r="U41" s="53">
        <v>128</v>
      </c>
      <c r="V41" s="129">
        <f t="shared" si="2"/>
        <v>2816</v>
      </c>
      <c r="W41" s="53">
        <v>12</v>
      </c>
      <c r="X41" s="127" t="s">
        <v>46</v>
      </c>
      <c r="Y41" s="53" t="s">
        <v>47</v>
      </c>
      <c r="Z41" s="53" t="s">
        <v>55</v>
      </c>
      <c r="AA41" s="53" t="s">
        <v>69</v>
      </c>
      <c r="AB41" s="127" t="s">
        <v>258</v>
      </c>
      <c r="AC41" s="34"/>
    </row>
    <row r="42" spans="1:29" x14ac:dyDescent="0.15">
      <c r="A42" s="127" t="s">
        <v>61</v>
      </c>
      <c r="B42" s="127" t="s">
        <v>232</v>
      </c>
      <c r="C42" s="127">
        <v>2019</v>
      </c>
      <c r="D42" s="128" t="s">
        <v>233</v>
      </c>
      <c r="E42" s="127" t="s">
        <v>292</v>
      </c>
      <c r="F42" s="127" t="s">
        <v>293</v>
      </c>
      <c r="G42" s="127" t="s">
        <v>42</v>
      </c>
      <c r="H42" s="53" t="s">
        <v>160</v>
      </c>
      <c r="I42" s="53" t="s">
        <v>159</v>
      </c>
      <c r="J42" s="127" t="s">
        <v>38</v>
      </c>
      <c r="K42" s="53" t="s">
        <v>161</v>
      </c>
      <c r="L42" s="53">
        <v>2</v>
      </c>
      <c r="N42" s="53">
        <v>1</v>
      </c>
      <c r="O42" s="34">
        <v>0.6</v>
      </c>
      <c r="P42" s="53">
        <v>0.85</v>
      </c>
      <c r="Q42" s="75">
        <f t="shared" si="0"/>
        <v>0.72499999999999998</v>
      </c>
      <c r="R42" s="53">
        <v>19.2</v>
      </c>
      <c r="S42" s="53">
        <v>136</v>
      </c>
      <c r="T42" s="16">
        <f t="shared" si="1"/>
        <v>25</v>
      </c>
      <c r="U42" s="53">
        <v>128</v>
      </c>
      <c r="V42" s="129">
        <f t="shared" si="2"/>
        <v>3200</v>
      </c>
      <c r="W42" s="53">
        <v>12</v>
      </c>
      <c r="X42" s="127" t="s">
        <v>46</v>
      </c>
      <c r="Y42" s="53" t="s">
        <v>47</v>
      </c>
      <c r="Z42" s="53" t="s">
        <v>55</v>
      </c>
      <c r="AA42" s="53" t="s">
        <v>69</v>
      </c>
      <c r="AB42" s="127" t="s">
        <v>258</v>
      </c>
      <c r="AC42" s="34"/>
    </row>
    <row r="43" spans="1:29" x14ac:dyDescent="0.15">
      <c r="A43" s="127" t="s">
        <v>61</v>
      </c>
      <c r="B43" s="127" t="s">
        <v>232</v>
      </c>
      <c r="C43" s="127">
        <v>2019</v>
      </c>
      <c r="D43" s="128" t="s">
        <v>233</v>
      </c>
      <c r="E43" s="127" t="s">
        <v>292</v>
      </c>
      <c r="F43" s="127" t="s">
        <v>293</v>
      </c>
      <c r="G43" s="127" t="s">
        <v>42</v>
      </c>
      <c r="H43" s="53" t="s">
        <v>160</v>
      </c>
      <c r="I43" s="53" t="s">
        <v>159</v>
      </c>
      <c r="J43" s="127" t="s">
        <v>38</v>
      </c>
      <c r="K43" s="53" t="s">
        <v>161</v>
      </c>
      <c r="L43" s="53">
        <v>3</v>
      </c>
      <c r="N43" s="53">
        <v>1</v>
      </c>
      <c r="O43" s="53">
        <v>0.7</v>
      </c>
      <c r="P43" s="53">
        <v>0.8</v>
      </c>
      <c r="Q43" s="75">
        <f t="shared" si="0"/>
        <v>0.75</v>
      </c>
      <c r="R43" s="53">
        <v>18.399999999999999</v>
      </c>
      <c r="S43" s="53">
        <v>141</v>
      </c>
      <c r="T43" s="16">
        <f t="shared" si="1"/>
        <v>22</v>
      </c>
      <c r="U43" s="53">
        <v>128</v>
      </c>
      <c r="V43" s="129">
        <f t="shared" si="2"/>
        <v>2816</v>
      </c>
      <c r="W43" s="53">
        <v>12</v>
      </c>
      <c r="X43" s="127" t="s">
        <v>46</v>
      </c>
      <c r="Y43" s="53" t="s">
        <v>47</v>
      </c>
      <c r="Z43" s="53" t="s">
        <v>55</v>
      </c>
      <c r="AA43" s="53" t="s">
        <v>69</v>
      </c>
      <c r="AB43" s="127" t="s">
        <v>258</v>
      </c>
      <c r="AC43" s="34"/>
    </row>
    <row r="44" spans="1:29" x14ac:dyDescent="0.15">
      <c r="A44" s="127" t="s">
        <v>61</v>
      </c>
      <c r="B44" s="127" t="s">
        <v>232</v>
      </c>
      <c r="C44" s="127">
        <v>2019</v>
      </c>
      <c r="D44" s="128" t="s">
        <v>233</v>
      </c>
      <c r="E44" s="127" t="s">
        <v>294</v>
      </c>
      <c r="F44" s="127" t="s">
        <v>295</v>
      </c>
      <c r="G44" s="127" t="s">
        <v>42</v>
      </c>
      <c r="H44" s="53" t="s">
        <v>194</v>
      </c>
      <c r="I44" s="53" t="s">
        <v>159</v>
      </c>
      <c r="J44" s="127" t="s">
        <v>38</v>
      </c>
      <c r="K44" s="53" t="s">
        <v>161</v>
      </c>
      <c r="L44" s="53">
        <v>1</v>
      </c>
      <c r="N44" s="53">
        <v>4</v>
      </c>
      <c r="O44" s="34">
        <v>0.5</v>
      </c>
      <c r="P44" s="53">
        <v>0.5</v>
      </c>
      <c r="Q44" s="75">
        <f t="shared" si="0"/>
        <v>0.5</v>
      </c>
      <c r="R44" s="53">
        <v>19</v>
      </c>
      <c r="S44" s="53">
        <v>78</v>
      </c>
      <c r="T44" s="16">
        <f t="shared" si="1"/>
        <v>39</v>
      </c>
      <c r="U44" s="53">
        <v>321</v>
      </c>
      <c r="V44" s="129">
        <f t="shared" si="2"/>
        <v>3129.75</v>
      </c>
      <c r="W44" s="53">
        <v>14</v>
      </c>
      <c r="X44" s="127" t="s">
        <v>46</v>
      </c>
      <c r="Y44" s="53" t="s">
        <v>97</v>
      </c>
      <c r="Z44" s="53" t="s">
        <v>55</v>
      </c>
      <c r="AA44" s="53" t="s">
        <v>47</v>
      </c>
      <c r="AB44" s="127" t="s">
        <v>258</v>
      </c>
    </row>
    <row r="45" spans="1:29" x14ac:dyDescent="0.15">
      <c r="A45" s="127" t="s">
        <v>61</v>
      </c>
      <c r="B45" s="127" t="s">
        <v>232</v>
      </c>
      <c r="C45" s="127">
        <v>2020</v>
      </c>
      <c r="D45" s="128" t="s">
        <v>233</v>
      </c>
      <c r="E45" s="127" t="s">
        <v>294</v>
      </c>
      <c r="F45" s="127" t="s">
        <v>295</v>
      </c>
      <c r="G45" s="127" t="s">
        <v>42</v>
      </c>
      <c r="H45" s="53" t="s">
        <v>194</v>
      </c>
      <c r="I45" s="53" t="s">
        <v>159</v>
      </c>
      <c r="J45" s="127" t="s">
        <v>38</v>
      </c>
      <c r="K45" s="53" t="s">
        <v>161</v>
      </c>
      <c r="L45" s="53">
        <v>2</v>
      </c>
      <c r="N45" s="53">
        <v>4</v>
      </c>
      <c r="O45" s="34">
        <v>0.5</v>
      </c>
      <c r="P45" s="53">
        <v>0.5</v>
      </c>
      <c r="Q45" s="75">
        <f t="shared" si="0"/>
        <v>0.5</v>
      </c>
      <c r="R45" s="53">
        <v>18.7</v>
      </c>
      <c r="S45" s="53">
        <v>78</v>
      </c>
      <c r="T45" s="16">
        <f t="shared" si="1"/>
        <v>39</v>
      </c>
      <c r="U45" s="53">
        <v>321</v>
      </c>
      <c r="V45" s="129">
        <f t="shared" si="2"/>
        <v>3129.75</v>
      </c>
      <c r="W45" s="53">
        <v>14</v>
      </c>
      <c r="X45" s="127" t="s">
        <v>46</v>
      </c>
      <c r="Y45" s="53" t="s">
        <v>97</v>
      </c>
      <c r="Z45" s="53" t="s">
        <v>55</v>
      </c>
      <c r="AA45" s="53" t="s">
        <v>47</v>
      </c>
      <c r="AB45" s="127" t="s">
        <v>258</v>
      </c>
    </row>
    <row r="46" spans="1:29" x14ac:dyDescent="0.15">
      <c r="A46" s="127" t="s">
        <v>61</v>
      </c>
      <c r="B46" s="127" t="s">
        <v>232</v>
      </c>
      <c r="C46" s="127">
        <v>2021</v>
      </c>
      <c r="D46" s="128" t="s">
        <v>233</v>
      </c>
      <c r="E46" s="127" t="s">
        <v>294</v>
      </c>
      <c r="F46" s="127" t="s">
        <v>295</v>
      </c>
      <c r="G46" s="127" t="s">
        <v>42</v>
      </c>
      <c r="H46" s="53" t="s">
        <v>194</v>
      </c>
      <c r="I46" s="53" t="s">
        <v>159</v>
      </c>
      <c r="J46" s="127" t="s">
        <v>38</v>
      </c>
      <c r="K46" s="53" t="s">
        <v>161</v>
      </c>
      <c r="L46" s="53">
        <v>3</v>
      </c>
      <c r="N46" s="53">
        <v>4</v>
      </c>
      <c r="O46" s="34">
        <v>0.5</v>
      </c>
      <c r="P46" s="53">
        <v>0.5</v>
      </c>
      <c r="Q46" s="75">
        <f t="shared" si="0"/>
        <v>0.5</v>
      </c>
      <c r="R46" s="53">
        <v>17.5</v>
      </c>
      <c r="S46" s="53">
        <v>81</v>
      </c>
      <c r="T46" s="16">
        <f t="shared" si="1"/>
        <v>39</v>
      </c>
      <c r="U46" s="53">
        <v>321</v>
      </c>
      <c r="V46" s="129">
        <f t="shared" si="2"/>
        <v>3129.75</v>
      </c>
      <c r="W46" s="53">
        <v>14</v>
      </c>
      <c r="X46" s="127" t="s">
        <v>46</v>
      </c>
      <c r="Y46" s="53" t="s">
        <v>97</v>
      </c>
      <c r="Z46" s="53" t="s">
        <v>55</v>
      </c>
      <c r="AA46" s="53" t="s">
        <v>47</v>
      </c>
      <c r="AB46" s="127" t="s">
        <v>258</v>
      </c>
    </row>
    <row r="47" spans="1:29" x14ac:dyDescent="0.15">
      <c r="A47" s="127" t="s">
        <v>61</v>
      </c>
      <c r="B47" s="127" t="s">
        <v>232</v>
      </c>
      <c r="C47" s="127">
        <v>2022</v>
      </c>
      <c r="D47" s="128" t="s">
        <v>233</v>
      </c>
      <c r="E47" s="127" t="s">
        <v>294</v>
      </c>
      <c r="F47" s="127" t="s">
        <v>295</v>
      </c>
      <c r="G47" s="127" t="s">
        <v>42</v>
      </c>
      <c r="H47" s="53" t="s">
        <v>160</v>
      </c>
      <c r="I47" s="53" t="s">
        <v>159</v>
      </c>
      <c r="J47" s="127" t="s">
        <v>38</v>
      </c>
      <c r="K47" s="53" t="s">
        <v>161</v>
      </c>
      <c r="L47" s="53">
        <v>1</v>
      </c>
      <c r="N47" s="53">
        <v>1</v>
      </c>
      <c r="O47" s="34">
        <v>0.5</v>
      </c>
      <c r="P47" s="53">
        <v>0.5</v>
      </c>
      <c r="Q47" s="75">
        <f t="shared" si="0"/>
        <v>0.5</v>
      </c>
      <c r="R47" s="53">
        <v>16.899999999999999</v>
      </c>
      <c r="S47" s="53">
        <v>136</v>
      </c>
      <c r="T47" s="16">
        <f t="shared" si="1"/>
        <v>25</v>
      </c>
      <c r="U47" s="53">
        <v>138</v>
      </c>
      <c r="V47" s="129">
        <f t="shared" si="2"/>
        <v>3450</v>
      </c>
      <c r="W47" s="53">
        <v>14</v>
      </c>
      <c r="X47" s="127" t="s">
        <v>46</v>
      </c>
      <c r="Y47" s="53" t="s">
        <v>97</v>
      </c>
      <c r="Z47" s="53" t="s">
        <v>55</v>
      </c>
      <c r="AA47" s="53" t="s">
        <v>47</v>
      </c>
      <c r="AB47" s="127" t="s">
        <v>258</v>
      </c>
      <c r="AC47" s="34"/>
    </row>
    <row r="48" spans="1:29" x14ac:dyDescent="0.15">
      <c r="A48" s="127" t="s">
        <v>61</v>
      </c>
      <c r="B48" s="127" t="s">
        <v>232</v>
      </c>
      <c r="C48" s="127">
        <v>2023</v>
      </c>
      <c r="D48" s="128" t="s">
        <v>233</v>
      </c>
      <c r="E48" s="127" t="s">
        <v>294</v>
      </c>
      <c r="F48" s="127" t="s">
        <v>295</v>
      </c>
      <c r="G48" s="127" t="s">
        <v>42</v>
      </c>
      <c r="H48" s="53" t="s">
        <v>160</v>
      </c>
      <c r="I48" s="53" t="s">
        <v>159</v>
      </c>
      <c r="J48" s="127" t="s">
        <v>38</v>
      </c>
      <c r="K48" s="53" t="s">
        <v>161</v>
      </c>
      <c r="L48" s="53">
        <v>2</v>
      </c>
      <c r="N48" s="53">
        <v>1</v>
      </c>
      <c r="O48" s="34">
        <v>0.5</v>
      </c>
      <c r="P48" s="53">
        <v>0.6</v>
      </c>
      <c r="Q48" s="75">
        <f t="shared" si="0"/>
        <v>0.55000000000000004</v>
      </c>
      <c r="R48" s="53">
        <v>17.5</v>
      </c>
      <c r="S48" s="53">
        <v>136</v>
      </c>
      <c r="T48" s="16">
        <f t="shared" si="1"/>
        <v>25</v>
      </c>
      <c r="U48" s="53">
        <v>138</v>
      </c>
      <c r="V48" s="129">
        <f t="shared" si="2"/>
        <v>3450</v>
      </c>
      <c r="W48" s="53">
        <v>14</v>
      </c>
      <c r="X48" s="127" t="s">
        <v>46</v>
      </c>
      <c r="Y48" s="53" t="s">
        <v>97</v>
      </c>
      <c r="Z48" s="53" t="s">
        <v>55</v>
      </c>
      <c r="AA48" s="53" t="s">
        <v>47</v>
      </c>
      <c r="AB48" s="127" t="s">
        <v>258</v>
      </c>
      <c r="AC48" s="34"/>
    </row>
    <row r="49" spans="1:29" x14ac:dyDescent="0.15">
      <c r="A49" s="127" t="s">
        <v>61</v>
      </c>
      <c r="B49" s="127" t="s">
        <v>232</v>
      </c>
      <c r="C49" s="127">
        <v>2024</v>
      </c>
      <c r="D49" s="128" t="s">
        <v>233</v>
      </c>
      <c r="E49" s="127" t="s">
        <v>294</v>
      </c>
      <c r="F49" s="127" t="s">
        <v>295</v>
      </c>
      <c r="G49" s="127" t="s">
        <v>42</v>
      </c>
      <c r="H49" s="53" t="s">
        <v>160</v>
      </c>
      <c r="I49" s="53" t="s">
        <v>159</v>
      </c>
      <c r="J49" s="127" t="s">
        <v>38</v>
      </c>
      <c r="K49" s="53" t="s">
        <v>161</v>
      </c>
      <c r="L49" s="53">
        <v>3</v>
      </c>
      <c r="N49" s="53">
        <v>1</v>
      </c>
      <c r="O49" s="34">
        <v>0.5</v>
      </c>
      <c r="P49" s="53">
        <v>0.75</v>
      </c>
      <c r="Q49" s="75">
        <f t="shared" si="0"/>
        <v>0.625</v>
      </c>
      <c r="R49" s="34">
        <v>17.5</v>
      </c>
      <c r="S49" s="53">
        <v>138</v>
      </c>
      <c r="T49" s="16">
        <f t="shared" si="1"/>
        <v>22</v>
      </c>
      <c r="U49" s="53">
        <v>138</v>
      </c>
      <c r="V49" s="129">
        <f t="shared" si="2"/>
        <v>3036</v>
      </c>
      <c r="W49" s="53">
        <v>14</v>
      </c>
      <c r="X49" s="127" t="s">
        <v>46</v>
      </c>
      <c r="Y49" s="53" t="s">
        <v>97</v>
      </c>
      <c r="Z49" s="53" t="s">
        <v>55</v>
      </c>
      <c r="AA49" s="53" t="s">
        <v>47</v>
      </c>
      <c r="AB49" s="127" t="s">
        <v>258</v>
      </c>
      <c r="AC49" s="34"/>
    </row>
    <row r="50" spans="1:29" x14ac:dyDescent="0.15">
      <c r="A50" s="127" t="s">
        <v>61</v>
      </c>
      <c r="B50" s="127" t="s">
        <v>232</v>
      </c>
      <c r="C50" s="127">
        <v>2019</v>
      </c>
      <c r="D50" s="128" t="s">
        <v>233</v>
      </c>
      <c r="E50" s="127" t="s">
        <v>133</v>
      </c>
      <c r="F50" s="127" t="s">
        <v>296</v>
      </c>
      <c r="G50" s="127" t="s">
        <v>42</v>
      </c>
      <c r="H50" s="53" t="s">
        <v>164</v>
      </c>
      <c r="I50" s="53" t="s">
        <v>159</v>
      </c>
      <c r="J50" s="127" t="s">
        <v>38</v>
      </c>
      <c r="K50" s="53" t="s">
        <v>161</v>
      </c>
      <c r="L50" s="53">
        <v>1</v>
      </c>
      <c r="N50" s="53">
        <v>1</v>
      </c>
      <c r="O50" s="53">
        <v>1.2</v>
      </c>
      <c r="P50" s="53">
        <v>0.95</v>
      </c>
      <c r="Q50" s="75">
        <f t="shared" si="0"/>
        <v>1.075</v>
      </c>
      <c r="R50" s="53">
        <v>17.600000000000001</v>
      </c>
      <c r="S50" s="53">
        <v>119</v>
      </c>
      <c r="T50" s="16">
        <f t="shared" si="1"/>
        <v>30</v>
      </c>
      <c r="U50" s="53">
        <v>68</v>
      </c>
      <c r="V50" s="129">
        <f t="shared" si="2"/>
        <v>2040</v>
      </c>
      <c r="W50" s="53">
        <v>24</v>
      </c>
      <c r="X50" s="127" t="s">
        <v>46</v>
      </c>
      <c r="Y50" s="53" t="s">
        <v>97</v>
      </c>
      <c r="Z50" s="53" t="s">
        <v>69</v>
      </c>
      <c r="AA50" s="53" t="s">
        <v>310</v>
      </c>
      <c r="AB50" s="127" t="s">
        <v>258</v>
      </c>
      <c r="AC50" s="34"/>
    </row>
    <row r="51" spans="1:29" x14ac:dyDescent="0.15">
      <c r="A51" s="127" t="s">
        <v>61</v>
      </c>
      <c r="B51" s="127" t="s">
        <v>232</v>
      </c>
      <c r="C51" s="127">
        <v>2019</v>
      </c>
      <c r="D51" s="128" t="s">
        <v>233</v>
      </c>
      <c r="E51" s="127" t="s">
        <v>133</v>
      </c>
      <c r="F51" s="127" t="s">
        <v>296</v>
      </c>
      <c r="G51" s="127" t="s">
        <v>42</v>
      </c>
      <c r="H51" s="53" t="s">
        <v>164</v>
      </c>
      <c r="I51" s="53" t="s">
        <v>159</v>
      </c>
      <c r="J51" s="127" t="s">
        <v>38</v>
      </c>
      <c r="K51" s="53" t="s">
        <v>161</v>
      </c>
      <c r="L51" s="53">
        <v>2</v>
      </c>
      <c r="N51" s="53">
        <v>1</v>
      </c>
      <c r="O51" s="53">
        <v>1</v>
      </c>
      <c r="P51" s="53">
        <v>1.2</v>
      </c>
      <c r="Q51" s="75">
        <f t="shared" si="0"/>
        <v>1.1000000000000001</v>
      </c>
      <c r="R51" s="53">
        <v>17.899999999999999</v>
      </c>
      <c r="S51" s="53">
        <v>118</v>
      </c>
      <c r="T51" s="16">
        <f t="shared" si="1"/>
        <v>30</v>
      </c>
      <c r="U51" s="53">
        <v>68</v>
      </c>
      <c r="V51" s="129">
        <f t="shared" si="2"/>
        <v>2040</v>
      </c>
      <c r="W51" s="53">
        <v>24</v>
      </c>
      <c r="X51" s="127" t="s">
        <v>46</v>
      </c>
      <c r="Y51" s="53" t="s">
        <v>97</v>
      </c>
      <c r="Z51" s="53" t="s">
        <v>69</v>
      </c>
      <c r="AA51" s="53" t="s">
        <v>55</v>
      </c>
      <c r="AB51" s="127" t="s">
        <v>258</v>
      </c>
      <c r="AC51" s="34"/>
    </row>
    <row r="52" spans="1:29" x14ac:dyDescent="0.15">
      <c r="A52" s="127" t="s">
        <v>61</v>
      </c>
      <c r="B52" s="127" t="s">
        <v>232</v>
      </c>
      <c r="C52" s="127">
        <v>2019</v>
      </c>
      <c r="D52" s="128" t="s">
        <v>233</v>
      </c>
      <c r="E52" s="127" t="s">
        <v>133</v>
      </c>
      <c r="F52" s="127" t="s">
        <v>296</v>
      </c>
      <c r="G52" s="127" t="s">
        <v>42</v>
      </c>
      <c r="H52" s="53" t="s">
        <v>164</v>
      </c>
      <c r="I52" s="53" t="s">
        <v>159</v>
      </c>
      <c r="J52" s="127" t="s">
        <v>38</v>
      </c>
      <c r="K52" s="53" t="s">
        <v>161</v>
      </c>
      <c r="L52" s="53">
        <v>3</v>
      </c>
      <c r="N52" s="53">
        <v>1</v>
      </c>
      <c r="O52" s="53">
        <v>0.5</v>
      </c>
      <c r="P52" s="53">
        <v>0.5</v>
      </c>
      <c r="Q52" s="75">
        <f t="shared" si="0"/>
        <v>0.5</v>
      </c>
      <c r="R52" s="53">
        <v>18</v>
      </c>
      <c r="S52" s="53">
        <v>116</v>
      </c>
      <c r="T52" s="16">
        <f t="shared" si="1"/>
        <v>30</v>
      </c>
      <c r="U52" s="53">
        <v>68</v>
      </c>
      <c r="V52" s="129">
        <f t="shared" si="2"/>
        <v>2040</v>
      </c>
      <c r="W52" s="53">
        <v>24</v>
      </c>
      <c r="X52" s="127" t="s">
        <v>46</v>
      </c>
      <c r="Y52" s="53" t="s">
        <v>97</v>
      </c>
      <c r="Z52" s="53" t="s">
        <v>69</v>
      </c>
      <c r="AA52" s="53" t="s">
        <v>55</v>
      </c>
      <c r="AB52" s="127" t="s">
        <v>258</v>
      </c>
      <c r="AC52" s="34"/>
    </row>
    <row r="53" spans="1:29" x14ac:dyDescent="0.15">
      <c r="A53" s="127" t="s">
        <v>61</v>
      </c>
      <c r="B53" s="127" t="s">
        <v>232</v>
      </c>
      <c r="C53" s="127">
        <v>2019</v>
      </c>
      <c r="D53" s="128" t="s">
        <v>233</v>
      </c>
      <c r="E53" s="127" t="s">
        <v>133</v>
      </c>
      <c r="F53" s="127" t="s">
        <v>296</v>
      </c>
      <c r="G53" s="127" t="s">
        <v>42</v>
      </c>
      <c r="H53" s="53" t="s">
        <v>194</v>
      </c>
      <c r="I53" s="53" t="s">
        <v>159</v>
      </c>
      <c r="J53" s="127" t="s">
        <v>38</v>
      </c>
      <c r="K53" s="53" t="s">
        <v>161</v>
      </c>
      <c r="L53" s="53">
        <v>1</v>
      </c>
      <c r="N53" s="53">
        <v>8</v>
      </c>
      <c r="O53" s="53">
        <v>0.5</v>
      </c>
      <c r="P53" s="53">
        <v>0.5</v>
      </c>
      <c r="Q53" s="75">
        <f t="shared" si="0"/>
        <v>0.5</v>
      </c>
      <c r="R53" s="53">
        <v>17.7</v>
      </c>
      <c r="S53" s="53">
        <v>92</v>
      </c>
      <c r="T53" s="16">
        <f t="shared" si="1"/>
        <v>36</v>
      </c>
      <c r="U53" s="53">
        <v>598</v>
      </c>
      <c r="V53" s="129">
        <f t="shared" si="2"/>
        <v>2691</v>
      </c>
      <c r="W53" s="53">
        <v>24</v>
      </c>
      <c r="X53" s="127" t="s">
        <v>46</v>
      </c>
      <c r="Y53" s="53" t="s">
        <v>97</v>
      </c>
      <c r="Z53" s="53" t="s">
        <v>69</v>
      </c>
      <c r="AA53" s="53" t="s">
        <v>55</v>
      </c>
      <c r="AB53" s="127" t="s">
        <v>258</v>
      </c>
      <c r="AC53" s="34"/>
    </row>
    <row r="54" spans="1:29" x14ac:dyDescent="0.15">
      <c r="A54" s="127" t="s">
        <v>61</v>
      </c>
      <c r="B54" s="127" t="s">
        <v>232</v>
      </c>
      <c r="C54" s="127">
        <v>2019</v>
      </c>
      <c r="D54" s="128" t="s">
        <v>233</v>
      </c>
      <c r="E54" s="127" t="s">
        <v>133</v>
      </c>
      <c r="F54" s="127" t="s">
        <v>296</v>
      </c>
      <c r="G54" s="127" t="s">
        <v>42</v>
      </c>
      <c r="H54" s="53" t="s">
        <v>194</v>
      </c>
      <c r="I54" s="53" t="s">
        <v>159</v>
      </c>
      <c r="J54" s="127" t="s">
        <v>38</v>
      </c>
      <c r="K54" s="53" t="s">
        <v>161</v>
      </c>
      <c r="L54" s="53">
        <v>2</v>
      </c>
      <c r="N54" s="53">
        <v>8</v>
      </c>
      <c r="O54" s="53">
        <v>0.5</v>
      </c>
      <c r="P54" s="53">
        <v>0.5</v>
      </c>
      <c r="Q54" s="75">
        <f t="shared" si="0"/>
        <v>0.5</v>
      </c>
      <c r="R54" s="53">
        <v>17.2</v>
      </c>
      <c r="S54" s="53">
        <v>95</v>
      </c>
      <c r="T54" s="16">
        <f t="shared" si="1"/>
        <v>36</v>
      </c>
      <c r="U54" s="53">
        <v>598</v>
      </c>
      <c r="V54" s="129">
        <f t="shared" si="2"/>
        <v>2691</v>
      </c>
      <c r="W54" s="53">
        <v>24</v>
      </c>
      <c r="X54" s="127" t="s">
        <v>46</v>
      </c>
      <c r="Y54" s="53" t="s">
        <v>97</v>
      </c>
      <c r="Z54" s="53" t="s">
        <v>69</v>
      </c>
      <c r="AA54" s="53" t="s">
        <v>55</v>
      </c>
      <c r="AB54" s="127" t="s">
        <v>258</v>
      </c>
      <c r="AC54" s="34"/>
    </row>
    <row r="55" spans="1:29" x14ac:dyDescent="0.15">
      <c r="A55" s="127" t="s">
        <v>61</v>
      </c>
      <c r="B55" s="127" t="s">
        <v>232</v>
      </c>
      <c r="C55" s="127">
        <v>2019</v>
      </c>
      <c r="D55" s="128" t="s">
        <v>233</v>
      </c>
      <c r="E55" s="127" t="s">
        <v>133</v>
      </c>
      <c r="F55" s="127" t="s">
        <v>296</v>
      </c>
      <c r="G55" s="127" t="s">
        <v>42</v>
      </c>
      <c r="H55" s="53" t="s">
        <v>194</v>
      </c>
      <c r="I55" s="53" t="s">
        <v>159</v>
      </c>
      <c r="J55" s="127" t="s">
        <v>38</v>
      </c>
      <c r="K55" s="53" t="s">
        <v>161</v>
      </c>
      <c r="L55" s="53">
        <v>3</v>
      </c>
      <c r="N55" s="53">
        <v>8</v>
      </c>
      <c r="O55" s="53">
        <v>0.5</v>
      </c>
      <c r="P55" s="53">
        <v>0.5</v>
      </c>
      <c r="Q55" s="75">
        <f t="shared" si="0"/>
        <v>0.5</v>
      </c>
      <c r="R55" s="53">
        <v>17.399999999999999</v>
      </c>
      <c r="S55" s="53">
        <v>102</v>
      </c>
      <c r="T55" s="16">
        <f t="shared" si="1"/>
        <v>33</v>
      </c>
      <c r="U55" s="53">
        <v>598</v>
      </c>
      <c r="V55" s="129">
        <f t="shared" si="2"/>
        <v>2466.75</v>
      </c>
      <c r="W55" s="53">
        <v>24</v>
      </c>
      <c r="X55" s="127" t="s">
        <v>46</v>
      </c>
      <c r="Y55" s="53" t="s">
        <v>97</v>
      </c>
      <c r="Z55" s="53" t="s">
        <v>69</v>
      </c>
      <c r="AA55" s="53" t="s">
        <v>55</v>
      </c>
      <c r="AB55" s="127" t="s">
        <v>258</v>
      </c>
      <c r="AC55" s="34"/>
    </row>
    <row r="56" spans="1:29" x14ac:dyDescent="0.15">
      <c r="A56" s="127" t="s">
        <v>61</v>
      </c>
      <c r="B56" s="127" t="s">
        <v>232</v>
      </c>
      <c r="C56" s="127">
        <v>2019</v>
      </c>
      <c r="D56" s="128" t="s">
        <v>233</v>
      </c>
      <c r="E56" s="127" t="s">
        <v>133</v>
      </c>
      <c r="F56" s="127" t="s">
        <v>296</v>
      </c>
      <c r="G56" s="127" t="s">
        <v>42</v>
      </c>
      <c r="H56" s="53" t="s">
        <v>160</v>
      </c>
      <c r="I56" s="53" t="s">
        <v>159</v>
      </c>
      <c r="J56" s="127" t="s">
        <v>38</v>
      </c>
      <c r="K56" s="53" t="s">
        <v>161</v>
      </c>
      <c r="L56" s="53">
        <v>1</v>
      </c>
      <c r="N56" s="53">
        <v>5</v>
      </c>
      <c r="O56" s="53">
        <v>1</v>
      </c>
      <c r="P56" s="53">
        <v>1</v>
      </c>
      <c r="Q56" s="75">
        <f t="shared" si="0"/>
        <v>1</v>
      </c>
      <c r="R56" s="53">
        <v>17.5</v>
      </c>
      <c r="S56" s="53">
        <v>94</v>
      </c>
      <c r="T56" s="16">
        <f t="shared" si="1"/>
        <v>36</v>
      </c>
      <c r="U56" s="53">
        <v>398</v>
      </c>
      <c r="V56" s="129">
        <f t="shared" si="2"/>
        <v>2865.6</v>
      </c>
      <c r="W56" s="53">
        <v>24</v>
      </c>
      <c r="X56" s="127" t="s">
        <v>46</v>
      </c>
      <c r="Y56" s="53" t="s">
        <v>97</v>
      </c>
      <c r="Z56" s="53" t="s">
        <v>69</v>
      </c>
      <c r="AA56" s="53" t="s">
        <v>55</v>
      </c>
      <c r="AB56" s="127" t="s">
        <v>258</v>
      </c>
      <c r="AC56" s="34"/>
    </row>
    <row r="57" spans="1:29" x14ac:dyDescent="0.15">
      <c r="A57" s="127" t="s">
        <v>61</v>
      </c>
      <c r="B57" s="127" t="s">
        <v>232</v>
      </c>
      <c r="C57" s="127">
        <v>2019</v>
      </c>
      <c r="D57" s="128" t="s">
        <v>233</v>
      </c>
      <c r="E57" s="127" t="s">
        <v>133</v>
      </c>
      <c r="F57" s="127" t="s">
        <v>296</v>
      </c>
      <c r="G57" s="127" t="s">
        <v>42</v>
      </c>
      <c r="H57" s="53" t="s">
        <v>160</v>
      </c>
      <c r="I57" s="53" t="s">
        <v>159</v>
      </c>
      <c r="J57" s="127" t="s">
        <v>38</v>
      </c>
      <c r="K57" s="53" t="s">
        <v>161</v>
      </c>
      <c r="L57" s="53">
        <v>2</v>
      </c>
      <c r="N57" s="53">
        <v>5</v>
      </c>
      <c r="O57" s="53">
        <v>0.7</v>
      </c>
      <c r="P57" s="53">
        <v>0.8</v>
      </c>
      <c r="Q57" s="75">
        <f t="shared" si="0"/>
        <v>0.75</v>
      </c>
      <c r="R57" s="53">
        <v>17</v>
      </c>
      <c r="S57" s="53">
        <v>98</v>
      </c>
      <c r="T57" s="16">
        <f t="shared" si="1"/>
        <v>36</v>
      </c>
      <c r="U57" s="53">
        <v>398</v>
      </c>
      <c r="V57" s="129">
        <f t="shared" si="2"/>
        <v>2865.6</v>
      </c>
      <c r="W57" s="53">
        <v>24</v>
      </c>
      <c r="X57" s="127" t="s">
        <v>46</v>
      </c>
      <c r="Y57" s="53" t="s">
        <v>97</v>
      </c>
      <c r="Z57" s="53" t="s">
        <v>69</v>
      </c>
      <c r="AA57" s="53" t="s">
        <v>55</v>
      </c>
      <c r="AB57" s="127" t="s">
        <v>258</v>
      </c>
      <c r="AC57" s="34"/>
    </row>
    <row r="58" spans="1:29" x14ac:dyDescent="0.15">
      <c r="A58" s="127" t="s">
        <v>61</v>
      </c>
      <c r="B58" s="127" t="s">
        <v>232</v>
      </c>
      <c r="C58" s="127">
        <v>2019</v>
      </c>
      <c r="D58" s="128" t="s">
        <v>233</v>
      </c>
      <c r="E58" s="127" t="s">
        <v>133</v>
      </c>
      <c r="F58" s="127" t="s">
        <v>296</v>
      </c>
      <c r="G58" s="127" t="s">
        <v>42</v>
      </c>
      <c r="H58" s="53" t="s">
        <v>160</v>
      </c>
      <c r="I58" s="53" t="s">
        <v>159</v>
      </c>
      <c r="J58" s="127" t="s">
        <v>38</v>
      </c>
      <c r="K58" s="53" t="s">
        <v>161</v>
      </c>
      <c r="L58" s="53">
        <v>3</v>
      </c>
      <c r="N58" s="53">
        <v>5</v>
      </c>
      <c r="O58" s="53">
        <v>0.8</v>
      </c>
      <c r="P58" s="53">
        <v>0.75</v>
      </c>
      <c r="Q58" s="75">
        <f t="shared" si="0"/>
        <v>0.77500000000000002</v>
      </c>
      <c r="R58" s="53">
        <v>19</v>
      </c>
      <c r="S58" s="53">
        <v>92</v>
      </c>
      <c r="T58" s="16">
        <f t="shared" si="1"/>
        <v>36</v>
      </c>
      <c r="U58" s="53">
        <v>398</v>
      </c>
      <c r="V58" s="129">
        <f t="shared" si="2"/>
        <v>2865.6</v>
      </c>
      <c r="W58" s="53">
        <v>24</v>
      </c>
      <c r="X58" s="127" t="s">
        <v>46</v>
      </c>
      <c r="Y58" s="53" t="s">
        <v>97</v>
      </c>
      <c r="Z58" s="53" t="s">
        <v>69</v>
      </c>
      <c r="AA58" s="53" t="s">
        <v>55</v>
      </c>
      <c r="AB58" s="127" t="s">
        <v>258</v>
      </c>
      <c r="AC58" s="34"/>
    </row>
    <row r="59" spans="1:29" x14ac:dyDescent="0.15">
      <c r="A59" s="127" t="s">
        <v>61</v>
      </c>
      <c r="B59" s="127" t="s">
        <v>232</v>
      </c>
      <c r="C59" s="127">
        <v>2019</v>
      </c>
      <c r="D59" s="128" t="s">
        <v>233</v>
      </c>
      <c r="E59" s="127" t="s">
        <v>297</v>
      </c>
      <c r="F59" s="127" t="s">
        <v>298</v>
      </c>
      <c r="G59" s="127" t="s">
        <v>42</v>
      </c>
      <c r="H59" s="53" t="s">
        <v>164</v>
      </c>
      <c r="I59" s="53" t="s">
        <v>159</v>
      </c>
      <c r="J59" s="127" t="s">
        <v>38</v>
      </c>
      <c r="K59" s="53" t="s">
        <v>161</v>
      </c>
      <c r="L59" s="53">
        <v>1</v>
      </c>
      <c r="N59" s="53">
        <v>1</v>
      </c>
      <c r="O59" s="53">
        <v>1.2</v>
      </c>
      <c r="P59" s="53">
        <v>1.25</v>
      </c>
      <c r="Q59" s="75">
        <f t="shared" si="0"/>
        <v>1.2250000000000001</v>
      </c>
      <c r="R59" s="53">
        <v>17.7</v>
      </c>
      <c r="S59" s="53">
        <v>143</v>
      </c>
      <c r="T59" s="16">
        <f t="shared" si="1"/>
        <v>22</v>
      </c>
      <c r="U59" s="53">
        <v>128</v>
      </c>
      <c r="V59" s="129">
        <f t="shared" si="2"/>
        <v>2816</v>
      </c>
      <c r="W59" s="53">
        <v>12</v>
      </c>
      <c r="X59" s="127" t="s">
        <v>46</v>
      </c>
      <c r="Y59" s="53" t="s">
        <v>97</v>
      </c>
      <c r="Z59" s="53" t="s">
        <v>86</v>
      </c>
      <c r="AA59" s="53" t="s">
        <v>55</v>
      </c>
      <c r="AB59" s="127" t="s">
        <v>258</v>
      </c>
    </row>
    <row r="60" spans="1:29" x14ac:dyDescent="0.15">
      <c r="A60" s="127" t="s">
        <v>61</v>
      </c>
      <c r="B60" s="127" t="s">
        <v>232</v>
      </c>
      <c r="C60" s="127">
        <v>2019</v>
      </c>
      <c r="D60" s="128" t="s">
        <v>233</v>
      </c>
      <c r="E60" s="127" t="s">
        <v>297</v>
      </c>
      <c r="F60" s="127" t="s">
        <v>298</v>
      </c>
      <c r="G60" s="127" t="s">
        <v>42</v>
      </c>
      <c r="H60" s="53" t="s">
        <v>164</v>
      </c>
      <c r="I60" s="53" t="s">
        <v>159</v>
      </c>
      <c r="J60" s="127" t="s">
        <v>38</v>
      </c>
      <c r="K60" s="53" t="s">
        <v>161</v>
      </c>
      <c r="L60" s="53">
        <v>2</v>
      </c>
      <c r="N60" s="53">
        <v>1</v>
      </c>
      <c r="O60" s="53">
        <v>1.3</v>
      </c>
      <c r="P60" s="53">
        <v>1.25</v>
      </c>
      <c r="Q60" s="75">
        <f t="shared" si="0"/>
        <v>1.2749999999999999</v>
      </c>
      <c r="R60" s="53">
        <v>18.7</v>
      </c>
      <c r="S60" s="53">
        <v>132</v>
      </c>
      <c r="T60" s="16">
        <f t="shared" si="1"/>
        <v>25</v>
      </c>
      <c r="U60" s="53">
        <v>128</v>
      </c>
      <c r="V60" s="129">
        <f t="shared" si="2"/>
        <v>3200</v>
      </c>
      <c r="W60" s="53">
        <v>12</v>
      </c>
      <c r="X60" s="127" t="s">
        <v>46</v>
      </c>
      <c r="Y60" s="53" t="s">
        <v>97</v>
      </c>
      <c r="Z60" s="53" t="s">
        <v>86</v>
      </c>
      <c r="AA60" s="53" t="s">
        <v>55</v>
      </c>
      <c r="AB60" s="127" t="s">
        <v>258</v>
      </c>
    </row>
    <row r="61" spans="1:29" x14ac:dyDescent="0.15">
      <c r="A61" s="127" t="s">
        <v>61</v>
      </c>
      <c r="B61" s="127" t="s">
        <v>232</v>
      </c>
      <c r="C61" s="127">
        <v>2019</v>
      </c>
      <c r="D61" s="128" t="s">
        <v>233</v>
      </c>
      <c r="E61" s="127" t="s">
        <v>297</v>
      </c>
      <c r="F61" s="127" t="s">
        <v>298</v>
      </c>
      <c r="G61" s="127" t="s">
        <v>42</v>
      </c>
      <c r="H61" s="53" t="s">
        <v>164</v>
      </c>
      <c r="I61" s="53" t="s">
        <v>159</v>
      </c>
      <c r="J61" s="127" t="s">
        <v>38</v>
      </c>
      <c r="K61" s="53" t="s">
        <v>161</v>
      </c>
      <c r="L61" s="53">
        <v>3</v>
      </c>
      <c r="N61" s="53">
        <v>1</v>
      </c>
      <c r="O61" s="53">
        <v>1.1499999999999999</v>
      </c>
      <c r="P61" s="53">
        <v>1.25</v>
      </c>
      <c r="Q61" s="75">
        <f t="shared" si="0"/>
        <v>1.2</v>
      </c>
      <c r="R61" s="53">
        <v>17.600000000000001</v>
      </c>
      <c r="S61" s="53">
        <v>142</v>
      </c>
      <c r="T61" s="16">
        <f t="shared" si="1"/>
        <v>22</v>
      </c>
      <c r="U61" s="53">
        <v>128</v>
      </c>
      <c r="V61" s="129">
        <f t="shared" si="2"/>
        <v>2816</v>
      </c>
      <c r="W61" s="53">
        <v>12</v>
      </c>
      <c r="X61" s="127" t="s">
        <v>46</v>
      </c>
      <c r="Y61" s="53" t="s">
        <v>97</v>
      </c>
      <c r="Z61" s="53" t="s">
        <v>86</v>
      </c>
      <c r="AA61" s="53" t="s">
        <v>55</v>
      </c>
      <c r="AB61" s="127" t="s">
        <v>258</v>
      </c>
    </row>
    <row r="62" spans="1:29" x14ac:dyDescent="0.15">
      <c r="A62" s="127" t="s">
        <v>61</v>
      </c>
      <c r="B62" s="127" t="s">
        <v>232</v>
      </c>
      <c r="C62" s="127">
        <v>2019</v>
      </c>
      <c r="D62" s="128" t="s">
        <v>233</v>
      </c>
      <c r="E62" s="127" t="s">
        <v>297</v>
      </c>
      <c r="F62" s="127" t="s">
        <v>298</v>
      </c>
      <c r="G62" s="127" t="s">
        <v>42</v>
      </c>
      <c r="H62" s="53" t="s">
        <v>194</v>
      </c>
      <c r="I62" s="53" t="s">
        <v>159</v>
      </c>
      <c r="J62" s="127" t="s">
        <v>38</v>
      </c>
      <c r="K62" s="53" t="s">
        <v>161</v>
      </c>
      <c r="L62" s="53">
        <v>1</v>
      </c>
      <c r="N62" s="53">
        <v>4</v>
      </c>
      <c r="O62" s="53">
        <v>0.5</v>
      </c>
      <c r="P62" s="53">
        <v>0.5</v>
      </c>
      <c r="Q62" s="75">
        <f t="shared" si="0"/>
        <v>0.5</v>
      </c>
      <c r="R62" s="53">
        <v>17.600000000000001</v>
      </c>
      <c r="S62" s="53">
        <v>79</v>
      </c>
      <c r="T62" s="16">
        <f t="shared" si="1"/>
        <v>39</v>
      </c>
      <c r="U62" s="53">
        <v>398</v>
      </c>
      <c r="V62" s="129">
        <f t="shared" si="2"/>
        <v>3880.5</v>
      </c>
      <c r="W62" s="53">
        <v>12</v>
      </c>
      <c r="X62" s="127" t="s">
        <v>46</v>
      </c>
      <c r="Y62" s="53" t="s">
        <v>97</v>
      </c>
      <c r="Z62" s="53" t="s">
        <v>86</v>
      </c>
      <c r="AA62" s="53" t="s">
        <v>55</v>
      </c>
      <c r="AB62" s="127" t="s">
        <v>258</v>
      </c>
    </row>
    <row r="63" spans="1:29" x14ac:dyDescent="0.15">
      <c r="A63" s="127" t="s">
        <v>61</v>
      </c>
      <c r="B63" s="127" t="s">
        <v>232</v>
      </c>
      <c r="C63" s="127">
        <v>2019</v>
      </c>
      <c r="D63" s="128" t="s">
        <v>233</v>
      </c>
      <c r="E63" s="127" t="s">
        <v>297</v>
      </c>
      <c r="F63" s="127" t="s">
        <v>298</v>
      </c>
      <c r="G63" s="127" t="s">
        <v>42</v>
      </c>
      <c r="H63" s="53" t="s">
        <v>194</v>
      </c>
      <c r="I63" s="53" t="s">
        <v>159</v>
      </c>
      <c r="J63" s="127" t="s">
        <v>38</v>
      </c>
      <c r="K63" s="53" t="s">
        <v>161</v>
      </c>
      <c r="L63" s="53">
        <v>2</v>
      </c>
      <c r="N63" s="53">
        <v>4</v>
      </c>
      <c r="O63" s="53">
        <v>0.5</v>
      </c>
      <c r="P63" s="53">
        <v>0.5</v>
      </c>
      <c r="Q63" s="75">
        <f t="shared" si="0"/>
        <v>0.5</v>
      </c>
      <c r="R63" s="53">
        <v>18</v>
      </c>
      <c r="S63" s="53">
        <v>84</v>
      </c>
      <c r="T63" s="16">
        <f t="shared" si="1"/>
        <v>36</v>
      </c>
      <c r="U63" s="53">
        <v>398</v>
      </c>
      <c r="V63" s="129">
        <f t="shared" si="2"/>
        <v>3582</v>
      </c>
      <c r="W63" s="53">
        <v>12</v>
      </c>
      <c r="X63" s="127" t="s">
        <v>46</v>
      </c>
      <c r="Y63" s="53" t="s">
        <v>97</v>
      </c>
      <c r="Z63" s="53" t="s">
        <v>86</v>
      </c>
      <c r="AA63" s="53" t="s">
        <v>55</v>
      </c>
      <c r="AB63" s="127" t="s">
        <v>258</v>
      </c>
    </row>
    <row r="64" spans="1:29" x14ac:dyDescent="0.15">
      <c r="A64" s="127" t="s">
        <v>61</v>
      </c>
      <c r="B64" s="127" t="s">
        <v>232</v>
      </c>
      <c r="C64" s="127">
        <v>2019</v>
      </c>
      <c r="D64" s="128" t="s">
        <v>233</v>
      </c>
      <c r="E64" s="127" t="s">
        <v>297</v>
      </c>
      <c r="F64" s="127" t="s">
        <v>298</v>
      </c>
      <c r="G64" s="127" t="s">
        <v>42</v>
      </c>
      <c r="H64" s="53" t="s">
        <v>194</v>
      </c>
      <c r="I64" s="53" t="s">
        <v>159</v>
      </c>
      <c r="J64" s="127" t="s">
        <v>38</v>
      </c>
      <c r="K64" s="53" t="s">
        <v>161</v>
      </c>
      <c r="L64" s="53">
        <v>3</v>
      </c>
      <c r="N64" s="53">
        <v>4</v>
      </c>
      <c r="O64" s="53">
        <v>0.5</v>
      </c>
      <c r="P64" s="53">
        <v>0.5</v>
      </c>
      <c r="Q64" s="75">
        <f t="shared" si="0"/>
        <v>0.5</v>
      </c>
      <c r="R64" s="53">
        <v>17.2</v>
      </c>
      <c r="S64" s="53">
        <v>85</v>
      </c>
      <c r="T64" s="16">
        <f t="shared" si="1"/>
        <v>36</v>
      </c>
      <c r="U64" s="53">
        <v>398</v>
      </c>
      <c r="V64" s="129">
        <f t="shared" si="2"/>
        <v>3582</v>
      </c>
      <c r="W64" s="53">
        <v>12</v>
      </c>
      <c r="X64" s="127" t="s">
        <v>46</v>
      </c>
      <c r="Y64" s="53" t="s">
        <v>97</v>
      </c>
      <c r="Z64" s="53" t="s">
        <v>86</v>
      </c>
      <c r="AA64" s="53" t="s">
        <v>55</v>
      </c>
      <c r="AB64" s="127" t="s">
        <v>258</v>
      </c>
    </row>
    <row r="65" spans="1:29" x14ac:dyDescent="0.15">
      <c r="A65" s="127" t="s">
        <v>61</v>
      </c>
      <c r="B65" s="127" t="s">
        <v>232</v>
      </c>
      <c r="C65" s="127">
        <v>2019</v>
      </c>
      <c r="D65" s="128" t="s">
        <v>233</v>
      </c>
      <c r="E65" s="127" t="s">
        <v>297</v>
      </c>
      <c r="F65" s="127" t="s">
        <v>298</v>
      </c>
      <c r="G65" s="127" t="s">
        <v>42</v>
      </c>
      <c r="H65" s="53" t="s">
        <v>160</v>
      </c>
      <c r="I65" s="53" t="s">
        <v>159</v>
      </c>
      <c r="J65" s="127" t="s">
        <v>38</v>
      </c>
      <c r="K65" s="53" t="s">
        <v>161</v>
      </c>
      <c r="L65" s="53">
        <v>1</v>
      </c>
      <c r="N65" s="53">
        <v>4</v>
      </c>
      <c r="O65" s="53">
        <v>1</v>
      </c>
      <c r="P65" s="53">
        <v>1</v>
      </c>
      <c r="Q65" s="75">
        <f t="shared" si="0"/>
        <v>1</v>
      </c>
      <c r="R65" s="53">
        <v>15.6</v>
      </c>
      <c r="S65" s="53">
        <v>107</v>
      </c>
      <c r="T65" s="16">
        <f t="shared" si="1"/>
        <v>33</v>
      </c>
      <c r="U65" s="53">
        <v>350</v>
      </c>
      <c r="V65" s="129">
        <f t="shared" si="2"/>
        <v>2887.5</v>
      </c>
      <c r="W65" s="53">
        <v>12</v>
      </c>
      <c r="X65" s="127" t="s">
        <v>46</v>
      </c>
      <c r="Y65" s="53" t="s">
        <v>97</v>
      </c>
      <c r="Z65" s="53" t="s">
        <v>86</v>
      </c>
      <c r="AA65" s="53" t="s">
        <v>55</v>
      </c>
      <c r="AB65" s="127" t="s">
        <v>258</v>
      </c>
      <c r="AC65" s="34"/>
    </row>
    <row r="66" spans="1:29" x14ac:dyDescent="0.15">
      <c r="A66" s="127" t="s">
        <v>61</v>
      </c>
      <c r="B66" s="127" t="s">
        <v>232</v>
      </c>
      <c r="C66" s="127">
        <v>2019</v>
      </c>
      <c r="D66" s="128" t="s">
        <v>233</v>
      </c>
      <c r="E66" s="127" t="s">
        <v>297</v>
      </c>
      <c r="F66" s="127" t="s">
        <v>298</v>
      </c>
      <c r="G66" s="127" t="s">
        <v>42</v>
      </c>
      <c r="H66" s="53" t="s">
        <v>160</v>
      </c>
      <c r="I66" s="53" t="s">
        <v>159</v>
      </c>
      <c r="J66" s="127" t="s">
        <v>38</v>
      </c>
      <c r="K66" s="53" t="s">
        <v>161</v>
      </c>
      <c r="L66" s="53">
        <v>2</v>
      </c>
      <c r="N66" s="53">
        <v>4</v>
      </c>
      <c r="O66" s="53">
        <v>1.05</v>
      </c>
      <c r="P66" s="53">
        <v>1</v>
      </c>
      <c r="Q66" s="75">
        <f t="shared" ref="Q66:Q82" si="3">IF(OR(O66="",P66=""),"",AVERAGE(O66,P66))</f>
        <v>1.0249999999999999</v>
      </c>
      <c r="R66" s="53">
        <v>17.3</v>
      </c>
      <c r="S66" s="53">
        <v>108</v>
      </c>
      <c r="T66" s="16">
        <f t="shared" ref="T66:T82" si="4">IF(H66="","",IF(OR(H66="GREEN",H66="GK"),IF(S66&gt;=$AX$2,VLOOKUP(S66,$AX$2:$AY$15,2,1),""),IF(S66&gt;=$AZ$2,VLOOKUP(S66,$AZ$2:$BA$15,2,1),"")))</f>
        <v>33</v>
      </c>
      <c r="U66" s="53">
        <v>350</v>
      </c>
      <c r="V66" s="129">
        <f t="shared" ref="V66:V82" si="5">IF(OR(N66="",U66="",T66=""),"",U66/N66*T66)</f>
        <v>2887.5</v>
      </c>
      <c r="W66" s="53">
        <v>12</v>
      </c>
      <c r="X66" s="127" t="s">
        <v>46</v>
      </c>
      <c r="Y66" s="53" t="s">
        <v>97</v>
      </c>
      <c r="Z66" s="53" t="s">
        <v>86</v>
      </c>
      <c r="AA66" s="53" t="s">
        <v>55</v>
      </c>
      <c r="AB66" s="127" t="s">
        <v>258</v>
      </c>
      <c r="AC66" s="34"/>
    </row>
    <row r="67" spans="1:29" x14ac:dyDescent="0.15">
      <c r="A67" s="127" t="s">
        <v>61</v>
      </c>
      <c r="B67" s="127" t="s">
        <v>232</v>
      </c>
      <c r="C67" s="127">
        <v>2019</v>
      </c>
      <c r="D67" s="128" t="s">
        <v>233</v>
      </c>
      <c r="E67" s="127" t="s">
        <v>297</v>
      </c>
      <c r="F67" s="127" t="s">
        <v>298</v>
      </c>
      <c r="G67" s="127" t="s">
        <v>42</v>
      </c>
      <c r="H67" s="53" t="s">
        <v>160</v>
      </c>
      <c r="I67" s="53" t="s">
        <v>159</v>
      </c>
      <c r="J67" s="127" t="s">
        <v>38</v>
      </c>
      <c r="K67" s="53" t="s">
        <v>161</v>
      </c>
      <c r="L67" s="53">
        <v>3</v>
      </c>
      <c r="N67" s="53">
        <v>4</v>
      </c>
      <c r="O67" s="53">
        <v>0.75</v>
      </c>
      <c r="P67" s="53">
        <v>1.1000000000000001</v>
      </c>
      <c r="Q67" s="75">
        <f t="shared" si="3"/>
        <v>0.92500000000000004</v>
      </c>
      <c r="R67" s="53">
        <v>18.399999999999999</v>
      </c>
      <c r="S67" s="53">
        <v>110</v>
      </c>
      <c r="T67" s="16">
        <f t="shared" si="4"/>
        <v>33</v>
      </c>
      <c r="U67" s="53">
        <v>350</v>
      </c>
      <c r="V67" s="129">
        <f t="shared" si="5"/>
        <v>2887.5</v>
      </c>
      <c r="W67" s="53">
        <v>12</v>
      </c>
      <c r="X67" s="127" t="s">
        <v>46</v>
      </c>
      <c r="Y67" s="53" t="s">
        <v>97</v>
      </c>
      <c r="Z67" s="53" t="s">
        <v>86</v>
      </c>
      <c r="AA67" s="53" t="s">
        <v>55</v>
      </c>
      <c r="AB67" s="127" t="s">
        <v>258</v>
      </c>
      <c r="AC67" s="34"/>
    </row>
    <row r="68" spans="1:29" x14ac:dyDescent="0.15">
      <c r="A68" s="127" t="s">
        <v>61</v>
      </c>
      <c r="B68" s="127" t="s">
        <v>232</v>
      </c>
      <c r="C68" s="127">
        <v>2019</v>
      </c>
      <c r="D68" s="128" t="s">
        <v>233</v>
      </c>
      <c r="E68" s="127" t="s">
        <v>299</v>
      </c>
      <c r="F68" s="127" t="s">
        <v>298</v>
      </c>
      <c r="G68" s="127" t="s">
        <v>42</v>
      </c>
      <c r="H68" s="53" t="s">
        <v>164</v>
      </c>
      <c r="I68" s="53" t="s">
        <v>159</v>
      </c>
      <c r="J68" s="127" t="s">
        <v>38</v>
      </c>
      <c r="K68" s="53" t="s">
        <v>161</v>
      </c>
      <c r="L68" s="53">
        <v>1</v>
      </c>
      <c r="N68" s="53">
        <v>4</v>
      </c>
      <c r="O68" s="53">
        <v>0.75</v>
      </c>
      <c r="P68" s="53">
        <v>0.85</v>
      </c>
      <c r="Q68" s="75">
        <f t="shared" si="3"/>
        <v>0.8</v>
      </c>
      <c r="R68" s="53">
        <v>17.899999999999999</v>
      </c>
      <c r="S68" s="53">
        <v>80</v>
      </c>
      <c r="T68" s="16">
        <f t="shared" si="4"/>
        <v>39</v>
      </c>
      <c r="U68" s="53">
        <v>321</v>
      </c>
      <c r="V68" s="129">
        <f t="shared" si="5"/>
        <v>3129.75</v>
      </c>
      <c r="W68" s="53">
        <v>26</v>
      </c>
      <c r="X68" s="127" t="s">
        <v>46</v>
      </c>
      <c r="Y68" s="53" t="s">
        <v>97</v>
      </c>
      <c r="Z68" s="53" t="s">
        <v>69</v>
      </c>
      <c r="AA68" s="53" t="s">
        <v>55</v>
      </c>
      <c r="AB68" s="127" t="s">
        <v>258</v>
      </c>
      <c r="AC68" s="34"/>
    </row>
    <row r="69" spans="1:29" x14ac:dyDescent="0.15">
      <c r="A69" s="127" t="s">
        <v>61</v>
      </c>
      <c r="B69" s="127" t="s">
        <v>232</v>
      </c>
      <c r="C69" s="127">
        <v>2019</v>
      </c>
      <c r="D69" s="128" t="s">
        <v>233</v>
      </c>
      <c r="E69" s="127" t="s">
        <v>299</v>
      </c>
      <c r="F69" s="127" t="s">
        <v>298</v>
      </c>
      <c r="G69" s="127" t="s">
        <v>42</v>
      </c>
      <c r="H69" s="53" t="s">
        <v>164</v>
      </c>
      <c r="I69" s="53" t="s">
        <v>159</v>
      </c>
      <c r="J69" s="127" t="s">
        <v>38</v>
      </c>
      <c r="K69" s="53" t="s">
        <v>161</v>
      </c>
      <c r="L69" s="53">
        <v>2</v>
      </c>
      <c r="N69" s="53">
        <v>4</v>
      </c>
      <c r="O69" s="53">
        <v>0.5</v>
      </c>
      <c r="P69" s="53">
        <v>0.5</v>
      </c>
      <c r="Q69" s="75">
        <f t="shared" si="3"/>
        <v>0.5</v>
      </c>
      <c r="R69" s="53">
        <v>17.399999999999999</v>
      </c>
      <c r="S69" s="53">
        <v>79</v>
      </c>
      <c r="T69" s="16">
        <f t="shared" si="4"/>
        <v>39</v>
      </c>
      <c r="U69" s="53">
        <v>321</v>
      </c>
      <c r="V69" s="129">
        <f t="shared" si="5"/>
        <v>3129.75</v>
      </c>
      <c r="W69" s="53">
        <v>26</v>
      </c>
      <c r="X69" s="127" t="s">
        <v>46</v>
      </c>
      <c r="Y69" s="53" t="s">
        <v>97</v>
      </c>
      <c r="Z69" s="53" t="s">
        <v>69</v>
      </c>
      <c r="AA69" s="53" t="s">
        <v>55</v>
      </c>
      <c r="AB69" s="127" t="s">
        <v>258</v>
      </c>
      <c r="AC69" s="34"/>
    </row>
    <row r="70" spans="1:29" x14ac:dyDescent="0.15">
      <c r="A70" s="127" t="s">
        <v>61</v>
      </c>
      <c r="B70" s="127" t="s">
        <v>232</v>
      </c>
      <c r="C70" s="127">
        <v>2019</v>
      </c>
      <c r="D70" s="128" t="s">
        <v>233</v>
      </c>
      <c r="E70" s="127" t="s">
        <v>299</v>
      </c>
      <c r="F70" s="127" t="s">
        <v>298</v>
      </c>
      <c r="G70" s="127" t="s">
        <v>42</v>
      </c>
      <c r="H70" s="53" t="s">
        <v>164</v>
      </c>
      <c r="I70" s="53" t="s">
        <v>159</v>
      </c>
      <c r="J70" s="127" t="s">
        <v>38</v>
      </c>
      <c r="K70" s="53" t="s">
        <v>161</v>
      </c>
      <c r="L70" s="53">
        <v>3</v>
      </c>
      <c r="N70" s="53">
        <v>4</v>
      </c>
      <c r="O70" s="53">
        <v>0.75</v>
      </c>
      <c r="P70" s="53">
        <v>1</v>
      </c>
      <c r="Q70" s="75">
        <f t="shared" si="3"/>
        <v>0.875</v>
      </c>
      <c r="R70" s="53">
        <v>17.399999999999999</v>
      </c>
      <c r="S70" s="53">
        <v>75</v>
      </c>
      <c r="T70" s="16">
        <f t="shared" si="4"/>
        <v>42</v>
      </c>
      <c r="U70" s="53">
        <v>321</v>
      </c>
      <c r="V70" s="129">
        <f t="shared" si="5"/>
        <v>3370.5</v>
      </c>
      <c r="W70" s="53">
        <v>26</v>
      </c>
      <c r="X70" s="127" t="s">
        <v>46</v>
      </c>
      <c r="Y70" s="53" t="s">
        <v>97</v>
      </c>
      <c r="Z70" s="53" t="s">
        <v>69</v>
      </c>
      <c r="AA70" s="53" t="s">
        <v>55</v>
      </c>
      <c r="AB70" s="127" t="s">
        <v>258</v>
      </c>
      <c r="AC70" s="34"/>
    </row>
    <row r="71" spans="1:29" x14ac:dyDescent="0.15">
      <c r="A71" s="127" t="s">
        <v>61</v>
      </c>
      <c r="B71" s="127" t="s">
        <v>232</v>
      </c>
      <c r="C71" s="127">
        <v>2019</v>
      </c>
      <c r="D71" s="128" t="s">
        <v>233</v>
      </c>
      <c r="E71" s="127" t="s">
        <v>299</v>
      </c>
      <c r="F71" s="127" t="s">
        <v>298</v>
      </c>
      <c r="G71" s="127" t="s">
        <v>42</v>
      </c>
      <c r="H71" s="53" t="s">
        <v>194</v>
      </c>
      <c r="I71" s="53" t="s">
        <v>159</v>
      </c>
      <c r="J71" s="127" t="s">
        <v>38</v>
      </c>
      <c r="K71" s="53" t="s">
        <v>161</v>
      </c>
      <c r="L71" s="53">
        <v>1</v>
      </c>
      <c r="N71" s="53">
        <v>5</v>
      </c>
      <c r="O71" s="53">
        <v>0.5</v>
      </c>
      <c r="P71" s="53">
        <v>0.5</v>
      </c>
      <c r="Q71" s="75">
        <f t="shared" si="3"/>
        <v>0.5</v>
      </c>
      <c r="R71" s="53">
        <v>18.899999999999999</v>
      </c>
      <c r="S71" s="53">
        <v>78</v>
      </c>
      <c r="T71" s="16">
        <f t="shared" si="4"/>
        <v>39</v>
      </c>
      <c r="U71" s="53">
        <v>321</v>
      </c>
      <c r="V71" s="129">
        <f t="shared" si="5"/>
        <v>2503.8000000000002</v>
      </c>
      <c r="W71" s="53">
        <v>26</v>
      </c>
      <c r="X71" s="127" t="s">
        <v>46</v>
      </c>
      <c r="Y71" s="53" t="s">
        <v>97</v>
      </c>
      <c r="Z71" s="53" t="s">
        <v>69</v>
      </c>
      <c r="AA71" s="53" t="s">
        <v>55</v>
      </c>
      <c r="AB71" s="127" t="s">
        <v>258</v>
      </c>
      <c r="AC71" s="34"/>
    </row>
    <row r="72" spans="1:29" x14ac:dyDescent="0.15">
      <c r="A72" s="127" t="s">
        <v>61</v>
      </c>
      <c r="B72" s="127" t="s">
        <v>232</v>
      </c>
      <c r="C72" s="127">
        <v>2019</v>
      </c>
      <c r="D72" s="128" t="s">
        <v>233</v>
      </c>
      <c r="E72" s="127" t="s">
        <v>299</v>
      </c>
      <c r="F72" s="127" t="s">
        <v>298</v>
      </c>
      <c r="G72" s="127" t="s">
        <v>42</v>
      </c>
      <c r="H72" s="53" t="s">
        <v>194</v>
      </c>
      <c r="I72" s="53" t="s">
        <v>159</v>
      </c>
      <c r="J72" s="127" t="s">
        <v>38</v>
      </c>
      <c r="K72" s="53" t="s">
        <v>161</v>
      </c>
      <c r="L72" s="53">
        <v>2</v>
      </c>
      <c r="N72" s="53">
        <v>5</v>
      </c>
      <c r="O72" s="53">
        <v>0.5</v>
      </c>
      <c r="P72" s="53">
        <v>0.5</v>
      </c>
      <c r="Q72" s="75">
        <f t="shared" si="3"/>
        <v>0.5</v>
      </c>
      <c r="R72" s="53">
        <v>19</v>
      </c>
      <c r="S72" s="53">
        <v>81</v>
      </c>
      <c r="T72" s="16">
        <f t="shared" si="4"/>
        <v>39</v>
      </c>
      <c r="U72" s="53">
        <v>321</v>
      </c>
      <c r="V72" s="129">
        <f t="shared" si="5"/>
        <v>2503.8000000000002</v>
      </c>
      <c r="W72" s="53">
        <v>26</v>
      </c>
      <c r="X72" s="127" t="s">
        <v>46</v>
      </c>
      <c r="Y72" s="53" t="s">
        <v>97</v>
      </c>
      <c r="Z72" s="53" t="s">
        <v>69</v>
      </c>
      <c r="AA72" s="53" t="s">
        <v>55</v>
      </c>
      <c r="AB72" s="127" t="s">
        <v>258</v>
      </c>
      <c r="AC72" s="34"/>
    </row>
    <row r="73" spans="1:29" x14ac:dyDescent="0.15">
      <c r="A73" s="127" t="s">
        <v>61</v>
      </c>
      <c r="B73" s="127" t="s">
        <v>232</v>
      </c>
      <c r="C73" s="127">
        <v>2019</v>
      </c>
      <c r="D73" s="128" t="s">
        <v>233</v>
      </c>
      <c r="E73" s="127" t="s">
        <v>299</v>
      </c>
      <c r="F73" s="127" t="s">
        <v>298</v>
      </c>
      <c r="G73" s="127" t="s">
        <v>42</v>
      </c>
      <c r="H73" s="53" t="s">
        <v>194</v>
      </c>
      <c r="I73" s="53" t="s">
        <v>159</v>
      </c>
      <c r="J73" s="127" t="s">
        <v>38</v>
      </c>
      <c r="K73" s="53" t="s">
        <v>161</v>
      </c>
      <c r="L73" s="53">
        <v>3</v>
      </c>
      <c r="N73" s="53">
        <v>5</v>
      </c>
      <c r="O73" s="53">
        <v>0.5</v>
      </c>
      <c r="P73" s="53">
        <v>0.5</v>
      </c>
      <c r="Q73" s="75">
        <f t="shared" si="3"/>
        <v>0.5</v>
      </c>
      <c r="R73" s="53">
        <v>17.399999999999999</v>
      </c>
      <c r="S73" s="53">
        <v>76</v>
      </c>
      <c r="T73" s="16">
        <f t="shared" si="4"/>
        <v>39</v>
      </c>
      <c r="U73" s="53">
        <v>321</v>
      </c>
      <c r="V73" s="129">
        <f t="shared" si="5"/>
        <v>2503.8000000000002</v>
      </c>
      <c r="W73" s="53">
        <v>26</v>
      </c>
      <c r="X73" s="127" t="s">
        <v>46</v>
      </c>
      <c r="Y73" s="53" t="s">
        <v>97</v>
      </c>
      <c r="Z73" s="53" t="s">
        <v>69</v>
      </c>
      <c r="AA73" s="53" t="s">
        <v>55</v>
      </c>
      <c r="AB73" s="127" t="s">
        <v>258</v>
      </c>
      <c r="AC73" s="34"/>
    </row>
    <row r="74" spans="1:29" x14ac:dyDescent="0.15">
      <c r="A74" s="127" t="s">
        <v>61</v>
      </c>
      <c r="B74" s="127" t="s">
        <v>232</v>
      </c>
      <c r="C74" s="127">
        <v>2019</v>
      </c>
      <c r="D74" s="128" t="s">
        <v>233</v>
      </c>
      <c r="E74" s="127" t="s">
        <v>299</v>
      </c>
      <c r="F74" s="127" t="s">
        <v>298</v>
      </c>
      <c r="G74" s="127" t="s">
        <v>42</v>
      </c>
      <c r="H74" s="53" t="s">
        <v>160</v>
      </c>
      <c r="I74" s="53" t="s">
        <v>159</v>
      </c>
      <c r="J74" s="127" t="s">
        <v>38</v>
      </c>
      <c r="K74" s="53" t="s">
        <v>161</v>
      </c>
      <c r="L74" s="53">
        <v>1</v>
      </c>
      <c r="N74" s="53">
        <v>4</v>
      </c>
      <c r="O74" s="53">
        <v>0.75</v>
      </c>
      <c r="P74" s="53">
        <v>0.5</v>
      </c>
      <c r="Q74" s="75">
        <f t="shared" si="3"/>
        <v>0.625</v>
      </c>
      <c r="R74" s="53">
        <v>19.100000000000001</v>
      </c>
      <c r="S74" s="53">
        <v>98</v>
      </c>
      <c r="T74" s="16">
        <f t="shared" si="4"/>
        <v>36</v>
      </c>
      <c r="U74" s="53">
        <v>429</v>
      </c>
      <c r="V74" s="129">
        <f t="shared" si="5"/>
        <v>3861</v>
      </c>
      <c r="W74" s="53">
        <v>26</v>
      </c>
      <c r="X74" s="127" t="s">
        <v>46</v>
      </c>
      <c r="Y74" s="53" t="s">
        <v>97</v>
      </c>
      <c r="Z74" s="53" t="s">
        <v>69</v>
      </c>
      <c r="AA74" s="53" t="s">
        <v>55</v>
      </c>
      <c r="AB74" s="127" t="s">
        <v>258</v>
      </c>
    </row>
    <row r="75" spans="1:29" x14ac:dyDescent="0.15">
      <c r="A75" s="127" t="s">
        <v>61</v>
      </c>
      <c r="B75" s="127" t="s">
        <v>232</v>
      </c>
      <c r="C75" s="127">
        <v>2019</v>
      </c>
      <c r="D75" s="128" t="s">
        <v>233</v>
      </c>
      <c r="E75" s="127" t="s">
        <v>299</v>
      </c>
      <c r="F75" s="127" t="s">
        <v>298</v>
      </c>
      <c r="G75" s="127" t="s">
        <v>42</v>
      </c>
      <c r="H75" s="53" t="s">
        <v>160</v>
      </c>
      <c r="I75" s="53" t="s">
        <v>159</v>
      </c>
      <c r="J75" s="127" t="s">
        <v>38</v>
      </c>
      <c r="K75" s="53" t="s">
        <v>161</v>
      </c>
      <c r="L75" s="53">
        <v>2</v>
      </c>
      <c r="N75" s="53">
        <v>4</v>
      </c>
      <c r="O75" s="53">
        <v>0.5</v>
      </c>
      <c r="P75" s="53">
        <v>0.5</v>
      </c>
      <c r="Q75" s="75">
        <f t="shared" si="3"/>
        <v>0.5</v>
      </c>
      <c r="R75" s="53">
        <v>18.2</v>
      </c>
      <c r="S75" s="53">
        <v>91</v>
      </c>
      <c r="T75" s="16">
        <f t="shared" si="4"/>
        <v>36</v>
      </c>
      <c r="U75" s="53">
        <v>429</v>
      </c>
      <c r="V75" s="129">
        <f t="shared" si="5"/>
        <v>3861</v>
      </c>
      <c r="W75" s="53">
        <v>26</v>
      </c>
      <c r="X75" s="127" t="s">
        <v>46</v>
      </c>
      <c r="Y75" s="53" t="s">
        <v>97</v>
      </c>
      <c r="Z75" s="53" t="s">
        <v>69</v>
      </c>
      <c r="AA75" s="53" t="s">
        <v>55</v>
      </c>
      <c r="AB75" s="127" t="s">
        <v>258</v>
      </c>
    </row>
    <row r="76" spans="1:29" x14ac:dyDescent="0.15">
      <c r="A76" s="127" t="s">
        <v>61</v>
      </c>
      <c r="B76" s="127" t="s">
        <v>232</v>
      </c>
      <c r="C76" s="127">
        <v>2019</v>
      </c>
      <c r="D76" s="128" t="s">
        <v>233</v>
      </c>
      <c r="E76" s="127" t="s">
        <v>299</v>
      </c>
      <c r="F76" s="127" t="s">
        <v>298</v>
      </c>
      <c r="G76" s="127" t="s">
        <v>42</v>
      </c>
      <c r="H76" s="53" t="s">
        <v>160</v>
      </c>
      <c r="I76" s="53" t="s">
        <v>159</v>
      </c>
      <c r="J76" s="127" t="s">
        <v>38</v>
      </c>
      <c r="K76" s="53" t="s">
        <v>161</v>
      </c>
      <c r="L76" s="53">
        <v>3</v>
      </c>
      <c r="N76" s="53">
        <v>4</v>
      </c>
      <c r="O76" s="53">
        <v>0.5</v>
      </c>
      <c r="P76" s="53">
        <v>0.5</v>
      </c>
      <c r="Q76" s="75">
        <f t="shared" si="3"/>
        <v>0.5</v>
      </c>
      <c r="R76" s="53">
        <v>17.899999999999999</v>
      </c>
      <c r="S76" s="53">
        <v>101</v>
      </c>
      <c r="T76" s="16">
        <f t="shared" si="4"/>
        <v>33</v>
      </c>
      <c r="U76" s="53">
        <v>429</v>
      </c>
      <c r="V76" s="129">
        <f t="shared" si="5"/>
        <v>3539.25</v>
      </c>
      <c r="W76" s="53">
        <v>26</v>
      </c>
      <c r="X76" s="127" t="s">
        <v>46</v>
      </c>
      <c r="Y76" s="53" t="s">
        <v>97</v>
      </c>
      <c r="Z76" s="53" t="s">
        <v>69</v>
      </c>
      <c r="AA76" s="53" t="s">
        <v>55</v>
      </c>
      <c r="AB76" s="127" t="s">
        <v>258</v>
      </c>
    </row>
    <row r="77" spans="1:29" x14ac:dyDescent="0.15">
      <c r="A77" s="127"/>
      <c r="B77" s="127"/>
      <c r="C77" s="127"/>
      <c r="D77" s="128"/>
      <c r="E77" s="127"/>
      <c r="F77" s="127"/>
      <c r="G77" s="127"/>
      <c r="J77" s="127"/>
      <c r="Q77" s="75" t="str">
        <f t="shared" si="3"/>
        <v/>
      </c>
      <c r="T77" s="16" t="str">
        <f t="shared" si="4"/>
        <v/>
      </c>
      <c r="V77" s="129" t="str">
        <f t="shared" si="5"/>
        <v/>
      </c>
      <c r="X77" s="127"/>
      <c r="AB77" s="127"/>
      <c r="AC77" s="34"/>
    </row>
    <row r="78" spans="1:29" x14ac:dyDescent="0.15">
      <c r="A78" s="127"/>
      <c r="B78" s="127"/>
      <c r="C78" s="127"/>
      <c r="D78" s="128"/>
      <c r="E78" s="127"/>
      <c r="F78" s="127"/>
      <c r="G78" s="127"/>
      <c r="J78" s="127"/>
      <c r="Q78" s="75" t="str">
        <f t="shared" si="3"/>
        <v/>
      </c>
      <c r="R78" s="34"/>
      <c r="T78" s="16" t="str">
        <f t="shared" si="4"/>
        <v/>
      </c>
      <c r="V78" s="129" t="str">
        <f t="shared" si="5"/>
        <v/>
      </c>
      <c r="X78" s="127"/>
      <c r="AB78" s="127"/>
      <c r="AC78" s="34"/>
    </row>
    <row r="79" spans="1:29" x14ac:dyDescent="0.15">
      <c r="A79" s="127"/>
      <c r="B79" s="127"/>
      <c r="C79" s="127"/>
      <c r="D79" s="128"/>
      <c r="F79" s="127"/>
      <c r="G79" s="127"/>
      <c r="J79" s="127"/>
      <c r="Q79" s="75" t="str">
        <f t="shared" si="3"/>
        <v/>
      </c>
      <c r="R79" s="34"/>
      <c r="T79" s="16" t="str">
        <f t="shared" si="4"/>
        <v/>
      </c>
      <c r="V79" s="129" t="str">
        <f t="shared" si="5"/>
        <v/>
      </c>
      <c r="X79" s="127"/>
      <c r="AB79" s="127"/>
      <c r="AC79" s="34"/>
    </row>
    <row r="80" spans="1:29" x14ac:dyDescent="0.15">
      <c r="A80" s="127"/>
      <c r="B80" s="127"/>
      <c r="C80" s="127"/>
      <c r="D80" s="128"/>
      <c r="F80" s="127"/>
      <c r="G80" s="127"/>
      <c r="J80" s="127"/>
      <c r="Q80" s="75" t="str">
        <f t="shared" si="3"/>
        <v/>
      </c>
      <c r="T80" s="16" t="str">
        <f t="shared" si="4"/>
        <v/>
      </c>
      <c r="V80" s="129" t="str">
        <f t="shared" si="5"/>
        <v/>
      </c>
      <c r="X80" s="127"/>
      <c r="AB80" s="127"/>
      <c r="AC80" s="34"/>
    </row>
    <row r="81" spans="1:29" x14ac:dyDescent="0.15">
      <c r="A81" s="127"/>
      <c r="B81" s="127"/>
      <c r="C81" s="127"/>
      <c r="D81" s="128"/>
      <c r="F81" s="127"/>
      <c r="G81" s="127"/>
      <c r="J81" s="127"/>
      <c r="Q81" s="75" t="str">
        <f t="shared" si="3"/>
        <v/>
      </c>
      <c r="T81" s="16" t="str">
        <f t="shared" si="4"/>
        <v/>
      </c>
      <c r="V81" s="129" t="str">
        <f t="shared" si="5"/>
        <v/>
      </c>
      <c r="X81" s="127"/>
      <c r="AB81" s="127"/>
      <c r="AC81" s="34"/>
    </row>
    <row r="82" spans="1:29" x14ac:dyDescent="0.15">
      <c r="A82" s="127"/>
      <c r="B82" s="127"/>
      <c r="C82" s="127"/>
      <c r="D82" s="128"/>
      <c r="G82" s="127"/>
      <c r="J82" s="127"/>
      <c r="Q82" s="75" t="str">
        <f t="shared" si="3"/>
        <v/>
      </c>
      <c r="T82" s="16" t="str">
        <f t="shared" si="4"/>
        <v/>
      </c>
      <c r="V82" s="129" t="str">
        <f t="shared" si="5"/>
        <v/>
      </c>
      <c r="X82" s="127"/>
      <c r="AB82" s="127"/>
      <c r="AC82" s="34"/>
    </row>
    <row r="83" spans="1:29" x14ac:dyDescent="0.15">
      <c r="A83" s="127"/>
      <c r="B83" s="127"/>
      <c r="C83" s="127"/>
      <c r="D83" s="128"/>
      <c r="G83" s="127"/>
      <c r="J83" s="127"/>
      <c r="Q83" s="75"/>
      <c r="V83" s="129"/>
      <c r="X83" s="127"/>
      <c r="AB83" s="127"/>
    </row>
    <row r="84" spans="1:29" x14ac:dyDescent="0.15">
      <c r="A84" s="127"/>
      <c r="B84" s="127"/>
      <c r="C84" s="127"/>
      <c r="D84" s="128"/>
      <c r="G84" s="127"/>
      <c r="J84" s="127"/>
      <c r="Q84" s="75"/>
      <c r="V84" s="129"/>
      <c r="X84" s="127"/>
      <c r="AB84" s="127"/>
    </row>
    <row r="85" spans="1:29" x14ac:dyDescent="0.15">
      <c r="A85" s="127"/>
      <c r="B85" s="127"/>
      <c r="C85" s="127"/>
      <c r="D85" s="128"/>
      <c r="G85" s="127"/>
      <c r="J85" s="127"/>
      <c r="Q85" s="75"/>
      <c r="V85" s="129"/>
      <c r="X85" s="127"/>
      <c r="AB85" s="127"/>
    </row>
    <row r="86" spans="1:29" x14ac:dyDescent="0.15">
      <c r="A86" s="127"/>
      <c r="B86" s="127"/>
      <c r="C86" s="127"/>
      <c r="D86" s="128"/>
      <c r="G86" s="127"/>
      <c r="J86" s="127"/>
      <c r="Q86" s="75" t="str">
        <f t="shared" ref="Q86:Q88" si="6">IF(OR(O86="",P86=""),"",AVERAGE(O86,P86))</f>
        <v/>
      </c>
      <c r="T86" s="16" t="str">
        <f>IF(H86="","",IF(OR(H86="GREEN",H86="GK"),IF(S86&gt;=$AX$2,VLOOKUP(S86,$AX$2:$AY$15,2,1),""),IF(S86&gt;=$AZ$2,VLOOKUP(S86,$AZ$2:$BA$15,2,1),"")))</f>
        <v/>
      </c>
      <c r="V86" s="129" t="str">
        <f t="shared" ref="V86:V88" si="7">IF(OR(N86="",U86="",T86=""),"",U86/N86*T86)</f>
        <v/>
      </c>
      <c r="X86" s="127"/>
      <c r="AB86" s="127"/>
    </row>
    <row r="87" spans="1:29" x14ac:dyDescent="0.15">
      <c r="A87" s="127"/>
      <c r="B87" s="127"/>
      <c r="C87" s="127"/>
      <c r="D87" s="128"/>
      <c r="G87" s="127"/>
      <c r="J87" s="127"/>
      <c r="Q87" s="75" t="str">
        <f t="shared" si="6"/>
        <v/>
      </c>
      <c r="T87" s="16" t="str">
        <f>IF(H87="","",IF(OR(H87="GREEN",H87="GK"),IF(S87&gt;=$AX$2,VLOOKUP(S87,$AX$2:$AY$15,2,1),""),IF(S87&gt;=$AZ$2,VLOOKUP(S87,$AZ$2:$BA$15,2,1),"")))</f>
        <v/>
      </c>
      <c r="V87" s="129" t="str">
        <f t="shared" si="7"/>
        <v/>
      </c>
      <c r="X87" s="127"/>
      <c r="AB87" s="127"/>
    </row>
    <row r="88" spans="1:29" x14ac:dyDescent="0.15">
      <c r="A88" s="127"/>
      <c r="B88" s="127"/>
      <c r="C88" s="127"/>
      <c r="D88" s="128"/>
      <c r="G88" s="127"/>
      <c r="J88" s="127"/>
      <c r="Q88" s="75" t="str">
        <f t="shared" si="6"/>
        <v/>
      </c>
      <c r="T88" s="16" t="str">
        <f>IF(H88="","",IF(OR(H88="GREEN",H88="GK"),IF(S88&gt;=$AX$2,VLOOKUP(S88,$AX$2:$AY$15,2,1),""),IF(S88&gt;=$AZ$2,VLOOKUP(S88,$AZ$2:$BA$15,2,1),"")))</f>
        <v/>
      </c>
      <c r="V88" s="129" t="str">
        <f t="shared" si="7"/>
        <v/>
      </c>
      <c r="X88" s="127"/>
      <c r="AB88" s="127"/>
    </row>
    <row r="89" spans="1:29" x14ac:dyDescent="0.15">
      <c r="A89" s="127"/>
      <c r="B89" s="127"/>
      <c r="C89" s="127"/>
      <c r="D89" s="128"/>
      <c r="G89" s="127"/>
      <c r="J89" s="127"/>
      <c r="Q89" s="75"/>
      <c r="V89" s="129"/>
      <c r="X89" s="127"/>
      <c r="AB89" s="127"/>
    </row>
    <row r="90" spans="1:29" x14ac:dyDescent="0.15">
      <c r="A90" s="127"/>
      <c r="B90" s="127"/>
      <c r="C90" s="127"/>
      <c r="D90" s="128"/>
      <c r="G90" s="127"/>
      <c r="J90" s="127"/>
      <c r="Q90" s="75"/>
      <c r="V90" s="129"/>
      <c r="X90" s="127"/>
      <c r="AB90" s="127"/>
    </row>
    <row r="91" spans="1:29" x14ac:dyDescent="0.15">
      <c r="A91" s="127"/>
      <c r="B91" s="127"/>
      <c r="C91" s="127"/>
      <c r="D91" s="128"/>
      <c r="G91" s="127"/>
      <c r="J91" s="127"/>
      <c r="Q91" s="75"/>
      <c r="V91" s="129"/>
      <c r="X91" s="127"/>
      <c r="AB91" s="127"/>
    </row>
    <row r="92" spans="1:29" x14ac:dyDescent="0.15">
      <c r="A92" s="127"/>
      <c r="B92" s="127"/>
      <c r="C92" s="127"/>
      <c r="D92" s="128"/>
      <c r="G92" s="127"/>
      <c r="J92" s="127"/>
      <c r="Q92" s="75"/>
      <c r="V92" s="129"/>
      <c r="X92" s="127"/>
      <c r="AB92" s="127"/>
    </row>
    <row r="93" spans="1:29" x14ac:dyDescent="0.15">
      <c r="A93" s="127"/>
      <c r="B93" s="127"/>
      <c r="C93" s="127"/>
      <c r="D93" s="128"/>
      <c r="G93" s="127"/>
      <c r="J93" s="127"/>
      <c r="Q93" s="75"/>
      <c r="V93" s="129"/>
      <c r="X93" s="127"/>
      <c r="AB93" s="127"/>
    </row>
    <row r="94" spans="1:29" x14ac:dyDescent="0.15">
      <c r="A94" s="127"/>
      <c r="B94" s="127"/>
      <c r="C94" s="127"/>
      <c r="D94" s="128"/>
      <c r="G94" s="127"/>
      <c r="J94" s="127"/>
      <c r="Q94" s="75"/>
      <c r="V94" s="129"/>
      <c r="X94" s="127"/>
      <c r="AB94" s="127"/>
    </row>
    <row r="95" spans="1:29" x14ac:dyDescent="0.15">
      <c r="A95" s="127"/>
      <c r="B95" s="127"/>
      <c r="C95" s="127"/>
      <c r="D95" s="128"/>
      <c r="G95" s="127"/>
      <c r="J95" s="127"/>
      <c r="Q95" s="75"/>
      <c r="V95" s="129"/>
      <c r="X95" s="127"/>
      <c r="AB95" s="127"/>
    </row>
    <row r="96" spans="1:29"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A98" s="127"/>
      <c r="B98" s="127"/>
      <c r="C98" s="127"/>
      <c r="D98" s="128"/>
      <c r="G98" s="127"/>
      <c r="J98" s="127"/>
      <c r="Q98" s="75"/>
      <c r="V98" s="129"/>
      <c r="X98" s="127"/>
      <c r="AB98" s="127"/>
    </row>
    <row r="99" spans="1:28" x14ac:dyDescent="0.15">
      <c r="A99" s="127"/>
      <c r="B99" s="127"/>
      <c r="C99" s="127"/>
      <c r="D99" s="128"/>
      <c r="G99" s="127"/>
      <c r="J99" s="127"/>
      <c r="Q99" s="75"/>
      <c r="V99" s="129"/>
      <c r="X99" s="127"/>
      <c r="AB99" s="127"/>
    </row>
    <row r="100" spans="1:28" x14ac:dyDescent="0.15">
      <c r="A100" s="127"/>
      <c r="B100" s="127"/>
      <c r="C100" s="127"/>
      <c r="D100" s="128"/>
      <c r="G100" s="127"/>
      <c r="J100" s="127"/>
      <c r="Q100" s="75"/>
      <c r="V100" s="129"/>
      <c r="X100" s="127"/>
      <c r="AB100" s="127"/>
    </row>
    <row r="101" spans="1:28" x14ac:dyDescent="0.15">
      <c r="A101" s="127"/>
      <c r="B101" s="127"/>
      <c r="C101" s="127"/>
      <c r="D101" s="128"/>
      <c r="G101" s="127"/>
      <c r="J101" s="127"/>
      <c r="Q101" s="75"/>
      <c r="V101" s="129"/>
      <c r="X101" s="127"/>
      <c r="AB101" s="127"/>
    </row>
    <row r="102" spans="1:28" x14ac:dyDescent="0.15">
      <c r="A102" s="127"/>
      <c r="B102" s="127"/>
      <c r="C102" s="127"/>
      <c r="D102" s="128"/>
      <c r="G102" s="127"/>
      <c r="J102" s="127"/>
      <c r="Q102" s="75"/>
      <c r="V102" s="129"/>
      <c r="X102" s="127"/>
      <c r="AB102" s="127"/>
    </row>
    <row r="103" spans="1:28" x14ac:dyDescent="0.15">
      <c r="A103" s="127"/>
      <c r="B103" s="127"/>
      <c r="C103" s="127"/>
      <c r="D103" s="128"/>
      <c r="G103" s="127"/>
      <c r="J103" s="127"/>
      <c r="Q103" s="75"/>
      <c r="V103" s="129"/>
      <c r="X103" s="127"/>
      <c r="AB103" s="127"/>
    </row>
    <row r="104" spans="1:28" x14ac:dyDescent="0.15">
      <c r="D104" s="128"/>
    </row>
    <row r="105" spans="1:28" x14ac:dyDescent="0.15">
      <c r="A105" s="127"/>
      <c r="B105" s="127"/>
      <c r="C105" s="127"/>
      <c r="D105" s="128"/>
      <c r="G105" s="127"/>
      <c r="J105" s="127"/>
      <c r="Q105" s="75"/>
      <c r="V105" s="129"/>
      <c r="X105" s="127"/>
      <c r="AB105" s="127"/>
    </row>
    <row r="106" spans="1:28" x14ac:dyDescent="0.15">
      <c r="A106" s="127"/>
      <c r="B106" s="127"/>
      <c r="C106" s="127"/>
      <c r="G106" s="127"/>
      <c r="J106" s="127"/>
      <c r="Q106" s="75"/>
      <c r="V106" s="129"/>
      <c r="X106" s="127"/>
      <c r="AB106" s="127"/>
    </row>
    <row r="107" spans="1:28" x14ac:dyDescent="0.15">
      <c r="A107" s="127"/>
      <c r="B107" s="127"/>
      <c r="C107" s="127"/>
      <c r="D107" s="128"/>
      <c r="G107" s="127"/>
      <c r="J107" s="127"/>
      <c r="Q107" s="75"/>
      <c r="V107" s="129"/>
      <c r="X107" s="127"/>
      <c r="AB107" s="127"/>
    </row>
    <row r="108" spans="1:28" x14ac:dyDescent="0.15">
      <c r="A108" s="127"/>
      <c r="B108" s="127"/>
      <c r="C108" s="127"/>
      <c r="D108" s="128"/>
      <c r="G108" s="127"/>
      <c r="J108" s="127"/>
      <c r="Q108" s="75"/>
      <c r="V108" s="129"/>
      <c r="X108" s="127"/>
      <c r="AB108" s="127"/>
    </row>
    <row r="109" spans="1:28" x14ac:dyDescent="0.15">
      <c r="A109" s="127"/>
      <c r="B109" s="127"/>
      <c r="C109" s="127"/>
      <c r="D109" s="128"/>
      <c r="G109" s="127"/>
      <c r="J109" s="127"/>
      <c r="Q109" s="75"/>
      <c r="V109" s="129"/>
      <c r="X109" s="127"/>
      <c r="AB109" s="127"/>
    </row>
    <row r="110" spans="1:28" x14ac:dyDescent="0.15">
      <c r="A110" s="127"/>
      <c r="B110" s="127"/>
      <c r="C110" s="127"/>
      <c r="D110" s="128"/>
      <c r="G110" s="127"/>
      <c r="J110" s="127"/>
      <c r="Q110" s="75"/>
      <c r="V110" s="129"/>
      <c r="X110" s="127"/>
      <c r="AB110" s="127"/>
    </row>
    <row r="111" spans="1:28" x14ac:dyDescent="0.15">
      <c r="A111" s="127"/>
      <c r="B111" s="127"/>
      <c r="C111" s="127"/>
      <c r="D111" s="128"/>
      <c r="G111" s="127"/>
      <c r="J111" s="127"/>
      <c r="Q111" s="75"/>
      <c r="V111" s="129"/>
      <c r="X111" s="127"/>
      <c r="AB111" s="127"/>
    </row>
    <row r="112" spans="1:28" x14ac:dyDescent="0.15">
      <c r="A112" s="127"/>
      <c r="B112" s="127"/>
      <c r="C112" s="127"/>
      <c r="D112" s="128"/>
      <c r="G112" s="127"/>
      <c r="J112" s="127"/>
      <c r="Q112" s="75"/>
      <c r="V112" s="129"/>
      <c r="X112" s="127"/>
      <c r="AB112" s="127"/>
    </row>
    <row r="113" spans="1:28" x14ac:dyDescent="0.15">
      <c r="A113" s="127"/>
      <c r="B113" s="127"/>
      <c r="C113" s="127"/>
      <c r="D113" s="128"/>
      <c r="G113" s="127"/>
      <c r="J113" s="127"/>
      <c r="Q113" s="75"/>
      <c r="V113" s="129"/>
      <c r="X113" s="127"/>
      <c r="AB113" s="127"/>
    </row>
    <row r="114" spans="1:28" x14ac:dyDescent="0.15">
      <c r="A114" s="127"/>
      <c r="B114" s="127"/>
      <c r="C114" s="127"/>
      <c r="D114" s="128"/>
      <c r="G114" s="127"/>
      <c r="J114" s="127"/>
      <c r="Q114" s="75"/>
      <c r="V114" s="129"/>
      <c r="X114" s="127"/>
      <c r="AB114" s="127"/>
    </row>
    <row r="115" spans="1:28" x14ac:dyDescent="0.15">
      <c r="A115" s="127"/>
      <c r="B115" s="127"/>
      <c r="C115" s="127"/>
      <c r="D115" s="128"/>
      <c r="G115" s="127"/>
      <c r="J115" s="127"/>
      <c r="Q115" s="75"/>
      <c r="V115" s="129"/>
      <c r="X115" s="127"/>
      <c r="AB115" s="127"/>
    </row>
    <row r="116" spans="1:28" x14ac:dyDescent="0.15">
      <c r="A116" s="127"/>
      <c r="B116" s="127"/>
      <c r="C116" s="127"/>
      <c r="D116" s="128"/>
      <c r="G116" s="127"/>
      <c r="J116" s="127"/>
      <c r="Q116" s="75"/>
      <c r="V116" s="129"/>
      <c r="X116" s="127"/>
      <c r="AB116" s="127"/>
    </row>
    <row r="117" spans="1:28" x14ac:dyDescent="0.15">
      <c r="A117" s="127"/>
      <c r="B117" s="127"/>
      <c r="C117" s="127"/>
      <c r="D117" s="128"/>
      <c r="G117" s="127"/>
      <c r="J117" s="127"/>
      <c r="Q117" s="75"/>
      <c r="V117" s="129"/>
      <c r="X117" s="127"/>
      <c r="AB117" s="127"/>
    </row>
    <row r="118" spans="1:28" x14ac:dyDescent="0.15">
      <c r="A118" s="127"/>
      <c r="B118" s="127"/>
      <c r="C118" s="127"/>
      <c r="D118" s="128"/>
      <c r="G118" s="127"/>
      <c r="J118" s="127"/>
      <c r="Q118" s="75"/>
      <c r="V118" s="129"/>
      <c r="X118" s="127"/>
      <c r="AB118" s="127"/>
    </row>
    <row r="119" spans="1:28" x14ac:dyDescent="0.15">
      <c r="A119" s="127"/>
      <c r="B119" s="127"/>
      <c r="C119" s="127"/>
      <c r="D119" s="128"/>
      <c r="G119" s="127"/>
      <c r="J119" s="127"/>
      <c r="Q119" s="75"/>
      <c r="V119" s="129"/>
      <c r="X119" s="127"/>
      <c r="AB119" s="127"/>
    </row>
    <row r="120" spans="1:28" x14ac:dyDescent="0.15">
      <c r="A120" s="127"/>
      <c r="B120" s="127"/>
      <c r="C120" s="127"/>
      <c r="D120" s="128"/>
      <c r="G120" s="127"/>
      <c r="J120" s="127"/>
      <c r="Q120" s="75"/>
      <c r="V120" s="129"/>
      <c r="X120" s="127"/>
      <c r="AB120" s="127"/>
    </row>
    <row r="121" spans="1:28" x14ac:dyDescent="0.15">
      <c r="A121" s="127"/>
      <c r="B121" s="127"/>
      <c r="C121" s="127"/>
      <c r="D121" s="128"/>
      <c r="G121" s="127"/>
      <c r="J121" s="127"/>
      <c r="Q121" s="75"/>
      <c r="V121" s="129"/>
      <c r="X121" s="127"/>
      <c r="AB121" s="127"/>
    </row>
    <row r="122" spans="1:28" x14ac:dyDescent="0.15">
      <c r="D122" s="128"/>
    </row>
    <row r="123" spans="1:28" x14ac:dyDescent="0.15">
      <c r="D123" s="128"/>
    </row>
  </sheetData>
  <autoFilter ref="A1:BA1" xr:uid="{00000000-0009-0000-0000-000004000000}"/>
  <phoneticPr fontId="3"/>
  <dataValidations count="21">
    <dataValidation type="list" allowBlank="1" showInputMessage="1" showErrorMessage="1" sqref="K2:K129" xr:uid="{2740AB9E-F0C0-40A5-8C39-B19434D380B1}">
      <formula1>$AR$2:$AR$26</formula1>
    </dataValidation>
    <dataValidation type="list" allowBlank="1" showInputMessage="1" showErrorMessage="1" sqref="I64415:I64420 WVQ981898:WVQ981903 WLU981898:WLU981903 WBY981898:WBY981903 VSC981898:VSC981903 VIG981898:VIG981903 UYK981898:UYK981903 UOO981898:UOO981903 UES981898:UES981903 TUW981898:TUW981903 TLA981898:TLA981903 TBE981898:TBE981903 SRI981898:SRI981903 SHM981898:SHM981903 RXQ981898:RXQ981903 RNU981898:RNU981903 RDY981898:RDY981903 QUC981898:QUC981903 QKG981898:QKG981903 QAK981898:QAK981903 PQO981898:PQO981903 PGS981898:PGS981903 OWW981898:OWW981903 ONA981898:ONA981903 ODE981898:ODE981903 NTI981898:NTI981903 NJM981898:NJM981903 MZQ981898:MZQ981903 MPU981898:MPU981903 MFY981898:MFY981903 LWC981898:LWC981903 LMG981898:LMG981903 LCK981898:LCK981903 KSO981898:KSO981903 KIS981898:KIS981903 JYW981898:JYW981903 JPA981898:JPA981903 JFE981898:JFE981903 IVI981898:IVI981903 ILM981898:ILM981903 IBQ981898:IBQ981903 HRU981898:HRU981903 HHY981898:HHY981903 GYC981898:GYC981903 GOG981898:GOG981903 GEK981898:GEK981903 FUO981898:FUO981903 FKS981898:FKS981903 FAW981898:FAW981903 ERA981898:ERA981903 EHE981898:EHE981903 DXI981898:DXI981903 DNM981898:DNM981903 DDQ981898:DDQ981903 CTU981898:CTU981903 CJY981898:CJY981903 CAC981898:CAC981903 BQG981898:BQG981903 BGK981898:BGK981903 AWO981898:AWO981903 AMS981898:AMS981903 ACW981898:ACW981903 TA981898:TA981903 JE981898:JE981903 I981919:I981924 WVQ916362:WVQ916367 WLU916362:WLU916367 WBY916362:WBY916367 VSC916362:VSC916367 VIG916362:VIG916367 UYK916362:UYK916367 UOO916362:UOO916367 UES916362:UES916367 TUW916362:TUW916367 TLA916362:TLA916367 TBE916362:TBE916367 SRI916362:SRI916367 SHM916362:SHM916367 RXQ916362:RXQ916367 RNU916362:RNU916367 RDY916362:RDY916367 QUC916362:QUC916367 QKG916362:QKG916367 QAK916362:QAK916367 PQO916362:PQO916367 PGS916362:PGS916367 OWW916362:OWW916367 ONA916362:ONA916367 ODE916362:ODE916367 NTI916362:NTI916367 NJM916362:NJM916367 MZQ916362:MZQ916367 MPU916362:MPU916367 MFY916362:MFY916367 LWC916362:LWC916367 LMG916362:LMG916367 LCK916362:LCK916367 KSO916362:KSO916367 KIS916362:KIS916367 JYW916362:JYW916367 JPA916362:JPA916367 JFE916362:JFE916367 IVI916362:IVI916367 ILM916362:ILM916367 IBQ916362:IBQ916367 HRU916362:HRU916367 HHY916362:HHY916367 GYC916362:GYC916367 GOG916362:GOG916367 GEK916362:GEK916367 FUO916362:FUO916367 FKS916362:FKS916367 FAW916362:FAW916367 ERA916362:ERA916367 EHE916362:EHE916367 DXI916362:DXI916367 DNM916362:DNM916367 DDQ916362:DDQ916367 CTU916362:CTU916367 CJY916362:CJY916367 CAC916362:CAC916367 BQG916362:BQG916367 BGK916362:BGK916367 AWO916362:AWO916367 AMS916362:AMS916367 ACW916362:ACW916367 TA916362:TA916367 JE916362:JE916367 I916383:I916388 WVQ850826:WVQ850831 WLU850826:WLU850831 WBY850826:WBY850831 VSC850826:VSC850831 VIG850826:VIG850831 UYK850826:UYK850831 UOO850826:UOO850831 UES850826:UES850831 TUW850826:TUW850831 TLA850826:TLA850831 TBE850826:TBE850831 SRI850826:SRI850831 SHM850826:SHM850831 RXQ850826:RXQ850831 RNU850826:RNU850831 RDY850826:RDY850831 QUC850826:QUC850831 QKG850826:QKG850831 QAK850826:QAK850831 PQO850826:PQO850831 PGS850826:PGS850831 OWW850826:OWW850831 ONA850826:ONA850831 ODE850826:ODE850831 NTI850826:NTI850831 NJM850826:NJM850831 MZQ850826:MZQ850831 MPU850826:MPU850831 MFY850826:MFY850831 LWC850826:LWC850831 LMG850826:LMG850831 LCK850826:LCK850831 KSO850826:KSO850831 KIS850826:KIS850831 JYW850826:JYW850831 JPA850826:JPA850831 JFE850826:JFE850831 IVI850826:IVI850831 ILM850826:ILM850831 IBQ850826:IBQ850831 HRU850826:HRU850831 HHY850826:HHY850831 GYC850826:GYC850831 GOG850826:GOG850831 GEK850826:GEK850831 FUO850826:FUO850831 FKS850826:FKS850831 FAW850826:FAW850831 ERA850826:ERA850831 EHE850826:EHE850831 DXI850826:DXI850831 DNM850826:DNM850831 DDQ850826:DDQ850831 CTU850826:CTU850831 CJY850826:CJY850831 CAC850826:CAC850831 BQG850826:BQG850831 BGK850826:BGK850831 AWO850826:AWO850831 AMS850826:AMS850831 ACW850826:ACW850831 TA850826:TA850831 JE850826:JE850831 I850847:I850852 WVQ785290:WVQ785295 WLU785290:WLU785295 WBY785290:WBY785295 VSC785290:VSC785295 VIG785290:VIG785295 UYK785290:UYK785295 UOO785290:UOO785295 UES785290:UES785295 TUW785290:TUW785295 TLA785290:TLA785295 TBE785290:TBE785295 SRI785290:SRI785295 SHM785290:SHM785295 RXQ785290:RXQ785295 RNU785290:RNU785295 RDY785290:RDY785295 QUC785290:QUC785295 QKG785290:QKG785295 QAK785290:QAK785295 PQO785290:PQO785295 PGS785290:PGS785295 OWW785290:OWW785295 ONA785290:ONA785295 ODE785290:ODE785295 NTI785290:NTI785295 NJM785290:NJM785295 MZQ785290:MZQ785295 MPU785290:MPU785295 MFY785290:MFY785295 LWC785290:LWC785295 LMG785290:LMG785295 LCK785290:LCK785295 KSO785290:KSO785295 KIS785290:KIS785295 JYW785290:JYW785295 JPA785290:JPA785295 JFE785290:JFE785295 IVI785290:IVI785295 ILM785290:ILM785295 IBQ785290:IBQ785295 HRU785290:HRU785295 HHY785290:HHY785295 GYC785290:GYC785295 GOG785290:GOG785295 GEK785290:GEK785295 FUO785290:FUO785295 FKS785290:FKS785295 FAW785290:FAW785295 ERA785290:ERA785295 EHE785290:EHE785295 DXI785290:DXI785295 DNM785290:DNM785295 DDQ785290:DDQ785295 CTU785290:CTU785295 CJY785290:CJY785295 CAC785290:CAC785295 BQG785290:BQG785295 BGK785290:BGK785295 AWO785290:AWO785295 AMS785290:AMS785295 ACW785290:ACW785295 TA785290:TA785295 JE785290:JE785295 I785311:I785316 WVQ719754:WVQ719759 WLU719754:WLU719759 WBY719754:WBY719759 VSC719754:VSC719759 VIG719754:VIG719759 UYK719754:UYK719759 UOO719754:UOO719759 UES719754:UES719759 TUW719754:TUW719759 TLA719754:TLA719759 TBE719754:TBE719759 SRI719754:SRI719759 SHM719754:SHM719759 RXQ719754:RXQ719759 RNU719754:RNU719759 RDY719754:RDY719759 QUC719754:QUC719759 QKG719754:QKG719759 QAK719754:QAK719759 PQO719754:PQO719759 PGS719754:PGS719759 OWW719754:OWW719759 ONA719754:ONA719759 ODE719754:ODE719759 NTI719754:NTI719759 NJM719754:NJM719759 MZQ719754:MZQ719759 MPU719754:MPU719759 MFY719754:MFY719759 LWC719754:LWC719759 LMG719754:LMG719759 LCK719754:LCK719759 KSO719754:KSO719759 KIS719754:KIS719759 JYW719754:JYW719759 JPA719754:JPA719759 JFE719754:JFE719759 IVI719754:IVI719759 ILM719754:ILM719759 IBQ719754:IBQ719759 HRU719754:HRU719759 HHY719754:HHY719759 GYC719754:GYC719759 GOG719754:GOG719759 GEK719754:GEK719759 FUO719754:FUO719759 FKS719754:FKS719759 FAW719754:FAW719759 ERA719754:ERA719759 EHE719754:EHE719759 DXI719754:DXI719759 DNM719754:DNM719759 DDQ719754:DDQ719759 CTU719754:CTU719759 CJY719754:CJY719759 CAC719754:CAC719759 BQG719754:BQG719759 BGK719754:BGK719759 AWO719754:AWO719759 AMS719754:AMS719759 ACW719754:ACW719759 TA719754:TA719759 JE719754:JE719759 I719775:I719780 WVQ654218:WVQ654223 WLU654218:WLU654223 WBY654218:WBY654223 VSC654218:VSC654223 VIG654218:VIG654223 UYK654218:UYK654223 UOO654218:UOO654223 UES654218:UES654223 TUW654218:TUW654223 TLA654218:TLA654223 TBE654218:TBE654223 SRI654218:SRI654223 SHM654218:SHM654223 RXQ654218:RXQ654223 RNU654218:RNU654223 RDY654218:RDY654223 QUC654218:QUC654223 QKG654218:QKG654223 QAK654218:QAK654223 PQO654218:PQO654223 PGS654218:PGS654223 OWW654218:OWW654223 ONA654218:ONA654223 ODE654218:ODE654223 NTI654218:NTI654223 NJM654218:NJM654223 MZQ654218:MZQ654223 MPU654218:MPU654223 MFY654218:MFY654223 LWC654218:LWC654223 LMG654218:LMG654223 LCK654218:LCK654223 KSO654218:KSO654223 KIS654218:KIS654223 JYW654218:JYW654223 JPA654218:JPA654223 JFE654218:JFE654223 IVI654218:IVI654223 ILM654218:ILM654223 IBQ654218:IBQ654223 HRU654218:HRU654223 HHY654218:HHY654223 GYC654218:GYC654223 GOG654218:GOG654223 GEK654218:GEK654223 FUO654218:FUO654223 FKS654218:FKS654223 FAW654218:FAW654223 ERA654218:ERA654223 EHE654218:EHE654223 DXI654218:DXI654223 DNM654218:DNM654223 DDQ654218:DDQ654223 CTU654218:CTU654223 CJY654218:CJY654223 CAC654218:CAC654223 BQG654218:BQG654223 BGK654218:BGK654223 AWO654218:AWO654223 AMS654218:AMS654223 ACW654218:ACW654223 TA654218:TA654223 JE654218:JE654223 I654239:I654244 WVQ588682:WVQ588687 WLU588682:WLU588687 WBY588682:WBY588687 VSC588682:VSC588687 VIG588682:VIG588687 UYK588682:UYK588687 UOO588682:UOO588687 UES588682:UES588687 TUW588682:TUW588687 TLA588682:TLA588687 TBE588682:TBE588687 SRI588682:SRI588687 SHM588682:SHM588687 RXQ588682:RXQ588687 RNU588682:RNU588687 RDY588682:RDY588687 QUC588682:QUC588687 QKG588682:QKG588687 QAK588682:QAK588687 PQO588682:PQO588687 PGS588682:PGS588687 OWW588682:OWW588687 ONA588682:ONA588687 ODE588682:ODE588687 NTI588682:NTI588687 NJM588682:NJM588687 MZQ588682:MZQ588687 MPU588682:MPU588687 MFY588682:MFY588687 LWC588682:LWC588687 LMG588682:LMG588687 LCK588682:LCK588687 KSO588682:KSO588687 KIS588682:KIS588687 JYW588682:JYW588687 JPA588682:JPA588687 JFE588682:JFE588687 IVI588682:IVI588687 ILM588682:ILM588687 IBQ588682:IBQ588687 HRU588682:HRU588687 HHY588682:HHY588687 GYC588682:GYC588687 GOG588682:GOG588687 GEK588682:GEK588687 FUO588682:FUO588687 FKS588682:FKS588687 FAW588682:FAW588687 ERA588682:ERA588687 EHE588682:EHE588687 DXI588682:DXI588687 DNM588682:DNM588687 DDQ588682:DDQ588687 CTU588682:CTU588687 CJY588682:CJY588687 CAC588682:CAC588687 BQG588682:BQG588687 BGK588682:BGK588687 AWO588682:AWO588687 AMS588682:AMS588687 ACW588682:ACW588687 TA588682:TA588687 JE588682:JE588687 I588703:I588708 WVQ523146:WVQ523151 WLU523146:WLU523151 WBY523146:WBY523151 VSC523146:VSC523151 VIG523146:VIG523151 UYK523146:UYK523151 UOO523146:UOO523151 UES523146:UES523151 TUW523146:TUW523151 TLA523146:TLA523151 TBE523146:TBE523151 SRI523146:SRI523151 SHM523146:SHM523151 RXQ523146:RXQ523151 RNU523146:RNU523151 RDY523146:RDY523151 QUC523146:QUC523151 QKG523146:QKG523151 QAK523146:QAK523151 PQO523146:PQO523151 PGS523146:PGS523151 OWW523146:OWW523151 ONA523146:ONA523151 ODE523146:ODE523151 NTI523146:NTI523151 NJM523146:NJM523151 MZQ523146:MZQ523151 MPU523146:MPU523151 MFY523146:MFY523151 LWC523146:LWC523151 LMG523146:LMG523151 LCK523146:LCK523151 KSO523146:KSO523151 KIS523146:KIS523151 JYW523146:JYW523151 JPA523146:JPA523151 JFE523146:JFE523151 IVI523146:IVI523151 ILM523146:ILM523151 IBQ523146:IBQ523151 HRU523146:HRU523151 HHY523146:HHY523151 GYC523146:GYC523151 GOG523146:GOG523151 GEK523146:GEK523151 FUO523146:FUO523151 FKS523146:FKS523151 FAW523146:FAW523151 ERA523146:ERA523151 EHE523146:EHE523151 DXI523146:DXI523151 DNM523146:DNM523151 DDQ523146:DDQ523151 CTU523146:CTU523151 CJY523146:CJY523151 CAC523146:CAC523151 BQG523146:BQG523151 BGK523146:BGK523151 AWO523146:AWO523151 AMS523146:AMS523151 ACW523146:ACW523151 TA523146:TA523151 JE523146:JE523151 I523167:I523172 WVQ457610:WVQ457615 WLU457610:WLU457615 WBY457610:WBY457615 VSC457610:VSC457615 VIG457610:VIG457615 UYK457610:UYK457615 UOO457610:UOO457615 UES457610:UES457615 TUW457610:TUW457615 TLA457610:TLA457615 TBE457610:TBE457615 SRI457610:SRI457615 SHM457610:SHM457615 RXQ457610:RXQ457615 RNU457610:RNU457615 RDY457610:RDY457615 QUC457610:QUC457615 QKG457610:QKG457615 QAK457610:QAK457615 PQO457610:PQO457615 PGS457610:PGS457615 OWW457610:OWW457615 ONA457610:ONA457615 ODE457610:ODE457615 NTI457610:NTI457615 NJM457610:NJM457615 MZQ457610:MZQ457615 MPU457610:MPU457615 MFY457610:MFY457615 LWC457610:LWC457615 LMG457610:LMG457615 LCK457610:LCK457615 KSO457610:KSO457615 KIS457610:KIS457615 JYW457610:JYW457615 JPA457610:JPA457615 JFE457610:JFE457615 IVI457610:IVI457615 ILM457610:ILM457615 IBQ457610:IBQ457615 HRU457610:HRU457615 HHY457610:HHY457615 GYC457610:GYC457615 GOG457610:GOG457615 GEK457610:GEK457615 FUO457610:FUO457615 FKS457610:FKS457615 FAW457610:FAW457615 ERA457610:ERA457615 EHE457610:EHE457615 DXI457610:DXI457615 DNM457610:DNM457615 DDQ457610:DDQ457615 CTU457610:CTU457615 CJY457610:CJY457615 CAC457610:CAC457615 BQG457610:BQG457615 BGK457610:BGK457615 AWO457610:AWO457615 AMS457610:AMS457615 ACW457610:ACW457615 TA457610:TA457615 JE457610:JE457615 I457631:I457636 WVQ392074:WVQ392079 WLU392074:WLU392079 WBY392074:WBY392079 VSC392074:VSC392079 VIG392074:VIG392079 UYK392074:UYK392079 UOO392074:UOO392079 UES392074:UES392079 TUW392074:TUW392079 TLA392074:TLA392079 TBE392074:TBE392079 SRI392074:SRI392079 SHM392074:SHM392079 RXQ392074:RXQ392079 RNU392074:RNU392079 RDY392074:RDY392079 QUC392074:QUC392079 QKG392074:QKG392079 QAK392074:QAK392079 PQO392074:PQO392079 PGS392074:PGS392079 OWW392074:OWW392079 ONA392074:ONA392079 ODE392074:ODE392079 NTI392074:NTI392079 NJM392074:NJM392079 MZQ392074:MZQ392079 MPU392074:MPU392079 MFY392074:MFY392079 LWC392074:LWC392079 LMG392074:LMG392079 LCK392074:LCK392079 KSO392074:KSO392079 KIS392074:KIS392079 JYW392074:JYW392079 JPA392074:JPA392079 JFE392074:JFE392079 IVI392074:IVI392079 ILM392074:ILM392079 IBQ392074:IBQ392079 HRU392074:HRU392079 HHY392074:HHY392079 GYC392074:GYC392079 GOG392074:GOG392079 GEK392074:GEK392079 FUO392074:FUO392079 FKS392074:FKS392079 FAW392074:FAW392079 ERA392074:ERA392079 EHE392074:EHE392079 DXI392074:DXI392079 DNM392074:DNM392079 DDQ392074:DDQ392079 CTU392074:CTU392079 CJY392074:CJY392079 CAC392074:CAC392079 BQG392074:BQG392079 BGK392074:BGK392079 AWO392074:AWO392079 AMS392074:AMS392079 ACW392074:ACW392079 TA392074:TA392079 JE392074:JE392079 I392095:I392100 WVQ326538:WVQ326543 WLU326538:WLU326543 WBY326538:WBY326543 VSC326538:VSC326543 VIG326538:VIG326543 UYK326538:UYK326543 UOO326538:UOO326543 UES326538:UES326543 TUW326538:TUW326543 TLA326538:TLA326543 TBE326538:TBE326543 SRI326538:SRI326543 SHM326538:SHM326543 RXQ326538:RXQ326543 RNU326538:RNU326543 RDY326538:RDY326543 QUC326538:QUC326543 QKG326538:QKG326543 QAK326538:QAK326543 PQO326538:PQO326543 PGS326538:PGS326543 OWW326538:OWW326543 ONA326538:ONA326543 ODE326538:ODE326543 NTI326538:NTI326543 NJM326538:NJM326543 MZQ326538:MZQ326543 MPU326538:MPU326543 MFY326538:MFY326543 LWC326538:LWC326543 LMG326538:LMG326543 LCK326538:LCK326543 KSO326538:KSO326543 KIS326538:KIS326543 JYW326538:JYW326543 JPA326538:JPA326543 JFE326538:JFE326543 IVI326538:IVI326543 ILM326538:ILM326543 IBQ326538:IBQ326543 HRU326538:HRU326543 HHY326538:HHY326543 GYC326538:GYC326543 GOG326538:GOG326543 GEK326538:GEK326543 FUO326538:FUO326543 FKS326538:FKS326543 FAW326538:FAW326543 ERA326538:ERA326543 EHE326538:EHE326543 DXI326538:DXI326543 DNM326538:DNM326543 DDQ326538:DDQ326543 CTU326538:CTU326543 CJY326538:CJY326543 CAC326538:CAC326543 BQG326538:BQG326543 BGK326538:BGK326543 AWO326538:AWO326543 AMS326538:AMS326543 ACW326538:ACW326543 TA326538:TA326543 JE326538:JE326543 I326559:I326564 WVQ261002:WVQ261007 WLU261002:WLU261007 WBY261002:WBY261007 VSC261002:VSC261007 VIG261002:VIG261007 UYK261002:UYK261007 UOO261002:UOO261007 UES261002:UES261007 TUW261002:TUW261007 TLA261002:TLA261007 TBE261002:TBE261007 SRI261002:SRI261007 SHM261002:SHM261007 RXQ261002:RXQ261007 RNU261002:RNU261007 RDY261002:RDY261007 QUC261002:QUC261007 QKG261002:QKG261007 QAK261002:QAK261007 PQO261002:PQO261007 PGS261002:PGS261007 OWW261002:OWW261007 ONA261002:ONA261007 ODE261002:ODE261007 NTI261002:NTI261007 NJM261002:NJM261007 MZQ261002:MZQ261007 MPU261002:MPU261007 MFY261002:MFY261007 LWC261002:LWC261007 LMG261002:LMG261007 LCK261002:LCK261007 KSO261002:KSO261007 KIS261002:KIS261007 JYW261002:JYW261007 JPA261002:JPA261007 JFE261002:JFE261007 IVI261002:IVI261007 ILM261002:ILM261007 IBQ261002:IBQ261007 HRU261002:HRU261007 HHY261002:HHY261007 GYC261002:GYC261007 GOG261002:GOG261007 GEK261002:GEK261007 FUO261002:FUO261007 FKS261002:FKS261007 FAW261002:FAW261007 ERA261002:ERA261007 EHE261002:EHE261007 DXI261002:DXI261007 DNM261002:DNM261007 DDQ261002:DDQ261007 CTU261002:CTU261007 CJY261002:CJY261007 CAC261002:CAC261007 BQG261002:BQG261007 BGK261002:BGK261007 AWO261002:AWO261007 AMS261002:AMS261007 ACW261002:ACW261007 TA261002:TA261007 JE261002:JE261007 I261023:I261028 WVQ195466:WVQ195471 WLU195466:WLU195471 WBY195466:WBY195471 VSC195466:VSC195471 VIG195466:VIG195471 UYK195466:UYK195471 UOO195466:UOO195471 UES195466:UES195471 TUW195466:TUW195471 TLA195466:TLA195471 TBE195466:TBE195471 SRI195466:SRI195471 SHM195466:SHM195471 RXQ195466:RXQ195471 RNU195466:RNU195471 RDY195466:RDY195471 QUC195466:QUC195471 QKG195466:QKG195471 QAK195466:QAK195471 PQO195466:PQO195471 PGS195466:PGS195471 OWW195466:OWW195471 ONA195466:ONA195471 ODE195466:ODE195471 NTI195466:NTI195471 NJM195466:NJM195471 MZQ195466:MZQ195471 MPU195466:MPU195471 MFY195466:MFY195471 LWC195466:LWC195471 LMG195466:LMG195471 LCK195466:LCK195471 KSO195466:KSO195471 KIS195466:KIS195471 JYW195466:JYW195471 JPA195466:JPA195471 JFE195466:JFE195471 IVI195466:IVI195471 ILM195466:ILM195471 IBQ195466:IBQ195471 HRU195466:HRU195471 HHY195466:HHY195471 GYC195466:GYC195471 GOG195466:GOG195471 GEK195466:GEK195471 FUO195466:FUO195471 FKS195466:FKS195471 FAW195466:FAW195471 ERA195466:ERA195471 EHE195466:EHE195471 DXI195466:DXI195471 DNM195466:DNM195471 DDQ195466:DDQ195471 CTU195466:CTU195471 CJY195466:CJY195471 CAC195466:CAC195471 BQG195466:BQG195471 BGK195466:BGK195471 AWO195466:AWO195471 AMS195466:AMS195471 ACW195466:ACW195471 TA195466:TA195471 JE195466:JE195471 I195487:I195492 WVQ129930:WVQ129935 WLU129930:WLU129935 WBY129930:WBY129935 VSC129930:VSC129935 VIG129930:VIG129935 UYK129930:UYK129935 UOO129930:UOO129935 UES129930:UES129935 TUW129930:TUW129935 TLA129930:TLA129935 TBE129930:TBE129935 SRI129930:SRI129935 SHM129930:SHM129935 RXQ129930:RXQ129935 RNU129930:RNU129935 RDY129930:RDY129935 QUC129930:QUC129935 QKG129930:QKG129935 QAK129930:QAK129935 PQO129930:PQO129935 PGS129930:PGS129935 OWW129930:OWW129935 ONA129930:ONA129935 ODE129930:ODE129935 NTI129930:NTI129935 NJM129930:NJM129935 MZQ129930:MZQ129935 MPU129930:MPU129935 MFY129930:MFY129935 LWC129930:LWC129935 LMG129930:LMG129935 LCK129930:LCK129935 KSO129930:KSO129935 KIS129930:KIS129935 JYW129930:JYW129935 JPA129930:JPA129935 JFE129930:JFE129935 IVI129930:IVI129935 ILM129930:ILM129935 IBQ129930:IBQ129935 HRU129930:HRU129935 HHY129930:HHY129935 GYC129930:GYC129935 GOG129930:GOG129935 GEK129930:GEK129935 FUO129930:FUO129935 FKS129930:FKS129935 FAW129930:FAW129935 ERA129930:ERA129935 EHE129930:EHE129935 DXI129930:DXI129935 DNM129930:DNM129935 DDQ129930:DDQ129935 CTU129930:CTU129935 CJY129930:CJY129935 CAC129930:CAC129935 BQG129930:BQG129935 BGK129930:BGK129935 AWO129930:AWO129935 AMS129930:AMS129935 ACW129930:ACW129935 TA129930:TA129935 JE129930:JE129935 I129951:I129956 WVQ64394:WVQ64399 WLU64394:WLU64399 WBY64394:WBY64399 VSC64394:VSC64399 VIG64394:VIG64399 UYK64394:UYK64399 UOO64394:UOO64399 UES64394:UES64399 TUW64394:TUW64399 TLA64394:TLA64399 TBE64394:TBE64399 SRI64394:SRI64399 SHM64394:SHM64399 RXQ64394:RXQ64399 RNU64394:RNU64399 RDY64394:RDY64399 QUC64394:QUC64399 QKG64394:QKG64399 QAK64394:QAK64399 PQO64394:PQO64399 PGS64394:PGS64399 OWW64394:OWW64399 ONA64394:ONA64399 ODE64394:ODE64399 NTI64394:NTI64399 NJM64394:NJM64399 MZQ64394:MZQ64399 MPU64394:MPU64399 MFY64394:MFY64399 LWC64394:LWC64399 LMG64394:LMG64399 LCK64394:LCK64399 KSO64394:KSO64399 KIS64394:KIS64399 JYW64394:JYW64399 JPA64394:JPA64399 JFE64394:JFE64399 IVI64394:IVI64399 ILM64394:ILM64399 IBQ64394:IBQ64399 HRU64394:HRU64399 HHY64394:HHY64399 GYC64394:GYC64399 GOG64394:GOG64399 GEK64394:GEK64399 FUO64394:FUO64399 FKS64394:FKS64399 FAW64394:FAW64399 ERA64394:ERA64399 EHE64394:EHE64399 DXI64394:DXI64399 DNM64394:DNM64399 DDQ64394:DDQ64399 CTU64394:CTU64399 CJY64394:CJY64399 CAC64394:CAC64399 BQG64394:BQG64399 BGK64394:BGK64399 AWO64394:AWO64399 AMS64394:AMS64399 ACW64394:ACW64399 TA64394:TA64399 JE64394:JE64399" xr:uid="{C445DA24-B040-45E3-91C4-8172504A9A89}">
      <formula1>$AN$8:$AN$9</formula1>
    </dataValidation>
    <dataValidation type="list" allowBlank="1" showInputMessage="1" showErrorMessage="1" sqref="WVS981814:WVS981903 WLW981814:WLW981903 WCA981814:WCA981903 VSE981814:VSE981903 VII981814:VII981903 UYM981814:UYM981903 UOQ981814:UOQ981903 UEU981814:UEU981903 TUY981814:TUY981903 TLC981814:TLC981903 TBG981814:TBG981903 SRK981814:SRK981903 SHO981814:SHO981903 RXS981814:RXS981903 RNW981814:RNW981903 REA981814:REA981903 QUE981814:QUE981903 QKI981814:QKI981903 QAM981814:QAM981903 PQQ981814:PQQ981903 PGU981814:PGU981903 OWY981814:OWY981903 ONC981814:ONC981903 ODG981814:ODG981903 NTK981814:NTK981903 NJO981814:NJO981903 MZS981814:MZS981903 MPW981814:MPW981903 MGA981814:MGA981903 LWE981814:LWE981903 LMI981814:LMI981903 LCM981814:LCM981903 KSQ981814:KSQ981903 KIU981814:KIU981903 JYY981814:JYY981903 JPC981814:JPC981903 JFG981814:JFG981903 IVK981814:IVK981903 ILO981814:ILO981903 IBS981814:IBS981903 HRW981814:HRW981903 HIA981814:HIA981903 GYE981814:GYE981903 GOI981814:GOI981903 GEM981814:GEM981903 FUQ981814:FUQ981903 FKU981814:FKU981903 FAY981814:FAY981903 ERC981814:ERC981903 EHG981814:EHG981903 DXK981814:DXK981903 DNO981814:DNO981903 DDS981814:DDS981903 CTW981814:CTW981903 CKA981814:CKA981903 CAE981814:CAE981903 BQI981814:BQI981903 BGM981814:BGM981903 AWQ981814:AWQ981903 AMU981814:AMU981903 ACY981814:ACY981903 TC981814:TC981903 JG981814:JG981903 K981823:K981912 WVS916278:WVS916367 WLW916278:WLW916367 WCA916278:WCA916367 VSE916278:VSE916367 VII916278:VII916367 UYM916278:UYM916367 UOQ916278:UOQ916367 UEU916278:UEU916367 TUY916278:TUY916367 TLC916278:TLC916367 TBG916278:TBG916367 SRK916278:SRK916367 SHO916278:SHO916367 RXS916278:RXS916367 RNW916278:RNW916367 REA916278:REA916367 QUE916278:QUE916367 QKI916278:QKI916367 QAM916278:QAM916367 PQQ916278:PQQ916367 PGU916278:PGU916367 OWY916278:OWY916367 ONC916278:ONC916367 ODG916278:ODG916367 NTK916278:NTK916367 NJO916278:NJO916367 MZS916278:MZS916367 MPW916278:MPW916367 MGA916278:MGA916367 LWE916278:LWE916367 LMI916278:LMI916367 LCM916278:LCM916367 KSQ916278:KSQ916367 KIU916278:KIU916367 JYY916278:JYY916367 JPC916278:JPC916367 JFG916278:JFG916367 IVK916278:IVK916367 ILO916278:ILO916367 IBS916278:IBS916367 HRW916278:HRW916367 HIA916278:HIA916367 GYE916278:GYE916367 GOI916278:GOI916367 GEM916278:GEM916367 FUQ916278:FUQ916367 FKU916278:FKU916367 FAY916278:FAY916367 ERC916278:ERC916367 EHG916278:EHG916367 DXK916278:DXK916367 DNO916278:DNO916367 DDS916278:DDS916367 CTW916278:CTW916367 CKA916278:CKA916367 CAE916278:CAE916367 BQI916278:BQI916367 BGM916278:BGM916367 AWQ916278:AWQ916367 AMU916278:AMU916367 ACY916278:ACY916367 TC916278:TC916367 JG916278:JG916367 K916287:K916376 WVS850742:WVS850831 WLW850742:WLW850831 WCA850742:WCA850831 VSE850742:VSE850831 VII850742:VII850831 UYM850742:UYM850831 UOQ850742:UOQ850831 UEU850742:UEU850831 TUY850742:TUY850831 TLC850742:TLC850831 TBG850742:TBG850831 SRK850742:SRK850831 SHO850742:SHO850831 RXS850742:RXS850831 RNW850742:RNW850831 REA850742:REA850831 QUE850742:QUE850831 QKI850742:QKI850831 QAM850742:QAM850831 PQQ850742:PQQ850831 PGU850742:PGU850831 OWY850742:OWY850831 ONC850742:ONC850831 ODG850742:ODG850831 NTK850742:NTK850831 NJO850742:NJO850831 MZS850742:MZS850831 MPW850742:MPW850831 MGA850742:MGA850831 LWE850742:LWE850831 LMI850742:LMI850831 LCM850742:LCM850831 KSQ850742:KSQ850831 KIU850742:KIU850831 JYY850742:JYY850831 JPC850742:JPC850831 JFG850742:JFG850831 IVK850742:IVK850831 ILO850742:ILO850831 IBS850742:IBS850831 HRW850742:HRW850831 HIA850742:HIA850831 GYE850742:GYE850831 GOI850742:GOI850831 GEM850742:GEM850831 FUQ850742:FUQ850831 FKU850742:FKU850831 FAY850742:FAY850831 ERC850742:ERC850831 EHG850742:EHG850831 DXK850742:DXK850831 DNO850742:DNO850831 DDS850742:DDS850831 CTW850742:CTW850831 CKA850742:CKA850831 CAE850742:CAE850831 BQI850742:BQI850831 BGM850742:BGM850831 AWQ850742:AWQ850831 AMU850742:AMU850831 ACY850742:ACY850831 TC850742:TC850831 JG850742:JG850831 K850751:K850840 WVS785206:WVS785295 WLW785206:WLW785295 WCA785206:WCA785295 VSE785206:VSE785295 VII785206:VII785295 UYM785206:UYM785295 UOQ785206:UOQ785295 UEU785206:UEU785295 TUY785206:TUY785295 TLC785206:TLC785295 TBG785206:TBG785295 SRK785206:SRK785295 SHO785206:SHO785295 RXS785206:RXS785295 RNW785206:RNW785295 REA785206:REA785295 QUE785206:QUE785295 QKI785206:QKI785295 QAM785206:QAM785295 PQQ785206:PQQ785295 PGU785206:PGU785295 OWY785206:OWY785295 ONC785206:ONC785295 ODG785206:ODG785295 NTK785206:NTK785295 NJO785206:NJO785295 MZS785206:MZS785295 MPW785206:MPW785295 MGA785206:MGA785295 LWE785206:LWE785295 LMI785206:LMI785295 LCM785206:LCM785295 KSQ785206:KSQ785295 KIU785206:KIU785295 JYY785206:JYY785295 JPC785206:JPC785295 JFG785206:JFG785295 IVK785206:IVK785295 ILO785206:ILO785295 IBS785206:IBS785295 HRW785206:HRW785295 HIA785206:HIA785295 GYE785206:GYE785295 GOI785206:GOI785295 GEM785206:GEM785295 FUQ785206:FUQ785295 FKU785206:FKU785295 FAY785206:FAY785295 ERC785206:ERC785295 EHG785206:EHG785295 DXK785206:DXK785295 DNO785206:DNO785295 DDS785206:DDS785295 CTW785206:CTW785295 CKA785206:CKA785295 CAE785206:CAE785295 BQI785206:BQI785295 BGM785206:BGM785295 AWQ785206:AWQ785295 AMU785206:AMU785295 ACY785206:ACY785295 TC785206:TC785295 JG785206:JG785295 K785215:K785304 WVS719670:WVS719759 WLW719670:WLW719759 WCA719670:WCA719759 VSE719670:VSE719759 VII719670:VII719759 UYM719670:UYM719759 UOQ719670:UOQ719759 UEU719670:UEU719759 TUY719670:TUY719759 TLC719670:TLC719759 TBG719670:TBG719759 SRK719670:SRK719759 SHO719670:SHO719759 RXS719670:RXS719759 RNW719670:RNW719759 REA719670:REA719759 QUE719670:QUE719759 QKI719670:QKI719759 QAM719670:QAM719759 PQQ719670:PQQ719759 PGU719670:PGU719759 OWY719670:OWY719759 ONC719670:ONC719759 ODG719670:ODG719759 NTK719670:NTK719759 NJO719670:NJO719759 MZS719670:MZS719759 MPW719670:MPW719759 MGA719670:MGA719759 LWE719670:LWE719759 LMI719670:LMI719759 LCM719670:LCM719759 KSQ719670:KSQ719759 KIU719670:KIU719759 JYY719670:JYY719759 JPC719670:JPC719759 JFG719670:JFG719759 IVK719670:IVK719759 ILO719670:ILO719759 IBS719670:IBS719759 HRW719670:HRW719759 HIA719670:HIA719759 GYE719670:GYE719759 GOI719670:GOI719759 GEM719670:GEM719759 FUQ719670:FUQ719759 FKU719670:FKU719759 FAY719670:FAY719759 ERC719670:ERC719759 EHG719670:EHG719759 DXK719670:DXK719759 DNO719670:DNO719759 DDS719670:DDS719759 CTW719670:CTW719759 CKA719670:CKA719759 CAE719670:CAE719759 BQI719670:BQI719759 BGM719670:BGM719759 AWQ719670:AWQ719759 AMU719670:AMU719759 ACY719670:ACY719759 TC719670:TC719759 JG719670:JG719759 K719679:K719768 WVS654134:WVS654223 WLW654134:WLW654223 WCA654134:WCA654223 VSE654134:VSE654223 VII654134:VII654223 UYM654134:UYM654223 UOQ654134:UOQ654223 UEU654134:UEU654223 TUY654134:TUY654223 TLC654134:TLC654223 TBG654134:TBG654223 SRK654134:SRK654223 SHO654134:SHO654223 RXS654134:RXS654223 RNW654134:RNW654223 REA654134:REA654223 QUE654134:QUE654223 QKI654134:QKI654223 QAM654134:QAM654223 PQQ654134:PQQ654223 PGU654134:PGU654223 OWY654134:OWY654223 ONC654134:ONC654223 ODG654134:ODG654223 NTK654134:NTK654223 NJO654134:NJO654223 MZS654134:MZS654223 MPW654134:MPW654223 MGA654134:MGA654223 LWE654134:LWE654223 LMI654134:LMI654223 LCM654134:LCM654223 KSQ654134:KSQ654223 KIU654134:KIU654223 JYY654134:JYY654223 JPC654134:JPC654223 JFG654134:JFG654223 IVK654134:IVK654223 ILO654134:ILO654223 IBS654134:IBS654223 HRW654134:HRW654223 HIA654134:HIA654223 GYE654134:GYE654223 GOI654134:GOI654223 GEM654134:GEM654223 FUQ654134:FUQ654223 FKU654134:FKU654223 FAY654134:FAY654223 ERC654134:ERC654223 EHG654134:EHG654223 DXK654134:DXK654223 DNO654134:DNO654223 DDS654134:DDS654223 CTW654134:CTW654223 CKA654134:CKA654223 CAE654134:CAE654223 BQI654134:BQI654223 BGM654134:BGM654223 AWQ654134:AWQ654223 AMU654134:AMU654223 ACY654134:ACY654223 TC654134:TC654223 JG654134:JG654223 K654143:K654232 WVS588598:WVS588687 WLW588598:WLW588687 WCA588598:WCA588687 VSE588598:VSE588687 VII588598:VII588687 UYM588598:UYM588687 UOQ588598:UOQ588687 UEU588598:UEU588687 TUY588598:TUY588687 TLC588598:TLC588687 TBG588598:TBG588687 SRK588598:SRK588687 SHO588598:SHO588687 RXS588598:RXS588687 RNW588598:RNW588687 REA588598:REA588687 QUE588598:QUE588687 QKI588598:QKI588687 QAM588598:QAM588687 PQQ588598:PQQ588687 PGU588598:PGU588687 OWY588598:OWY588687 ONC588598:ONC588687 ODG588598:ODG588687 NTK588598:NTK588687 NJO588598:NJO588687 MZS588598:MZS588687 MPW588598:MPW588687 MGA588598:MGA588687 LWE588598:LWE588687 LMI588598:LMI588687 LCM588598:LCM588687 KSQ588598:KSQ588687 KIU588598:KIU588687 JYY588598:JYY588687 JPC588598:JPC588687 JFG588598:JFG588687 IVK588598:IVK588687 ILO588598:ILO588687 IBS588598:IBS588687 HRW588598:HRW588687 HIA588598:HIA588687 GYE588598:GYE588687 GOI588598:GOI588687 GEM588598:GEM588687 FUQ588598:FUQ588687 FKU588598:FKU588687 FAY588598:FAY588687 ERC588598:ERC588687 EHG588598:EHG588687 DXK588598:DXK588687 DNO588598:DNO588687 DDS588598:DDS588687 CTW588598:CTW588687 CKA588598:CKA588687 CAE588598:CAE588687 BQI588598:BQI588687 BGM588598:BGM588687 AWQ588598:AWQ588687 AMU588598:AMU588687 ACY588598:ACY588687 TC588598:TC588687 JG588598:JG588687 K588607:K588696 WVS523062:WVS523151 WLW523062:WLW523151 WCA523062:WCA523151 VSE523062:VSE523151 VII523062:VII523151 UYM523062:UYM523151 UOQ523062:UOQ523151 UEU523062:UEU523151 TUY523062:TUY523151 TLC523062:TLC523151 TBG523062:TBG523151 SRK523062:SRK523151 SHO523062:SHO523151 RXS523062:RXS523151 RNW523062:RNW523151 REA523062:REA523151 QUE523062:QUE523151 QKI523062:QKI523151 QAM523062:QAM523151 PQQ523062:PQQ523151 PGU523062:PGU523151 OWY523062:OWY523151 ONC523062:ONC523151 ODG523062:ODG523151 NTK523062:NTK523151 NJO523062:NJO523151 MZS523062:MZS523151 MPW523062:MPW523151 MGA523062:MGA523151 LWE523062:LWE523151 LMI523062:LMI523151 LCM523062:LCM523151 KSQ523062:KSQ523151 KIU523062:KIU523151 JYY523062:JYY523151 JPC523062:JPC523151 JFG523062:JFG523151 IVK523062:IVK523151 ILO523062:ILO523151 IBS523062:IBS523151 HRW523062:HRW523151 HIA523062:HIA523151 GYE523062:GYE523151 GOI523062:GOI523151 GEM523062:GEM523151 FUQ523062:FUQ523151 FKU523062:FKU523151 FAY523062:FAY523151 ERC523062:ERC523151 EHG523062:EHG523151 DXK523062:DXK523151 DNO523062:DNO523151 DDS523062:DDS523151 CTW523062:CTW523151 CKA523062:CKA523151 CAE523062:CAE523151 BQI523062:BQI523151 BGM523062:BGM523151 AWQ523062:AWQ523151 AMU523062:AMU523151 ACY523062:ACY523151 TC523062:TC523151 JG523062:JG523151 K523071:K523160 WVS457526:WVS457615 WLW457526:WLW457615 WCA457526:WCA457615 VSE457526:VSE457615 VII457526:VII457615 UYM457526:UYM457615 UOQ457526:UOQ457615 UEU457526:UEU457615 TUY457526:TUY457615 TLC457526:TLC457615 TBG457526:TBG457615 SRK457526:SRK457615 SHO457526:SHO457615 RXS457526:RXS457615 RNW457526:RNW457615 REA457526:REA457615 QUE457526:QUE457615 QKI457526:QKI457615 QAM457526:QAM457615 PQQ457526:PQQ457615 PGU457526:PGU457615 OWY457526:OWY457615 ONC457526:ONC457615 ODG457526:ODG457615 NTK457526:NTK457615 NJO457526:NJO457615 MZS457526:MZS457615 MPW457526:MPW457615 MGA457526:MGA457615 LWE457526:LWE457615 LMI457526:LMI457615 LCM457526:LCM457615 KSQ457526:KSQ457615 KIU457526:KIU457615 JYY457526:JYY457615 JPC457526:JPC457615 JFG457526:JFG457615 IVK457526:IVK457615 ILO457526:ILO457615 IBS457526:IBS457615 HRW457526:HRW457615 HIA457526:HIA457615 GYE457526:GYE457615 GOI457526:GOI457615 GEM457526:GEM457615 FUQ457526:FUQ457615 FKU457526:FKU457615 FAY457526:FAY457615 ERC457526:ERC457615 EHG457526:EHG457615 DXK457526:DXK457615 DNO457526:DNO457615 DDS457526:DDS457615 CTW457526:CTW457615 CKA457526:CKA457615 CAE457526:CAE457615 BQI457526:BQI457615 BGM457526:BGM457615 AWQ457526:AWQ457615 AMU457526:AMU457615 ACY457526:ACY457615 TC457526:TC457615 JG457526:JG457615 K457535:K457624 WVS391990:WVS392079 WLW391990:WLW392079 WCA391990:WCA392079 VSE391990:VSE392079 VII391990:VII392079 UYM391990:UYM392079 UOQ391990:UOQ392079 UEU391990:UEU392079 TUY391990:TUY392079 TLC391990:TLC392079 TBG391990:TBG392079 SRK391990:SRK392079 SHO391990:SHO392079 RXS391990:RXS392079 RNW391990:RNW392079 REA391990:REA392079 QUE391990:QUE392079 QKI391990:QKI392079 QAM391990:QAM392079 PQQ391990:PQQ392079 PGU391990:PGU392079 OWY391990:OWY392079 ONC391990:ONC392079 ODG391990:ODG392079 NTK391990:NTK392079 NJO391990:NJO392079 MZS391990:MZS392079 MPW391990:MPW392079 MGA391990:MGA392079 LWE391990:LWE392079 LMI391990:LMI392079 LCM391990:LCM392079 KSQ391990:KSQ392079 KIU391990:KIU392079 JYY391990:JYY392079 JPC391990:JPC392079 JFG391990:JFG392079 IVK391990:IVK392079 ILO391990:ILO392079 IBS391990:IBS392079 HRW391990:HRW392079 HIA391990:HIA392079 GYE391990:GYE392079 GOI391990:GOI392079 GEM391990:GEM392079 FUQ391990:FUQ392079 FKU391990:FKU392079 FAY391990:FAY392079 ERC391990:ERC392079 EHG391990:EHG392079 DXK391990:DXK392079 DNO391990:DNO392079 DDS391990:DDS392079 CTW391990:CTW392079 CKA391990:CKA392079 CAE391990:CAE392079 BQI391990:BQI392079 BGM391990:BGM392079 AWQ391990:AWQ392079 AMU391990:AMU392079 ACY391990:ACY392079 TC391990:TC392079 JG391990:JG392079 K391999:K392088 WVS326454:WVS326543 WLW326454:WLW326543 WCA326454:WCA326543 VSE326454:VSE326543 VII326454:VII326543 UYM326454:UYM326543 UOQ326454:UOQ326543 UEU326454:UEU326543 TUY326454:TUY326543 TLC326454:TLC326543 TBG326454:TBG326543 SRK326454:SRK326543 SHO326454:SHO326543 RXS326454:RXS326543 RNW326454:RNW326543 REA326454:REA326543 QUE326454:QUE326543 QKI326454:QKI326543 QAM326454:QAM326543 PQQ326454:PQQ326543 PGU326454:PGU326543 OWY326454:OWY326543 ONC326454:ONC326543 ODG326454:ODG326543 NTK326454:NTK326543 NJO326454:NJO326543 MZS326454:MZS326543 MPW326454:MPW326543 MGA326454:MGA326543 LWE326454:LWE326543 LMI326454:LMI326543 LCM326454:LCM326543 KSQ326454:KSQ326543 KIU326454:KIU326543 JYY326454:JYY326543 JPC326454:JPC326543 JFG326454:JFG326543 IVK326454:IVK326543 ILO326454:ILO326543 IBS326454:IBS326543 HRW326454:HRW326543 HIA326454:HIA326543 GYE326454:GYE326543 GOI326454:GOI326543 GEM326454:GEM326543 FUQ326454:FUQ326543 FKU326454:FKU326543 FAY326454:FAY326543 ERC326454:ERC326543 EHG326454:EHG326543 DXK326454:DXK326543 DNO326454:DNO326543 DDS326454:DDS326543 CTW326454:CTW326543 CKA326454:CKA326543 CAE326454:CAE326543 BQI326454:BQI326543 BGM326454:BGM326543 AWQ326454:AWQ326543 AMU326454:AMU326543 ACY326454:ACY326543 TC326454:TC326543 JG326454:JG326543 K326463:K326552 WVS260918:WVS261007 WLW260918:WLW261007 WCA260918:WCA261007 VSE260918:VSE261007 VII260918:VII261007 UYM260918:UYM261007 UOQ260918:UOQ261007 UEU260918:UEU261007 TUY260918:TUY261007 TLC260918:TLC261007 TBG260918:TBG261007 SRK260918:SRK261007 SHO260918:SHO261007 RXS260918:RXS261007 RNW260918:RNW261007 REA260918:REA261007 QUE260918:QUE261007 QKI260918:QKI261007 QAM260918:QAM261007 PQQ260918:PQQ261007 PGU260918:PGU261007 OWY260918:OWY261007 ONC260918:ONC261007 ODG260918:ODG261007 NTK260918:NTK261007 NJO260918:NJO261007 MZS260918:MZS261007 MPW260918:MPW261007 MGA260918:MGA261007 LWE260918:LWE261007 LMI260918:LMI261007 LCM260918:LCM261007 KSQ260918:KSQ261007 KIU260918:KIU261007 JYY260918:JYY261007 JPC260918:JPC261007 JFG260918:JFG261007 IVK260918:IVK261007 ILO260918:ILO261007 IBS260918:IBS261007 HRW260918:HRW261007 HIA260918:HIA261007 GYE260918:GYE261007 GOI260918:GOI261007 GEM260918:GEM261007 FUQ260918:FUQ261007 FKU260918:FKU261007 FAY260918:FAY261007 ERC260918:ERC261007 EHG260918:EHG261007 DXK260918:DXK261007 DNO260918:DNO261007 DDS260918:DDS261007 CTW260918:CTW261007 CKA260918:CKA261007 CAE260918:CAE261007 BQI260918:BQI261007 BGM260918:BGM261007 AWQ260918:AWQ261007 AMU260918:AMU261007 ACY260918:ACY261007 TC260918:TC261007 JG260918:JG261007 K260927:K261016 WVS195382:WVS195471 WLW195382:WLW195471 WCA195382:WCA195471 VSE195382:VSE195471 VII195382:VII195471 UYM195382:UYM195471 UOQ195382:UOQ195471 UEU195382:UEU195471 TUY195382:TUY195471 TLC195382:TLC195471 TBG195382:TBG195471 SRK195382:SRK195471 SHO195382:SHO195471 RXS195382:RXS195471 RNW195382:RNW195471 REA195382:REA195471 QUE195382:QUE195471 QKI195382:QKI195471 QAM195382:QAM195471 PQQ195382:PQQ195471 PGU195382:PGU195471 OWY195382:OWY195471 ONC195382:ONC195471 ODG195382:ODG195471 NTK195382:NTK195471 NJO195382:NJO195471 MZS195382:MZS195471 MPW195382:MPW195471 MGA195382:MGA195471 LWE195382:LWE195471 LMI195382:LMI195471 LCM195382:LCM195471 KSQ195382:KSQ195471 KIU195382:KIU195471 JYY195382:JYY195471 JPC195382:JPC195471 JFG195382:JFG195471 IVK195382:IVK195471 ILO195382:ILO195471 IBS195382:IBS195471 HRW195382:HRW195471 HIA195382:HIA195471 GYE195382:GYE195471 GOI195382:GOI195471 GEM195382:GEM195471 FUQ195382:FUQ195471 FKU195382:FKU195471 FAY195382:FAY195471 ERC195382:ERC195471 EHG195382:EHG195471 DXK195382:DXK195471 DNO195382:DNO195471 DDS195382:DDS195471 CTW195382:CTW195471 CKA195382:CKA195471 CAE195382:CAE195471 BQI195382:BQI195471 BGM195382:BGM195471 AWQ195382:AWQ195471 AMU195382:AMU195471 ACY195382:ACY195471 TC195382:TC195471 JG195382:JG195471 K195391:K195480 WVS129846:WVS129935 WLW129846:WLW129935 WCA129846:WCA129935 VSE129846:VSE129935 VII129846:VII129935 UYM129846:UYM129935 UOQ129846:UOQ129935 UEU129846:UEU129935 TUY129846:TUY129935 TLC129846:TLC129935 TBG129846:TBG129935 SRK129846:SRK129935 SHO129846:SHO129935 RXS129846:RXS129935 RNW129846:RNW129935 REA129846:REA129935 QUE129846:QUE129935 QKI129846:QKI129935 QAM129846:QAM129935 PQQ129846:PQQ129935 PGU129846:PGU129935 OWY129846:OWY129935 ONC129846:ONC129935 ODG129846:ODG129935 NTK129846:NTK129935 NJO129846:NJO129935 MZS129846:MZS129935 MPW129846:MPW129935 MGA129846:MGA129935 LWE129846:LWE129935 LMI129846:LMI129935 LCM129846:LCM129935 KSQ129846:KSQ129935 KIU129846:KIU129935 JYY129846:JYY129935 JPC129846:JPC129935 JFG129846:JFG129935 IVK129846:IVK129935 ILO129846:ILO129935 IBS129846:IBS129935 HRW129846:HRW129935 HIA129846:HIA129935 GYE129846:GYE129935 GOI129846:GOI129935 GEM129846:GEM129935 FUQ129846:FUQ129935 FKU129846:FKU129935 FAY129846:FAY129935 ERC129846:ERC129935 EHG129846:EHG129935 DXK129846:DXK129935 DNO129846:DNO129935 DDS129846:DDS129935 CTW129846:CTW129935 CKA129846:CKA129935 CAE129846:CAE129935 BQI129846:BQI129935 BGM129846:BGM129935 AWQ129846:AWQ129935 AMU129846:AMU129935 ACY129846:ACY129935 TC129846:TC129935 JG129846:JG129935 K129855:K129944 WVS64310:WVS64399 WLW64310:WLW64399 WCA64310:WCA64399 VSE64310:VSE64399 VII64310:VII64399 UYM64310:UYM64399 UOQ64310:UOQ64399 UEU64310:UEU64399 TUY64310:TUY64399 TLC64310:TLC64399 TBG64310:TBG64399 SRK64310:SRK64399 SHO64310:SHO64399 RXS64310:RXS64399 RNW64310:RNW64399 REA64310:REA64399 QUE64310:QUE64399 QKI64310:QKI64399 QAM64310:QAM64399 PQQ64310:PQQ64399 PGU64310:PGU64399 OWY64310:OWY64399 ONC64310:ONC64399 ODG64310:ODG64399 NTK64310:NTK64399 NJO64310:NJO64399 MZS64310:MZS64399 MPW64310:MPW64399 MGA64310:MGA64399 LWE64310:LWE64399 LMI64310:LMI64399 LCM64310:LCM64399 KSQ64310:KSQ64399 KIU64310:KIU64399 JYY64310:JYY64399 JPC64310:JPC64399 JFG64310:JFG64399 IVK64310:IVK64399 ILO64310:ILO64399 IBS64310:IBS64399 HRW64310:HRW64399 HIA64310:HIA64399 GYE64310:GYE64399 GOI64310:GOI64399 GEM64310:GEM64399 FUQ64310:FUQ64399 FKU64310:FKU64399 FAY64310:FAY64399 ERC64310:ERC64399 EHG64310:EHG64399 DXK64310:DXK64399 DNO64310:DNO64399 DDS64310:DDS64399 CTW64310:CTW64399 CKA64310:CKA64399 CAE64310:CAE64399 BQI64310:BQI64399 BGM64310:BGM64399 AWQ64310:AWQ64399 AMU64310:AMU64399 ACY64310:ACY64399 TC64310:TC64399 JG64310:JG64399 K64319:K64408 WVS2:WVS82 WLW2:WLW82 WCA2:WCA82 VSE2:VSE82 VII2:VII82 UYM2:UYM82 UOQ2:UOQ82 UEU2:UEU82 TUY2:TUY82 TLC2:TLC82 TBG2:TBG82 SRK2:SRK82 SHO2:SHO82 RXS2:RXS82 RNW2:RNW82 REA2:REA82 QUE2:QUE82 QKI2:QKI82 QAM2:QAM82 PQQ2:PQQ82 PGU2:PGU82 OWY2:OWY82 ONC2:ONC82 ODG2:ODG82 NTK2:NTK82 NJO2:NJO82 MZS2:MZS82 MPW2:MPW82 MGA2:MGA82 LWE2:LWE82 LMI2:LMI82 LCM2:LCM82 KSQ2:KSQ82 KIU2:KIU82 JYY2:JYY82 JPC2:JPC82 JFG2:JFG82 IVK2:IVK82 ILO2:ILO82 IBS2:IBS82 HRW2:HRW82 HIA2:HIA82 GYE2:GYE82 GOI2:GOI82 GEM2:GEM82 FUQ2:FUQ82 FKU2:FKU82 FAY2:FAY82 ERC2:ERC82 EHG2:EHG82 DXK2:DXK82 DNO2:DNO82 DDS2:DDS82 CTW2:CTW82 CKA2:CKA82 CAE2:CAE82 BQI2:BQI82 BGM2:BGM82 AWQ2:AWQ82 AMU2:AMU82 ACY2:ACY82 TC2:TC82 JG2:JG82" xr:uid="{540951C3-3C33-479B-99F9-FA382B27B5C6}">
      <formula1>$AR$2:$AR$24</formula1>
    </dataValidation>
    <dataValidation type="list" allowBlank="1" showInputMessage="1" showErrorMessage="1" sqref="WVR981814:WVR981903 WLV981814:WLV981903 WBZ981814:WBZ981903 VSD981814:VSD981903 VIH981814:VIH981903 UYL981814:UYL981903 UOP981814:UOP981903 UET981814:UET981903 TUX981814:TUX981903 TLB981814:TLB981903 TBF981814:TBF981903 SRJ981814:SRJ981903 SHN981814:SHN981903 RXR981814:RXR981903 RNV981814:RNV981903 RDZ981814:RDZ981903 QUD981814:QUD981903 QKH981814:QKH981903 QAL981814:QAL981903 PQP981814:PQP981903 PGT981814:PGT981903 OWX981814:OWX981903 ONB981814:ONB981903 ODF981814:ODF981903 NTJ981814:NTJ981903 NJN981814:NJN981903 MZR981814:MZR981903 MPV981814:MPV981903 MFZ981814:MFZ981903 LWD981814:LWD981903 LMH981814:LMH981903 LCL981814:LCL981903 KSP981814:KSP981903 KIT981814:KIT981903 JYX981814:JYX981903 JPB981814:JPB981903 JFF981814:JFF981903 IVJ981814:IVJ981903 ILN981814:ILN981903 IBR981814:IBR981903 HRV981814:HRV981903 HHZ981814:HHZ981903 GYD981814:GYD981903 GOH981814:GOH981903 GEL981814:GEL981903 FUP981814:FUP981903 FKT981814:FKT981903 FAX981814:FAX981903 ERB981814:ERB981903 EHF981814:EHF981903 DXJ981814:DXJ981903 DNN981814:DNN981903 DDR981814:DDR981903 CTV981814:CTV981903 CJZ981814:CJZ981903 CAD981814:CAD981903 BQH981814:BQH981903 BGL981814:BGL981903 AWP981814:AWP981903 AMT981814:AMT981903 ACX981814:ACX981903 TB981814:TB981903 JF981814:JF981903 J981823:J981912 WVR916278:WVR916367 WLV916278:WLV916367 WBZ916278:WBZ916367 VSD916278:VSD916367 VIH916278:VIH916367 UYL916278:UYL916367 UOP916278:UOP916367 UET916278:UET916367 TUX916278:TUX916367 TLB916278:TLB916367 TBF916278:TBF916367 SRJ916278:SRJ916367 SHN916278:SHN916367 RXR916278:RXR916367 RNV916278:RNV916367 RDZ916278:RDZ916367 QUD916278:QUD916367 QKH916278:QKH916367 QAL916278:QAL916367 PQP916278:PQP916367 PGT916278:PGT916367 OWX916278:OWX916367 ONB916278:ONB916367 ODF916278:ODF916367 NTJ916278:NTJ916367 NJN916278:NJN916367 MZR916278:MZR916367 MPV916278:MPV916367 MFZ916278:MFZ916367 LWD916278:LWD916367 LMH916278:LMH916367 LCL916278:LCL916367 KSP916278:KSP916367 KIT916278:KIT916367 JYX916278:JYX916367 JPB916278:JPB916367 JFF916278:JFF916367 IVJ916278:IVJ916367 ILN916278:ILN916367 IBR916278:IBR916367 HRV916278:HRV916367 HHZ916278:HHZ916367 GYD916278:GYD916367 GOH916278:GOH916367 GEL916278:GEL916367 FUP916278:FUP916367 FKT916278:FKT916367 FAX916278:FAX916367 ERB916278:ERB916367 EHF916278:EHF916367 DXJ916278:DXJ916367 DNN916278:DNN916367 DDR916278:DDR916367 CTV916278:CTV916367 CJZ916278:CJZ916367 CAD916278:CAD916367 BQH916278:BQH916367 BGL916278:BGL916367 AWP916278:AWP916367 AMT916278:AMT916367 ACX916278:ACX916367 TB916278:TB916367 JF916278:JF916367 J916287:J916376 WVR850742:WVR850831 WLV850742:WLV850831 WBZ850742:WBZ850831 VSD850742:VSD850831 VIH850742:VIH850831 UYL850742:UYL850831 UOP850742:UOP850831 UET850742:UET850831 TUX850742:TUX850831 TLB850742:TLB850831 TBF850742:TBF850831 SRJ850742:SRJ850831 SHN850742:SHN850831 RXR850742:RXR850831 RNV850742:RNV850831 RDZ850742:RDZ850831 QUD850742:QUD850831 QKH850742:QKH850831 QAL850742:QAL850831 PQP850742:PQP850831 PGT850742:PGT850831 OWX850742:OWX850831 ONB850742:ONB850831 ODF850742:ODF850831 NTJ850742:NTJ850831 NJN850742:NJN850831 MZR850742:MZR850831 MPV850742:MPV850831 MFZ850742:MFZ850831 LWD850742:LWD850831 LMH850742:LMH850831 LCL850742:LCL850831 KSP850742:KSP850831 KIT850742:KIT850831 JYX850742:JYX850831 JPB850742:JPB850831 JFF850742:JFF850831 IVJ850742:IVJ850831 ILN850742:ILN850831 IBR850742:IBR850831 HRV850742:HRV850831 HHZ850742:HHZ850831 GYD850742:GYD850831 GOH850742:GOH850831 GEL850742:GEL850831 FUP850742:FUP850831 FKT850742:FKT850831 FAX850742:FAX850831 ERB850742:ERB850831 EHF850742:EHF850831 DXJ850742:DXJ850831 DNN850742:DNN850831 DDR850742:DDR850831 CTV850742:CTV850831 CJZ850742:CJZ850831 CAD850742:CAD850831 BQH850742:BQH850831 BGL850742:BGL850831 AWP850742:AWP850831 AMT850742:AMT850831 ACX850742:ACX850831 TB850742:TB850831 JF850742:JF850831 J850751:J850840 WVR785206:WVR785295 WLV785206:WLV785295 WBZ785206:WBZ785295 VSD785206:VSD785295 VIH785206:VIH785295 UYL785206:UYL785295 UOP785206:UOP785295 UET785206:UET785295 TUX785206:TUX785295 TLB785206:TLB785295 TBF785206:TBF785295 SRJ785206:SRJ785295 SHN785206:SHN785295 RXR785206:RXR785295 RNV785206:RNV785295 RDZ785206:RDZ785295 QUD785206:QUD785295 QKH785206:QKH785295 QAL785206:QAL785295 PQP785206:PQP785295 PGT785206:PGT785295 OWX785206:OWX785295 ONB785206:ONB785295 ODF785206:ODF785295 NTJ785206:NTJ785295 NJN785206:NJN785295 MZR785206:MZR785295 MPV785206:MPV785295 MFZ785206:MFZ785295 LWD785206:LWD785295 LMH785206:LMH785295 LCL785206:LCL785295 KSP785206:KSP785295 KIT785206:KIT785295 JYX785206:JYX785295 JPB785206:JPB785295 JFF785206:JFF785295 IVJ785206:IVJ785295 ILN785206:ILN785295 IBR785206:IBR785295 HRV785206:HRV785295 HHZ785206:HHZ785295 GYD785206:GYD785295 GOH785206:GOH785295 GEL785206:GEL785295 FUP785206:FUP785295 FKT785206:FKT785295 FAX785206:FAX785295 ERB785206:ERB785295 EHF785206:EHF785295 DXJ785206:DXJ785295 DNN785206:DNN785295 DDR785206:DDR785295 CTV785206:CTV785295 CJZ785206:CJZ785295 CAD785206:CAD785295 BQH785206:BQH785295 BGL785206:BGL785295 AWP785206:AWP785295 AMT785206:AMT785295 ACX785206:ACX785295 TB785206:TB785295 JF785206:JF785295 J785215:J785304 WVR719670:WVR719759 WLV719670:WLV719759 WBZ719670:WBZ719759 VSD719670:VSD719759 VIH719670:VIH719759 UYL719670:UYL719759 UOP719670:UOP719759 UET719670:UET719759 TUX719670:TUX719759 TLB719670:TLB719759 TBF719670:TBF719759 SRJ719670:SRJ719759 SHN719670:SHN719759 RXR719670:RXR719759 RNV719670:RNV719759 RDZ719670:RDZ719759 QUD719670:QUD719759 QKH719670:QKH719759 QAL719670:QAL719759 PQP719670:PQP719759 PGT719670:PGT719759 OWX719670:OWX719759 ONB719670:ONB719759 ODF719670:ODF719759 NTJ719670:NTJ719759 NJN719670:NJN719759 MZR719670:MZR719759 MPV719670:MPV719759 MFZ719670:MFZ719759 LWD719670:LWD719759 LMH719670:LMH719759 LCL719670:LCL719759 KSP719670:KSP719759 KIT719670:KIT719759 JYX719670:JYX719759 JPB719670:JPB719759 JFF719670:JFF719759 IVJ719670:IVJ719759 ILN719670:ILN719759 IBR719670:IBR719759 HRV719670:HRV719759 HHZ719670:HHZ719759 GYD719670:GYD719759 GOH719670:GOH719759 GEL719670:GEL719759 FUP719670:FUP719759 FKT719670:FKT719759 FAX719670:FAX719759 ERB719670:ERB719759 EHF719670:EHF719759 DXJ719670:DXJ719759 DNN719670:DNN719759 DDR719670:DDR719759 CTV719670:CTV719759 CJZ719670:CJZ719759 CAD719670:CAD719759 BQH719670:BQH719759 BGL719670:BGL719759 AWP719670:AWP719759 AMT719670:AMT719759 ACX719670:ACX719759 TB719670:TB719759 JF719670:JF719759 J719679:J719768 WVR654134:WVR654223 WLV654134:WLV654223 WBZ654134:WBZ654223 VSD654134:VSD654223 VIH654134:VIH654223 UYL654134:UYL654223 UOP654134:UOP654223 UET654134:UET654223 TUX654134:TUX654223 TLB654134:TLB654223 TBF654134:TBF654223 SRJ654134:SRJ654223 SHN654134:SHN654223 RXR654134:RXR654223 RNV654134:RNV654223 RDZ654134:RDZ654223 QUD654134:QUD654223 QKH654134:QKH654223 QAL654134:QAL654223 PQP654134:PQP654223 PGT654134:PGT654223 OWX654134:OWX654223 ONB654134:ONB654223 ODF654134:ODF654223 NTJ654134:NTJ654223 NJN654134:NJN654223 MZR654134:MZR654223 MPV654134:MPV654223 MFZ654134:MFZ654223 LWD654134:LWD654223 LMH654134:LMH654223 LCL654134:LCL654223 KSP654134:KSP654223 KIT654134:KIT654223 JYX654134:JYX654223 JPB654134:JPB654223 JFF654134:JFF654223 IVJ654134:IVJ654223 ILN654134:ILN654223 IBR654134:IBR654223 HRV654134:HRV654223 HHZ654134:HHZ654223 GYD654134:GYD654223 GOH654134:GOH654223 GEL654134:GEL654223 FUP654134:FUP654223 FKT654134:FKT654223 FAX654134:FAX654223 ERB654134:ERB654223 EHF654134:EHF654223 DXJ654134:DXJ654223 DNN654134:DNN654223 DDR654134:DDR654223 CTV654134:CTV654223 CJZ654134:CJZ654223 CAD654134:CAD654223 BQH654134:BQH654223 BGL654134:BGL654223 AWP654134:AWP654223 AMT654134:AMT654223 ACX654134:ACX654223 TB654134:TB654223 JF654134:JF654223 J654143:J654232 WVR588598:WVR588687 WLV588598:WLV588687 WBZ588598:WBZ588687 VSD588598:VSD588687 VIH588598:VIH588687 UYL588598:UYL588687 UOP588598:UOP588687 UET588598:UET588687 TUX588598:TUX588687 TLB588598:TLB588687 TBF588598:TBF588687 SRJ588598:SRJ588687 SHN588598:SHN588687 RXR588598:RXR588687 RNV588598:RNV588687 RDZ588598:RDZ588687 QUD588598:QUD588687 QKH588598:QKH588687 QAL588598:QAL588687 PQP588598:PQP588687 PGT588598:PGT588687 OWX588598:OWX588687 ONB588598:ONB588687 ODF588598:ODF588687 NTJ588598:NTJ588687 NJN588598:NJN588687 MZR588598:MZR588687 MPV588598:MPV588687 MFZ588598:MFZ588687 LWD588598:LWD588687 LMH588598:LMH588687 LCL588598:LCL588687 KSP588598:KSP588687 KIT588598:KIT588687 JYX588598:JYX588687 JPB588598:JPB588687 JFF588598:JFF588687 IVJ588598:IVJ588687 ILN588598:ILN588687 IBR588598:IBR588687 HRV588598:HRV588687 HHZ588598:HHZ588687 GYD588598:GYD588687 GOH588598:GOH588687 GEL588598:GEL588687 FUP588598:FUP588687 FKT588598:FKT588687 FAX588598:FAX588687 ERB588598:ERB588687 EHF588598:EHF588687 DXJ588598:DXJ588687 DNN588598:DNN588687 DDR588598:DDR588687 CTV588598:CTV588687 CJZ588598:CJZ588687 CAD588598:CAD588687 BQH588598:BQH588687 BGL588598:BGL588687 AWP588598:AWP588687 AMT588598:AMT588687 ACX588598:ACX588687 TB588598:TB588687 JF588598:JF588687 J588607:J588696 WVR523062:WVR523151 WLV523062:WLV523151 WBZ523062:WBZ523151 VSD523062:VSD523151 VIH523062:VIH523151 UYL523062:UYL523151 UOP523062:UOP523151 UET523062:UET523151 TUX523062:TUX523151 TLB523062:TLB523151 TBF523062:TBF523151 SRJ523062:SRJ523151 SHN523062:SHN523151 RXR523062:RXR523151 RNV523062:RNV523151 RDZ523062:RDZ523151 QUD523062:QUD523151 QKH523062:QKH523151 QAL523062:QAL523151 PQP523062:PQP523151 PGT523062:PGT523151 OWX523062:OWX523151 ONB523062:ONB523151 ODF523062:ODF523151 NTJ523062:NTJ523151 NJN523062:NJN523151 MZR523062:MZR523151 MPV523062:MPV523151 MFZ523062:MFZ523151 LWD523062:LWD523151 LMH523062:LMH523151 LCL523062:LCL523151 KSP523062:KSP523151 KIT523062:KIT523151 JYX523062:JYX523151 JPB523062:JPB523151 JFF523062:JFF523151 IVJ523062:IVJ523151 ILN523062:ILN523151 IBR523062:IBR523151 HRV523062:HRV523151 HHZ523062:HHZ523151 GYD523062:GYD523151 GOH523062:GOH523151 GEL523062:GEL523151 FUP523062:FUP523151 FKT523062:FKT523151 FAX523062:FAX523151 ERB523062:ERB523151 EHF523062:EHF523151 DXJ523062:DXJ523151 DNN523062:DNN523151 DDR523062:DDR523151 CTV523062:CTV523151 CJZ523062:CJZ523151 CAD523062:CAD523151 BQH523062:BQH523151 BGL523062:BGL523151 AWP523062:AWP523151 AMT523062:AMT523151 ACX523062:ACX523151 TB523062:TB523151 JF523062:JF523151 J523071:J523160 WVR457526:WVR457615 WLV457526:WLV457615 WBZ457526:WBZ457615 VSD457526:VSD457615 VIH457526:VIH457615 UYL457526:UYL457615 UOP457526:UOP457615 UET457526:UET457615 TUX457526:TUX457615 TLB457526:TLB457615 TBF457526:TBF457615 SRJ457526:SRJ457615 SHN457526:SHN457615 RXR457526:RXR457615 RNV457526:RNV457615 RDZ457526:RDZ457615 QUD457526:QUD457615 QKH457526:QKH457615 QAL457526:QAL457615 PQP457526:PQP457615 PGT457526:PGT457615 OWX457526:OWX457615 ONB457526:ONB457615 ODF457526:ODF457615 NTJ457526:NTJ457615 NJN457526:NJN457615 MZR457526:MZR457615 MPV457526:MPV457615 MFZ457526:MFZ457615 LWD457526:LWD457615 LMH457526:LMH457615 LCL457526:LCL457615 KSP457526:KSP457615 KIT457526:KIT457615 JYX457526:JYX457615 JPB457526:JPB457615 JFF457526:JFF457615 IVJ457526:IVJ457615 ILN457526:ILN457615 IBR457526:IBR457615 HRV457526:HRV457615 HHZ457526:HHZ457615 GYD457526:GYD457615 GOH457526:GOH457615 GEL457526:GEL457615 FUP457526:FUP457615 FKT457526:FKT457615 FAX457526:FAX457615 ERB457526:ERB457615 EHF457526:EHF457615 DXJ457526:DXJ457615 DNN457526:DNN457615 DDR457526:DDR457615 CTV457526:CTV457615 CJZ457526:CJZ457615 CAD457526:CAD457615 BQH457526:BQH457615 BGL457526:BGL457615 AWP457526:AWP457615 AMT457526:AMT457615 ACX457526:ACX457615 TB457526:TB457615 JF457526:JF457615 J457535:J457624 WVR391990:WVR392079 WLV391990:WLV392079 WBZ391990:WBZ392079 VSD391990:VSD392079 VIH391990:VIH392079 UYL391990:UYL392079 UOP391990:UOP392079 UET391990:UET392079 TUX391990:TUX392079 TLB391990:TLB392079 TBF391990:TBF392079 SRJ391990:SRJ392079 SHN391990:SHN392079 RXR391990:RXR392079 RNV391990:RNV392079 RDZ391990:RDZ392079 QUD391990:QUD392079 QKH391990:QKH392079 QAL391990:QAL392079 PQP391990:PQP392079 PGT391990:PGT392079 OWX391990:OWX392079 ONB391990:ONB392079 ODF391990:ODF392079 NTJ391990:NTJ392079 NJN391990:NJN392079 MZR391990:MZR392079 MPV391990:MPV392079 MFZ391990:MFZ392079 LWD391990:LWD392079 LMH391990:LMH392079 LCL391990:LCL392079 KSP391990:KSP392079 KIT391990:KIT392079 JYX391990:JYX392079 JPB391990:JPB392079 JFF391990:JFF392079 IVJ391990:IVJ392079 ILN391990:ILN392079 IBR391990:IBR392079 HRV391990:HRV392079 HHZ391990:HHZ392079 GYD391990:GYD392079 GOH391990:GOH392079 GEL391990:GEL392079 FUP391990:FUP392079 FKT391990:FKT392079 FAX391990:FAX392079 ERB391990:ERB392079 EHF391990:EHF392079 DXJ391990:DXJ392079 DNN391990:DNN392079 DDR391990:DDR392079 CTV391990:CTV392079 CJZ391990:CJZ392079 CAD391990:CAD392079 BQH391990:BQH392079 BGL391990:BGL392079 AWP391990:AWP392079 AMT391990:AMT392079 ACX391990:ACX392079 TB391990:TB392079 JF391990:JF392079 J391999:J392088 WVR326454:WVR326543 WLV326454:WLV326543 WBZ326454:WBZ326543 VSD326454:VSD326543 VIH326454:VIH326543 UYL326454:UYL326543 UOP326454:UOP326543 UET326454:UET326543 TUX326454:TUX326543 TLB326454:TLB326543 TBF326454:TBF326543 SRJ326454:SRJ326543 SHN326454:SHN326543 RXR326454:RXR326543 RNV326454:RNV326543 RDZ326454:RDZ326543 QUD326454:QUD326543 QKH326454:QKH326543 QAL326454:QAL326543 PQP326454:PQP326543 PGT326454:PGT326543 OWX326454:OWX326543 ONB326454:ONB326543 ODF326454:ODF326543 NTJ326454:NTJ326543 NJN326454:NJN326543 MZR326454:MZR326543 MPV326454:MPV326543 MFZ326454:MFZ326543 LWD326454:LWD326543 LMH326454:LMH326543 LCL326454:LCL326543 KSP326454:KSP326543 KIT326454:KIT326543 JYX326454:JYX326543 JPB326454:JPB326543 JFF326454:JFF326543 IVJ326454:IVJ326543 ILN326454:ILN326543 IBR326454:IBR326543 HRV326454:HRV326543 HHZ326454:HHZ326543 GYD326454:GYD326543 GOH326454:GOH326543 GEL326454:GEL326543 FUP326454:FUP326543 FKT326454:FKT326543 FAX326454:FAX326543 ERB326454:ERB326543 EHF326454:EHF326543 DXJ326454:DXJ326543 DNN326454:DNN326543 DDR326454:DDR326543 CTV326454:CTV326543 CJZ326454:CJZ326543 CAD326454:CAD326543 BQH326454:BQH326543 BGL326454:BGL326543 AWP326454:AWP326543 AMT326454:AMT326543 ACX326454:ACX326543 TB326454:TB326543 JF326454:JF326543 J326463:J326552 WVR260918:WVR261007 WLV260918:WLV261007 WBZ260918:WBZ261007 VSD260918:VSD261007 VIH260918:VIH261007 UYL260918:UYL261007 UOP260918:UOP261007 UET260918:UET261007 TUX260918:TUX261007 TLB260918:TLB261007 TBF260918:TBF261007 SRJ260918:SRJ261007 SHN260918:SHN261007 RXR260918:RXR261007 RNV260918:RNV261007 RDZ260918:RDZ261007 QUD260918:QUD261007 QKH260918:QKH261007 QAL260918:QAL261007 PQP260918:PQP261007 PGT260918:PGT261007 OWX260918:OWX261007 ONB260918:ONB261007 ODF260918:ODF261007 NTJ260918:NTJ261007 NJN260918:NJN261007 MZR260918:MZR261007 MPV260918:MPV261007 MFZ260918:MFZ261007 LWD260918:LWD261007 LMH260918:LMH261007 LCL260918:LCL261007 KSP260918:KSP261007 KIT260918:KIT261007 JYX260918:JYX261007 JPB260918:JPB261007 JFF260918:JFF261007 IVJ260918:IVJ261007 ILN260918:ILN261007 IBR260918:IBR261007 HRV260918:HRV261007 HHZ260918:HHZ261007 GYD260918:GYD261007 GOH260918:GOH261007 GEL260918:GEL261007 FUP260918:FUP261007 FKT260918:FKT261007 FAX260918:FAX261007 ERB260918:ERB261007 EHF260918:EHF261007 DXJ260918:DXJ261007 DNN260918:DNN261007 DDR260918:DDR261007 CTV260918:CTV261007 CJZ260918:CJZ261007 CAD260918:CAD261007 BQH260918:BQH261007 BGL260918:BGL261007 AWP260918:AWP261007 AMT260918:AMT261007 ACX260918:ACX261007 TB260918:TB261007 JF260918:JF261007 J260927:J261016 WVR195382:WVR195471 WLV195382:WLV195471 WBZ195382:WBZ195471 VSD195382:VSD195471 VIH195382:VIH195471 UYL195382:UYL195471 UOP195382:UOP195471 UET195382:UET195471 TUX195382:TUX195471 TLB195382:TLB195471 TBF195382:TBF195471 SRJ195382:SRJ195471 SHN195382:SHN195471 RXR195382:RXR195471 RNV195382:RNV195471 RDZ195382:RDZ195471 QUD195382:QUD195471 QKH195382:QKH195471 QAL195382:QAL195471 PQP195382:PQP195471 PGT195382:PGT195471 OWX195382:OWX195471 ONB195382:ONB195471 ODF195382:ODF195471 NTJ195382:NTJ195471 NJN195382:NJN195471 MZR195382:MZR195471 MPV195382:MPV195471 MFZ195382:MFZ195471 LWD195382:LWD195471 LMH195382:LMH195471 LCL195382:LCL195471 KSP195382:KSP195471 KIT195382:KIT195471 JYX195382:JYX195471 JPB195382:JPB195471 JFF195382:JFF195471 IVJ195382:IVJ195471 ILN195382:ILN195471 IBR195382:IBR195471 HRV195382:HRV195471 HHZ195382:HHZ195471 GYD195382:GYD195471 GOH195382:GOH195471 GEL195382:GEL195471 FUP195382:FUP195471 FKT195382:FKT195471 FAX195382:FAX195471 ERB195382:ERB195471 EHF195382:EHF195471 DXJ195382:DXJ195471 DNN195382:DNN195471 DDR195382:DDR195471 CTV195382:CTV195471 CJZ195382:CJZ195471 CAD195382:CAD195471 BQH195382:BQH195471 BGL195382:BGL195471 AWP195382:AWP195471 AMT195382:AMT195471 ACX195382:ACX195471 TB195382:TB195471 JF195382:JF195471 J195391:J195480 WVR129846:WVR129935 WLV129846:WLV129935 WBZ129846:WBZ129935 VSD129846:VSD129935 VIH129846:VIH129935 UYL129846:UYL129935 UOP129846:UOP129935 UET129846:UET129935 TUX129846:TUX129935 TLB129846:TLB129935 TBF129846:TBF129935 SRJ129846:SRJ129935 SHN129846:SHN129935 RXR129846:RXR129935 RNV129846:RNV129935 RDZ129846:RDZ129935 QUD129846:QUD129935 QKH129846:QKH129935 QAL129846:QAL129935 PQP129846:PQP129935 PGT129846:PGT129935 OWX129846:OWX129935 ONB129846:ONB129935 ODF129846:ODF129935 NTJ129846:NTJ129935 NJN129846:NJN129935 MZR129846:MZR129935 MPV129846:MPV129935 MFZ129846:MFZ129935 LWD129846:LWD129935 LMH129846:LMH129935 LCL129846:LCL129935 KSP129846:KSP129935 KIT129846:KIT129935 JYX129846:JYX129935 JPB129846:JPB129935 JFF129846:JFF129935 IVJ129846:IVJ129935 ILN129846:ILN129935 IBR129846:IBR129935 HRV129846:HRV129935 HHZ129846:HHZ129935 GYD129846:GYD129935 GOH129846:GOH129935 GEL129846:GEL129935 FUP129846:FUP129935 FKT129846:FKT129935 FAX129846:FAX129935 ERB129846:ERB129935 EHF129846:EHF129935 DXJ129846:DXJ129935 DNN129846:DNN129935 DDR129846:DDR129935 CTV129846:CTV129935 CJZ129846:CJZ129935 CAD129846:CAD129935 BQH129846:BQH129935 BGL129846:BGL129935 AWP129846:AWP129935 AMT129846:AMT129935 ACX129846:ACX129935 TB129846:TB129935 JF129846:JF129935 J129855:J129944 WVR64310:WVR64399 WLV64310:WLV64399 WBZ64310:WBZ64399 VSD64310:VSD64399 VIH64310:VIH64399 UYL64310:UYL64399 UOP64310:UOP64399 UET64310:UET64399 TUX64310:TUX64399 TLB64310:TLB64399 TBF64310:TBF64399 SRJ64310:SRJ64399 SHN64310:SHN64399 RXR64310:RXR64399 RNV64310:RNV64399 RDZ64310:RDZ64399 QUD64310:QUD64399 QKH64310:QKH64399 QAL64310:QAL64399 PQP64310:PQP64399 PGT64310:PGT64399 OWX64310:OWX64399 ONB64310:ONB64399 ODF64310:ODF64399 NTJ64310:NTJ64399 NJN64310:NJN64399 MZR64310:MZR64399 MPV64310:MPV64399 MFZ64310:MFZ64399 LWD64310:LWD64399 LMH64310:LMH64399 LCL64310:LCL64399 KSP64310:KSP64399 KIT64310:KIT64399 JYX64310:JYX64399 JPB64310:JPB64399 JFF64310:JFF64399 IVJ64310:IVJ64399 ILN64310:ILN64399 IBR64310:IBR64399 HRV64310:HRV64399 HHZ64310:HHZ64399 GYD64310:GYD64399 GOH64310:GOH64399 GEL64310:GEL64399 FUP64310:FUP64399 FKT64310:FKT64399 FAX64310:FAX64399 ERB64310:ERB64399 EHF64310:EHF64399 DXJ64310:DXJ64399 DNN64310:DNN64399 DDR64310:DDR64399 CTV64310:CTV64399 CJZ64310:CJZ64399 CAD64310:CAD64399 BQH64310:BQH64399 BGL64310:BGL64399 AWP64310:AWP64399 AMT64310:AMT64399 ACX64310:ACX64399 TB64310:TB64399 JF64310:JF64399 J64319:J64408 JF2:JF82 TB2:TB82 ACX2:ACX82 AMT2:AMT82 AWP2:AWP82 BGL2:BGL82 BQH2:BQH82 CAD2:CAD82 CJZ2:CJZ82 CTV2:CTV82 DDR2:DDR82 DNN2:DNN82 DXJ2:DXJ82 EHF2:EHF82 ERB2:ERB82 FAX2:FAX82 FKT2:FKT82 FUP2:FUP82 GEL2:GEL82 GOH2:GOH82 GYD2:GYD82 HHZ2:HHZ82 HRV2:HRV82 IBR2:IBR82 ILN2:ILN82 IVJ2:IVJ82 JFF2:JFF82 JPB2:JPB82 JYX2:JYX82 KIT2:KIT82 KSP2:KSP82 LCL2:LCL82 LMH2:LMH82 LWD2:LWD82 MFZ2:MFZ82 MPV2:MPV82 MZR2:MZR82 NJN2:NJN82 NTJ2:NTJ82 ODF2:ODF82 ONB2:ONB82 OWX2:OWX82 PGT2:PGT82 PQP2:PQP82 QAL2:QAL82 QKH2:QKH82 QUD2:QUD82 RDZ2:RDZ82 RNV2:RNV82 RXR2:RXR82 SHN2:SHN82 SRJ2:SRJ82 TBF2:TBF82 TLB2:TLB82 TUX2:TUX82 UET2:UET82 UOP2:UOP82 UYL2:UYL82 VIH2:VIH82 VSD2:VSD82 WBZ2:WBZ82 WLV2:WLV82 WVR2:WVR82" xr:uid="{D0CB6F90-4242-4C73-A33B-98DC4E0C157B}">
      <formula1>$AP$2:$AP$15</formula1>
    </dataValidation>
    <dataValidation type="list" allowBlank="1" showInputMessage="1" showErrorMessage="1" sqref="WVN981814:WVN981903 WLR981814:WLR981903 WBV981814:WBV981903 VRZ981814:VRZ981903 VID981814:VID981903 UYH981814:UYH981903 UOL981814:UOL981903 UEP981814:UEP981903 TUT981814:TUT981903 TKX981814:TKX981903 TBB981814:TBB981903 SRF981814:SRF981903 SHJ981814:SHJ981903 RXN981814:RXN981903 RNR981814:RNR981903 RDV981814:RDV981903 QTZ981814:QTZ981903 QKD981814:QKD981903 QAH981814:QAH981903 PQL981814:PQL981903 PGP981814:PGP981903 OWT981814:OWT981903 OMX981814:OMX981903 ODB981814:ODB981903 NTF981814:NTF981903 NJJ981814:NJJ981903 MZN981814:MZN981903 MPR981814:MPR981903 MFV981814:MFV981903 LVZ981814:LVZ981903 LMD981814:LMD981903 LCH981814:LCH981903 KSL981814:KSL981903 KIP981814:KIP981903 JYT981814:JYT981903 JOX981814:JOX981903 JFB981814:JFB981903 IVF981814:IVF981903 ILJ981814:ILJ981903 IBN981814:IBN981903 HRR981814:HRR981903 HHV981814:HHV981903 GXZ981814:GXZ981903 GOD981814:GOD981903 GEH981814:GEH981903 FUL981814:FUL981903 FKP981814:FKP981903 FAT981814:FAT981903 EQX981814:EQX981903 EHB981814:EHB981903 DXF981814:DXF981903 DNJ981814:DNJ981903 DDN981814:DDN981903 CTR981814:CTR981903 CJV981814:CJV981903 BZZ981814:BZZ981903 BQD981814:BQD981903 BGH981814:BGH981903 AWL981814:AWL981903 AMP981814:AMP981903 ACT981814:ACT981903 SX981814:SX981903 JB981814:JB981903 F981825:F981914 WVN916278:WVN916367 WLR916278:WLR916367 WBV916278:WBV916367 VRZ916278:VRZ916367 VID916278:VID916367 UYH916278:UYH916367 UOL916278:UOL916367 UEP916278:UEP916367 TUT916278:TUT916367 TKX916278:TKX916367 TBB916278:TBB916367 SRF916278:SRF916367 SHJ916278:SHJ916367 RXN916278:RXN916367 RNR916278:RNR916367 RDV916278:RDV916367 QTZ916278:QTZ916367 QKD916278:QKD916367 QAH916278:QAH916367 PQL916278:PQL916367 PGP916278:PGP916367 OWT916278:OWT916367 OMX916278:OMX916367 ODB916278:ODB916367 NTF916278:NTF916367 NJJ916278:NJJ916367 MZN916278:MZN916367 MPR916278:MPR916367 MFV916278:MFV916367 LVZ916278:LVZ916367 LMD916278:LMD916367 LCH916278:LCH916367 KSL916278:KSL916367 KIP916278:KIP916367 JYT916278:JYT916367 JOX916278:JOX916367 JFB916278:JFB916367 IVF916278:IVF916367 ILJ916278:ILJ916367 IBN916278:IBN916367 HRR916278:HRR916367 HHV916278:HHV916367 GXZ916278:GXZ916367 GOD916278:GOD916367 GEH916278:GEH916367 FUL916278:FUL916367 FKP916278:FKP916367 FAT916278:FAT916367 EQX916278:EQX916367 EHB916278:EHB916367 DXF916278:DXF916367 DNJ916278:DNJ916367 DDN916278:DDN916367 CTR916278:CTR916367 CJV916278:CJV916367 BZZ916278:BZZ916367 BQD916278:BQD916367 BGH916278:BGH916367 AWL916278:AWL916367 AMP916278:AMP916367 ACT916278:ACT916367 SX916278:SX916367 JB916278:JB916367 F916289:F916378 WVN850742:WVN850831 WLR850742:WLR850831 WBV850742:WBV850831 VRZ850742:VRZ850831 VID850742:VID850831 UYH850742:UYH850831 UOL850742:UOL850831 UEP850742:UEP850831 TUT850742:TUT850831 TKX850742:TKX850831 TBB850742:TBB850831 SRF850742:SRF850831 SHJ850742:SHJ850831 RXN850742:RXN850831 RNR850742:RNR850831 RDV850742:RDV850831 QTZ850742:QTZ850831 QKD850742:QKD850831 QAH850742:QAH850831 PQL850742:PQL850831 PGP850742:PGP850831 OWT850742:OWT850831 OMX850742:OMX850831 ODB850742:ODB850831 NTF850742:NTF850831 NJJ850742:NJJ850831 MZN850742:MZN850831 MPR850742:MPR850831 MFV850742:MFV850831 LVZ850742:LVZ850831 LMD850742:LMD850831 LCH850742:LCH850831 KSL850742:KSL850831 KIP850742:KIP850831 JYT850742:JYT850831 JOX850742:JOX850831 JFB850742:JFB850831 IVF850742:IVF850831 ILJ850742:ILJ850831 IBN850742:IBN850831 HRR850742:HRR850831 HHV850742:HHV850831 GXZ850742:GXZ850831 GOD850742:GOD850831 GEH850742:GEH850831 FUL850742:FUL850831 FKP850742:FKP850831 FAT850742:FAT850831 EQX850742:EQX850831 EHB850742:EHB850831 DXF850742:DXF850831 DNJ850742:DNJ850831 DDN850742:DDN850831 CTR850742:CTR850831 CJV850742:CJV850831 BZZ850742:BZZ850831 BQD850742:BQD850831 BGH850742:BGH850831 AWL850742:AWL850831 AMP850742:AMP850831 ACT850742:ACT850831 SX850742:SX850831 JB850742:JB850831 F850753:F850842 WVN785206:WVN785295 WLR785206:WLR785295 WBV785206:WBV785295 VRZ785206:VRZ785295 VID785206:VID785295 UYH785206:UYH785295 UOL785206:UOL785295 UEP785206:UEP785295 TUT785206:TUT785295 TKX785206:TKX785295 TBB785206:TBB785295 SRF785206:SRF785295 SHJ785206:SHJ785295 RXN785206:RXN785295 RNR785206:RNR785295 RDV785206:RDV785295 QTZ785206:QTZ785295 QKD785206:QKD785295 QAH785206:QAH785295 PQL785206:PQL785295 PGP785206:PGP785295 OWT785206:OWT785295 OMX785206:OMX785295 ODB785206:ODB785295 NTF785206:NTF785295 NJJ785206:NJJ785295 MZN785206:MZN785295 MPR785206:MPR785295 MFV785206:MFV785295 LVZ785206:LVZ785295 LMD785206:LMD785295 LCH785206:LCH785295 KSL785206:KSL785295 KIP785206:KIP785295 JYT785206:JYT785295 JOX785206:JOX785295 JFB785206:JFB785295 IVF785206:IVF785295 ILJ785206:ILJ785295 IBN785206:IBN785295 HRR785206:HRR785295 HHV785206:HHV785295 GXZ785206:GXZ785295 GOD785206:GOD785295 GEH785206:GEH785295 FUL785206:FUL785295 FKP785206:FKP785295 FAT785206:FAT785295 EQX785206:EQX785295 EHB785206:EHB785295 DXF785206:DXF785295 DNJ785206:DNJ785295 DDN785206:DDN785295 CTR785206:CTR785295 CJV785206:CJV785295 BZZ785206:BZZ785295 BQD785206:BQD785295 BGH785206:BGH785295 AWL785206:AWL785295 AMP785206:AMP785295 ACT785206:ACT785295 SX785206:SX785295 JB785206:JB785295 F785217:F785306 WVN719670:WVN719759 WLR719670:WLR719759 WBV719670:WBV719759 VRZ719670:VRZ719759 VID719670:VID719759 UYH719670:UYH719759 UOL719670:UOL719759 UEP719670:UEP719759 TUT719670:TUT719759 TKX719670:TKX719759 TBB719670:TBB719759 SRF719670:SRF719759 SHJ719670:SHJ719759 RXN719670:RXN719759 RNR719670:RNR719759 RDV719670:RDV719759 QTZ719670:QTZ719759 QKD719670:QKD719759 QAH719670:QAH719759 PQL719670:PQL719759 PGP719670:PGP719759 OWT719670:OWT719759 OMX719670:OMX719759 ODB719670:ODB719759 NTF719670:NTF719759 NJJ719670:NJJ719759 MZN719670:MZN719759 MPR719670:MPR719759 MFV719670:MFV719759 LVZ719670:LVZ719759 LMD719670:LMD719759 LCH719670:LCH719759 KSL719670:KSL719759 KIP719670:KIP719759 JYT719670:JYT719759 JOX719670:JOX719759 JFB719670:JFB719759 IVF719670:IVF719759 ILJ719670:ILJ719759 IBN719670:IBN719759 HRR719670:HRR719759 HHV719670:HHV719759 GXZ719670:GXZ719759 GOD719670:GOD719759 GEH719670:GEH719759 FUL719670:FUL719759 FKP719670:FKP719759 FAT719670:FAT719759 EQX719670:EQX719759 EHB719670:EHB719759 DXF719670:DXF719759 DNJ719670:DNJ719759 DDN719670:DDN719759 CTR719670:CTR719759 CJV719670:CJV719759 BZZ719670:BZZ719759 BQD719670:BQD719759 BGH719670:BGH719759 AWL719670:AWL719759 AMP719670:AMP719759 ACT719670:ACT719759 SX719670:SX719759 JB719670:JB719759 F719681:F719770 WVN654134:WVN654223 WLR654134:WLR654223 WBV654134:WBV654223 VRZ654134:VRZ654223 VID654134:VID654223 UYH654134:UYH654223 UOL654134:UOL654223 UEP654134:UEP654223 TUT654134:TUT654223 TKX654134:TKX654223 TBB654134:TBB654223 SRF654134:SRF654223 SHJ654134:SHJ654223 RXN654134:RXN654223 RNR654134:RNR654223 RDV654134:RDV654223 QTZ654134:QTZ654223 QKD654134:QKD654223 QAH654134:QAH654223 PQL654134:PQL654223 PGP654134:PGP654223 OWT654134:OWT654223 OMX654134:OMX654223 ODB654134:ODB654223 NTF654134:NTF654223 NJJ654134:NJJ654223 MZN654134:MZN654223 MPR654134:MPR654223 MFV654134:MFV654223 LVZ654134:LVZ654223 LMD654134:LMD654223 LCH654134:LCH654223 KSL654134:KSL654223 KIP654134:KIP654223 JYT654134:JYT654223 JOX654134:JOX654223 JFB654134:JFB654223 IVF654134:IVF654223 ILJ654134:ILJ654223 IBN654134:IBN654223 HRR654134:HRR654223 HHV654134:HHV654223 GXZ654134:GXZ654223 GOD654134:GOD654223 GEH654134:GEH654223 FUL654134:FUL654223 FKP654134:FKP654223 FAT654134:FAT654223 EQX654134:EQX654223 EHB654134:EHB654223 DXF654134:DXF654223 DNJ654134:DNJ654223 DDN654134:DDN654223 CTR654134:CTR654223 CJV654134:CJV654223 BZZ654134:BZZ654223 BQD654134:BQD654223 BGH654134:BGH654223 AWL654134:AWL654223 AMP654134:AMP654223 ACT654134:ACT654223 SX654134:SX654223 JB654134:JB654223 F654145:F654234 WVN588598:WVN588687 WLR588598:WLR588687 WBV588598:WBV588687 VRZ588598:VRZ588687 VID588598:VID588687 UYH588598:UYH588687 UOL588598:UOL588687 UEP588598:UEP588687 TUT588598:TUT588687 TKX588598:TKX588687 TBB588598:TBB588687 SRF588598:SRF588687 SHJ588598:SHJ588687 RXN588598:RXN588687 RNR588598:RNR588687 RDV588598:RDV588687 QTZ588598:QTZ588687 QKD588598:QKD588687 QAH588598:QAH588687 PQL588598:PQL588687 PGP588598:PGP588687 OWT588598:OWT588687 OMX588598:OMX588687 ODB588598:ODB588687 NTF588598:NTF588687 NJJ588598:NJJ588687 MZN588598:MZN588687 MPR588598:MPR588687 MFV588598:MFV588687 LVZ588598:LVZ588687 LMD588598:LMD588687 LCH588598:LCH588687 KSL588598:KSL588687 KIP588598:KIP588687 JYT588598:JYT588687 JOX588598:JOX588687 JFB588598:JFB588687 IVF588598:IVF588687 ILJ588598:ILJ588687 IBN588598:IBN588687 HRR588598:HRR588687 HHV588598:HHV588687 GXZ588598:GXZ588687 GOD588598:GOD588687 GEH588598:GEH588687 FUL588598:FUL588687 FKP588598:FKP588687 FAT588598:FAT588687 EQX588598:EQX588687 EHB588598:EHB588687 DXF588598:DXF588687 DNJ588598:DNJ588687 DDN588598:DDN588687 CTR588598:CTR588687 CJV588598:CJV588687 BZZ588598:BZZ588687 BQD588598:BQD588687 BGH588598:BGH588687 AWL588598:AWL588687 AMP588598:AMP588687 ACT588598:ACT588687 SX588598:SX588687 JB588598:JB588687 F588609:F588698 WVN523062:WVN523151 WLR523062:WLR523151 WBV523062:WBV523151 VRZ523062:VRZ523151 VID523062:VID523151 UYH523062:UYH523151 UOL523062:UOL523151 UEP523062:UEP523151 TUT523062:TUT523151 TKX523062:TKX523151 TBB523062:TBB523151 SRF523062:SRF523151 SHJ523062:SHJ523151 RXN523062:RXN523151 RNR523062:RNR523151 RDV523062:RDV523151 QTZ523062:QTZ523151 QKD523062:QKD523151 QAH523062:QAH523151 PQL523062:PQL523151 PGP523062:PGP523151 OWT523062:OWT523151 OMX523062:OMX523151 ODB523062:ODB523151 NTF523062:NTF523151 NJJ523062:NJJ523151 MZN523062:MZN523151 MPR523062:MPR523151 MFV523062:MFV523151 LVZ523062:LVZ523151 LMD523062:LMD523151 LCH523062:LCH523151 KSL523062:KSL523151 KIP523062:KIP523151 JYT523062:JYT523151 JOX523062:JOX523151 JFB523062:JFB523151 IVF523062:IVF523151 ILJ523062:ILJ523151 IBN523062:IBN523151 HRR523062:HRR523151 HHV523062:HHV523151 GXZ523062:GXZ523151 GOD523062:GOD523151 GEH523062:GEH523151 FUL523062:FUL523151 FKP523062:FKP523151 FAT523062:FAT523151 EQX523062:EQX523151 EHB523062:EHB523151 DXF523062:DXF523151 DNJ523062:DNJ523151 DDN523062:DDN523151 CTR523062:CTR523151 CJV523062:CJV523151 BZZ523062:BZZ523151 BQD523062:BQD523151 BGH523062:BGH523151 AWL523062:AWL523151 AMP523062:AMP523151 ACT523062:ACT523151 SX523062:SX523151 JB523062:JB523151 F523073:F523162 WVN457526:WVN457615 WLR457526:WLR457615 WBV457526:WBV457615 VRZ457526:VRZ457615 VID457526:VID457615 UYH457526:UYH457615 UOL457526:UOL457615 UEP457526:UEP457615 TUT457526:TUT457615 TKX457526:TKX457615 TBB457526:TBB457615 SRF457526:SRF457615 SHJ457526:SHJ457615 RXN457526:RXN457615 RNR457526:RNR457615 RDV457526:RDV457615 QTZ457526:QTZ457615 QKD457526:QKD457615 QAH457526:QAH457615 PQL457526:PQL457615 PGP457526:PGP457615 OWT457526:OWT457615 OMX457526:OMX457615 ODB457526:ODB457615 NTF457526:NTF457615 NJJ457526:NJJ457615 MZN457526:MZN457615 MPR457526:MPR457615 MFV457526:MFV457615 LVZ457526:LVZ457615 LMD457526:LMD457615 LCH457526:LCH457615 KSL457526:KSL457615 KIP457526:KIP457615 JYT457526:JYT457615 JOX457526:JOX457615 JFB457526:JFB457615 IVF457526:IVF457615 ILJ457526:ILJ457615 IBN457526:IBN457615 HRR457526:HRR457615 HHV457526:HHV457615 GXZ457526:GXZ457615 GOD457526:GOD457615 GEH457526:GEH457615 FUL457526:FUL457615 FKP457526:FKP457615 FAT457526:FAT457615 EQX457526:EQX457615 EHB457526:EHB457615 DXF457526:DXF457615 DNJ457526:DNJ457615 DDN457526:DDN457615 CTR457526:CTR457615 CJV457526:CJV457615 BZZ457526:BZZ457615 BQD457526:BQD457615 BGH457526:BGH457615 AWL457526:AWL457615 AMP457526:AMP457615 ACT457526:ACT457615 SX457526:SX457615 JB457526:JB457615 F457537:F457626 WVN391990:WVN392079 WLR391990:WLR392079 WBV391990:WBV392079 VRZ391990:VRZ392079 VID391990:VID392079 UYH391990:UYH392079 UOL391990:UOL392079 UEP391990:UEP392079 TUT391990:TUT392079 TKX391990:TKX392079 TBB391990:TBB392079 SRF391990:SRF392079 SHJ391990:SHJ392079 RXN391990:RXN392079 RNR391990:RNR392079 RDV391990:RDV392079 QTZ391990:QTZ392079 QKD391990:QKD392079 QAH391990:QAH392079 PQL391990:PQL392079 PGP391990:PGP392079 OWT391990:OWT392079 OMX391990:OMX392079 ODB391990:ODB392079 NTF391990:NTF392079 NJJ391990:NJJ392079 MZN391990:MZN392079 MPR391990:MPR392079 MFV391990:MFV392079 LVZ391990:LVZ392079 LMD391990:LMD392079 LCH391990:LCH392079 KSL391990:KSL392079 KIP391990:KIP392079 JYT391990:JYT392079 JOX391990:JOX392079 JFB391990:JFB392079 IVF391990:IVF392079 ILJ391990:ILJ392079 IBN391990:IBN392079 HRR391990:HRR392079 HHV391990:HHV392079 GXZ391990:GXZ392079 GOD391990:GOD392079 GEH391990:GEH392079 FUL391990:FUL392079 FKP391990:FKP392079 FAT391990:FAT392079 EQX391990:EQX392079 EHB391990:EHB392079 DXF391990:DXF392079 DNJ391990:DNJ392079 DDN391990:DDN392079 CTR391990:CTR392079 CJV391990:CJV392079 BZZ391990:BZZ392079 BQD391990:BQD392079 BGH391990:BGH392079 AWL391990:AWL392079 AMP391990:AMP392079 ACT391990:ACT392079 SX391990:SX392079 JB391990:JB392079 F392001:F392090 WVN326454:WVN326543 WLR326454:WLR326543 WBV326454:WBV326543 VRZ326454:VRZ326543 VID326454:VID326543 UYH326454:UYH326543 UOL326454:UOL326543 UEP326454:UEP326543 TUT326454:TUT326543 TKX326454:TKX326543 TBB326454:TBB326543 SRF326454:SRF326543 SHJ326454:SHJ326543 RXN326454:RXN326543 RNR326454:RNR326543 RDV326454:RDV326543 QTZ326454:QTZ326543 QKD326454:QKD326543 QAH326454:QAH326543 PQL326454:PQL326543 PGP326454:PGP326543 OWT326454:OWT326543 OMX326454:OMX326543 ODB326454:ODB326543 NTF326454:NTF326543 NJJ326454:NJJ326543 MZN326454:MZN326543 MPR326454:MPR326543 MFV326454:MFV326543 LVZ326454:LVZ326543 LMD326454:LMD326543 LCH326454:LCH326543 KSL326454:KSL326543 KIP326454:KIP326543 JYT326454:JYT326543 JOX326454:JOX326543 JFB326454:JFB326543 IVF326454:IVF326543 ILJ326454:ILJ326543 IBN326454:IBN326543 HRR326454:HRR326543 HHV326454:HHV326543 GXZ326454:GXZ326543 GOD326454:GOD326543 GEH326454:GEH326543 FUL326454:FUL326543 FKP326454:FKP326543 FAT326454:FAT326543 EQX326454:EQX326543 EHB326454:EHB326543 DXF326454:DXF326543 DNJ326454:DNJ326543 DDN326454:DDN326543 CTR326454:CTR326543 CJV326454:CJV326543 BZZ326454:BZZ326543 BQD326454:BQD326543 BGH326454:BGH326543 AWL326454:AWL326543 AMP326454:AMP326543 ACT326454:ACT326543 SX326454:SX326543 JB326454:JB326543 F326465:F326554 WVN260918:WVN261007 WLR260918:WLR261007 WBV260918:WBV261007 VRZ260918:VRZ261007 VID260918:VID261007 UYH260918:UYH261007 UOL260918:UOL261007 UEP260918:UEP261007 TUT260918:TUT261007 TKX260918:TKX261007 TBB260918:TBB261007 SRF260918:SRF261007 SHJ260918:SHJ261007 RXN260918:RXN261007 RNR260918:RNR261007 RDV260918:RDV261007 QTZ260918:QTZ261007 QKD260918:QKD261007 QAH260918:QAH261007 PQL260918:PQL261007 PGP260918:PGP261007 OWT260918:OWT261007 OMX260918:OMX261007 ODB260918:ODB261007 NTF260918:NTF261007 NJJ260918:NJJ261007 MZN260918:MZN261007 MPR260918:MPR261007 MFV260918:MFV261007 LVZ260918:LVZ261007 LMD260918:LMD261007 LCH260918:LCH261007 KSL260918:KSL261007 KIP260918:KIP261007 JYT260918:JYT261007 JOX260918:JOX261007 JFB260918:JFB261007 IVF260918:IVF261007 ILJ260918:ILJ261007 IBN260918:IBN261007 HRR260918:HRR261007 HHV260918:HHV261007 GXZ260918:GXZ261007 GOD260918:GOD261007 GEH260918:GEH261007 FUL260918:FUL261007 FKP260918:FKP261007 FAT260918:FAT261007 EQX260918:EQX261007 EHB260918:EHB261007 DXF260918:DXF261007 DNJ260918:DNJ261007 DDN260918:DDN261007 CTR260918:CTR261007 CJV260918:CJV261007 BZZ260918:BZZ261007 BQD260918:BQD261007 BGH260918:BGH261007 AWL260918:AWL261007 AMP260918:AMP261007 ACT260918:ACT261007 SX260918:SX261007 JB260918:JB261007 F260929:F261018 WVN195382:WVN195471 WLR195382:WLR195471 WBV195382:WBV195471 VRZ195382:VRZ195471 VID195382:VID195471 UYH195382:UYH195471 UOL195382:UOL195471 UEP195382:UEP195471 TUT195382:TUT195471 TKX195382:TKX195471 TBB195382:TBB195471 SRF195382:SRF195471 SHJ195382:SHJ195471 RXN195382:RXN195471 RNR195382:RNR195471 RDV195382:RDV195471 QTZ195382:QTZ195471 QKD195382:QKD195471 QAH195382:QAH195471 PQL195382:PQL195471 PGP195382:PGP195471 OWT195382:OWT195471 OMX195382:OMX195471 ODB195382:ODB195471 NTF195382:NTF195471 NJJ195382:NJJ195471 MZN195382:MZN195471 MPR195382:MPR195471 MFV195382:MFV195471 LVZ195382:LVZ195471 LMD195382:LMD195471 LCH195382:LCH195471 KSL195382:KSL195471 KIP195382:KIP195471 JYT195382:JYT195471 JOX195382:JOX195471 JFB195382:JFB195471 IVF195382:IVF195471 ILJ195382:ILJ195471 IBN195382:IBN195471 HRR195382:HRR195471 HHV195382:HHV195471 GXZ195382:GXZ195471 GOD195382:GOD195471 GEH195382:GEH195471 FUL195382:FUL195471 FKP195382:FKP195471 FAT195382:FAT195471 EQX195382:EQX195471 EHB195382:EHB195471 DXF195382:DXF195471 DNJ195382:DNJ195471 DDN195382:DDN195471 CTR195382:CTR195471 CJV195382:CJV195471 BZZ195382:BZZ195471 BQD195382:BQD195471 BGH195382:BGH195471 AWL195382:AWL195471 AMP195382:AMP195471 ACT195382:ACT195471 SX195382:SX195471 JB195382:JB195471 F195393:F195482 WVN129846:WVN129935 WLR129846:WLR129935 WBV129846:WBV129935 VRZ129846:VRZ129935 VID129846:VID129935 UYH129846:UYH129935 UOL129846:UOL129935 UEP129846:UEP129935 TUT129846:TUT129935 TKX129846:TKX129935 TBB129846:TBB129935 SRF129846:SRF129935 SHJ129846:SHJ129935 RXN129846:RXN129935 RNR129846:RNR129935 RDV129846:RDV129935 QTZ129846:QTZ129935 QKD129846:QKD129935 QAH129846:QAH129935 PQL129846:PQL129935 PGP129846:PGP129935 OWT129846:OWT129935 OMX129846:OMX129935 ODB129846:ODB129935 NTF129846:NTF129935 NJJ129846:NJJ129935 MZN129846:MZN129935 MPR129846:MPR129935 MFV129846:MFV129935 LVZ129846:LVZ129935 LMD129846:LMD129935 LCH129846:LCH129935 KSL129846:KSL129935 KIP129846:KIP129935 JYT129846:JYT129935 JOX129846:JOX129935 JFB129846:JFB129935 IVF129846:IVF129935 ILJ129846:ILJ129935 IBN129846:IBN129935 HRR129846:HRR129935 HHV129846:HHV129935 GXZ129846:GXZ129935 GOD129846:GOD129935 GEH129846:GEH129935 FUL129846:FUL129935 FKP129846:FKP129935 FAT129846:FAT129935 EQX129846:EQX129935 EHB129846:EHB129935 DXF129846:DXF129935 DNJ129846:DNJ129935 DDN129846:DDN129935 CTR129846:CTR129935 CJV129846:CJV129935 BZZ129846:BZZ129935 BQD129846:BQD129935 BGH129846:BGH129935 AWL129846:AWL129935 AMP129846:AMP129935 ACT129846:ACT129935 SX129846:SX129935 JB129846:JB129935 F129857:F129946 WVN64310:WVN64399 WLR64310:WLR64399 WBV64310:WBV64399 VRZ64310:VRZ64399 VID64310:VID64399 UYH64310:UYH64399 UOL64310:UOL64399 UEP64310:UEP64399 TUT64310:TUT64399 TKX64310:TKX64399 TBB64310:TBB64399 SRF64310:SRF64399 SHJ64310:SHJ64399 RXN64310:RXN64399 RNR64310:RNR64399 RDV64310:RDV64399 QTZ64310:QTZ64399 QKD64310:QKD64399 QAH64310:QAH64399 PQL64310:PQL64399 PGP64310:PGP64399 OWT64310:OWT64399 OMX64310:OMX64399 ODB64310:ODB64399 NTF64310:NTF64399 NJJ64310:NJJ64399 MZN64310:MZN64399 MPR64310:MPR64399 MFV64310:MFV64399 LVZ64310:LVZ64399 LMD64310:LMD64399 LCH64310:LCH64399 KSL64310:KSL64399 KIP64310:KIP64399 JYT64310:JYT64399 JOX64310:JOX64399 JFB64310:JFB64399 IVF64310:IVF64399 ILJ64310:ILJ64399 IBN64310:IBN64399 HRR64310:HRR64399 HHV64310:HHV64399 GXZ64310:GXZ64399 GOD64310:GOD64399 GEH64310:GEH64399 FUL64310:FUL64399 FKP64310:FKP64399 FAT64310:FAT64399 EQX64310:EQX64399 EHB64310:EHB64399 DXF64310:DXF64399 DNJ64310:DNJ64399 DDN64310:DDN64399 CTR64310:CTR64399 CJV64310:CJV64399 BZZ64310:BZZ64399 BQD64310:BQD64399 BGH64310:BGH64399 AWL64310:AWL64399 AMP64310:AMP64399 ACT64310:ACT64399 SX64310:SX64399 JB64310:JB64399 F64321:F64410 WVN2:WVN82 WLR2:WLR82 WBV2:WBV82 VRZ2:VRZ82 VID2:VID82 UYH2:UYH82 UOL2:UOL82 UEP2:UEP82 TUT2:TUT82 TKX2:TKX82 TBB2:TBB82 SRF2:SRF82 SHJ2:SHJ82 RXN2:RXN82 RNR2:RNR82 RDV2:RDV82 QTZ2:QTZ82 QKD2:QKD82 QAH2:QAH82 PQL2:PQL82 PGP2:PGP82 OWT2:OWT82 OMX2:OMX82 ODB2:ODB82 NTF2:NTF82 NJJ2:NJJ82 MZN2:MZN82 MPR2:MPR82 MFV2:MFV82 LVZ2:LVZ82 LMD2:LMD82 LCH2:LCH82 KSL2:KSL82 KIP2:KIP82 JYT2:JYT82 JOX2:JOX82 JFB2:JFB82 IVF2:IVF82 ILJ2:ILJ82 IBN2:IBN82 HRR2:HRR82 HHV2:HHV82 GXZ2:GXZ82 GOD2:GOD82 GEH2:GEH82 FUL2:FUL82 FKP2:FKP82 FAT2:FAT82 EQX2:EQX82 EHB2:EHB82 DXF2:DXF82 DNJ2:DNJ82 DDN2:DDN82 CTR2:CTR82 CJV2:CJV82 BZZ2:BZZ82 BQD2:BQD82 BGH2:BGH82 AWL2:AWL82 AMP2:AMP82 ACT2:ACT82 SX2:SX82 JB2:JB82" xr:uid="{8BDA73C3-DE2C-4A88-B864-5F579E9FB6D1}">
      <formula1>$AH$2:$AH$13</formula1>
    </dataValidation>
    <dataValidation type="list" allowBlank="1" showInputMessage="1" showErrorMessage="1" sqref="WVM981814:WVM981903 WLQ981814:WLQ981903 WBU981814:WBU981903 VRY981814:VRY981903 VIC981814:VIC981903 UYG981814:UYG981903 UOK981814:UOK981903 UEO981814:UEO981903 TUS981814:TUS981903 TKW981814:TKW981903 TBA981814:TBA981903 SRE981814:SRE981903 SHI981814:SHI981903 RXM981814:RXM981903 RNQ981814:RNQ981903 RDU981814:RDU981903 QTY981814:QTY981903 QKC981814:QKC981903 QAG981814:QAG981903 PQK981814:PQK981903 PGO981814:PGO981903 OWS981814:OWS981903 OMW981814:OMW981903 ODA981814:ODA981903 NTE981814:NTE981903 NJI981814:NJI981903 MZM981814:MZM981903 MPQ981814:MPQ981903 MFU981814:MFU981903 LVY981814:LVY981903 LMC981814:LMC981903 LCG981814:LCG981903 KSK981814:KSK981903 KIO981814:KIO981903 JYS981814:JYS981903 JOW981814:JOW981903 JFA981814:JFA981903 IVE981814:IVE981903 ILI981814:ILI981903 IBM981814:IBM981903 HRQ981814:HRQ981903 HHU981814:HHU981903 GXY981814:GXY981903 GOC981814:GOC981903 GEG981814:GEG981903 FUK981814:FUK981903 FKO981814:FKO981903 FAS981814:FAS981903 EQW981814:EQW981903 EHA981814:EHA981903 DXE981814:DXE981903 DNI981814:DNI981903 DDM981814:DDM981903 CTQ981814:CTQ981903 CJU981814:CJU981903 BZY981814:BZY981903 BQC981814:BQC981903 BGG981814:BGG981903 AWK981814:AWK981903 AMO981814:AMO981903 ACS981814:ACS981903 SW981814:SW981903 JA981814:JA981903 E981825:E981914 WVM916278:WVM916367 WLQ916278:WLQ916367 WBU916278:WBU916367 VRY916278:VRY916367 VIC916278:VIC916367 UYG916278:UYG916367 UOK916278:UOK916367 UEO916278:UEO916367 TUS916278:TUS916367 TKW916278:TKW916367 TBA916278:TBA916367 SRE916278:SRE916367 SHI916278:SHI916367 RXM916278:RXM916367 RNQ916278:RNQ916367 RDU916278:RDU916367 QTY916278:QTY916367 QKC916278:QKC916367 QAG916278:QAG916367 PQK916278:PQK916367 PGO916278:PGO916367 OWS916278:OWS916367 OMW916278:OMW916367 ODA916278:ODA916367 NTE916278:NTE916367 NJI916278:NJI916367 MZM916278:MZM916367 MPQ916278:MPQ916367 MFU916278:MFU916367 LVY916278:LVY916367 LMC916278:LMC916367 LCG916278:LCG916367 KSK916278:KSK916367 KIO916278:KIO916367 JYS916278:JYS916367 JOW916278:JOW916367 JFA916278:JFA916367 IVE916278:IVE916367 ILI916278:ILI916367 IBM916278:IBM916367 HRQ916278:HRQ916367 HHU916278:HHU916367 GXY916278:GXY916367 GOC916278:GOC916367 GEG916278:GEG916367 FUK916278:FUK916367 FKO916278:FKO916367 FAS916278:FAS916367 EQW916278:EQW916367 EHA916278:EHA916367 DXE916278:DXE916367 DNI916278:DNI916367 DDM916278:DDM916367 CTQ916278:CTQ916367 CJU916278:CJU916367 BZY916278:BZY916367 BQC916278:BQC916367 BGG916278:BGG916367 AWK916278:AWK916367 AMO916278:AMO916367 ACS916278:ACS916367 SW916278:SW916367 JA916278:JA916367 E916289:E916378 WVM850742:WVM850831 WLQ850742:WLQ850831 WBU850742:WBU850831 VRY850742:VRY850831 VIC850742:VIC850831 UYG850742:UYG850831 UOK850742:UOK850831 UEO850742:UEO850831 TUS850742:TUS850831 TKW850742:TKW850831 TBA850742:TBA850831 SRE850742:SRE850831 SHI850742:SHI850831 RXM850742:RXM850831 RNQ850742:RNQ850831 RDU850742:RDU850831 QTY850742:QTY850831 QKC850742:QKC850831 QAG850742:QAG850831 PQK850742:PQK850831 PGO850742:PGO850831 OWS850742:OWS850831 OMW850742:OMW850831 ODA850742:ODA850831 NTE850742:NTE850831 NJI850742:NJI850831 MZM850742:MZM850831 MPQ850742:MPQ850831 MFU850742:MFU850831 LVY850742:LVY850831 LMC850742:LMC850831 LCG850742:LCG850831 KSK850742:KSK850831 KIO850742:KIO850831 JYS850742:JYS850831 JOW850742:JOW850831 JFA850742:JFA850831 IVE850742:IVE850831 ILI850742:ILI850831 IBM850742:IBM850831 HRQ850742:HRQ850831 HHU850742:HHU850831 GXY850742:GXY850831 GOC850742:GOC850831 GEG850742:GEG850831 FUK850742:FUK850831 FKO850742:FKO850831 FAS850742:FAS850831 EQW850742:EQW850831 EHA850742:EHA850831 DXE850742:DXE850831 DNI850742:DNI850831 DDM850742:DDM850831 CTQ850742:CTQ850831 CJU850742:CJU850831 BZY850742:BZY850831 BQC850742:BQC850831 BGG850742:BGG850831 AWK850742:AWK850831 AMO850742:AMO850831 ACS850742:ACS850831 SW850742:SW850831 JA850742:JA850831 E850753:E850842 WVM785206:WVM785295 WLQ785206:WLQ785295 WBU785206:WBU785295 VRY785206:VRY785295 VIC785206:VIC785295 UYG785206:UYG785295 UOK785206:UOK785295 UEO785206:UEO785295 TUS785206:TUS785295 TKW785206:TKW785295 TBA785206:TBA785295 SRE785206:SRE785295 SHI785206:SHI785295 RXM785206:RXM785295 RNQ785206:RNQ785295 RDU785206:RDU785295 QTY785206:QTY785295 QKC785206:QKC785295 QAG785206:QAG785295 PQK785206:PQK785295 PGO785206:PGO785295 OWS785206:OWS785295 OMW785206:OMW785295 ODA785206:ODA785295 NTE785206:NTE785295 NJI785206:NJI785295 MZM785206:MZM785295 MPQ785206:MPQ785295 MFU785206:MFU785295 LVY785206:LVY785295 LMC785206:LMC785295 LCG785206:LCG785295 KSK785206:KSK785295 KIO785206:KIO785295 JYS785206:JYS785295 JOW785206:JOW785295 JFA785206:JFA785295 IVE785206:IVE785295 ILI785206:ILI785295 IBM785206:IBM785295 HRQ785206:HRQ785295 HHU785206:HHU785295 GXY785206:GXY785295 GOC785206:GOC785295 GEG785206:GEG785295 FUK785206:FUK785295 FKO785206:FKO785295 FAS785206:FAS785295 EQW785206:EQW785295 EHA785206:EHA785295 DXE785206:DXE785295 DNI785206:DNI785295 DDM785206:DDM785295 CTQ785206:CTQ785295 CJU785206:CJU785295 BZY785206:BZY785295 BQC785206:BQC785295 BGG785206:BGG785295 AWK785206:AWK785295 AMO785206:AMO785295 ACS785206:ACS785295 SW785206:SW785295 JA785206:JA785295 E785217:E785306 WVM719670:WVM719759 WLQ719670:WLQ719759 WBU719670:WBU719759 VRY719670:VRY719759 VIC719670:VIC719759 UYG719670:UYG719759 UOK719670:UOK719759 UEO719670:UEO719759 TUS719670:TUS719759 TKW719670:TKW719759 TBA719670:TBA719759 SRE719670:SRE719759 SHI719670:SHI719759 RXM719670:RXM719759 RNQ719670:RNQ719759 RDU719670:RDU719759 QTY719670:QTY719759 QKC719670:QKC719759 QAG719670:QAG719759 PQK719670:PQK719759 PGO719670:PGO719759 OWS719670:OWS719759 OMW719670:OMW719759 ODA719670:ODA719759 NTE719670:NTE719759 NJI719670:NJI719759 MZM719670:MZM719759 MPQ719670:MPQ719759 MFU719670:MFU719759 LVY719670:LVY719759 LMC719670:LMC719759 LCG719670:LCG719759 KSK719670:KSK719759 KIO719670:KIO719759 JYS719670:JYS719759 JOW719670:JOW719759 JFA719670:JFA719759 IVE719670:IVE719759 ILI719670:ILI719759 IBM719670:IBM719759 HRQ719670:HRQ719759 HHU719670:HHU719759 GXY719670:GXY719759 GOC719670:GOC719759 GEG719670:GEG719759 FUK719670:FUK719759 FKO719670:FKO719759 FAS719670:FAS719759 EQW719670:EQW719759 EHA719670:EHA719759 DXE719670:DXE719759 DNI719670:DNI719759 DDM719670:DDM719759 CTQ719670:CTQ719759 CJU719670:CJU719759 BZY719670:BZY719759 BQC719670:BQC719759 BGG719670:BGG719759 AWK719670:AWK719759 AMO719670:AMO719759 ACS719670:ACS719759 SW719670:SW719759 JA719670:JA719759 E719681:E719770 WVM654134:WVM654223 WLQ654134:WLQ654223 WBU654134:WBU654223 VRY654134:VRY654223 VIC654134:VIC654223 UYG654134:UYG654223 UOK654134:UOK654223 UEO654134:UEO654223 TUS654134:TUS654223 TKW654134:TKW654223 TBA654134:TBA654223 SRE654134:SRE654223 SHI654134:SHI654223 RXM654134:RXM654223 RNQ654134:RNQ654223 RDU654134:RDU654223 QTY654134:QTY654223 QKC654134:QKC654223 QAG654134:QAG654223 PQK654134:PQK654223 PGO654134:PGO654223 OWS654134:OWS654223 OMW654134:OMW654223 ODA654134:ODA654223 NTE654134:NTE654223 NJI654134:NJI654223 MZM654134:MZM654223 MPQ654134:MPQ654223 MFU654134:MFU654223 LVY654134:LVY654223 LMC654134:LMC654223 LCG654134:LCG654223 KSK654134:KSK654223 KIO654134:KIO654223 JYS654134:JYS654223 JOW654134:JOW654223 JFA654134:JFA654223 IVE654134:IVE654223 ILI654134:ILI654223 IBM654134:IBM654223 HRQ654134:HRQ654223 HHU654134:HHU654223 GXY654134:GXY654223 GOC654134:GOC654223 GEG654134:GEG654223 FUK654134:FUK654223 FKO654134:FKO654223 FAS654134:FAS654223 EQW654134:EQW654223 EHA654134:EHA654223 DXE654134:DXE654223 DNI654134:DNI654223 DDM654134:DDM654223 CTQ654134:CTQ654223 CJU654134:CJU654223 BZY654134:BZY654223 BQC654134:BQC654223 BGG654134:BGG654223 AWK654134:AWK654223 AMO654134:AMO654223 ACS654134:ACS654223 SW654134:SW654223 JA654134:JA654223 E654145:E654234 WVM588598:WVM588687 WLQ588598:WLQ588687 WBU588598:WBU588687 VRY588598:VRY588687 VIC588598:VIC588687 UYG588598:UYG588687 UOK588598:UOK588687 UEO588598:UEO588687 TUS588598:TUS588687 TKW588598:TKW588687 TBA588598:TBA588687 SRE588598:SRE588687 SHI588598:SHI588687 RXM588598:RXM588687 RNQ588598:RNQ588687 RDU588598:RDU588687 QTY588598:QTY588687 QKC588598:QKC588687 QAG588598:QAG588687 PQK588598:PQK588687 PGO588598:PGO588687 OWS588598:OWS588687 OMW588598:OMW588687 ODA588598:ODA588687 NTE588598:NTE588687 NJI588598:NJI588687 MZM588598:MZM588687 MPQ588598:MPQ588687 MFU588598:MFU588687 LVY588598:LVY588687 LMC588598:LMC588687 LCG588598:LCG588687 KSK588598:KSK588687 KIO588598:KIO588687 JYS588598:JYS588687 JOW588598:JOW588687 JFA588598:JFA588687 IVE588598:IVE588687 ILI588598:ILI588687 IBM588598:IBM588687 HRQ588598:HRQ588687 HHU588598:HHU588687 GXY588598:GXY588687 GOC588598:GOC588687 GEG588598:GEG588687 FUK588598:FUK588687 FKO588598:FKO588687 FAS588598:FAS588687 EQW588598:EQW588687 EHA588598:EHA588687 DXE588598:DXE588687 DNI588598:DNI588687 DDM588598:DDM588687 CTQ588598:CTQ588687 CJU588598:CJU588687 BZY588598:BZY588687 BQC588598:BQC588687 BGG588598:BGG588687 AWK588598:AWK588687 AMO588598:AMO588687 ACS588598:ACS588687 SW588598:SW588687 JA588598:JA588687 E588609:E588698 WVM523062:WVM523151 WLQ523062:WLQ523151 WBU523062:WBU523151 VRY523062:VRY523151 VIC523062:VIC523151 UYG523062:UYG523151 UOK523062:UOK523151 UEO523062:UEO523151 TUS523062:TUS523151 TKW523062:TKW523151 TBA523062:TBA523151 SRE523062:SRE523151 SHI523062:SHI523151 RXM523062:RXM523151 RNQ523062:RNQ523151 RDU523062:RDU523151 QTY523062:QTY523151 QKC523062:QKC523151 QAG523062:QAG523151 PQK523062:PQK523151 PGO523062:PGO523151 OWS523062:OWS523151 OMW523062:OMW523151 ODA523062:ODA523151 NTE523062:NTE523151 NJI523062:NJI523151 MZM523062:MZM523151 MPQ523062:MPQ523151 MFU523062:MFU523151 LVY523062:LVY523151 LMC523062:LMC523151 LCG523062:LCG523151 KSK523062:KSK523151 KIO523062:KIO523151 JYS523062:JYS523151 JOW523062:JOW523151 JFA523062:JFA523151 IVE523062:IVE523151 ILI523062:ILI523151 IBM523062:IBM523151 HRQ523062:HRQ523151 HHU523062:HHU523151 GXY523062:GXY523151 GOC523062:GOC523151 GEG523062:GEG523151 FUK523062:FUK523151 FKO523062:FKO523151 FAS523062:FAS523151 EQW523062:EQW523151 EHA523062:EHA523151 DXE523062:DXE523151 DNI523062:DNI523151 DDM523062:DDM523151 CTQ523062:CTQ523151 CJU523062:CJU523151 BZY523062:BZY523151 BQC523062:BQC523151 BGG523062:BGG523151 AWK523062:AWK523151 AMO523062:AMO523151 ACS523062:ACS523151 SW523062:SW523151 JA523062:JA523151 E523073:E523162 WVM457526:WVM457615 WLQ457526:WLQ457615 WBU457526:WBU457615 VRY457526:VRY457615 VIC457526:VIC457615 UYG457526:UYG457615 UOK457526:UOK457615 UEO457526:UEO457615 TUS457526:TUS457615 TKW457526:TKW457615 TBA457526:TBA457615 SRE457526:SRE457615 SHI457526:SHI457615 RXM457526:RXM457615 RNQ457526:RNQ457615 RDU457526:RDU457615 QTY457526:QTY457615 QKC457526:QKC457615 QAG457526:QAG457615 PQK457526:PQK457615 PGO457526:PGO457615 OWS457526:OWS457615 OMW457526:OMW457615 ODA457526:ODA457615 NTE457526:NTE457615 NJI457526:NJI457615 MZM457526:MZM457615 MPQ457526:MPQ457615 MFU457526:MFU457615 LVY457526:LVY457615 LMC457526:LMC457615 LCG457526:LCG457615 KSK457526:KSK457615 KIO457526:KIO457615 JYS457526:JYS457615 JOW457526:JOW457615 JFA457526:JFA457615 IVE457526:IVE457615 ILI457526:ILI457615 IBM457526:IBM457615 HRQ457526:HRQ457615 HHU457526:HHU457615 GXY457526:GXY457615 GOC457526:GOC457615 GEG457526:GEG457615 FUK457526:FUK457615 FKO457526:FKO457615 FAS457526:FAS457615 EQW457526:EQW457615 EHA457526:EHA457615 DXE457526:DXE457615 DNI457526:DNI457615 DDM457526:DDM457615 CTQ457526:CTQ457615 CJU457526:CJU457615 BZY457526:BZY457615 BQC457526:BQC457615 BGG457526:BGG457615 AWK457526:AWK457615 AMO457526:AMO457615 ACS457526:ACS457615 SW457526:SW457615 JA457526:JA457615 E457537:E457626 WVM391990:WVM392079 WLQ391990:WLQ392079 WBU391990:WBU392079 VRY391990:VRY392079 VIC391990:VIC392079 UYG391990:UYG392079 UOK391990:UOK392079 UEO391990:UEO392079 TUS391990:TUS392079 TKW391990:TKW392079 TBA391990:TBA392079 SRE391990:SRE392079 SHI391990:SHI392079 RXM391990:RXM392079 RNQ391990:RNQ392079 RDU391990:RDU392079 QTY391990:QTY392079 QKC391990:QKC392079 QAG391990:QAG392079 PQK391990:PQK392079 PGO391990:PGO392079 OWS391990:OWS392079 OMW391990:OMW392079 ODA391990:ODA392079 NTE391990:NTE392079 NJI391990:NJI392079 MZM391990:MZM392079 MPQ391990:MPQ392079 MFU391990:MFU392079 LVY391990:LVY392079 LMC391990:LMC392079 LCG391990:LCG392079 KSK391990:KSK392079 KIO391990:KIO392079 JYS391990:JYS392079 JOW391990:JOW392079 JFA391990:JFA392079 IVE391990:IVE392079 ILI391990:ILI392079 IBM391990:IBM392079 HRQ391990:HRQ392079 HHU391990:HHU392079 GXY391990:GXY392079 GOC391990:GOC392079 GEG391990:GEG392079 FUK391990:FUK392079 FKO391990:FKO392079 FAS391990:FAS392079 EQW391990:EQW392079 EHA391990:EHA392079 DXE391990:DXE392079 DNI391990:DNI392079 DDM391990:DDM392079 CTQ391990:CTQ392079 CJU391990:CJU392079 BZY391990:BZY392079 BQC391990:BQC392079 BGG391990:BGG392079 AWK391990:AWK392079 AMO391990:AMO392079 ACS391990:ACS392079 SW391990:SW392079 JA391990:JA392079 E392001:E392090 WVM326454:WVM326543 WLQ326454:WLQ326543 WBU326454:WBU326543 VRY326454:VRY326543 VIC326454:VIC326543 UYG326454:UYG326543 UOK326454:UOK326543 UEO326454:UEO326543 TUS326454:TUS326543 TKW326454:TKW326543 TBA326454:TBA326543 SRE326454:SRE326543 SHI326454:SHI326543 RXM326454:RXM326543 RNQ326454:RNQ326543 RDU326454:RDU326543 QTY326454:QTY326543 QKC326454:QKC326543 QAG326454:QAG326543 PQK326454:PQK326543 PGO326454:PGO326543 OWS326454:OWS326543 OMW326454:OMW326543 ODA326454:ODA326543 NTE326454:NTE326543 NJI326454:NJI326543 MZM326454:MZM326543 MPQ326454:MPQ326543 MFU326454:MFU326543 LVY326454:LVY326543 LMC326454:LMC326543 LCG326454:LCG326543 KSK326454:KSK326543 KIO326454:KIO326543 JYS326454:JYS326543 JOW326454:JOW326543 JFA326454:JFA326543 IVE326454:IVE326543 ILI326454:ILI326543 IBM326454:IBM326543 HRQ326454:HRQ326543 HHU326454:HHU326543 GXY326454:GXY326543 GOC326454:GOC326543 GEG326454:GEG326543 FUK326454:FUK326543 FKO326454:FKO326543 FAS326454:FAS326543 EQW326454:EQW326543 EHA326454:EHA326543 DXE326454:DXE326543 DNI326454:DNI326543 DDM326454:DDM326543 CTQ326454:CTQ326543 CJU326454:CJU326543 BZY326454:BZY326543 BQC326454:BQC326543 BGG326454:BGG326543 AWK326454:AWK326543 AMO326454:AMO326543 ACS326454:ACS326543 SW326454:SW326543 JA326454:JA326543 E326465:E326554 WVM260918:WVM261007 WLQ260918:WLQ261007 WBU260918:WBU261007 VRY260918:VRY261007 VIC260918:VIC261007 UYG260918:UYG261007 UOK260918:UOK261007 UEO260918:UEO261007 TUS260918:TUS261007 TKW260918:TKW261007 TBA260918:TBA261007 SRE260918:SRE261007 SHI260918:SHI261007 RXM260918:RXM261007 RNQ260918:RNQ261007 RDU260918:RDU261007 QTY260918:QTY261007 QKC260918:QKC261007 QAG260918:QAG261007 PQK260918:PQK261007 PGO260918:PGO261007 OWS260918:OWS261007 OMW260918:OMW261007 ODA260918:ODA261007 NTE260918:NTE261007 NJI260918:NJI261007 MZM260918:MZM261007 MPQ260918:MPQ261007 MFU260918:MFU261007 LVY260918:LVY261007 LMC260918:LMC261007 LCG260918:LCG261007 KSK260918:KSK261007 KIO260918:KIO261007 JYS260918:JYS261007 JOW260918:JOW261007 JFA260918:JFA261007 IVE260918:IVE261007 ILI260918:ILI261007 IBM260918:IBM261007 HRQ260918:HRQ261007 HHU260918:HHU261007 GXY260918:GXY261007 GOC260918:GOC261007 GEG260918:GEG261007 FUK260918:FUK261007 FKO260918:FKO261007 FAS260918:FAS261007 EQW260918:EQW261007 EHA260918:EHA261007 DXE260918:DXE261007 DNI260918:DNI261007 DDM260918:DDM261007 CTQ260918:CTQ261007 CJU260918:CJU261007 BZY260918:BZY261007 BQC260918:BQC261007 BGG260918:BGG261007 AWK260918:AWK261007 AMO260918:AMO261007 ACS260918:ACS261007 SW260918:SW261007 JA260918:JA261007 E260929:E261018 WVM195382:WVM195471 WLQ195382:WLQ195471 WBU195382:WBU195471 VRY195382:VRY195471 VIC195382:VIC195471 UYG195382:UYG195471 UOK195382:UOK195471 UEO195382:UEO195471 TUS195382:TUS195471 TKW195382:TKW195471 TBA195382:TBA195471 SRE195382:SRE195471 SHI195382:SHI195471 RXM195382:RXM195471 RNQ195382:RNQ195471 RDU195382:RDU195471 QTY195382:QTY195471 QKC195382:QKC195471 QAG195382:QAG195471 PQK195382:PQK195471 PGO195382:PGO195471 OWS195382:OWS195471 OMW195382:OMW195471 ODA195382:ODA195471 NTE195382:NTE195471 NJI195382:NJI195471 MZM195382:MZM195471 MPQ195382:MPQ195471 MFU195382:MFU195471 LVY195382:LVY195471 LMC195382:LMC195471 LCG195382:LCG195471 KSK195382:KSK195471 KIO195382:KIO195471 JYS195382:JYS195471 JOW195382:JOW195471 JFA195382:JFA195471 IVE195382:IVE195471 ILI195382:ILI195471 IBM195382:IBM195471 HRQ195382:HRQ195471 HHU195382:HHU195471 GXY195382:GXY195471 GOC195382:GOC195471 GEG195382:GEG195471 FUK195382:FUK195471 FKO195382:FKO195471 FAS195382:FAS195471 EQW195382:EQW195471 EHA195382:EHA195471 DXE195382:DXE195471 DNI195382:DNI195471 DDM195382:DDM195471 CTQ195382:CTQ195471 CJU195382:CJU195471 BZY195382:BZY195471 BQC195382:BQC195471 BGG195382:BGG195471 AWK195382:AWK195471 AMO195382:AMO195471 ACS195382:ACS195471 SW195382:SW195471 JA195382:JA195471 E195393:E195482 WVM129846:WVM129935 WLQ129846:WLQ129935 WBU129846:WBU129935 VRY129846:VRY129935 VIC129846:VIC129935 UYG129846:UYG129935 UOK129846:UOK129935 UEO129846:UEO129935 TUS129846:TUS129935 TKW129846:TKW129935 TBA129846:TBA129935 SRE129846:SRE129935 SHI129846:SHI129935 RXM129846:RXM129935 RNQ129846:RNQ129935 RDU129846:RDU129935 QTY129846:QTY129935 QKC129846:QKC129935 QAG129846:QAG129935 PQK129846:PQK129935 PGO129846:PGO129935 OWS129846:OWS129935 OMW129846:OMW129935 ODA129846:ODA129935 NTE129846:NTE129935 NJI129846:NJI129935 MZM129846:MZM129935 MPQ129846:MPQ129935 MFU129846:MFU129935 LVY129846:LVY129935 LMC129846:LMC129935 LCG129846:LCG129935 KSK129846:KSK129935 KIO129846:KIO129935 JYS129846:JYS129935 JOW129846:JOW129935 JFA129846:JFA129935 IVE129846:IVE129935 ILI129846:ILI129935 IBM129846:IBM129935 HRQ129846:HRQ129935 HHU129846:HHU129935 GXY129846:GXY129935 GOC129846:GOC129935 GEG129846:GEG129935 FUK129846:FUK129935 FKO129846:FKO129935 FAS129846:FAS129935 EQW129846:EQW129935 EHA129846:EHA129935 DXE129846:DXE129935 DNI129846:DNI129935 DDM129846:DDM129935 CTQ129846:CTQ129935 CJU129846:CJU129935 BZY129846:BZY129935 BQC129846:BQC129935 BGG129846:BGG129935 AWK129846:AWK129935 AMO129846:AMO129935 ACS129846:ACS129935 SW129846:SW129935 JA129846:JA129935 E129857:E129946 WVM64310:WVM64399 WLQ64310:WLQ64399 WBU64310:WBU64399 VRY64310:VRY64399 VIC64310:VIC64399 UYG64310:UYG64399 UOK64310:UOK64399 UEO64310:UEO64399 TUS64310:TUS64399 TKW64310:TKW64399 TBA64310:TBA64399 SRE64310:SRE64399 SHI64310:SHI64399 RXM64310:RXM64399 RNQ64310:RNQ64399 RDU64310:RDU64399 QTY64310:QTY64399 QKC64310:QKC64399 QAG64310:QAG64399 PQK64310:PQK64399 PGO64310:PGO64399 OWS64310:OWS64399 OMW64310:OMW64399 ODA64310:ODA64399 NTE64310:NTE64399 NJI64310:NJI64399 MZM64310:MZM64399 MPQ64310:MPQ64399 MFU64310:MFU64399 LVY64310:LVY64399 LMC64310:LMC64399 LCG64310:LCG64399 KSK64310:KSK64399 KIO64310:KIO64399 JYS64310:JYS64399 JOW64310:JOW64399 JFA64310:JFA64399 IVE64310:IVE64399 ILI64310:ILI64399 IBM64310:IBM64399 HRQ64310:HRQ64399 HHU64310:HHU64399 GXY64310:GXY64399 GOC64310:GOC64399 GEG64310:GEG64399 FUK64310:FUK64399 FKO64310:FKO64399 FAS64310:FAS64399 EQW64310:EQW64399 EHA64310:EHA64399 DXE64310:DXE64399 DNI64310:DNI64399 DDM64310:DDM64399 CTQ64310:CTQ64399 CJU64310:CJU64399 BZY64310:BZY64399 BQC64310:BQC64399 BGG64310:BGG64399 AWK64310:AWK64399 AMO64310:AMO64399 ACS64310:ACS64399 SW64310:SW64399 JA64310:JA64399 E64321:E64410 WVM2:WVM82 WLQ2:WLQ82 WBU2:WBU82 VRY2:VRY82 VIC2:VIC82 UYG2:UYG82 UOK2:UOK82 UEO2:UEO82 TUS2:TUS82 TKW2:TKW82 TBA2:TBA82 SRE2:SRE82 SHI2:SHI82 RXM2:RXM82 RNQ2:RNQ82 RDU2:RDU82 QTY2:QTY82 QKC2:QKC82 QAG2:QAG82 PQK2:PQK82 PGO2:PGO82 OWS2:OWS82 OMW2:OMW82 ODA2:ODA82 NTE2:NTE82 NJI2:NJI82 MZM2:MZM82 MPQ2:MPQ82 MFU2:MFU82 LVY2:LVY82 LMC2:LMC82 LCG2:LCG82 KSK2:KSK82 KIO2:KIO82 JYS2:JYS82 JOW2:JOW82 JFA2:JFA82 IVE2:IVE82 ILI2:ILI82 IBM2:IBM82 HRQ2:HRQ82 HHU2:HHU82 GXY2:GXY82 GOC2:GOC82 GEG2:GEG82 FUK2:FUK82 FKO2:FKO82 FAS2:FAS82 EQW2:EQW82 EHA2:EHA82 DXE2:DXE82 DNI2:DNI82 DDM2:DDM82 CTQ2:CTQ82 CJU2:CJU82 BZY2:BZY82 BQC2:BQC82 BGG2:BGG82 AWK2:AWK82 AMO2:AMO82 ACS2:ACS82 SW2:SW82 JA2:JA82" xr:uid="{CB4A4A82-9504-4736-B7E6-AB1B9C6E6E61}">
      <formula1>$AG$2:$AG$13</formula1>
    </dataValidation>
    <dataValidation type="list" allowBlank="1" showInputMessage="1" showErrorMessage="1" sqref="WWF981814:WWF981897 WMJ981814:WMJ981897 WCN981814:WCN981897 VSR981814:VSR981897 VIV981814:VIV981897 UYZ981814:UYZ981897 UPD981814:UPD981897 UFH981814:UFH981897 TVL981814:TVL981897 TLP981814:TLP981897 TBT981814:TBT981897 SRX981814:SRX981897 SIB981814:SIB981897 RYF981814:RYF981897 ROJ981814:ROJ981897 REN981814:REN981897 QUR981814:QUR981897 QKV981814:QKV981897 QAZ981814:QAZ981897 PRD981814:PRD981897 PHH981814:PHH981897 OXL981814:OXL981897 ONP981814:ONP981897 ODT981814:ODT981897 NTX981814:NTX981897 NKB981814:NKB981897 NAF981814:NAF981897 MQJ981814:MQJ981897 MGN981814:MGN981897 LWR981814:LWR981897 LMV981814:LMV981897 LCZ981814:LCZ981897 KTD981814:KTD981897 KJH981814:KJH981897 JZL981814:JZL981897 JPP981814:JPP981897 JFT981814:JFT981897 IVX981814:IVX981897 IMB981814:IMB981897 ICF981814:ICF981897 HSJ981814:HSJ981897 HIN981814:HIN981897 GYR981814:GYR981897 GOV981814:GOV981897 GEZ981814:GEZ981897 FVD981814:FVD981897 FLH981814:FLH981897 FBL981814:FBL981897 ERP981814:ERP981897 EHT981814:EHT981897 DXX981814:DXX981897 DOB981814:DOB981897 DEF981814:DEF981897 CUJ981814:CUJ981897 CKN981814:CKN981897 CAR981814:CAR981897 BQV981814:BQV981897 BGZ981814:BGZ981897 AXD981814:AXD981897 ANH981814:ANH981897 ADL981814:ADL981897 TP981814:TP981897 JT981814:JT981897 X981814:X981897 WWF916278:WWF916361 WMJ916278:WMJ916361 WCN916278:WCN916361 VSR916278:VSR916361 VIV916278:VIV916361 UYZ916278:UYZ916361 UPD916278:UPD916361 UFH916278:UFH916361 TVL916278:TVL916361 TLP916278:TLP916361 TBT916278:TBT916361 SRX916278:SRX916361 SIB916278:SIB916361 RYF916278:RYF916361 ROJ916278:ROJ916361 REN916278:REN916361 QUR916278:QUR916361 QKV916278:QKV916361 QAZ916278:QAZ916361 PRD916278:PRD916361 PHH916278:PHH916361 OXL916278:OXL916361 ONP916278:ONP916361 ODT916278:ODT916361 NTX916278:NTX916361 NKB916278:NKB916361 NAF916278:NAF916361 MQJ916278:MQJ916361 MGN916278:MGN916361 LWR916278:LWR916361 LMV916278:LMV916361 LCZ916278:LCZ916361 KTD916278:KTD916361 KJH916278:KJH916361 JZL916278:JZL916361 JPP916278:JPP916361 JFT916278:JFT916361 IVX916278:IVX916361 IMB916278:IMB916361 ICF916278:ICF916361 HSJ916278:HSJ916361 HIN916278:HIN916361 GYR916278:GYR916361 GOV916278:GOV916361 GEZ916278:GEZ916361 FVD916278:FVD916361 FLH916278:FLH916361 FBL916278:FBL916361 ERP916278:ERP916361 EHT916278:EHT916361 DXX916278:DXX916361 DOB916278:DOB916361 DEF916278:DEF916361 CUJ916278:CUJ916361 CKN916278:CKN916361 CAR916278:CAR916361 BQV916278:BQV916361 BGZ916278:BGZ916361 AXD916278:AXD916361 ANH916278:ANH916361 ADL916278:ADL916361 TP916278:TP916361 JT916278:JT916361 X916278:X916361 WWF850742:WWF850825 WMJ850742:WMJ850825 WCN850742:WCN850825 VSR850742:VSR850825 VIV850742:VIV850825 UYZ850742:UYZ850825 UPD850742:UPD850825 UFH850742:UFH850825 TVL850742:TVL850825 TLP850742:TLP850825 TBT850742:TBT850825 SRX850742:SRX850825 SIB850742:SIB850825 RYF850742:RYF850825 ROJ850742:ROJ850825 REN850742:REN850825 QUR850742:QUR850825 QKV850742:QKV850825 QAZ850742:QAZ850825 PRD850742:PRD850825 PHH850742:PHH850825 OXL850742:OXL850825 ONP850742:ONP850825 ODT850742:ODT850825 NTX850742:NTX850825 NKB850742:NKB850825 NAF850742:NAF850825 MQJ850742:MQJ850825 MGN850742:MGN850825 LWR850742:LWR850825 LMV850742:LMV850825 LCZ850742:LCZ850825 KTD850742:KTD850825 KJH850742:KJH850825 JZL850742:JZL850825 JPP850742:JPP850825 JFT850742:JFT850825 IVX850742:IVX850825 IMB850742:IMB850825 ICF850742:ICF850825 HSJ850742:HSJ850825 HIN850742:HIN850825 GYR850742:GYR850825 GOV850742:GOV850825 GEZ850742:GEZ850825 FVD850742:FVD850825 FLH850742:FLH850825 FBL850742:FBL850825 ERP850742:ERP850825 EHT850742:EHT850825 DXX850742:DXX850825 DOB850742:DOB850825 DEF850742:DEF850825 CUJ850742:CUJ850825 CKN850742:CKN850825 CAR850742:CAR850825 BQV850742:BQV850825 BGZ850742:BGZ850825 AXD850742:AXD850825 ANH850742:ANH850825 ADL850742:ADL850825 TP850742:TP850825 JT850742:JT850825 X850742:X850825 WWF785206:WWF785289 WMJ785206:WMJ785289 WCN785206:WCN785289 VSR785206:VSR785289 VIV785206:VIV785289 UYZ785206:UYZ785289 UPD785206:UPD785289 UFH785206:UFH785289 TVL785206:TVL785289 TLP785206:TLP785289 TBT785206:TBT785289 SRX785206:SRX785289 SIB785206:SIB785289 RYF785206:RYF785289 ROJ785206:ROJ785289 REN785206:REN785289 QUR785206:QUR785289 QKV785206:QKV785289 QAZ785206:QAZ785289 PRD785206:PRD785289 PHH785206:PHH785289 OXL785206:OXL785289 ONP785206:ONP785289 ODT785206:ODT785289 NTX785206:NTX785289 NKB785206:NKB785289 NAF785206:NAF785289 MQJ785206:MQJ785289 MGN785206:MGN785289 LWR785206:LWR785289 LMV785206:LMV785289 LCZ785206:LCZ785289 KTD785206:KTD785289 KJH785206:KJH785289 JZL785206:JZL785289 JPP785206:JPP785289 JFT785206:JFT785289 IVX785206:IVX785289 IMB785206:IMB785289 ICF785206:ICF785289 HSJ785206:HSJ785289 HIN785206:HIN785289 GYR785206:GYR785289 GOV785206:GOV785289 GEZ785206:GEZ785289 FVD785206:FVD785289 FLH785206:FLH785289 FBL785206:FBL785289 ERP785206:ERP785289 EHT785206:EHT785289 DXX785206:DXX785289 DOB785206:DOB785289 DEF785206:DEF785289 CUJ785206:CUJ785289 CKN785206:CKN785289 CAR785206:CAR785289 BQV785206:BQV785289 BGZ785206:BGZ785289 AXD785206:AXD785289 ANH785206:ANH785289 ADL785206:ADL785289 TP785206:TP785289 JT785206:JT785289 X785206:X785289 WWF719670:WWF719753 WMJ719670:WMJ719753 WCN719670:WCN719753 VSR719670:VSR719753 VIV719670:VIV719753 UYZ719670:UYZ719753 UPD719670:UPD719753 UFH719670:UFH719753 TVL719670:TVL719753 TLP719670:TLP719753 TBT719670:TBT719753 SRX719670:SRX719753 SIB719670:SIB719753 RYF719670:RYF719753 ROJ719670:ROJ719753 REN719670:REN719753 QUR719670:QUR719753 QKV719670:QKV719753 QAZ719670:QAZ719753 PRD719670:PRD719753 PHH719670:PHH719753 OXL719670:OXL719753 ONP719670:ONP719753 ODT719670:ODT719753 NTX719670:NTX719753 NKB719670:NKB719753 NAF719670:NAF719753 MQJ719670:MQJ719753 MGN719670:MGN719753 LWR719670:LWR719753 LMV719670:LMV719753 LCZ719670:LCZ719753 KTD719670:KTD719753 KJH719670:KJH719753 JZL719670:JZL719753 JPP719670:JPP719753 JFT719670:JFT719753 IVX719670:IVX719753 IMB719670:IMB719753 ICF719670:ICF719753 HSJ719670:HSJ719753 HIN719670:HIN719753 GYR719670:GYR719753 GOV719670:GOV719753 GEZ719670:GEZ719753 FVD719670:FVD719753 FLH719670:FLH719753 FBL719670:FBL719753 ERP719670:ERP719753 EHT719670:EHT719753 DXX719670:DXX719753 DOB719670:DOB719753 DEF719670:DEF719753 CUJ719670:CUJ719753 CKN719670:CKN719753 CAR719670:CAR719753 BQV719670:BQV719753 BGZ719670:BGZ719753 AXD719670:AXD719753 ANH719670:ANH719753 ADL719670:ADL719753 TP719670:TP719753 JT719670:JT719753 X719670:X719753 WWF654134:WWF654217 WMJ654134:WMJ654217 WCN654134:WCN654217 VSR654134:VSR654217 VIV654134:VIV654217 UYZ654134:UYZ654217 UPD654134:UPD654217 UFH654134:UFH654217 TVL654134:TVL654217 TLP654134:TLP654217 TBT654134:TBT654217 SRX654134:SRX654217 SIB654134:SIB654217 RYF654134:RYF654217 ROJ654134:ROJ654217 REN654134:REN654217 QUR654134:QUR654217 QKV654134:QKV654217 QAZ654134:QAZ654217 PRD654134:PRD654217 PHH654134:PHH654217 OXL654134:OXL654217 ONP654134:ONP654217 ODT654134:ODT654217 NTX654134:NTX654217 NKB654134:NKB654217 NAF654134:NAF654217 MQJ654134:MQJ654217 MGN654134:MGN654217 LWR654134:LWR654217 LMV654134:LMV654217 LCZ654134:LCZ654217 KTD654134:KTD654217 KJH654134:KJH654217 JZL654134:JZL654217 JPP654134:JPP654217 JFT654134:JFT654217 IVX654134:IVX654217 IMB654134:IMB654217 ICF654134:ICF654217 HSJ654134:HSJ654217 HIN654134:HIN654217 GYR654134:GYR654217 GOV654134:GOV654217 GEZ654134:GEZ654217 FVD654134:FVD654217 FLH654134:FLH654217 FBL654134:FBL654217 ERP654134:ERP654217 EHT654134:EHT654217 DXX654134:DXX654217 DOB654134:DOB654217 DEF654134:DEF654217 CUJ654134:CUJ654217 CKN654134:CKN654217 CAR654134:CAR654217 BQV654134:BQV654217 BGZ654134:BGZ654217 AXD654134:AXD654217 ANH654134:ANH654217 ADL654134:ADL654217 TP654134:TP654217 JT654134:JT654217 X654134:X654217 WWF588598:WWF588681 WMJ588598:WMJ588681 WCN588598:WCN588681 VSR588598:VSR588681 VIV588598:VIV588681 UYZ588598:UYZ588681 UPD588598:UPD588681 UFH588598:UFH588681 TVL588598:TVL588681 TLP588598:TLP588681 TBT588598:TBT588681 SRX588598:SRX588681 SIB588598:SIB588681 RYF588598:RYF588681 ROJ588598:ROJ588681 REN588598:REN588681 QUR588598:QUR588681 QKV588598:QKV588681 QAZ588598:QAZ588681 PRD588598:PRD588681 PHH588598:PHH588681 OXL588598:OXL588681 ONP588598:ONP588681 ODT588598:ODT588681 NTX588598:NTX588681 NKB588598:NKB588681 NAF588598:NAF588681 MQJ588598:MQJ588681 MGN588598:MGN588681 LWR588598:LWR588681 LMV588598:LMV588681 LCZ588598:LCZ588681 KTD588598:KTD588681 KJH588598:KJH588681 JZL588598:JZL588681 JPP588598:JPP588681 JFT588598:JFT588681 IVX588598:IVX588681 IMB588598:IMB588681 ICF588598:ICF588681 HSJ588598:HSJ588681 HIN588598:HIN588681 GYR588598:GYR588681 GOV588598:GOV588681 GEZ588598:GEZ588681 FVD588598:FVD588681 FLH588598:FLH588681 FBL588598:FBL588681 ERP588598:ERP588681 EHT588598:EHT588681 DXX588598:DXX588681 DOB588598:DOB588681 DEF588598:DEF588681 CUJ588598:CUJ588681 CKN588598:CKN588681 CAR588598:CAR588681 BQV588598:BQV588681 BGZ588598:BGZ588681 AXD588598:AXD588681 ANH588598:ANH588681 ADL588598:ADL588681 TP588598:TP588681 JT588598:JT588681 X588598:X588681 WWF523062:WWF523145 WMJ523062:WMJ523145 WCN523062:WCN523145 VSR523062:VSR523145 VIV523062:VIV523145 UYZ523062:UYZ523145 UPD523062:UPD523145 UFH523062:UFH523145 TVL523062:TVL523145 TLP523062:TLP523145 TBT523062:TBT523145 SRX523062:SRX523145 SIB523062:SIB523145 RYF523062:RYF523145 ROJ523062:ROJ523145 REN523062:REN523145 QUR523062:QUR523145 QKV523062:QKV523145 QAZ523062:QAZ523145 PRD523062:PRD523145 PHH523062:PHH523145 OXL523062:OXL523145 ONP523062:ONP523145 ODT523062:ODT523145 NTX523062:NTX523145 NKB523062:NKB523145 NAF523062:NAF523145 MQJ523062:MQJ523145 MGN523062:MGN523145 LWR523062:LWR523145 LMV523062:LMV523145 LCZ523062:LCZ523145 KTD523062:KTD523145 KJH523062:KJH523145 JZL523062:JZL523145 JPP523062:JPP523145 JFT523062:JFT523145 IVX523062:IVX523145 IMB523062:IMB523145 ICF523062:ICF523145 HSJ523062:HSJ523145 HIN523062:HIN523145 GYR523062:GYR523145 GOV523062:GOV523145 GEZ523062:GEZ523145 FVD523062:FVD523145 FLH523062:FLH523145 FBL523062:FBL523145 ERP523062:ERP523145 EHT523062:EHT523145 DXX523062:DXX523145 DOB523062:DOB523145 DEF523062:DEF523145 CUJ523062:CUJ523145 CKN523062:CKN523145 CAR523062:CAR523145 BQV523062:BQV523145 BGZ523062:BGZ523145 AXD523062:AXD523145 ANH523062:ANH523145 ADL523062:ADL523145 TP523062:TP523145 JT523062:JT523145 X523062:X523145 WWF457526:WWF457609 WMJ457526:WMJ457609 WCN457526:WCN457609 VSR457526:VSR457609 VIV457526:VIV457609 UYZ457526:UYZ457609 UPD457526:UPD457609 UFH457526:UFH457609 TVL457526:TVL457609 TLP457526:TLP457609 TBT457526:TBT457609 SRX457526:SRX457609 SIB457526:SIB457609 RYF457526:RYF457609 ROJ457526:ROJ457609 REN457526:REN457609 QUR457526:QUR457609 QKV457526:QKV457609 QAZ457526:QAZ457609 PRD457526:PRD457609 PHH457526:PHH457609 OXL457526:OXL457609 ONP457526:ONP457609 ODT457526:ODT457609 NTX457526:NTX457609 NKB457526:NKB457609 NAF457526:NAF457609 MQJ457526:MQJ457609 MGN457526:MGN457609 LWR457526:LWR457609 LMV457526:LMV457609 LCZ457526:LCZ457609 KTD457526:KTD457609 KJH457526:KJH457609 JZL457526:JZL457609 JPP457526:JPP457609 JFT457526:JFT457609 IVX457526:IVX457609 IMB457526:IMB457609 ICF457526:ICF457609 HSJ457526:HSJ457609 HIN457526:HIN457609 GYR457526:GYR457609 GOV457526:GOV457609 GEZ457526:GEZ457609 FVD457526:FVD457609 FLH457526:FLH457609 FBL457526:FBL457609 ERP457526:ERP457609 EHT457526:EHT457609 DXX457526:DXX457609 DOB457526:DOB457609 DEF457526:DEF457609 CUJ457526:CUJ457609 CKN457526:CKN457609 CAR457526:CAR457609 BQV457526:BQV457609 BGZ457526:BGZ457609 AXD457526:AXD457609 ANH457526:ANH457609 ADL457526:ADL457609 TP457526:TP457609 JT457526:JT457609 X457526:X457609 WWF391990:WWF392073 WMJ391990:WMJ392073 WCN391990:WCN392073 VSR391990:VSR392073 VIV391990:VIV392073 UYZ391990:UYZ392073 UPD391990:UPD392073 UFH391990:UFH392073 TVL391990:TVL392073 TLP391990:TLP392073 TBT391990:TBT392073 SRX391990:SRX392073 SIB391990:SIB392073 RYF391990:RYF392073 ROJ391990:ROJ392073 REN391990:REN392073 QUR391990:QUR392073 QKV391990:QKV392073 QAZ391990:QAZ392073 PRD391990:PRD392073 PHH391990:PHH392073 OXL391990:OXL392073 ONP391990:ONP392073 ODT391990:ODT392073 NTX391990:NTX392073 NKB391990:NKB392073 NAF391990:NAF392073 MQJ391990:MQJ392073 MGN391990:MGN392073 LWR391990:LWR392073 LMV391990:LMV392073 LCZ391990:LCZ392073 KTD391990:KTD392073 KJH391990:KJH392073 JZL391990:JZL392073 JPP391990:JPP392073 JFT391990:JFT392073 IVX391990:IVX392073 IMB391990:IMB392073 ICF391990:ICF392073 HSJ391990:HSJ392073 HIN391990:HIN392073 GYR391990:GYR392073 GOV391990:GOV392073 GEZ391990:GEZ392073 FVD391990:FVD392073 FLH391990:FLH392073 FBL391990:FBL392073 ERP391990:ERP392073 EHT391990:EHT392073 DXX391990:DXX392073 DOB391990:DOB392073 DEF391990:DEF392073 CUJ391990:CUJ392073 CKN391990:CKN392073 CAR391990:CAR392073 BQV391990:BQV392073 BGZ391990:BGZ392073 AXD391990:AXD392073 ANH391990:ANH392073 ADL391990:ADL392073 TP391990:TP392073 JT391990:JT392073 X391990:X392073 WWF326454:WWF326537 WMJ326454:WMJ326537 WCN326454:WCN326537 VSR326454:VSR326537 VIV326454:VIV326537 UYZ326454:UYZ326537 UPD326454:UPD326537 UFH326454:UFH326537 TVL326454:TVL326537 TLP326454:TLP326537 TBT326454:TBT326537 SRX326454:SRX326537 SIB326454:SIB326537 RYF326454:RYF326537 ROJ326454:ROJ326537 REN326454:REN326537 QUR326454:QUR326537 QKV326454:QKV326537 QAZ326454:QAZ326537 PRD326454:PRD326537 PHH326454:PHH326537 OXL326454:OXL326537 ONP326454:ONP326537 ODT326454:ODT326537 NTX326454:NTX326537 NKB326454:NKB326537 NAF326454:NAF326537 MQJ326454:MQJ326537 MGN326454:MGN326537 LWR326454:LWR326537 LMV326454:LMV326537 LCZ326454:LCZ326537 KTD326454:KTD326537 KJH326454:KJH326537 JZL326454:JZL326537 JPP326454:JPP326537 JFT326454:JFT326537 IVX326454:IVX326537 IMB326454:IMB326537 ICF326454:ICF326537 HSJ326454:HSJ326537 HIN326454:HIN326537 GYR326454:GYR326537 GOV326454:GOV326537 GEZ326454:GEZ326537 FVD326454:FVD326537 FLH326454:FLH326537 FBL326454:FBL326537 ERP326454:ERP326537 EHT326454:EHT326537 DXX326454:DXX326537 DOB326454:DOB326537 DEF326454:DEF326537 CUJ326454:CUJ326537 CKN326454:CKN326537 CAR326454:CAR326537 BQV326454:BQV326537 BGZ326454:BGZ326537 AXD326454:AXD326537 ANH326454:ANH326537 ADL326454:ADL326537 TP326454:TP326537 JT326454:JT326537 X326454:X326537 WWF260918:WWF261001 WMJ260918:WMJ261001 WCN260918:WCN261001 VSR260918:VSR261001 VIV260918:VIV261001 UYZ260918:UYZ261001 UPD260918:UPD261001 UFH260918:UFH261001 TVL260918:TVL261001 TLP260918:TLP261001 TBT260918:TBT261001 SRX260918:SRX261001 SIB260918:SIB261001 RYF260918:RYF261001 ROJ260918:ROJ261001 REN260918:REN261001 QUR260918:QUR261001 QKV260918:QKV261001 QAZ260918:QAZ261001 PRD260918:PRD261001 PHH260918:PHH261001 OXL260918:OXL261001 ONP260918:ONP261001 ODT260918:ODT261001 NTX260918:NTX261001 NKB260918:NKB261001 NAF260918:NAF261001 MQJ260918:MQJ261001 MGN260918:MGN261001 LWR260918:LWR261001 LMV260918:LMV261001 LCZ260918:LCZ261001 KTD260918:KTD261001 KJH260918:KJH261001 JZL260918:JZL261001 JPP260918:JPP261001 JFT260918:JFT261001 IVX260918:IVX261001 IMB260918:IMB261001 ICF260918:ICF261001 HSJ260918:HSJ261001 HIN260918:HIN261001 GYR260918:GYR261001 GOV260918:GOV261001 GEZ260918:GEZ261001 FVD260918:FVD261001 FLH260918:FLH261001 FBL260918:FBL261001 ERP260918:ERP261001 EHT260918:EHT261001 DXX260918:DXX261001 DOB260918:DOB261001 DEF260918:DEF261001 CUJ260918:CUJ261001 CKN260918:CKN261001 CAR260918:CAR261001 BQV260918:BQV261001 BGZ260918:BGZ261001 AXD260918:AXD261001 ANH260918:ANH261001 ADL260918:ADL261001 TP260918:TP261001 JT260918:JT261001 X260918:X261001 WWF195382:WWF195465 WMJ195382:WMJ195465 WCN195382:WCN195465 VSR195382:VSR195465 VIV195382:VIV195465 UYZ195382:UYZ195465 UPD195382:UPD195465 UFH195382:UFH195465 TVL195382:TVL195465 TLP195382:TLP195465 TBT195382:TBT195465 SRX195382:SRX195465 SIB195382:SIB195465 RYF195382:RYF195465 ROJ195382:ROJ195465 REN195382:REN195465 QUR195382:QUR195465 QKV195382:QKV195465 QAZ195382:QAZ195465 PRD195382:PRD195465 PHH195382:PHH195465 OXL195382:OXL195465 ONP195382:ONP195465 ODT195382:ODT195465 NTX195382:NTX195465 NKB195382:NKB195465 NAF195382:NAF195465 MQJ195382:MQJ195465 MGN195382:MGN195465 LWR195382:LWR195465 LMV195382:LMV195465 LCZ195382:LCZ195465 KTD195382:KTD195465 KJH195382:KJH195465 JZL195382:JZL195465 JPP195382:JPP195465 JFT195382:JFT195465 IVX195382:IVX195465 IMB195382:IMB195465 ICF195382:ICF195465 HSJ195382:HSJ195465 HIN195382:HIN195465 GYR195382:GYR195465 GOV195382:GOV195465 GEZ195382:GEZ195465 FVD195382:FVD195465 FLH195382:FLH195465 FBL195382:FBL195465 ERP195382:ERP195465 EHT195382:EHT195465 DXX195382:DXX195465 DOB195382:DOB195465 DEF195382:DEF195465 CUJ195382:CUJ195465 CKN195382:CKN195465 CAR195382:CAR195465 BQV195382:BQV195465 BGZ195382:BGZ195465 AXD195382:AXD195465 ANH195382:ANH195465 ADL195382:ADL195465 TP195382:TP195465 JT195382:JT195465 X195382:X195465 WWF129846:WWF129929 WMJ129846:WMJ129929 WCN129846:WCN129929 VSR129846:VSR129929 VIV129846:VIV129929 UYZ129846:UYZ129929 UPD129846:UPD129929 UFH129846:UFH129929 TVL129846:TVL129929 TLP129846:TLP129929 TBT129846:TBT129929 SRX129846:SRX129929 SIB129846:SIB129929 RYF129846:RYF129929 ROJ129846:ROJ129929 REN129846:REN129929 QUR129846:QUR129929 QKV129846:QKV129929 QAZ129846:QAZ129929 PRD129846:PRD129929 PHH129846:PHH129929 OXL129846:OXL129929 ONP129846:ONP129929 ODT129846:ODT129929 NTX129846:NTX129929 NKB129846:NKB129929 NAF129846:NAF129929 MQJ129846:MQJ129929 MGN129846:MGN129929 LWR129846:LWR129929 LMV129846:LMV129929 LCZ129846:LCZ129929 KTD129846:KTD129929 KJH129846:KJH129929 JZL129846:JZL129929 JPP129846:JPP129929 JFT129846:JFT129929 IVX129846:IVX129929 IMB129846:IMB129929 ICF129846:ICF129929 HSJ129846:HSJ129929 HIN129846:HIN129929 GYR129846:GYR129929 GOV129846:GOV129929 GEZ129846:GEZ129929 FVD129846:FVD129929 FLH129846:FLH129929 FBL129846:FBL129929 ERP129846:ERP129929 EHT129846:EHT129929 DXX129846:DXX129929 DOB129846:DOB129929 DEF129846:DEF129929 CUJ129846:CUJ129929 CKN129846:CKN129929 CAR129846:CAR129929 BQV129846:BQV129929 BGZ129846:BGZ129929 AXD129846:AXD129929 ANH129846:ANH129929 ADL129846:ADL129929 TP129846:TP129929 JT129846:JT129929 X129846:X129929 WWF64310:WWF64393 WMJ64310:WMJ64393 WCN64310:WCN64393 VSR64310:VSR64393 VIV64310:VIV64393 UYZ64310:UYZ64393 UPD64310:UPD64393 UFH64310:UFH64393 TVL64310:TVL64393 TLP64310:TLP64393 TBT64310:TBT64393 SRX64310:SRX64393 SIB64310:SIB64393 RYF64310:RYF64393 ROJ64310:ROJ64393 REN64310:REN64393 QUR64310:QUR64393 QKV64310:QKV64393 QAZ64310:QAZ64393 PRD64310:PRD64393 PHH64310:PHH64393 OXL64310:OXL64393 ONP64310:ONP64393 ODT64310:ODT64393 NTX64310:NTX64393 NKB64310:NKB64393 NAF64310:NAF64393 MQJ64310:MQJ64393 MGN64310:MGN64393 LWR64310:LWR64393 LMV64310:LMV64393 LCZ64310:LCZ64393 KTD64310:KTD64393 KJH64310:KJH64393 JZL64310:JZL64393 JPP64310:JPP64393 JFT64310:JFT64393 IVX64310:IVX64393 IMB64310:IMB64393 ICF64310:ICF64393 HSJ64310:HSJ64393 HIN64310:HIN64393 GYR64310:GYR64393 GOV64310:GOV64393 GEZ64310:GEZ64393 FVD64310:FVD64393 FLH64310:FLH64393 FBL64310:FBL64393 ERP64310:ERP64393 EHT64310:EHT64393 DXX64310:DXX64393 DOB64310:DOB64393 DEF64310:DEF64393 CUJ64310:CUJ64393 CKN64310:CKN64393 CAR64310:CAR64393 BQV64310:BQV64393 BGZ64310:BGZ64393 AXD64310:AXD64393 ANH64310:ANH64393 ADL64310:ADL64393 TP64310:TP64393 JT64310:JT64393 X64310:X64393 X105:X509 JT2:JT82 WWF2:WWF82 WMJ2:WMJ82 WCN2:WCN82 VSR2:VSR82 VIV2:VIV82 UYZ2:UYZ82 UPD2:UPD82 UFH2:UFH82 TVL2:TVL82 TLP2:TLP82 TBT2:TBT82 SRX2:SRX82 SIB2:SIB82 RYF2:RYF82 ROJ2:ROJ82 REN2:REN82 QUR2:QUR82 QKV2:QKV82 QAZ2:QAZ82 PRD2:PRD82 PHH2:PHH82 OXL2:OXL82 ONP2:ONP82 ODT2:ODT82 NTX2:NTX82 NKB2:NKB82 NAF2:NAF82 MQJ2:MQJ82 MGN2:MGN82 LWR2:LWR82 LMV2:LMV82 LCZ2:LCZ82 KTD2:KTD82 KJH2:KJH82 JZL2:JZL82 JPP2:JPP82 JFT2:JFT82 IVX2:IVX82 IMB2:IMB82 ICF2:ICF82 HSJ2:HSJ82 HIN2:HIN82 GYR2:GYR82 GOV2:GOV82 GEZ2:GEZ82 FVD2:FVD82 FLH2:FLH82 FBL2:FBL82 ERP2:ERP82 EHT2:EHT82 DXX2:DXX82 DOB2:DOB82 DEF2:DEF82 CUJ2:CUJ82 CKN2:CKN82 CAR2:CAR82 BQV2:BQV82 BGZ2:BGZ82 AXD2:AXD82 ANH2:ANH82 ADL2:ADL82 TP2:TP82 X2:X103" xr:uid="{C7E83F7B-9F8D-47F5-AAD5-2B1A4F815A42}">
      <formula1>$AT$2:$AT$3</formula1>
    </dataValidation>
    <dataValidation operator="equal" allowBlank="1" showInputMessage="1" showErrorMessage="1" sqref="WVJ981814:WVJ981903 WLN981814:WLN981903 WBR981814:WBR981903 VRV981814:VRV981903 VHZ981814:VHZ981903 UYD981814:UYD981903 UOH981814:UOH981903 UEL981814:UEL981903 TUP981814:TUP981903 TKT981814:TKT981903 TAX981814:TAX981903 SRB981814:SRB981903 SHF981814:SHF981903 RXJ981814:RXJ981903 RNN981814:RNN981903 RDR981814:RDR981903 QTV981814:QTV981903 QJZ981814:QJZ981903 QAD981814:QAD981903 PQH981814:PQH981903 PGL981814:PGL981903 OWP981814:OWP981903 OMT981814:OMT981903 OCX981814:OCX981903 NTB981814:NTB981903 NJF981814:NJF981903 MZJ981814:MZJ981903 MPN981814:MPN981903 MFR981814:MFR981903 LVV981814:LVV981903 LLZ981814:LLZ981903 LCD981814:LCD981903 KSH981814:KSH981903 KIL981814:KIL981903 JYP981814:JYP981903 JOT981814:JOT981903 JEX981814:JEX981903 IVB981814:IVB981903 ILF981814:ILF981903 IBJ981814:IBJ981903 HRN981814:HRN981903 HHR981814:HHR981903 GXV981814:GXV981903 GNZ981814:GNZ981903 GED981814:GED981903 FUH981814:FUH981903 FKL981814:FKL981903 FAP981814:FAP981903 EQT981814:EQT981903 EGX981814:EGX981903 DXB981814:DXB981903 DNF981814:DNF981903 DDJ981814:DDJ981903 CTN981814:CTN981903 CJR981814:CJR981903 BZV981814:BZV981903 BPZ981814:BPZ981903 BGD981814:BGD981903 AWH981814:AWH981903 AML981814:AML981903 ACP981814:ACP981903 ST981814:ST981903 IX981814:IX981903 B981820:B981909 WVJ916278:WVJ916367 WLN916278:WLN916367 WBR916278:WBR916367 VRV916278:VRV916367 VHZ916278:VHZ916367 UYD916278:UYD916367 UOH916278:UOH916367 UEL916278:UEL916367 TUP916278:TUP916367 TKT916278:TKT916367 TAX916278:TAX916367 SRB916278:SRB916367 SHF916278:SHF916367 RXJ916278:RXJ916367 RNN916278:RNN916367 RDR916278:RDR916367 QTV916278:QTV916367 QJZ916278:QJZ916367 QAD916278:QAD916367 PQH916278:PQH916367 PGL916278:PGL916367 OWP916278:OWP916367 OMT916278:OMT916367 OCX916278:OCX916367 NTB916278:NTB916367 NJF916278:NJF916367 MZJ916278:MZJ916367 MPN916278:MPN916367 MFR916278:MFR916367 LVV916278:LVV916367 LLZ916278:LLZ916367 LCD916278:LCD916367 KSH916278:KSH916367 KIL916278:KIL916367 JYP916278:JYP916367 JOT916278:JOT916367 JEX916278:JEX916367 IVB916278:IVB916367 ILF916278:ILF916367 IBJ916278:IBJ916367 HRN916278:HRN916367 HHR916278:HHR916367 GXV916278:GXV916367 GNZ916278:GNZ916367 GED916278:GED916367 FUH916278:FUH916367 FKL916278:FKL916367 FAP916278:FAP916367 EQT916278:EQT916367 EGX916278:EGX916367 DXB916278:DXB916367 DNF916278:DNF916367 DDJ916278:DDJ916367 CTN916278:CTN916367 CJR916278:CJR916367 BZV916278:BZV916367 BPZ916278:BPZ916367 BGD916278:BGD916367 AWH916278:AWH916367 AML916278:AML916367 ACP916278:ACP916367 ST916278:ST916367 IX916278:IX916367 B916284:B916373 WVJ850742:WVJ850831 WLN850742:WLN850831 WBR850742:WBR850831 VRV850742:VRV850831 VHZ850742:VHZ850831 UYD850742:UYD850831 UOH850742:UOH850831 UEL850742:UEL850831 TUP850742:TUP850831 TKT850742:TKT850831 TAX850742:TAX850831 SRB850742:SRB850831 SHF850742:SHF850831 RXJ850742:RXJ850831 RNN850742:RNN850831 RDR850742:RDR850831 QTV850742:QTV850831 QJZ850742:QJZ850831 QAD850742:QAD850831 PQH850742:PQH850831 PGL850742:PGL850831 OWP850742:OWP850831 OMT850742:OMT850831 OCX850742:OCX850831 NTB850742:NTB850831 NJF850742:NJF850831 MZJ850742:MZJ850831 MPN850742:MPN850831 MFR850742:MFR850831 LVV850742:LVV850831 LLZ850742:LLZ850831 LCD850742:LCD850831 KSH850742:KSH850831 KIL850742:KIL850831 JYP850742:JYP850831 JOT850742:JOT850831 JEX850742:JEX850831 IVB850742:IVB850831 ILF850742:ILF850831 IBJ850742:IBJ850831 HRN850742:HRN850831 HHR850742:HHR850831 GXV850742:GXV850831 GNZ850742:GNZ850831 GED850742:GED850831 FUH850742:FUH850831 FKL850742:FKL850831 FAP850742:FAP850831 EQT850742:EQT850831 EGX850742:EGX850831 DXB850742:DXB850831 DNF850742:DNF850831 DDJ850742:DDJ850831 CTN850742:CTN850831 CJR850742:CJR850831 BZV850742:BZV850831 BPZ850742:BPZ850831 BGD850742:BGD850831 AWH850742:AWH850831 AML850742:AML850831 ACP850742:ACP850831 ST850742:ST850831 IX850742:IX850831 B850748:B850837 WVJ785206:WVJ785295 WLN785206:WLN785295 WBR785206:WBR785295 VRV785206:VRV785295 VHZ785206:VHZ785295 UYD785206:UYD785295 UOH785206:UOH785295 UEL785206:UEL785295 TUP785206:TUP785295 TKT785206:TKT785295 TAX785206:TAX785295 SRB785206:SRB785295 SHF785206:SHF785295 RXJ785206:RXJ785295 RNN785206:RNN785295 RDR785206:RDR785295 QTV785206:QTV785295 QJZ785206:QJZ785295 QAD785206:QAD785295 PQH785206:PQH785295 PGL785206:PGL785295 OWP785206:OWP785295 OMT785206:OMT785295 OCX785206:OCX785295 NTB785206:NTB785295 NJF785206:NJF785295 MZJ785206:MZJ785295 MPN785206:MPN785295 MFR785206:MFR785295 LVV785206:LVV785295 LLZ785206:LLZ785295 LCD785206:LCD785295 KSH785206:KSH785295 KIL785206:KIL785295 JYP785206:JYP785295 JOT785206:JOT785295 JEX785206:JEX785295 IVB785206:IVB785295 ILF785206:ILF785295 IBJ785206:IBJ785295 HRN785206:HRN785295 HHR785206:HHR785295 GXV785206:GXV785295 GNZ785206:GNZ785295 GED785206:GED785295 FUH785206:FUH785295 FKL785206:FKL785295 FAP785206:FAP785295 EQT785206:EQT785295 EGX785206:EGX785295 DXB785206:DXB785295 DNF785206:DNF785295 DDJ785206:DDJ785295 CTN785206:CTN785295 CJR785206:CJR785295 BZV785206:BZV785295 BPZ785206:BPZ785295 BGD785206:BGD785295 AWH785206:AWH785295 AML785206:AML785295 ACP785206:ACP785295 ST785206:ST785295 IX785206:IX785295 B785212:B785301 WVJ719670:WVJ719759 WLN719670:WLN719759 WBR719670:WBR719759 VRV719670:VRV719759 VHZ719670:VHZ719759 UYD719670:UYD719759 UOH719670:UOH719759 UEL719670:UEL719759 TUP719670:TUP719759 TKT719670:TKT719759 TAX719670:TAX719759 SRB719670:SRB719759 SHF719670:SHF719759 RXJ719670:RXJ719759 RNN719670:RNN719759 RDR719670:RDR719759 QTV719670:QTV719759 QJZ719670:QJZ719759 QAD719670:QAD719759 PQH719670:PQH719759 PGL719670:PGL719759 OWP719670:OWP719759 OMT719670:OMT719759 OCX719670:OCX719759 NTB719670:NTB719759 NJF719670:NJF719759 MZJ719670:MZJ719759 MPN719670:MPN719759 MFR719670:MFR719759 LVV719670:LVV719759 LLZ719670:LLZ719759 LCD719670:LCD719759 KSH719670:KSH719759 KIL719670:KIL719759 JYP719670:JYP719759 JOT719670:JOT719759 JEX719670:JEX719759 IVB719670:IVB719759 ILF719670:ILF719759 IBJ719670:IBJ719759 HRN719670:HRN719759 HHR719670:HHR719759 GXV719670:GXV719759 GNZ719670:GNZ719759 GED719670:GED719759 FUH719670:FUH719759 FKL719670:FKL719759 FAP719670:FAP719759 EQT719670:EQT719759 EGX719670:EGX719759 DXB719670:DXB719759 DNF719670:DNF719759 DDJ719670:DDJ719759 CTN719670:CTN719759 CJR719670:CJR719759 BZV719670:BZV719759 BPZ719670:BPZ719759 BGD719670:BGD719759 AWH719670:AWH719759 AML719670:AML719759 ACP719670:ACP719759 ST719670:ST719759 IX719670:IX719759 B719676:B719765 WVJ654134:WVJ654223 WLN654134:WLN654223 WBR654134:WBR654223 VRV654134:VRV654223 VHZ654134:VHZ654223 UYD654134:UYD654223 UOH654134:UOH654223 UEL654134:UEL654223 TUP654134:TUP654223 TKT654134:TKT654223 TAX654134:TAX654223 SRB654134:SRB654223 SHF654134:SHF654223 RXJ654134:RXJ654223 RNN654134:RNN654223 RDR654134:RDR654223 QTV654134:QTV654223 QJZ654134:QJZ654223 QAD654134:QAD654223 PQH654134:PQH654223 PGL654134:PGL654223 OWP654134:OWP654223 OMT654134:OMT654223 OCX654134:OCX654223 NTB654134:NTB654223 NJF654134:NJF654223 MZJ654134:MZJ654223 MPN654134:MPN654223 MFR654134:MFR654223 LVV654134:LVV654223 LLZ654134:LLZ654223 LCD654134:LCD654223 KSH654134:KSH654223 KIL654134:KIL654223 JYP654134:JYP654223 JOT654134:JOT654223 JEX654134:JEX654223 IVB654134:IVB654223 ILF654134:ILF654223 IBJ654134:IBJ654223 HRN654134:HRN654223 HHR654134:HHR654223 GXV654134:GXV654223 GNZ654134:GNZ654223 GED654134:GED654223 FUH654134:FUH654223 FKL654134:FKL654223 FAP654134:FAP654223 EQT654134:EQT654223 EGX654134:EGX654223 DXB654134:DXB654223 DNF654134:DNF654223 DDJ654134:DDJ654223 CTN654134:CTN654223 CJR654134:CJR654223 BZV654134:BZV654223 BPZ654134:BPZ654223 BGD654134:BGD654223 AWH654134:AWH654223 AML654134:AML654223 ACP654134:ACP654223 ST654134:ST654223 IX654134:IX654223 B654140:B654229 WVJ588598:WVJ588687 WLN588598:WLN588687 WBR588598:WBR588687 VRV588598:VRV588687 VHZ588598:VHZ588687 UYD588598:UYD588687 UOH588598:UOH588687 UEL588598:UEL588687 TUP588598:TUP588687 TKT588598:TKT588687 TAX588598:TAX588687 SRB588598:SRB588687 SHF588598:SHF588687 RXJ588598:RXJ588687 RNN588598:RNN588687 RDR588598:RDR588687 QTV588598:QTV588687 QJZ588598:QJZ588687 QAD588598:QAD588687 PQH588598:PQH588687 PGL588598:PGL588687 OWP588598:OWP588687 OMT588598:OMT588687 OCX588598:OCX588687 NTB588598:NTB588687 NJF588598:NJF588687 MZJ588598:MZJ588687 MPN588598:MPN588687 MFR588598:MFR588687 LVV588598:LVV588687 LLZ588598:LLZ588687 LCD588598:LCD588687 KSH588598:KSH588687 KIL588598:KIL588687 JYP588598:JYP588687 JOT588598:JOT588687 JEX588598:JEX588687 IVB588598:IVB588687 ILF588598:ILF588687 IBJ588598:IBJ588687 HRN588598:HRN588687 HHR588598:HHR588687 GXV588598:GXV588687 GNZ588598:GNZ588687 GED588598:GED588687 FUH588598:FUH588687 FKL588598:FKL588687 FAP588598:FAP588687 EQT588598:EQT588687 EGX588598:EGX588687 DXB588598:DXB588687 DNF588598:DNF588687 DDJ588598:DDJ588687 CTN588598:CTN588687 CJR588598:CJR588687 BZV588598:BZV588687 BPZ588598:BPZ588687 BGD588598:BGD588687 AWH588598:AWH588687 AML588598:AML588687 ACP588598:ACP588687 ST588598:ST588687 IX588598:IX588687 B588604:B588693 WVJ523062:WVJ523151 WLN523062:WLN523151 WBR523062:WBR523151 VRV523062:VRV523151 VHZ523062:VHZ523151 UYD523062:UYD523151 UOH523062:UOH523151 UEL523062:UEL523151 TUP523062:TUP523151 TKT523062:TKT523151 TAX523062:TAX523151 SRB523062:SRB523151 SHF523062:SHF523151 RXJ523062:RXJ523151 RNN523062:RNN523151 RDR523062:RDR523151 QTV523062:QTV523151 QJZ523062:QJZ523151 QAD523062:QAD523151 PQH523062:PQH523151 PGL523062:PGL523151 OWP523062:OWP523151 OMT523062:OMT523151 OCX523062:OCX523151 NTB523062:NTB523151 NJF523062:NJF523151 MZJ523062:MZJ523151 MPN523062:MPN523151 MFR523062:MFR523151 LVV523062:LVV523151 LLZ523062:LLZ523151 LCD523062:LCD523151 KSH523062:KSH523151 KIL523062:KIL523151 JYP523062:JYP523151 JOT523062:JOT523151 JEX523062:JEX523151 IVB523062:IVB523151 ILF523062:ILF523151 IBJ523062:IBJ523151 HRN523062:HRN523151 HHR523062:HHR523151 GXV523062:GXV523151 GNZ523062:GNZ523151 GED523062:GED523151 FUH523062:FUH523151 FKL523062:FKL523151 FAP523062:FAP523151 EQT523062:EQT523151 EGX523062:EGX523151 DXB523062:DXB523151 DNF523062:DNF523151 DDJ523062:DDJ523151 CTN523062:CTN523151 CJR523062:CJR523151 BZV523062:BZV523151 BPZ523062:BPZ523151 BGD523062:BGD523151 AWH523062:AWH523151 AML523062:AML523151 ACP523062:ACP523151 ST523062:ST523151 IX523062:IX523151 B523068:B523157 WVJ457526:WVJ457615 WLN457526:WLN457615 WBR457526:WBR457615 VRV457526:VRV457615 VHZ457526:VHZ457615 UYD457526:UYD457615 UOH457526:UOH457615 UEL457526:UEL457615 TUP457526:TUP457615 TKT457526:TKT457615 TAX457526:TAX457615 SRB457526:SRB457615 SHF457526:SHF457615 RXJ457526:RXJ457615 RNN457526:RNN457615 RDR457526:RDR457615 QTV457526:QTV457615 QJZ457526:QJZ457615 QAD457526:QAD457615 PQH457526:PQH457615 PGL457526:PGL457615 OWP457526:OWP457615 OMT457526:OMT457615 OCX457526:OCX457615 NTB457526:NTB457615 NJF457526:NJF457615 MZJ457526:MZJ457615 MPN457526:MPN457615 MFR457526:MFR457615 LVV457526:LVV457615 LLZ457526:LLZ457615 LCD457526:LCD457615 KSH457526:KSH457615 KIL457526:KIL457615 JYP457526:JYP457615 JOT457526:JOT457615 JEX457526:JEX457615 IVB457526:IVB457615 ILF457526:ILF457615 IBJ457526:IBJ457615 HRN457526:HRN457615 HHR457526:HHR457615 GXV457526:GXV457615 GNZ457526:GNZ457615 GED457526:GED457615 FUH457526:FUH457615 FKL457526:FKL457615 FAP457526:FAP457615 EQT457526:EQT457615 EGX457526:EGX457615 DXB457526:DXB457615 DNF457526:DNF457615 DDJ457526:DDJ457615 CTN457526:CTN457615 CJR457526:CJR457615 BZV457526:BZV457615 BPZ457526:BPZ457615 BGD457526:BGD457615 AWH457526:AWH457615 AML457526:AML457615 ACP457526:ACP457615 ST457526:ST457615 IX457526:IX457615 B457532:B457621 WVJ391990:WVJ392079 WLN391990:WLN392079 WBR391990:WBR392079 VRV391990:VRV392079 VHZ391990:VHZ392079 UYD391990:UYD392079 UOH391990:UOH392079 UEL391990:UEL392079 TUP391990:TUP392079 TKT391990:TKT392079 TAX391990:TAX392079 SRB391990:SRB392079 SHF391990:SHF392079 RXJ391990:RXJ392079 RNN391990:RNN392079 RDR391990:RDR392079 QTV391990:QTV392079 QJZ391990:QJZ392079 QAD391990:QAD392079 PQH391990:PQH392079 PGL391990:PGL392079 OWP391990:OWP392079 OMT391990:OMT392079 OCX391990:OCX392079 NTB391990:NTB392079 NJF391990:NJF392079 MZJ391990:MZJ392079 MPN391990:MPN392079 MFR391990:MFR392079 LVV391990:LVV392079 LLZ391990:LLZ392079 LCD391990:LCD392079 KSH391990:KSH392079 KIL391990:KIL392079 JYP391990:JYP392079 JOT391990:JOT392079 JEX391990:JEX392079 IVB391990:IVB392079 ILF391990:ILF392079 IBJ391990:IBJ392079 HRN391990:HRN392079 HHR391990:HHR392079 GXV391990:GXV392079 GNZ391990:GNZ392079 GED391990:GED392079 FUH391990:FUH392079 FKL391990:FKL392079 FAP391990:FAP392079 EQT391990:EQT392079 EGX391990:EGX392079 DXB391990:DXB392079 DNF391990:DNF392079 DDJ391990:DDJ392079 CTN391990:CTN392079 CJR391990:CJR392079 BZV391990:BZV392079 BPZ391990:BPZ392079 BGD391990:BGD392079 AWH391990:AWH392079 AML391990:AML392079 ACP391990:ACP392079 ST391990:ST392079 IX391990:IX392079 B391996:B392085 WVJ326454:WVJ326543 WLN326454:WLN326543 WBR326454:WBR326543 VRV326454:VRV326543 VHZ326454:VHZ326543 UYD326454:UYD326543 UOH326454:UOH326543 UEL326454:UEL326543 TUP326454:TUP326543 TKT326454:TKT326543 TAX326454:TAX326543 SRB326454:SRB326543 SHF326454:SHF326543 RXJ326454:RXJ326543 RNN326454:RNN326543 RDR326454:RDR326543 QTV326454:QTV326543 QJZ326454:QJZ326543 QAD326454:QAD326543 PQH326454:PQH326543 PGL326454:PGL326543 OWP326454:OWP326543 OMT326454:OMT326543 OCX326454:OCX326543 NTB326454:NTB326543 NJF326454:NJF326543 MZJ326454:MZJ326543 MPN326454:MPN326543 MFR326454:MFR326543 LVV326454:LVV326543 LLZ326454:LLZ326543 LCD326454:LCD326543 KSH326454:KSH326543 KIL326454:KIL326543 JYP326454:JYP326543 JOT326454:JOT326543 JEX326454:JEX326543 IVB326454:IVB326543 ILF326454:ILF326543 IBJ326454:IBJ326543 HRN326454:HRN326543 HHR326454:HHR326543 GXV326454:GXV326543 GNZ326454:GNZ326543 GED326454:GED326543 FUH326454:FUH326543 FKL326454:FKL326543 FAP326454:FAP326543 EQT326454:EQT326543 EGX326454:EGX326543 DXB326454:DXB326543 DNF326454:DNF326543 DDJ326454:DDJ326543 CTN326454:CTN326543 CJR326454:CJR326543 BZV326454:BZV326543 BPZ326454:BPZ326543 BGD326454:BGD326543 AWH326454:AWH326543 AML326454:AML326543 ACP326454:ACP326543 ST326454:ST326543 IX326454:IX326543 B326460:B326549 WVJ260918:WVJ261007 WLN260918:WLN261007 WBR260918:WBR261007 VRV260918:VRV261007 VHZ260918:VHZ261007 UYD260918:UYD261007 UOH260918:UOH261007 UEL260918:UEL261007 TUP260918:TUP261007 TKT260918:TKT261007 TAX260918:TAX261007 SRB260918:SRB261007 SHF260918:SHF261007 RXJ260918:RXJ261007 RNN260918:RNN261007 RDR260918:RDR261007 QTV260918:QTV261007 QJZ260918:QJZ261007 QAD260918:QAD261007 PQH260918:PQH261007 PGL260918:PGL261007 OWP260918:OWP261007 OMT260918:OMT261007 OCX260918:OCX261007 NTB260918:NTB261007 NJF260918:NJF261007 MZJ260918:MZJ261007 MPN260918:MPN261007 MFR260918:MFR261007 LVV260918:LVV261007 LLZ260918:LLZ261007 LCD260918:LCD261007 KSH260918:KSH261007 KIL260918:KIL261007 JYP260918:JYP261007 JOT260918:JOT261007 JEX260918:JEX261007 IVB260918:IVB261007 ILF260918:ILF261007 IBJ260918:IBJ261007 HRN260918:HRN261007 HHR260918:HHR261007 GXV260918:GXV261007 GNZ260918:GNZ261007 GED260918:GED261007 FUH260918:FUH261007 FKL260918:FKL261007 FAP260918:FAP261007 EQT260918:EQT261007 EGX260918:EGX261007 DXB260918:DXB261007 DNF260918:DNF261007 DDJ260918:DDJ261007 CTN260918:CTN261007 CJR260918:CJR261007 BZV260918:BZV261007 BPZ260918:BPZ261007 BGD260918:BGD261007 AWH260918:AWH261007 AML260918:AML261007 ACP260918:ACP261007 ST260918:ST261007 IX260918:IX261007 B260924:B261013 WVJ195382:WVJ195471 WLN195382:WLN195471 WBR195382:WBR195471 VRV195382:VRV195471 VHZ195382:VHZ195471 UYD195382:UYD195471 UOH195382:UOH195471 UEL195382:UEL195471 TUP195382:TUP195471 TKT195382:TKT195471 TAX195382:TAX195471 SRB195382:SRB195471 SHF195382:SHF195471 RXJ195382:RXJ195471 RNN195382:RNN195471 RDR195382:RDR195471 QTV195382:QTV195471 QJZ195382:QJZ195471 QAD195382:QAD195471 PQH195382:PQH195471 PGL195382:PGL195471 OWP195382:OWP195471 OMT195382:OMT195471 OCX195382:OCX195471 NTB195382:NTB195471 NJF195382:NJF195471 MZJ195382:MZJ195471 MPN195382:MPN195471 MFR195382:MFR195471 LVV195382:LVV195471 LLZ195382:LLZ195471 LCD195382:LCD195471 KSH195382:KSH195471 KIL195382:KIL195471 JYP195382:JYP195471 JOT195382:JOT195471 JEX195382:JEX195471 IVB195382:IVB195471 ILF195382:ILF195471 IBJ195382:IBJ195471 HRN195382:HRN195471 HHR195382:HHR195471 GXV195382:GXV195471 GNZ195382:GNZ195471 GED195382:GED195471 FUH195382:FUH195471 FKL195382:FKL195471 FAP195382:FAP195471 EQT195382:EQT195471 EGX195382:EGX195471 DXB195382:DXB195471 DNF195382:DNF195471 DDJ195382:DDJ195471 CTN195382:CTN195471 CJR195382:CJR195471 BZV195382:BZV195471 BPZ195382:BPZ195471 BGD195382:BGD195471 AWH195382:AWH195471 AML195382:AML195471 ACP195382:ACP195471 ST195382:ST195471 IX195382:IX195471 B195388:B195477 WVJ129846:WVJ129935 WLN129846:WLN129935 WBR129846:WBR129935 VRV129846:VRV129935 VHZ129846:VHZ129935 UYD129846:UYD129935 UOH129846:UOH129935 UEL129846:UEL129935 TUP129846:TUP129935 TKT129846:TKT129935 TAX129846:TAX129935 SRB129846:SRB129935 SHF129846:SHF129935 RXJ129846:RXJ129935 RNN129846:RNN129935 RDR129846:RDR129935 QTV129846:QTV129935 QJZ129846:QJZ129935 QAD129846:QAD129935 PQH129846:PQH129935 PGL129846:PGL129935 OWP129846:OWP129935 OMT129846:OMT129935 OCX129846:OCX129935 NTB129846:NTB129935 NJF129846:NJF129935 MZJ129846:MZJ129935 MPN129846:MPN129935 MFR129846:MFR129935 LVV129846:LVV129935 LLZ129846:LLZ129935 LCD129846:LCD129935 KSH129846:KSH129935 KIL129846:KIL129935 JYP129846:JYP129935 JOT129846:JOT129935 JEX129846:JEX129935 IVB129846:IVB129935 ILF129846:ILF129935 IBJ129846:IBJ129935 HRN129846:HRN129935 HHR129846:HHR129935 GXV129846:GXV129935 GNZ129846:GNZ129935 GED129846:GED129935 FUH129846:FUH129935 FKL129846:FKL129935 FAP129846:FAP129935 EQT129846:EQT129935 EGX129846:EGX129935 DXB129846:DXB129935 DNF129846:DNF129935 DDJ129846:DDJ129935 CTN129846:CTN129935 CJR129846:CJR129935 BZV129846:BZV129935 BPZ129846:BPZ129935 BGD129846:BGD129935 AWH129846:AWH129935 AML129846:AML129935 ACP129846:ACP129935 ST129846:ST129935 IX129846:IX129935 B129852:B129941 WVJ64310:WVJ64399 WLN64310:WLN64399 WBR64310:WBR64399 VRV64310:VRV64399 VHZ64310:VHZ64399 UYD64310:UYD64399 UOH64310:UOH64399 UEL64310:UEL64399 TUP64310:TUP64399 TKT64310:TKT64399 TAX64310:TAX64399 SRB64310:SRB64399 SHF64310:SHF64399 RXJ64310:RXJ64399 RNN64310:RNN64399 RDR64310:RDR64399 QTV64310:QTV64399 QJZ64310:QJZ64399 QAD64310:QAD64399 PQH64310:PQH64399 PGL64310:PGL64399 OWP64310:OWP64399 OMT64310:OMT64399 OCX64310:OCX64399 NTB64310:NTB64399 NJF64310:NJF64399 MZJ64310:MZJ64399 MPN64310:MPN64399 MFR64310:MFR64399 LVV64310:LVV64399 LLZ64310:LLZ64399 LCD64310:LCD64399 KSH64310:KSH64399 KIL64310:KIL64399 JYP64310:JYP64399 JOT64310:JOT64399 JEX64310:JEX64399 IVB64310:IVB64399 ILF64310:ILF64399 IBJ64310:IBJ64399 HRN64310:HRN64399 HHR64310:HHR64399 GXV64310:GXV64399 GNZ64310:GNZ64399 GED64310:GED64399 FUH64310:FUH64399 FKL64310:FKL64399 FAP64310:FAP64399 EQT64310:EQT64399 EGX64310:EGX64399 DXB64310:DXB64399 DNF64310:DNF64399 DDJ64310:DDJ64399 CTN64310:CTN64399 CJR64310:CJR64399 BZV64310:BZV64399 BPZ64310:BPZ64399 BGD64310:BGD64399 AWH64310:AWH64399 AML64310:AML64399 ACP64310:ACP64399 ST64310:ST64399 IX64310:IX64399 B64316:B64405 B105:B121 IX2:IX82 WVJ2:WVJ82 WLN2:WLN82 WBR2:WBR82 VRV2:VRV82 VHZ2:VHZ82 UYD2:UYD82 UOH2:UOH82 UEL2:UEL82 TUP2:TUP82 TKT2:TKT82 TAX2:TAX82 SRB2:SRB82 SHF2:SHF82 RXJ2:RXJ82 RNN2:RNN82 RDR2:RDR82 QTV2:QTV82 QJZ2:QJZ82 QAD2:QAD82 PQH2:PQH82 PGL2:PGL82 OWP2:OWP82 OMT2:OMT82 OCX2:OCX82 NTB2:NTB82 NJF2:NJF82 MZJ2:MZJ82 MPN2:MPN82 MFR2:MFR82 LVV2:LVV82 LLZ2:LLZ82 LCD2:LCD82 KSH2:KSH82 KIL2:KIL82 JYP2:JYP82 JOT2:JOT82 JEX2:JEX82 IVB2:IVB82 ILF2:ILF82 IBJ2:IBJ82 HRN2:HRN82 HHR2:HHR82 GXV2:GXV82 GNZ2:GNZ82 GED2:GED82 FUH2:FUH82 FKL2:FKL82 FAP2:FAP82 EQT2:EQT82 EGX2:EGX82 DXB2:DXB82 DNF2:DNF82 DDJ2:DDJ82 CTN2:CTN82 CJR2:CJR82 BZV2:BZV82 BPZ2:BPZ82 BGD2:BGD82 AWH2:AWH82 AML2:AML82 ACP2:ACP82 ST2:ST82 B2:B103" xr:uid="{90B59AFF-2D03-45C3-B6AD-3FB83441C58F}"/>
    <dataValidation type="list" allowBlank="1" showInputMessage="1" showErrorMessage="1" sqref="WVI981814:WVI981903 WLM981814:WLM981903 WBQ981814:WBQ981903 VRU981814:VRU981903 VHY981814:VHY981903 UYC981814:UYC981903 UOG981814:UOG981903 UEK981814:UEK981903 TUO981814:TUO981903 TKS981814:TKS981903 TAW981814:TAW981903 SRA981814:SRA981903 SHE981814:SHE981903 RXI981814:RXI981903 RNM981814:RNM981903 RDQ981814:RDQ981903 QTU981814:QTU981903 QJY981814:QJY981903 QAC981814:QAC981903 PQG981814:PQG981903 PGK981814:PGK981903 OWO981814:OWO981903 OMS981814:OMS981903 OCW981814:OCW981903 NTA981814:NTA981903 NJE981814:NJE981903 MZI981814:MZI981903 MPM981814:MPM981903 MFQ981814:MFQ981903 LVU981814:LVU981903 LLY981814:LLY981903 LCC981814:LCC981903 KSG981814:KSG981903 KIK981814:KIK981903 JYO981814:JYO981903 JOS981814:JOS981903 JEW981814:JEW981903 IVA981814:IVA981903 ILE981814:ILE981903 IBI981814:IBI981903 HRM981814:HRM981903 HHQ981814:HHQ981903 GXU981814:GXU981903 GNY981814:GNY981903 GEC981814:GEC981903 FUG981814:FUG981903 FKK981814:FKK981903 FAO981814:FAO981903 EQS981814:EQS981903 EGW981814:EGW981903 DXA981814:DXA981903 DNE981814:DNE981903 DDI981814:DDI981903 CTM981814:CTM981903 CJQ981814:CJQ981903 BZU981814:BZU981903 BPY981814:BPY981903 BGC981814:BGC981903 AWG981814:AWG981903 AMK981814:AMK981903 ACO981814:ACO981903 SS981814:SS981903 IW981814:IW981903 A981820:A981909 WVI916278:WVI916367 WLM916278:WLM916367 WBQ916278:WBQ916367 VRU916278:VRU916367 VHY916278:VHY916367 UYC916278:UYC916367 UOG916278:UOG916367 UEK916278:UEK916367 TUO916278:TUO916367 TKS916278:TKS916367 TAW916278:TAW916367 SRA916278:SRA916367 SHE916278:SHE916367 RXI916278:RXI916367 RNM916278:RNM916367 RDQ916278:RDQ916367 QTU916278:QTU916367 QJY916278:QJY916367 QAC916278:QAC916367 PQG916278:PQG916367 PGK916278:PGK916367 OWO916278:OWO916367 OMS916278:OMS916367 OCW916278:OCW916367 NTA916278:NTA916367 NJE916278:NJE916367 MZI916278:MZI916367 MPM916278:MPM916367 MFQ916278:MFQ916367 LVU916278:LVU916367 LLY916278:LLY916367 LCC916278:LCC916367 KSG916278:KSG916367 KIK916278:KIK916367 JYO916278:JYO916367 JOS916278:JOS916367 JEW916278:JEW916367 IVA916278:IVA916367 ILE916278:ILE916367 IBI916278:IBI916367 HRM916278:HRM916367 HHQ916278:HHQ916367 GXU916278:GXU916367 GNY916278:GNY916367 GEC916278:GEC916367 FUG916278:FUG916367 FKK916278:FKK916367 FAO916278:FAO916367 EQS916278:EQS916367 EGW916278:EGW916367 DXA916278:DXA916367 DNE916278:DNE916367 DDI916278:DDI916367 CTM916278:CTM916367 CJQ916278:CJQ916367 BZU916278:BZU916367 BPY916278:BPY916367 BGC916278:BGC916367 AWG916278:AWG916367 AMK916278:AMK916367 ACO916278:ACO916367 SS916278:SS916367 IW916278:IW916367 A916284:A916373 WVI850742:WVI850831 WLM850742:WLM850831 WBQ850742:WBQ850831 VRU850742:VRU850831 VHY850742:VHY850831 UYC850742:UYC850831 UOG850742:UOG850831 UEK850742:UEK850831 TUO850742:TUO850831 TKS850742:TKS850831 TAW850742:TAW850831 SRA850742:SRA850831 SHE850742:SHE850831 RXI850742:RXI850831 RNM850742:RNM850831 RDQ850742:RDQ850831 QTU850742:QTU850831 QJY850742:QJY850831 QAC850742:QAC850831 PQG850742:PQG850831 PGK850742:PGK850831 OWO850742:OWO850831 OMS850742:OMS850831 OCW850742:OCW850831 NTA850742:NTA850831 NJE850742:NJE850831 MZI850742:MZI850831 MPM850742:MPM850831 MFQ850742:MFQ850831 LVU850742:LVU850831 LLY850742:LLY850831 LCC850742:LCC850831 KSG850742:KSG850831 KIK850742:KIK850831 JYO850742:JYO850831 JOS850742:JOS850831 JEW850742:JEW850831 IVA850742:IVA850831 ILE850742:ILE850831 IBI850742:IBI850831 HRM850742:HRM850831 HHQ850742:HHQ850831 GXU850742:GXU850831 GNY850742:GNY850831 GEC850742:GEC850831 FUG850742:FUG850831 FKK850742:FKK850831 FAO850742:FAO850831 EQS850742:EQS850831 EGW850742:EGW850831 DXA850742:DXA850831 DNE850742:DNE850831 DDI850742:DDI850831 CTM850742:CTM850831 CJQ850742:CJQ850831 BZU850742:BZU850831 BPY850742:BPY850831 BGC850742:BGC850831 AWG850742:AWG850831 AMK850742:AMK850831 ACO850742:ACO850831 SS850742:SS850831 IW850742:IW850831 A850748:A850837 WVI785206:WVI785295 WLM785206:WLM785295 WBQ785206:WBQ785295 VRU785206:VRU785295 VHY785206:VHY785295 UYC785206:UYC785295 UOG785206:UOG785295 UEK785206:UEK785295 TUO785206:TUO785295 TKS785206:TKS785295 TAW785206:TAW785295 SRA785206:SRA785295 SHE785206:SHE785295 RXI785206:RXI785295 RNM785206:RNM785295 RDQ785206:RDQ785295 QTU785206:QTU785295 QJY785206:QJY785295 QAC785206:QAC785295 PQG785206:PQG785295 PGK785206:PGK785295 OWO785206:OWO785295 OMS785206:OMS785295 OCW785206:OCW785295 NTA785206:NTA785295 NJE785206:NJE785295 MZI785206:MZI785295 MPM785206:MPM785295 MFQ785206:MFQ785295 LVU785206:LVU785295 LLY785206:LLY785295 LCC785206:LCC785295 KSG785206:KSG785295 KIK785206:KIK785295 JYO785206:JYO785295 JOS785206:JOS785295 JEW785206:JEW785295 IVA785206:IVA785295 ILE785206:ILE785295 IBI785206:IBI785295 HRM785206:HRM785295 HHQ785206:HHQ785295 GXU785206:GXU785295 GNY785206:GNY785295 GEC785206:GEC785295 FUG785206:FUG785295 FKK785206:FKK785295 FAO785206:FAO785295 EQS785206:EQS785295 EGW785206:EGW785295 DXA785206:DXA785295 DNE785206:DNE785295 DDI785206:DDI785295 CTM785206:CTM785295 CJQ785206:CJQ785295 BZU785206:BZU785295 BPY785206:BPY785295 BGC785206:BGC785295 AWG785206:AWG785295 AMK785206:AMK785295 ACO785206:ACO785295 SS785206:SS785295 IW785206:IW785295 A785212:A785301 WVI719670:WVI719759 WLM719670:WLM719759 WBQ719670:WBQ719759 VRU719670:VRU719759 VHY719670:VHY719759 UYC719670:UYC719759 UOG719670:UOG719759 UEK719670:UEK719759 TUO719670:TUO719759 TKS719670:TKS719759 TAW719670:TAW719759 SRA719670:SRA719759 SHE719670:SHE719759 RXI719670:RXI719759 RNM719670:RNM719759 RDQ719670:RDQ719759 QTU719670:QTU719759 QJY719670:QJY719759 QAC719670:QAC719759 PQG719670:PQG719759 PGK719670:PGK719759 OWO719670:OWO719759 OMS719670:OMS719759 OCW719670:OCW719759 NTA719670:NTA719759 NJE719670:NJE719759 MZI719670:MZI719759 MPM719670:MPM719759 MFQ719670:MFQ719759 LVU719670:LVU719759 LLY719670:LLY719759 LCC719670:LCC719759 KSG719670:KSG719759 KIK719670:KIK719759 JYO719670:JYO719759 JOS719670:JOS719759 JEW719670:JEW719759 IVA719670:IVA719759 ILE719670:ILE719759 IBI719670:IBI719759 HRM719670:HRM719759 HHQ719670:HHQ719759 GXU719670:GXU719759 GNY719670:GNY719759 GEC719670:GEC719759 FUG719670:FUG719759 FKK719670:FKK719759 FAO719670:FAO719759 EQS719670:EQS719759 EGW719670:EGW719759 DXA719670:DXA719759 DNE719670:DNE719759 DDI719670:DDI719759 CTM719670:CTM719759 CJQ719670:CJQ719759 BZU719670:BZU719759 BPY719670:BPY719759 BGC719670:BGC719759 AWG719670:AWG719759 AMK719670:AMK719759 ACO719670:ACO719759 SS719670:SS719759 IW719670:IW719759 A719676:A719765 WVI654134:WVI654223 WLM654134:WLM654223 WBQ654134:WBQ654223 VRU654134:VRU654223 VHY654134:VHY654223 UYC654134:UYC654223 UOG654134:UOG654223 UEK654134:UEK654223 TUO654134:TUO654223 TKS654134:TKS654223 TAW654134:TAW654223 SRA654134:SRA654223 SHE654134:SHE654223 RXI654134:RXI654223 RNM654134:RNM654223 RDQ654134:RDQ654223 QTU654134:QTU654223 QJY654134:QJY654223 QAC654134:QAC654223 PQG654134:PQG654223 PGK654134:PGK654223 OWO654134:OWO654223 OMS654134:OMS654223 OCW654134:OCW654223 NTA654134:NTA654223 NJE654134:NJE654223 MZI654134:MZI654223 MPM654134:MPM654223 MFQ654134:MFQ654223 LVU654134:LVU654223 LLY654134:LLY654223 LCC654134:LCC654223 KSG654134:KSG654223 KIK654134:KIK654223 JYO654134:JYO654223 JOS654134:JOS654223 JEW654134:JEW654223 IVA654134:IVA654223 ILE654134:ILE654223 IBI654134:IBI654223 HRM654134:HRM654223 HHQ654134:HHQ654223 GXU654134:GXU654223 GNY654134:GNY654223 GEC654134:GEC654223 FUG654134:FUG654223 FKK654134:FKK654223 FAO654134:FAO654223 EQS654134:EQS654223 EGW654134:EGW654223 DXA654134:DXA654223 DNE654134:DNE654223 DDI654134:DDI654223 CTM654134:CTM654223 CJQ654134:CJQ654223 BZU654134:BZU654223 BPY654134:BPY654223 BGC654134:BGC654223 AWG654134:AWG654223 AMK654134:AMK654223 ACO654134:ACO654223 SS654134:SS654223 IW654134:IW654223 A654140:A654229 WVI588598:WVI588687 WLM588598:WLM588687 WBQ588598:WBQ588687 VRU588598:VRU588687 VHY588598:VHY588687 UYC588598:UYC588687 UOG588598:UOG588687 UEK588598:UEK588687 TUO588598:TUO588687 TKS588598:TKS588687 TAW588598:TAW588687 SRA588598:SRA588687 SHE588598:SHE588687 RXI588598:RXI588687 RNM588598:RNM588687 RDQ588598:RDQ588687 QTU588598:QTU588687 QJY588598:QJY588687 QAC588598:QAC588687 PQG588598:PQG588687 PGK588598:PGK588687 OWO588598:OWO588687 OMS588598:OMS588687 OCW588598:OCW588687 NTA588598:NTA588687 NJE588598:NJE588687 MZI588598:MZI588687 MPM588598:MPM588687 MFQ588598:MFQ588687 LVU588598:LVU588687 LLY588598:LLY588687 LCC588598:LCC588687 KSG588598:KSG588687 KIK588598:KIK588687 JYO588598:JYO588687 JOS588598:JOS588687 JEW588598:JEW588687 IVA588598:IVA588687 ILE588598:ILE588687 IBI588598:IBI588687 HRM588598:HRM588687 HHQ588598:HHQ588687 GXU588598:GXU588687 GNY588598:GNY588687 GEC588598:GEC588687 FUG588598:FUG588687 FKK588598:FKK588687 FAO588598:FAO588687 EQS588598:EQS588687 EGW588598:EGW588687 DXA588598:DXA588687 DNE588598:DNE588687 DDI588598:DDI588687 CTM588598:CTM588687 CJQ588598:CJQ588687 BZU588598:BZU588687 BPY588598:BPY588687 BGC588598:BGC588687 AWG588598:AWG588687 AMK588598:AMK588687 ACO588598:ACO588687 SS588598:SS588687 IW588598:IW588687 A588604:A588693 WVI523062:WVI523151 WLM523062:WLM523151 WBQ523062:WBQ523151 VRU523062:VRU523151 VHY523062:VHY523151 UYC523062:UYC523151 UOG523062:UOG523151 UEK523062:UEK523151 TUO523062:TUO523151 TKS523062:TKS523151 TAW523062:TAW523151 SRA523062:SRA523151 SHE523062:SHE523151 RXI523062:RXI523151 RNM523062:RNM523151 RDQ523062:RDQ523151 QTU523062:QTU523151 QJY523062:QJY523151 QAC523062:QAC523151 PQG523062:PQG523151 PGK523062:PGK523151 OWO523062:OWO523151 OMS523062:OMS523151 OCW523062:OCW523151 NTA523062:NTA523151 NJE523062:NJE523151 MZI523062:MZI523151 MPM523062:MPM523151 MFQ523062:MFQ523151 LVU523062:LVU523151 LLY523062:LLY523151 LCC523062:LCC523151 KSG523062:KSG523151 KIK523062:KIK523151 JYO523062:JYO523151 JOS523062:JOS523151 JEW523062:JEW523151 IVA523062:IVA523151 ILE523062:ILE523151 IBI523062:IBI523151 HRM523062:HRM523151 HHQ523062:HHQ523151 GXU523062:GXU523151 GNY523062:GNY523151 GEC523062:GEC523151 FUG523062:FUG523151 FKK523062:FKK523151 FAO523062:FAO523151 EQS523062:EQS523151 EGW523062:EGW523151 DXA523062:DXA523151 DNE523062:DNE523151 DDI523062:DDI523151 CTM523062:CTM523151 CJQ523062:CJQ523151 BZU523062:BZU523151 BPY523062:BPY523151 BGC523062:BGC523151 AWG523062:AWG523151 AMK523062:AMK523151 ACO523062:ACO523151 SS523062:SS523151 IW523062:IW523151 A523068:A523157 WVI457526:WVI457615 WLM457526:WLM457615 WBQ457526:WBQ457615 VRU457526:VRU457615 VHY457526:VHY457615 UYC457526:UYC457615 UOG457526:UOG457615 UEK457526:UEK457615 TUO457526:TUO457615 TKS457526:TKS457615 TAW457526:TAW457615 SRA457526:SRA457615 SHE457526:SHE457615 RXI457526:RXI457615 RNM457526:RNM457615 RDQ457526:RDQ457615 QTU457526:QTU457615 QJY457526:QJY457615 QAC457526:QAC457615 PQG457526:PQG457615 PGK457526:PGK457615 OWO457526:OWO457615 OMS457526:OMS457615 OCW457526:OCW457615 NTA457526:NTA457615 NJE457526:NJE457615 MZI457526:MZI457615 MPM457526:MPM457615 MFQ457526:MFQ457615 LVU457526:LVU457615 LLY457526:LLY457615 LCC457526:LCC457615 KSG457526:KSG457615 KIK457526:KIK457615 JYO457526:JYO457615 JOS457526:JOS457615 JEW457526:JEW457615 IVA457526:IVA457615 ILE457526:ILE457615 IBI457526:IBI457615 HRM457526:HRM457615 HHQ457526:HHQ457615 GXU457526:GXU457615 GNY457526:GNY457615 GEC457526:GEC457615 FUG457526:FUG457615 FKK457526:FKK457615 FAO457526:FAO457615 EQS457526:EQS457615 EGW457526:EGW457615 DXA457526:DXA457615 DNE457526:DNE457615 DDI457526:DDI457615 CTM457526:CTM457615 CJQ457526:CJQ457615 BZU457526:BZU457615 BPY457526:BPY457615 BGC457526:BGC457615 AWG457526:AWG457615 AMK457526:AMK457615 ACO457526:ACO457615 SS457526:SS457615 IW457526:IW457615 A457532:A457621 WVI391990:WVI392079 WLM391990:WLM392079 WBQ391990:WBQ392079 VRU391990:VRU392079 VHY391990:VHY392079 UYC391990:UYC392079 UOG391990:UOG392079 UEK391990:UEK392079 TUO391990:TUO392079 TKS391990:TKS392079 TAW391990:TAW392079 SRA391990:SRA392079 SHE391990:SHE392079 RXI391990:RXI392079 RNM391990:RNM392079 RDQ391990:RDQ392079 QTU391990:QTU392079 QJY391990:QJY392079 QAC391990:QAC392079 PQG391990:PQG392079 PGK391990:PGK392079 OWO391990:OWO392079 OMS391990:OMS392079 OCW391990:OCW392079 NTA391990:NTA392079 NJE391990:NJE392079 MZI391990:MZI392079 MPM391990:MPM392079 MFQ391990:MFQ392079 LVU391990:LVU392079 LLY391990:LLY392079 LCC391990:LCC392079 KSG391990:KSG392079 KIK391990:KIK392079 JYO391990:JYO392079 JOS391990:JOS392079 JEW391990:JEW392079 IVA391990:IVA392079 ILE391990:ILE392079 IBI391990:IBI392079 HRM391990:HRM392079 HHQ391990:HHQ392079 GXU391990:GXU392079 GNY391990:GNY392079 GEC391990:GEC392079 FUG391990:FUG392079 FKK391990:FKK392079 FAO391990:FAO392079 EQS391990:EQS392079 EGW391990:EGW392079 DXA391990:DXA392079 DNE391990:DNE392079 DDI391990:DDI392079 CTM391990:CTM392079 CJQ391990:CJQ392079 BZU391990:BZU392079 BPY391990:BPY392079 BGC391990:BGC392079 AWG391990:AWG392079 AMK391990:AMK392079 ACO391990:ACO392079 SS391990:SS392079 IW391990:IW392079 A391996:A392085 WVI326454:WVI326543 WLM326454:WLM326543 WBQ326454:WBQ326543 VRU326454:VRU326543 VHY326454:VHY326543 UYC326454:UYC326543 UOG326454:UOG326543 UEK326454:UEK326543 TUO326454:TUO326543 TKS326454:TKS326543 TAW326454:TAW326543 SRA326454:SRA326543 SHE326454:SHE326543 RXI326454:RXI326543 RNM326454:RNM326543 RDQ326454:RDQ326543 QTU326454:QTU326543 QJY326454:QJY326543 QAC326454:QAC326543 PQG326454:PQG326543 PGK326454:PGK326543 OWO326454:OWO326543 OMS326454:OMS326543 OCW326454:OCW326543 NTA326454:NTA326543 NJE326454:NJE326543 MZI326454:MZI326543 MPM326454:MPM326543 MFQ326454:MFQ326543 LVU326454:LVU326543 LLY326454:LLY326543 LCC326454:LCC326543 KSG326454:KSG326543 KIK326454:KIK326543 JYO326454:JYO326543 JOS326454:JOS326543 JEW326454:JEW326543 IVA326454:IVA326543 ILE326454:ILE326543 IBI326454:IBI326543 HRM326454:HRM326543 HHQ326454:HHQ326543 GXU326454:GXU326543 GNY326454:GNY326543 GEC326454:GEC326543 FUG326454:FUG326543 FKK326454:FKK326543 FAO326454:FAO326543 EQS326454:EQS326543 EGW326454:EGW326543 DXA326454:DXA326543 DNE326454:DNE326543 DDI326454:DDI326543 CTM326454:CTM326543 CJQ326454:CJQ326543 BZU326454:BZU326543 BPY326454:BPY326543 BGC326454:BGC326543 AWG326454:AWG326543 AMK326454:AMK326543 ACO326454:ACO326543 SS326454:SS326543 IW326454:IW326543 A326460:A326549 WVI260918:WVI261007 WLM260918:WLM261007 WBQ260918:WBQ261007 VRU260918:VRU261007 VHY260918:VHY261007 UYC260918:UYC261007 UOG260918:UOG261007 UEK260918:UEK261007 TUO260918:TUO261007 TKS260918:TKS261007 TAW260918:TAW261007 SRA260918:SRA261007 SHE260918:SHE261007 RXI260918:RXI261007 RNM260918:RNM261007 RDQ260918:RDQ261007 QTU260918:QTU261007 QJY260918:QJY261007 QAC260918:QAC261007 PQG260918:PQG261007 PGK260918:PGK261007 OWO260918:OWO261007 OMS260918:OMS261007 OCW260918:OCW261007 NTA260918:NTA261007 NJE260918:NJE261007 MZI260918:MZI261007 MPM260918:MPM261007 MFQ260918:MFQ261007 LVU260918:LVU261007 LLY260918:LLY261007 LCC260918:LCC261007 KSG260918:KSG261007 KIK260918:KIK261007 JYO260918:JYO261007 JOS260918:JOS261007 JEW260918:JEW261007 IVA260918:IVA261007 ILE260918:ILE261007 IBI260918:IBI261007 HRM260918:HRM261007 HHQ260918:HHQ261007 GXU260918:GXU261007 GNY260918:GNY261007 GEC260918:GEC261007 FUG260918:FUG261007 FKK260918:FKK261007 FAO260918:FAO261007 EQS260918:EQS261007 EGW260918:EGW261007 DXA260918:DXA261007 DNE260918:DNE261007 DDI260918:DDI261007 CTM260918:CTM261007 CJQ260918:CJQ261007 BZU260918:BZU261007 BPY260918:BPY261007 BGC260918:BGC261007 AWG260918:AWG261007 AMK260918:AMK261007 ACO260918:ACO261007 SS260918:SS261007 IW260918:IW261007 A260924:A261013 WVI195382:WVI195471 WLM195382:WLM195471 WBQ195382:WBQ195471 VRU195382:VRU195471 VHY195382:VHY195471 UYC195382:UYC195471 UOG195382:UOG195471 UEK195382:UEK195471 TUO195382:TUO195471 TKS195382:TKS195471 TAW195382:TAW195471 SRA195382:SRA195471 SHE195382:SHE195471 RXI195382:RXI195471 RNM195382:RNM195471 RDQ195382:RDQ195471 QTU195382:QTU195471 QJY195382:QJY195471 QAC195382:QAC195471 PQG195382:PQG195471 PGK195382:PGK195471 OWO195382:OWO195471 OMS195382:OMS195471 OCW195382:OCW195471 NTA195382:NTA195471 NJE195382:NJE195471 MZI195382:MZI195471 MPM195382:MPM195471 MFQ195382:MFQ195471 LVU195382:LVU195471 LLY195382:LLY195471 LCC195382:LCC195471 KSG195382:KSG195471 KIK195382:KIK195471 JYO195382:JYO195471 JOS195382:JOS195471 JEW195382:JEW195471 IVA195382:IVA195471 ILE195382:ILE195471 IBI195382:IBI195471 HRM195382:HRM195471 HHQ195382:HHQ195471 GXU195382:GXU195471 GNY195382:GNY195471 GEC195382:GEC195471 FUG195382:FUG195471 FKK195382:FKK195471 FAO195382:FAO195471 EQS195382:EQS195471 EGW195382:EGW195471 DXA195382:DXA195471 DNE195382:DNE195471 DDI195382:DDI195471 CTM195382:CTM195471 CJQ195382:CJQ195471 BZU195382:BZU195471 BPY195382:BPY195471 BGC195382:BGC195471 AWG195382:AWG195471 AMK195382:AMK195471 ACO195382:ACO195471 SS195382:SS195471 IW195382:IW195471 A195388:A195477 WVI129846:WVI129935 WLM129846:WLM129935 WBQ129846:WBQ129935 VRU129846:VRU129935 VHY129846:VHY129935 UYC129846:UYC129935 UOG129846:UOG129935 UEK129846:UEK129935 TUO129846:TUO129935 TKS129846:TKS129935 TAW129846:TAW129935 SRA129846:SRA129935 SHE129846:SHE129935 RXI129846:RXI129935 RNM129846:RNM129935 RDQ129846:RDQ129935 QTU129846:QTU129935 QJY129846:QJY129935 QAC129846:QAC129935 PQG129846:PQG129935 PGK129846:PGK129935 OWO129846:OWO129935 OMS129846:OMS129935 OCW129846:OCW129935 NTA129846:NTA129935 NJE129846:NJE129935 MZI129846:MZI129935 MPM129846:MPM129935 MFQ129846:MFQ129935 LVU129846:LVU129935 LLY129846:LLY129935 LCC129846:LCC129935 KSG129846:KSG129935 KIK129846:KIK129935 JYO129846:JYO129935 JOS129846:JOS129935 JEW129846:JEW129935 IVA129846:IVA129935 ILE129846:ILE129935 IBI129846:IBI129935 HRM129846:HRM129935 HHQ129846:HHQ129935 GXU129846:GXU129935 GNY129846:GNY129935 GEC129846:GEC129935 FUG129846:FUG129935 FKK129846:FKK129935 FAO129846:FAO129935 EQS129846:EQS129935 EGW129846:EGW129935 DXA129846:DXA129935 DNE129846:DNE129935 DDI129846:DDI129935 CTM129846:CTM129935 CJQ129846:CJQ129935 BZU129846:BZU129935 BPY129846:BPY129935 BGC129846:BGC129935 AWG129846:AWG129935 AMK129846:AMK129935 ACO129846:ACO129935 SS129846:SS129935 IW129846:IW129935 A129852:A129941 WVI64310:WVI64399 WLM64310:WLM64399 WBQ64310:WBQ64399 VRU64310:VRU64399 VHY64310:VHY64399 UYC64310:UYC64399 UOG64310:UOG64399 UEK64310:UEK64399 TUO64310:TUO64399 TKS64310:TKS64399 TAW64310:TAW64399 SRA64310:SRA64399 SHE64310:SHE64399 RXI64310:RXI64399 RNM64310:RNM64399 RDQ64310:RDQ64399 QTU64310:QTU64399 QJY64310:QJY64399 QAC64310:QAC64399 PQG64310:PQG64399 PGK64310:PGK64399 OWO64310:OWO64399 OMS64310:OMS64399 OCW64310:OCW64399 NTA64310:NTA64399 NJE64310:NJE64399 MZI64310:MZI64399 MPM64310:MPM64399 MFQ64310:MFQ64399 LVU64310:LVU64399 LLY64310:LLY64399 LCC64310:LCC64399 KSG64310:KSG64399 KIK64310:KIK64399 JYO64310:JYO64399 JOS64310:JOS64399 JEW64310:JEW64399 IVA64310:IVA64399 ILE64310:ILE64399 IBI64310:IBI64399 HRM64310:HRM64399 HHQ64310:HHQ64399 GXU64310:GXU64399 GNY64310:GNY64399 GEC64310:GEC64399 FUG64310:FUG64399 FKK64310:FKK64399 FAO64310:FAO64399 EQS64310:EQS64399 EGW64310:EGW64399 DXA64310:DXA64399 DNE64310:DNE64399 DDI64310:DDI64399 CTM64310:CTM64399 CJQ64310:CJQ64399 BZU64310:BZU64399 BPY64310:BPY64399 BGC64310:BGC64399 AWG64310:AWG64399 AMK64310:AMK64399 ACO64310:ACO64399 SS64310:SS64399 IW64310:IW64399 A64316:A64405 IW2:IW82 SS2:SS82 ACO2:ACO82 AMK2:AMK82 AWG2:AWG82 BGC2:BGC82 BPY2:BPY82 BZU2:BZU82 CJQ2:CJQ82 CTM2:CTM82 DDI2:DDI82 DNE2:DNE82 DXA2:DXA82 EGW2:EGW82 EQS2:EQS82 FAO2:FAO82 FKK2:FKK82 FUG2:FUG82 GEC2:GEC82 GNY2:GNY82 GXU2:GXU82 HHQ2:HHQ82 HRM2:HRM82 IBI2:IBI82 ILE2:ILE82 IVA2:IVA82 JEW2:JEW82 JOS2:JOS82 JYO2:JYO82 KIK2:KIK82 KSG2:KSG82 LCC2:LCC82 LLY2:LLY82 LVU2:LVU82 MFQ2:MFQ82 MPM2:MPM82 MZI2:MZI82 NJE2:NJE82 NTA2:NTA82 OCW2:OCW82 OMS2:OMS82 OWO2:OWO82 PGK2:PGK82 PQG2:PQG82 QAC2:QAC82 QJY2:QJY82 QTU2:QTU82 RDQ2:RDQ82 RNM2:RNM82 RXI2:RXI82 SHE2:SHE82 SRA2:SRA82 TAW2:TAW82 TKS2:TKS82 TUO2:TUO82 UEK2:UEK82 UOG2:UOG82 UYC2:UYC82 VHY2:VHY82 VRU2:VRU82 WBQ2:WBQ82 WLM2:WLM82 WVI2:WVI82" xr:uid="{BC6A4F7B-8223-48FD-B155-2C04D4CEE7C7}">
      <formula1>$AE$2:$AE$22</formula1>
    </dataValidation>
    <dataValidation type="list" allowBlank="1" showInputMessage="1" showErrorMessage="1" sqref="WVO981814:WVO981903 WLS981814:WLS981903 WBW981814:WBW981903 VSA981814:VSA981903 VIE981814:VIE981903 UYI981814:UYI981903 UOM981814:UOM981903 UEQ981814:UEQ981903 TUU981814:TUU981903 TKY981814:TKY981903 TBC981814:TBC981903 SRG981814:SRG981903 SHK981814:SHK981903 RXO981814:RXO981903 RNS981814:RNS981903 RDW981814:RDW981903 QUA981814:QUA981903 QKE981814:QKE981903 QAI981814:QAI981903 PQM981814:PQM981903 PGQ981814:PGQ981903 OWU981814:OWU981903 OMY981814:OMY981903 ODC981814:ODC981903 NTG981814:NTG981903 NJK981814:NJK981903 MZO981814:MZO981903 MPS981814:MPS981903 MFW981814:MFW981903 LWA981814:LWA981903 LME981814:LME981903 LCI981814:LCI981903 KSM981814:KSM981903 KIQ981814:KIQ981903 JYU981814:JYU981903 JOY981814:JOY981903 JFC981814:JFC981903 IVG981814:IVG981903 ILK981814:ILK981903 IBO981814:IBO981903 HRS981814:HRS981903 HHW981814:HHW981903 GYA981814:GYA981903 GOE981814:GOE981903 GEI981814:GEI981903 FUM981814:FUM981903 FKQ981814:FKQ981903 FAU981814:FAU981903 EQY981814:EQY981903 EHC981814:EHC981903 DXG981814:DXG981903 DNK981814:DNK981903 DDO981814:DDO981903 CTS981814:CTS981903 CJW981814:CJW981903 CAA981814:CAA981903 BQE981814:BQE981903 BGI981814:BGI981903 AWM981814:AWM981903 AMQ981814:AMQ981903 ACU981814:ACU981903 SY981814:SY981903 JC981814:JC981903 G981823:G981912 WVO916278:WVO916367 WLS916278:WLS916367 WBW916278:WBW916367 VSA916278:VSA916367 VIE916278:VIE916367 UYI916278:UYI916367 UOM916278:UOM916367 UEQ916278:UEQ916367 TUU916278:TUU916367 TKY916278:TKY916367 TBC916278:TBC916367 SRG916278:SRG916367 SHK916278:SHK916367 RXO916278:RXO916367 RNS916278:RNS916367 RDW916278:RDW916367 QUA916278:QUA916367 QKE916278:QKE916367 QAI916278:QAI916367 PQM916278:PQM916367 PGQ916278:PGQ916367 OWU916278:OWU916367 OMY916278:OMY916367 ODC916278:ODC916367 NTG916278:NTG916367 NJK916278:NJK916367 MZO916278:MZO916367 MPS916278:MPS916367 MFW916278:MFW916367 LWA916278:LWA916367 LME916278:LME916367 LCI916278:LCI916367 KSM916278:KSM916367 KIQ916278:KIQ916367 JYU916278:JYU916367 JOY916278:JOY916367 JFC916278:JFC916367 IVG916278:IVG916367 ILK916278:ILK916367 IBO916278:IBO916367 HRS916278:HRS916367 HHW916278:HHW916367 GYA916278:GYA916367 GOE916278:GOE916367 GEI916278:GEI916367 FUM916278:FUM916367 FKQ916278:FKQ916367 FAU916278:FAU916367 EQY916278:EQY916367 EHC916278:EHC916367 DXG916278:DXG916367 DNK916278:DNK916367 DDO916278:DDO916367 CTS916278:CTS916367 CJW916278:CJW916367 CAA916278:CAA916367 BQE916278:BQE916367 BGI916278:BGI916367 AWM916278:AWM916367 AMQ916278:AMQ916367 ACU916278:ACU916367 SY916278:SY916367 JC916278:JC916367 G916287:G916376 WVO850742:WVO850831 WLS850742:WLS850831 WBW850742:WBW850831 VSA850742:VSA850831 VIE850742:VIE850831 UYI850742:UYI850831 UOM850742:UOM850831 UEQ850742:UEQ850831 TUU850742:TUU850831 TKY850742:TKY850831 TBC850742:TBC850831 SRG850742:SRG850831 SHK850742:SHK850831 RXO850742:RXO850831 RNS850742:RNS850831 RDW850742:RDW850831 QUA850742:QUA850831 QKE850742:QKE850831 QAI850742:QAI850831 PQM850742:PQM850831 PGQ850742:PGQ850831 OWU850742:OWU850831 OMY850742:OMY850831 ODC850742:ODC850831 NTG850742:NTG850831 NJK850742:NJK850831 MZO850742:MZO850831 MPS850742:MPS850831 MFW850742:MFW850831 LWA850742:LWA850831 LME850742:LME850831 LCI850742:LCI850831 KSM850742:KSM850831 KIQ850742:KIQ850831 JYU850742:JYU850831 JOY850742:JOY850831 JFC850742:JFC850831 IVG850742:IVG850831 ILK850742:ILK850831 IBO850742:IBO850831 HRS850742:HRS850831 HHW850742:HHW850831 GYA850742:GYA850831 GOE850742:GOE850831 GEI850742:GEI850831 FUM850742:FUM850831 FKQ850742:FKQ850831 FAU850742:FAU850831 EQY850742:EQY850831 EHC850742:EHC850831 DXG850742:DXG850831 DNK850742:DNK850831 DDO850742:DDO850831 CTS850742:CTS850831 CJW850742:CJW850831 CAA850742:CAA850831 BQE850742:BQE850831 BGI850742:BGI850831 AWM850742:AWM850831 AMQ850742:AMQ850831 ACU850742:ACU850831 SY850742:SY850831 JC850742:JC850831 G850751:G850840 WVO785206:WVO785295 WLS785206:WLS785295 WBW785206:WBW785295 VSA785206:VSA785295 VIE785206:VIE785295 UYI785206:UYI785295 UOM785206:UOM785295 UEQ785206:UEQ785295 TUU785206:TUU785295 TKY785206:TKY785295 TBC785206:TBC785295 SRG785206:SRG785295 SHK785206:SHK785295 RXO785206:RXO785295 RNS785206:RNS785295 RDW785206:RDW785295 QUA785206:QUA785295 QKE785206:QKE785295 QAI785206:QAI785295 PQM785206:PQM785295 PGQ785206:PGQ785295 OWU785206:OWU785295 OMY785206:OMY785295 ODC785206:ODC785295 NTG785206:NTG785295 NJK785206:NJK785295 MZO785206:MZO785295 MPS785206:MPS785295 MFW785206:MFW785295 LWA785206:LWA785295 LME785206:LME785295 LCI785206:LCI785295 KSM785206:KSM785295 KIQ785206:KIQ785295 JYU785206:JYU785295 JOY785206:JOY785295 JFC785206:JFC785295 IVG785206:IVG785295 ILK785206:ILK785295 IBO785206:IBO785295 HRS785206:HRS785295 HHW785206:HHW785295 GYA785206:GYA785295 GOE785206:GOE785295 GEI785206:GEI785295 FUM785206:FUM785295 FKQ785206:FKQ785295 FAU785206:FAU785295 EQY785206:EQY785295 EHC785206:EHC785295 DXG785206:DXG785295 DNK785206:DNK785295 DDO785206:DDO785295 CTS785206:CTS785295 CJW785206:CJW785295 CAA785206:CAA785295 BQE785206:BQE785295 BGI785206:BGI785295 AWM785206:AWM785295 AMQ785206:AMQ785295 ACU785206:ACU785295 SY785206:SY785295 JC785206:JC785295 G785215:G785304 WVO719670:WVO719759 WLS719670:WLS719759 WBW719670:WBW719759 VSA719670:VSA719759 VIE719670:VIE719759 UYI719670:UYI719759 UOM719670:UOM719759 UEQ719670:UEQ719759 TUU719670:TUU719759 TKY719670:TKY719759 TBC719670:TBC719759 SRG719670:SRG719759 SHK719670:SHK719759 RXO719670:RXO719759 RNS719670:RNS719759 RDW719670:RDW719759 QUA719670:QUA719759 QKE719670:QKE719759 QAI719670:QAI719759 PQM719670:PQM719759 PGQ719670:PGQ719759 OWU719670:OWU719759 OMY719670:OMY719759 ODC719670:ODC719759 NTG719670:NTG719759 NJK719670:NJK719759 MZO719670:MZO719759 MPS719670:MPS719759 MFW719670:MFW719759 LWA719670:LWA719759 LME719670:LME719759 LCI719670:LCI719759 KSM719670:KSM719759 KIQ719670:KIQ719759 JYU719670:JYU719759 JOY719670:JOY719759 JFC719670:JFC719759 IVG719670:IVG719759 ILK719670:ILK719759 IBO719670:IBO719759 HRS719670:HRS719759 HHW719670:HHW719759 GYA719670:GYA719759 GOE719670:GOE719759 GEI719670:GEI719759 FUM719670:FUM719759 FKQ719670:FKQ719759 FAU719670:FAU719759 EQY719670:EQY719759 EHC719670:EHC719759 DXG719670:DXG719759 DNK719670:DNK719759 DDO719670:DDO719759 CTS719670:CTS719759 CJW719670:CJW719759 CAA719670:CAA719759 BQE719670:BQE719759 BGI719670:BGI719759 AWM719670:AWM719759 AMQ719670:AMQ719759 ACU719670:ACU719759 SY719670:SY719759 JC719670:JC719759 G719679:G719768 WVO654134:WVO654223 WLS654134:WLS654223 WBW654134:WBW654223 VSA654134:VSA654223 VIE654134:VIE654223 UYI654134:UYI654223 UOM654134:UOM654223 UEQ654134:UEQ654223 TUU654134:TUU654223 TKY654134:TKY654223 TBC654134:TBC654223 SRG654134:SRG654223 SHK654134:SHK654223 RXO654134:RXO654223 RNS654134:RNS654223 RDW654134:RDW654223 QUA654134:QUA654223 QKE654134:QKE654223 QAI654134:QAI654223 PQM654134:PQM654223 PGQ654134:PGQ654223 OWU654134:OWU654223 OMY654134:OMY654223 ODC654134:ODC654223 NTG654134:NTG654223 NJK654134:NJK654223 MZO654134:MZO654223 MPS654134:MPS654223 MFW654134:MFW654223 LWA654134:LWA654223 LME654134:LME654223 LCI654134:LCI654223 KSM654134:KSM654223 KIQ654134:KIQ654223 JYU654134:JYU654223 JOY654134:JOY654223 JFC654134:JFC654223 IVG654134:IVG654223 ILK654134:ILK654223 IBO654134:IBO654223 HRS654134:HRS654223 HHW654134:HHW654223 GYA654134:GYA654223 GOE654134:GOE654223 GEI654134:GEI654223 FUM654134:FUM654223 FKQ654134:FKQ654223 FAU654134:FAU654223 EQY654134:EQY654223 EHC654134:EHC654223 DXG654134:DXG654223 DNK654134:DNK654223 DDO654134:DDO654223 CTS654134:CTS654223 CJW654134:CJW654223 CAA654134:CAA654223 BQE654134:BQE654223 BGI654134:BGI654223 AWM654134:AWM654223 AMQ654134:AMQ654223 ACU654134:ACU654223 SY654134:SY654223 JC654134:JC654223 G654143:G654232 WVO588598:WVO588687 WLS588598:WLS588687 WBW588598:WBW588687 VSA588598:VSA588687 VIE588598:VIE588687 UYI588598:UYI588687 UOM588598:UOM588687 UEQ588598:UEQ588687 TUU588598:TUU588687 TKY588598:TKY588687 TBC588598:TBC588687 SRG588598:SRG588687 SHK588598:SHK588687 RXO588598:RXO588687 RNS588598:RNS588687 RDW588598:RDW588687 QUA588598:QUA588687 QKE588598:QKE588687 QAI588598:QAI588687 PQM588598:PQM588687 PGQ588598:PGQ588687 OWU588598:OWU588687 OMY588598:OMY588687 ODC588598:ODC588687 NTG588598:NTG588687 NJK588598:NJK588687 MZO588598:MZO588687 MPS588598:MPS588687 MFW588598:MFW588687 LWA588598:LWA588687 LME588598:LME588687 LCI588598:LCI588687 KSM588598:KSM588687 KIQ588598:KIQ588687 JYU588598:JYU588687 JOY588598:JOY588687 JFC588598:JFC588687 IVG588598:IVG588687 ILK588598:ILK588687 IBO588598:IBO588687 HRS588598:HRS588687 HHW588598:HHW588687 GYA588598:GYA588687 GOE588598:GOE588687 GEI588598:GEI588687 FUM588598:FUM588687 FKQ588598:FKQ588687 FAU588598:FAU588687 EQY588598:EQY588687 EHC588598:EHC588687 DXG588598:DXG588687 DNK588598:DNK588687 DDO588598:DDO588687 CTS588598:CTS588687 CJW588598:CJW588687 CAA588598:CAA588687 BQE588598:BQE588687 BGI588598:BGI588687 AWM588598:AWM588687 AMQ588598:AMQ588687 ACU588598:ACU588687 SY588598:SY588687 JC588598:JC588687 G588607:G588696 WVO523062:WVO523151 WLS523062:WLS523151 WBW523062:WBW523151 VSA523062:VSA523151 VIE523062:VIE523151 UYI523062:UYI523151 UOM523062:UOM523151 UEQ523062:UEQ523151 TUU523062:TUU523151 TKY523062:TKY523151 TBC523062:TBC523151 SRG523062:SRG523151 SHK523062:SHK523151 RXO523062:RXO523151 RNS523062:RNS523151 RDW523062:RDW523151 QUA523062:QUA523151 QKE523062:QKE523151 QAI523062:QAI523151 PQM523062:PQM523151 PGQ523062:PGQ523151 OWU523062:OWU523151 OMY523062:OMY523151 ODC523062:ODC523151 NTG523062:NTG523151 NJK523062:NJK523151 MZO523062:MZO523151 MPS523062:MPS523151 MFW523062:MFW523151 LWA523062:LWA523151 LME523062:LME523151 LCI523062:LCI523151 KSM523062:KSM523151 KIQ523062:KIQ523151 JYU523062:JYU523151 JOY523062:JOY523151 JFC523062:JFC523151 IVG523062:IVG523151 ILK523062:ILK523151 IBO523062:IBO523151 HRS523062:HRS523151 HHW523062:HHW523151 GYA523062:GYA523151 GOE523062:GOE523151 GEI523062:GEI523151 FUM523062:FUM523151 FKQ523062:FKQ523151 FAU523062:FAU523151 EQY523062:EQY523151 EHC523062:EHC523151 DXG523062:DXG523151 DNK523062:DNK523151 DDO523062:DDO523151 CTS523062:CTS523151 CJW523062:CJW523151 CAA523062:CAA523151 BQE523062:BQE523151 BGI523062:BGI523151 AWM523062:AWM523151 AMQ523062:AMQ523151 ACU523062:ACU523151 SY523062:SY523151 JC523062:JC523151 G523071:G523160 WVO457526:WVO457615 WLS457526:WLS457615 WBW457526:WBW457615 VSA457526:VSA457615 VIE457526:VIE457615 UYI457526:UYI457615 UOM457526:UOM457615 UEQ457526:UEQ457615 TUU457526:TUU457615 TKY457526:TKY457615 TBC457526:TBC457615 SRG457526:SRG457615 SHK457526:SHK457615 RXO457526:RXO457615 RNS457526:RNS457615 RDW457526:RDW457615 QUA457526:QUA457615 QKE457526:QKE457615 QAI457526:QAI457615 PQM457526:PQM457615 PGQ457526:PGQ457615 OWU457526:OWU457615 OMY457526:OMY457615 ODC457526:ODC457615 NTG457526:NTG457615 NJK457526:NJK457615 MZO457526:MZO457615 MPS457526:MPS457615 MFW457526:MFW457615 LWA457526:LWA457615 LME457526:LME457615 LCI457526:LCI457615 KSM457526:KSM457615 KIQ457526:KIQ457615 JYU457526:JYU457615 JOY457526:JOY457615 JFC457526:JFC457615 IVG457526:IVG457615 ILK457526:ILK457615 IBO457526:IBO457615 HRS457526:HRS457615 HHW457526:HHW457615 GYA457526:GYA457615 GOE457526:GOE457615 GEI457526:GEI457615 FUM457526:FUM457615 FKQ457526:FKQ457615 FAU457526:FAU457615 EQY457526:EQY457615 EHC457526:EHC457615 DXG457526:DXG457615 DNK457526:DNK457615 DDO457526:DDO457615 CTS457526:CTS457615 CJW457526:CJW457615 CAA457526:CAA457615 BQE457526:BQE457615 BGI457526:BGI457615 AWM457526:AWM457615 AMQ457526:AMQ457615 ACU457526:ACU457615 SY457526:SY457615 JC457526:JC457615 G457535:G457624 WVO391990:WVO392079 WLS391990:WLS392079 WBW391990:WBW392079 VSA391990:VSA392079 VIE391990:VIE392079 UYI391990:UYI392079 UOM391990:UOM392079 UEQ391990:UEQ392079 TUU391990:TUU392079 TKY391990:TKY392079 TBC391990:TBC392079 SRG391990:SRG392079 SHK391990:SHK392079 RXO391990:RXO392079 RNS391990:RNS392079 RDW391990:RDW392079 QUA391990:QUA392079 QKE391990:QKE392079 QAI391990:QAI392079 PQM391990:PQM392079 PGQ391990:PGQ392079 OWU391990:OWU392079 OMY391990:OMY392079 ODC391990:ODC392079 NTG391990:NTG392079 NJK391990:NJK392079 MZO391990:MZO392079 MPS391990:MPS392079 MFW391990:MFW392079 LWA391990:LWA392079 LME391990:LME392079 LCI391990:LCI392079 KSM391990:KSM392079 KIQ391990:KIQ392079 JYU391990:JYU392079 JOY391990:JOY392079 JFC391990:JFC392079 IVG391990:IVG392079 ILK391990:ILK392079 IBO391990:IBO392079 HRS391990:HRS392079 HHW391990:HHW392079 GYA391990:GYA392079 GOE391990:GOE392079 GEI391990:GEI392079 FUM391990:FUM392079 FKQ391990:FKQ392079 FAU391990:FAU392079 EQY391990:EQY392079 EHC391990:EHC392079 DXG391990:DXG392079 DNK391990:DNK392079 DDO391990:DDO392079 CTS391990:CTS392079 CJW391990:CJW392079 CAA391990:CAA392079 BQE391990:BQE392079 BGI391990:BGI392079 AWM391990:AWM392079 AMQ391990:AMQ392079 ACU391990:ACU392079 SY391990:SY392079 JC391990:JC392079 G391999:G392088 WVO326454:WVO326543 WLS326454:WLS326543 WBW326454:WBW326543 VSA326454:VSA326543 VIE326454:VIE326543 UYI326454:UYI326543 UOM326454:UOM326543 UEQ326454:UEQ326543 TUU326454:TUU326543 TKY326454:TKY326543 TBC326454:TBC326543 SRG326454:SRG326543 SHK326454:SHK326543 RXO326454:RXO326543 RNS326454:RNS326543 RDW326454:RDW326543 QUA326454:QUA326543 QKE326454:QKE326543 QAI326454:QAI326543 PQM326454:PQM326543 PGQ326454:PGQ326543 OWU326454:OWU326543 OMY326454:OMY326543 ODC326454:ODC326543 NTG326454:NTG326543 NJK326454:NJK326543 MZO326454:MZO326543 MPS326454:MPS326543 MFW326454:MFW326543 LWA326454:LWA326543 LME326454:LME326543 LCI326454:LCI326543 KSM326454:KSM326543 KIQ326454:KIQ326543 JYU326454:JYU326543 JOY326454:JOY326543 JFC326454:JFC326543 IVG326454:IVG326543 ILK326454:ILK326543 IBO326454:IBO326543 HRS326454:HRS326543 HHW326454:HHW326543 GYA326454:GYA326543 GOE326454:GOE326543 GEI326454:GEI326543 FUM326454:FUM326543 FKQ326454:FKQ326543 FAU326454:FAU326543 EQY326454:EQY326543 EHC326454:EHC326543 DXG326454:DXG326543 DNK326454:DNK326543 DDO326454:DDO326543 CTS326454:CTS326543 CJW326454:CJW326543 CAA326454:CAA326543 BQE326454:BQE326543 BGI326454:BGI326543 AWM326454:AWM326543 AMQ326454:AMQ326543 ACU326454:ACU326543 SY326454:SY326543 JC326454:JC326543 G326463:G326552 WVO260918:WVO261007 WLS260918:WLS261007 WBW260918:WBW261007 VSA260918:VSA261007 VIE260918:VIE261007 UYI260918:UYI261007 UOM260918:UOM261007 UEQ260918:UEQ261007 TUU260918:TUU261007 TKY260918:TKY261007 TBC260918:TBC261007 SRG260918:SRG261007 SHK260918:SHK261007 RXO260918:RXO261007 RNS260918:RNS261007 RDW260918:RDW261007 QUA260918:QUA261007 QKE260918:QKE261007 QAI260918:QAI261007 PQM260918:PQM261007 PGQ260918:PGQ261007 OWU260918:OWU261007 OMY260918:OMY261007 ODC260918:ODC261007 NTG260918:NTG261007 NJK260918:NJK261007 MZO260918:MZO261007 MPS260918:MPS261007 MFW260918:MFW261007 LWA260918:LWA261007 LME260918:LME261007 LCI260918:LCI261007 KSM260918:KSM261007 KIQ260918:KIQ261007 JYU260918:JYU261007 JOY260918:JOY261007 JFC260918:JFC261007 IVG260918:IVG261007 ILK260918:ILK261007 IBO260918:IBO261007 HRS260918:HRS261007 HHW260918:HHW261007 GYA260918:GYA261007 GOE260918:GOE261007 GEI260918:GEI261007 FUM260918:FUM261007 FKQ260918:FKQ261007 FAU260918:FAU261007 EQY260918:EQY261007 EHC260918:EHC261007 DXG260918:DXG261007 DNK260918:DNK261007 DDO260918:DDO261007 CTS260918:CTS261007 CJW260918:CJW261007 CAA260918:CAA261007 BQE260918:BQE261007 BGI260918:BGI261007 AWM260918:AWM261007 AMQ260918:AMQ261007 ACU260918:ACU261007 SY260918:SY261007 JC260918:JC261007 G260927:G261016 WVO195382:WVO195471 WLS195382:WLS195471 WBW195382:WBW195471 VSA195382:VSA195471 VIE195382:VIE195471 UYI195382:UYI195471 UOM195382:UOM195471 UEQ195382:UEQ195471 TUU195382:TUU195471 TKY195382:TKY195471 TBC195382:TBC195471 SRG195382:SRG195471 SHK195382:SHK195471 RXO195382:RXO195471 RNS195382:RNS195471 RDW195382:RDW195471 QUA195382:QUA195471 QKE195382:QKE195471 QAI195382:QAI195471 PQM195382:PQM195471 PGQ195382:PGQ195471 OWU195382:OWU195471 OMY195382:OMY195471 ODC195382:ODC195471 NTG195382:NTG195471 NJK195382:NJK195471 MZO195382:MZO195471 MPS195382:MPS195471 MFW195382:MFW195471 LWA195382:LWA195471 LME195382:LME195471 LCI195382:LCI195471 KSM195382:KSM195471 KIQ195382:KIQ195471 JYU195382:JYU195471 JOY195382:JOY195471 JFC195382:JFC195471 IVG195382:IVG195471 ILK195382:ILK195471 IBO195382:IBO195471 HRS195382:HRS195471 HHW195382:HHW195471 GYA195382:GYA195471 GOE195382:GOE195471 GEI195382:GEI195471 FUM195382:FUM195471 FKQ195382:FKQ195471 FAU195382:FAU195471 EQY195382:EQY195471 EHC195382:EHC195471 DXG195382:DXG195471 DNK195382:DNK195471 DDO195382:DDO195471 CTS195382:CTS195471 CJW195382:CJW195471 CAA195382:CAA195471 BQE195382:BQE195471 BGI195382:BGI195471 AWM195382:AWM195471 AMQ195382:AMQ195471 ACU195382:ACU195471 SY195382:SY195471 JC195382:JC195471 G195391:G195480 WVO129846:WVO129935 WLS129846:WLS129935 WBW129846:WBW129935 VSA129846:VSA129935 VIE129846:VIE129935 UYI129846:UYI129935 UOM129846:UOM129935 UEQ129846:UEQ129935 TUU129846:TUU129935 TKY129846:TKY129935 TBC129846:TBC129935 SRG129846:SRG129935 SHK129846:SHK129935 RXO129846:RXO129935 RNS129846:RNS129935 RDW129846:RDW129935 QUA129846:QUA129935 QKE129846:QKE129935 QAI129846:QAI129935 PQM129846:PQM129935 PGQ129846:PGQ129935 OWU129846:OWU129935 OMY129846:OMY129935 ODC129846:ODC129935 NTG129846:NTG129935 NJK129846:NJK129935 MZO129846:MZO129935 MPS129846:MPS129935 MFW129846:MFW129935 LWA129846:LWA129935 LME129846:LME129935 LCI129846:LCI129935 KSM129846:KSM129935 KIQ129846:KIQ129935 JYU129846:JYU129935 JOY129846:JOY129935 JFC129846:JFC129935 IVG129846:IVG129935 ILK129846:ILK129935 IBO129846:IBO129935 HRS129846:HRS129935 HHW129846:HHW129935 GYA129846:GYA129935 GOE129846:GOE129935 GEI129846:GEI129935 FUM129846:FUM129935 FKQ129846:FKQ129935 FAU129846:FAU129935 EQY129846:EQY129935 EHC129846:EHC129935 DXG129846:DXG129935 DNK129846:DNK129935 DDO129846:DDO129935 CTS129846:CTS129935 CJW129846:CJW129935 CAA129846:CAA129935 BQE129846:BQE129935 BGI129846:BGI129935 AWM129846:AWM129935 AMQ129846:AMQ129935 ACU129846:ACU129935 SY129846:SY129935 JC129846:JC129935 G129855:G129944 WVO64310:WVO64399 WLS64310:WLS64399 WBW64310:WBW64399 VSA64310:VSA64399 VIE64310:VIE64399 UYI64310:UYI64399 UOM64310:UOM64399 UEQ64310:UEQ64399 TUU64310:TUU64399 TKY64310:TKY64399 TBC64310:TBC64399 SRG64310:SRG64399 SHK64310:SHK64399 RXO64310:RXO64399 RNS64310:RNS64399 RDW64310:RDW64399 QUA64310:QUA64399 QKE64310:QKE64399 QAI64310:QAI64399 PQM64310:PQM64399 PGQ64310:PGQ64399 OWU64310:OWU64399 OMY64310:OMY64399 ODC64310:ODC64399 NTG64310:NTG64399 NJK64310:NJK64399 MZO64310:MZO64399 MPS64310:MPS64399 MFW64310:MFW64399 LWA64310:LWA64399 LME64310:LME64399 LCI64310:LCI64399 KSM64310:KSM64399 KIQ64310:KIQ64399 JYU64310:JYU64399 JOY64310:JOY64399 JFC64310:JFC64399 IVG64310:IVG64399 ILK64310:ILK64399 IBO64310:IBO64399 HRS64310:HRS64399 HHW64310:HHW64399 GYA64310:GYA64399 GOE64310:GOE64399 GEI64310:GEI64399 FUM64310:FUM64399 FKQ64310:FKQ64399 FAU64310:FAU64399 EQY64310:EQY64399 EHC64310:EHC64399 DXG64310:DXG64399 DNK64310:DNK64399 DDO64310:DDO64399 CTS64310:CTS64399 CJW64310:CJW64399 CAA64310:CAA64399 BQE64310:BQE64399 BGI64310:BGI64399 AWM64310:AWM64399 AMQ64310:AMQ64399 ACU64310:ACU64399 SY64310:SY64399 JC64310:JC64399 G64319:G64408 G105:G509 JC2:JC82 WVO2:WVO82 WLS2:WLS82 WBW2:WBW82 VSA2:VSA82 VIE2:VIE82 UYI2:UYI82 UOM2:UOM82 UEQ2:UEQ82 TUU2:TUU82 TKY2:TKY82 TBC2:TBC82 SRG2:SRG82 SHK2:SHK82 RXO2:RXO82 RNS2:RNS82 RDW2:RDW82 QUA2:QUA82 QKE2:QKE82 QAI2:QAI82 PQM2:PQM82 PGQ2:PGQ82 OWU2:OWU82 OMY2:OMY82 ODC2:ODC82 NTG2:NTG82 NJK2:NJK82 MZO2:MZO82 MPS2:MPS82 MFW2:MFW82 LWA2:LWA82 LME2:LME82 LCI2:LCI82 KSM2:KSM82 KIQ2:KIQ82 JYU2:JYU82 JOY2:JOY82 JFC2:JFC82 IVG2:IVG82 ILK2:ILK82 IBO2:IBO82 HRS2:HRS82 HHW2:HHW82 GYA2:GYA82 GOE2:GOE82 GEI2:GEI82 FUM2:FUM82 FKQ2:FKQ82 FAU2:FAU82 EQY2:EQY82 EHC2:EHC82 DXG2:DXG82 DNK2:DNK82 DDO2:DDO82 CTS2:CTS82 CJW2:CJW82 CAA2:CAA82 BQE2:BQE82 BGI2:BGI82 AWM2:AWM82 AMQ2:AMQ82 ACU2:ACU82 SY2:SY82 G2:G103" xr:uid="{898325E1-99C0-413D-AA00-20E43A97056F}">
      <formula1>$AJ$2:$AJ$4</formula1>
    </dataValidation>
    <dataValidation type="list" allowBlank="1" showInputMessage="1" showErrorMessage="1" sqref="WVP981814:WVP981903 WLT981814:WLT981903 WBX981814:WBX981903 VSB981814:VSB981903 VIF981814:VIF981903 UYJ981814:UYJ981903 UON981814:UON981903 UER981814:UER981903 TUV981814:TUV981903 TKZ981814:TKZ981903 TBD981814:TBD981903 SRH981814:SRH981903 SHL981814:SHL981903 RXP981814:RXP981903 RNT981814:RNT981903 RDX981814:RDX981903 QUB981814:QUB981903 QKF981814:QKF981903 QAJ981814:QAJ981903 PQN981814:PQN981903 PGR981814:PGR981903 OWV981814:OWV981903 OMZ981814:OMZ981903 ODD981814:ODD981903 NTH981814:NTH981903 NJL981814:NJL981903 MZP981814:MZP981903 MPT981814:MPT981903 MFX981814:MFX981903 LWB981814:LWB981903 LMF981814:LMF981903 LCJ981814:LCJ981903 KSN981814:KSN981903 KIR981814:KIR981903 JYV981814:JYV981903 JOZ981814:JOZ981903 JFD981814:JFD981903 IVH981814:IVH981903 ILL981814:ILL981903 IBP981814:IBP981903 HRT981814:HRT981903 HHX981814:HHX981903 GYB981814:GYB981903 GOF981814:GOF981903 GEJ981814:GEJ981903 FUN981814:FUN981903 FKR981814:FKR981903 FAV981814:FAV981903 EQZ981814:EQZ981903 EHD981814:EHD981903 DXH981814:DXH981903 DNL981814:DNL981903 DDP981814:DDP981903 CTT981814:CTT981903 CJX981814:CJX981903 CAB981814:CAB981903 BQF981814:BQF981903 BGJ981814:BGJ981903 AWN981814:AWN981903 AMR981814:AMR981903 ACV981814:ACV981903 SZ981814:SZ981903 JD981814:JD981903 H981835:H981924 WVP916278:WVP916367 WLT916278:WLT916367 WBX916278:WBX916367 VSB916278:VSB916367 VIF916278:VIF916367 UYJ916278:UYJ916367 UON916278:UON916367 UER916278:UER916367 TUV916278:TUV916367 TKZ916278:TKZ916367 TBD916278:TBD916367 SRH916278:SRH916367 SHL916278:SHL916367 RXP916278:RXP916367 RNT916278:RNT916367 RDX916278:RDX916367 QUB916278:QUB916367 QKF916278:QKF916367 QAJ916278:QAJ916367 PQN916278:PQN916367 PGR916278:PGR916367 OWV916278:OWV916367 OMZ916278:OMZ916367 ODD916278:ODD916367 NTH916278:NTH916367 NJL916278:NJL916367 MZP916278:MZP916367 MPT916278:MPT916367 MFX916278:MFX916367 LWB916278:LWB916367 LMF916278:LMF916367 LCJ916278:LCJ916367 KSN916278:KSN916367 KIR916278:KIR916367 JYV916278:JYV916367 JOZ916278:JOZ916367 JFD916278:JFD916367 IVH916278:IVH916367 ILL916278:ILL916367 IBP916278:IBP916367 HRT916278:HRT916367 HHX916278:HHX916367 GYB916278:GYB916367 GOF916278:GOF916367 GEJ916278:GEJ916367 FUN916278:FUN916367 FKR916278:FKR916367 FAV916278:FAV916367 EQZ916278:EQZ916367 EHD916278:EHD916367 DXH916278:DXH916367 DNL916278:DNL916367 DDP916278:DDP916367 CTT916278:CTT916367 CJX916278:CJX916367 CAB916278:CAB916367 BQF916278:BQF916367 BGJ916278:BGJ916367 AWN916278:AWN916367 AMR916278:AMR916367 ACV916278:ACV916367 SZ916278:SZ916367 JD916278:JD916367 H916299:H916388 WVP850742:WVP850831 WLT850742:WLT850831 WBX850742:WBX850831 VSB850742:VSB850831 VIF850742:VIF850831 UYJ850742:UYJ850831 UON850742:UON850831 UER850742:UER850831 TUV850742:TUV850831 TKZ850742:TKZ850831 TBD850742:TBD850831 SRH850742:SRH850831 SHL850742:SHL850831 RXP850742:RXP850831 RNT850742:RNT850831 RDX850742:RDX850831 QUB850742:QUB850831 QKF850742:QKF850831 QAJ850742:QAJ850831 PQN850742:PQN850831 PGR850742:PGR850831 OWV850742:OWV850831 OMZ850742:OMZ850831 ODD850742:ODD850831 NTH850742:NTH850831 NJL850742:NJL850831 MZP850742:MZP850831 MPT850742:MPT850831 MFX850742:MFX850831 LWB850742:LWB850831 LMF850742:LMF850831 LCJ850742:LCJ850831 KSN850742:KSN850831 KIR850742:KIR850831 JYV850742:JYV850831 JOZ850742:JOZ850831 JFD850742:JFD850831 IVH850742:IVH850831 ILL850742:ILL850831 IBP850742:IBP850831 HRT850742:HRT850831 HHX850742:HHX850831 GYB850742:GYB850831 GOF850742:GOF850831 GEJ850742:GEJ850831 FUN850742:FUN850831 FKR850742:FKR850831 FAV850742:FAV850831 EQZ850742:EQZ850831 EHD850742:EHD850831 DXH850742:DXH850831 DNL850742:DNL850831 DDP850742:DDP850831 CTT850742:CTT850831 CJX850742:CJX850831 CAB850742:CAB850831 BQF850742:BQF850831 BGJ850742:BGJ850831 AWN850742:AWN850831 AMR850742:AMR850831 ACV850742:ACV850831 SZ850742:SZ850831 JD850742:JD850831 H850763:H850852 WVP785206:WVP785295 WLT785206:WLT785295 WBX785206:WBX785295 VSB785206:VSB785295 VIF785206:VIF785295 UYJ785206:UYJ785295 UON785206:UON785295 UER785206:UER785295 TUV785206:TUV785295 TKZ785206:TKZ785295 TBD785206:TBD785295 SRH785206:SRH785295 SHL785206:SHL785295 RXP785206:RXP785295 RNT785206:RNT785295 RDX785206:RDX785295 QUB785206:QUB785295 QKF785206:QKF785295 QAJ785206:QAJ785295 PQN785206:PQN785295 PGR785206:PGR785295 OWV785206:OWV785295 OMZ785206:OMZ785295 ODD785206:ODD785295 NTH785206:NTH785295 NJL785206:NJL785295 MZP785206:MZP785295 MPT785206:MPT785295 MFX785206:MFX785295 LWB785206:LWB785295 LMF785206:LMF785295 LCJ785206:LCJ785295 KSN785206:KSN785295 KIR785206:KIR785295 JYV785206:JYV785295 JOZ785206:JOZ785295 JFD785206:JFD785295 IVH785206:IVH785295 ILL785206:ILL785295 IBP785206:IBP785295 HRT785206:HRT785295 HHX785206:HHX785295 GYB785206:GYB785295 GOF785206:GOF785295 GEJ785206:GEJ785295 FUN785206:FUN785295 FKR785206:FKR785295 FAV785206:FAV785295 EQZ785206:EQZ785295 EHD785206:EHD785295 DXH785206:DXH785295 DNL785206:DNL785295 DDP785206:DDP785295 CTT785206:CTT785295 CJX785206:CJX785295 CAB785206:CAB785295 BQF785206:BQF785295 BGJ785206:BGJ785295 AWN785206:AWN785295 AMR785206:AMR785295 ACV785206:ACV785295 SZ785206:SZ785295 JD785206:JD785295 H785227:H785316 WVP719670:WVP719759 WLT719670:WLT719759 WBX719670:WBX719759 VSB719670:VSB719759 VIF719670:VIF719759 UYJ719670:UYJ719759 UON719670:UON719759 UER719670:UER719759 TUV719670:TUV719759 TKZ719670:TKZ719759 TBD719670:TBD719759 SRH719670:SRH719759 SHL719670:SHL719759 RXP719670:RXP719759 RNT719670:RNT719759 RDX719670:RDX719759 QUB719670:QUB719759 QKF719670:QKF719759 QAJ719670:QAJ719759 PQN719670:PQN719759 PGR719670:PGR719759 OWV719670:OWV719759 OMZ719670:OMZ719759 ODD719670:ODD719759 NTH719670:NTH719759 NJL719670:NJL719759 MZP719670:MZP719759 MPT719670:MPT719759 MFX719670:MFX719759 LWB719670:LWB719759 LMF719670:LMF719759 LCJ719670:LCJ719759 KSN719670:KSN719759 KIR719670:KIR719759 JYV719670:JYV719759 JOZ719670:JOZ719759 JFD719670:JFD719759 IVH719670:IVH719759 ILL719670:ILL719759 IBP719670:IBP719759 HRT719670:HRT719759 HHX719670:HHX719759 GYB719670:GYB719759 GOF719670:GOF719759 GEJ719670:GEJ719759 FUN719670:FUN719759 FKR719670:FKR719759 FAV719670:FAV719759 EQZ719670:EQZ719759 EHD719670:EHD719759 DXH719670:DXH719759 DNL719670:DNL719759 DDP719670:DDP719759 CTT719670:CTT719759 CJX719670:CJX719759 CAB719670:CAB719759 BQF719670:BQF719759 BGJ719670:BGJ719759 AWN719670:AWN719759 AMR719670:AMR719759 ACV719670:ACV719759 SZ719670:SZ719759 JD719670:JD719759 H719691:H719780 WVP654134:WVP654223 WLT654134:WLT654223 WBX654134:WBX654223 VSB654134:VSB654223 VIF654134:VIF654223 UYJ654134:UYJ654223 UON654134:UON654223 UER654134:UER654223 TUV654134:TUV654223 TKZ654134:TKZ654223 TBD654134:TBD654223 SRH654134:SRH654223 SHL654134:SHL654223 RXP654134:RXP654223 RNT654134:RNT654223 RDX654134:RDX654223 QUB654134:QUB654223 QKF654134:QKF654223 QAJ654134:QAJ654223 PQN654134:PQN654223 PGR654134:PGR654223 OWV654134:OWV654223 OMZ654134:OMZ654223 ODD654134:ODD654223 NTH654134:NTH654223 NJL654134:NJL654223 MZP654134:MZP654223 MPT654134:MPT654223 MFX654134:MFX654223 LWB654134:LWB654223 LMF654134:LMF654223 LCJ654134:LCJ654223 KSN654134:KSN654223 KIR654134:KIR654223 JYV654134:JYV654223 JOZ654134:JOZ654223 JFD654134:JFD654223 IVH654134:IVH654223 ILL654134:ILL654223 IBP654134:IBP654223 HRT654134:HRT654223 HHX654134:HHX654223 GYB654134:GYB654223 GOF654134:GOF654223 GEJ654134:GEJ654223 FUN654134:FUN654223 FKR654134:FKR654223 FAV654134:FAV654223 EQZ654134:EQZ654223 EHD654134:EHD654223 DXH654134:DXH654223 DNL654134:DNL654223 DDP654134:DDP654223 CTT654134:CTT654223 CJX654134:CJX654223 CAB654134:CAB654223 BQF654134:BQF654223 BGJ654134:BGJ654223 AWN654134:AWN654223 AMR654134:AMR654223 ACV654134:ACV654223 SZ654134:SZ654223 JD654134:JD654223 H654155:H654244 WVP588598:WVP588687 WLT588598:WLT588687 WBX588598:WBX588687 VSB588598:VSB588687 VIF588598:VIF588687 UYJ588598:UYJ588687 UON588598:UON588687 UER588598:UER588687 TUV588598:TUV588687 TKZ588598:TKZ588687 TBD588598:TBD588687 SRH588598:SRH588687 SHL588598:SHL588687 RXP588598:RXP588687 RNT588598:RNT588687 RDX588598:RDX588687 QUB588598:QUB588687 QKF588598:QKF588687 QAJ588598:QAJ588687 PQN588598:PQN588687 PGR588598:PGR588687 OWV588598:OWV588687 OMZ588598:OMZ588687 ODD588598:ODD588687 NTH588598:NTH588687 NJL588598:NJL588687 MZP588598:MZP588687 MPT588598:MPT588687 MFX588598:MFX588687 LWB588598:LWB588687 LMF588598:LMF588687 LCJ588598:LCJ588687 KSN588598:KSN588687 KIR588598:KIR588687 JYV588598:JYV588687 JOZ588598:JOZ588687 JFD588598:JFD588687 IVH588598:IVH588687 ILL588598:ILL588687 IBP588598:IBP588687 HRT588598:HRT588687 HHX588598:HHX588687 GYB588598:GYB588687 GOF588598:GOF588687 GEJ588598:GEJ588687 FUN588598:FUN588687 FKR588598:FKR588687 FAV588598:FAV588687 EQZ588598:EQZ588687 EHD588598:EHD588687 DXH588598:DXH588687 DNL588598:DNL588687 DDP588598:DDP588687 CTT588598:CTT588687 CJX588598:CJX588687 CAB588598:CAB588687 BQF588598:BQF588687 BGJ588598:BGJ588687 AWN588598:AWN588687 AMR588598:AMR588687 ACV588598:ACV588687 SZ588598:SZ588687 JD588598:JD588687 H588619:H588708 WVP523062:WVP523151 WLT523062:WLT523151 WBX523062:WBX523151 VSB523062:VSB523151 VIF523062:VIF523151 UYJ523062:UYJ523151 UON523062:UON523151 UER523062:UER523151 TUV523062:TUV523151 TKZ523062:TKZ523151 TBD523062:TBD523151 SRH523062:SRH523151 SHL523062:SHL523151 RXP523062:RXP523151 RNT523062:RNT523151 RDX523062:RDX523151 QUB523062:QUB523151 QKF523062:QKF523151 QAJ523062:QAJ523151 PQN523062:PQN523151 PGR523062:PGR523151 OWV523062:OWV523151 OMZ523062:OMZ523151 ODD523062:ODD523151 NTH523062:NTH523151 NJL523062:NJL523151 MZP523062:MZP523151 MPT523062:MPT523151 MFX523062:MFX523151 LWB523062:LWB523151 LMF523062:LMF523151 LCJ523062:LCJ523151 KSN523062:KSN523151 KIR523062:KIR523151 JYV523062:JYV523151 JOZ523062:JOZ523151 JFD523062:JFD523151 IVH523062:IVH523151 ILL523062:ILL523151 IBP523062:IBP523151 HRT523062:HRT523151 HHX523062:HHX523151 GYB523062:GYB523151 GOF523062:GOF523151 GEJ523062:GEJ523151 FUN523062:FUN523151 FKR523062:FKR523151 FAV523062:FAV523151 EQZ523062:EQZ523151 EHD523062:EHD523151 DXH523062:DXH523151 DNL523062:DNL523151 DDP523062:DDP523151 CTT523062:CTT523151 CJX523062:CJX523151 CAB523062:CAB523151 BQF523062:BQF523151 BGJ523062:BGJ523151 AWN523062:AWN523151 AMR523062:AMR523151 ACV523062:ACV523151 SZ523062:SZ523151 JD523062:JD523151 H523083:H523172 WVP457526:WVP457615 WLT457526:WLT457615 WBX457526:WBX457615 VSB457526:VSB457615 VIF457526:VIF457615 UYJ457526:UYJ457615 UON457526:UON457615 UER457526:UER457615 TUV457526:TUV457615 TKZ457526:TKZ457615 TBD457526:TBD457615 SRH457526:SRH457615 SHL457526:SHL457615 RXP457526:RXP457615 RNT457526:RNT457615 RDX457526:RDX457615 QUB457526:QUB457615 QKF457526:QKF457615 QAJ457526:QAJ457615 PQN457526:PQN457615 PGR457526:PGR457615 OWV457526:OWV457615 OMZ457526:OMZ457615 ODD457526:ODD457615 NTH457526:NTH457615 NJL457526:NJL457615 MZP457526:MZP457615 MPT457526:MPT457615 MFX457526:MFX457615 LWB457526:LWB457615 LMF457526:LMF457615 LCJ457526:LCJ457615 KSN457526:KSN457615 KIR457526:KIR457615 JYV457526:JYV457615 JOZ457526:JOZ457615 JFD457526:JFD457615 IVH457526:IVH457615 ILL457526:ILL457615 IBP457526:IBP457615 HRT457526:HRT457615 HHX457526:HHX457615 GYB457526:GYB457615 GOF457526:GOF457615 GEJ457526:GEJ457615 FUN457526:FUN457615 FKR457526:FKR457615 FAV457526:FAV457615 EQZ457526:EQZ457615 EHD457526:EHD457615 DXH457526:DXH457615 DNL457526:DNL457615 DDP457526:DDP457615 CTT457526:CTT457615 CJX457526:CJX457615 CAB457526:CAB457615 BQF457526:BQF457615 BGJ457526:BGJ457615 AWN457526:AWN457615 AMR457526:AMR457615 ACV457526:ACV457615 SZ457526:SZ457615 JD457526:JD457615 H457547:H457636 WVP391990:WVP392079 WLT391990:WLT392079 WBX391990:WBX392079 VSB391990:VSB392079 VIF391990:VIF392079 UYJ391990:UYJ392079 UON391990:UON392079 UER391990:UER392079 TUV391990:TUV392079 TKZ391990:TKZ392079 TBD391990:TBD392079 SRH391990:SRH392079 SHL391990:SHL392079 RXP391990:RXP392079 RNT391990:RNT392079 RDX391990:RDX392079 QUB391990:QUB392079 QKF391990:QKF392079 QAJ391990:QAJ392079 PQN391990:PQN392079 PGR391990:PGR392079 OWV391990:OWV392079 OMZ391990:OMZ392079 ODD391990:ODD392079 NTH391990:NTH392079 NJL391990:NJL392079 MZP391990:MZP392079 MPT391990:MPT392079 MFX391990:MFX392079 LWB391990:LWB392079 LMF391990:LMF392079 LCJ391990:LCJ392079 KSN391990:KSN392079 KIR391990:KIR392079 JYV391990:JYV392079 JOZ391990:JOZ392079 JFD391990:JFD392079 IVH391990:IVH392079 ILL391990:ILL392079 IBP391990:IBP392079 HRT391990:HRT392079 HHX391990:HHX392079 GYB391990:GYB392079 GOF391990:GOF392079 GEJ391990:GEJ392079 FUN391990:FUN392079 FKR391990:FKR392079 FAV391990:FAV392079 EQZ391990:EQZ392079 EHD391990:EHD392079 DXH391990:DXH392079 DNL391990:DNL392079 DDP391990:DDP392079 CTT391990:CTT392079 CJX391990:CJX392079 CAB391990:CAB392079 BQF391990:BQF392079 BGJ391990:BGJ392079 AWN391990:AWN392079 AMR391990:AMR392079 ACV391990:ACV392079 SZ391990:SZ392079 JD391990:JD392079 H392011:H392100 WVP326454:WVP326543 WLT326454:WLT326543 WBX326454:WBX326543 VSB326454:VSB326543 VIF326454:VIF326543 UYJ326454:UYJ326543 UON326454:UON326543 UER326454:UER326543 TUV326454:TUV326543 TKZ326454:TKZ326543 TBD326454:TBD326543 SRH326454:SRH326543 SHL326454:SHL326543 RXP326454:RXP326543 RNT326454:RNT326543 RDX326454:RDX326543 QUB326454:QUB326543 QKF326454:QKF326543 QAJ326454:QAJ326543 PQN326454:PQN326543 PGR326454:PGR326543 OWV326454:OWV326543 OMZ326454:OMZ326543 ODD326454:ODD326543 NTH326454:NTH326543 NJL326454:NJL326543 MZP326454:MZP326543 MPT326454:MPT326543 MFX326454:MFX326543 LWB326454:LWB326543 LMF326454:LMF326543 LCJ326454:LCJ326543 KSN326454:KSN326543 KIR326454:KIR326543 JYV326454:JYV326543 JOZ326454:JOZ326543 JFD326454:JFD326543 IVH326454:IVH326543 ILL326454:ILL326543 IBP326454:IBP326543 HRT326454:HRT326543 HHX326454:HHX326543 GYB326454:GYB326543 GOF326454:GOF326543 GEJ326454:GEJ326543 FUN326454:FUN326543 FKR326454:FKR326543 FAV326454:FAV326543 EQZ326454:EQZ326543 EHD326454:EHD326543 DXH326454:DXH326543 DNL326454:DNL326543 DDP326454:DDP326543 CTT326454:CTT326543 CJX326454:CJX326543 CAB326454:CAB326543 BQF326454:BQF326543 BGJ326454:BGJ326543 AWN326454:AWN326543 AMR326454:AMR326543 ACV326454:ACV326543 SZ326454:SZ326543 JD326454:JD326543 H326475:H326564 WVP260918:WVP261007 WLT260918:WLT261007 WBX260918:WBX261007 VSB260918:VSB261007 VIF260918:VIF261007 UYJ260918:UYJ261007 UON260918:UON261007 UER260918:UER261007 TUV260918:TUV261007 TKZ260918:TKZ261007 TBD260918:TBD261007 SRH260918:SRH261007 SHL260918:SHL261007 RXP260918:RXP261007 RNT260918:RNT261007 RDX260918:RDX261007 QUB260918:QUB261007 QKF260918:QKF261007 QAJ260918:QAJ261007 PQN260918:PQN261007 PGR260918:PGR261007 OWV260918:OWV261007 OMZ260918:OMZ261007 ODD260918:ODD261007 NTH260918:NTH261007 NJL260918:NJL261007 MZP260918:MZP261007 MPT260918:MPT261007 MFX260918:MFX261007 LWB260918:LWB261007 LMF260918:LMF261007 LCJ260918:LCJ261007 KSN260918:KSN261007 KIR260918:KIR261007 JYV260918:JYV261007 JOZ260918:JOZ261007 JFD260918:JFD261007 IVH260918:IVH261007 ILL260918:ILL261007 IBP260918:IBP261007 HRT260918:HRT261007 HHX260918:HHX261007 GYB260918:GYB261007 GOF260918:GOF261007 GEJ260918:GEJ261007 FUN260918:FUN261007 FKR260918:FKR261007 FAV260918:FAV261007 EQZ260918:EQZ261007 EHD260918:EHD261007 DXH260918:DXH261007 DNL260918:DNL261007 DDP260918:DDP261007 CTT260918:CTT261007 CJX260918:CJX261007 CAB260918:CAB261007 BQF260918:BQF261007 BGJ260918:BGJ261007 AWN260918:AWN261007 AMR260918:AMR261007 ACV260918:ACV261007 SZ260918:SZ261007 JD260918:JD261007 H260939:H261028 WVP195382:WVP195471 WLT195382:WLT195471 WBX195382:WBX195471 VSB195382:VSB195471 VIF195382:VIF195471 UYJ195382:UYJ195471 UON195382:UON195471 UER195382:UER195471 TUV195382:TUV195471 TKZ195382:TKZ195471 TBD195382:TBD195471 SRH195382:SRH195471 SHL195382:SHL195471 RXP195382:RXP195471 RNT195382:RNT195471 RDX195382:RDX195471 QUB195382:QUB195471 QKF195382:QKF195471 QAJ195382:QAJ195471 PQN195382:PQN195471 PGR195382:PGR195471 OWV195382:OWV195471 OMZ195382:OMZ195471 ODD195382:ODD195471 NTH195382:NTH195471 NJL195382:NJL195471 MZP195382:MZP195471 MPT195382:MPT195471 MFX195382:MFX195471 LWB195382:LWB195471 LMF195382:LMF195471 LCJ195382:LCJ195471 KSN195382:KSN195471 KIR195382:KIR195471 JYV195382:JYV195471 JOZ195382:JOZ195471 JFD195382:JFD195471 IVH195382:IVH195471 ILL195382:ILL195471 IBP195382:IBP195471 HRT195382:HRT195471 HHX195382:HHX195471 GYB195382:GYB195471 GOF195382:GOF195471 GEJ195382:GEJ195471 FUN195382:FUN195471 FKR195382:FKR195471 FAV195382:FAV195471 EQZ195382:EQZ195471 EHD195382:EHD195471 DXH195382:DXH195471 DNL195382:DNL195471 DDP195382:DDP195471 CTT195382:CTT195471 CJX195382:CJX195471 CAB195382:CAB195471 BQF195382:BQF195471 BGJ195382:BGJ195471 AWN195382:AWN195471 AMR195382:AMR195471 ACV195382:ACV195471 SZ195382:SZ195471 JD195382:JD195471 H195403:H195492 WVP129846:WVP129935 WLT129846:WLT129935 WBX129846:WBX129935 VSB129846:VSB129935 VIF129846:VIF129935 UYJ129846:UYJ129935 UON129846:UON129935 UER129846:UER129935 TUV129846:TUV129935 TKZ129846:TKZ129935 TBD129846:TBD129935 SRH129846:SRH129935 SHL129846:SHL129935 RXP129846:RXP129935 RNT129846:RNT129935 RDX129846:RDX129935 QUB129846:QUB129935 QKF129846:QKF129935 QAJ129846:QAJ129935 PQN129846:PQN129935 PGR129846:PGR129935 OWV129846:OWV129935 OMZ129846:OMZ129935 ODD129846:ODD129935 NTH129846:NTH129935 NJL129846:NJL129935 MZP129846:MZP129935 MPT129846:MPT129935 MFX129846:MFX129935 LWB129846:LWB129935 LMF129846:LMF129935 LCJ129846:LCJ129935 KSN129846:KSN129935 KIR129846:KIR129935 JYV129846:JYV129935 JOZ129846:JOZ129935 JFD129846:JFD129935 IVH129846:IVH129935 ILL129846:ILL129935 IBP129846:IBP129935 HRT129846:HRT129935 HHX129846:HHX129935 GYB129846:GYB129935 GOF129846:GOF129935 GEJ129846:GEJ129935 FUN129846:FUN129935 FKR129846:FKR129935 FAV129846:FAV129935 EQZ129846:EQZ129935 EHD129846:EHD129935 DXH129846:DXH129935 DNL129846:DNL129935 DDP129846:DDP129935 CTT129846:CTT129935 CJX129846:CJX129935 CAB129846:CAB129935 BQF129846:BQF129935 BGJ129846:BGJ129935 AWN129846:AWN129935 AMR129846:AMR129935 ACV129846:ACV129935 SZ129846:SZ129935 JD129846:JD129935 H129867:H129956 WVP64310:WVP64399 WLT64310:WLT64399 WBX64310:WBX64399 VSB64310:VSB64399 VIF64310:VIF64399 UYJ64310:UYJ64399 UON64310:UON64399 UER64310:UER64399 TUV64310:TUV64399 TKZ64310:TKZ64399 TBD64310:TBD64399 SRH64310:SRH64399 SHL64310:SHL64399 RXP64310:RXP64399 RNT64310:RNT64399 RDX64310:RDX64399 QUB64310:QUB64399 QKF64310:QKF64399 QAJ64310:QAJ64399 PQN64310:PQN64399 PGR64310:PGR64399 OWV64310:OWV64399 OMZ64310:OMZ64399 ODD64310:ODD64399 NTH64310:NTH64399 NJL64310:NJL64399 MZP64310:MZP64399 MPT64310:MPT64399 MFX64310:MFX64399 LWB64310:LWB64399 LMF64310:LMF64399 LCJ64310:LCJ64399 KSN64310:KSN64399 KIR64310:KIR64399 JYV64310:JYV64399 JOZ64310:JOZ64399 JFD64310:JFD64399 IVH64310:IVH64399 ILL64310:ILL64399 IBP64310:IBP64399 HRT64310:HRT64399 HHX64310:HHX64399 GYB64310:GYB64399 GOF64310:GOF64399 GEJ64310:GEJ64399 FUN64310:FUN64399 FKR64310:FKR64399 FAV64310:FAV64399 EQZ64310:EQZ64399 EHD64310:EHD64399 DXH64310:DXH64399 DNL64310:DNL64399 DDP64310:DDP64399 CTT64310:CTT64399 CJX64310:CJX64399 CAB64310:CAB64399 BQF64310:BQF64399 BGJ64310:BGJ64399 AWN64310:AWN64399 AMR64310:AMR64399 ACV64310:ACV64399 SZ64310:SZ64399 JD64310:JD64399 H64331:H64420 WVP2:WVP82 WLT2:WLT82 WBX2:WBX82 VSB2:VSB82 VIF2:VIF82 UYJ2:UYJ82 UON2:UON82 UER2:UER82 TUV2:TUV82 TKZ2:TKZ82 TBD2:TBD82 SRH2:SRH82 SHL2:SHL82 RXP2:RXP82 RNT2:RNT82 RDX2:RDX82 QUB2:QUB82 QKF2:QKF82 QAJ2:QAJ82 PQN2:PQN82 PGR2:PGR82 OWV2:OWV82 OMZ2:OMZ82 ODD2:ODD82 NTH2:NTH82 NJL2:NJL82 MZP2:MZP82 MPT2:MPT82 MFX2:MFX82 LWB2:LWB82 LMF2:LMF82 LCJ2:LCJ82 KSN2:KSN82 KIR2:KIR82 JYV2:JYV82 JOZ2:JOZ82 JFD2:JFD82 IVH2:IVH82 ILL2:ILL82 IBP2:IBP82 HRT2:HRT82 HHX2:HHX82 GYB2:GYB82 GOF2:GOF82 GEJ2:GEJ82 FUN2:FUN82 FKR2:FKR82 FAV2:FAV82 EQZ2:EQZ82 EHD2:EHD82 DXH2:DXH82 DNL2:DNL82 DDP2:DDP82 CTT2:CTT82 CJX2:CJX82 CAB2:CAB82 BQF2:BQF82 BGJ2:BGJ82 AWN2:AWN82 AMR2:AMR82 ACV2:ACV82 SZ2:SZ82 JD2:JD82" xr:uid="{38E871FD-BF44-46D2-BA0A-0831B337BB85}">
      <formula1>$AL$8:$AL$13</formula1>
    </dataValidation>
    <dataValidation type="list" allowBlank="1" showInputMessage="1" showErrorMessage="1" sqref="WVQ981814:WVQ981897 WLU981814:WLU981897 WBY981814:WBY981897 VSC981814:VSC981897 VIG981814:VIG981897 UYK981814:UYK981897 UOO981814:UOO981897 UES981814:UES981897 TUW981814:TUW981897 TLA981814:TLA981897 TBE981814:TBE981897 SRI981814:SRI981897 SHM981814:SHM981897 RXQ981814:RXQ981897 RNU981814:RNU981897 RDY981814:RDY981897 QUC981814:QUC981897 QKG981814:QKG981897 QAK981814:QAK981897 PQO981814:PQO981897 PGS981814:PGS981897 OWW981814:OWW981897 ONA981814:ONA981897 ODE981814:ODE981897 NTI981814:NTI981897 NJM981814:NJM981897 MZQ981814:MZQ981897 MPU981814:MPU981897 MFY981814:MFY981897 LWC981814:LWC981897 LMG981814:LMG981897 LCK981814:LCK981897 KSO981814:KSO981897 KIS981814:KIS981897 JYW981814:JYW981897 JPA981814:JPA981897 JFE981814:JFE981897 IVI981814:IVI981897 ILM981814:ILM981897 IBQ981814:IBQ981897 HRU981814:HRU981897 HHY981814:HHY981897 GYC981814:GYC981897 GOG981814:GOG981897 GEK981814:GEK981897 FUO981814:FUO981897 FKS981814:FKS981897 FAW981814:FAW981897 ERA981814:ERA981897 EHE981814:EHE981897 DXI981814:DXI981897 DNM981814:DNM981897 DDQ981814:DDQ981897 CTU981814:CTU981897 CJY981814:CJY981897 CAC981814:CAC981897 BQG981814:BQG981897 BGK981814:BGK981897 AWO981814:AWO981897 AMS981814:AMS981897 ACW981814:ACW981897 TA981814:TA981897 JE981814:JE981897 I981835:I981918 WVQ916278:WVQ916361 WLU916278:WLU916361 WBY916278:WBY916361 VSC916278:VSC916361 VIG916278:VIG916361 UYK916278:UYK916361 UOO916278:UOO916361 UES916278:UES916361 TUW916278:TUW916361 TLA916278:TLA916361 TBE916278:TBE916361 SRI916278:SRI916361 SHM916278:SHM916361 RXQ916278:RXQ916361 RNU916278:RNU916361 RDY916278:RDY916361 QUC916278:QUC916361 QKG916278:QKG916361 QAK916278:QAK916361 PQO916278:PQO916361 PGS916278:PGS916361 OWW916278:OWW916361 ONA916278:ONA916361 ODE916278:ODE916361 NTI916278:NTI916361 NJM916278:NJM916361 MZQ916278:MZQ916361 MPU916278:MPU916361 MFY916278:MFY916361 LWC916278:LWC916361 LMG916278:LMG916361 LCK916278:LCK916361 KSO916278:KSO916361 KIS916278:KIS916361 JYW916278:JYW916361 JPA916278:JPA916361 JFE916278:JFE916361 IVI916278:IVI916361 ILM916278:ILM916361 IBQ916278:IBQ916361 HRU916278:HRU916361 HHY916278:HHY916361 GYC916278:GYC916361 GOG916278:GOG916361 GEK916278:GEK916361 FUO916278:FUO916361 FKS916278:FKS916361 FAW916278:FAW916361 ERA916278:ERA916361 EHE916278:EHE916361 DXI916278:DXI916361 DNM916278:DNM916361 DDQ916278:DDQ916361 CTU916278:CTU916361 CJY916278:CJY916361 CAC916278:CAC916361 BQG916278:BQG916361 BGK916278:BGK916361 AWO916278:AWO916361 AMS916278:AMS916361 ACW916278:ACW916361 TA916278:TA916361 JE916278:JE916361 I916299:I916382 WVQ850742:WVQ850825 WLU850742:WLU850825 WBY850742:WBY850825 VSC850742:VSC850825 VIG850742:VIG850825 UYK850742:UYK850825 UOO850742:UOO850825 UES850742:UES850825 TUW850742:TUW850825 TLA850742:TLA850825 TBE850742:TBE850825 SRI850742:SRI850825 SHM850742:SHM850825 RXQ850742:RXQ850825 RNU850742:RNU850825 RDY850742:RDY850825 QUC850742:QUC850825 QKG850742:QKG850825 QAK850742:QAK850825 PQO850742:PQO850825 PGS850742:PGS850825 OWW850742:OWW850825 ONA850742:ONA850825 ODE850742:ODE850825 NTI850742:NTI850825 NJM850742:NJM850825 MZQ850742:MZQ850825 MPU850742:MPU850825 MFY850742:MFY850825 LWC850742:LWC850825 LMG850742:LMG850825 LCK850742:LCK850825 KSO850742:KSO850825 KIS850742:KIS850825 JYW850742:JYW850825 JPA850742:JPA850825 JFE850742:JFE850825 IVI850742:IVI850825 ILM850742:ILM850825 IBQ850742:IBQ850825 HRU850742:HRU850825 HHY850742:HHY850825 GYC850742:GYC850825 GOG850742:GOG850825 GEK850742:GEK850825 FUO850742:FUO850825 FKS850742:FKS850825 FAW850742:FAW850825 ERA850742:ERA850825 EHE850742:EHE850825 DXI850742:DXI850825 DNM850742:DNM850825 DDQ850742:DDQ850825 CTU850742:CTU850825 CJY850742:CJY850825 CAC850742:CAC850825 BQG850742:BQG850825 BGK850742:BGK850825 AWO850742:AWO850825 AMS850742:AMS850825 ACW850742:ACW850825 TA850742:TA850825 JE850742:JE850825 I850763:I850846 WVQ785206:WVQ785289 WLU785206:WLU785289 WBY785206:WBY785289 VSC785206:VSC785289 VIG785206:VIG785289 UYK785206:UYK785289 UOO785206:UOO785289 UES785206:UES785289 TUW785206:TUW785289 TLA785206:TLA785289 TBE785206:TBE785289 SRI785206:SRI785289 SHM785206:SHM785289 RXQ785206:RXQ785289 RNU785206:RNU785289 RDY785206:RDY785289 QUC785206:QUC785289 QKG785206:QKG785289 QAK785206:QAK785289 PQO785206:PQO785289 PGS785206:PGS785289 OWW785206:OWW785289 ONA785206:ONA785289 ODE785206:ODE785289 NTI785206:NTI785289 NJM785206:NJM785289 MZQ785206:MZQ785289 MPU785206:MPU785289 MFY785206:MFY785289 LWC785206:LWC785289 LMG785206:LMG785289 LCK785206:LCK785289 KSO785206:KSO785289 KIS785206:KIS785289 JYW785206:JYW785289 JPA785206:JPA785289 JFE785206:JFE785289 IVI785206:IVI785289 ILM785206:ILM785289 IBQ785206:IBQ785289 HRU785206:HRU785289 HHY785206:HHY785289 GYC785206:GYC785289 GOG785206:GOG785289 GEK785206:GEK785289 FUO785206:FUO785289 FKS785206:FKS785289 FAW785206:FAW785289 ERA785206:ERA785289 EHE785206:EHE785289 DXI785206:DXI785289 DNM785206:DNM785289 DDQ785206:DDQ785289 CTU785206:CTU785289 CJY785206:CJY785289 CAC785206:CAC785289 BQG785206:BQG785289 BGK785206:BGK785289 AWO785206:AWO785289 AMS785206:AMS785289 ACW785206:ACW785289 TA785206:TA785289 JE785206:JE785289 I785227:I785310 WVQ719670:WVQ719753 WLU719670:WLU719753 WBY719670:WBY719753 VSC719670:VSC719753 VIG719670:VIG719753 UYK719670:UYK719753 UOO719670:UOO719753 UES719670:UES719753 TUW719670:TUW719753 TLA719670:TLA719753 TBE719670:TBE719753 SRI719670:SRI719753 SHM719670:SHM719753 RXQ719670:RXQ719753 RNU719670:RNU719753 RDY719670:RDY719753 QUC719670:QUC719753 QKG719670:QKG719753 QAK719670:QAK719753 PQO719670:PQO719753 PGS719670:PGS719753 OWW719670:OWW719753 ONA719670:ONA719753 ODE719670:ODE719753 NTI719670:NTI719753 NJM719670:NJM719753 MZQ719670:MZQ719753 MPU719670:MPU719753 MFY719670:MFY719753 LWC719670:LWC719753 LMG719670:LMG719753 LCK719670:LCK719753 KSO719670:KSO719753 KIS719670:KIS719753 JYW719670:JYW719753 JPA719670:JPA719753 JFE719670:JFE719753 IVI719670:IVI719753 ILM719670:ILM719753 IBQ719670:IBQ719753 HRU719670:HRU719753 HHY719670:HHY719753 GYC719670:GYC719753 GOG719670:GOG719753 GEK719670:GEK719753 FUO719670:FUO719753 FKS719670:FKS719753 FAW719670:FAW719753 ERA719670:ERA719753 EHE719670:EHE719753 DXI719670:DXI719753 DNM719670:DNM719753 DDQ719670:DDQ719753 CTU719670:CTU719753 CJY719670:CJY719753 CAC719670:CAC719753 BQG719670:BQG719753 BGK719670:BGK719753 AWO719670:AWO719753 AMS719670:AMS719753 ACW719670:ACW719753 TA719670:TA719753 JE719670:JE719753 I719691:I719774 WVQ654134:WVQ654217 WLU654134:WLU654217 WBY654134:WBY654217 VSC654134:VSC654217 VIG654134:VIG654217 UYK654134:UYK654217 UOO654134:UOO654217 UES654134:UES654217 TUW654134:TUW654217 TLA654134:TLA654217 TBE654134:TBE654217 SRI654134:SRI654217 SHM654134:SHM654217 RXQ654134:RXQ654217 RNU654134:RNU654217 RDY654134:RDY654217 QUC654134:QUC654217 QKG654134:QKG654217 QAK654134:QAK654217 PQO654134:PQO654217 PGS654134:PGS654217 OWW654134:OWW654217 ONA654134:ONA654217 ODE654134:ODE654217 NTI654134:NTI654217 NJM654134:NJM654217 MZQ654134:MZQ654217 MPU654134:MPU654217 MFY654134:MFY654217 LWC654134:LWC654217 LMG654134:LMG654217 LCK654134:LCK654217 KSO654134:KSO654217 KIS654134:KIS654217 JYW654134:JYW654217 JPA654134:JPA654217 JFE654134:JFE654217 IVI654134:IVI654217 ILM654134:ILM654217 IBQ654134:IBQ654217 HRU654134:HRU654217 HHY654134:HHY654217 GYC654134:GYC654217 GOG654134:GOG654217 GEK654134:GEK654217 FUO654134:FUO654217 FKS654134:FKS654217 FAW654134:FAW654217 ERA654134:ERA654217 EHE654134:EHE654217 DXI654134:DXI654217 DNM654134:DNM654217 DDQ654134:DDQ654217 CTU654134:CTU654217 CJY654134:CJY654217 CAC654134:CAC654217 BQG654134:BQG654217 BGK654134:BGK654217 AWO654134:AWO654217 AMS654134:AMS654217 ACW654134:ACW654217 TA654134:TA654217 JE654134:JE654217 I654155:I654238 WVQ588598:WVQ588681 WLU588598:WLU588681 WBY588598:WBY588681 VSC588598:VSC588681 VIG588598:VIG588681 UYK588598:UYK588681 UOO588598:UOO588681 UES588598:UES588681 TUW588598:TUW588681 TLA588598:TLA588681 TBE588598:TBE588681 SRI588598:SRI588681 SHM588598:SHM588681 RXQ588598:RXQ588681 RNU588598:RNU588681 RDY588598:RDY588681 QUC588598:QUC588681 QKG588598:QKG588681 QAK588598:QAK588681 PQO588598:PQO588681 PGS588598:PGS588681 OWW588598:OWW588681 ONA588598:ONA588681 ODE588598:ODE588681 NTI588598:NTI588681 NJM588598:NJM588681 MZQ588598:MZQ588681 MPU588598:MPU588681 MFY588598:MFY588681 LWC588598:LWC588681 LMG588598:LMG588681 LCK588598:LCK588681 KSO588598:KSO588681 KIS588598:KIS588681 JYW588598:JYW588681 JPA588598:JPA588681 JFE588598:JFE588681 IVI588598:IVI588681 ILM588598:ILM588681 IBQ588598:IBQ588681 HRU588598:HRU588681 HHY588598:HHY588681 GYC588598:GYC588681 GOG588598:GOG588681 GEK588598:GEK588681 FUO588598:FUO588681 FKS588598:FKS588681 FAW588598:FAW588681 ERA588598:ERA588681 EHE588598:EHE588681 DXI588598:DXI588681 DNM588598:DNM588681 DDQ588598:DDQ588681 CTU588598:CTU588681 CJY588598:CJY588681 CAC588598:CAC588681 BQG588598:BQG588681 BGK588598:BGK588681 AWO588598:AWO588681 AMS588598:AMS588681 ACW588598:ACW588681 TA588598:TA588681 JE588598:JE588681 I588619:I588702 WVQ523062:WVQ523145 WLU523062:WLU523145 WBY523062:WBY523145 VSC523062:VSC523145 VIG523062:VIG523145 UYK523062:UYK523145 UOO523062:UOO523145 UES523062:UES523145 TUW523062:TUW523145 TLA523062:TLA523145 TBE523062:TBE523145 SRI523062:SRI523145 SHM523062:SHM523145 RXQ523062:RXQ523145 RNU523062:RNU523145 RDY523062:RDY523145 QUC523062:QUC523145 QKG523062:QKG523145 QAK523062:QAK523145 PQO523062:PQO523145 PGS523062:PGS523145 OWW523062:OWW523145 ONA523062:ONA523145 ODE523062:ODE523145 NTI523062:NTI523145 NJM523062:NJM523145 MZQ523062:MZQ523145 MPU523062:MPU523145 MFY523062:MFY523145 LWC523062:LWC523145 LMG523062:LMG523145 LCK523062:LCK523145 KSO523062:KSO523145 KIS523062:KIS523145 JYW523062:JYW523145 JPA523062:JPA523145 JFE523062:JFE523145 IVI523062:IVI523145 ILM523062:ILM523145 IBQ523062:IBQ523145 HRU523062:HRU523145 HHY523062:HHY523145 GYC523062:GYC523145 GOG523062:GOG523145 GEK523062:GEK523145 FUO523062:FUO523145 FKS523062:FKS523145 FAW523062:FAW523145 ERA523062:ERA523145 EHE523062:EHE523145 DXI523062:DXI523145 DNM523062:DNM523145 DDQ523062:DDQ523145 CTU523062:CTU523145 CJY523062:CJY523145 CAC523062:CAC523145 BQG523062:BQG523145 BGK523062:BGK523145 AWO523062:AWO523145 AMS523062:AMS523145 ACW523062:ACW523145 TA523062:TA523145 JE523062:JE523145 I523083:I523166 WVQ457526:WVQ457609 WLU457526:WLU457609 WBY457526:WBY457609 VSC457526:VSC457609 VIG457526:VIG457609 UYK457526:UYK457609 UOO457526:UOO457609 UES457526:UES457609 TUW457526:TUW457609 TLA457526:TLA457609 TBE457526:TBE457609 SRI457526:SRI457609 SHM457526:SHM457609 RXQ457526:RXQ457609 RNU457526:RNU457609 RDY457526:RDY457609 QUC457526:QUC457609 QKG457526:QKG457609 QAK457526:QAK457609 PQO457526:PQO457609 PGS457526:PGS457609 OWW457526:OWW457609 ONA457526:ONA457609 ODE457526:ODE457609 NTI457526:NTI457609 NJM457526:NJM457609 MZQ457526:MZQ457609 MPU457526:MPU457609 MFY457526:MFY457609 LWC457526:LWC457609 LMG457526:LMG457609 LCK457526:LCK457609 KSO457526:KSO457609 KIS457526:KIS457609 JYW457526:JYW457609 JPA457526:JPA457609 JFE457526:JFE457609 IVI457526:IVI457609 ILM457526:ILM457609 IBQ457526:IBQ457609 HRU457526:HRU457609 HHY457526:HHY457609 GYC457526:GYC457609 GOG457526:GOG457609 GEK457526:GEK457609 FUO457526:FUO457609 FKS457526:FKS457609 FAW457526:FAW457609 ERA457526:ERA457609 EHE457526:EHE457609 DXI457526:DXI457609 DNM457526:DNM457609 DDQ457526:DDQ457609 CTU457526:CTU457609 CJY457526:CJY457609 CAC457526:CAC457609 BQG457526:BQG457609 BGK457526:BGK457609 AWO457526:AWO457609 AMS457526:AMS457609 ACW457526:ACW457609 TA457526:TA457609 JE457526:JE457609 I457547:I457630 WVQ391990:WVQ392073 WLU391990:WLU392073 WBY391990:WBY392073 VSC391990:VSC392073 VIG391990:VIG392073 UYK391990:UYK392073 UOO391990:UOO392073 UES391990:UES392073 TUW391990:TUW392073 TLA391990:TLA392073 TBE391990:TBE392073 SRI391990:SRI392073 SHM391990:SHM392073 RXQ391990:RXQ392073 RNU391990:RNU392073 RDY391990:RDY392073 QUC391990:QUC392073 QKG391990:QKG392073 QAK391990:QAK392073 PQO391990:PQO392073 PGS391990:PGS392073 OWW391990:OWW392073 ONA391990:ONA392073 ODE391990:ODE392073 NTI391990:NTI392073 NJM391990:NJM392073 MZQ391990:MZQ392073 MPU391990:MPU392073 MFY391990:MFY392073 LWC391990:LWC392073 LMG391990:LMG392073 LCK391990:LCK392073 KSO391990:KSO392073 KIS391990:KIS392073 JYW391990:JYW392073 JPA391990:JPA392073 JFE391990:JFE392073 IVI391990:IVI392073 ILM391990:ILM392073 IBQ391990:IBQ392073 HRU391990:HRU392073 HHY391990:HHY392073 GYC391990:GYC392073 GOG391990:GOG392073 GEK391990:GEK392073 FUO391990:FUO392073 FKS391990:FKS392073 FAW391990:FAW392073 ERA391990:ERA392073 EHE391990:EHE392073 DXI391990:DXI392073 DNM391990:DNM392073 DDQ391990:DDQ392073 CTU391990:CTU392073 CJY391990:CJY392073 CAC391990:CAC392073 BQG391990:BQG392073 BGK391990:BGK392073 AWO391990:AWO392073 AMS391990:AMS392073 ACW391990:ACW392073 TA391990:TA392073 JE391990:JE392073 I392011:I392094 WVQ326454:WVQ326537 WLU326454:WLU326537 WBY326454:WBY326537 VSC326454:VSC326537 VIG326454:VIG326537 UYK326454:UYK326537 UOO326454:UOO326537 UES326454:UES326537 TUW326454:TUW326537 TLA326454:TLA326537 TBE326454:TBE326537 SRI326454:SRI326537 SHM326454:SHM326537 RXQ326454:RXQ326537 RNU326454:RNU326537 RDY326454:RDY326537 QUC326454:QUC326537 QKG326454:QKG326537 QAK326454:QAK326537 PQO326454:PQO326537 PGS326454:PGS326537 OWW326454:OWW326537 ONA326454:ONA326537 ODE326454:ODE326537 NTI326454:NTI326537 NJM326454:NJM326537 MZQ326454:MZQ326537 MPU326454:MPU326537 MFY326454:MFY326537 LWC326454:LWC326537 LMG326454:LMG326537 LCK326454:LCK326537 KSO326454:KSO326537 KIS326454:KIS326537 JYW326454:JYW326537 JPA326454:JPA326537 JFE326454:JFE326537 IVI326454:IVI326537 ILM326454:ILM326537 IBQ326454:IBQ326537 HRU326454:HRU326537 HHY326454:HHY326537 GYC326454:GYC326537 GOG326454:GOG326537 GEK326454:GEK326537 FUO326454:FUO326537 FKS326454:FKS326537 FAW326454:FAW326537 ERA326454:ERA326537 EHE326454:EHE326537 DXI326454:DXI326537 DNM326454:DNM326537 DDQ326454:DDQ326537 CTU326454:CTU326537 CJY326454:CJY326537 CAC326454:CAC326537 BQG326454:BQG326537 BGK326454:BGK326537 AWO326454:AWO326537 AMS326454:AMS326537 ACW326454:ACW326537 TA326454:TA326537 JE326454:JE326537 I326475:I326558 WVQ260918:WVQ261001 WLU260918:WLU261001 WBY260918:WBY261001 VSC260918:VSC261001 VIG260918:VIG261001 UYK260918:UYK261001 UOO260918:UOO261001 UES260918:UES261001 TUW260918:TUW261001 TLA260918:TLA261001 TBE260918:TBE261001 SRI260918:SRI261001 SHM260918:SHM261001 RXQ260918:RXQ261001 RNU260918:RNU261001 RDY260918:RDY261001 QUC260918:QUC261001 QKG260918:QKG261001 QAK260918:QAK261001 PQO260918:PQO261001 PGS260918:PGS261001 OWW260918:OWW261001 ONA260918:ONA261001 ODE260918:ODE261001 NTI260918:NTI261001 NJM260918:NJM261001 MZQ260918:MZQ261001 MPU260918:MPU261001 MFY260918:MFY261001 LWC260918:LWC261001 LMG260918:LMG261001 LCK260918:LCK261001 KSO260918:KSO261001 KIS260918:KIS261001 JYW260918:JYW261001 JPA260918:JPA261001 JFE260918:JFE261001 IVI260918:IVI261001 ILM260918:ILM261001 IBQ260918:IBQ261001 HRU260918:HRU261001 HHY260918:HHY261001 GYC260918:GYC261001 GOG260918:GOG261001 GEK260918:GEK261001 FUO260918:FUO261001 FKS260918:FKS261001 FAW260918:FAW261001 ERA260918:ERA261001 EHE260918:EHE261001 DXI260918:DXI261001 DNM260918:DNM261001 DDQ260918:DDQ261001 CTU260918:CTU261001 CJY260918:CJY261001 CAC260918:CAC261001 BQG260918:BQG261001 BGK260918:BGK261001 AWO260918:AWO261001 AMS260918:AMS261001 ACW260918:ACW261001 TA260918:TA261001 JE260918:JE261001 I260939:I261022 WVQ195382:WVQ195465 WLU195382:WLU195465 WBY195382:WBY195465 VSC195382:VSC195465 VIG195382:VIG195465 UYK195382:UYK195465 UOO195382:UOO195465 UES195382:UES195465 TUW195382:TUW195465 TLA195382:TLA195465 TBE195382:TBE195465 SRI195382:SRI195465 SHM195382:SHM195465 RXQ195382:RXQ195465 RNU195382:RNU195465 RDY195382:RDY195465 QUC195382:QUC195465 QKG195382:QKG195465 QAK195382:QAK195465 PQO195382:PQO195465 PGS195382:PGS195465 OWW195382:OWW195465 ONA195382:ONA195465 ODE195382:ODE195465 NTI195382:NTI195465 NJM195382:NJM195465 MZQ195382:MZQ195465 MPU195382:MPU195465 MFY195382:MFY195465 LWC195382:LWC195465 LMG195382:LMG195465 LCK195382:LCK195465 KSO195382:KSO195465 KIS195382:KIS195465 JYW195382:JYW195465 JPA195382:JPA195465 JFE195382:JFE195465 IVI195382:IVI195465 ILM195382:ILM195465 IBQ195382:IBQ195465 HRU195382:HRU195465 HHY195382:HHY195465 GYC195382:GYC195465 GOG195382:GOG195465 GEK195382:GEK195465 FUO195382:FUO195465 FKS195382:FKS195465 FAW195382:FAW195465 ERA195382:ERA195465 EHE195382:EHE195465 DXI195382:DXI195465 DNM195382:DNM195465 DDQ195382:DDQ195465 CTU195382:CTU195465 CJY195382:CJY195465 CAC195382:CAC195465 BQG195382:BQG195465 BGK195382:BGK195465 AWO195382:AWO195465 AMS195382:AMS195465 ACW195382:ACW195465 TA195382:TA195465 JE195382:JE195465 I195403:I195486 WVQ129846:WVQ129929 WLU129846:WLU129929 WBY129846:WBY129929 VSC129846:VSC129929 VIG129846:VIG129929 UYK129846:UYK129929 UOO129846:UOO129929 UES129846:UES129929 TUW129846:TUW129929 TLA129846:TLA129929 TBE129846:TBE129929 SRI129846:SRI129929 SHM129846:SHM129929 RXQ129846:RXQ129929 RNU129846:RNU129929 RDY129846:RDY129929 QUC129846:QUC129929 QKG129846:QKG129929 QAK129846:QAK129929 PQO129846:PQO129929 PGS129846:PGS129929 OWW129846:OWW129929 ONA129846:ONA129929 ODE129846:ODE129929 NTI129846:NTI129929 NJM129846:NJM129929 MZQ129846:MZQ129929 MPU129846:MPU129929 MFY129846:MFY129929 LWC129846:LWC129929 LMG129846:LMG129929 LCK129846:LCK129929 KSO129846:KSO129929 KIS129846:KIS129929 JYW129846:JYW129929 JPA129846:JPA129929 JFE129846:JFE129929 IVI129846:IVI129929 ILM129846:ILM129929 IBQ129846:IBQ129929 HRU129846:HRU129929 HHY129846:HHY129929 GYC129846:GYC129929 GOG129846:GOG129929 GEK129846:GEK129929 FUO129846:FUO129929 FKS129846:FKS129929 FAW129846:FAW129929 ERA129846:ERA129929 EHE129846:EHE129929 DXI129846:DXI129929 DNM129846:DNM129929 DDQ129846:DDQ129929 CTU129846:CTU129929 CJY129846:CJY129929 CAC129846:CAC129929 BQG129846:BQG129929 BGK129846:BGK129929 AWO129846:AWO129929 AMS129846:AMS129929 ACW129846:ACW129929 TA129846:TA129929 JE129846:JE129929 I129867:I129950 WVQ64310:WVQ64393 WLU64310:WLU64393 WBY64310:WBY64393 VSC64310:VSC64393 VIG64310:VIG64393 UYK64310:UYK64393 UOO64310:UOO64393 UES64310:UES64393 TUW64310:TUW64393 TLA64310:TLA64393 TBE64310:TBE64393 SRI64310:SRI64393 SHM64310:SHM64393 RXQ64310:RXQ64393 RNU64310:RNU64393 RDY64310:RDY64393 QUC64310:QUC64393 QKG64310:QKG64393 QAK64310:QAK64393 PQO64310:PQO64393 PGS64310:PGS64393 OWW64310:OWW64393 ONA64310:ONA64393 ODE64310:ODE64393 NTI64310:NTI64393 NJM64310:NJM64393 MZQ64310:MZQ64393 MPU64310:MPU64393 MFY64310:MFY64393 LWC64310:LWC64393 LMG64310:LMG64393 LCK64310:LCK64393 KSO64310:KSO64393 KIS64310:KIS64393 JYW64310:JYW64393 JPA64310:JPA64393 JFE64310:JFE64393 IVI64310:IVI64393 ILM64310:ILM64393 IBQ64310:IBQ64393 HRU64310:HRU64393 HHY64310:HHY64393 GYC64310:GYC64393 GOG64310:GOG64393 GEK64310:GEK64393 FUO64310:FUO64393 FKS64310:FKS64393 FAW64310:FAW64393 ERA64310:ERA64393 EHE64310:EHE64393 DXI64310:DXI64393 DNM64310:DNM64393 DDQ64310:DDQ64393 CTU64310:CTU64393 CJY64310:CJY64393 CAC64310:CAC64393 BQG64310:BQG64393 BGK64310:BGK64393 AWO64310:AWO64393 AMS64310:AMS64393 ACW64310:ACW64393 TA64310:TA64393 JE64310:JE64393 I64331:I64414 I105:I509 JE2:JE82 WVQ2:WVQ82 WLU2:WLU82 WBY2:WBY82 VSC2:VSC82 VIG2:VIG82 UYK2:UYK82 UOO2:UOO82 UES2:UES82 TUW2:TUW82 TLA2:TLA82 TBE2:TBE82 SRI2:SRI82 SHM2:SHM82 RXQ2:RXQ82 RNU2:RNU82 RDY2:RDY82 QUC2:QUC82 QKG2:QKG82 QAK2:QAK82 PQO2:PQO82 PGS2:PGS82 OWW2:OWW82 ONA2:ONA82 ODE2:ODE82 NTI2:NTI82 NJM2:NJM82 MZQ2:MZQ82 MPU2:MPU82 MFY2:MFY82 LWC2:LWC82 LMG2:LMG82 LCK2:LCK82 KSO2:KSO82 KIS2:KIS82 JYW2:JYW82 JPA2:JPA82 JFE2:JFE82 IVI2:IVI82 ILM2:ILM82 IBQ2:IBQ82 HRU2:HRU82 HHY2:HHY82 GYC2:GYC82 GOG2:GOG82 GEK2:GEK82 FUO2:FUO82 FKS2:FKS82 FAW2:FAW82 ERA2:ERA82 EHE2:EHE82 DXI2:DXI82 DNM2:DNM82 DDQ2:DDQ82 CTU2:CTU82 CJY2:CJY82 CAC2:CAC82 BQG2:BQG82 BGK2:BGK82 AWO2:AWO82 AMS2:AMS82 ACW2:ACW82 TA2:TA82 I2:I103" xr:uid="{85F463BC-C1D5-4042-A2B1-0CDCA518F0B5}">
      <formula1>$AN$5:$AN$6</formula1>
    </dataValidation>
    <dataValidation type="list" allowBlank="1" showInputMessage="1" showErrorMessage="1" sqref="WWG981814:WWI981897 WCO981814:WCQ981897 WMK981814:WMM981897 Y64310:AA64393 JU64310:JW64393 TQ64310:TS64393 ADM64310:ADO64393 ANI64310:ANK64393 AXE64310:AXG64393 BHA64310:BHC64393 BQW64310:BQY64393 CAS64310:CAU64393 CKO64310:CKQ64393 CUK64310:CUM64393 DEG64310:DEI64393 DOC64310:DOE64393 DXY64310:DYA64393 EHU64310:EHW64393 ERQ64310:ERS64393 FBM64310:FBO64393 FLI64310:FLK64393 FVE64310:FVG64393 GFA64310:GFC64393 GOW64310:GOY64393 GYS64310:GYU64393 HIO64310:HIQ64393 HSK64310:HSM64393 ICG64310:ICI64393 IMC64310:IME64393 IVY64310:IWA64393 JFU64310:JFW64393 JPQ64310:JPS64393 JZM64310:JZO64393 KJI64310:KJK64393 KTE64310:KTG64393 LDA64310:LDC64393 LMW64310:LMY64393 LWS64310:LWU64393 MGO64310:MGQ64393 MQK64310:MQM64393 NAG64310:NAI64393 NKC64310:NKE64393 NTY64310:NUA64393 ODU64310:ODW64393 ONQ64310:ONS64393 OXM64310:OXO64393 PHI64310:PHK64393 PRE64310:PRG64393 QBA64310:QBC64393 QKW64310:QKY64393 QUS64310:QUU64393 REO64310:REQ64393 ROK64310:ROM64393 RYG64310:RYI64393 SIC64310:SIE64393 SRY64310:SSA64393 TBU64310:TBW64393 TLQ64310:TLS64393 TVM64310:TVO64393 UFI64310:UFK64393 UPE64310:UPG64393 UZA64310:UZC64393 VIW64310:VIY64393 VSS64310:VSU64393 WCO64310:WCQ64393 WMK64310:WMM64393 WWG64310:WWI64393 Y129846:AA129929 JU129846:JW129929 TQ129846:TS129929 ADM129846:ADO129929 ANI129846:ANK129929 AXE129846:AXG129929 BHA129846:BHC129929 BQW129846:BQY129929 CAS129846:CAU129929 CKO129846:CKQ129929 CUK129846:CUM129929 DEG129846:DEI129929 DOC129846:DOE129929 DXY129846:DYA129929 EHU129846:EHW129929 ERQ129846:ERS129929 FBM129846:FBO129929 FLI129846:FLK129929 FVE129846:FVG129929 GFA129846:GFC129929 GOW129846:GOY129929 GYS129846:GYU129929 HIO129846:HIQ129929 HSK129846:HSM129929 ICG129846:ICI129929 IMC129846:IME129929 IVY129846:IWA129929 JFU129846:JFW129929 JPQ129846:JPS129929 JZM129846:JZO129929 KJI129846:KJK129929 KTE129846:KTG129929 LDA129846:LDC129929 LMW129846:LMY129929 LWS129846:LWU129929 MGO129846:MGQ129929 MQK129846:MQM129929 NAG129846:NAI129929 NKC129846:NKE129929 NTY129846:NUA129929 ODU129846:ODW129929 ONQ129846:ONS129929 OXM129846:OXO129929 PHI129846:PHK129929 PRE129846:PRG129929 QBA129846:QBC129929 QKW129846:QKY129929 QUS129846:QUU129929 REO129846:REQ129929 ROK129846:ROM129929 RYG129846:RYI129929 SIC129846:SIE129929 SRY129846:SSA129929 TBU129846:TBW129929 TLQ129846:TLS129929 TVM129846:TVO129929 UFI129846:UFK129929 UPE129846:UPG129929 UZA129846:UZC129929 VIW129846:VIY129929 VSS129846:VSU129929 WCO129846:WCQ129929 WMK129846:WMM129929 WWG129846:WWI129929 Y195382:AA195465 JU195382:JW195465 TQ195382:TS195465 ADM195382:ADO195465 ANI195382:ANK195465 AXE195382:AXG195465 BHA195382:BHC195465 BQW195382:BQY195465 CAS195382:CAU195465 CKO195382:CKQ195465 CUK195382:CUM195465 DEG195382:DEI195465 DOC195382:DOE195465 DXY195382:DYA195465 EHU195382:EHW195465 ERQ195382:ERS195465 FBM195382:FBO195465 FLI195382:FLK195465 FVE195382:FVG195465 GFA195382:GFC195465 GOW195382:GOY195465 GYS195382:GYU195465 HIO195382:HIQ195465 HSK195382:HSM195465 ICG195382:ICI195465 IMC195382:IME195465 IVY195382:IWA195465 JFU195382:JFW195465 JPQ195382:JPS195465 JZM195382:JZO195465 KJI195382:KJK195465 KTE195382:KTG195465 LDA195382:LDC195465 LMW195382:LMY195465 LWS195382:LWU195465 MGO195382:MGQ195465 MQK195382:MQM195465 NAG195382:NAI195465 NKC195382:NKE195465 NTY195382:NUA195465 ODU195382:ODW195465 ONQ195382:ONS195465 OXM195382:OXO195465 PHI195382:PHK195465 PRE195382:PRG195465 QBA195382:QBC195465 QKW195382:QKY195465 QUS195382:QUU195465 REO195382:REQ195465 ROK195382:ROM195465 RYG195382:RYI195465 SIC195382:SIE195465 SRY195382:SSA195465 TBU195382:TBW195465 TLQ195382:TLS195465 TVM195382:TVO195465 UFI195382:UFK195465 UPE195382:UPG195465 UZA195382:UZC195465 VIW195382:VIY195465 VSS195382:VSU195465 WCO195382:WCQ195465 WMK195382:WMM195465 WWG195382:WWI195465 Y260918:AA261001 JU260918:JW261001 TQ260918:TS261001 ADM260918:ADO261001 ANI260918:ANK261001 AXE260918:AXG261001 BHA260918:BHC261001 BQW260918:BQY261001 CAS260918:CAU261001 CKO260918:CKQ261001 CUK260918:CUM261001 DEG260918:DEI261001 DOC260918:DOE261001 DXY260918:DYA261001 EHU260918:EHW261001 ERQ260918:ERS261001 FBM260918:FBO261001 FLI260918:FLK261001 FVE260918:FVG261001 GFA260918:GFC261001 GOW260918:GOY261001 GYS260918:GYU261001 HIO260918:HIQ261001 HSK260918:HSM261001 ICG260918:ICI261001 IMC260918:IME261001 IVY260918:IWA261001 JFU260918:JFW261001 JPQ260918:JPS261001 JZM260918:JZO261001 KJI260918:KJK261001 KTE260918:KTG261001 LDA260918:LDC261001 LMW260918:LMY261001 LWS260918:LWU261001 MGO260918:MGQ261001 MQK260918:MQM261001 NAG260918:NAI261001 NKC260918:NKE261001 NTY260918:NUA261001 ODU260918:ODW261001 ONQ260918:ONS261001 OXM260918:OXO261001 PHI260918:PHK261001 PRE260918:PRG261001 QBA260918:QBC261001 QKW260918:QKY261001 QUS260918:QUU261001 REO260918:REQ261001 ROK260918:ROM261001 RYG260918:RYI261001 SIC260918:SIE261001 SRY260918:SSA261001 TBU260918:TBW261001 TLQ260918:TLS261001 TVM260918:TVO261001 UFI260918:UFK261001 UPE260918:UPG261001 UZA260918:UZC261001 VIW260918:VIY261001 VSS260918:VSU261001 WCO260918:WCQ261001 WMK260918:WMM261001 WWG260918:WWI261001 Y326454:AA326537 JU326454:JW326537 TQ326454:TS326537 ADM326454:ADO326537 ANI326454:ANK326537 AXE326454:AXG326537 BHA326454:BHC326537 BQW326454:BQY326537 CAS326454:CAU326537 CKO326454:CKQ326537 CUK326454:CUM326537 DEG326454:DEI326537 DOC326454:DOE326537 DXY326454:DYA326537 EHU326454:EHW326537 ERQ326454:ERS326537 FBM326454:FBO326537 FLI326454:FLK326537 FVE326454:FVG326537 GFA326454:GFC326537 GOW326454:GOY326537 GYS326454:GYU326537 HIO326454:HIQ326537 HSK326454:HSM326537 ICG326454:ICI326537 IMC326454:IME326537 IVY326454:IWA326537 JFU326454:JFW326537 JPQ326454:JPS326537 JZM326454:JZO326537 KJI326454:KJK326537 KTE326454:KTG326537 LDA326454:LDC326537 LMW326454:LMY326537 LWS326454:LWU326537 MGO326454:MGQ326537 MQK326454:MQM326537 NAG326454:NAI326537 NKC326454:NKE326537 NTY326454:NUA326537 ODU326454:ODW326537 ONQ326454:ONS326537 OXM326454:OXO326537 PHI326454:PHK326537 PRE326454:PRG326537 QBA326454:QBC326537 QKW326454:QKY326537 QUS326454:QUU326537 REO326454:REQ326537 ROK326454:ROM326537 RYG326454:RYI326537 SIC326454:SIE326537 SRY326454:SSA326537 TBU326454:TBW326537 TLQ326454:TLS326537 TVM326454:TVO326537 UFI326454:UFK326537 UPE326454:UPG326537 UZA326454:UZC326537 VIW326454:VIY326537 VSS326454:VSU326537 WCO326454:WCQ326537 WMK326454:WMM326537 WWG326454:WWI326537 Y391990:AA392073 JU391990:JW392073 TQ391990:TS392073 ADM391990:ADO392073 ANI391990:ANK392073 AXE391990:AXG392073 BHA391990:BHC392073 BQW391990:BQY392073 CAS391990:CAU392073 CKO391990:CKQ392073 CUK391990:CUM392073 DEG391990:DEI392073 DOC391990:DOE392073 DXY391990:DYA392073 EHU391990:EHW392073 ERQ391990:ERS392073 FBM391990:FBO392073 FLI391990:FLK392073 FVE391990:FVG392073 GFA391990:GFC392073 GOW391990:GOY392073 GYS391990:GYU392073 HIO391990:HIQ392073 HSK391990:HSM392073 ICG391990:ICI392073 IMC391990:IME392073 IVY391990:IWA392073 JFU391990:JFW392073 JPQ391990:JPS392073 JZM391990:JZO392073 KJI391990:KJK392073 KTE391990:KTG392073 LDA391990:LDC392073 LMW391990:LMY392073 LWS391990:LWU392073 MGO391990:MGQ392073 MQK391990:MQM392073 NAG391990:NAI392073 NKC391990:NKE392073 NTY391990:NUA392073 ODU391990:ODW392073 ONQ391990:ONS392073 OXM391990:OXO392073 PHI391990:PHK392073 PRE391990:PRG392073 QBA391990:QBC392073 QKW391990:QKY392073 QUS391990:QUU392073 REO391990:REQ392073 ROK391990:ROM392073 RYG391990:RYI392073 SIC391990:SIE392073 SRY391990:SSA392073 TBU391990:TBW392073 TLQ391990:TLS392073 TVM391990:TVO392073 UFI391990:UFK392073 UPE391990:UPG392073 UZA391990:UZC392073 VIW391990:VIY392073 VSS391990:VSU392073 WCO391990:WCQ392073 WMK391990:WMM392073 WWG391990:WWI392073 Y457526:AA457609 JU457526:JW457609 TQ457526:TS457609 ADM457526:ADO457609 ANI457526:ANK457609 AXE457526:AXG457609 BHA457526:BHC457609 BQW457526:BQY457609 CAS457526:CAU457609 CKO457526:CKQ457609 CUK457526:CUM457609 DEG457526:DEI457609 DOC457526:DOE457609 DXY457526:DYA457609 EHU457526:EHW457609 ERQ457526:ERS457609 FBM457526:FBO457609 FLI457526:FLK457609 FVE457526:FVG457609 GFA457526:GFC457609 GOW457526:GOY457609 GYS457526:GYU457609 HIO457526:HIQ457609 HSK457526:HSM457609 ICG457526:ICI457609 IMC457526:IME457609 IVY457526:IWA457609 JFU457526:JFW457609 JPQ457526:JPS457609 JZM457526:JZO457609 KJI457526:KJK457609 KTE457526:KTG457609 LDA457526:LDC457609 LMW457526:LMY457609 LWS457526:LWU457609 MGO457526:MGQ457609 MQK457526:MQM457609 NAG457526:NAI457609 NKC457526:NKE457609 NTY457526:NUA457609 ODU457526:ODW457609 ONQ457526:ONS457609 OXM457526:OXO457609 PHI457526:PHK457609 PRE457526:PRG457609 QBA457526:QBC457609 QKW457526:QKY457609 QUS457526:QUU457609 REO457526:REQ457609 ROK457526:ROM457609 RYG457526:RYI457609 SIC457526:SIE457609 SRY457526:SSA457609 TBU457526:TBW457609 TLQ457526:TLS457609 TVM457526:TVO457609 UFI457526:UFK457609 UPE457526:UPG457609 UZA457526:UZC457609 VIW457526:VIY457609 VSS457526:VSU457609 WCO457526:WCQ457609 WMK457526:WMM457609 WWG457526:WWI457609 Y523062:AA523145 JU523062:JW523145 TQ523062:TS523145 ADM523062:ADO523145 ANI523062:ANK523145 AXE523062:AXG523145 BHA523062:BHC523145 BQW523062:BQY523145 CAS523062:CAU523145 CKO523062:CKQ523145 CUK523062:CUM523145 DEG523062:DEI523145 DOC523062:DOE523145 DXY523062:DYA523145 EHU523062:EHW523145 ERQ523062:ERS523145 FBM523062:FBO523145 FLI523062:FLK523145 FVE523062:FVG523145 GFA523062:GFC523145 GOW523062:GOY523145 GYS523062:GYU523145 HIO523062:HIQ523145 HSK523062:HSM523145 ICG523062:ICI523145 IMC523062:IME523145 IVY523062:IWA523145 JFU523062:JFW523145 JPQ523062:JPS523145 JZM523062:JZO523145 KJI523062:KJK523145 KTE523062:KTG523145 LDA523062:LDC523145 LMW523062:LMY523145 LWS523062:LWU523145 MGO523062:MGQ523145 MQK523062:MQM523145 NAG523062:NAI523145 NKC523062:NKE523145 NTY523062:NUA523145 ODU523062:ODW523145 ONQ523062:ONS523145 OXM523062:OXO523145 PHI523062:PHK523145 PRE523062:PRG523145 QBA523062:QBC523145 QKW523062:QKY523145 QUS523062:QUU523145 REO523062:REQ523145 ROK523062:ROM523145 RYG523062:RYI523145 SIC523062:SIE523145 SRY523062:SSA523145 TBU523062:TBW523145 TLQ523062:TLS523145 TVM523062:TVO523145 UFI523062:UFK523145 UPE523062:UPG523145 UZA523062:UZC523145 VIW523062:VIY523145 VSS523062:VSU523145 WCO523062:WCQ523145 WMK523062:WMM523145 WWG523062:WWI523145 Y588598:AA588681 JU588598:JW588681 TQ588598:TS588681 ADM588598:ADO588681 ANI588598:ANK588681 AXE588598:AXG588681 BHA588598:BHC588681 BQW588598:BQY588681 CAS588598:CAU588681 CKO588598:CKQ588681 CUK588598:CUM588681 DEG588598:DEI588681 DOC588598:DOE588681 DXY588598:DYA588681 EHU588598:EHW588681 ERQ588598:ERS588681 FBM588598:FBO588681 FLI588598:FLK588681 FVE588598:FVG588681 GFA588598:GFC588681 GOW588598:GOY588681 GYS588598:GYU588681 HIO588598:HIQ588681 HSK588598:HSM588681 ICG588598:ICI588681 IMC588598:IME588681 IVY588598:IWA588681 JFU588598:JFW588681 JPQ588598:JPS588681 JZM588598:JZO588681 KJI588598:KJK588681 KTE588598:KTG588681 LDA588598:LDC588681 LMW588598:LMY588681 LWS588598:LWU588681 MGO588598:MGQ588681 MQK588598:MQM588681 NAG588598:NAI588681 NKC588598:NKE588681 NTY588598:NUA588681 ODU588598:ODW588681 ONQ588598:ONS588681 OXM588598:OXO588681 PHI588598:PHK588681 PRE588598:PRG588681 QBA588598:QBC588681 QKW588598:QKY588681 QUS588598:QUU588681 REO588598:REQ588681 ROK588598:ROM588681 RYG588598:RYI588681 SIC588598:SIE588681 SRY588598:SSA588681 TBU588598:TBW588681 TLQ588598:TLS588681 TVM588598:TVO588681 UFI588598:UFK588681 UPE588598:UPG588681 UZA588598:UZC588681 VIW588598:VIY588681 VSS588598:VSU588681 WCO588598:WCQ588681 WMK588598:WMM588681 WWG588598:WWI588681 Y654134:AA654217 JU654134:JW654217 TQ654134:TS654217 ADM654134:ADO654217 ANI654134:ANK654217 AXE654134:AXG654217 BHA654134:BHC654217 BQW654134:BQY654217 CAS654134:CAU654217 CKO654134:CKQ654217 CUK654134:CUM654217 DEG654134:DEI654217 DOC654134:DOE654217 DXY654134:DYA654217 EHU654134:EHW654217 ERQ654134:ERS654217 FBM654134:FBO654217 FLI654134:FLK654217 FVE654134:FVG654217 GFA654134:GFC654217 GOW654134:GOY654217 GYS654134:GYU654217 HIO654134:HIQ654217 HSK654134:HSM654217 ICG654134:ICI654217 IMC654134:IME654217 IVY654134:IWA654217 JFU654134:JFW654217 JPQ654134:JPS654217 JZM654134:JZO654217 KJI654134:KJK654217 KTE654134:KTG654217 LDA654134:LDC654217 LMW654134:LMY654217 LWS654134:LWU654217 MGO654134:MGQ654217 MQK654134:MQM654217 NAG654134:NAI654217 NKC654134:NKE654217 NTY654134:NUA654217 ODU654134:ODW654217 ONQ654134:ONS654217 OXM654134:OXO654217 PHI654134:PHK654217 PRE654134:PRG654217 QBA654134:QBC654217 QKW654134:QKY654217 QUS654134:QUU654217 REO654134:REQ654217 ROK654134:ROM654217 RYG654134:RYI654217 SIC654134:SIE654217 SRY654134:SSA654217 TBU654134:TBW654217 TLQ654134:TLS654217 TVM654134:TVO654217 UFI654134:UFK654217 UPE654134:UPG654217 UZA654134:UZC654217 VIW654134:VIY654217 VSS654134:VSU654217 WCO654134:WCQ654217 WMK654134:WMM654217 WWG654134:WWI654217 Y719670:AA719753 JU719670:JW719753 TQ719670:TS719753 ADM719670:ADO719753 ANI719670:ANK719753 AXE719670:AXG719753 BHA719670:BHC719753 BQW719670:BQY719753 CAS719670:CAU719753 CKO719670:CKQ719753 CUK719670:CUM719753 DEG719670:DEI719753 DOC719670:DOE719753 DXY719670:DYA719753 EHU719670:EHW719753 ERQ719670:ERS719753 FBM719670:FBO719753 FLI719670:FLK719753 FVE719670:FVG719753 GFA719670:GFC719753 GOW719670:GOY719753 GYS719670:GYU719753 HIO719670:HIQ719753 HSK719670:HSM719753 ICG719670:ICI719753 IMC719670:IME719753 IVY719670:IWA719753 JFU719670:JFW719753 JPQ719670:JPS719753 JZM719670:JZO719753 KJI719670:KJK719753 KTE719670:KTG719753 LDA719670:LDC719753 LMW719670:LMY719753 LWS719670:LWU719753 MGO719670:MGQ719753 MQK719670:MQM719753 NAG719670:NAI719753 NKC719670:NKE719753 NTY719670:NUA719753 ODU719670:ODW719753 ONQ719670:ONS719753 OXM719670:OXO719753 PHI719670:PHK719753 PRE719670:PRG719753 QBA719670:QBC719753 QKW719670:QKY719753 QUS719670:QUU719753 REO719670:REQ719753 ROK719670:ROM719753 RYG719670:RYI719753 SIC719670:SIE719753 SRY719670:SSA719753 TBU719670:TBW719753 TLQ719670:TLS719753 TVM719670:TVO719753 UFI719670:UFK719753 UPE719670:UPG719753 UZA719670:UZC719753 VIW719670:VIY719753 VSS719670:VSU719753 WCO719670:WCQ719753 WMK719670:WMM719753 WWG719670:WWI719753 Y785206:AA785289 JU785206:JW785289 TQ785206:TS785289 ADM785206:ADO785289 ANI785206:ANK785289 AXE785206:AXG785289 BHA785206:BHC785289 BQW785206:BQY785289 CAS785206:CAU785289 CKO785206:CKQ785289 CUK785206:CUM785289 DEG785206:DEI785289 DOC785206:DOE785289 DXY785206:DYA785289 EHU785206:EHW785289 ERQ785206:ERS785289 FBM785206:FBO785289 FLI785206:FLK785289 FVE785206:FVG785289 GFA785206:GFC785289 GOW785206:GOY785289 GYS785206:GYU785289 HIO785206:HIQ785289 HSK785206:HSM785289 ICG785206:ICI785289 IMC785206:IME785289 IVY785206:IWA785289 JFU785206:JFW785289 JPQ785206:JPS785289 JZM785206:JZO785289 KJI785206:KJK785289 KTE785206:KTG785289 LDA785206:LDC785289 LMW785206:LMY785289 LWS785206:LWU785289 MGO785206:MGQ785289 MQK785206:MQM785289 NAG785206:NAI785289 NKC785206:NKE785289 NTY785206:NUA785289 ODU785206:ODW785289 ONQ785206:ONS785289 OXM785206:OXO785289 PHI785206:PHK785289 PRE785206:PRG785289 QBA785206:QBC785289 QKW785206:QKY785289 QUS785206:QUU785289 REO785206:REQ785289 ROK785206:ROM785289 RYG785206:RYI785289 SIC785206:SIE785289 SRY785206:SSA785289 TBU785206:TBW785289 TLQ785206:TLS785289 TVM785206:TVO785289 UFI785206:UFK785289 UPE785206:UPG785289 UZA785206:UZC785289 VIW785206:VIY785289 VSS785206:VSU785289 WCO785206:WCQ785289 WMK785206:WMM785289 WWG785206:WWI785289 Y850742:AA850825 JU850742:JW850825 TQ850742:TS850825 ADM850742:ADO850825 ANI850742:ANK850825 AXE850742:AXG850825 BHA850742:BHC850825 BQW850742:BQY850825 CAS850742:CAU850825 CKO850742:CKQ850825 CUK850742:CUM850825 DEG850742:DEI850825 DOC850742:DOE850825 DXY850742:DYA850825 EHU850742:EHW850825 ERQ850742:ERS850825 FBM850742:FBO850825 FLI850742:FLK850825 FVE850742:FVG850825 GFA850742:GFC850825 GOW850742:GOY850825 GYS850742:GYU850825 HIO850742:HIQ850825 HSK850742:HSM850825 ICG850742:ICI850825 IMC850742:IME850825 IVY850742:IWA850825 JFU850742:JFW850825 JPQ850742:JPS850825 JZM850742:JZO850825 KJI850742:KJK850825 KTE850742:KTG850825 LDA850742:LDC850825 LMW850742:LMY850825 LWS850742:LWU850825 MGO850742:MGQ850825 MQK850742:MQM850825 NAG850742:NAI850825 NKC850742:NKE850825 NTY850742:NUA850825 ODU850742:ODW850825 ONQ850742:ONS850825 OXM850742:OXO850825 PHI850742:PHK850825 PRE850742:PRG850825 QBA850742:QBC850825 QKW850742:QKY850825 QUS850742:QUU850825 REO850742:REQ850825 ROK850742:ROM850825 RYG850742:RYI850825 SIC850742:SIE850825 SRY850742:SSA850825 TBU850742:TBW850825 TLQ850742:TLS850825 TVM850742:TVO850825 UFI850742:UFK850825 UPE850742:UPG850825 UZA850742:UZC850825 VIW850742:VIY850825 VSS850742:VSU850825 WCO850742:WCQ850825 WMK850742:WMM850825 WWG850742:WWI850825 Y916278:AA916361 JU916278:JW916361 TQ916278:TS916361 ADM916278:ADO916361 ANI916278:ANK916361 AXE916278:AXG916361 BHA916278:BHC916361 BQW916278:BQY916361 CAS916278:CAU916361 CKO916278:CKQ916361 CUK916278:CUM916361 DEG916278:DEI916361 DOC916278:DOE916361 DXY916278:DYA916361 EHU916278:EHW916361 ERQ916278:ERS916361 FBM916278:FBO916361 FLI916278:FLK916361 FVE916278:FVG916361 GFA916278:GFC916361 GOW916278:GOY916361 GYS916278:GYU916361 HIO916278:HIQ916361 HSK916278:HSM916361 ICG916278:ICI916361 IMC916278:IME916361 IVY916278:IWA916361 JFU916278:JFW916361 JPQ916278:JPS916361 JZM916278:JZO916361 KJI916278:KJK916361 KTE916278:KTG916361 LDA916278:LDC916361 LMW916278:LMY916361 LWS916278:LWU916361 MGO916278:MGQ916361 MQK916278:MQM916361 NAG916278:NAI916361 NKC916278:NKE916361 NTY916278:NUA916361 ODU916278:ODW916361 ONQ916278:ONS916361 OXM916278:OXO916361 PHI916278:PHK916361 PRE916278:PRG916361 QBA916278:QBC916361 QKW916278:QKY916361 QUS916278:QUU916361 REO916278:REQ916361 ROK916278:ROM916361 RYG916278:RYI916361 SIC916278:SIE916361 SRY916278:SSA916361 TBU916278:TBW916361 TLQ916278:TLS916361 TVM916278:TVO916361 UFI916278:UFK916361 UPE916278:UPG916361 UZA916278:UZC916361 VIW916278:VIY916361 VSS916278:VSU916361 WCO916278:WCQ916361 WMK916278:WMM916361 WWG916278:WWI916361 Y981814:AA981897 JU981814:JW981897 TQ981814:TS981897 ADM981814:ADO981897 ANI981814:ANK981897 AXE981814:AXG981897 BHA981814:BHC981897 BQW981814:BQY981897 CAS981814:CAU981897 CKO981814:CKQ981897 CUK981814:CUM981897 DEG981814:DEI981897 DOC981814:DOE981897 DXY981814:DYA981897 EHU981814:EHW981897 ERQ981814:ERS981897 FBM981814:FBO981897 FLI981814:FLK981897 FVE981814:FVG981897 GFA981814:GFC981897 GOW981814:GOY981897 GYS981814:GYU981897 HIO981814:HIQ981897 HSK981814:HSM981897 ICG981814:ICI981897 IMC981814:IME981897 IVY981814:IWA981897 JFU981814:JFW981897 JPQ981814:JPS981897 JZM981814:JZO981897 KJI981814:KJK981897 KTE981814:KTG981897 LDA981814:LDC981897 LMW981814:LMY981897 LWS981814:LWU981897 MGO981814:MGQ981897 MQK981814:MQM981897 NAG981814:NAI981897 NKC981814:NKE981897 NTY981814:NUA981897 ODU981814:ODW981897 ONQ981814:ONS981897 OXM981814:OXO981897 PHI981814:PHK981897 PRE981814:PRG981897 QBA981814:QBC981897 QKW981814:QKY981897 QUS981814:QUU981897 REO981814:REQ981897 ROK981814:ROM981897 RYG981814:RYI981897 SIC981814:SIE981897 SRY981814:SSA981897 TBU981814:TBW981897 TLQ981814:TLS981897 TVM981814:TVO981897 UFI981814:UFK981897 UPE981814:UPG981897 UZA981814:UZC981897 VIW981814:VIY981897 VSS981814:VSU981897 WWG2:WWI82 WMK2:WMM82 WCO2:WCQ82 VSS2:VSU82 VIW2:VIY82 UZA2:UZC82 UPE2:UPG82 UFI2:UFK82 TVM2:TVO82 TLQ2:TLS82 TBU2:TBW82 SRY2:SSA82 SIC2:SIE82 RYG2:RYI82 ROK2:ROM82 REO2:REQ82 QUS2:QUU82 QKW2:QKY82 QBA2:QBC82 PRE2:PRG82 PHI2:PHK82 OXM2:OXO82 ONQ2:ONS82 ODU2:ODW82 NTY2:NUA82 NKC2:NKE82 NAG2:NAI82 MQK2:MQM82 MGO2:MGQ82 LWS2:LWU82 LMW2:LMY82 LDA2:LDC82 KTE2:KTG82 KJI2:KJK82 JZM2:JZO82 JPQ2:JPS82 JFU2:JFW82 IVY2:IWA82 IMC2:IME82 ICG2:ICI82 HSK2:HSM82 HIO2:HIQ82 GYS2:GYU82 GOW2:GOY82 GFA2:GFC82 FVE2:FVG82 FLI2:FLK82 FBM2:FBO82 ERQ2:ERS82 EHU2:EHW82 DXY2:DYA82 DOC2:DOE82 DEG2:DEI82 CUK2:CUM82 CKO2:CKQ82 CAS2:CAU82 BQW2:BQY82 BHA2:BHC82 AXE2:AXG82 ANI2:ANK82 ADM2:ADO82 TQ2:TS82 JU2:JW82" xr:uid="{1FE09E21-BBE6-46C6-BEEF-2A87DC1ABB05}">
      <formula1>$AV$2:$AV$22</formula1>
    </dataValidation>
    <dataValidation type="list" allowBlank="1" showInputMessage="1" showErrorMessage="1" sqref="K130:K509" xr:uid="{6DDDD7BB-97C6-4882-ADA2-C5C708697C9B}">
      <formula1>$AR$2:$AR$25</formula1>
    </dataValidation>
    <dataValidation type="list" allowBlank="1" showInputMessage="1" showErrorMessage="1" sqref="J105:J509 J2:J103" xr:uid="{6780AAD1-B968-4A16-93D1-F8C556BB3F3B}">
      <formula1>$AP$2:$AP$27</formula1>
    </dataValidation>
    <dataValidation type="list" allowBlank="1" showInputMessage="1" showErrorMessage="1" sqref="F107:F511 F2:F105" xr:uid="{648C8D3D-297A-440B-B4BC-062A4B021070}">
      <formula1>$AH$2:$AH$10</formula1>
    </dataValidation>
    <dataValidation type="list" allowBlank="1" showInputMessage="1" showErrorMessage="1" sqref="E107:E511 E2:E105" xr:uid="{F400BF45-CA2D-48A1-B2A6-762FF0FFEB41}">
      <formula1>$AG$2:$AG$11</formula1>
    </dataValidation>
    <dataValidation type="list" allowBlank="1" showInputMessage="1" showErrorMessage="1" sqref="A105:A509 A2:A103" xr:uid="{9B68FE42-3CB1-4021-8697-625F139AAE41}">
      <formula1>$AE$2:$AE$19</formula1>
    </dataValidation>
    <dataValidation type="list" allowBlank="1" showInputMessage="1" showErrorMessage="1" sqref="H105:H509 H2:H103" xr:uid="{5E981EB6-C92B-45BA-95E7-731915CE5F80}">
      <formula1>$AL$2:$AL$8</formula1>
    </dataValidation>
    <dataValidation type="list" allowBlank="1" showInputMessage="1" showErrorMessage="1" sqref="Y105:AA509 Y2:AA103" xr:uid="{5B2D0CAB-32FA-41CB-BB70-386F0269E0DC}">
      <formula1>$AV$2:$AV$21</formula1>
    </dataValidation>
    <dataValidation type="decimal" allowBlank="1" showInputMessage="1" showErrorMessage="1" error="硬度を正しく入力して下さい。" sqref="O105:P509 O18:P19 P15 P13 O77:P103 O23:P49" xr:uid="{BD5A9233-8AA6-4ACD-9D5B-C6FD8F3C26F4}">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E179C-41DB-4033-BAAD-C1FF8857B2E5}">
  <dimension ref="A1:BA145"/>
  <sheetViews>
    <sheetView zoomScale="70" zoomScaleNormal="70" workbookViewId="0">
      <selection activeCell="K74" sqref="K74"/>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311</v>
      </c>
      <c r="O1" s="56" t="s">
        <v>14</v>
      </c>
      <c r="P1" s="56" t="s">
        <v>15</v>
      </c>
      <c r="Q1" s="3" t="s">
        <v>16</v>
      </c>
      <c r="R1" s="56" t="s">
        <v>17</v>
      </c>
      <c r="S1" s="56" t="s">
        <v>18</v>
      </c>
      <c r="T1" s="3" t="s">
        <v>19</v>
      </c>
      <c r="U1" s="58" t="s">
        <v>312</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232</v>
      </c>
      <c r="C2" s="62">
        <v>2019</v>
      </c>
      <c r="D2" s="137" t="s">
        <v>313</v>
      </c>
      <c r="E2" s="53" t="s">
        <v>314</v>
      </c>
      <c r="F2" s="53" t="s">
        <v>315</v>
      </c>
      <c r="G2" s="53" t="s">
        <v>36</v>
      </c>
      <c r="H2" s="53" t="s">
        <v>160</v>
      </c>
      <c r="I2" s="53" t="s">
        <v>159</v>
      </c>
      <c r="J2" s="53" t="s">
        <v>38</v>
      </c>
      <c r="K2" s="53" t="s">
        <v>161</v>
      </c>
      <c r="L2" s="53">
        <v>1</v>
      </c>
      <c r="N2" s="53">
        <v>4</v>
      </c>
      <c r="O2" s="53">
        <v>0.55000000000000004</v>
      </c>
      <c r="P2" s="53">
        <v>0.55000000000000004</v>
      </c>
      <c r="Q2" s="75">
        <f>IF(OR(O2="",P2=""),"",AVERAGE(O2,P2))</f>
        <v>0.55000000000000004</v>
      </c>
      <c r="R2" s="53">
        <v>16.100000000000001</v>
      </c>
      <c r="S2" s="53">
        <v>100</v>
      </c>
      <c r="T2" s="16">
        <f t="shared" ref="T2:T65" si="0">IF(H2="","",IF(OR(H2="GREEN",H2="GK"),IF(S2&gt;=$AX$2,VLOOKUP(S2,$AX$2:$AY$12,2,1),""),IF(S2&gt;=$AZ$2,VLOOKUP(S2,$AZ$2:$BA$12,2,1),"")))</f>
        <v>33</v>
      </c>
      <c r="U2" s="53">
        <v>398</v>
      </c>
      <c r="V2" s="16">
        <f t="shared" ref="V2:V65" si="1">IF(J2="","",IF(OR(J2="GREEN",J2="GK"),IF(U2&gt;=$AX$2,VLOOKUP(U2,$AX$2:$AY$12,2,1),""),IF(U2&gt;=$AZ$2,VLOOKUP(U2,$AZ$2:$BA$12,2,1),"")))</f>
        <v>16</v>
      </c>
      <c r="W2" s="53">
        <v>2</v>
      </c>
      <c r="X2" s="53" t="s">
        <v>46</v>
      </c>
      <c r="Y2" s="53" t="s">
        <v>316</v>
      </c>
      <c r="Z2" s="53" t="s">
        <v>78</v>
      </c>
      <c r="AA2" s="53" t="s">
        <v>97</v>
      </c>
      <c r="AB2" s="53" t="s">
        <v>317</v>
      </c>
      <c r="AE2" s="64" t="s">
        <v>35</v>
      </c>
      <c r="AG2" s="138" t="s">
        <v>318</v>
      </c>
      <c r="AH2" s="139" t="s">
        <v>319</v>
      </c>
      <c r="AJ2" s="67" t="s">
        <v>36</v>
      </c>
      <c r="AL2" s="67" t="s">
        <v>127</v>
      </c>
      <c r="AN2" s="67" t="s">
        <v>320</v>
      </c>
      <c r="AP2" s="67" t="s">
        <v>38</v>
      </c>
      <c r="AR2" s="67" t="s">
        <v>120</v>
      </c>
      <c r="AT2" s="67" t="s">
        <v>39</v>
      </c>
      <c r="AV2" s="23" t="s">
        <v>55</v>
      </c>
      <c r="AX2" s="68">
        <v>1</v>
      </c>
      <c r="AY2" s="69">
        <v>50</v>
      </c>
      <c r="AZ2" s="69">
        <v>1</v>
      </c>
      <c r="BA2" s="70">
        <v>50</v>
      </c>
    </row>
    <row r="3" spans="1:53" x14ac:dyDescent="0.15">
      <c r="A3" s="53" t="s">
        <v>59</v>
      </c>
      <c r="B3" s="53" t="s">
        <v>232</v>
      </c>
      <c r="C3" s="62">
        <v>2019</v>
      </c>
      <c r="D3" s="137" t="s">
        <v>313</v>
      </c>
      <c r="E3" s="53" t="s">
        <v>314</v>
      </c>
      <c r="F3" s="53" t="s">
        <v>315</v>
      </c>
      <c r="G3" s="53" t="s">
        <v>36</v>
      </c>
      <c r="H3" s="53" t="s">
        <v>160</v>
      </c>
      <c r="I3" s="53" t="s">
        <v>159</v>
      </c>
      <c r="J3" s="53" t="s">
        <v>38</v>
      </c>
      <c r="K3" s="53" t="s">
        <v>161</v>
      </c>
      <c r="L3" s="53">
        <v>2</v>
      </c>
      <c r="N3" s="53">
        <v>4</v>
      </c>
      <c r="O3" s="53">
        <v>0.53</v>
      </c>
      <c r="P3" s="53">
        <v>0.61</v>
      </c>
      <c r="Q3" s="75">
        <f t="shared" ref="Q3:Q66" si="2">IF(OR(O3="",P3=""),"",AVERAGE(O3,P3))</f>
        <v>0.57000000000000006</v>
      </c>
      <c r="R3" s="53">
        <v>14.3</v>
      </c>
      <c r="S3" s="53">
        <v>101</v>
      </c>
      <c r="T3" s="16">
        <f t="shared" si="0"/>
        <v>33</v>
      </c>
      <c r="U3" s="53">
        <v>398</v>
      </c>
      <c r="V3" s="16">
        <f t="shared" si="1"/>
        <v>16</v>
      </c>
      <c r="W3" s="53">
        <v>2</v>
      </c>
      <c r="X3" s="53" t="s">
        <v>46</v>
      </c>
      <c r="Y3" s="53" t="s">
        <v>316</v>
      </c>
      <c r="Z3" s="53" t="s">
        <v>78</v>
      </c>
      <c r="AA3" s="53" t="s">
        <v>97</v>
      </c>
      <c r="AB3" s="53" t="s">
        <v>317</v>
      </c>
      <c r="AE3" s="22" t="s">
        <v>41</v>
      </c>
      <c r="AG3" s="138" t="s">
        <v>321</v>
      </c>
      <c r="AH3" s="139" t="s">
        <v>315</v>
      </c>
      <c r="AJ3" s="23" t="s">
        <v>42</v>
      </c>
      <c r="AL3" s="23" t="s">
        <v>128</v>
      </c>
      <c r="AN3" s="23" t="s">
        <v>43</v>
      </c>
      <c r="AP3" s="23" t="s">
        <v>44</v>
      </c>
      <c r="AR3" s="23" t="s">
        <v>45</v>
      </c>
      <c r="AT3" s="23" t="s">
        <v>46</v>
      </c>
      <c r="AV3" s="23" t="s">
        <v>306</v>
      </c>
      <c r="AX3" s="24">
        <v>72</v>
      </c>
      <c r="AY3" s="25">
        <v>46</v>
      </c>
      <c r="AZ3" s="25">
        <v>71</v>
      </c>
      <c r="BA3" s="26">
        <v>42</v>
      </c>
    </row>
    <row r="4" spans="1:53" x14ac:dyDescent="0.15">
      <c r="A4" s="53" t="s">
        <v>59</v>
      </c>
      <c r="B4" s="53" t="s">
        <v>232</v>
      </c>
      <c r="C4" s="62">
        <v>2019</v>
      </c>
      <c r="D4" s="137" t="s">
        <v>313</v>
      </c>
      <c r="E4" s="53" t="s">
        <v>314</v>
      </c>
      <c r="F4" s="53" t="s">
        <v>315</v>
      </c>
      <c r="G4" s="53" t="s">
        <v>36</v>
      </c>
      <c r="H4" s="53" t="s">
        <v>160</v>
      </c>
      <c r="I4" s="53" t="s">
        <v>322</v>
      </c>
      <c r="J4" s="53" t="s">
        <v>38</v>
      </c>
      <c r="K4" s="53" t="s">
        <v>161</v>
      </c>
      <c r="L4" s="53">
        <v>3</v>
      </c>
      <c r="N4" s="53">
        <v>4</v>
      </c>
      <c r="O4" s="53">
        <v>0.54</v>
      </c>
      <c r="P4" s="53">
        <v>0.53</v>
      </c>
      <c r="Q4" s="75">
        <f t="shared" si="2"/>
        <v>0.53500000000000003</v>
      </c>
      <c r="R4" s="53">
        <v>15.7</v>
      </c>
      <c r="S4" s="53">
        <v>105</v>
      </c>
      <c r="T4" s="16">
        <f t="shared" si="0"/>
        <v>33</v>
      </c>
      <c r="U4" s="53">
        <v>398</v>
      </c>
      <c r="V4" s="16">
        <f t="shared" si="1"/>
        <v>16</v>
      </c>
      <c r="W4" s="53">
        <v>2</v>
      </c>
      <c r="X4" s="53" t="s">
        <v>46</v>
      </c>
      <c r="Y4" s="53" t="s">
        <v>316</v>
      </c>
      <c r="Z4" s="53" t="s">
        <v>78</v>
      </c>
      <c r="AA4" s="53" t="s">
        <v>97</v>
      </c>
      <c r="AB4" s="53" t="s">
        <v>317</v>
      </c>
      <c r="AE4" s="22" t="s">
        <v>34</v>
      </c>
      <c r="AG4" s="138" t="s">
        <v>323</v>
      </c>
      <c r="AH4" s="139" t="s">
        <v>324</v>
      </c>
      <c r="AJ4" s="27" t="s">
        <v>48</v>
      </c>
      <c r="AL4" s="27" t="s">
        <v>129</v>
      </c>
      <c r="AN4" s="28" t="s">
        <v>49</v>
      </c>
      <c r="AP4" s="23" t="s">
        <v>93</v>
      </c>
      <c r="AR4" s="23" t="s">
        <v>325</v>
      </c>
      <c r="AT4" s="28"/>
      <c r="AV4" s="23" t="s">
        <v>316</v>
      </c>
      <c r="AX4" s="24">
        <v>75</v>
      </c>
      <c r="AY4" s="25">
        <v>42</v>
      </c>
      <c r="AZ4" s="25">
        <v>76</v>
      </c>
      <c r="BA4" s="26">
        <v>39</v>
      </c>
    </row>
    <row r="5" spans="1:53" x14ac:dyDescent="0.15">
      <c r="A5" s="53" t="s">
        <v>59</v>
      </c>
      <c r="B5" s="53" t="s">
        <v>232</v>
      </c>
      <c r="C5" s="62">
        <v>2019</v>
      </c>
      <c r="D5" s="137" t="s">
        <v>313</v>
      </c>
      <c r="E5" s="53" t="s">
        <v>314</v>
      </c>
      <c r="F5" s="53" t="s">
        <v>315</v>
      </c>
      <c r="G5" s="53" t="s">
        <v>36</v>
      </c>
      <c r="H5" s="53" t="s">
        <v>164</v>
      </c>
      <c r="I5" s="53" t="s">
        <v>159</v>
      </c>
      <c r="J5" s="53" t="s">
        <v>38</v>
      </c>
      <c r="K5" s="53" t="s">
        <v>161</v>
      </c>
      <c r="L5" s="53">
        <v>1</v>
      </c>
      <c r="N5" s="53">
        <v>5</v>
      </c>
      <c r="O5" s="53">
        <v>0.45</v>
      </c>
      <c r="P5" s="53">
        <v>0.5</v>
      </c>
      <c r="Q5" s="75">
        <f t="shared" si="2"/>
        <v>0.47499999999999998</v>
      </c>
      <c r="R5" s="53">
        <v>13.6</v>
      </c>
      <c r="S5" s="53">
        <v>80</v>
      </c>
      <c r="T5" s="16">
        <f t="shared" si="0"/>
        <v>39</v>
      </c>
      <c r="U5" s="53">
        <v>348</v>
      </c>
      <c r="V5" s="16">
        <f t="shared" si="1"/>
        <v>16</v>
      </c>
      <c r="W5" s="53">
        <v>2</v>
      </c>
      <c r="X5" s="53" t="s">
        <v>46</v>
      </c>
      <c r="Y5" s="53" t="s">
        <v>316</v>
      </c>
      <c r="Z5" s="53" t="s">
        <v>78</v>
      </c>
      <c r="AA5" s="53" t="s">
        <v>97</v>
      </c>
      <c r="AB5" s="53" t="s">
        <v>317</v>
      </c>
      <c r="AE5" s="22" t="s">
        <v>51</v>
      </c>
      <c r="AG5" s="138" t="s">
        <v>326</v>
      </c>
      <c r="AH5" s="139" t="s">
        <v>327</v>
      </c>
      <c r="AJ5" s="28"/>
      <c r="AL5" s="73" t="s">
        <v>66</v>
      </c>
      <c r="AN5" s="73" t="s">
        <v>52</v>
      </c>
      <c r="AP5" s="23" t="s">
        <v>244</v>
      </c>
      <c r="AR5" s="23" t="s">
        <v>54</v>
      </c>
      <c r="AV5" s="23" t="s">
        <v>328</v>
      </c>
      <c r="AX5" s="24">
        <v>84</v>
      </c>
      <c r="AY5" s="25">
        <v>39</v>
      </c>
      <c r="AZ5" s="25">
        <v>84</v>
      </c>
      <c r="BA5" s="26">
        <v>36</v>
      </c>
    </row>
    <row r="6" spans="1:53" x14ac:dyDescent="0.15">
      <c r="A6" s="53" t="s">
        <v>59</v>
      </c>
      <c r="B6" s="53" t="s">
        <v>232</v>
      </c>
      <c r="C6" s="62">
        <v>2019</v>
      </c>
      <c r="D6" s="137" t="s">
        <v>313</v>
      </c>
      <c r="E6" s="53" t="s">
        <v>314</v>
      </c>
      <c r="F6" s="53" t="s">
        <v>315</v>
      </c>
      <c r="G6" s="53" t="s">
        <v>36</v>
      </c>
      <c r="H6" s="53" t="s">
        <v>164</v>
      </c>
      <c r="I6" s="53" t="s">
        <v>159</v>
      </c>
      <c r="J6" s="53" t="s">
        <v>38</v>
      </c>
      <c r="K6" s="53" t="s">
        <v>161</v>
      </c>
      <c r="L6" s="53">
        <v>2</v>
      </c>
      <c r="N6" s="53">
        <v>5</v>
      </c>
      <c r="O6" s="53">
        <v>0.52</v>
      </c>
      <c r="P6" s="53">
        <v>0.51</v>
      </c>
      <c r="Q6" s="75">
        <f t="shared" si="2"/>
        <v>0.51500000000000001</v>
      </c>
      <c r="R6" s="53">
        <v>14.7</v>
      </c>
      <c r="S6" s="53">
        <v>95</v>
      </c>
      <c r="T6" s="16">
        <f t="shared" si="0"/>
        <v>36</v>
      </c>
      <c r="U6" s="53">
        <v>348</v>
      </c>
      <c r="V6" s="16">
        <f t="shared" si="1"/>
        <v>16</v>
      </c>
      <c r="W6" s="53">
        <v>2</v>
      </c>
      <c r="X6" s="53" t="s">
        <v>46</v>
      </c>
      <c r="Y6" s="53" t="s">
        <v>316</v>
      </c>
      <c r="Z6" s="53" t="s">
        <v>78</v>
      </c>
      <c r="AA6" s="53" t="s">
        <v>97</v>
      </c>
      <c r="AB6" s="53" t="s">
        <v>317</v>
      </c>
      <c r="AE6" s="22" t="s">
        <v>56</v>
      </c>
      <c r="AG6" s="138" t="s">
        <v>329</v>
      </c>
      <c r="AH6" s="139" t="s">
        <v>330</v>
      </c>
      <c r="AL6" s="73" t="s">
        <v>99</v>
      </c>
      <c r="AN6" s="73" t="s">
        <v>57</v>
      </c>
      <c r="AP6" s="23" t="s">
        <v>53</v>
      </c>
      <c r="AR6" s="23" t="s">
        <v>331</v>
      </c>
      <c r="AV6" s="23" t="s">
        <v>60</v>
      </c>
      <c r="AX6" s="24">
        <v>97</v>
      </c>
      <c r="AY6" s="25">
        <v>36</v>
      </c>
      <c r="AZ6" s="25">
        <v>99</v>
      </c>
      <c r="BA6" s="26">
        <v>33</v>
      </c>
    </row>
    <row r="7" spans="1:53" x14ac:dyDescent="0.15">
      <c r="A7" s="53" t="s">
        <v>59</v>
      </c>
      <c r="B7" s="53" t="s">
        <v>232</v>
      </c>
      <c r="C7" s="62">
        <v>2019</v>
      </c>
      <c r="D7" s="137" t="s">
        <v>313</v>
      </c>
      <c r="E7" s="53" t="s">
        <v>314</v>
      </c>
      <c r="F7" s="53" t="s">
        <v>315</v>
      </c>
      <c r="G7" s="53" t="s">
        <v>36</v>
      </c>
      <c r="H7" s="53" t="s">
        <v>164</v>
      </c>
      <c r="I7" s="53" t="s">
        <v>159</v>
      </c>
      <c r="J7" s="53" t="s">
        <v>38</v>
      </c>
      <c r="K7" s="53" t="s">
        <v>161</v>
      </c>
      <c r="L7" s="53">
        <v>3</v>
      </c>
      <c r="N7" s="53">
        <v>5</v>
      </c>
      <c r="O7" s="53">
        <v>0.53</v>
      </c>
      <c r="P7" s="53">
        <v>0.5</v>
      </c>
      <c r="Q7" s="75">
        <f t="shared" si="2"/>
        <v>0.51500000000000001</v>
      </c>
      <c r="R7" s="53">
        <v>13.8</v>
      </c>
      <c r="S7" s="53">
        <v>81</v>
      </c>
      <c r="T7" s="16">
        <f t="shared" si="0"/>
        <v>39</v>
      </c>
      <c r="U7" s="53">
        <v>348</v>
      </c>
      <c r="V7" s="16">
        <f t="shared" si="1"/>
        <v>16</v>
      </c>
      <c r="W7" s="53">
        <v>2</v>
      </c>
      <c r="X7" s="53" t="s">
        <v>46</v>
      </c>
      <c r="Y7" s="53" t="s">
        <v>316</v>
      </c>
      <c r="Z7" s="53" t="s">
        <v>78</v>
      </c>
      <c r="AA7" s="53" t="s">
        <v>97</v>
      </c>
      <c r="AB7" s="53" t="s">
        <v>317</v>
      </c>
      <c r="AE7" s="22" t="s">
        <v>61</v>
      </c>
      <c r="AG7" s="138" t="s">
        <v>332</v>
      </c>
      <c r="AH7" s="139" t="s">
        <v>333</v>
      </c>
      <c r="AL7" s="34" t="s">
        <v>109</v>
      </c>
      <c r="AP7" s="23" t="s">
        <v>58</v>
      </c>
      <c r="AR7" s="23" t="s">
        <v>334</v>
      </c>
      <c r="AV7" s="23" t="s">
        <v>64</v>
      </c>
      <c r="AX7" s="24">
        <v>109</v>
      </c>
      <c r="AY7" s="25">
        <v>33</v>
      </c>
      <c r="AZ7" s="25">
        <v>113</v>
      </c>
      <c r="BA7" s="26">
        <v>30</v>
      </c>
    </row>
    <row r="8" spans="1:53" x14ac:dyDescent="0.15">
      <c r="A8" s="53" t="s">
        <v>59</v>
      </c>
      <c r="B8" s="53" t="s">
        <v>232</v>
      </c>
      <c r="C8" s="62">
        <v>2019</v>
      </c>
      <c r="D8" s="137" t="s">
        <v>313</v>
      </c>
      <c r="E8" s="53" t="s">
        <v>318</v>
      </c>
      <c r="F8" s="53" t="s">
        <v>319</v>
      </c>
      <c r="G8" s="53" t="s">
        <v>36</v>
      </c>
      <c r="H8" s="53" t="s">
        <v>160</v>
      </c>
      <c r="I8" s="53" t="s">
        <v>159</v>
      </c>
      <c r="J8" s="53" t="s">
        <v>38</v>
      </c>
      <c r="K8" s="53" t="s">
        <v>161</v>
      </c>
      <c r="L8" s="53">
        <v>1</v>
      </c>
      <c r="N8" s="53">
        <v>4</v>
      </c>
      <c r="O8" s="53">
        <v>0.4</v>
      </c>
      <c r="P8" s="53">
        <v>0.44</v>
      </c>
      <c r="Q8" s="75">
        <f t="shared" si="2"/>
        <v>0.42000000000000004</v>
      </c>
      <c r="R8" s="53">
        <v>15.8</v>
      </c>
      <c r="S8" s="53">
        <v>107</v>
      </c>
      <c r="T8" s="16">
        <f t="shared" si="0"/>
        <v>33</v>
      </c>
      <c r="U8" s="53">
        <v>297</v>
      </c>
      <c r="V8" s="16">
        <f t="shared" si="1"/>
        <v>16</v>
      </c>
      <c r="W8" s="53">
        <v>10</v>
      </c>
      <c r="X8" s="53" t="s">
        <v>39</v>
      </c>
      <c r="Y8" s="53" t="s">
        <v>97</v>
      </c>
      <c r="Z8" s="53" t="s">
        <v>69</v>
      </c>
      <c r="AA8" s="53" t="s">
        <v>316</v>
      </c>
      <c r="AB8" s="53" t="s">
        <v>317</v>
      </c>
      <c r="AE8" s="22" t="s">
        <v>59</v>
      </c>
      <c r="AG8" s="140" t="s">
        <v>162</v>
      </c>
      <c r="AH8" s="139" t="s">
        <v>335</v>
      </c>
      <c r="AL8" s="34" t="s">
        <v>134</v>
      </c>
      <c r="AP8" s="23" t="s">
        <v>62</v>
      </c>
      <c r="AR8" s="23" t="s">
        <v>81</v>
      </c>
      <c r="AV8" s="23" t="s">
        <v>97</v>
      </c>
      <c r="AX8" s="24">
        <v>119</v>
      </c>
      <c r="AY8" s="25">
        <v>30</v>
      </c>
      <c r="AZ8" s="25">
        <v>121</v>
      </c>
      <c r="BA8" s="26">
        <v>27</v>
      </c>
    </row>
    <row r="9" spans="1:53" x14ac:dyDescent="0.15">
      <c r="A9" s="53" t="s">
        <v>59</v>
      </c>
      <c r="B9" s="53" t="s">
        <v>232</v>
      </c>
      <c r="C9" s="62">
        <v>2019</v>
      </c>
      <c r="D9" s="137" t="s">
        <v>313</v>
      </c>
      <c r="E9" s="53" t="s">
        <v>318</v>
      </c>
      <c r="F9" s="53" t="s">
        <v>319</v>
      </c>
      <c r="G9" s="53" t="s">
        <v>36</v>
      </c>
      <c r="H9" s="53" t="s">
        <v>160</v>
      </c>
      <c r="I9" s="53" t="s">
        <v>159</v>
      </c>
      <c r="J9" s="53" t="s">
        <v>38</v>
      </c>
      <c r="K9" s="53" t="s">
        <v>161</v>
      </c>
      <c r="L9" s="53">
        <v>2</v>
      </c>
      <c r="N9" s="53">
        <v>4</v>
      </c>
      <c r="O9" s="53">
        <v>0.28999999999999998</v>
      </c>
      <c r="P9" s="53">
        <v>0.35</v>
      </c>
      <c r="Q9" s="75">
        <f t="shared" si="2"/>
        <v>0.31999999999999995</v>
      </c>
      <c r="R9" s="53">
        <v>16</v>
      </c>
      <c r="S9" s="53">
        <v>109</v>
      </c>
      <c r="T9" s="16">
        <f t="shared" si="0"/>
        <v>33</v>
      </c>
      <c r="U9" s="53">
        <v>297</v>
      </c>
      <c r="V9" s="16">
        <f t="shared" si="1"/>
        <v>16</v>
      </c>
      <c r="W9" s="53">
        <v>10</v>
      </c>
      <c r="X9" s="53" t="s">
        <v>39</v>
      </c>
      <c r="Y9" s="53" t="s">
        <v>97</v>
      </c>
      <c r="Z9" s="53" t="s">
        <v>69</v>
      </c>
      <c r="AA9" s="53" t="s">
        <v>316</v>
      </c>
      <c r="AB9" s="53" t="s">
        <v>317</v>
      </c>
      <c r="AE9" s="22" t="s">
        <v>98</v>
      </c>
      <c r="AG9" s="140" t="s">
        <v>336</v>
      </c>
      <c r="AH9" s="139" t="s">
        <v>335</v>
      </c>
      <c r="AL9" s="73"/>
      <c r="AP9" s="23" t="s">
        <v>337</v>
      </c>
      <c r="AR9" s="23" t="s">
        <v>89</v>
      </c>
      <c r="AV9" s="23" t="s">
        <v>102</v>
      </c>
      <c r="AX9" s="24">
        <v>128</v>
      </c>
      <c r="AY9" s="25">
        <v>27</v>
      </c>
      <c r="AZ9" s="25">
        <v>129</v>
      </c>
      <c r="BA9" s="26">
        <v>25</v>
      </c>
    </row>
    <row r="10" spans="1:53" x14ac:dyDescent="0.15">
      <c r="A10" s="53" t="s">
        <v>59</v>
      </c>
      <c r="B10" s="53" t="s">
        <v>232</v>
      </c>
      <c r="C10" s="62">
        <v>2019</v>
      </c>
      <c r="D10" s="137" t="s">
        <v>313</v>
      </c>
      <c r="E10" s="53" t="s">
        <v>318</v>
      </c>
      <c r="F10" s="53" t="s">
        <v>319</v>
      </c>
      <c r="G10" s="53" t="s">
        <v>36</v>
      </c>
      <c r="H10" s="53" t="s">
        <v>160</v>
      </c>
      <c r="I10" s="53" t="s">
        <v>159</v>
      </c>
      <c r="J10" s="53" t="s">
        <v>38</v>
      </c>
      <c r="K10" s="53" t="s">
        <v>161</v>
      </c>
      <c r="L10" s="53">
        <v>3</v>
      </c>
      <c r="N10" s="53">
        <v>4</v>
      </c>
      <c r="O10" s="53">
        <v>0.42</v>
      </c>
      <c r="P10" s="53">
        <v>0.39</v>
      </c>
      <c r="Q10" s="75">
        <f t="shared" si="2"/>
        <v>0.40500000000000003</v>
      </c>
      <c r="R10" s="53">
        <v>16.600000000000001</v>
      </c>
      <c r="S10" s="53">
        <v>100</v>
      </c>
      <c r="T10" s="16">
        <f t="shared" si="0"/>
        <v>33</v>
      </c>
      <c r="U10" s="53">
        <v>297</v>
      </c>
      <c r="V10" s="16">
        <f t="shared" si="1"/>
        <v>16</v>
      </c>
      <c r="W10" s="53">
        <v>10</v>
      </c>
      <c r="X10" s="53" t="s">
        <v>39</v>
      </c>
      <c r="Y10" s="53" t="s">
        <v>97</v>
      </c>
      <c r="Z10" s="53" t="s">
        <v>69</v>
      </c>
      <c r="AA10" s="53" t="s">
        <v>316</v>
      </c>
      <c r="AB10" s="53" t="s">
        <v>317</v>
      </c>
      <c r="AE10" s="22" t="s">
        <v>103</v>
      </c>
      <c r="AG10" s="138" t="s">
        <v>338</v>
      </c>
      <c r="AH10" s="139" t="s">
        <v>327</v>
      </c>
      <c r="AL10" s="83"/>
      <c r="AP10" s="23" t="s">
        <v>100</v>
      </c>
      <c r="AR10" s="23" t="s">
        <v>123</v>
      </c>
      <c r="AV10" s="23" t="s">
        <v>106</v>
      </c>
      <c r="AX10" s="24">
        <v>138</v>
      </c>
      <c r="AY10" s="25">
        <v>25</v>
      </c>
      <c r="AZ10" s="25">
        <v>138</v>
      </c>
      <c r="BA10" s="26">
        <v>22</v>
      </c>
    </row>
    <row r="11" spans="1:53" x14ac:dyDescent="0.15">
      <c r="A11" s="53" t="s">
        <v>59</v>
      </c>
      <c r="B11" s="53" t="s">
        <v>232</v>
      </c>
      <c r="C11" s="62">
        <v>2019</v>
      </c>
      <c r="D11" s="137" t="s">
        <v>313</v>
      </c>
      <c r="E11" s="53" t="s">
        <v>318</v>
      </c>
      <c r="F11" s="53" t="s">
        <v>319</v>
      </c>
      <c r="G11" s="53" t="s">
        <v>36</v>
      </c>
      <c r="H11" s="53" t="s">
        <v>164</v>
      </c>
      <c r="I11" s="53" t="s">
        <v>159</v>
      </c>
      <c r="J11" s="53" t="s">
        <v>38</v>
      </c>
      <c r="K11" s="53" t="s">
        <v>161</v>
      </c>
      <c r="L11" s="53">
        <v>1</v>
      </c>
      <c r="N11" s="53">
        <v>8</v>
      </c>
      <c r="O11" s="53">
        <v>0.76</v>
      </c>
      <c r="P11" s="53">
        <v>0.71</v>
      </c>
      <c r="Q11" s="75">
        <f t="shared" si="2"/>
        <v>0.73499999999999999</v>
      </c>
      <c r="R11" s="53">
        <v>13.1</v>
      </c>
      <c r="S11" s="53">
        <v>86</v>
      </c>
      <c r="T11" s="16">
        <f t="shared" si="0"/>
        <v>36</v>
      </c>
      <c r="U11" s="53">
        <v>397</v>
      </c>
      <c r="V11" s="16">
        <f t="shared" si="1"/>
        <v>16</v>
      </c>
      <c r="W11" s="53">
        <v>4</v>
      </c>
      <c r="X11" s="53" t="s">
        <v>39</v>
      </c>
      <c r="Y11" s="53" t="s">
        <v>97</v>
      </c>
      <c r="Z11" s="53" t="s">
        <v>69</v>
      </c>
      <c r="AA11" s="53" t="s">
        <v>316</v>
      </c>
      <c r="AB11" s="53" t="s">
        <v>317</v>
      </c>
      <c r="AE11" s="22" t="s">
        <v>65</v>
      </c>
      <c r="AG11" s="140" t="s">
        <v>339</v>
      </c>
      <c r="AH11" s="139" t="s">
        <v>340</v>
      </c>
      <c r="AL11" s="83"/>
      <c r="AP11" s="23" t="s">
        <v>341</v>
      </c>
      <c r="AR11" s="23" t="s">
        <v>342</v>
      </c>
      <c r="AV11" s="23" t="s">
        <v>343</v>
      </c>
      <c r="AX11" s="24">
        <v>151</v>
      </c>
      <c r="AY11" s="25">
        <v>22</v>
      </c>
      <c r="AZ11" s="25">
        <v>152</v>
      </c>
      <c r="BA11" s="26">
        <v>18</v>
      </c>
    </row>
    <row r="12" spans="1:53" x14ac:dyDescent="0.15">
      <c r="A12" s="53" t="s">
        <v>59</v>
      </c>
      <c r="B12" s="53" t="s">
        <v>232</v>
      </c>
      <c r="C12" s="62">
        <v>2019</v>
      </c>
      <c r="D12" s="137" t="s">
        <v>313</v>
      </c>
      <c r="E12" s="53" t="s">
        <v>318</v>
      </c>
      <c r="F12" s="53" t="s">
        <v>319</v>
      </c>
      <c r="G12" s="53" t="s">
        <v>36</v>
      </c>
      <c r="H12" s="53" t="s">
        <v>164</v>
      </c>
      <c r="I12" s="53" t="s">
        <v>159</v>
      </c>
      <c r="J12" s="53" t="s">
        <v>38</v>
      </c>
      <c r="K12" s="53" t="s">
        <v>161</v>
      </c>
      <c r="L12" s="53">
        <v>2</v>
      </c>
      <c r="N12" s="53">
        <v>8</v>
      </c>
      <c r="O12" s="53">
        <v>0.8</v>
      </c>
      <c r="P12" s="53">
        <v>0.8</v>
      </c>
      <c r="Q12" s="75">
        <f t="shared" si="2"/>
        <v>0.8</v>
      </c>
      <c r="R12" s="53">
        <v>13.5</v>
      </c>
      <c r="S12" s="53">
        <v>86</v>
      </c>
      <c r="T12" s="16">
        <f t="shared" si="0"/>
        <v>36</v>
      </c>
      <c r="U12" s="53">
        <v>397</v>
      </c>
      <c r="V12" s="16">
        <f t="shared" si="1"/>
        <v>16</v>
      </c>
      <c r="W12" s="53">
        <v>4</v>
      </c>
      <c r="X12" s="53" t="s">
        <v>39</v>
      </c>
      <c r="Y12" s="53" t="s">
        <v>97</v>
      </c>
      <c r="Z12" s="53" t="s">
        <v>69</v>
      </c>
      <c r="AA12" s="53" t="s">
        <v>316</v>
      </c>
      <c r="AB12" s="53" t="s">
        <v>317</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232</v>
      </c>
      <c r="C13" s="62">
        <v>2019</v>
      </c>
      <c r="D13" s="137" t="s">
        <v>313</v>
      </c>
      <c r="E13" s="53" t="s">
        <v>318</v>
      </c>
      <c r="F13" s="53" t="s">
        <v>319</v>
      </c>
      <c r="G13" s="53" t="s">
        <v>36</v>
      </c>
      <c r="H13" s="53" t="s">
        <v>164</v>
      </c>
      <c r="I13" s="53" t="s">
        <v>159</v>
      </c>
      <c r="J13" s="53" t="s">
        <v>38</v>
      </c>
      <c r="K13" s="53" t="s">
        <v>161</v>
      </c>
      <c r="L13" s="53">
        <v>3</v>
      </c>
      <c r="N13" s="53">
        <v>8</v>
      </c>
      <c r="O13" s="53">
        <v>0.73</v>
      </c>
      <c r="P13" s="53">
        <v>0.72</v>
      </c>
      <c r="Q13" s="75">
        <f t="shared" si="2"/>
        <v>0.72499999999999998</v>
      </c>
      <c r="R13" s="53">
        <v>13.2</v>
      </c>
      <c r="S13" s="53">
        <v>95</v>
      </c>
      <c r="T13" s="16">
        <f t="shared" si="0"/>
        <v>36</v>
      </c>
      <c r="U13" s="53">
        <v>397</v>
      </c>
      <c r="V13" s="16">
        <f t="shared" si="1"/>
        <v>16</v>
      </c>
      <c r="W13" s="53">
        <v>4</v>
      </c>
      <c r="X13" s="53" t="s">
        <v>39</v>
      </c>
      <c r="Y13" s="53" t="s">
        <v>97</v>
      </c>
      <c r="Z13" s="53" t="s">
        <v>69</v>
      </c>
      <c r="AA13" s="53" t="s">
        <v>316</v>
      </c>
      <c r="AB13" s="53" t="s">
        <v>317</v>
      </c>
      <c r="AE13" s="22" t="s">
        <v>73</v>
      </c>
      <c r="AG13" s="23"/>
      <c r="AH13" s="23"/>
      <c r="AP13" s="23" t="s">
        <v>71</v>
      </c>
      <c r="AR13" s="23" t="s">
        <v>103</v>
      </c>
      <c r="AV13" s="23" t="s">
        <v>75</v>
      </c>
    </row>
    <row r="14" spans="1:53" x14ac:dyDescent="0.15">
      <c r="A14" s="53" t="s">
        <v>59</v>
      </c>
      <c r="B14" s="53" t="s">
        <v>232</v>
      </c>
      <c r="C14" s="62">
        <v>2019</v>
      </c>
      <c r="D14" s="137" t="s">
        <v>313</v>
      </c>
      <c r="E14" s="53" t="s">
        <v>326</v>
      </c>
      <c r="F14" s="53" t="s">
        <v>327</v>
      </c>
      <c r="G14" s="53" t="s">
        <v>36</v>
      </c>
      <c r="H14" s="53" t="s">
        <v>160</v>
      </c>
      <c r="I14" s="53" t="s">
        <v>159</v>
      </c>
      <c r="J14" s="53" t="s">
        <v>38</v>
      </c>
      <c r="K14" s="53" t="s">
        <v>161</v>
      </c>
      <c r="L14" s="53">
        <v>1</v>
      </c>
      <c r="N14" s="53">
        <v>2</v>
      </c>
      <c r="O14" s="53">
        <v>0.42</v>
      </c>
      <c r="P14" s="53">
        <v>0.47</v>
      </c>
      <c r="Q14" s="75">
        <f t="shared" si="2"/>
        <v>0.44499999999999995</v>
      </c>
      <c r="R14" s="53">
        <v>16.7</v>
      </c>
      <c r="S14" s="53">
        <v>166</v>
      </c>
      <c r="T14" s="16">
        <f t="shared" si="0"/>
        <v>18</v>
      </c>
      <c r="U14" s="53">
        <v>380</v>
      </c>
      <c r="V14" s="16">
        <f t="shared" si="1"/>
        <v>16</v>
      </c>
      <c r="W14" s="53">
        <v>6</v>
      </c>
      <c r="X14" s="53" t="s">
        <v>46</v>
      </c>
      <c r="Y14" s="53" t="s">
        <v>55</v>
      </c>
      <c r="Z14" s="53" t="s">
        <v>90</v>
      </c>
      <c r="AA14" s="53" t="s">
        <v>69</v>
      </c>
      <c r="AB14" s="53" t="s">
        <v>317</v>
      </c>
      <c r="AE14" s="22" t="s">
        <v>76</v>
      </c>
      <c r="AG14" s="23"/>
      <c r="AH14" s="23"/>
      <c r="AP14" s="23" t="s">
        <v>344</v>
      </c>
      <c r="AR14" s="23" t="s">
        <v>125</v>
      </c>
      <c r="AV14" s="23" t="s">
        <v>78</v>
      </c>
    </row>
    <row r="15" spans="1:53" x14ac:dyDescent="0.15">
      <c r="A15" s="53" t="s">
        <v>59</v>
      </c>
      <c r="B15" s="53" t="s">
        <v>232</v>
      </c>
      <c r="C15" s="62">
        <v>2019</v>
      </c>
      <c r="D15" s="137" t="s">
        <v>313</v>
      </c>
      <c r="E15" s="53" t="s">
        <v>326</v>
      </c>
      <c r="F15" s="53" t="s">
        <v>327</v>
      </c>
      <c r="G15" s="53" t="s">
        <v>36</v>
      </c>
      <c r="H15" s="53" t="s">
        <v>160</v>
      </c>
      <c r="I15" s="53" t="s">
        <v>159</v>
      </c>
      <c r="J15" s="53" t="s">
        <v>38</v>
      </c>
      <c r="K15" s="53" t="s">
        <v>161</v>
      </c>
      <c r="L15" s="53">
        <v>2</v>
      </c>
      <c r="N15" s="53">
        <v>2</v>
      </c>
      <c r="O15" s="53">
        <v>0.43</v>
      </c>
      <c r="P15" s="53">
        <v>0.47</v>
      </c>
      <c r="Q15" s="75">
        <f t="shared" si="2"/>
        <v>0.44999999999999996</v>
      </c>
      <c r="R15" s="53">
        <v>17.399999999999999</v>
      </c>
      <c r="S15" s="53">
        <v>172</v>
      </c>
      <c r="T15" s="16">
        <f t="shared" si="0"/>
        <v>18</v>
      </c>
      <c r="U15" s="53">
        <v>380</v>
      </c>
      <c r="V15" s="16">
        <f t="shared" si="1"/>
        <v>16</v>
      </c>
      <c r="W15" s="53">
        <v>6</v>
      </c>
      <c r="X15" s="53" t="s">
        <v>46</v>
      </c>
      <c r="Y15" s="53" t="s">
        <v>55</v>
      </c>
      <c r="Z15" s="53" t="s">
        <v>90</v>
      </c>
      <c r="AA15" s="53" t="s">
        <v>69</v>
      </c>
      <c r="AB15" s="53" t="s">
        <v>317</v>
      </c>
      <c r="AE15" s="22" t="s">
        <v>79</v>
      </c>
      <c r="AG15" s="23"/>
      <c r="AH15" s="23"/>
      <c r="AP15" s="23" t="s">
        <v>345</v>
      </c>
      <c r="AR15" s="23" t="s">
        <v>94</v>
      </c>
      <c r="AV15" s="23" t="s">
        <v>107</v>
      </c>
    </row>
    <row r="16" spans="1:53" x14ac:dyDescent="0.15">
      <c r="A16" s="53" t="s">
        <v>59</v>
      </c>
      <c r="B16" s="53" t="s">
        <v>232</v>
      </c>
      <c r="C16" s="62">
        <v>2019</v>
      </c>
      <c r="D16" s="137" t="s">
        <v>313</v>
      </c>
      <c r="E16" s="53" t="s">
        <v>326</v>
      </c>
      <c r="F16" s="53" t="s">
        <v>327</v>
      </c>
      <c r="G16" s="53" t="s">
        <v>36</v>
      </c>
      <c r="H16" s="53" t="s">
        <v>160</v>
      </c>
      <c r="I16" s="53" t="s">
        <v>159</v>
      </c>
      <c r="J16" s="53" t="s">
        <v>38</v>
      </c>
      <c r="K16" s="53" t="s">
        <v>161</v>
      </c>
      <c r="L16" s="53">
        <v>3</v>
      </c>
      <c r="N16" s="53">
        <v>2</v>
      </c>
      <c r="O16" s="53">
        <v>0.44</v>
      </c>
      <c r="P16" s="53">
        <v>0.46</v>
      </c>
      <c r="Q16" s="75">
        <f t="shared" si="2"/>
        <v>0.45</v>
      </c>
      <c r="R16" s="53">
        <v>16.600000000000001</v>
      </c>
      <c r="S16" s="53">
        <v>168</v>
      </c>
      <c r="T16" s="16">
        <f t="shared" si="0"/>
        <v>18</v>
      </c>
      <c r="U16" s="53">
        <v>380</v>
      </c>
      <c r="V16" s="16">
        <f t="shared" si="1"/>
        <v>16</v>
      </c>
      <c r="W16" s="53">
        <v>6</v>
      </c>
      <c r="X16" s="53" t="s">
        <v>46</v>
      </c>
      <c r="Y16" s="53" t="s">
        <v>55</v>
      </c>
      <c r="Z16" s="53" t="s">
        <v>90</v>
      </c>
      <c r="AA16" s="53" t="s">
        <v>69</v>
      </c>
      <c r="AB16" s="53" t="s">
        <v>317</v>
      </c>
      <c r="AE16" s="22" t="s">
        <v>82</v>
      </c>
      <c r="AG16" s="28"/>
      <c r="AH16" s="28"/>
      <c r="AP16" s="23" t="s">
        <v>80</v>
      </c>
      <c r="AR16" s="23" t="s">
        <v>63</v>
      </c>
      <c r="AV16" s="23" t="s">
        <v>84</v>
      </c>
    </row>
    <row r="17" spans="1:48" x14ac:dyDescent="0.15">
      <c r="A17" s="53" t="s">
        <v>59</v>
      </c>
      <c r="B17" s="53" t="s">
        <v>232</v>
      </c>
      <c r="C17" s="62">
        <v>2019</v>
      </c>
      <c r="D17" s="137" t="s">
        <v>313</v>
      </c>
      <c r="E17" s="53" t="s">
        <v>326</v>
      </c>
      <c r="F17" s="53" t="s">
        <v>327</v>
      </c>
      <c r="G17" s="53" t="s">
        <v>36</v>
      </c>
      <c r="H17" s="53" t="s">
        <v>164</v>
      </c>
      <c r="I17" s="53" t="s">
        <v>159</v>
      </c>
      <c r="J17" s="53" t="s">
        <v>38</v>
      </c>
      <c r="K17" s="53" t="s">
        <v>161</v>
      </c>
      <c r="L17" s="53">
        <v>1</v>
      </c>
      <c r="N17" s="53">
        <v>2</v>
      </c>
      <c r="O17" s="53">
        <v>0.28999999999999998</v>
      </c>
      <c r="P17" s="53">
        <v>0.25</v>
      </c>
      <c r="Q17" s="75">
        <f t="shared" si="2"/>
        <v>0.27</v>
      </c>
      <c r="R17" s="53">
        <v>14.4</v>
      </c>
      <c r="S17" s="53">
        <v>150</v>
      </c>
      <c r="T17" s="16">
        <f t="shared" si="0"/>
        <v>22</v>
      </c>
      <c r="U17" s="53">
        <v>380</v>
      </c>
      <c r="V17" s="16">
        <f t="shared" si="1"/>
        <v>16</v>
      </c>
      <c r="W17" s="53">
        <v>5</v>
      </c>
      <c r="X17" s="53" t="s">
        <v>46</v>
      </c>
      <c r="Y17" s="53" t="s">
        <v>55</v>
      </c>
      <c r="Z17" s="53" t="s">
        <v>90</v>
      </c>
      <c r="AA17" s="53" t="s">
        <v>69</v>
      </c>
      <c r="AB17" s="53" t="s">
        <v>317</v>
      </c>
      <c r="AE17" s="22" t="s">
        <v>85</v>
      </c>
      <c r="AP17" s="27" t="s">
        <v>110</v>
      </c>
      <c r="AR17" s="23" t="s">
        <v>96</v>
      </c>
      <c r="AV17" s="23" t="s">
        <v>86</v>
      </c>
    </row>
    <row r="18" spans="1:48" x14ac:dyDescent="0.15">
      <c r="A18" s="53" t="s">
        <v>59</v>
      </c>
      <c r="B18" s="53" t="s">
        <v>232</v>
      </c>
      <c r="C18" s="62">
        <v>2019</v>
      </c>
      <c r="D18" s="137" t="s">
        <v>313</v>
      </c>
      <c r="E18" s="53" t="s">
        <v>326</v>
      </c>
      <c r="F18" s="53" t="s">
        <v>327</v>
      </c>
      <c r="G18" s="53" t="s">
        <v>36</v>
      </c>
      <c r="H18" s="53" t="s">
        <v>164</v>
      </c>
      <c r="I18" s="53" t="s">
        <v>159</v>
      </c>
      <c r="J18" s="53" t="s">
        <v>38</v>
      </c>
      <c r="K18" s="53" t="s">
        <v>161</v>
      </c>
      <c r="L18" s="53">
        <v>2</v>
      </c>
      <c r="N18" s="53">
        <v>2</v>
      </c>
      <c r="O18" s="53">
        <v>0.27</v>
      </c>
      <c r="P18" s="53">
        <v>0.25</v>
      </c>
      <c r="Q18" s="75">
        <f t="shared" si="2"/>
        <v>0.26</v>
      </c>
      <c r="R18" s="53">
        <v>14.7</v>
      </c>
      <c r="S18" s="53">
        <v>149</v>
      </c>
      <c r="T18" s="16">
        <f t="shared" si="0"/>
        <v>22</v>
      </c>
      <c r="U18" s="53">
        <v>380</v>
      </c>
      <c r="V18" s="16">
        <f t="shared" si="1"/>
        <v>16</v>
      </c>
      <c r="W18" s="53">
        <v>5</v>
      </c>
      <c r="X18" s="53" t="s">
        <v>46</v>
      </c>
      <c r="Y18" s="53" t="s">
        <v>55</v>
      </c>
      <c r="Z18" s="53" t="s">
        <v>90</v>
      </c>
      <c r="AA18" s="53" t="s">
        <v>69</v>
      </c>
      <c r="AB18" s="53" t="s">
        <v>317</v>
      </c>
      <c r="AE18" s="22" t="s">
        <v>87</v>
      </c>
      <c r="AP18" s="27" t="s">
        <v>346</v>
      </c>
      <c r="AR18" s="23" t="s">
        <v>101</v>
      </c>
      <c r="AV18" s="23" t="s">
        <v>88</v>
      </c>
    </row>
    <row r="19" spans="1:48" x14ac:dyDescent="0.15">
      <c r="A19" s="53" t="s">
        <v>59</v>
      </c>
      <c r="B19" s="53" t="s">
        <v>232</v>
      </c>
      <c r="C19" s="62">
        <v>2019</v>
      </c>
      <c r="D19" s="137" t="s">
        <v>313</v>
      </c>
      <c r="E19" s="53" t="s">
        <v>326</v>
      </c>
      <c r="F19" s="53" t="s">
        <v>327</v>
      </c>
      <c r="G19" s="53" t="s">
        <v>36</v>
      </c>
      <c r="H19" s="53" t="s">
        <v>164</v>
      </c>
      <c r="I19" s="53" t="s">
        <v>159</v>
      </c>
      <c r="J19" s="53" t="s">
        <v>38</v>
      </c>
      <c r="K19" s="53" t="s">
        <v>161</v>
      </c>
      <c r="L19" s="53">
        <v>3</v>
      </c>
      <c r="N19" s="53">
        <v>2</v>
      </c>
      <c r="O19" s="53">
        <v>0.32</v>
      </c>
      <c r="P19" s="53">
        <v>0.35</v>
      </c>
      <c r="Q19" s="75">
        <f t="shared" si="2"/>
        <v>0.33499999999999996</v>
      </c>
      <c r="R19" s="53">
        <v>14.7</v>
      </c>
      <c r="S19" s="53">
        <v>152</v>
      </c>
      <c r="T19" s="16">
        <f t="shared" si="0"/>
        <v>18</v>
      </c>
      <c r="U19" s="53">
        <v>380</v>
      </c>
      <c r="V19" s="16">
        <f t="shared" si="1"/>
        <v>16</v>
      </c>
      <c r="W19" s="53">
        <v>5</v>
      </c>
      <c r="X19" s="53" t="s">
        <v>46</v>
      </c>
      <c r="Y19" s="53" t="s">
        <v>55</v>
      </c>
      <c r="Z19" s="53" t="s">
        <v>90</v>
      </c>
      <c r="AA19" s="53" t="s">
        <v>69</v>
      </c>
      <c r="AB19" s="53" t="s">
        <v>317</v>
      </c>
      <c r="AE19" s="35" t="s">
        <v>89</v>
      </c>
      <c r="AP19" s="27" t="s">
        <v>112</v>
      </c>
      <c r="AR19" s="23" t="s">
        <v>126</v>
      </c>
      <c r="AV19" s="23" t="s">
        <v>347</v>
      </c>
    </row>
    <row r="20" spans="1:48" x14ac:dyDescent="0.15">
      <c r="A20" s="53" t="s">
        <v>59</v>
      </c>
      <c r="B20" s="53" t="s">
        <v>232</v>
      </c>
      <c r="C20" s="62">
        <v>2019</v>
      </c>
      <c r="D20" s="137" t="s">
        <v>313</v>
      </c>
      <c r="E20" s="53" t="s">
        <v>326</v>
      </c>
      <c r="F20" s="53" t="s">
        <v>327</v>
      </c>
      <c r="G20" s="53" t="s">
        <v>36</v>
      </c>
      <c r="H20" s="53" t="s">
        <v>194</v>
      </c>
      <c r="I20" s="53" t="s">
        <v>159</v>
      </c>
      <c r="J20" s="53" t="s">
        <v>38</v>
      </c>
      <c r="K20" s="53" t="s">
        <v>161</v>
      </c>
      <c r="L20" s="53">
        <v>1</v>
      </c>
      <c r="N20" s="53">
        <v>4</v>
      </c>
      <c r="O20" s="53">
        <v>0.27</v>
      </c>
      <c r="P20" s="53">
        <v>0.3</v>
      </c>
      <c r="Q20" s="75">
        <f t="shared" si="2"/>
        <v>0.28500000000000003</v>
      </c>
      <c r="R20" s="53">
        <v>15.2</v>
      </c>
      <c r="S20" s="53">
        <v>80</v>
      </c>
      <c r="T20" s="16">
        <f t="shared" si="0"/>
        <v>39</v>
      </c>
      <c r="U20" s="53">
        <v>399</v>
      </c>
      <c r="V20" s="16">
        <f t="shared" si="1"/>
        <v>16</v>
      </c>
      <c r="W20" s="53">
        <v>2</v>
      </c>
      <c r="X20" s="53" t="s">
        <v>46</v>
      </c>
      <c r="Y20" s="53" t="s">
        <v>55</v>
      </c>
      <c r="Z20" s="53" t="s">
        <v>90</v>
      </c>
      <c r="AA20" s="53" t="s">
        <v>69</v>
      </c>
      <c r="AB20" s="53" t="s">
        <v>317</v>
      </c>
      <c r="AE20" s="35"/>
      <c r="AP20" s="27" t="s">
        <v>113</v>
      </c>
      <c r="AR20" s="23" t="s">
        <v>105</v>
      </c>
      <c r="AV20" s="27" t="s">
        <v>135</v>
      </c>
    </row>
    <row r="21" spans="1:48" x14ac:dyDescent="0.15">
      <c r="A21" s="53" t="s">
        <v>59</v>
      </c>
      <c r="B21" s="53" t="s">
        <v>232</v>
      </c>
      <c r="C21" s="62">
        <v>2019</v>
      </c>
      <c r="D21" s="137" t="s">
        <v>313</v>
      </c>
      <c r="E21" s="53" t="s">
        <v>326</v>
      </c>
      <c r="F21" s="53" t="s">
        <v>327</v>
      </c>
      <c r="G21" s="53" t="s">
        <v>36</v>
      </c>
      <c r="H21" s="53" t="s">
        <v>194</v>
      </c>
      <c r="I21" s="53" t="s">
        <v>159</v>
      </c>
      <c r="J21" s="53" t="s">
        <v>38</v>
      </c>
      <c r="K21" s="53" t="s">
        <v>161</v>
      </c>
      <c r="L21" s="53">
        <v>2</v>
      </c>
      <c r="N21" s="53">
        <v>4</v>
      </c>
      <c r="O21" s="53">
        <v>0.35</v>
      </c>
      <c r="P21" s="53">
        <v>0.31</v>
      </c>
      <c r="Q21" s="75">
        <f t="shared" si="2"/>
        <v>0.32999999999999996</v>
      </c>
      <c r="R21" s="53">
        <v>16.399999999999999</v>
      </c>
      <c r="S21" s="53">
        <v>75</v>
      </c>
      <c r="T21" s="16">
        <f t="shared" si="0"/>
        <v>42</v>
      </c>
      <c r="U21" s="53">
        <v>399</v>
      </c>
      <c r="V21" s="16">
        <f t="shared" si="1"/>
        <v>16</v>
      </c>
      <c r="W21" s="53">
        <v>2</v>
      </c>
      <c r="X21" s="53" t="s">
        <v>46</v>
      </c>
      <c r="Y21" s="53" t="s">
        <v>55</v>
      </c>
      <c r="Z21" s="53" t="s">
        <v>90</v>
      </c>
      <c r="AA21" s="53" t="s">
        <v>69</v>
      </c>
      <c r="AB21" s="53" t="s">
        <v>317</v>
      </c>
      <c r="AE21" s="28"/>
      <c r="AP21" s="27" t="s">
        <v>348</v>
      </c>
      <c r="AR21" s="23" t="s">
        <v>68</v>
      </c>
      <c r="AV21" s="27" t="s">
        <v>136</v>
      </c>
    </row>
    <row r="22" spans="1:48" x14ac:dyDescent="0.15">
      <c r="A22" s="53" t="s">
        <v>59</v>
      </c>
      <c r="B22" s="53" t="s">
        <v>232</v>
      </c>
      <c r="C22" s="62">
        <v>2019</v>
      </c>
      <c r="D22" s="137" t="s">
        <v>313</v>
      </c>
      <c r="E22" s="53" t="s">
        <v>326</v>
      </c>
      <c r="F22" s="53" t="s">
        <v>327</v>
      </c>
      <c r="G22" s="53" t="s">
        <v>36</v>
      </c>
      <c r="H22" s="53" t="s">
        <v>194</v>
      </c>
      <c r="I22" s="53" t="s">
        <v>159</v>
      </c>
      <c r="J22" s="53" t="s">
        <v>38</v>
      </c>
      <c r="K22" s="53" t="s">
        <v>161</v>
      </c>
      <c r="L22" s="53">
        <v>3</v>
      </c>
      <c r="N22" s="53">
        <v>4</v>
      </c>
      <c r="O22" s="53">
        <v>0.28999999999999998</v>
      </c>
      <c r="P22" s="53">
        <v>0.33</v>
      </c>
      <c r="Q22" s="75">
        <f t="shared" si="2"/>
        <v>0.31</v>
      </c>
      <c r="R22" s="53">
        <v>15.9</v>
      </c>
      <c r="S22" s="53">
        <v>86</v>
      </c>
      <c r="T22" s="16">
        <f t="shared" si="0"/>
        <v>36</v>
      </c>
      <c r="U22" s="53">
        <v>399</v>
      </c>
      <c r="V22" s="16">
        <f t="shared" si="1"/>
        <v>16</v>
      </c>
      <c r="W22" s="53">
        <v>2</v>
      </c>
      <c r="X22" s="53" t="s">
        <v>46</v>
      </c>
      <c r="Y22" s="53" t="s">
        <v>55</v>
      </c>
      <c r="Z22" s="53" t="s">
        <v>90</v>
      </c>
      <c r="AA22" s="53" t="s">
        <v>69</v>
      </c>
      <c r="AB22" s="53" t="s">
        <v>317</v>
      </c>
      <c r="AP22" s="27" t="s">
        <v>349</v>
      </c>
      <c r="AR22" s="23" t="s">
        <v>83</v>
      </c>
      <c r="AV22" s="27" t="s">
        <v>350</v>
      </c>
    </row>
    <row r="23" spans="1:48" x14ac:dyDescent="0.15">
      <c r="A23" s="53" t="s">
        <v>59</v>
      </c>
      <c r="B23" s="53" t="s">
        <v>232</v>
      </c>
      <c r="C23" s="62">
        <v>2019</v>
      </c>
      <c r="D23" s="137" t="s">
        <v>313</v>
      </c>
      <c r="E23" s="53" t="s">
        <v>338</v>
      </c>
      <c r="F23" s="53" t="s">
        <v>327</v>
      </c>
      <c r="G23" s="53" t="s">
        <v>36</v>
      </c>
      <c r="H23" s="53" t="s">
        <v>160</v>
      </c>
      <c r="I23" s="53" t="s">
        <v>159</v>
      </c>
      <c r="J23" s="53" t="s">
        <v>38</v>
      </c>
      <c r="K23" s="53" t="s">
        <v>161</v>
      </c>
      <c r="L23" s="53">
        <v>1</v>
      </c>
      <c r="N23" s="53">
        <v>4</v>
      </c>
      <c r="O23" s="53">
        <v>0.75</v>
      </c>
      <c r="P23" s="53">
        <v>0.69</v>
      </c>
      <c r="Q23" s="75">
        <f t="shared" si="2"/>
        <v>0.72</v>
      </c>
      <c r="R23" s="53">
        <v>15.5</v>
      </c>
      <c r="S23" s="53">
        <v>103</v>
      </c>
      <c r="T23" s="16">
        <f t="shared" si="0"/>
        <v>33</v>
      </c>
      <c r="U23" s="53">
        <v>537</v>
      </c>
      <c r="V23" s="16">
        <f t="shared" si="1"/>
        <v>16</v>
      </c>
      <c r="W23" s="53">
        <v>4</v>
      </c>
      <c r="X23" s="53" t="s">
        <v>46</v>
      </c>
      <c r="Y23" s="53" t="s">
        <v>90</v>
      </c>
      <c r="Z23" s="53" t="s">
        <v>78</v>
      </c>
      <c r="AA23" s="53" t="s">
        <v>69</v>
      </c>
      <c r="AB23" s="53" t="s">
        <v>317</v>
      </c>
      <c r="AP23" s="27" t="s">
        <v>137</v>
      </c>
      <c r="AR23" s="23" t="s">
        <v>61</v>
      </c>
      <c r="AV23" s="27" t="s">
        <v>351</v>
      </c>
    </row>
    <row r="24" spans="1:48" x14ac:dyDescent="0.15">
      <c r="A24" s="53" t="s">
        <v>59</v>
      </c>
      <c r="B24" s="53" t="s">
        <v>232</v>
      </c>
      <c r="C24" s="62">
        <v>2019</v>
      </c>
      <c r="D24" s="137" t="s">
        <v>313</v>
      </c>
      <c r="E24" s="53" t="s">
        <v>338</v>
      </c>
      <c r="F24" s="53" t="s">
        <v>327</v>
      </c>
      <c r="G24" s="53" t="s">
        <v>36</v>
      </c>
      <c r="H24" s="53" t="s">
        <v>160</v>
      </c>
      <c r="I24" s="53" t="s">
        <v>159</v>
      </c>
      <c r="J24" s="53" t="s">
        <v>38</v>
      </c>
      <c r="K24" s="53" t="s">
        <v>161</v>
      </c>
      <c r="L24" s="53">
        <v>2</v>
      </c>
      <c r="N24" s="53">
        <v>4</v>
      </c>
      <c r="O24" s="53">
        <v>0.56000000000000005</v>
      </c>
      <c r="P24" s="53">
        <v>0.65</v>
      </c>
      <c r="Q24" s="75">
        <f t="shared" si="2"/>
        <v>0.60499999999999998</v>
      </c>
      <c r="R24" s="53">
        <v>17.3</v>
      </c>
      <c r="S24" s="53">
        <v>111</v>
      </c>
      <c r="T24" s="16">
        <f t="shared" si="0"/>
        <v>33</v>
      </c>
      <c r="U24" s="53">
        <v>537</v>
      </c>
      <c r="V24" s="16">
        <f t="shared" si="1"/>
        <v>16</v>
      </c>
      <c r="W24" s="53">
        <v>4</v>
      </c>
      <c r="X24" s="53" t="s">
        <v>46</v>
      </c>
      <c r="Y24" s="53" t="s">
        <v>90</v>
      </c>
      <c r="Z24" s="53" t="s">
        <v>78</v>
      </c>
      <c r="AA24" s="53" t="s">
        <v>69</v>
      </c>
      <c r="AB24" s="53" t="s">
        <v>317</v>
      </c>
      <c r="AP24" s="27" t="s">
        <v>138</v>
      </c>
      <c r="AR24" s="23" t="s">
        <v>91</v>
      </c>
      <c r="AV24" s="27" t="s">
        <v>352</v>
      </c>
    </row>
    <row r="25" spans="1:48" x14ac:dyDescent="0.15">
      <c r="A25" s="53" t="s">
        <v>59</v>
      </c>
      <c r="B25" s="53" t="s">
        <v>232</v>
      </c>
      <c r="C25" s="62">
        <v>2019</v>
      </c>
      <c r="D25" s="137" t="s">
        <v>313</v>
      </c>
      <c r="E25" s="53" t="s">
        <v>338</v>
      </c>
      <c r="F25" s="53" t="s">
        <v>327</v>
      </c>
      <c r="G25" s="53" t="s">
        <v>36</v>
      </c>
      <c r="H25" s="53" t="s">
        <v>160</v>
      </c>
      <c r="I25" s="53" t="s">
        <v>159</v>
      </c>
      <c r="J25" s="53" t="s">
        <v>38</v>
      </c>
      <c r="K25" s="53" t="s">
        <v>161</v>
      </c>
      <c r="L25" s="53">
        <v>3</v>
      </c>
      <c r="N25" s="53">
        <v>4</v>
      </c>
      <c r="O25" s="53">
        <v>0.55000000000000004</v>
      </c>
      <c r="P25" s="53">
        <v>0.63</v>
      </c>
      <c r="Q25" s="75">
        <f t="shared" si="2"/>
        <v>0.59000000000000008</v>
      </c>
      <c r="R25" s="53">
        <v>16.100000000000001</v>
      </c>
      <c r="S25" s="53">
        <v>105</v>
      </c>
      <c r="T25" s="16">
        <f t="shared" si="0"/>
        <v>33</v>
      </c>
      <c r="U25" s="53">
        <v>537</v>
      </c>
      <c r="V25" s="16">
        <f t="shared" si="1"/>
        <v>16</v>
      </c>
      <c r="W25" s="53">
        <v>4</v>
      </c>
      <c r="X25" s="53" t="s">
        <v>46</v>
      </c>
      <c r="Y25" s="53" t="s">
        <v>90</v>
      </c>
      <c r="Z25" s="53" t="s">
        <v>78</v>
      </c>
      <c r="AA25" s="53" t="s">
        <v>69</v>
      </c>
      <c r="AB25" s="53" t="s">
        <v>317</v>
      </c>
      <c r="AP25" s="27" t="s">
        <v>116</v>
      </c>
      <c r="AR25" s="27" t="s">
        <v>92</v>
      </c>
      <c r="AV25" s="27" t="s">
        <v>353</v>
      </c>
    </row>
    <row r="26" spans="1:48" x14ac:dyDescent="0.15">
      <c r="A26" s="53" t="s">
        <v>59</v>
      </c>
      <c r="B26" s="53" t="s">
        <v>232</v>
      </c>
      <c r="C26" s="62">
        <v>2019</v>
      </c>
      <c r="D26" s="137" t="s">
        <v>313</v>
      </c>
      <c r="E26" s="53" t="s">
        <v>338</v>
      </c>
      <c r="F26" s="53" t="s">
        <v>327</v>
      </c>
      <c r="G26" s="53" t="s">
        <v>36</v>
      </c>
      <c r="H26" s="53" t="s">
        <v>164</v>
      </c>
      <c r="I26" s="53" t="s">
        <v>159</v>
      </c>
      <c r="J26" s="53" t="s">
        <v>38</v>
      </c>
      <c r="K26" s="53" t="s">
        <v>161</v>
      </c>
      <c r="L26" s="53">
        <v>1</v>
      </c>
      <c r="N26" s="53">
        <v>1</v>
      </c>
      <c r="O26" s="53">
        <v>0.48</v>
      </c>
      <c r="P26" s="53">
        <v>0.5</v>
      </c>
      <c r="Q26" s="75">
        <f t="shared" si="2"/>
        <v>0.49</v>
      </c>
      <c r="R26" s="53">
        <v>14.5</v>
      </c>
      <c r="S26" s="53">
        <v>140</v>
      </c>
      <c r="T26" s="16">
        <f t="shared" si="0"/>
        <v>22</v>
      </c>
      <c r="U26" s="53">
        <v>129</v>
      </c>
      <c r="V26" s="16">
        <f t="shared" si="1"/>
        <v>25</v>
      </c>
      <c r="W26" s="53">
        <v>2</v>
      </c>
      <c r="X26" s="53" t="s">
        <v>46</v>
      </c>
      <c r="Y26" s="53" t="s">
        <v>90</v>
      </c>
      <c r="Z26" s="53" t="s">
        <v>78</v>
      </c>
      <c r="AA26" s="53" t="s">
        <v>69</v>
      </c>
      <c r="AB26" s="53" t="s">
        <v>317</v>
      </c>
      <c r="AP26" s="27" t="s">
        <v>117</v>
      </c>
      <c r="AR26" s="27" t="s">
        <v>354</v>
      </c>
      <c r="AV26" s="27"/>
    </row>
    <row r="27" spans="1:48" x14ac:dyDescent="0.15">
      <c r="A27" s="53" t="s">
        <v>59</v>
      </c>
      <c r="B27" s="53" t="s">
        <v>232</v>
      </c>
      <c r="C27" s="62">
        <v>2019</v>
      </c>
      <c r="D27" s="137" t="s">
        <v>313</v>
      </c>
      <c r="E27" s="53" t="s">
        <v>338</v>
      </c>
      <c r="F27" s="53" t="s">
        <v>327</v>
      </c>
      <c r="G27" s="53" t="s">
        <v>36</v>
      </c>
      <c r="H27" s="53" t="s">
        <v>164</v>
      </c>
      <c r="I27" s="53" t="s">
        <v>159</v>
      </c>
      <c r="J27" s="53" t="s">
        <v>38</v>
      </c>
      <c r="K27" s="53" t="s">
        <v>161</v>
      </c>
      <c r="L27" s="53">
        <v>2</v>
      </c>
      <c r="N27" s="53">
        <v>1</v>
      </c>
      <c r="O27" s="53">
        <v>0.48</v>
      </c>
      <c r="P27" s="53">
        <v>0.45</v>
      </c>
      <c r="Q27" s="75">
        <f t="shared" si="2"/>
        <v>0.46499999999999997</v>
      </c>
      <c r="R27" s="53">
        <v>15</v>
      </c>
      <c r="S27" s="53">
        <v>137</v>
      </c>
      <c r="T27" s="16">
        <f t="shared" si="0"/>
        <v>25</v>
      </c>
      <c r="U27" s="53">
        <v>129</v>
      </c>
      <c r="V27" s="16">
        <f t="shared" si="1"/>
        <v>25</v>
      </c>
      <c r="W27" s="53">
        <v>2</v>
      </c>
      <c r="X27" s="53" t="s">
        <v>46</v>
      </c>
      <c r="Y27" s="53" t="s">
        <v>90</v>
      </c>
      <c r="Z27" s="53" t="s">
        <v>78</v>
      </c>
      <c r="AA27" s="53" t="s">
        <v>69</v>
      </c>
      <c r="AB27" s="53" t="s">
        <v>317</v>
      </c>
      <c r="AP27" s="27" t="s">
        <v>118</v>
      </c>
      <c r="AR27" s="28" t="s">
        <v>153</v>
      </c>
      <c r="AV27" s="27"/>
    </row>
    <row r="28" spans="1:48" x14ac:dyDescent="0.15">
      <c r="A28" s="53" t="s">
        <v>59</v>
      </c>
      <c r="B28" s="53" t="s">
        <v>232</v>
      </c>
      <c r="C28" s="62">
        <v>2019</v>
      </c>
      <c r="D28" s="137" t="s">
        <v>313</v>
      </c>
      <c r="E28" s="53" t="s">
        <v>338</v>
      </c>
      <c r="F28" s="53" t="s">
        <v>327</v>
      </c>
      <c r="G28" s="53" t="s">
        <v>36</v>
      </c>
      <c r="H28" s="53" t="s">
        <v>164</v>
      </c>
      <c r="I28" s="53" t="s">
        <v>159</v>
      </c>
      <c r="J28" s="53" t="s">
        <v>38</v>
      </c>
      <c r="K28" s="53" t="s">
        <v>161</v>
      </c>
      <c r="L28" s="53">
        <v>3</v>
      </c>
      <c r="N28" s="53">
        <v>1</v>
      </c>
      <c r="O28" s="53">
        <v>0.49</v>
      </c>
      <c r="P28" s="53">
        <v>0.44</v>
      </c>
      <c r="Q28" s="75">
        <f t="shared" si="2"/>
        <v>0.46499999999999997</v>
      </c>
      <c r="R28" s="53">
        <v>15.2</v>
      </c>
      <c r="S28" s="53">
        <v>140</v>
      </c>
      <c r="T28" s="16">
        <f t="shared" si="0"/>
        <v>22</v>
      </c>
      <c r="U28" s="53">
        <v>129</v>
      </c>
      <c r="V28" s="16">
        <f t="shared" si="1"/>
        <v>25</v>
      </c>
      <c r="W28" s="53">
        <v>2</v>
      </c>
      <c r="X28" s="53" t="s">
        <v>46</v>
      </c>
      <c r="Y28" s="53" t="s">
        <v>90</v>
      </c>
      <c r="Z28" s="53" t="s">
        <v>78</v>
      </c>
      <c r="AA28" s="53" t="s">
        <v>69</v>
      </c>
      <c r="AB28" s="53" t="s">
        <v>317</v>
      </c>
      <c r="AV28" s="27"/>
    </row>
    <row r="29" spans="1:48" x14ac:dyDescent="0.15">
      <c r="A29" s="53" t="s">
        <v>59</v>
      </c>
      <c r="B29" s="53" t="s">
        <v>232</v>
      </c>
      <c r="C29" s="62">
        <v>2019</v>
      </c>
      <c r="D29" s="137" t="s">
        <v>313</v>
      </c>
      <c r="E29" s="53" t="s">
        <v>338</v>
      </c>
      <c r="F29" s="53" t="s">
        <v>327</v>
      </c>
      <c r="G29" s="53" t="s">
        <v>36</v>
      </c>
      <c r="H29" s="53" t="s">
        <v>194</v>
      </c>
      <c r="I29" s="53" t="s">
        <v>159</v>
      </c>
      <c r="J29" s="53" t="s">
        <v>38</v>
      </c>
      <c r="K29" s="53" t="s">
        <v>161</v>
      </c>
      <c r="L29" s="53">
        <v>1</v>
      </c>
      <c r="N29" s="53">
        <v>5</v>
      </c>
      <c r="O29" s="53">
        <v>0.28000000000000003</v>
      </c>
      <c r="P29" s="53">
        <v>0.26</v>
      </c>
      <c r="Q29" s="75">
        <f t="shared" si="2"/>
        <v>0.27</v>
      </c>
      <c r="R29" s="53">
        <v>16.100000000000001</v>
      </c>
      <c r="S29" s="53">
        <v>94</v>
      </c>
      <c r="T29" s="16">
        <f t="shared" si="0"/>
        <v>36</v>
      </c>
      <c r="U29" s="53">
        <v>324</v>
      </c>
      <c r="V29" s="16">
        <f t="shared" si="1"/>
        <v>16</v>
      </c>
      <c r="W29" s="53">
        <v>2</v>
      </c>
      <c r="X29" s="53" t="s">
        <v>46</v>
      </c>
      <c r="Y29" s="53" t="s">
        <v>90</v>
      </c>
      <c r="Z29" s="53" t="s">
        <v>78</v>
      </c>
      <c r="AA29" s="53" t="s">
        <v>69</v>
      </c>
      <c r="AB29" s="53" t="s">
        <v>317</v>
      </c>
      <c r="AV29" s="27"/>
    </row>
    <row r="30" spans="1:48" x14ac:dyDescent="0.15">
      <c r="A30" s="53" t="s">
        <v>59</v>
      </c>
      <c r="B30" s="53" t="s">
        <v>232</v>
      </c>
      <c r="C30" s="62">
        <v>2019</v>
      </c>
      <c r="D30" s="137" t="s">
        <v>313</v>
      </c>
      <c r="E30" s="53" t="s">
        <v>338</v>
      </c>
      <c r="F30" s="53" t="s">
        <v>327</v>
      </c>
      <c r="G30" s="53" t="s">
        <v>36</v>
      </c>
      <c r="H30" s="53" t="s">
        <v>194</v>
      </c>
      <c r="I30" s="53" t="s">
        <v>159</v>
      </c>
      <c r="J30" s="53" t="s">
        <v>38</v>
      </c>
      <c r="K30" s="53" t="s">
        <v>161</v>
      </c>
      <c r="L30" s="53">
        <v>2</v>
      </c>
      <c r="N30" s="53">
        <v>5</v>
      </c>
      <c r="O30" s="53">
        <v>0.28999999999999998</v>
      </c>
      <c r="P30" s="53">
        <v>0.35</v>
      </c>
      <c r="Q30" s="75">
        <f t="shared" si="2"/>
        <v>0.31999999999999995</v>
      </c>
      <c r="R30" s="53">
        <v>17.8</v>
      </c>
      <c r="S30" s="53">
        <v>85</v>
      </c>
      <c r="T30" s="16">
        <f t="shared" si="0"/>
        <v>36</v>
      </c>
      <c r="U30" s="53">
        <v>324</v>
      </c>
      <c r="V30" s="16">
        <f t="shared" si="1"/>
        <v>16</v>
      </c>
      <c r="W30" s="53">
        <v>2</v>
      </c>
      <c r="X30" s="53" t="s">
        <v>46</v>
      </c>
      <c r="Y30" s="53" t="s">
        <v>90</v>
      </c>
      <c r="Z30" s="53" t="s">
        <v>78</v>
      </c>
      <c r="AA30" s="53" t="s">
        <v>69</v>
      </c>
      <c r="AB30" s="53" t="s">
        <v>317</v>
      </c>
      <c r="AV30" s="27"/>
    </row>
    <row r="31" spans="1:48" x14ac:dyDescent="0.15">
      <c r="A31" s="53" t="s">
        <v>59</v>
      </c>
      <c r="B31" s="53" t="s">
        <v>232</v>
      </c>
      <c r="C31" s="62">
        <v>2019</v>
      </c>
      <c r="D31" s="137" t="s">
        <v>313</v>
      </c>
      <c r="E31" s="53" t="s">
        <v>338</v>
      </c>
      <c r="F31" s="53" t="s">
        <v>327</v>
      </c>
      <c r="G31" s="53" t="s">
        <v>36</v>
      </c>
      <c r="H31" s="53" t="s">
        <v>194</v>
      </c>
      <c r="I31" s="53" t="s">
        <v>159</v>
      </c>
      <c r="J31" s="53" t="s">
        <v>38</v>
      </c>
      <c r="K31" s="53" t="s">
        <v>161</v>
      </c>
      <c r="L31" s="53">
        <v>3</v>
      </c>
      <c r="N31" s="53">
        <v>5</v>
      </c>
      <c r="O31" s="53">
        <v>0.32</v>
      </c>
      <c r="P31" s="53">
        <v>0.38</v>
      </c>
      <c r="Q31" s="75">
        <f t="shared" si="2"/>
        <v>0.35</v>
      </c>
      <c r="R31" s="53">
        <v>15.7</v>
      </c>
      <c r="S31" s="53">
        <v>83</v>
      </c>
      <c r="T31" s="16">
        <f t="shared" si="0"/>
        <v>39</v>
      </c>
      <c r="U31" s="53">
        <v>324</v>
      </c>
      <c r="V31" s="16">
        <f t="shared" si="1"/>
        <v>16</v>
      </c>
      <c r="W31" s="53">
        <v>2</v>
      </c>
      <c r="X31" s="53" t="s">
        <v>46</v>
      </c>
      <c r="Y31" s="53" t="s">
        <v>90</v>
      </c>
      <c r="Z31" s="53" t="s">
        <v>78</v>
      </c>
      <c r="AA31" s="53" t="s">
        <v>69</v>
      </c>
      <c r="AB31" s="53" t="s">
        <v>317</v>
      </c>
      <c r="AV31" s="27"/>
    </row>
    <row r="32" spans="1:48" x14ac:dyDescent="0.15">
      <c r="A32" s="53" t="s">
        <v>59</v>
      </c>
      <c r="B32" s="53" t="s">
        <v>232</v>
      </c>
      <c r="C32" s="62">
        <v>2019</v>
      </c>
      <c r="D32" s="137" t="s">
        <v>313</v>
      </c>
      <c r="E32" s="53" t="s">
        <v>336</v>
      </c>
      <c r="F32" s="53" t="s">
        <v>335</v>
      </c>
      <c r="G32" s="53" t="s">
        <v>36</v>
      </c>
      <c r="H32" s="53" t="s">
        <v>160</v>
      </c>
      <c r="I32" s="53" t="s">
        <v>159</v>
      </c>
      <c r="J32" s="53" t="s">
        <v>38</v>
      </c>
      <c r="K32" s="53" t="s">
        <v>161</v>
      </c>
      <c r="L32" s="53">
        <v>1</v>
      </c>
      <c r="N32" s="53">
        <v>4</v>
      </c>
      <c r="O32" s="53">
        <v>0.3</v>
      </c>
      <c r="P32" s="53">
        <v>0.3</v>
      </c>
      <c r="Q32" s="75">
        <f t="shared" si="2"/>
        <v>0.3</v>
      </c>
      <c r="R32" s="53">
        <v>15.6</v>
      </c>
      <c r="S32" s="53">
        <v>106</v>
      </c>
      <c r="T32" s="16">
        <f t="shared" si="0"/>
        <v>33</v>
      </c>
      <c r="U32" s="53">
        <v>398</v>
      </c>
      <c r="V32" s="16">
        <f t="shared" si="1"/>
        <v>16</v>
      </c>
      <c r="W32" s="53">
        <v>6</v>
      </c>
      <c r="X32" s="53" t="s">
        <v>46</v>
      </c>
      <c r="Y32" s="53" t="s">
        <v>55</v>
      </c>
      <c r="Z32" s="53" t="s">
        <v>86</v>
      </c>
      <c r="AA32" s="53" t="s">
        <v>97</v>
      </c>
      <c r="AB32" s="53" t="s">
        <v>317</v>
      </c>
      <c r="AV32" s="27"/>
    </row>
    <row r="33" spans="1:48" x14ac:dyDescent="0.15">
      <c r="A33" s="53" t="s">
        <v>59</v>
      </c>
      <c r="B33" s="53" t="s">
        <v>232</v>
      </c>
      <c r="C33" s="62">
        <v>2019</v>
      </c>
      <c r="D33" s="137" t="s">
        <v>313</v>
      </c>
      <c r="E33" s="53" t="s">
        <v>336</v>
      </c>
      <c r="F33" s="53" t="s">
        <v>335</v>
      </c>
      <c r="G33" s="53" t="s">
        <v>36</v>
      </c>
      <c r="H33" s="53" t="s">
        <v>160</v>
      </c>
      <c r="I33" s="53" t="s">
        <v>159</v>
      </c>
      <c r="J33" s="53" t="s">
        <v>38</v>
      </c>
      <c r="K33" s="53" t="s">
        <v>161</v>
      </c>
      <c r="L33" s="53">
        <v>2</v>
      </c>
      <c r="N33" s="53">
        <v>4</v>
      </c>
      <c r="O33" s="53">
        <v>0.24</v>
      </c>
      <c r="P33" s="53">
        <v>0.25</v>
      </c>
      <c r="Q33" s="75">
        <f t="shared" si="2"/>
        <v>0.245</v>
      </c>
      <c r="R33" s="53">
        <v>18.399999999999999</v>
      </c>
      <c r="S33" s="53">
        <v>111</v>
      </c>
      <c r="T33" s="16">
        <f t="shared" si="0"/>
        <v>33</v>
      </c>
      <c r="U33" s="53">
        <v>398</v>
      </c>
      <c r="V33" s="16">
        <f t="shared" si="1"/>
        <v>16</v>
      </c>
      <c r="W33" s="53">
        <v>6</v>
      </c>
      <c r="X33" s="53" t="s">
        <v>46</v>
      </c>
      <c r="Y33" s="53" t="s">
        <v>55</v>
      </c>
      <c r="Z33" s="53" t="s">
        <v>86</v>
      </c>
      <c r="AA33" s="53" t="s">
        <v>97</v>
      </c>
      <c r="AB33" s="53" t="s">
        <v>317</v>
      </c>
      <c r="AV33" s="27"/>
    </row>
    <row r="34" spans="1:48" x14ac:dyDescent="0.15">
      <c r="A34" s="53" t="s">
        <v>59</v>
      </c>
      <c r="B34" s="53" t="s">
        <v>232</v>
      </c>
      <c r="C34" s="62">
        <v>2019</v>
      </c>
      <c r="D34" s="137" t="s">
        <v>313</v>
      </c>
      <c r="E34" s="53" t="s">
        <v>336</v>
      </c>
      <c r="F34" s="53" t="s">
        <v>335</v>
      </c>
      <c r="G34" s="53" t="s">
        <v>36</v>
      </c>
      <c r="H34" s="53" t="s">
        <v>160</v>
      </c>
      <c r="I34" s="53" t="s">
        <v>159</v>
      </c>
      <c r="J34" s="53" t="s">
        <v>38</v>
      </c>
      <c r="K34" s="53" t="s">
        <v>161</v>
      </c>
      <c r="L34" s="53">
        <v>3</v>
      </c>
      <c r="N34" s="53">
        <v>4</v>
      </c>
      <c r="O34" s="53">
        <v>0.3</v>
      </c>
      <c r="P34" s="53">
        <v>0.27</v>
      </c>
      <c r="Q34" s="75">
        <f t="shared" si="2"/>
        <v>0.28500000000000003</v>
      </c>
      <c r="R34" s="53">
        <v>18.5</v>
      </c>
      <c r="S34" s="53">
        <v>117</v>
      </c>
      <c r="T34" s="16">
        <f t="shared" si="0"/>
        <v>30</v>
      </c>
      <c r="U34" s="53">
        <v>398</v>
      </c>
      <c r="V34" s="16">
        <f t="shared" si="1"/>
        <v>16</v>
      </c>
      <c r="W34" s="53">
        <v>6</v>
      </c>
      <c r="X34" s="53" t="s">
        <v>46</v>
      </c>
      <c r="Y34" s="53" t="s">
        <v>55</v>
      </c>
      <c r="Z34" s="53" t="s">
        <v>86</v>
      </c>
      <c r="AA34" s="53" t="s">
        <v>97</v>
      </c>
      <c r="AB34" s="53" t="s">
        <v>317</v>
      </c>
      <c r="AV34" s="27"/>
    </row>
    <row r="35" spans="1:48" x14ac:dyDescent="0.15">
      <c r="A35" s="53" t="s">
        <v>59</v>
      </c>
      <c r="B35" s="53" t="s">
        <v>232</v>
      </c>
      <c r="C35" s="62">
        <v>2019</v>
      </c>
      <c r="D35" s="137" t="s">
        <v>313</v>
      </c>
      <c r="E35" s="53" t="s">
        <v>336</v>
      </c>
      <c r="F35" s="53" t="s">
        <v>335</v>
      </c>
      <c r="G35" s="53" t="s">
        <v>36</v>
      </c>
      <c r="H35" s="53" t="s">
        <v>164</v>
      </c>
      <c r="I35" s="53" t="s">
        <v>159</v>
      </c>
      <c r="J35" s="53" t="s">
        <v>38</v>
      </c>
      <c r="K35" s="53" t="s">
        <v>161</v>
      </c>
      <c r="L35" s="53">
        <v>1</v>
      </c>
      <c r="N35" s="53">
        <v>4</v>
      </c>
      <c r="O35" s="53">
        <v>0.36</v>
      </c>
      <c r="P35" s="53">
        <v>0.43</v>
      </c>
      <c r="Q35" s="75">
        <f t="shared" si="2"/>
        <v>0.39500000000000002</v>
      </c>
      <c r="R35" s="53">
        <v>15</v>
      </c>
      <c r="S35" s="53">
        <v>101</v>
      </c>
      <c r="T35" s="16">
        <f t="shared" si="0"/>
        <v>33</v>
      </c>
      <c r="U35" s="53">
        <v>398</v>
      </c>
      <c r="V35" s="16">
        <f t="shared" si="1"/>
        <v>16</v>
      </c>
      <c r="W35" s="53">
        <v>6</v>
      </c>
      <c r="X35" s="53" t="s">
        <v>46</v>
      </c>
      <c r="Y35" s="53" t="s">
        <v>55</v>
      </c>
      <c r="Z35" s="53" t="s">
        <v>86</v>
      </c>
      <c r="AA35" s="53" t="s">
        <v>97</v>
      </c>
      <c r="AB35" s="53" t="s">
        <v>317</v>
      </c>
      <c r="AV35" s="27"/>
    </row>
    <row r="36" spans="1:48" x14ac:dyDescent="0.15">
      <c r="A36" s="53" t="s">
        <v>59</v>
      </c>
      <c r="B36" s="53" t="s">
        <v>232</v>
      </c>
      <c r="C36" s="62">
        <v>2019</v>
      </c>
      <c r="D36" s="137" t="s">
        <v>313</v>
      </c>
      <c r="E36" s="53" t="s">
        <v>336</v>
      </c>
      <c r="F36" s="53" t="s">
        <v>335</v>
      </c>
      <c r="G36" s="53" t="s">
        <v>36</v>
      </c>
      <c r="H36" s="53" t="s">
        <v>164</v>
      </c>
      <c r="I36" s="53" t="s">
        <v>159</v>
      </c>
      <c r="J36" s="53" t="s">
        <v>38</v>
      </c>
      <c r="K36" s="53" t="s">
        <v>161</v>
      </c>
      <c r="L36" s="53">
        <v>2</v>
      </c>
      <c r="N36" s="53">
        <v>4</v>
      </c>
      <c r="O36" s="53">
        <v>0.27</v>
      </c>
      <c r="P36" s="53">
        <v>0.23</v>
      </c>
      <c r="Q36" s="75">
        <f t="shared" si="2"/>
        <v>0.25</v>
      </c>
      <c r="R36" s="53">
        <v>15.7</v>
      </c>
      <c r="S36" s="53">
        <v>99</v>
      </c>
      <c r="T36" s="16">
        <f t="shared" si="0"/>
        <v>33</v>
      </c>
      <c r="U36" s="53">
        <v>398</v>
      </c>
      <c r="V36" s="16">
        <f t="shared" si="1"/>
        <v>16</v>
      </c>
      <c r="W36" s="53">
        <v>6</v>
      </c>
      <c r="X36" s="53" t="s">
        <v>46</v>
      </c>
      <c r="Y36" s="53" t="s">
        <v>55</v>
      </c>
      <c r="Z36" s="53" t="s">
        <v>86</v>
      </c>
      <c r="AA36" s="53" t="s">
        <v>97</v>
      </c>
      <c r="AB36" s="53" t="s">
        <v>317</v>
      </c>
      <c r="AV36" s="27"/>
    </row>
    <row r="37" spans="1:48" x14ac:dyDescent="0.15">
      <c r="A37" s="53" t="s">
        <v>59</v>
      </c>
      <c r="B37" s="53" t="s">
        <v>232</v>
      </c>
      <c r="C37" s="62">
        <v>2019</v>
      </c>
      <c r="D37" s="137" t="s">
        <v>313</v>
      </c>
      <c r="E37" s="53" t="s">
        <v>336</v>
      </c>
      <c r="F37" s="53" t="s">
        <v>335</v>
      </c>
      <c r="G37" s="53" t="s">
        <v>36</v>
      </c>
      <c r="H37" s="53" t="s">
        <v>164</v>
      </c>
      <c r="I37" s="53" t="s">
        <v>159</v>
      </c>
      <c r="J37" s="53" t="s">
        <v>38</v>
      </c>
      <c r="K37" s="53" t="s">
        <v>161</v>
      </c>
      <c r="L37" s="53">
        <v>3</v>
      </c>
      <c r="N37" s="53">
        <v>4</v>
      </c>
      <c r="O37" s="53">
        <v>0.33</v>
      </c>
      <c r="P37" s="53">
        <v>0.39</v>
      </c>
      <c r="Q37" s="75">
        <f t="shared" si="2"/>
        <v>0.36</v>
      </c>
      <c r="R37" s="53">
        <v>15.1</v>
      </c>
      <c r="S37" s="53">
        <v>102</v>
      </c>
      <c r="T37" s="16">
        <f t="shared" si="0"/>
        <v>33</v>
      </c>
      <c r="U37" s="53">
        <v>398</v>
      </c>
      <c r="V37" s="16">
        <f t="shared" si="1"/>
        <v>16</v>
      </c>
      <c r="W37" s="53">
        <v>6</v>
      </c>
      <c r="X37" s="53" t="s">
        <v>46</v>
      </c>
      <c r="Y37" s="53" t="s">
        <v>55</v>
      </c>
      <c r="Z37" s="53" t="s">
        <v>86</v>
      </c>
      <c r="AA37" s="53" t="s">
        <v>97</v>
      </c>
      <c r="AB37" s="53" t="s">
        <v>317</v>
      </c>
      <c r="AV37" s="27"/>
    </row>
    <row r="38" spans="1:48" x14ac:dyDescent="0.15">
      <c r="A38" s="53" t="s">
        <v>59</v>
      </c>
      <c r="B38" s="53" t="s">
        <v>232</v>
      </c>
      <c r="C38" s="62">
        <v>2019</v>
      </c>
      <c r="D38" s="137" t="s">
        <v>313</v>
      </c>
      <c r="E38" s="53" t="s">
        <v>162</v>
      </c>
      <c r="F38" s="53" t="s">
        <v>335</v>
      </c>
      <c r="G38" s="53" t="s">
        <v>36</v>
      </c>
      <c r="H38" s="53" t="s">
        <v>160</v>
      </c>
      <c r="I38" s="53" t="s">
        <v>159</v>
      </c>
      <c r="J38" s="53" t="s">
        <v>38</v>
      </c>
      <c r="K38" s="53" t="s">
        <v>161</v>
      </c>
      <c r="L38" s="53">
        <v>1</v>
      </c>
      <c r="N38" s="53">
        <v>4</v>
      </c>
      <c r="O38" s="53">
        <v>0.3</v>
      </c>
      <c r="P38" s="53">
        <v>0.3</v>
      </c>
      <c r="Q38" s="75">
        <f t="shared" si="2"/>
        <v>0.3</v>
      </c>
      <c r="R38" s="53">
        <v>15.3</v>
      </c>
      <c r="S38" s="53">
        <v>105</v>
      </c>
      <c r="T38" s="16">
        <f t="shared" si="0"/>
        <v>33</v>
      </c>
      <c r="U38" s="53">
        <v>398</v>
      </c>
      <c r="V38" s="16">
        <f t="shared" si="1"/>
        <v>16</v>
      </c>
      <c r="W38" s="53">
        <v>3</v>
      </c>
      <c r="X38" s="53" t="s">
        <v>46</v>
      </c>
      <c r="Y38" s="53" t="s">
        <v>69</v>
      </c>
      <c r="Z38" s="53" t="s">
        <v>55</v>
      </c>
      <c r="AA38" s="53" t="s">
        <v>78</v>
      </c>
      <c r="AB38" s="53" t="s">
        <v>317</v>
      </c>
      <c r="AV38" s="27"/>
    </row>
    <row r="39" spans="1:48" x14ac:dyDescent="0.15">
      <c r="A39" s="53" t="s">
        <v>59</v>
      </c>
      <c r="B39" s="53" t="s">
        <v>232</v>
      </c>
      <c r="C39" s="62">
        <v>2019</v>
      </c>
      <c r="D39" s="137" t="s">
        <v>313</v>
      </c>
      <c r="E39" s="53" t="s">
        <v>162</v>
      </c>
      <c r="F39" s="53" t="s">
        <v>335</v>
      </c>
      <c r="G39" s="53" t="s">
        <v>36</v>
      </c>
      <c r="H39" s="53" t="s">
        <v>160</v>
      </c>
      <c r="I39" s="53" t="s">
        <v>159</v>
      </c>
      <c r="J39" s="53" t="s">
        <v>38</v>
      </c>
      <c r="K39" s="53" t="s">
        <v>161</v>
      </c>
      <c r="L39" s="53">
        <v>2</v>
      </c>
      <c r="N39" s="53">
        <v>4</v>
      </c>
      <c r="O39" s="53">
        <v>0.26</v>
      </c>
      <c r="P39" s="53">
        <v>0.25</v>
      </c>
      <c r="Q39" s="75">
        <f t="shared" si="2"/>
        <v>0.255</v>
      </c>
      <c r="R39" s="53">
        <v>16.7</v>
      </c>
      <c r="S39" s="53">
        <v>106</v>
      </c>
      <c r="T39" s="16">
        <f t="shared" si="0"/>
        <v>33</v>
      </c>
      <c r="U39" s="53">
        <v>398</v>
      </c>
      <c r="V39" s="16">
        <f t="shared" si="1"/>
        <v>16</v>
      </c>
      <c r="W39" s="53">
        <v>3</v>
      </c>
      <c r="X39" s="53" t="s">
        <v>46</v>
      </c>
      <c r="Y39" s="53" t="s">
        <v>69</v>
      </c>
      <c r="Z39" s="53" t="s">
        <v>55</v>
      </c>
      <c r="AA39" s="53" t="s">
        <v>78</v>
      </c>
      <c r="AB39" s="53" t="s">
        <v>317</v>
      </c>
      <c r="AV39" s="27"/>
    </row>
    <row r="40" spans="1:48" x14ac:dyDescent="0.15">
      <c r="A40" s="53" t="s">
        <v>59</v>
      </c>
      <c r="B40" s="53" t="s">
        <v>232</v>
      </c>
      <c r="C40" s="62">
        <v>2019</v>
      </c>
      <c r="D40" s="137" t="s">
        <v>313</v>
      </c>
      <c r="E40" s="53" t="s">
        <v>162</v>
      </c>
      <c r="F40" s="53" t="s">
        <v>335</v>
      </c>
      <c r="G40" s="53" t="s">
        <v>36</v>
      </c>
      <c r="H40" s="53" t="s">
        <v>160</v>
      </c>
      <c r="I40" s="53" t="s">
        <v>159</v>
      </c>
      <c r="J40" s="53" t="s">
        <v>38</v>
      </c>
      <c r="K40" s="53" t="s">
        <v>161</v>
      </c>
      <c r="L40" s="53">
        <v>3</v>
      </c>
      <c r="N40" s="53">
        <v>4</v>
      </c>
      <c r="O40" s="53">
        <v>0.28999999999999998</v>
      </c>
      <c r="P40" s="53">
        <v>0.25</v>
      </c>
      <c r="Q40" s="75">
        <f t="shared" si="2"/>
        <v>0.27</v>
      </c>
      <c r="R40" s="53">
        <v>15.7</v>
      </c>
      <c r="S40" s="53">
        <v>109</v>
      </c>
      <c r="T40" s="16">
        <f t="shared" si="0"/>
        <v>33</v>
      </c>
      <c r="U40" s="53">
        <v>398</v>
      </c>
      <c r="V40" s="16">
        <f t="shared" si="1"/>
        <v>16</v>
      </c>
      <c r="W40" s="53">
        <v>3</v>
      </c>
      <c r="X40" s="53" t="s">
        <v>46</v>
      </c>
      <c r="Y40" s="53" t="s">
        <v>69</v>
      </c>
      <c r="Z40" s="53" t="s">
        <v>55</v>
      </c>
      <c r="AA40" s="53" t="s">
        <v>78</v>
      </c>
      <c r="AB40" s="53" t="s">
        <v>317</v>
      </c>
      <c r="AV40" s="27"/>
    </row>
    <row r="41" spans="1:48" x14ac:dyDescent="0.15">
      <c r="A41" s="53" t="s">
        <v>59</v>
      </c>
      <c r="B41" s="53" t="s">
        <v>232</v>
      </c>
      <c r="C41" s="62">
        <v>2019</v>
      </c>
      <c r="D41" s="137" t="s">
        <v>313</v>
      </c>
      <c r="E41" s="53" t="s">
        <v>162</v>
      </c>
      <c r="F41" s="53" t="s">
        <v>335</v>
      </c>
      <c r="G41" s="53" t="s">
        <v>36</v>
      </c>
      <c r="H41" s="53" t="s">
        <v>164</v>
      </c>
      <c r="I41" s="53" t="s">
        <v>159</v>
      </c>
      <c r="J41" s="53" t="s">
        <v>38</v>
      </c>
      <c r="K41" s="53" t="s">
        <v>161</v>
      </c>
      <c r="L41" s="53">
        <v>1</v>
      </c>
      <c r="N41" s="53">
        <v>5</v>
      </c>
      <c r="O41" s="53">
        <v>0.35</v>
      </c>
      <c r="P41" s="53">
        <v>0.37</v>
      </c>
      <c r="Q41" s="75">
        <f t="shared" si="2"/>
        <v>0.36</v>
      </c>
      <c r="R41" s="53">
        <v>14.2</v>
      </c>
      <c r="S41" s="53">
        <v>93</v>
      </c>
      <c r="T41" s="16">
        <f t="shared" si="0"/>
        <v>36</v>
      </c>
      <c r="U41" s="53">
        <v>398</v>
      </c>
      <c r="V41" s="16">
        <f t="shared" si="1"/>
        <v>16</v>
      </c>
      <c r="W41" s="53">
        <v>6</v>
      </c>
      <c r="X41" s="53" t="s">
        <v>46</v>
      </c>
      <c r="Y41" s="53" t="s">
        <v>69</v>
      </c>
      <c r="Z41" s="53" t="s">
        <v>55</v>
      </c>
      <c r="AA41" s="53" t="s">
        <v>78</v>
      </c>
      <c r="AB41" s="53" t="s">
        <v>317</v>
      </c>
      <c r="AV41" s="27"/>
    </row>
    <row r="42" spans="1:48" x14ac:dyDescent="0.15">
      <c r="A42" s="53" t="s">
        <v>59</v>
      </c>
      <c r="B42" s="53" t="s">
        <v>232</v>
      </c>
      <c r="C42" s="62">
        <v>2019</v>
      </c>
      <c r="D42" s="137" t="s">
        <v>313</v>
      </c>
      <c r="E42" s="53" t="s">
        <v>162</v>
      </c>
      <c r="F42" s="53" t="s">
        <v>335</v>
      </c>
      <c r="G42" s="53" t="s">
        <v>36</v>
      </c>
      <c r="H42" s="53" t="s">
        <v>164</v>
      </c>
      <c r="I42" s="53" t="s">
        <v>159</v>
      </c>
      <c r="J42" s="53" t="s">
        <v>38</v>
      </c>
      <c r="K42" s="53" t="s">
        <v>161</v>
      </c>
      <c r="L42" s="53">
        <v>2</v>
      </c>
      <c r="N42" s="53">
        <v>5</v>
      </c>
      <c r="O42" s="53">
        <v>0.4</v>
      </c>
      <c r="P42" s="53">
        <v>0.45</v>
      </c>
      <c r="Q42" s="75">
        <f t="shared" si="2"/>
        <v>0.42500000000000004</v>
      </c>
      <c r="R42" s="53">
        <v>13.3</v>
      </c>
      <c r="S42" s="53">
        <v>92</v>
      </c>
      <c r="T42" s="16">
        <f t="shared" si="0"/>
        <v>36</v>
      </c>
      <c r="U42" s="53">
        <v>398</v>
      </c>
      <c r="V42" s="16">
        <f t="shared" si="1"/>
        <v>16</v>
      </c>
      <c r="W42" s="53">
        <v>6</v>
      </c>
      <c r="X42" s="53" t="s">
        <v>46</v>
      </c>
      <c r="Y42" s="53" t="s">
        <v>69</v>
      </c>
      <c r="Z42" s="53" t="s">
        <v>55</v>
      </c>
      <c r="AA42" s="53" t="s">
        <v>78</v>
      </c>
      <c r="AB42" s="53" t="s">
        <v>317</v>
      </c>
      <c r="AV42" s="27"/>
    </row>
    <row r="43" spans="1:48" x14ac:dyDescent="0.15">
      <c r="A43" s="53" t="s">
        <v>59</v>
      </c>
      <c r="B43" s="53" t="s">
        <v>232</v>
      </c>
      <c r="C43" s="62">
        <v>2019</v>
      </c>
      <c r="D43" s="137" t="s">
        <v>313</v>
      </c>
      <c r="E43" s="53" t="s">
        <v>162</v>
      </c>
      <c r="F43" s="53" t="s">
        <v>335</v>
      </c>
      <c r="G43" s="53" t="s">
        <v>36</v>
      </c>
      <c r="H43" s="53" t="s">
        <v>164</v>
      </c>
      <c r="I43" s="53" t="s">
        <v>159</v>
      </c>
      <c r="J43" s="53" t="s">
        <v>38</v>
      </c>
      <c r="K43" s="53" t="s">
        <v>161</v>
      </c>
      <c r="L43" s="53">
        <v>3</v>
      </c>
      <c r="N43" s="53">
        <v>5</v>
      </c>
      <c r="O43" s="53">
        <v>0.42</v>
      </c>
      <c r="P43" s="53">
        <v>0.41</v>
      </c>
      <c r="Q43" s="75">
        <f t="shared" si="2"/>
        <v>0.41499999999999998</v>
      </c>
      <c r="R43" s="53">
        <v>14.5</v>
      </c>
      <c r="S43" s="53">
        <v>94</v>
      </c>
      <c r="T43" s="16">
        <f t="shared" si="0"/>
        <v>36</v>
      </c>
      <c r="U43" s="53">
        <v>398</v>
      </c>
      <c r="V43" s="16">
        <f t="shared" si="1"/>
        <v>16</v>
      </c>
      <c r="W43" s="53">
        <v>6</v>
      </c>
      <c r="X43" s="53" t="s">
        <v>46</v>
      </c>
      <c r="Y43" s="53" t="s">
        <v>69</v>
      </c>
      <c r="Z43" s="53" t="s">
        <v>55</v>
      </c>
      <c r="AA43" s="53" t="s">
        <v>78</v>
      </c>
      <c r="AB43" s="53" t="s">
        <v>317</v>
      </c>
      <c r="AV43" s="27"/>
    </row>
    <row r="44" spans="1:48" x14ac:dyDescent="0.15">
      <c r="A44" s="53" t="s">
        <v>59</v>
      </c>
      <c r="B44" s="53" t="s">
        <v>232</v>
      </c>
      <c r="C44" s="62">
        <v>2019</v>
      </c>
      <c r="D44" s="137" t="s">
        <v>313</v>
      </c>
      <c r="E44" s="53" t="s">
        <v>332</v>
      </c>
      <c r="F44" s="53" t="s">
        <v>333</v>
      </c>
      <c r="G44" s="53" t="s">
        <v>36</v>
      </c>
      <c r="H44" s="53" t="s">
        <v>160</v>
      </c>
      <c r="I44" s="53" t="s">
        <v>159</v>
      </c>
      <c r="J44" s="53" t="s">
        <v>38</v>
      </c>
      <c r="K44" s="53" t="s">
        <v>161</v>
      </c>
      <c r="L44" s="53">
        <v>1</v>
      </c>
      <c r="N44" s="53">
        <v>3</v>
      </c>
      <c r="O44" s="53">
        <v>0.49</v>
      </c>
      <c r="P44" s="53">
        <v>0.48</v>
      </c>
      <c r="Q44" s="75">
        <f t="shared" si="2"/>
        <v>0.48499999999999999</v>
      </c>
      <c r="R44" s="53">
        <v>15.7</v>
      </c>
      <c r="S44" s="53">
        <v>136</v>
      </c>
      <c r="T44" s="16">
        <f t="shared" si="0"/>
        <v>25</v>
      </c>
      <c r="U44" s="53">
        <v>399</v>
      </c>
      <c r="V44" s="16">
        <f t="shared" si="1"/>
        <v>16</v>
      </c>
      <c r="W44" s="53">
        <v>6</v>
      </c>
      <c r="X44" s="53" t="s">
        <v>39</v>
      </c>
      <c r="Y44" s="53" t="s">
        <v>78</v>
      </c>
      <c r="Z44" s="53" t="s">
        <v>90</v>
      </c>
      <c r="AA44" s="53" t="s">
        <v>69</v>
      </c>
      <c r="AB44" s="53" t="s">
        <v>317</v>
      </c>
      <c r="AV44" s="27"/>
    </row>
    <row r="45" spans="1:48" x14ac:dyDescent="0.15">
      <c r="A45" s="53" t="s">
        <v>59</v>
      </c>
      <c r="B45" s="53" t="s">
        <v>232</v>
      </c>
      <c r="C45" s="62">
        <v>2019</v>
      </c>
      <c r="D45" s="137" t="s">
        <v>313</v>
      </c>
      <c r="E45" s="53" t="s">
        <v>332</v>
      </c>
      <c r="F45" s="53" t="s">
        <v>333</v>
      </c>
      <c r="G45" s="53" t="s">
        <v>36</v>
      </c>
      <c r="H45" s="53" t="s">
        <v>160</v>
      </c>
      <c r="I45" s="53" t="s">
        <v>159</v>
      </c>
      <c r="J45" s="53" t="s">
        <v>38</v>
      </c>
      <c r="K45" s="53" t="s">
        <v>161</v>
      </c>
      <c r="L45" s="53">
        <v>2</v>
      </c>
      <c r="N45" s="53">
        <v>3</v>
      </c>
      <c r="O45" s="53">
        <v>0.34</v>
      </c>
      <c r="P45" s="53">
        <v>0.35</v>
      </c>
      <c r="Q45" s="75">
        <f t="shared" si="2"/>
        <v>0.34499999999999997</v>
      </c>
      <c r="R45" s="53">
        <v>19.5</v>
      </c>
      <c r="S45" s="53">
        <v>130</v>
      </c>
      <c r="T45" s="16">
        <f t="shared" si="0"/>
        <v>25</v>
      </c>
      <c r="U45" s="53">
        <v>399</v>
      </c>
      <c r="V45" s="16">
        <f t="shared" si="1"/>
        <v>16</v>
      </c>
      <c r="W45" s="53">
        <v>6</v>
      </c>
      <c r="X45" s="53" t="s">
        <v>39</v>
      </c>
      <c r="Y45" s="53" t="s">
        <v>78</v>
      </c>
      <c r="Z45" s="53" t="s">
        <v>90</v>
      </c>
      <c r="AA45" s="53" t="s">
        <v>69</v>
      </c>
      <c r="AB45" s="53" t="s">
        <v>317</v>
      </c>
      <c r="AV45" s="27"/>
    </row>
    <row r="46" spans="1:48" x14ac:dyDescent="0.15">
      <c r="A46" s="53" t="s">
        <v>59</v>
      </c>
      <c r="B46" s="53" t="s">
        <v>232</v>
      </c>
      <c r="C46" s="62">
        <v>2019</v>
      </c>
      <c r="D46" s="137" t="s">
        <v>313</v>
      </c>
      <c r="E46" s="53" t="s">
        <v>332</v>
      </c>
      <c r="F46" s="53" t="s">
        <v>333</v>
      </c>
      <c r="G46" s="53" t="s">
        <v>36</v>
      </c>
      <c r="H46" s="53" t="s">
        <v>160</v>
      </c>
      <c r="I46" s="53" t="s">
        <v>159</v>
      </c>
      <c r="J46" s="53" t="s">
        <v>38</v>
      </c>
      <c r="K46" s="53" t="s">
        <v>161</v>
      </c>
      <c r="L46" s="53">
        <v>3</v>
      </c>
      <c r="N46" s="53">
        <v>3</v>
      </c>
      <c r="O46" s="53">
        <v>0.45</v>
      </c>
      <c r="P46" s="53">
        <v>0.47</v>
      </c>
      <c r="Q46" s="75">
        <f t="shared" si="2"/>
        <v>0.45999999999999996</v>
      </c>
      <c r="R46" s="53">
        <v>16.3</v>
      </c>
      <c r="S46" s="53">
        <v>134</v>
      </c>
      <c r="T46" s="16">
        <f t="shared" si="0"/>
        <v>25</v>
      </c>
      <c r="U46" s="53">
        <v>399</v>
      </c>
      <c r="V46" s="16">
        <f t="shared" si="1"/>
        <v>16</v>
      </c>
      <c r="W46" s="53">
        <v>6</v>
      </c>
      <c r="X46" s="53" t="s">
        <v>39</v>
      </c>
      <c r="Y46" s="53" t="s">
        <v>78</v>
      </c>
      <c r="Z46" s="53" t="s">
        <v>90</v>
      </c>
      <c r="AA46" s="53" t="s">
        <v>69</v>
      </c>
      <c r="AB46" s="53" t="s">
        <v>317</v>
      </c>
      <c r="AV46" s="27"/>
    </row>
    <row r="47" spans="1:48" x14ac:dyDescent="0.15">
      <c r="A47" s="53" t="s">
        <v>59</v>
      </c>
      <c r="B47" s="53" t="s">
        <v>232</v>
      </c>
      <c r="C47" s="62">
        <v>2019</v>
      </c>
      <c r="D47" s="137" t="s">
        <v>313</v>
      </c>
      <c r="E47" s="53" t="s">
        <v>332</v>
      </c>
      <c r="F47" s="53" t="s">
        <v>333</v>
      </c>
      <c r="G47" s="53" t="s">
        <v>36</v>
      </c>
      <c r="H47" s="53" t="s">
        <v>164</v>
      </c>
      <c r="I47" s="53" t="s">
        <v>159</v>
      </c>
      <c r="J47" s="53" t="s">
        <v>38</v>
      </c>
      <c r="K47" s="53" t="s">
        <v>161</v>
      </c>
      <c r="L47" s="53">
        <v>1</v>
      </c>
      <c r="N47" s="53">
        <v>3</v>
      </c>
      <c r="O47" s="53">
        <v>0.62</v>
      </c>
      <c r="P47" s="53">
        <v>0.61</v>
      </c>
      <c r="Q47" s="75">
        <f t="shared" si="2"/>
        <v>0.61499999999999999</v>
      </c>
      <c r="R47" s="53">
        <v>15.2</v>
      </c>
      <c r="S47" s="53">
        <v>137</v>
      </c>
      <c r="T47" s="16">
        <f t="shared" si="0"/>
        <v>25</v>
      </c>
      <c r="U47" s="53">
        <v>399</v>
      </c>
      <c r="V47" s="16">
        <f t="shared" si="1"/>
        <v>16</v>
      </c>
      <c r="W47" s="53">
        <v>9</v>
      </c>
      <c r="X47" s="53" t="s">
        <v>39</v>
      </c>
      <c r="Y47" s="53" t="s">
        <v>78</v>
      </c>
      <c r="Z47" s="53" t="s">
        <v>90</v>
      </c>
      <c r="AA47" s="53" t="s">
        <v>69</v>
      </c>
      <c r="AB47" s="53" t="s">
        <v>317</v>
      </c>
      <c r="AV47" s="27"/>
    </row>
    <row r="48" spans="1:48" x14ac:dyDescent="0.15">
      <c r="A48" s="53" t="s">
        <v>59</v>
      </c>
      <c r="B48" s="53" t="s">
        <v>232</v>
      </c>
      <c r="C48" s="62">
        <v>2019</v>
      </c>
      <c r="D48" s="137" t="s">
        <v>313</v>
      </c>
      <c r="E48" s="53" t="s">
        <v>332</v>
      </c>
      <c r="F48" s="53" t="s">
        <v>333</v>
      </c>
      <c r="G48" s="53" t="s">
        <v>36</v>
      </c>
      <c r="H48" s="53" t="s">
        <v>164</v>
      </c>
      <c r="I48" s="53" t="s">
        <v>159</v>
      </c>
      <c r="J48" s="53" t="s">
        <v>38</v>
      </c>
      <c r="K48" s="53" t="s">
        <v>161</v>
      </c>
      <c r="L48" s="53">
        <v>2</v>
      </c>
      <c r="N48" s="53">
        <v>3</v>
      </c>
      <c r="O48" s="53">
        <v>0.46</v>
      </c>
      <c r="P48" s="53">
        <v>0.56999999999999995</v>
      </c>
      <c r="Q48" s="75">
        <f t="shared" si="2"/>
        <v>0.51500000000000001</v>
      </c>
      <c r="R48" s="53">
        <v>14.7</v>
      </c>
      <c r="S48" s="53">
        <v>135</v>
      </c>
      <c r="T48" s="16">
        <f t="shared" si="0"/>
        <v>25</v>
      </c>
      <c r="U48" s="53">
        <v>399</v>
      </c>
      <c r="V48" s="16">
        <f t="shared" si="1"/>
        <v>16</v>
      </c>
      <c r="W48" s="53">
        <v>9</v>
      </c>
      <c r="X48" s="53" t="s">
        <v>39</v>
      </c>
      <c r="Y48" s="53" t="s">
        <v>78</v>
      </c>
      <c r="Z48" s="53" t="s">
        <v>90</v>
      </c>
      <c r="AA48" s="53" t="s">
        <v>69</v>
      </c>
      <c r="AB48" s="53" t="s">
        <v>317</v>
      </c>
      <c r="AV48" s="27"/>
    </row>
    <row r="49" spans="1:48" x14ac:dyDescent="0.15">
      <c r="A49" s="53" t="s">
        <v>59</v>
      </c>
      <c r="B49" s="53" t="s">
        <v>232</v>
      </c>
      <c r="C49" s="62">
        <v>2019</v>
      </c>
      <c r="D49" s="137" t="s">
        <v>313</v>
      </c>
      <c r="E49" s="53" t="s">
        <v>332</v>
      </c>
      <c r="F49" s="53" t="s">
        <v>333</v>
      </c>
      <c r="G49" s="53" t="s">
        <v>36</v>
      </c>
      <c r="H49" s="53" t="s">
        <v>164</v>
      </c>
      <c r="I49" s="53" t="s">
        <v>159</v>
      </c>
      <c r="J49" s="53" t="s">
        <v>38</v>
      </c>
      <c r="K49" s="53" t="s">
        <v>161</v>
      </c>
      <c r="L49" s="53">
        <v>3</v>
      </c>
      <c r="N49" s="53">
        <v>3</v>
      </c>
      <c r="O49" s="53">
        <v>0.53</v>
      </c>
      <c r="P49" s="53">
        <v>0.62</v>
      </c>
      <c r="Q49" s="75">
        <f t="shared" si="2"/>
        <v>0.57499999999999996</v>
      </c>
      <c r="R49" s="53">
        <v>14.5</v>
      </c>
      <c r="S49" s="53">
        <v>132</v>
      </c>
      <c r="T49" s="16">
        <f t="shared" si="0"/>
        <v>25</v>
      </c>
      <c r="U49" s="53">
        <v>399</v>
      </c>
      <c r="V49" s="16">
        <f t="shared" si="1"/>
        <v>16</v>
      </c>
      <c r="W49" s="53">
        <v>9</v>
      </c>
      <c r="X49" s="53" t="s">
        <v>39</v>
      </c>
      <c r="Y49" s="53" t="s">
        <v>78</v>
      </c>
      <c r="Z49" s="53" t="s">
        <v>90</v>
      </c>
      <c r="AA49" s="53" t="s">
        <v>69</v>
      </c>
      <c r="AB49" s="53" t="s">
        <v>317</v>
      </c>
      <c r="AV49" s="27"/>
    </row>
    <row r="50" spans="1:48" x14ac:dyDescent="0.15">
      <c r="A50" s="53" t="s">
        <v>59</v>
      </c>
      <c r="B50" s="53" t="s">
        <v>232</v>
      </c>
      <c r="C50" s="62">
        <v>2019</v>
      </c>
      <c r="D50" s="137" t="s">
        <v>313</v>
      </c>
      <c r="E50" s="53" t="s">
        <v>323</v>
      </c>
      <c r="F50" s="53" t="s">
        <v>324</v>
      </c>
      <c r="G50" s="53" t="s">
        <v>36</v>
      </c>
      <c r="H50" s="53" t="s">
        <v>160</v>
      </c>
      <c r="I50" s="53" t="s">
        <v>159</v>
      </c>
      <c r="J50" s="53" t="s">
        <v>38</v>
      </c>
      <c r="K50" s="53" t="s">
        <v>161</v>
      </c>
      <c r="L50" s="53">
        <v>1</v>
      </c>
      <c r="N50" s="53">
        <v>4</v>
      </c>
      <c r="O50" s="53">
        <v>0.63</v>
      </c>
      <c r="P50" s="53">
        <v>0.68</v>
      </c>
      <c r="Q50" s="75">
        <f t="shared" si="2"/>
        <v>0.65500000000000003</v>
      </c>
      <c r="R50" s="53">
        <v>15.3</v>
      </c>
      <c r="S50" s="53">
        <v>100</v>
      </c>
      <c r="T50" s="16">
        <f t="shared" si="0"/>
        <v>33</v>
      </c>
      <c r="U50" s="53">
        <v>486</v>
      </c>
      <c r="V50" s="16">
        <f t="shared" si="1"/>
        <v>16</v>
      </c>
      <c r="W50" s="53">
        <v>4</v>
      </c>
      <c r="X50" s="53" t="s">
        <v>46</v>
      </c>
      <c r="Y50" s="53" t="s">
        <v>69</v>
      </c>
      <c r="Z50" s="53" t="s">
        <v>55</v>
      </c>
      <c r="AA50" s="53" t="s">
        <v>78</v>
      </c>
      <c r="AB50" s="53" t="s">
        <v>317</v>
      </c>
      <c r="AV50" s="27"/>
    </row>
    <row r="51" spans="1:48" x14ac:dyDescent="0.15">
      <c r="A51" s="53" t="s">
        <v>59</v>
      </c>
      <c r="B51" s="53" t="s">
        <v>232</v>
      </c>
      <c r="C51" s="62">
        <v>2019</v>
      </c>
      <c r="D51" s="137" t="s">
        <v>313</v>
      </c>
      <c r="E51" s="53" t="s">
        <v>323</v>
      </c>
      <c r="F51" s="53" t="s">
        <v>324</v>
      </c>
      <c r="G51" s="53" t="s">
        <v>36</v>
      </c>
      <c r="H51" s="53" t="s">
        <v>160</v>
      </c>
      <c r="I51" s="53" t="s">
        <v>159</v>
      </c>
      <c r="J51" s="53" t="s">
        <v>38</v>
      </c>
      <c r="K51" s="53" t="s">
        <v>161</v>
      </c>
      <c r="L51" s="53">
        <v>2</v>
      </c>
      <c r="N51" s="53">
        <v>4</v>
      </c>
      <c r="O51" s="53">
        <v>0.66</v>
      </c>
      <c r="P51" s="53">
        <v>0.64</v>
      </c>
      <c r="Q51" s="75">
        <f t="shared" si="2"/>
        <v>0.65</v>
      </c>
      <c r="R51" s="53">
        <v>14.3</v>
      </c>
      <c r="S51" s="53">
        <v>104</v>
      </c>
      <c r="T51" s="16">
        <f t="shared" si="0"/>
        <v>33</v>
      </c>
      <c r="U51" s="53">
        <v>486</v>
      </c>
      <c r="V51" s="16">
        <f t="shared" si="1"/>
        <v>16</v>
      </c>
      <c r="W51" s="53">
        <v>4</v>
      </c>
      <c r="X51" s="53" t="s">
        <v>46</v>
      </c>
      <c r="Y51" s="53" t="s">
        <v>69</v>
      </c>
      <c r="Z51" s="53" t="s">
        <v>55</v>
      </c>
      <c r="AA51" s="53" t="s">
        <v>78</v>
      </c>
      <c r="AB51" s="53" t="s">
        <v>317</v>
      </c>
      <c r="AV51" s="27"/>
    </row>
    <row r="52" spans="1:48" x14ac:dyDescent="0.15">
      <c r="A52" s="53" t="s">
        <v>59</v>
      </c>
      <c r="B52" s="53" t="s">
        <v>232</v>
      </c>
      <c r="C52" s="62">
        <v>2019</v>
      </c>
      <c r="D52" s="137" t="s">
        <v>313</v>
      </c>
      <c r="E52" s="53" t="s">
        <v>323</v>
      </c>
      <c r="F52" s="53" t="s">
        <v>324</v>
      </c>
      <c r="G52" s="53" t="s">
        <v>36</v>
      </c>
      <c r="H52" s="53" t="s">
        <v>160</v>
      </c>
      <c r="I52" s="53" t="s">
        <v>159</v>
      </c>
      <c r="J52" s="53" t="s">
        <v>38</v>
      </c>
      <c r="K52" s="53" t="s">
        <v>161</v>
      </c>
      <c r="L52" s="53">
        <v>3</v>
      </c>
      <c r="N52" s="53">
        <v>4</v>
      </c>
      <c r="O52" s="53">
        <v>0.65</v>
      </c>
      <c r="P52" s="53">
        <v>0.61</v>
      </c>
      <c r="Q52" s="75">
        <f t="shared" si="2"/>
        <v>0.63</v>
      </c>
      <c r="R52" s="53">
        <v>15.8</v>
      </c>
      <c r="S52" s="53">
        <v>104</v>
      </c>
      <c r="T52" s="16">
        <f t="shared" si="0"/>
        <v>33</v>
      </c>
      <c r="U52" s="53">
        <v>486</v>
      </c>
      <c r="V52" s="16">
        <f t="shared" si="1"/>
        <v>16</v>
      </c>
      <c r="W52" s="53">
        <v>4</v>
      </c>
      <c r="X52" s="53" t="s">
        <v>46</v>
      </c>
      <c r="Y52" s="53" t="s">
        <v>69</v>
      </c>
      <c r="Z52" s="53" t="s">
        <v>55</v>
      </c>
      <c r="AA52" s="53" t="s">
        <v>78</v>
      </c>
      <c r="AB52" s="53" t="s">
        <v>317</v>
      </c>
      <c r="AV52" s="27"/>
    </row>
    <row r="53" spans="1:48" x14ac:dyDescent="0.15">
      <c r="A53" s="53" t="s">
        <v>59</v>
      </c>
      <c r="B53" s="53" t="s">
        <v>232</v>
      </c>
      <c r="C53" s="62">
        <v>2019</v>
      </c>
      <c r="D53" s="137" t="s">
        <v>313</v>
      </c>
      <c r="E53" s="53" t="s">
        <v>323</v>
      </c>
      <c r="F53" s="53" t="s">
        <v>324</v>
      </c>
      <c r="G53" s="53" t="s">
        <v>36</v>
      </c>
      <c r="H53" s="53" t="s">
        <v>164</v>
      </c>
      <c r="I53" s="53" t="s">
        <v>159</v>
      </c>
      <c r="J53" s="53" t="s">
        <v>38</v>
      </c>
      <c r="K53" s="53" t="s">
        <v>161</v>
      </c>
      <c r="L53" s="53">
        <v>1</v>
      </c>
      <c r="N53" s="53">
        <v>1</v>
      </c>
      <c r="O53" s="53">
        <v>0.52</v>
      </c>
      <c r="P53" s="53">
        <v>0.46</v>
      </c>
      <c r="Q53" s="75">
        <f t="shared" si="2"/>
        <v>0.49</v>
      </c>
      <c r="R53" s="53">
        <v>13.8</v>
      </c>
      <c r="S53" s="53">
        <v>130</v>
      </c>
      <c r="T53" s="16">
        <f t="shared" si="0"/>
        <v>25</v>
      </c>
      <c r="U53" s="53">
        <v>105</v>
      </c>
      <c r="V53" s="16">
        <f t="shared" si="1"/>
        <v>33</v>
      </c>
      <c r="W53" s="53">
        <v>2</v>
      </c>
      <c r="X53" s="53" t="s">
        <v>46</v>
      </c>
      <c r="Y53" s="53" t="s">
        <v>69</v>
      </c>
      <c r="Z53" s="53" t="s">
        <v>55</v>
      </c>
      <c r="AA53" s="53" t="s">
        <v>78</v>
      </c>
      <c r="AB53" s="53" t="s">
        <v>317</v>
      </c>
      <c r="AV53" s="27"/>
    </row>
    <row r="54" spans="1:48" x14ac:dyDescent="0.15">
      <c r="A54" s="53" t="s">
        <v>59</v>
      </c>
      <c r="B54" s="53" t="s">
        <v>232</v>
      </c>
      <c r="C54" s="62">
        <v>2019</v>
      </c>
      <c r="D54" s="137" t="s">
        <v>313</v>
      </c>
      <c r="E54" s="53" t="s">
        <v>323</v>
      </c>
      <c r="F54" s="53" t="s">
        <v>324</v>
      </c>
      <c r="G54" s="53" t="s">
        <v>36</v>
      </c>
      <c r="H54" s="53" t="s">
        <v>164</v>
      </c>
      <c r="I54" s="53" t="s">
        <v>159</v>
      </c>
      <c r="J54" s="53" t="s">
        <v>38</v>
      </c>
      <c r="K54" s="53" t="s">
        <v>161</v>
      </c>
      <c r="L54" s="53">
        <v>2</v>
      </c>
      <c r="N54" s="53">
        <v>1</v>
      </c>
      <c r="O54" s="53">
        <v>0.61</v>
      </c>
      <c r="P54" s="53">
        <v>0.61</v>
      </c>
      <c r="Q54" s="75">
        <f t="shared" si="2"/>
        <v>0.61</v>
      </c>
      <c r="R54" s="53">
        <v>14.3</v>
      </c>
      <c r="S54" s="53">
        <v>132</v>
      </c>
      <c r="T54" s="16">
        <f t="shared" si="0"/>
        <v>25</v>
      </c>
      <c r="U54" s="53">
        <v>105</v>
      </c>
      <c r="V54" s="16">
        <f t="shared" si="1"/>
        <v>33</v>
      </c>
      <c r="W54" s="53">
        <v>2</v>
      </c>
      <c r="X54" s="53" t="s">
        <v>46</v>
      </c>
      <c r="Y54" s="53" t="s">
        <v>69</v>
      </c>
      <c r="Z54" s="53" t="s">
        <v>55</v>
      </c>
      <c r="AA54" s="53" t="s">
        <v>78</v>
      </c>
      <c r="AB54" s="53" t="s">
        <v>317</v>
      </c>
      <c r="AV54" s="27"/>
    </row>
    <row r="55" spans="1:48" x14ac:dyDescent="0.15">
      <c r="A55" s="53" t="s">
        <v>59</v>
      </c>
      <c r="B55" s="53" t="s">
        <v>232</v>
      </c>
      <c r="C55" s="62">
        <v>2019</v>
      </c>
      <c r="D55" s="137" t="s">
        <v>313</v>
      </c>
      <c r="E55" s="53" t="s">
        <v>323</v>
      </c>
      <c r="F55" s="53" t="s">
        <v>324</v>
      </c>
      <c r="G55" s="53" t="s">
        <v>36</v>
      </c>
      <c r="H55" s="53" t="s">
        <v>164</v>
      </c>
      <c r="I55" s="53" t="s">
        <v>159</v>
      </c>
      <c r="J55" s="53" t="s">
        <v>38</v>
      </c>
      <c r="K55" s="53" t="s">
        <v>161</v>
      </c>
      <c r="L55" s="53">
        <v>3</v>
      </c>
      <c r="N55" s="53">
        <v>1</v>
      </c>
      <c r="O55" s="53">
        <v>0.57999999999999996</v>
      </c>
      <c r="P55" s="53">
        <v>0.55000000000000004</v>
      </c>
      <c r="Q55" s="75">
        <f t="shared" si="2"/>
        <v>0.56499999999999995</v>
      </c>
      <c r="R55" s="53">
        <v>13.7</v>
      </c>
      <c r="S55" s="53">
        <v>130</v>
      </c>
      <c r="T55" s="16">
        <f t="shared" si="0"/>
        <v>25</v>
      </c>
      <c r="U55" s="53">
        <v>105</v>
      </c>
      <c r="V55" s="16">
        <f t="shared" si="1"/>
        <v>33</v>
      </c>
      <c r="W55" s="53">
        <v>2</v>
      </c>
      <c r="X55" s="53" t="s">
        <v>46</v>
      </c>
      <c r="Y55" s="53" t="s">
        <v>69</v>
      </c>
      <c r="Z55" s="53" t="s">
        <v>55</v>
      </c>
      <c r="AA55" s="53" t="s">
        <v>78</v>
      </c>
      <c r="AB55" s="53" t="s">
        <v>317</v>
      </c>
      <c r="AV55" s="27"/>
    </row>
    <row r="56" spans="1:48" x14ac:dyDescent="0.15">
      <c r="A56" s="53" t="s">
        <v>59</v>
      </c>
      <c r="B56" s="53" t="s">
        <v>232</v>
      </c>
      <c r="C56" s="62">
        <v>2019</v>
      </c>
      <c r="D56" s="137" t="s">
        <v>313</v>
      </c>
      <c r="E56" s="53" t="s">
        <v>339</v>
      </c>
      <c r="F56" s="53" t="s">
        <v>340</v>
      </c>
      <c r="G56" s="53" t="s">
        <v>36</v>
      </c>
      <c r="H56" s="53" t="s">
        <v>160</v>
      </c>
      <c r="I56" s="53" t="s">
        <v>159</v>
      </c>
      <c r="J56" s="53" t="s">
        <v>38</v>
      </c>
      <c r="K56" s="53" t="s">
        <v>161</v>
      </c>
      <c r="L56" s="53">
        <v>1</v>
      </c>
      <c r="N56" s="53">
        <v>4</v>
      </c>
      <c r="O56" s="53">
        <v>0.48</v>
      </c>
      <c r="P56" s="53">
        <v>0.54</v>
      </c>
      <c r="Q56" s="75">
        <f t="shared" si="2"/>
        <v>0.51</v>
      </c>
      <c r="R56" s="53">
        <v>16.600000000000001</v>
      </c>
      <c r="S56" s="53">
        <v>136</v>
      </c>
      <c r="T56" s="16">
        <f t="shared" si="0"/>
        <v>25</v>
      </c>
      <c r="U56" s="53">
        <v>458</v>
      </c>
      <c r="V56" s="16">
        <f t="shared" si="1"/>
        <v>16</v>
      </c>
      <c r="W56" s="53">
        <v>6</v>
      </c>
      <c r="X56" s="53" t="s">
        <v>46</v>
      </c>
      <c r="Y56" s="53" t="s">
        <v>97</v>
      </c>
      <c r="Z56" s="53" t="s">
        <v>86</v>
      </c>
      <c r="AA56" s="53" t="s">
        <v>55</v>
      </c>
      <c r="AB56" s="53" t="s">
        <v>317</v>
      </c>
      <c r="AV56" s="27"/>
    </row>
    <row r="57" spans="1:48" x14ac:dyDescent="0.15">
      <c r="A57" s="53" t="s">
        <v>59</v>
      </c>
      <c r="B57" s="53" t="s">
        <v>232</v>
      </c>
      <c r="C57" s="62">
        <v>2019</v>
      </c>
      <c r="D57" s="137" t="s">
        <v>313</v>
      </c>
      <c r="E57" s="53" t="s">
        <v>339</v>
      </c>
      <c r="F57" s="53" t="s">
        <v>340</v>
      </c>
      <c r="G57" s="53" t="s">
        <v>36</v>
      </c>
      <c r="H57" s="53" t="s">
        <v>160</v>
      </c>
      <c r="I57" s="53" t="s">
        <v>159</v>
      </c>
      <c r="J57" s="53" t="s">
        <v>38</v>
      </c>
      <c r="K57" s="53" t="s">
        <v>161</v>
      </c>
      <c r="L57" s="53">
        <v>2</v>
      </c>
      <c r="N57" s="53">
        <v>4</v>
      </c>
      <c r="O57" s="53">
        <v>0.45</v>
      </c>
      <c r="P57" s="53">
        <v>0.55000000000000004</v>
      </c>
      <c r="Q57" s="75">
        <f t="shared" si="2"/>
        <v>0.5</v>
      </c>
      <c r="R57" s="53">
        <v>16.2</v>
      </c>
      <c r="S57" s="53">
        <v>135</v>
      </c>
      <c r="T57" s="16">
        <f t="shared" si="0"/>
        <v>25</v>
      </c>
      <c r="U57" s="53">
        <v>458</v>
      </c>
      <c r="V57" s="16">
        <f t="shared" si="1"/>
        <v>16</v>
      </c>
      <c r="W57" s="53">
        <v>6</v>
      </c>
      <c r="X57" s="53" t="s">
        <v>46</v>
      </c>
      <c r="Y57" s="53" t="s">
        <v>97</v>
      </c>
      <c r="Z57" s="53" t="s">
        <v>86</v>
      </c>
      <c r="AA57" s="53" t="s">
        <v>55</v>
      </c>
      <c r="AB57" s="53" t="s">
        <v>317</v>
      </c>
      <c r="AV57" s="27"/>
    </row>
    <row r="58" spans="1:48" x14ac:dyDescent="0.15">
      <c r="A58" s="53" t="s">
        <v>59</v>
      </c>
      <c r="B58" s="53" t="s">
        <v>232</v>
      </c>
      <c r="C58" s="62">
        <v>2019</v>
      </c>
      <c r="D58" s="137" t="s">
        <v>313</v>
      </c>
      <c r="E58" s="53" t="s">
        <v>339</v>
      </c>
      <c r="F58" s="53" t="s">
        <v>340</v>
      </c>
      <c r="G58" s="53" t="s">
        <v>36</v>
      </c>
      <c r="H58" s="53" t="s">
        <v>160</v>
      </c>
      <c r="I58" s="53" t="s">
        <v>159</v>
      </c>
      <c r="J58" s="53" t="s">
        <v>38</v>
      </c>
      <c r="K58" s="53" t="s">
        <v>161</v>
      </c>
      <c r="L58" s="53">
        <v>3</v>
      </c>
      <c r="N58" s="53">
        <v>4</v>
      </c>
      <c r="O58" s="53">
        <v>0.51</v>
      </c>
      <c r="P58" s="53">
        <v>0.47</v>
      </c>
      <c r="Q58" s="75">
        <f t="shared" si="2"/>
        <v>0.49</v>
      </c>
      <c r="R58" s="53">
        <v>16.899999999999999</v>
      </c>
      <c r="S58" s="53">
        <v>132</v>
      </c>
      <c r="T58" s="16">
        <f t="shared" si="0"/>
        <v>25</v>
      </c>
      <c r="U58" s="53">
        <v>458</v>
      </c>
      <c r="V58" s="16">
        <f t="shared" si="1"/>
        <v>16</v>
      </c>
      <c r="W58" s="53">
        <v>6</v>
      </c>
      <c r="X58" s="53" t="s">
        <v>46</v>
      </c>
      <c r="Y58" s="53" t="s">
        <v>97</v>
      </c>
      <c r="Z58" s="53" t="s">
        <v>86</v>
      </c>
      <c r="AA58" s="53" t="s">
        <v>55</v>
      </c>
      <c r="AB58" s="53" t="s">
        <v>317</v>
      </c>
      <c r="AV58" s="27"/>
    </row>
    <row r="59" spans="1:48" x14ac:dyDescent="0.15">
      <c r="A59" s="53" t="s">
        <v>59</v>
      </c>
      <c r="B59" s="53" t="s">
        <v>232</v>
      </c>
      <c r="C59" s="62">
        <v>2019</v>
      </c>
      <c r="D59" s="137" t="s">
        <v>313</v>
      </c>
      <c r="E59" s="53" t="s">
        <v>339</v>
      </c>
      <c r="F59" s="53" t="s">
        <v>340</v>
      </c>
      <c r="G59" s="53" t="s">
        <v>36</v>
      </c>
      <c r="H59" s="53" t="s">
        <v>164</v>
      </c>
      <c r="I59" s="53" t="s">
        <v>159</v>
      </c>
      <c r="J59" s="53" t="s">
        <v>38</v>
      </c>
      <c r="K59" s="53" t="s">
        <v>161</v>
      </c>
      <c r="L59" s="53">
        <v>1</v>
      </c>
      <c r="N59" s="53">
        <v>4</v>
      </c>
      <c r="O59" s="53">
        <v>0.7</v>
      </c>
      <c r="P59" s="53">
        <v>0.72</v>
      </c>
      <c r="Q59" s="75">
        <f t="shared" si="2"/>
        <v>0.71</v>
      </c>
      <c r="R59" s="53">
        <v>14.9</v>
      </c>
      <c r="S59" s="53">
        <v>130</v>
      </c>
      <c r="T59" s="16">
        <f t="shared" si="0"/>
        <v>25</v>
      </c>
      <c r="U59" s="53">
        <v>358</v>
      </c>
      <c r="V59" s="16">
        <f t="shared" si="1"/>
        <v>16</v>
      </c>
      <c r="W59" s="53">
        <v>7</v>
      </c>
      <c r="X59" s="53" t="s">
        <v>46</v>
      </c>
      <c r="Y59" s="53" t="s">
        <v>97</v>
      </c>
      <c r="Z59" s="53" t="s">
        <v>86</v>
      </c>
      <c r="AA59" s="53" t="s">
        <v>55</v>
      </c>
      <c r="AB59" s="53" t="s">
        <v>317</v>
      </c>
      <c r="AV59" s="27"/>
    </row>
    <row r="60" spans="1:48" x14ac:dyDescent="0.15">
      <c r="A60" s="53" t="s">
        <v>59</v>
      </c>
      <c r="B60" s="53" t="s">
        <v>232</v>
      </c>
      <c r="C60" s="62">
        <v>2019</v>
      </c>
      <c r="D60" s="137" t="s">
        <v>313</v>
      </c>
      <c r="E60" s="53" t="s">
        <v>339</v>
      </c>
      <c r="F60" s="53" t="s">
        <v>340</v>
      </c>
      <c r="G60" s="53" t="s">
        <v>36</v>
      </c>
      <c r="H60" s="53" t="s">
        <v>164</v>
      </c>
      <c r="I60" s="53" t="s">
        <v>159</v>
      </c>
      <c r="J60" s="53" t="s">
        <v>38</v>
      </c>
      <c r="K60" s="53" t="s">
        <v>161</v>
      </c>
      <c r="L60" s="53">
        <v>2</v>
      </c>
      <c r="N60" s="53">
        <v>4</v>
      </c>
      <c r="O60" s="53">
        <v>0.55000000000000004</v>
      </c>
      <c r="P60" s="53">
        <v>0.51</v>
      </c>
      <c r="Q60" s="75">
        <f t="shared" si="2"/>
        <v>0.53</v>
      </c>
      <c r="R60" s="53">
        <v>13.6</v>
      </c>
      <c r="S60" s="53">
        <v>131</v>
      </c>
      <c r="T60" s="16">
        <f t="shared" si="0"/>
        <v>25</v>
      </c>
      <c r="U60" s="53">
        <v>358</v>
      </c>
      <c r="V60" s="16">
        <f t="shared" si="1"/>
        <v>16</v>
      </c>
      <c r="W60" s="53">
        <v>7</v>
      </c>
      <c r="X60" s="53" t="s">
        <v>46</v>
      </c>
      <c r="Y60" s="53" t="s">
        <v>97</v>
      </c>
      <c r="Z60" s="53" t="s">
        <v>86</v>
      </c>
      <c r="AA60" s="53" t="s">
        <v>55</v>
      </c>
      <c r="AB60" s="53" t="s">
        <v>317</v>
      </c>
      <c r="AV60" s="27"/>
    </row>
    <row r="61" spans="1:48" x14ac:dyDescent="0.15">
      <c r="A61" s="53" t="s">
        <v>59</v>
      </c>
      <c r="B61" s="53" t="s">
        <v>232</v>
      </c>
      <c r="C61" s="62">
        <v>2019</v>
      </c>
      <c r="D61" s="137" t="s">
        <v>313</v>
      </c>
      <c r="E61" s="53" t="s">
        <v>339</v>
      </c>
      <c r="F61" s="53" t="s">
        <v>340</v>
      </c>
      <c r="G61" s="53" t="s">
        <v>36</v>
      </c>
      <c r="H61" s="53" t="s">
        <v>164</v>
      </c>
      <c r="I61" s="53" t="s">
        <v>159</v>
      </c>
      <c r="J61" s="53" t="s">
        <v>38</v>
      </c>
      <c r="K61" s="53" t="s">
        <v>161</v>
      </c>
      <c r="L61" s="53">
        <v>3</v>
      </c>
      <c r="N61" s="53">
        <v>4</v>
      </c>
      <c r="O61" s="53">
        <v>0.71</v>
      </c>
      <c r="P61" s="53">
        <v>0.68</v>
      </c>
      <c r="Q61" s="75">
        <f t="shared" si="2"/>
        <v>0.69500000000000006</v>
      </c>
      <c r="R61" s="53">
        <v>14.5</v>
      </c>
      <c r="S61" s="53">
        <v>135</v>
      </c>
      <c r="T61" s="16">
        <f t="shared" si="0"/>
        <v>25</v>
      </c>
      <c r="U61" s="53">
        <v>358</v>
      </c>
      <c r="V61" s="16">
        <f t="shared" si="1"/>
        <v>16</v>
      </c>
      <c r="W61" s="53">
        <v>7</v>
      </c>
      <c r="X61" s="53" t="s">
        <v>46</v>
      </c>
      <c r="Y61" s="53" t="s">
        <v>97</v>
      </c>
      <c r="Z61" s="53" t="s">
        <v>86</v>
      </c>
      <c r="AA61" s="53" t="s">
        <v>55</v>
      </c>
      <c r="AB61" s="53" t="s">
        <v>317</v>
      </c>
      <c r="AV61" s="27"/>
    </row>
    <row r="62" spans="1:48" x14ac:dyDescent="0.15">
      <c r="A62" s="53" t="s">
        <v>59</v>
      </c>
      <c r="B62" s="53" t="s">
        <v>232</v>
      </c>
      <c r="C62" s="62">
        <v>2019</v>
      </c>
      <c r="D62" s="137" t="s">
        <v>313</v>
      </c>
      <c r="E62" s="53" t="s">
        <v>329</v>
      </c>
      <c r="F62" s="53" t="s">
        <v>330</v>
      </c>
      <c r="G62" s="53" t="s">
        <v>36</v>
      </c>
      <c r="H62" s="53" t="s">
        <v>160</v>
      </c>
      <c r="I62" s="53" t="s">
        <v>159</v>
      </c>
      <c r="J62" s="53" t="s">
        <v>38</v>
      </c>
      <c r="K62" s="53" t="s">
        <v>161</v>
      </c>
      <c r="L62" s="53">
        <v>1</v>
      </c>
      <c r="N62" s="53">
        <v>4</v>
      </c>
      <c r="O62" s="53">
        <v>0.38</v>
      </c>
      <c r="P62" s="53">
        <v>0.34</v>
      </c>
      <c r="Q62" s="75">
        <f t="shared" si="2"/>
        <v>0.36</v>
      </c>
      <c r="R62" s="53">
        <v>15.6</v>
      </c>
      <c r="S62" s="53">
        <v>96</v>
      </c>
      <c r="T62" s="16">
        <f t="shared" si="0"/>
        <v>36</v>
      </c>
      <c r="U62" s="53">
        <v>518</v>
      </c>
      <c r="V62" s="16">
        <f t="shared" si="1"/>
        <v>16</v>
      </c>
      <c r="W62" s="53">
        <v>9</v>
      </c>
      <c r="X62" s="53" t="s">
        <v>39</v>
      </c>
      <c r="Y62" s="53" t="s">
        <v>97</v>
      </c>
      <c r="Z62" s="53" t="s">
        <v>55</v>
      </c>
      <c r="AA62" s="53" t="s">
        <v>90</v>
      </c>
      <c r="AB62" s="53" t="s">
        <v>317</v>
      </c>
      <c r="AV62" s="27"/>
    </row>
    <row r="63" spans="1:48" x14ac:dyDescent="0.15">
      <c r="A63" s="53" t="s">
        <v>59</v>
      </c>
      <c r="B63" s="53" t="s">
        <v>232</v>
      </c>
      <c r="C63" s="62">
        <v>2019</v>
      </c>
      <c r="D63" s="137" t="s">
        <v>313</v>
      </c>
      <c r="E63" s="53" t="s">
        <v>329</v>
      </c>
      <c r="F63" s="53" t="s">
        <v>330</v>
      </c>
      <c r="G63" s="53" t="s">
        <v>36</v>
      </c>
      <c r="H63" s="53" t="s">
        <v>160</v>
      </c>
      <c r="I63" s="53" t="s">
        <v>159</v>
      </c>
      <c r="J63" s="53" t="s">
        <v>38</v>
      </c>
      <c r="K63" s="53" t="s">
        <v>161</v>
      </c>
      <c r="L63" s="53">
        <v>2</v>
      </c>
      <c r="N63" s="53">
        <v>4</v>
      </c>
      <c r="O63" s="53">
        <v>0.36</v>
      </c>
      <c r="P63" s="53">
        <v>0.36</v>
      </c>
      <c r="Q63" s="75">
        <f t="shared" si="2"/>
        <v>0.36</v>
      </c>
      <c r="R63" s="53">
        <v>14.5</v>
      </c>
      <c r="S63" s="53">
        <v>99</v>
      </c>
      <c r="T63" s="16">
        <f t="shared" si="0"/>
        <v>33</v>
      </c>
      <c r="U63" s="53">
        <v>518</v>
      </c>
      <c r="V63" s="16">
        <f t="shared" si="1"/>
        <v>16</v>
      </c>
      <c r="W63" s="53">
        <v>9</v>
      </c>
      <c r="X63" s="53" t="s">
        <v>39</v>
      </c>
      <c r="Y63" s="53" t="s">
        <v>97</v>
      </c>
      <c r="Z63" s="53" t="s">
        <v>55</v>
      </c>
      <c r="AA63" s="53" t="s">
        <v>90</v>
      </c>
      <c r="AB63" s="53" t="s">
        <v>317</v>
      </c>
      <c r="AV63" s="27"/>
    </row>
    <row r="64" spans="1:48" x14ac:dyDescent="0.15">
      <c r="A64" s="53" t="s">
        <v>59</v>
      </c>
      <c r="B64" s="53" t="s">
        <v>232</v>
      </c>
      <c r="C64" s="62">
        <v>2019</v>
      </c>
      <c r="D64" s="137" t="s">
        <v>313</v>
      </c>
      <c r="E64" s="53" t="s">
        <v>329</v>
      </c>
      <c r="F64" s="53" t="s">
        <v>330</v>
      </c>
      <c r="G64" s="53" t="s">
        <v>36</v>
      </c>
      <c r="H64" s="53" t="s">
        <v>160</v>
      </c>
      <c r="I64" s="53" t="s">
        <v>159</v>
      </c>
      <c r="J64" s="53" t="s">
        <v>38</v>
      </c>
      <c r="K64" s="53" t="s">
        <v>161</v>
      </c>
      <c r="L64" s="53">
        <v>3</v>
      </c>
      <c r="N64" s="53">
        <v>4</v>
      </c>
      <c r="O64" s="53">
        <v>0.37</v>
      </c>
      <c r="P64" s="53">
        <v>0.33</v>
      </c>
      <c r="Q64" s="75">
        <f t="shared" si="2"/>
        <v>0.35</v>
      </c>
      <c r="R64" s="53">
        <v>15.2</v>
      </c>
      <c r="S64" s="53">
        <v>95</v>
      </c>
      <c r="T64" s="16">
        <f t="shared" si="0"/>
        <v>36</v>
      </c>
      <c r="U64" s="53">
        <v>518</v>
      </c>
      <c r="V64" s="16">
        <f t="shared" si="1"/>
        <v>16</v>
      </c>
      <c r="W64" s="53">
        <v>9</v>
      </c>
      <c r="X64" s="53" t="s">
        <v>39</v>
      </c>
      <c r="Y64" s="53" t="s">
        <v>97</v>
      </c>
      <c r="Z64" s="53" t="s">
        <v>55</v>
      </c>
      <c r="AA64" s="53" t="s">
        <v>90</v>
      </c>
      <c r="AB64" s="53" t="s">
        <v>317</v>
      </c>
      <c r="AV64" s="27"/>
    </row>
    <row r="65" spans="1:48" x14ac:dyDescent="0.15">
      <c r="A65" s="53" t="s">
        <v>59</v>
      </c>
      <c r="B65" s="53" t="s">
        <v>232</v>
      </c>
      <c r="C65" s="62">
        <v>2019</v>
      </c>
      <c r="D65" s="137" t="s">
        <v>313</v>
      </c>
      <c r="E65" s="53" t="s">
        <v>329</v>
      </c>
      <c r="F65" s="53" t="s">
        <v>330</v>
      </c>
      <c r="G65" s="53" t="s">
        <v>36</v>
      </c>
      <c r="H65" s="53" t="s">
        <v>164</v>
      </c>
      <c r="I65" s="53" t="s">
        <v>159</v>
      </c>
      <c r="J65" s="53" t="s">
        <v>38</v>
      </c>
      <c r="K65" s="53" t="s">
        <v>161</v>
      </c>
      <c r="L65" s="53">
        <v>1</v>
      </c>
      <c r="N65" s="53">
        <v>5</v>
      </c>
      <c r="O65" s="53">
        <v>0.55000000000000004</v>
      </c>
      <c r="P65" s="53">
        <v>0.56000000000000005</v>
      </c>
      <c r="Q65" s="75">
        <f t="shared" si="2"/>
        <v>0.55500000000000005</v>
      </c>
      <c r="R65" s="53">
        <v>15.8</v>
      </c>
      <c r="S65" s="53">
        <v>93</v>
      </c>
      <c r="T65" s="16">
        <f t="shared" si="0"/>
        <v>36</v>
      </c>
      <c r="U65" s="53">
        <v>321</v>
      </c>
      <c r="V65" s="16">
        <f t="shared" si="1"/>
        <v>16</v>
      </c>
      <c r="W65" s="53">
        <v>5</v>
      </c>
      <c r="X65" s="53" t="s">
        <v>46</v>
      </c>
      <c r="Y65" s="53" t="s">
        <v>97</v>
      </c>
      <c r="Z65" s="53" t="s">
        <v>55</v>
      </c>
      <c r="AA65" s="53" t="s">
        <v>90</v>
      </c>
      <c r="AB65" s="53" t="s">
        <v>317</v>
      </c>
      <c r="AV65" s="27"/>
    </row>
    <row r="66" spans="1:48" x14ac:dyDescent="0.15">
      <c r="A66" s="53" t="s">
        <v>59</v>
      </c>
      <c r="B66" s="53" t="s">
        <v>232</v>
      </c>
      <c r="C66" s="62">
        <v>2019</v>
      </c>
      <c r="D66" s="137" t="s">
        <v>313</v>
      </c>
      <c r="E66" s="53" t="s">
        <v>329</v>
      </c>
      <c r="F66" s="53" t="s">
        <v>330</v>
      </c>
      <c r="G66" s="53" t="s">
        <v>36</v>
      </c>
      <c r="H66" s="53" t="s">
        <v>164</v>
      </c>
      <c r="I66" s="53" t="s">
        <v>159</v>
      </c>
      <c r="J66" s="53" t="s">
        <v>38</v>
      </c>
      <c r="K66" s="53" t="s">
        <v>161</v>
      </c>
      <c r="L66" s="53">
        <v>2</v>
      </c>
      <c r="N66" s="53">
        <v>5</v>
      </c>
      <c r="O66" s="53">
        <v>0.75</v>
      </c>
      <c r="P66" s="53">
        <v>0.72</v>
      </c>
      <c r="Q66" s="75">
        <f t="shared" si="2"/>
        <v>0.73499999999999999</v>
      </c>
      <c r="R66" s="53">
        <v>14.3</v>
      </c>
      <c r="S66" s="53">
        <v>86</v>
      </c>
      <c r="T66" s="16">
        <f t="shared" ref="T66:T74" si="3">IF(H66="","",IF(OR(H66="GREEN",H66="GK"),IF(S66&gt;=$AX$2,VLOOKUP(S66,$AX$2:$AY$12,2,1),""),IF(S66&gt;=$AZ$2,VLOOKUP(S66,$AZ$2:$BA$12,2,1),"")))</f>
        <v>36</v>
      </c>
      <c r="U66" s="53">
        <v>321</v>
      </c>
      <c r="V66" s="16">
        <f t="shared" ref="V66:V74" si="4">IF(J66="","",IF(OR(J66="GREEN",J66="GK"),IF(U66&gt;=$AX$2,VLOOKUP(U66,$AX$2:$AY$12,2,1),""),IF(U66&gt;=$AZ$2,VLOOKUP(U66,$AZ$2:$BA$12,2,1),"")))</f>
        <v>16</v>
      </c>
      <c r="W66" s="53">
        <v>5</v>
      </c>
      <c r="X66" s="53" t="s">
        <v>46</v>
      </c>
      <c r="Y66" s="53" t="s">
        <v>97</v>
      </c>
      <c r="Z66" s="53" t="s">
        <v>55</v>
      </c>
      <c r="AA66" s="53" t="s">
        <v>90</v>
      </c>
      <c r="AB66" s="53" t="s">
        <v>317</v>
      </c>
      <c r="AV66" s="27"/>
    </row>
    <row r="67" spans="1:48" x14ac:dyDescent="0.15">
      <c r="A67" s="53" t="s">
        <v>59</v>
      </c>
      <c r="B67" s="53" t="s">
        <v>232</v>
      </c>
      <c r="C67" s="62">
        <v>2019</v>
      </c>
      <c r="D67" s="137" t="s">
        <v>313</v>
      </c>
      <c r="E67" s="53" t="s">
        <v>329</v>
      </c>
      <c r="F67" s="53" t="s">
        <v>330</v>
      </c>
      <c r="G67" s="53" t="s">
        <v>36</v>
      </c>
      <c r="H67" s="53" t="s">
        <v>164</v>
      </c>
      <c r="I67" s="53" t="s">
        <v>159</v>
      </c>
      <c r="J67" s="53" t="s">
        <v>38</v>
      </c>
      <c r="K67" s="53" t="s">
        <v>161</v>
      </c>
      <c r="L67" s="53">
        <v>3</v>
      </c>
      <c r="N67" s="53">
        <v>5</v>
      </c>
      <c r="O67" s="53">
        <v>0.72</v>
      </c>
      <c r="P67" s="53">
        <v>0.7</v>
      </c>
      <c r="Q67" s="75">
        <f t="shared" ref="Q67:Q75" si="5">IF(OR(O67="",P67=""),"",AVERAGE(O67,P67))</f>
        <v>0.71</v>
      </c>
      <c r="R67" s="53">
        <v>14.4</v>
      </c>
      <c r="S67" s="53">
        <v>92</v>
      </c>
      <c r="T67" s="16">
        <f t="shared" si="3"/>
        <v>36</v>
      </c>
      <c r="U67" s="53">
        <v>321</v>
      </c>
      <c r="V67" s="16">
        <f t="shared" si="4"/>
        <v>16</v>
      </c>
      <c r="W67" s="53">
        <v>5</v>
      </c>
      <c r="X67" s="53" t="s">
        <v>46</v>
      </c>
      <c r="Y67" s="53" t="s">
        <v>97</v>
      </c>
      <c r="Z67" s="53" t="s">
        <v>55</v>
      </c>
      <c r="AA67" s="53" t="s">
        <v>90</v>
      </c>
      <c r="AB67" s="53" t="s">
        <v>317</v>
      </c>
      <c r="AV67" s="27"/>
    </row>
    <row r="68" spans="1:48" x14ac:dyDescent="0.15">
      <c r="A68" s="53" t="s">
        <v>59</v>
      </c>
      <c r="B68" s="53" t="s">
        <v>232</v>
      </c>
      <c r="C68" s="62">
        <v>2019</v>
      </c>
      <c r="D68" s="137" t="s">
        <v>313</v>
      </c>
      <c r="E68" s="53" t="s">
        <v>329</v>
      </c>
      <c r="F68" s="53" t="s">
        <v>330</v>
      </c>
      <c r="G68" s="53" t="s">
        <v>36</v>
      </c>
      <c r="H68" s="53" t="s">
        <v>194</v>
      </c>
      <c r="I68" s="53" t="s">
        <v>159</v>
      </c>
      <c r="J68" s="53" t="s">
        <v>38</v>
      </c>
      <c r="K68" s="53" t="s">
        <v>161</v>
      </c>
      <c r="L68" s="53">
        <v>1</v>
      </c>
      <c r="N68" s="53">
        <v>5</v>
      </c>
      <c r="O68" s="53">
        <v>0.25</v>
      </c>
      <c r="P68" s="53">
        <v>0.37</v>
      </c>
      <c r="Q68" s="75">
        <f t="shared" si="5"/>
        <v>0.31</v>
      </c>
      <c r="R68" s="53">
        <v>15.8</v>
      </c>
      <c r="S68" s="53">
        <v>89</v>
      </c>
      <c r="T68" s="16">
        <f t="shared" si="3"/>
        <v>36</v>
      </c>
      <c r="U68" s="53">
        <v>321</v>
      </c>
      <c r="V68" s="16">
        <f t="shared" si="4"/>
        <v>16</v>
      </c>
      <c r="W68" s="53">
        <v>2</v>
      </c>
      <c r="X68" s="53" t="s">
        <v>46</v>
      </c>
      <c r="Y68" s="53" t="s">
        <v>97</v>
      </c>
      <c r="Z68" s="53" t="s">
        <v>55</v>
      </c>
      <c r="AA68" s="53" t="s">
        <v>90</v>
      </c>
      <c r="AB68" s="53" t="s">
        <v>317</v>
      </c>
      <c r="AV68" s="27"/>
    </row>
    <row r="69" spans="1:48" x14ac:dyDescent="0.15">
      <c r="A69" s="53" t="s">
        <v>59</v>
      </c>
      <c r="B69" s="53" t="s">
        <v>232</v>
      </c>
      <c r="C69" s="62">
        <v>2019</v>
      </c>
      <c r="D69" s="137" t="s">
        <v>313</v>
      </c>
      <c r="E69" s="53" t="s">
        <v>329</v>
      </c>
      <c r="F69" s="53" t="s">
        <v>330</v>
      </c>
      <c r="G69" s="53" t="s">
        <v>36</v>
      </c>
      <c r="H69" s="53" t="s">
        <v>194</v>
      </c>
      <c r="I69" s="53" t="s">
        <v>159</v>
      </c>
      <c r="J69" s="53" t="s">
        <v>38</v>
      </c>
      <c r="K69" s="53" t="s">
        <v>161</v>
      </c>
      <c r="L69" s="53">
        <v>2</v>
      </c>
      <c r="N69" s="53">
        <v>5</v>
      </c>
      <c r="O69" s="53">
        <v>0.24</v>
      </c>
      <c r="P69" s="53">
        <v>0.3</v>
      </c>
      <c r="Q69" s="75">
        <f t="shared" si="5"/>
        <v>0.27</v>
      </c>
      <c r="R69" s="53">
        <v>15.9</v>
      </c>
      <c r="S69" s="53">
        <v>85</v>
      </c>
      <c r="T69" s="16">
        <f t="shared" si="3"/>
        <v>36</v>
      </c>
      <c r="U69" s="53">
        <v>321</v>
      </c>
      <c r="V69" s="16">
        <f t="shared" si="4"/>
        <v>16</v>
      </c>
      <c r="W69" s="53">
        <v>2</v>
      </c>
      <c r="X69" s="53" t="s">
        <v>46</v>
      </c>
      <c r="Y69" s="53" t="s">
        <v>97</v>
      </c>
      <c r="Z69" s="53" t="s">
        <v>55</v>
      </c>
      <c r="AA69" s="53" t="s">
        <v>90</v>
      </c>
      <c r="AB69" s="53" t="s">
        <v>317</v>
      </c>
      <c r="AV69" s="27"/>
    </row>
    <row r="70" spans="1:48" x14ac:dyDescent="0.15">
      <c r="A70" s="53" t="s">
        <v>59</v>
      </c>
      <c r="B70" s="53" t="s">
        <v>232</v>
      </c>
      <c r="C70" s="62">
        <v>2019</v>
      </c>
      <c r="D70" s="137" t="s">
        <v>313</v>
      </c>
      <c r="E70" s="53" t="s">
        <v>329</v>
      </c>
      <c r="F70" s="53" t="s">
        <v>330</v>
      </c>
      <c r="G70" s="53" t="s">
        <v>36</v>
      </c>
      <c r="H70" s="53" t="s">
        <v>194</v>
      </c>
      <c r="I70" s="53" t="s">
        <v>159</v>
      </c>
      <c r="J70" s="53" t="s">
        <v>38</v>
      </c>
      <c r="K70" s="53" t="s">
        <v>161</v>
      </c>
      <c r="L70" s="53">
        <v>3</v>
      </c>
      <c r="N70" s="53">
        <v>5</v>
      </c>
      <c r="O70" s="53">
        <v>0.26</v>
      </c>
      <c r="P70" s="53">
        <v>0.33</v>
      </c>
      <c r="Q70" s="75">
        <f t="shared" si="5"/>
        <v>0.29500000000000004</v>
      </c>
      <c r="R70" s="53">
        <v>15.8</v>
      </c>
      <c r="S70" s="53">
        <v>85</v>
      </c>
      <c r="T70" s="16">
        <f t="shared" si="3"/>
        <v>36</v>
      </c>
      <c r="U70" s="53">
        <v>321</v>
      </c>
      <c r="V70" s="16">
        <f t="shared" si="4"/>
        <v>16</v>
      </c>
      <c r="W70" s="53">
        <v>2</v>
      </c>
      <c r="X70" s="53" t="s">
        <v>46</v>
      </c>
      <c r="Y70" s="53" t="s">
        <v>97</v>
      </c>
      <c r="Z70" s="53" t="s">
        <v>55</v>
      </c>
      <c r="AA70" s="53" t="s">
        <v>90</v>
      </c>
      <c r="AB70" s="53" t="s">
        <v>317</v>
      </c>
      <c r="AV70" s="27"/>
    </row>
    <row r="71" spans="1:48" x14ac:dyDescent="0.15">
      <c r="C71" s="62"/>
      <c r="D71" s="137"/>
      <c r="Q71" s="75"/>
      <c r="AV71" s="27"/>
    </row>
    <row r="72" spans="1:48" x14ac:dyDescent="0.15">
      <c r="C72" s="62"/>
      <c r="D72" s="137"/>
      <c r="Q72" s="75"/>
      <c r="AV72" s="27"/>
    </row>
    <row r="73" spans="1:48" x14ac:dyDescent="0.15">
      <c r="C73" s="62"/>
      <c r="D73" s="137"/>
      <c r="Q73" s="75"/>
    </row>
    <row r="74" spans="1:48" x14ac:dyDescent="0.15">
      <c r="C74" s="62"/>
      <c r="D74" s="137"/>
      <c r="Q74" s="75"/>
    </row>
    <row r="75" spans="1:48" x14ac:dyDescent="0.15">
      <c r="C75" s="62"/>
      <c r="D75" s="137"/>
      <c r="Q75" s="75"/>
    </row>
    <row r="76" spans="1:48" x14ac:dyDescent="0.15">
      <c r="C76" s="62"/>
      <c r="Q76" s="75"/>
    </row>
    <row r="77" spans="1:48" x14ac:dyDescent="0.15">
      <c r="C77" s="62"/>
      <c r="Q77" s="75"/>
    </row>
    <row r="78" spans="1:48" x14ac:dyDescent="0.15">
      <c r="C78" s="62"/>
      <c r="Q78" s="75"/>
    </row>
    <row r="79" spans="1:48" x14ac:dyDescent="0.15">
      <c r="C79" s="62"/>
      <c r="Q79" s="75"/>
    </row>
    <row r="80" spans="1: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6">IF(OR(O94="",P94=""),"",AVERAGE(O94,P94))</f>
        <v/>
      </c>
      <c r="T94" s="16" t="str">
        <f t="shared" ref="T94:T145" si="7">IF(H94="","",IF(OR(H94="GREEN",H94="GK"),IF(S94&gt;=$AX$2,VLOOKUP(S94,$AX$2:$AY$12,2,1),""),IF(S94&gt;=$AZ$2,VLOOKUP(S94,$AZ$2:$BA$12,2,1),"")))</f>
        <v/>
      </c>
      <c r="V94" s="16" t="str">
        <f t="shared" ref="V94:V145" si="8">IF(J94="","",IF(OR(J94="GREEN",J94="GK"),IF(U94&gt;=$AX$2,VLOOKUP(U94,$AX$2:$AY$12,2,1),""),IF(U94&gt;=$AZ$2,VLOOKUP(U94,$AZ$2:$BA$12,2,1),"")))</f>
        <v/>
      </c>
    </row>
    <row r="95" spans="3:22" x14ac:dyDescent="0.15">
      <c r="Q95" s="16" t="str">
        <f t="shared" si="6"/>
        <v/>
      </c>
      <c r="T95" s="16" t="str">
        <f t="shared" si="7"/>
        <v/>
      </c>
      <c r="V95" s="16" t="str">
        <f t="shared" si="8"/>
        <v/>
      </c>
    </row>
    <row r="96" spans="3:22" x14ac:dyDescent="0.15">
      <c r="Q96" s="16" t="str">
        <f t="shared" si="6"/>
        <v/>
      </c>
      <c r="T96" s="16" t="str">
        <f t="shared" si="7"/>
        <v/>
      </c>
      <c r="V96" s="16" t="str">
        <f t="shared" si="8"/>
        <v/>
      </c>
    </row>
    <row r="97" spans="17:22" x14ac:dyDescent="0.15">
      <c r="Q97" s="16" t="str">
        <f t="shared" si="6"/>
        <v/>
      </c>
      <c r="T97" s="16" t="str">
        <f t="shared" si="7"/>
        <v/>
      </c>
      <c r="V97" s="16" t="str">
        <f t="shared" si="8"/>
        <v/>
      </c>
    </row>
    <row r="98" spans="17:22" x14ac:dyDescent="0.15">
      <c r="Q98" s="16" t="str">
        <f t="shared" si="6"/>
        <v/>
      </c>
      <c r="T98" s="16" t="str">
        <f t="shared" si="7"/>
        <v/>
      </c>
      <c r="V98" s="16" t="str">
        <f t="shared" si="8"/>
        <v/>
      </c>
    </row>
    <row r="99" spans="17:22" x14ac:dyDescent="0.15">
      <c r="Q99" s="16" t="str">
        <f t="shared" si="6"/>
        <v/>
      </c>
      <c r="T99" s="16" t="str">
        <f t="shared" si="7"/>
        <v/>
      </c>
      <c r="V99" s="16" t="str">
        <f t="shared" si="8"/>
        <v/>
      </c>
    </row>
    <row r="100" spans="17:22" x14ac:dyDescent="0.15">
      <c r="Q100" s="16" t="str">
        <f t="shared" si="6"/>
        <v/>
      </c>
      <c r="T100" s="16" t="str">
        <f t="shared" si="7"/>
        <v/>
      </c>
      <c r="V100" s="16" t="str">
        <f t="shared" si="8"/>
        <v/>
      </c>
    </row>
    <row r="101" spans="17:22" x14ac:dyDescent="0.15">
      <c r="Q101" s="16" t="str">
        <f t="shared" si="6"/>
        <v/>
      </c>
      <c r="T101" s="16" t="str">
        <f t="shared" si="7"/>
        <v/>
      </c>
      <c r="V101" s="16" t="str">
        <f t="shared" si="8"/>
        <v/>
      </c>
    </row>
    <row r="102" spans="17:22" x14ac:dyDescent="0.15">
      <c r="Q102" s="16" t="str">
        <f t="shared" si="6"/>
        <v/>
      </c>
      <c r="T102" s="16" t="str">
        <f t="shared" si="7"/>
        <v/>
      </c>
      <c r="V102" s="16" t="str">
        <f t="shared" si="8"/>
        <v/>
      </c>
    </row>
    <row r="103" spans="17:22" x14ac:dyDescent="0.15">
      <c r="Q103" s="16" t="str">
        <f t="shared" si="6"/>
        <v/>
      </c>
      <c r="T103" s="16" t="str">
        <f t="shared" si="7"/>
        <v/>
      </c>
      <c r="V103" s="16" t="str">
        <f t="shared" si="8"/>
        <v/>
      </c>
    </row>
    <row r="104" spans="17:22" x14ac:dyDescent="0.15">
      <c r="Q104" s="16" t="str">
        <f t="shared" si="6"/>
        <v/>
      </c>
      <c r="T104" s="16" t="str">
        <f t="shared" si="7"/>
        <v/>
      </c>
      <c r="V104" s="16" t="str">
        <f t="shared" si="8"/>
        <v/>
      </c>
    </row>
    <row r="105" spans="17:22" x14ac:dyDescent="0.15">
      <c r="Q105" s="16" t="str">
        <f t="shared" si="6"/>
        <v/>
      </c>
      <c r="T105" s="16" t="str">
        <f t="shared" si="7"/>
        <v/>
      </c>
      <c r="V105" s="16" t="str">
        <f t="shared" si="8"/>
        <v/>
      </c>
    </row>
    <row r="106" spans="17:22" x14ac:dyDescent="0.15">
      <c r="Q106" s="16" t="str">
        <f t="shared" si="6"/>
        <v/>
      </c>
      <c r="T106" s="16" t="str">
        <f t="shared" si="7"/>
        <v/>
      </c>
      <c r="V106" s="16" t="str">
        <f t="shared" si="8"/>
        <v/>
      </c>
    </row>
    <row r="107" spans="17:22" x14ac:dyDescent="0.15">
      <c r="Q107" s="16" t="str">
        <f t="shared" si="6"/>
        <v/>
      </c>
      <c r="T107" s="16" t="str">
        <f t="shared" si="7"/>
        <v/>
      </c>
      <c r="V107" s="16" t="str">
        <f t="shared" si="8"/>
        <v/>
      </c>
    </row>
    <row r="108" spans="17:22" x14ac:dyDescent="0.15">
      <c r="Q108" s="16" t="str">
        <f t="shared" si="6"/>
        <v/>
      </c>
      <c r="T108" s="16" t="str">
        <f t="shared" si="7"/>
        <v/>
      </c>
      <c r="V108" s="16" t="str">
        <f t="shared" si="8"/>
        <v/>
      </c>
    </row>
    <row r="109" spans="17:22" x14ac:dyDescent="0.15">
      <c r="Q109" s="16" t="str">
        <f t="shared" si="6"/>
        <v/>
      </c>
      <c r="T109" s="16" t="str">
        <f t="shared" si="7"/>
        <v/>
      </c>
      <c r="V109" s="16" t="str">
        <f t="shared" si="8"/>
        <v/>
      </c>
    </row>
    <row r="110" spans="17:22" x14ac:dyDescent="0.15">
      <c r="Q110" s="16" t="str">
        <f t="shared" si="6"/>
        <v/>
      </c>
      <c r="T110" s="16" t="str">
        <f t="shared" si="7"/>
        <v/>
      </c>
      <c r="V110" s="16" t="str">
        <f t="shared" si="8"/>
        <v/>
      </c>
    </row>
    <row r="111" spans="17:22" x14ac:dyDescent="0.15">
      <c r="Q111" s="16" t="str">
        <f t="shared" si="6"/>
        <v/>
      </c>
      <c r="T111" s="16" t="str">
        <f t="shared" si="7"/>
        <v/>
      </c>
      <c r="V111" s="16" t="str">
        <f t="shared" si="8"/>
        <v/>
      </c>
    </row>
    <row r="112" spans="17:22" x14ac:dyDescent="0.15">
      <c r="Q112" s="16" t="str">
        <f t="shared" si="6"/>
        <v/>
      </c>
      <c r="T112" s="16" t="str">
        <f t="shared" si="7"/>
        <v/>
      </c>
      <c r="V112" s="16" t="str">
        <f t="shared" si="8"/>
        <v/>
      </c>
    </row>
    <row r="113" spans="17:22" x14ac:dyDescent="0.15">
      <c r="Q113" s="16" t="str">
        <f t="shared" si="6"/>
        <v/>
      </c>
      <c r="T113" s="16" t="str">
        <f t="shared" si="7"/>
        <v/>
      </c>
      <c r="V113" s="16" t="str">
        <f t="shared" si="8"/>
        <v/>
      </c>
    </row>
    <row r="114" spans="17:22" x14ac:dyDescent="0.15">
      <c r="Q114" s="16" t="str">
        <f t="shared" si="6"/>
        <v/>
      </c>
      <c r="T114" s="16" t="str">
        <f t="shared" si="7"/>
        <v/>
      </c>
      <c r="V114" s="16" t="str">
        <f t="shared" si="8"/>
        <v/>
      </c>
    </row>
    <row r="115" spans="17:22" x14ac:dyDescent="0.15">
      <c r="Q115" s="16" t="str">
        <f t="shared" si="6"/>
        <v/>
      </c>
      <c r="T115" s="16" t="str">
        <f t="shared" si="7"/>
        <v/>
      </c>
      <c r="V115" s="16" t="str">
        <f t="shared" si="8"/>
        <v/>
      </c>
    </row>
    <row r="116" spans="17:22" x14ac:dyDescent="0.15">
      <c r="Q116" s="16" t="str">
        <f t="shared" si="6"/>
        <v/>
      </c>
      <c r="T116" s="16" t="str">
        <f t="shared" si="7"/>
        <v/>
      </c>
      <c r="V116" s="16" t="str">
        <f t="shared" si="8"/>
        <v/>
      </c>
    </row>
    <row r="117" spans="17:22" x14ac:dyDescent="0.15">
      <c r="Q117" s="16" t="str">
        <f t="shared" si="6"/>
        <v/>
      </c>
      <c r="T117" s="16" t="str">
        <f t="shared" si="7"/>
        <v/>
      </c>
      <c r="V117" s="16" t="str">
        <f t="shared" si="8"/>
        <v/>
      </c>
    </row>
    <row r="118" spans="17:22" x14ac:dyDescent="0.15">
      <c r="Q118" s="16" t="str">
        <f t="shared" si="6"/>
        <v/>
      </c>
      <c r="T118" s="16" t="str">
        <f t="shared" si="7"/>
        <v/>
      </c>
      <c r="V118" s="16" t="str">
        <f t="shared" si="8"/>
        <v/>
      </c>
    </row>
    <row r="119" spans="17:22" x14ac:dyDescent="0.15">
      <c r="Q119" s="16" t="str">
        <f t="shared" si="6"/>
        <v/>
      </c>
      <c r="T119" s="16" t="str">
        <f t="shared" si="7"/>
        <v/>
      </c>
      <c r="V119" s="16" t="str">
        <f t="shared" si="8"/>
        <v/>
      </c>
    </row>
    <row r="120" spans="17:22" x14ac:dyDescent="0.15">
      <c r="Q120" s="16" t="str">
        <f t="shared" si="6"/>
        <v/>
      </c>
      <c r="T120" s="16" t="str">
        <f t="shared" si="7"/>
        <v/>
      </c>
      <c r="V120" s="16" t="str">
        <f t="shared" si="8"/>
        <v/>
      </c>
    </row>
    <row r="121" spans="17:22" x14ac:dyDescent="0.15">
      <c r="Q121" s="16" t="str">
        <f t="shared" si="6"/>
        <v/>
      </c>
      <c r="T121" s="16" t="str">
        <f t="shared" si="7"/>
        <v/>
      </c>
      <c r="V121" s="16" t="str">
        <f t="shared" si="8"/>
        <v/>
      </c>
    </row>
    <row r="122" spans="17:22" x14ac:dyDescent="0.15">
      <c r="Q122" s="16" t="str">
        <f t="shared" si="6"/>
        <v/>
      </c>
      <c r="T122" s="16" t="str">
        <f t="shared" si="7"/>
        <v/>
      </c>
      <c r="V122" s="16" t="str">
        <f t="shared" si="8"/>
        <v/>
      </c>
    </row>
    <row r="123" spans="17:22" x14ac:dyDescent="0.15">
      <c r="Q123" s="16" t="str">
        <f t="shared" si="6"/>
        <v/>
      </c>
      <c r="T123" s="16" t="str">
        <f t="shared" si="7"/>
        <v/>
      </c>
      <c r="V123" s="16" t="str">
        <f t="shared" si="8"/>
        <v/>
      </c>
    </row>
    <row r="124" spans="17:22" x14ac:dyDescent="0.15">
      <c r="Q124" s="16" t="str">
        <f t="shared" si="6"/>
        <v/>
      </c>
      <c r="T124" s="16" t="str">
        <f t="shared" si="7"/>
        <v/>
      </c>
      <c r="V124" s="16" t="str">
        <f t="shared" si="8"/>
        <v/>
      </c>
    </row>
    <row r="125" spans="17:22" x14ac:dyDescent="0.15">
      <c r="Q125" s="16" t="str">
        <f t="shared" si="6"/>
        <v/>
      </c>
      <c r="T125" s="16" t="str">
        <f t="shared" si="7"/>
        <v/>
      </c>
      <c r="V125" s="16" t="str">
        <f t="shared" si="8"/>
        <v/>
      </c>
    </row>
    <row r="126" spans="17:22" x14ac:dyDescent="0.15">
      <c r="Q126" s="16" t="str">
        <f t="shared" si="6"/>
        <v/>
      </c>
      <c r="T126" s="16" t="str">
        <f t="shared" si="7"/>
        <v/>
      </c>
      <c r="V126" s="16" t="str">
        <f t="shared" si="8"/>
        <v/>
      </c>
    </row>
    <row r="127" spans="17:22" x14ac:dyDescent="0.15">
      <c r="Q127" s="16" t="str">
        <f t="shared" si="6"/>
        <v/>
      </c>
      <c r="T127" s="16" t="str">
        <f t="shared" si="7"/>
        <v/>
      </c>
      <c r="V127" s="16" t="str">
        <f t="shared" si="8"/>
        <v/>
      </c>
    </row>
    <row r="128" spans="17:22" x14ac:dyDescent="0.15">
      <c r="Q128" s="16" t="str">
        <f t="shared" si="6"/>
        <v/>
      </c>
      <c r="T128" s="16" t="str">
        <f t="shared" si="7"/>
        <v/>
      </c>
      <c r="V128" s="16" t="str">
        <f t="shared" si="8"/>
        <v/>
      </c>
    </row>
    <row r="129" spans="17:22" x14ac:dyDescent="0.15">
      <c r="Q129" s="16" t="str">
        <f t="shared" si="6"/>
        <v/>
      </c>
      <c r="T129" s="16" t="str">
        <f t="shared" si="7"/>
        <v/>
      </c>
      <c r="V129" s="16" t="str">
        <f t="shared" si="8"/>
        <v/>
      </c>
    </row>
    <row r="130" spans="17:22" x14ac:dyDescent="0.15">
      <c r="Q130" s="16" t="str">
        <f t="shared" si="6"/>
        <v/>
      </c>
      <c r="T130" s="16" t="str">
        <f t="shared" si="7"/>
        <v/>
      </c>
      <c r="V130" s="16" t="str">
        <f t="shared" si="8"/>
        <v/>
      </c>
    </row>
    <row r="131" spans="17:22" x14ac:dyDescent="0.15">
      <c r="Q131" s="16" t="str">
        <f t="shared" si="6"/>
        <v/>
      </c>
      <c r="T131" s="16" t="str">
        <f t="shared" si="7"/>
        <v/>
      </c>
      <c r="V131" s="16" t="str">
        <f t="shared" si="8"/>
        <v/>
      </c>
    </row>
    <row r="132" spans="17:22" x14ac:dyDescent="0.15">
      <c r="Q132" s="16" t="str">
        <f t="shared" si="6"/>
        <v/>
      </c>
      <c r="T132" s="16" t="str">
        <f t="shared" si="7"/>
        <v/>
      </c>
      <c r="V132" s="16" t="str">
        <f t="shared" si="8"/>
        <v/>
      </c>
    </row>
    <row r="133" spans="17:22" x14ac:dyDescent="0.15">
      <c r="Q133" s="16" t="str">
        <f t="shared" si="6"/>
        <v/>
      </c>
      <c r="T133" s="16" t="str">
        <f t="shared" si="7"/>
        <v/>
      </c>
      <c r="V133" s="16" t="str">
        <f t="shared" si="8"/>
        <v/>
      </c>
    </row>
    <row r="134" spans="17:22" x14ac:dyDescent="0.15">
      <c r="Q134" s="16" t="str">
        <f t="shared" si="6"/>
        <v/>
      </c>
      <c r="T134" s="16" t="str">
        <f t="shared" si="7"/>
        <v/>
      </c>
      <c r="V134" s="16" t="str">
        <f t="shared" si="8"/>
        <v/>
      </c>
    </row>
    <row r="135" spans="17:22" x14ac:dyDescent="0.15">
      <c r="Q135" s="16" t="str">
        <f t="shared" si="6"/>
        <v/>
      </c>
      <c r="T135" s="16" t="str">
        <f t="shared" si="7"/>
        <v/>
      </c>
      <c r="V135" s="16" t="str">
        <f t="shared" si="8"/>
        <v/>
      </c>
    </row>
    <row r="136" spans="17:22" x14ac:dyDescent="0.15">
      <c r="Q136" s="16" t="str">
        <f t="shared" si="6"/>
        <v/>
      </c>
      <c r="T136" s="16" t="str">
        <f t="shared" si="7"/>
        <v/>
      </c>
      <c r="V136" s="16" t="str">
        <f t="shared" si="8"/>
        <v/>
      </c>
    </row>
    <row r="137" spans="17:22" x14ac:dyDescent="0.15">
      <c r="Q137" s="16" t="str">
        <f t="shared" si="6"/>
        <v/>
      </c>
      <c r="T137" s="16" t="str">
        <f t="shared" si="7"/>
        <v/>
      </c>
      <c r="V137" s="16" t="str">
        <f t="shared" si="8"/>
        <v/>
      </c>
    </row>
    <row r="138" spans="17:22" x14ac:dyDescent="0.15">
      <c r="Q138" s="16" t="str">
        <f t="shared" si="6"/>
        <v/>
      </c>
      <c r="T138" s="16" t="str">
        <f t="shared" si="7"/>
        <v/>
      </c>
      <c r="V138" s="16" t="str">
        <f t="shared" si="8"/>
        <v/>
      </c>
    </row>
    <row r="139" spans="17:22" x14ac:dyDescent="0.15">
      <c r="Q139" s="16" t="str">
        <f t="shared" si="6"/>
        <v/>
      </c>
      <c r="T139" s="16" t="str">
        <f t="shared" si="7"/>
        <v/>
      </c>
      <c r="V139" s="16" t="str">
        <f t="shared" si="8"/>
        <v/>
      </c>
    </row>
    <row r="140" spans="17:22" x14ac:dyDescent="0.15">
      <c r="Q140" s="16" t="str">
        <f t="shared" si="6"/>
        <v/>
      </c>
      <c r="T140" s="16" t="str">
        <f t="shared" si="7"/>
        <v/>
      </c>
      <c r="V140" s="16" t="str">
        <f t="shared" si="8"/>
        <v/>
      </c>
    </row>
    <row r="141" spans="17:22" x14ac:dyDescent="0.15">
      <c r="Q141" s="16" t="str">
        <f t="shared" si="6"/>
        <v/>
      </c>
      <c r="T141" s="16" t="str">
        <f t="shared" si="7"/>
        <v/>
      </c>
      <c r="V141" s="16" t="str">
        <f t="shared" si="8"/>
        <v/>
      </c>
    </row>
    <row r="142" spans="17:22" x14ac:dyDescent="0.15">
      <c r="Q142" s="16" t="str">
        <f t="shared" si="6"/>
        <v/>
      </c>
      <c r="T142" s="16" t="str">
        <f t="shared" si="7"/>
        <v/>
      </c>
      <c r="V142" s="16" t="str">
        <f t="shared" si="8"/>
        <v/>
      </c>
    </row>
    <row r="143" spans="17:22" x14ac:dyDescent="0.15">
      <c r="Q143" s="16" t="str">
        <f t="shared" si="6"/>
        <v/>
      </c>
      <c r="T143" s="16" t="str">
        <f t="shared" si="7"/>
        <v/>
      </c>
      <c r="V143" s="16" t="str">
        <f t="shared" si="8"/>
        <v/>
      </c>
    </row>
    <row r="144" spans="17:22" x14ac:dyDescent="0.15">
      <c r="Q144" s="16" t="str">
        <f t="shared" si="6"/>
        <v/>
      </c>
      <c r="T144" s="16" t="str">
        <f t="shared" si="7"/>
        <v/>
      </c>
      <c r="V144" s="16" t="str">
        <f t="shared" si="8"/>
        <v/>
      </c>
    </row>
    <row r="145" spans="17:22" x14ac:dyDescent="0.15">
      <c r="Q145" s="16" t="str">
        <f t="shared" si="6"/>
        <v/>
      </c>
      <c r="T145" s="16" t="str">
        <f t="shared" si="7"/>
        <v/>
      </c>
      <c r="V145" s="16" t="str">
        <f t="shared" si="8"/>
        <v/>
      </c>
    </row>
  </sheetData>
  <autoFilter ref="A1:BA145" xr:uid="{00000000-0009-0000-0000-000000000000}"/>
  <phoneticPr fontId="3"/>
  <dataValidations count="19">
    <dataValidation type="list" allowBlank="1" showInputMessage="1" showErrorMessage="1" sqref="K2:K427" xr:uid="{59D720AD-379B-4B41-AEF1-59EDB15648B7}">
      <formula1>$AR$2:$AR$27</formula1>
    </dataValidation>
    <dataValidation type="list" allowBlank="1" showInputMessage="1" showErrorMessage="1" sqref="E2:E485" xr:uid="{87484F0A-9D0D-4C76-8CC1-604FEF9C6B20}">
      <formula1>$AG$2:$AG$11</formula1>
    </dataValidation>
    <dataValidation type="list" allowBlank="1" showInputMessage="1" showErrorMessage="1" sqref="H2:H485" xr:uid="{85A46986-BB94-4D51-BB06-7969BA40F96E}">
      <formula1>$AL$2:$AL$8</formula1>
    </dataValidation>
    <dataValidation type="decimal" allowBlank="1" showInputMessage="1" showErrorMessage="1" error="硬度を正しく入力して下さい。" sqref="O2:P485" xr:uid="{EFD075DE-011A-4CD7-97D0-07E4E9FBFCD6}">
      <formula1>0</formula1>
      <formula2>7</formula2>
    </dataValidation>
    <dataValidation type="list" allowBlank="1" showInputMessage="1" showErrorMessage="1" sqref="F2:F1439" xr:uid="{339898D0-E2DA-4AAF-BD23-57BBACC03DAF}">
      <formula1>$AH$2:$AH$11</formula1>
    </dataValidation>
    <dataValidation type="list" allowBlank="1" showInputMessage="1" showErrorMessage="1" sqref="Y2:AA576" xr:uid="{99D7C921-CCC7-4C44-9103-4F6A94D696A1}">
      <formula1>$AV$2:$AV$38</formula1>
    </dataValidation>
    <dataValidation type="list" allowBlank="1" showInputMessage="1" showErrorMessage="1" sqref="J2:J72" xr:uid="{6747D47F-CA0D-4241-A40C-AE8645B4AEDF}">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BCB51572-343E-44C8-A18F-56117E181295}">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3D8B4A17-3550-4C8D-B9CE-F5D4D2FEBFEF}">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8E657797-EA1E-4192-B5FD-DEE43CB86F36}">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50097873-0626-4E1D-B92E-FE9E783FE77B}">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7054F5F9-50CA-4429-BA9C-B043A8D360A9}">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882A7F18-335C-4302-9E91-1560FE9A9EA7}">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FACA708C-4FE4-43D8-A19E-140E40E77FA0}">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C3C22B1D-F254-4FC1-A416-366EB4B693CA}">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33571038-307A-4AB0-AC9A-9B22A5709430}">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88FDBA76-ACF5-467F-B452-2DBE7C7E5915}">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B81D8424-6A24-4C8B-851D-33BFAA40BCB9}">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9EEEF89D-1FF7-40CE-B963-DDB7108214EC}">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21068-020E-46E0-9C48-07654100F80C}">
  <dimension ref="A1:BA443"/>
  <sheetViews>
    <sheetView zoomScale="70" zoomScaleNormal="70" zoomScaleSheetLayoutView="100" workbookViewId="0">
      <selection activeCell="AD42" sqref="AD42"/>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5</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232</v>
      </c>
      <c r="C2" s="146">
        <v>2019</v>
      </c>
      <c r="D2" s="147" t="s">
        <v>233</v>
      </c>
      <c r="E2" s="146" t="s">
        <v>355</v>
      </c>
      <c r="F2" s="146" t="s">
        <v>356</v>
      </c>
      <c r="G2" s="148" t="s">
        <v>36</v>
      </c>
      <c r="H2" s="149" t="s">
        <v>164</v>
      </c>
      <c r="I2" s="127" t="s">
        <v>159</v>
      </c>
      <c r="J2" s="150" t="s">
        <v>38</v>
      </c>
      <c r="K2" s="127" t="s">
        <v>161</v>
      </c>
      <c r="L2" s="151">
        <v>1</v>
      </c>
      <c r="M2" s="152"/>
      <c r="N2" s="152">
        <v>4</v>
      </c>
      <c r="O2" s="152">
        <v>0.8</v>
      </c>
      <c r="P2" s="152">
        <v>0.7</v>
      </c>
      <c r="Q2" s="153">
        <f t="shared" ref="Q2:Q65" si="0">IF(OR(O2="",P2=""),"",AVERAGE(O2,P2))</f>
        <v>0.75</v>
      </c>
      <c r="R2" s="154">
        <v>15</v>
      </c>
      <c r="S2" s="149">
        <v>81</v>
      </c>
      <c r="T2" s="155">
        <f t="shared" ref="T2:T65" si="1">IF(H2="","",IF(OR(H2="GREEN",H2="GK"),IF(S2&gt;=$AX$2,VLOOKUP(S2,$AX$2:$AY$7,2,1),""),IF(S2&gt;=$AZ$2,VLOOKUP(S2,$AZ$2:$BA$7,2,1),"")))</f>
        <v>39</v>
      </c>
      <c r="U2" s="127">
        <v>358</v>
      </c>
      <c r="V2" s="155">
        <f t="shared" ref="V2:V65" si="2">IF(OR(N2="",U2="",T2=""),"",U2/N2*T2)</f>
        <v>3490.5</v>
      </c>
      <c r="W2" s="156">
        <v>8</v>
      </c>
      <c r="X2" s="157" t="s">
        <v>46</v>
      </c>
      <c r="Y2" s="157" t="s">
        <v>64</v>
      </c>
      <c r="Z2" s="157" t="s">
        <v>97</v>
      </c>
      <c r="AA2" s="157" t="s">
        <v>86</v>
      </c>
      <c r="AB2" s="53" t="s">
        <v>258</v>
      </c>
      <c r="AE2" s="64" t="s">
        <v>35</v>
      </c>
      <c r="AG2" s="67" t="s">
        <v>355</v>
      </c>
      <c r="AH2" s="67" t="s">
        <v>356</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259</v>
      </c>
      <c r="E3" s="158" t="s">
        <v>355</v>
      </c>
      <c r="F3" s="158" t="s">
        <v>356</v>
      </c>
      <c r="G3" s="161" t="s">
        <v>36</v>
      </c>
      <c r="H3" s="127" t="s">
        <v>164</v>
      </c>
      <c r="I3" s="127" t="s">
        <v>159</v>
      </c>
      <c r="J3" s="127" t="s">
        <v>38</v>
      </c>
      <c r="K3" s="127" t="s">
        <v>161</v>
      </c>
      <c r="L3" s="53">
        <v>2</v>
      </c>
      <c r="N3" s="53">
        <v>4</v>
      </c>
      <c r="O3" s="53">
        <v>0.65</v>
      </c>
      <c r="P3" s="34">
        <v>0.7</v>
      </c>
      <c r="Q3" s="162">
        <f t="shared" si="0"/>
        <v>0.67500000000000004</v>
      </c>
      <c r="R3" s="163">
        <v>14.9</v>
      </c>
      <c r="S3" s="163">
        <v>90</v>
      </c>
      <c r="T3" s="16">
        <f t="shared" si="1"/>
        <v>36</v>
      </c>
      <c r="U3" s="164">
        <v>358</v>
      </c>
      <c r="V3" s="38">
        <f t="shared" si="2"/>
        <v>3222</v>
      </c>
      <c r="W3" s="165">
        <v>8</v>
      </c>
      <c r="X3" s="166" t="s">
        <v>46</v>
      </c>
      <c r="Y3" s="166" t="s">
        <v>64</v>
      </c>
      <c r="Z3" s="166" t="s">
        <v>97</v>
      </c>
      <c r="AA3" s="157" t="s">
        <v>86</v>
      </c>
      <c r="AB3" s="53" t="s">
        <v>158</v>
      </c>
      <c r="AE3" s="22" t="s">
        <v>41</v>
      </c>
      <c r="AG3" s="67" t="s">
        <v>357</v>
      </c>
      <c r="AH3" s="67" t="s">
        <v>358</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259</v>
      </c>
      <c r="E4" s="158" t="s">
        <v>355</v>
      </c>
      <c r="F4" s="158" t="s">
        <v>356</v>
      </c>
      <c r="G4" s="161" t="s">
        <v>36</v>
      </c>
      <c r="H4" s="127" t="s">
        <v>164</v>
      </c>
      <c r="I4" s="127" t="s">
        <v>159</v>
      </c>
      <c r="J4" s="127" t="s">
        <v>38</v>
      </c>
      <c r="K4" s="127" t="s">
        <v>161</v>
      </c>
      <c r="L4" s="53">
        <v>3</v>
      </c>
      <c r="N4" s="53">
        <v>4</v>
      </c>
      <c r="O4" s="53">
        <v>0.75</v>
      </c>
      <c r="P4" s="34">
        <v>0.65</v>
      </c>
      <c r="Q4" s="75">
        <f t="shared" si="0"/>
        <v>0.7</v>
      </c>
      <c r="R4" s="168">
        <v>14.4</v>
      </c>
      <c r="S4" s="168">
        <v>81</v>
      </c>
      <c r="T4" s="16">
        <f t="shared" si="1"/>
        <v>39</v>
      </c>
      <c r="U4" s="169">
        <v>358</v>
      </c>
      <c r="V4" s="38">
        <f t="shared" si="2"/>
        <v>3490.5</v>
      </c>
      <c r="W4" s="165">
        <v>8</v>
      </c>
      <c r="X4" s="166" t="s">
        <v>46</v>
      </c>
      <c r="Y4" s="166" t="s">
        <v>64</v>
      </c>
      <c r="Z4" s="166" t="s">
        <v>97</v>
      </c>
      <c r="AA4" s="157" t="s">
        <v>86</v>
      </c>
      <c r="AB4" s="53" t="s">
        <v>158</v>
      </c>
      <c r="AE4" s="22" t="s">
        <v>34</v>
      </c>
      <c r="AG4" s="67" t="s">
        <v>359</v>
      </c>
      <c r="AH4" s="67" t="s">
        <v>358</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259</v>
      </c>
      <c r="E5" s="158" t="s">
        <v>355</v>
      </c>
      <c r="F5" s="158" t="s">
        <v>356</v>
      </c>
      <c r="G5" s="161" t="s">
        <v>36</v>
      </c>
      <c r="H5" s="127" t="s">
        <v>160</v>
      </c>
      <c r="I5" s="127" t="s">
        <v>159</v>
      </c>
      <c r="J5" s="127" t="s">
        <v>38</v>
      </c>
      <c r="K5" s="127" t="s">
        <v>161</v>
      </c>
      <c r="L5" s="53">
        <v>1</v>
      </c>
      <c r="N5" s="53">
        <v>1</v>
      </c>
      <c r="O5" s="53">
        <v>0.8</v>
      </c>
      <c r="P5" s="53">
        <v>0.75</v>
      </c>
      <c r="Q5" s="75">
        <f t="shared" si="0"/>
        <v>0.77500000000000002</v>
      </c>
      <c r="R5" s="168">
        <v>15.2</v>
      </c>
      <c r="S5" s="168">
        <v>122</v>
      </c>
      <c r="T5" s="16">
        <f t="shared" si="1"/>
        <v>30</v>
      </c>
      <c r="U5" s="169">
        <v>98</v>
      </c>
      <c r="V5" s="38">
        <f t="shared" si="2"/>
        <v>2940</v>
      </c>
      <c r="W5" s="165">
        <v>8</v>
      </c>
      <c r="X5" s="166" t="s">
        <v>46</v>
      </c>
      <c r="Y5" s="166" t="s">
        <v>64</v>
      </c>
      <c r="Z5" s="166" t="s">
        <v>97</v>
      </c>
      <c r="AA5" s="157" t="s">
        <v>86</v>
      </c>
      <c r="AB5" s="53" t="s">
        <v>158</v>
      </c>
      <c r="AE5" s="22" t="s">
        <v>51</v>
      </c>
      <c r="AG5" s="67" t="s">
        <v>355</v>
      </c>
      <c r="AH5" s="67" t="s">
        <v>360</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259</v>
      </c>
      <c r="E6" s="158" t="s">
        <v>355</v>
      </c>
      <c r="F6" s="158" t="s">
        <v>356</v>
      </c>
      <c r="G6" s="161" t="s">
        <v>36</v>
      </c>
      <c r="H6" s="127" t="s">
        <v>160</v>
      </c>
      <c r="I6" s="127" t="s">
        <v>159</v>
      </c>
      <c r="J6" s="127" t="s">
        <v>38</v>
      </c>
      <c r="K6" s="127" t="s">
        <v>161</v>
      </c>
      <c r="L6" s="53">
        <v>2</v>
      </c>
      <c r="N6" s="53">
        <v>1</v>
      </c>
      <c r="O6" s="53">
        <v>1</v>
      </c>
      <c r="P6" s="53">
        <v>1.1000000000000001</v>
      </c>
      <c r="Q6" s="75">
        <f t="shared" si="0"/>
        <v>1.05</v>
      </c>
      <c r="R6" s="168">
        <v>15.5</v>
      </c>
      <c r="S6" s="168">
        <v>125</v>
      </c>
      <c r="T6" s="16">
        <f t="shared" si="1"/>
        <v>30</v>
      </c>
      <c r="U6" s="169">
        <v>98</v>
      </c>
      <c r="V6" s="38">
        <f t="shared" si="2"/>
        <v>2940</v>
      </c>
      <c r="W6" s="165">
        <v>8</v>
      </c>
      <c r="X6" s="166" t="s">
        <v>46</v>
      </c>
      <c r="Y6" s="166" t="s">
        <v>64</v>
      </c>
      <c r="Z6" s="166" t="s">
        <v>97</v>
      </c>
      <c r="AA6" s="157" t="s">
        <v>86</v>
      </c>
      <c r="AB6" s="53" t="s">
        <v>158</v>
      </c>
      <c r="AE6" s="22" t="s">
        <v>56</v>
      </c>
      <c r="AG6" s="67" t="s">
        <v>210</v>
      </c>
      <c r="AH6" s="67" t="s">
        <v>361</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259</v>
      </c>
      <c r="E7" s="158" t="s">
        <v>355</v>
      </c>
      <c r="F7" s="158" t="s">
        <v>356</v>
      </c>
      <c r="G7" s="161" t="s">
        <v>36</v>
      </c>
      <c r="H7" s="127" t="s">
        <v>160</v>
      </c>
      <c r="I7" s="127" t="s">
        <v>159</v>
      </c>
      <c r="J7" s="127" t="s">
        <v>38</v>
      </c>
      <c r="K7" s="127" t="s">
        <v>161</v>
      </c>
      <c r="L7" s="53">
        <v>3</v>
      </c>
      <c r="N7" s="53">
        <v>1</v>
      </c>
      <c r="O7" s="53">
        <v>0.8</v>
      </c>
      <c r="P7" s="53">
        <v>0.8</v>
      </c>
      <c r="Q7" s="75">
        <f t="shared" si="0"/>
        <v>0.8</v>
      </c>
      <c r="R7" s="168">
        <v>15.2</v>
      </c>
      <c r="S7" s="168">
        <v>118</v>
      </c>
      <c r="T7" s="16">
        <f t="shared" si="1"/>
        <v>30</v>
      </c>
      <c r="U7" s="169">
        <v>98</v>
      </c>
      <c r="V7" s="38">
        <f t="shared" si="2"/>
        <v>2940</v>
      </c>
      <c r="W7" s="165">
        <v>8</v>
      </c>
      <c r="X7" s="166" t="s">
        <v>46</v>
      </c>
      <c r="Y7" s="166" t="s">
        <v>64</v>
      </c>
      <c r="Z7" s="166" t="s">
        <v>97</v>
      </c>
      <c r="AA7" s="157" t="s">
        <v>86</v>
      </c>
      <c r="AB7" s="53" t="s">
        <v>158</v>
      </c>
      <c r="AE7" s="22" t="s">
        <v>61</v>
      </c>
      <c r="AG7" s="67" t="s">
        <v>362</v>
      </c>
      <c r="AH7" s="67" t="s">
        <v>361</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259</v>
      </c>
      <c r="E8" s="159" t="s">
        <v>357</v>
      </c>
      <c r="F8" s="158" t="s">
        <v>358</v>
      </c>
      <c r="G8" s="161" t="s">
        <v>36</v>
      </c>
      <c r="H8" s="127" t="s">
        <v>164</v>
      </c>
      <c r="I8" s="127" t="s">
        <v>159</v>
      </c>
      <c r="J8" s="127" t="s">
        <v>38</v>
      </c>
      <c r="K8" s="127" t="s">
        <v>161</v>
      </c>
      <c r="L8" s="53">
        <v>1</v>
      </c>
      <c r="N8" s="53">
        <v>4</v>
      </c>
      <c r="O8" s="53">
        <v>0.6</v>
      </c>
      <c r="P8" s="53">
        <v>0.65</v>
      </c>
      <c r="Q8" s="75">
        <f t="shared" si="0"/>
        <v>0.625</v>
      </c>
      <c r="R8" s="168">
        <v>14.7</v>
      </c>
      <c r="S8" s="168">
        <v>100</v>
      </c>
      <c r="T8" s="16">
        <f t="shared" si="1"/>
        <v>33</v>
      </c>
      <c r="U8" s="164">
        <v>398</v>
      </c>
      <c r="V8" s="38">
        <f t="shared" si="2"/>
        <v>3283.5</v>
      </c>
      <c r="W8" s="165">
        <v>6</v>
      </c>
      <c r="X8" s="166" t="s">
        <v>46</v>
      </c>
      <c r="Y8" s="172" t="s">
        <v>97</v>
      </c>
      <c r="Z8" s="166" t="s">
        <v>64</v>
      </c>
      <c r="AA8" s="157" t="s">
        <v>86</v>
      </c>
      <c r="AB8" s="53" t="s">
        <v>158</v>
      </c>
      <c r="AE8" s="22" t="s">
        <v>59</v>
      </c>
      <c r="AG8" s="67" t="s">
        <v>210</v>
      </c>
      <c r="AH8" s="67" t="s">
        <v>363</v>
      </c>
      <c r="AL8" s="34" t="s">
        <v>134</v>
      </c>
      <c r="AP8" s="23" t="s">
        <v>62</v>
      </c>
      <c r="AR8" s="23" t="s">
        <v>81</v>
      </c>
      <c r="AV8" s="23" t="s">
        <v>97</v>
      </c>
      <c r="AX8" s="24">
        <v>151</v>
      </c>
      <c r="AY8" s="25">
        <v>22</v>
      </c>
      <c r="AZ8" s="25">
        <v>152</v>
      </c>
      <c r="BA8" s="26">
        <v>18</v>
      </c>
    </row>
    <row r="9" spans="1:53" x14ac:dyDescent="0.15">
      <c r="A9" s="158" t="s">
        <v>34</v>
      </c>
      <c r="B9" s="158" t="s">
        <v>157</v>
      </c>
      <c r="C9" s="159">
        <v>2019</v>
      </c>
      <c r="D9" s="160" t="s">
        <v>259</v>
      </c>
      <c r="E9" s="159" t="s">
        <v>357</v>
      </c>
      <c r="F9" s="158" t="s">
        <v>358</v>
      </c>
      <c r="G9" s="161" t="s">
        <v>36</v>
      </c>
      <c r="H9" s="127" t="s">
        <v>164</v>
      </c>
      <c r="I9" s="127" t="s">
        <v>159</v>
      </c>
      <c r="J9" s="127" t="s">
        <v>38</v>
      </c>
      <c r="K9" s="127" t="s">
        <v>161</v>
      </c>
      <c r="L9" s="53">
        <v>2</v>
      </c>
      <c r="N9" s="53">
        <v>4</v>
      </c>
      <c r="O9" s="53">
        <v>0.7</v>
      </c>
      <c r="P9" s="53">
        <v>0.65</v>
      </c>
      <c r="Q9" s="75">
        <f t="shared" si="0"/>
        <v>0.67500000000000004</v>
      </c>
      <c r="R9" s="168">
        <v>14.4</v>
      </c>
      <c r="S9" s="168">
        <v>133</v>
      </c>
      <c r="T9" s="16">
        <f t="shared" si="1"/>
        <v>30</v>
      </c>
      <c r="U9" s="164">
        <v>398</v>
      </c>
      <c r="V9" s="38">
        <f t="shared" si="2"/>
        <v>2985</v>
      </c>
      <c r="W9" s="165">
        <v>6</v>
      </c>
      <c r="X9" s="166" t="s">
        <v>46</v>
      </c>
      <c r="Y9" s="172" t="s">
        <v>97</v>
      </c>
      <c r="Z9" s="166" t="s">
        <v>64</v>
      </c>
      <c r="AA9" s="157" t="s">
        <v>86</v>
      </c>
      <c r="AB9" s="53" t="s">
        <v>158</v>
      </c>
      <c r="AE9" s="22" t="s">
        <v>98</v>
      </c>
      <c r="AG9" s="67" t="s">
        <v>139</v>
      </c>
      <c r="AH9" s="67" t="s">
        <v>363</v>
      </c>
      <c r="AL9" s="73"/>
      <c r="AP9" s="23" t="s">
        <v>95</v>
      </c>
      <c r="AR9" s="23" t="s">
        <v>89</v>
      </c>
      <c r="AV9" s="23" t="s">
        <v>102</v>
      </c>
      <c r="AX9" s="31">
        <v>180</v>
      </c>
      <c r="AY9" s="32">
        <v>18</v>
      </c>
      <c r="AZ9" s="32">
        <v>181</v>
      </c>
      <c r="BA9" s="33">
        <v>16</v>
      </c>
    </row>
    <row r="10" spans="1:53" x14ac:dyDescent="0.15">
      <c r="A10" s="158" t="s">
        <v>34</v>
      </c>
      <c r="B10" s="158" t="s">
        <v>157</v>
      </c>
      <c r="C10" s="158">
        <v>2019</v>
      </c>
      <c r="D10" s="160" t="s">
        <v>259</v>
      </c>
      <c r="E10" s="159" t="s">
        <v>357</v>
      </c>
      <c r="F10" s="158" t="s">
        <v>358</v>
      </c>
      <c r="G10" s="161" t="s">
        <v>36</v>
      </c>
      <c r="H10" s="127" t="s">
        <v>164</v>
      </c>
      <c r="I10" s="127" t="s">
        <v>159</v>
      </c>
      <c r="J10" s="127" t="s">
        <v>38</v>
      </c>
      <c r="K10" s="127" t="s">
        <v>161</v>
      </c>
      <c r="L10" s="53">
        <v>3</v>
      </c>
      <c r="N10" s="53">
        <v>4</v>
      </c>
      <c r="O10" s="53">
        <v>0.65</v>
      </c>
      <c r="P10" s="53">
        <v>0.6</v>
      </c>
      <c r="Q10" s="75">
        <f t="shared" si="0"/>
        <v>0.625</v>
      </c>
      <c r="R10" s="168">
        <v>14.3</v>
      </c>
      <c r="S10" s="168">
        <v>101</v>
      </c>
      <c r="T10" s="16">
        <f t="shared" si="1"/>
        <v>33</v>
      </c>
      <c r="U10" s="164">
        <v>398</v>
      </c>
      <c r="V10" s="38">
        <f t="shared" si="2"/>
        <v>3283.5</v>
      </c>
      <c r="W10" s="165">
        <v>6</v>
      </c>
      <c r="X10" s="166" t="s">
        <v>46</v>
      </c>
      <c r="Y10" s="172" t="s">
        <v>97</v>
      </c>
      <c r="Z10" s="166" t="s">
        <v>64</v>
      </c>
      <c r="AA10" s="157" t="s">
        <v>86</v>
      </c>
      <c r="AB10" s="53" t="s">
        <v>158</v>
      </c>
      <c r="AE10" s="22" t="s">
        <v>103</v>
      </c>
      <c r="AG10" s="67" t="s">
        <v>133</v>
      </c>
      <c r="AH10" s="67" t="s">
        <v>364</v>
      </c>
      <c r="AL10" s="34"/>
      <c r="AP10" s="23" t="s">
        <v>100</v>
      </c>
      <c r="AR10" s="23" t="s">
        <v>123</v>
      </c>
      <c r="AV10" s="23" t="s">
        <v>106</v>
      </c>
    </row>
    <row r="11" spans="1:53" x14ac:dyDescent="0.15">
      <c r="A11" s="158" t="s">
        <v>34</v>
      </c>
      <c r="B11" s="158" t="s">
        <v>157</v>
      </c>
      <c r="C11" s="159">
        <v>2019</v>
      </c>
      <c r="D11" s="160" t="s">
        <v>259</v>
      </c>
      <c r="E11" s="159" t="s">
        <v>357</v>
      </c>
      <c r="F11" s="158" t="s">
        <v>358</v>
      </c>
      <c r="G11" s="161" t="s">
        <v>36</v>
      </c>
      <c r="H11" s="127" t="s">
        <v>160</v>
      </c>
      <c r="I11" s="127" t="s">
        <v>159</v>
      </c>
      <c r="J11" s="127" t="s">
        <v>38</v>
      </c>
      <c r="K11" s="127" t="s">
        <v>161</v>
      </c>
      <c r="L11" s="53">
        <v>1</v>
      </c>
      <c r="N11" s="53">
        <v>4</v>
      </c>
      <c r="O11" s="53">
        <v>0.7</v>
      </c>
      <c r="P11" s="53">
        <v>0.65</v>
      </c>
      <c r="Q11" s="75">
        <f t="shared" si="0"/>
        <v>0.67500000000000004</v>
      </c>
      <c r="R11" s="168">
        <v>13.4</v>
      </c>
      <c r="S11" s="168">
        <v>95</v>
      </c>
      <c r="T11" s="16">
        <f t="shared" si="1"/>
        <v>36</v>
      </c>
      <c r="U11" s="164">
        <v>498</v>
      </c>
      <c r="V11" s="38">
        <f t="shared" si="2"/>
        <v>4482</v>
      </c>
      <c r="W11" s="165">
        <v>6</v>
      </c>
      <c r="X11" s="166" t="s">
        <v>46</v>
      </c>
      <c r="Y11" s="172" t="s">
        <v>97</v>
      </c>
      <c r="Z11" s="166" t="s">
        <v>64</v>
      </c>
      <c r="AA11" s="172" t="s">
        <v>86</v>
      </c>
      <c r="AB11" s="53" t="s">
        <v>158</v>
      </c>
      <c r="AE11" s="22" t="s">
        <v>65</v>
      </c>
      <c r="AG11" s="23" t="s">
        <v>267</v>
      </c>
      <c r="AH11" s="23" t="s">
        <v>365</v>
      </c>
      <c r="AL11" s="34"/>
      <c r="AP11" s="23" t="s">
        <v>104</v>
      </c>
      <c r="AR11" s="23" t="s">
        <v>87</v>
      </c>
      <c r="AV11" s="23" t="s">
        <v>69</v>
      </c>
    </row>
    <row r="12" spans="1:53" x14ac:dyDescent="0.15">
      <c r="A12" s="158" t="s">
        <v>34</v>
      </c>
      <c r="B12" s="158" t="s">
        <v>157</v>
      </c>
      <c r="C12" s="158">
        <v>2019</v>
      </c>
      <c r="D12" s="160" t="s">
        <v>259</v>
      </c>
      <c r="E12" s="159" t="s">
        <v>357</v>
      </c>
      <c r="F12" s="158" t="s">
        <v>358</v>
      </c>
      <c r="G12" s="161" t="s">
        <v>36</v>
      </c>
      <c r="H12" s="127" t="s">
        <v>160</v>
      </c>
      <c r="I12" s="127" t="s">
        <v>159</v>
      </c>
      <c r="J12" s="127" t="s">
        <v>38</v>
      </c>
      <c r="K12" s="127" t="s">
        <v>161</v>
      </c>
      <c r="L12" s="53">
        <v>2</v>
      </c>
      <c r="N12" s="53">
        <v>4</v>
      </c>
      <c r="O12" s="53">
        <v>0.75</v>
      </c>
      <c r="P12" s="53">
        <v>0.8</v>
      </c>
      <c r="Q12" s="75">
        <f t="shared" si="0"/>
        <v>0.77500000000000002</v>
      </c>
      <c r="R12" s="168">
        <v>15.1</v>
      </c>
      <c r="S12" s="168">
        <v>92</v>
      </c>
      <c r="T12" s="16">
        <f t="shared" si="1"/>
        <v>36</v>
      </c>
      <c r="U12" s="164">
        <v>498</v>
      </c>
      <c r="V12" s="38">
        <f t="shared" si="2"/>
        <v>4482</v>
      </c>
      <c r="W12" s="165">
        <v>6</v>
      </c>
      <c r="X12" s="166" t="s">
        <v>46</v>
      </c>
      <c r="Y12" s="172" t="s">
        <v>97</v>
      </c>
      <c r="Z12" s="166" t="s">
        <v>64</v>
      </c>
      <c r="AA12" s="172" t="s">
        <v>86</v>
      </c>
      <c r="AB12" s="53" t="s">
        <v>158</v>
      </c>
      <c r="AE12" s="22" t="s">
        <v>70</v>
      </c>
      <c r="AG12" s="23"/>
      <c r="AH12" s="23"/>
      <c r="AL12" s="34"/>
      <c r="AP12" s="23" t="s">
        <v>67</v>
      </c>
      <c r="AR12" s="23" t="s">
        <v>124</v>
      </c>
      <c r="AV12" s="23" t="s">
        <v>72</v>
      </c>
    </row>
    <row r="13" spans="1:53" x14ac:dyDescent="0.15">
      <c r="A13" s="158" t="s">
        <v>34</v>
      </c>
      <c r="B13" s="158" t="s">
        <v>157</v>
      </c>
      <c r="C13" s="159">
        <v>2019</v>
      </c>
      <c r="D13" s="160" t="s">
        <v>259</v>
      </c>
      <c r="E13" s="159" t="s">
        <v>357</v>
      </c>
      <c r="F13" s="158" t="s">
        <v>358</v>
      </c>
      <c r="G13" s="161" t="s">
        <v>36</v>
      </c>
      <c r="H13" s="127" t="s">
        <v>160</v>
      </c>
      <c r="I13" s="127" t="s">
        <v>159</v>
      </c>
      <c r="J13" s="127" t="s">
        <v>38</v>
      </c>
      <c r="K13" s="127" t="s">
        <v>161</v>
      </c>
      <c r="L13" s="53">
        <v>3</v>
      </c>
      <c r="N13" s="53">
        <v>4</v>
      </c>
      <c r="O13" s="53">
        <v>0.65</v>
      </c>
      <c r="P13" s="53">
        <v>0.7</v>
      </c>
      <c r="Q13" s="75">
        <f t="shared" si="0"/>
        <v>0.67500000000000004</v>
      </c>
      <c r="R13" s="168">
        <v>14.7</v>
      </c>
      <c r="S13" s="168">
        <v>106</v>
      </c>
      <c r="T13" s="16">
        <f t="shared" si="1"/>
        <v>33</v>
      </c>
      <c r="U13" s="164">
        <v>498</v>
      </c>
      <c r="V13" s="38">
        <f t="shared" si="2"/>
        <v>4108.5</v>
      </c>
      <c r="W13" s="165">
        <v>6</v>
      </c>
      <c r="X13" s="166" t="s">
        <v>46</v>
      </c>
      <c r="Y13" s="172" t="s">
        <v>97</v>
      </c>
      <c r="Z13" s="166" t="s">
        <v>64</v>
      </c>
      <c r="AA13" s="172" t="s">
        <v>86</v>
      </c>
      <c r="AB13" s="53" t="s">
        <v>158</v>
      </c>
      <c r="AE13" s="22" t="s">
        <v>73</v>
      </c>
      <c r="AG13" s="28"/>
      <c r="AH13" s="28"/>
      <c r="AP13" s="23" t="s">
        <v>71</v>
      </c>
      <c r="AR13" s="23" t="s">
        <v>103</v>
      </c>
      <c r="AV13" s="23" t="s">
        <v>75</v>
      </c>
    </row>
    <row r="14" spans="1:53" x14ac:dyDescent="0.15">
      <c r="A14" s="158" t="s">
        <v>34</v>
      </c>
      <c r="B14" s="158" t="s">
        <v>157</v>
      </c>
      <c r="C14" s="158">
        <v>2019</v>
      </c>
      <c r="D14" s="160" t="s">
        <v>259</v>
      </c>
      <c r="E14" s="159" t="s">
        <v>359</v>
      </c>
      <c r="F14" s="158" t="s">
        <v>358</v>
      </c>
      <c r="G14" s="161" t="s">
        <v>36</v>
      </c>
      <c r="H14" s="127" t="s">
        <v>164</v>
      </c>
      <c r="I14" s="127" t="s">
        <v>159</v>
      </c>
      <c r="J14" s="127" t="s">
        <v>38</v>
      </c>
      <c r="K14" s="127" t="s">
        <v>161</v>
      </c>
      <c r="L14" s="53">
        <v>1</v>
      </c>
      <c r="N14" s="53">
        <v>1</v>
      </c>
      <c r="O14" s="53">
        <v>0.7</v>
      </c>
      <c r="P14" s="53">
        <v>0.6</v>
      </c>
      <c r="Q14" s="75">
        <f t="shared" si="0"/>
        <v>0.64999999999999991</v>
      </c>
      <c r="R14" s="168">
        <v>15.3</v>
      </c>
      <c r="S14" s="168">
        <v>133</v>
      </c>
      <c r="T14" s="16">
        <f t="shared" si="1"/>
        <v>30</v>
      </c>
      <c r="U14" s="164">
        <v>98</v>
      </c>
      <c r="V14" s="38">
        <f t="shared" si="2"/>
        <v>2940</v>
      </c>
      <c r="W14" s="165">
        <v>6</v>
      </c>
      <c r="X14" s="166" t="s">
        <v>46</v>
      </c>
      <c r="Y14" s="172" t="s">
        <v>64</v>
      </c>
      <c r="Z14" s="172" t="s">
        <v>86</v>
      </c>
      <c r="AA14" s="172" t="s">
        <v>97</v>
      </c>
      <c r="AB14" s="53" t="s">
        <v>158</v>
      </c>
      <c r="AC14" s="34"/>
      <c r="AE14" s="22" t="s">
        <v>76</v>
      </c>
      <c r="AP14" s="23" t="s">
        <v>74</v>
      </c>
      <c r="AR14" s="23" t="s">
        <v>125</v>
      </c>
      <c r="AV14" s="23" t="s">
        <v>78</v>
      </c>
    </row>
    <row r="15" spans="1:53" x14ac:dyDescent="0.15">
      <c r="A15" s="158" t="s">
        <v>34</v>
      </c>
      <c r="B15" s="158" t="s">
        <v>157</v>
      </c>
      <c r="C15" s="159">
        <v>2019</v>
      </c>
      <c r="D15" s="160" t="s">
        <v>259</v>
      </c>
      <c r="E15" s="159" t="s">
        <v>359</v>
      </c>
      <c r="F15" s="158" t="s">
        <v>358</v>
      </c>
      <c r="G15" s="161" t="s">
        <v>36</v>
      </c>
      <c r="H15" s="127" t="s">
        <v>164</v>
      </c>
      <c r="I15" s="127" t="s">
        <v>159</v>
      </c>
      <c r="J15" s="127" t="s">
        <v>38</v>
      </c>
      <c r="K15" s="127" t="s">
        <v>161</v>
      </c>
      <c r="L15" s="53">
        <v>2</v>
      </c>
      <c r="N15" s="53">
        <v>1</v>
      </c>
      <c r="O15" s="53">
        <v>1</v>
      </c>
      <c r="P15" s="53">
        <v>0.95</v>
      </c>
      <c r="Q15" s="75">
        <f t="shared" si="0"/>
        <v>0.97499999999999998</v>
      </c>
      <c r="R15" s="168">
        <v>14.4</v>
      </c>
      <c r="S15" s="168">
        <v>132</v>
      </c>
      <c r="T15" s="16">
        <f t="shared" si="1"/>
        <v>30</v>
      </c>
      <c r="U15" s="164">
        <v>98</v>
      </c>
      <c r="V15" s="38">
        <f t="shared" si="2"/>
        <v>2940</v>
      </c>
      <c r="W15" s="165">
        <v>6</v>
      </c>
      <c r="X15" s="166" t="s">
        <v>46</v>
      </c>
      <c r="Y15" s="172" t="s">
        <v>64</v>
      </c>
      <c r="Z15" s="172" t="s">
        <v>86</v>
      </c>
      <c r="AA15" s="172" t="s">
        <v>97</v>
      </c>
      <c r="AB15" s="53" t="s">
        <v>158</v>
      </c>
      <c r="AC15" s="34"/>
      <c r="AE15" s="22" t="s">
        <v>79</v>
      </c>
      <c r="AP15" s="23" t="s">
        <v>77</v>
      </c>
      <c r="AR15" s="23" t="s">
        <v>94</v>
      </c>
      <c r="AV15" s="23" t="s">
        <v>107</v>
      </c>
    </row>
    <row r="16" spans="1:53" x14ac:dyDescent="0.15">
      <c r="A16" s="158" t="s">
        <v>34</v>
      </c>
      <c r="B16" s="158" t="s">
        <v>157</v>
      </c>
      <c r="C16" s="158">
        <v>2019</v>
      </c>
      <c r="D16" s="160" t="s">
        <v>259</v>
      </c>
      <c r="E16" s="159" t="s">
        <v>359</v>
      </c>
      <c r="F16" s="158" t="s">
        <v>358</v>
      </c>
      <c r="G16" s="161" t="s">
        <v>36</v>
      </c>
      <c r="H16" s="127" t="s">
        <v>164</v>
      </c>
      <c r="I16" s="127" t="s">
        <v>159</v>
      </c>
      <c r="J16" s="127" t="s">
        <v>38</v>
      </c>
      <c r="K16" s="127" t="s">
        <v>161</v>
      </c>
      <c r="L16" s="53">
        <v>3</v>
      </c>
      <c r="N16" s="53">
        <v>1</v>
      </c>
      <c r="O16" s="53">
        <v>0.85</v>
      </c>
      <c r="P16" s="53">
        <v>0.7</v>
      </c>
      <c r="Q16" s="75">
        <f t="shared" si="0"/>
        <v>0.77499999999999991</v>
      </c>
      <c r="R16" s="168">
        <v>15.1</v>
      </c>
      <c r="S16" s="168">
        <v>129</v>
      </c>
      <c r="T16" s="16">
        <f t="shared" si="1"/>
        <v>30</v>
      </c>
      <c r="U16" s="164">
        <v>98</v>
      </c>
      <c r="V16" s="38">
        <f t="shared" si="2"/>
        <v>2940</v>
      </c>
      <c r="W16" s="165">
        <v>6</v>
      </c>
      <c r="X16" s="166" t="s">
        <v>46</v>
      </c>
      <c r="Y16" s="172" t="s">
        <v>64</v>
      </c>
      <c r="Z16" s="172" t="s">
        <v>86</v>
      </c>
      <c r="AA16" s="172" t="s">
        <v>97</v>
      </c>
      <c r="AB16" s="53" t="s">
        <v>158</v>
      </c>
      <c r="AC16" s="34"/>
      <c r="AE16" s="22" t="s">
        <v>82</v>
      </c>
      <c r="AP16" s="23" t="s">
        <v>80</v>
      </c>
      <c r="AR16" s="23" t="s">
        <v>63</v>
      </c>
      <c r="AV16" s="23" t="s">
        <v>84</v>
      </c>
    </row>
    <row r="17" spans="1:48" x14ac:dyDescent="0.15">
      <c r="A17" s="158" t="s">
        <v>34</v>
      </c>
      <c r="B17" s="158" t="s">
        <v>157</v>
      </c>
      <c r="C17" s="159">
        <v>2019</v>
      </c>
      <c r="D17" s="160" t="s">
        <v>259</v>
      </c>
      <c r="E17" s="159" t="s">
        <v>359</v>
      </c>
      <c r="F17" s="158" t="s">
        <v>358</v>
      </c>
      <c r="G17" s="161" t="s">
        <v>36</v>
      </c>
      <c r="H17" s="127" t="s">
        <v>160</v>
      </c>
      <c r="I17" s="127" t="s">
        <v>159</v>
      </c>
      <c r="J17" s="127" t="s">
        <v>38</v>
      </c>
      <c r="K17" s="127" t="s">
        <v>161</v>
      </c>
      <c r="L17" s="53">
        <v>1</v>
      </c>
      <c r="N17" s="53">
        <v>1</v>
      </c>
      <c r="O17" s="53">
        <v>0.9</v>
      </c>
      <c r="P17" s="53">
        <v>0.85</v>
      </c>
      <c r="Q17" s="75">
        <f t="shared" si="0"/>
        <v>0.875</v>
      </c>
      <c r="R17" s="168">
        <v>13.9</v>
      </c>
      <c r="S17" s="168">
        <v>105</v>
      </c>
      <c r="T17" s="16">
        <f t="shared" si="1"/>
        <v>33</v>
      </c>
      <c r="U17" s="164">
        <v>128</v>
      </c>
      <c r="V17" s="38">
        <f t="shared" si="2"/>
        <v>4224</v>
      </c>
      <c r="W17" s="165">
        <v>6</v>
      </c>
      <c r="X17" s="166" t="s">
        <v>46</v>
      </c>
      <c r="Y17" s="172" t="s">
        <v>64</v>
      </c>
      <c r="Z17" s="172" t="s">
        <v>86</v>
      </c>
      <c r="AA17" s="172" t="s">
        <v>97</v>
      </c>
      <c r="AB17" s="53" t="s">
        <v>158</v>
      </c>
      <c r="AC17" s="34"/>
      <c r="AE17" s="22" t="s">
        <v>85</v>
      </c>
      <c r="AP17" s="27" t="s">
        <v>110</v>
      </c>
      <c r="AR17" s="23" t="s">
        <v>96</v>
      </c>
      <c r="AV17" s="23" t="s">
        <v>86</v>
      </c>
    </row>
    <row r="18" spans="1:48" x14ac:dyDescent="0.15">
      <c r="A18" s="158" t="s">
        <v>34</v>
      </c>
      <c r="B18" s="158" t="s">
        <v>157</v>
      </c>
      <c r="C18" s="158">
        <v>2019</v>
      </c>
      <c r="D18" s="160" t="s">
        <v>259</v>
      </c>
      <c r="E18" s="159" t="s">
        <v>359</v>
      </c>
      <c r="F18" s="158" t="s">
        <v>358</v>
      </c>
      <c r="G18" s="161" t="s">
        <v>36</v>
      </c>
      <c r="H18" s="127" t="s">
        <v>160</v>
      </c>
      <c r="I18" s="127" t="s">
        <v>159</v>
      </c>
      <c r="J18" s="127" t="s">
        <v>38</v>
      </c>
      <c r="K18" s="127" t="s">
        <v>161</v>
      </c>
      <c r="L18" s="53">
        <v>2</v>
      </c>
      <c r="N18" s="53">
        <v>1</v>
      </c>
      <c r="O18" s="53">
        <v>0.8</v>
      </c>
      <c r="P18" s="53">
        <v>0.8</v>
      </c>
      <c r="Q18" s="75">
        <f t="shared" si="0"/>
        <v>0.8</v>
      </c>
      <c r="R18" s="168">
        <v>14</v>
      </c>
      <c r="S18" s="168">
        <v>112</v>
      </c>
      <c r="T18" s="16">
        <f t="shared" si="1"/>
        <v>33</v>
      </c>
      <c r="U18" s="164">
        <v>128</v>
      </c>
      <c r="V18" s="38">
        <f t="shared" si="2"/>
        <v>4224</v>
      </c>
      <c r="W18" s="165">
        <v>6</v>
      </c>
      <c r="X18" s="166" t="s">
        <v>46</v>
      </c>
      <c r="Y18" s="172" t="s">
        <v>64</v>
      </c>
      <c r="Z18" s="172" t="s">
        <v>86</v>
      </c>
      <c r="AA18" s="172" t="s">
        <v>97</v>
      </c>
      <c r="AB18" s="53" t="s">
        <v>158</v>
      </c>
      <c r="AC18" s="34"/>
      <c r="AE18" s="22" t="s">
        <v>87</v>
      </c>
      <c r="AP18" s="27" t="s">
        <v>111</v>
      </c>
      <c r="AR18" s="23" t="s">
        <v>101</v>
      </c>
      <c r="AV18" s="23" t="s">
        <v>88</v>
      </c>
    </row>
    <row r="19" spans="1:48" x14ac:dyDescent="0.15">
      <c r="A19" s="158" t="s">
        <v>34</v>
      </c>
      <c r="B19" s="158" t="s">
        <v>157</v>
      </c>
      <c r="C19" s="159">
        <v>2019</v>
      </c>
      <c r="D19" s="160" t="s">
        <v>259</v>
      </c>
      <c r="E19" s="159" t="s">
        <v>359</v>
      </c>
      <c r="F19" s="158" t="s">
        <v>358</v>
      </c>
      <c r="G19" s="161" t="s">
        <v>36</v>
      </c>
      <c r="H19" s="127" t="s">
        <v>160</v>
      </c>
      <c r="I19" s="127" t="s">
        <v>159</v>
      </c>
      <c r="J19" s="127" t="s">
        <v>38</v>
      </c>
      <c r="K19" s="127" t="s">
        <v>161</v>
      </c>
      <c r="L19" s="53">
        <v>3</v>
      </c>
      <c r="N19" s="53">
        <v>1</v>
      </c>
      <c r="O19" s="53">
        <v>0.85</v>
      </c>
      <c r="P19" s="53">
        <v>0.85</v>
      </c>
      <c r="Q19" s="75">
        <f t="shared" si="0"/>
        <v>0.85</v>
      </c>
      <c r="R19" s="168">
        <v>13.5</v>
      </c>
      <c r="S19" s="168">
        <v>115</v>
      </c>
      <c r="T19" s="16">
        <f t="shared" si="1"/>
        <v>30</v>
      </c>
      <c r="U19" s="164">
        <v>128</v>
      </c>
      <c r="V19" s="38">
        <f t="shared" si="2"/>
        <v>3840</v>
      </c>
      <c r="W19" s="165">
        <v>6</v>
      </c>
      <c r="X19" s="166" t="s">
        <v>46</v>
      </c>
      <c r="Y19" s="172" t="s">
        <v>64</v>
      </c>
      <c r="Z19" s="172" t="s">
        <v>86</v>
      </c>
      <c r="AA19" s="172" t="s">
        <v>97</v>
      </c>
      <c r="AB19" s="53" t="s">
        <v>158</v>
      </c>
      <c r="AC19" s="34"/>
      <c r="AE19" s="35" t="s">
        <v>89</v>
      </c>
      <c r="AP19" s="27" t="s">
        <v>112</v>
      </c>
      <c r="AR19" s="23" t="s">
        <v>126</v>
      </c>
      <c r="AV19" s="23" t="s">
        <v>90</v>
      </c>
    </row>
    <row r="20" spans="1:48" x14ac:dyDescent="0.15">
      <c r="A20" s="158" t="s">
        <v>34</v>
      </c>
      <c r="B20" s="158" t="s">
        <v>157</v>
      </c>
      <c r="C20" s="158">
        <v>2019</v>
      </c>
      <c r="D20" s="160" t="s">
        <v>259</v>
      </c>
      <c r="E20" s="159" t="s">
        <v>355</v>
      </c>
      <c r="F20" s="158" t="s">
        <v>360</v>
      </c>
      <c r="G20" s="161" t="s">
        <v>36</v>
      </c>
      <c r="H20" s="127" t="s">
        <v>164</v>
      </c>
      <c r="I20" s="127" t="s">
        <v>159</v>
      </c>
      <c r="J20" s="127" t="s">
        <v>38</v>
      </c>
      <c r="K20" s="127" t="s">
        <v>161</v>
      </c>
      <c r="L20" s="53">
        <v>1</v>
      </c>
      <c r="N20" s="53">
        <v>4</v>
      </c>
      <c r="O20" s="53">
        <v>0.8</v>
      </c>
      <c r="P20" s="53">
        <v>0.75</v>
      </c>
      <c r="Q20" s="75">
        <f t="shared" si="0"/>
        <v>0.77500000000000002</v>
      </c>
      <c r="R20" s="168">
        <v>14.7</v>
      </c>
      <c r="S20" s="168">
        <v>92</v>
      </c>
      <c r="T20" s="16">
        <f t="shared" si="1"/>
        <v>36</v>
      </c>
      <c r="U20" s="164">
        <v>358</v>
      </c>
      <c r="V20" s="38">
        <f t="shared" si="2"/>
        <v>3222</v>
      </c>
      <c r="W20" s="165">
        <v>10</v>
      </c>
      <c r="X20" s="166" t="s">
        <v>46</v>
      </c>
      <c r="Y20" s="172" t="s">
        <v>86</v>
      </c>
      <c r="Z20" s="172" t="s">
        <v>64</v>
      </c>
      <c r="AA20" s="172" t="s">
        <v>97</v>
      </c>
      <c r="AB20" s="53" t="s">
        <v>158</v>
      </c>
      <c r="AE20" s="35"/>
      <c r="AP20" s="27" t="s">
        <v>113</v>
      </c>
      <c r="AR20" s="23" t="s">
        <v>105</v>
      </c>
      <c r="AV20" s="27" t="s">
        <v>135</v>
      </c>
    </row>
    <row r="21" spans="1:48" x14ac:dyDescent="0.15">
      <c r="A21" s="158" t="s">
        <v>34</v>
      </c>
      <c r="B21" s="158" t="s">
        <v>157</v>
      </c>
      <c r="C21" s="159">
        <v>2019</v>
      </c>
      <c r="D21" s="160" t="s">
        <v>259</v>
      </c>
      <c r="E21" s="159" t="s">
        <v>355</v>
      </c>
      <c r="F21" s="158" t="s">
        <v>360</v>
      </c>
      <c r="G21" s="161" t="s">
        <v>36</v>
      </c>
      <c r="H21" s="127" t="s">
        <v>164</v>
      </c>
      <c r="I21" s="127" t="s">
        <v>159</v>
      </c>
      <c r="J21" s="127" t="s">
        <v>38</v>
      </c>
      <c r="K21" s="127" t="s">
        <v>161</v>
      </c>
      <c r="L21" s="53">
        <v>2</v>
      </c>
      <c r="N21" s="53">
        <v>4</v>
      </c>
      <c r="O21" s="53">
        <v>0.7</v>
      </c>
      <c r="P21" s="53">
        <v>0.6</v>
      </c>
      <c r="Q21" s="75">
        <f t="shared" si="0"/>
        <v>0.64999999999999991</v>
      </c>
      <c r="R21" s="168">
        <v>15.1</v>
      </c>
      <c r="S21" s="168">
        <v>91</v>
      </c>
      <c r="T21" s="16">
        <f t="shared" si="1"/>
        <v>36</v>
      </c>
      <c r="U21" s="164">
        <v>358</v>
      </c>
      <c r="V21" s="38">
        <f t="shared" si="2"/>
        <v>3222</v>
      </c>
      <c r="W21" s="165">
        <v>10</v>
      </c>
      <c r="X21" s="166" t="s">
        <v>46</v>
      </c>
      <c r="Y21" s="172" t="s">
        <v>86</v>
      </c>
      <c r="Z21" s="172" t="s">
        <v>64</v>
      </c>
      <c r="AA21" s="172" t="s">
        <v>97</v>
      </c>
      <c r="AB21" s="53" t="s">
        <v>158</v>
      </c>
      <c r="AE21" s="28"/>
      <c r="AP21" s="27" t="s">
        <v>114</v>
      </c>
      <c r="AR21" s="23" t="s">
        <v>68</v>
      </c>
      <c r="AV21" s="27" t="s">
        <v>136</v>
      </c>
    </row>
    <row r="22" spans="1:48" x14ac:dyDescent="0.15">
      <c r="A22" s="158" t="s">
        <v>34</v>
      </c>
      <c r="B22" s="158" t="s">
        <v>157</v>
      </c>
      <c r="C22" s="158">
        <v>2019</v>
      </c>
      <c r="D22" s="160" t="s">
        <v>259</v>
      </c>
      <c r="E22" s="159" t="s">
        <v>355</v>
      </c>
      <c r="F22" s="158" t="s">
        <v>360</v>
      </c>
      <c r="G22" s="161" t="s">
        <v>36</v>
      </c>
      <c r="H22" s="127" t="s">
        <v>164</v>
      </c>
      <c r="I22" s="127" t="s">
        <v>159</v>
      </c>
      <c r="J22" s="127" t="s">
        <v>38</v>
      </c>
      <c r="K22" s="127" t="s">
        <v>161</v>
      </c>
      <c r="L22" s="53">
        <v>3</v>
      </c>
      <c r="N22" s="53">
        <v>4</v>
      </c>
      <c r="O22" s="53">
        <v>0.7</v>
      </c>
      <c r="P22" s="34">
        <v>0.75</v>
      </c>
      <c r="Q22" s="75">
        <f t="shared" si="0"/>
        <v>0.72499999999999998</v>
      </c>
      <c r="R22" s="168">
        <v>14.6</v>
      </c>
      <c r="S22" s="168">
        <v>89</v>
      </c>
      <c r="T22" s="16">
        <f t="shared" si="1"/>
        <v>36</v>
      </c>
      <c r="U22" s="164">
        <v>358</v>
      </c>
      <c r="V22" s="38">
        <f t="shared" si="2"/>
        <v>3222</v>
      </c>
      <c r="W22" s="165">
        <v>10</v>
      </c>
      <c r="X22" s="166" t="s">
        <v>46</v>
      </c>
      <c r="Y22" s="172" t="s">
        <v>86</v>
      </c>
      <c r="Z22" s="172" t="s">
        <v>64</v>
      </c>
      <c r="AA22" s="172" t="s">
        <v>97</v>
      </c>
      <c r="AB22" s="53" t="s">
        <v>158</v>
      </c>
      <c r="AP22" s="27" t="s">
        <v>115</v>
      </c>
      <c r="AR22" s="23" t="s">
        <v>83</v>
      </c>
      <c r="AV22" s="23"/>
    </row>
    <row r="23" spans="1:48" x14ac:dyDescent="0.15">
      <c r="A23" s="158" t="s">
        <v>34</v>
      </c>
      <c r="B23" s="158" t="s">
        <v>157</v>
      </c>
      <c r="C23" s="159">
        <v>2019</v>
      </c>
      <c r="D23" s="160" t="s">
        <v>259</v>
      </c>
      <c r="E23" s="159" t="s">
        <v>355</v>
      </c>
      <c r="F23" s="158" t="s">
        <v>360</v>
      </c>
      <c r="G23" s="161" t="s">
        <v>36</v>
      </c>
      <c r="H23" s="127" t="s">
        <v>160</v>
      </c>
      <c r="I23" s="127" t="s">
        <v>159</v>
      </c>
      <c r="J23" s="127" t="s">
        <v>38</v>
      </c>
      <c r="K23" s="127" t="s">
        <v>161</v>
      </c>
      <c r="L23" s="53">
        <v>1</v>
      </c>
      <c r="N23" s="53">
        <v>1</v>
      </c>
      <c r="O23" s="53">
        <v>0.95</v>
      </c>
      <c r="P23" s="34">
        <v>1</v>
      </c>
      <c r="Q23" s="75">
        <f t="shared" si="0"/>
        <v>0.97499999999999998</v>
      </c>
      <c r="R23" s="168">
        <v>15</v>
      </c>
      <c r="S23" s="168">
        <v>123</v>
      </c>
      <c r="T23" s="16">
        <f t="shared" si="1"/>
        <v>30</v>
      </c>
      <c r="U23" s="164">
        <v>128</v>
      </c>
      <c r="V23" s="38">
        <f t="shared" si="2"/>
        <v>3840</v>
      </c>
      <c r="W23" s="165">
        <v>10</v>
      </c>
      <c r="X23" s="166" t="s">
        <v>46</v>
      </c>
      <c r="Y23" s="172" t="s">
        <v>86</v>
      </c>
      <c r="Z23" s="172" t="s">
        <v>64</v>
      </c>
      <c r="AA23" s="172" t="s">
        <v>97</v>
      </c>
      <c r="AB23" s="53" t="s">
        <v>158</v>
      </c>
      <c r="AP23" s="27" t="s">
        <v>137</v>
      </c>
      <c r="AR23" s="23" t="s">
        <v>61</v>
      </c>
      <c r="AV23" s="23"/>
    </row>
    <row r="24" spans="1:48" x14ac:dyDescent="0.15">
      <c r="A24" s="158" t="s">
        <v>34</v>
      </c>
      <c r="B24" s="158" t="s">
        <v>157</v>
      </c>
      <c r="C24" s="158">
        <v>2019</v>
      </c>
      <c r="D24" s="160" t="s">
        <v>259</v>
      </c>
      <c r="E24" s="159" t="s">
        <v>355</v>
      </c>
      <c r="F24" s="158" t="s">
        <v>360</v>
      </c>
      <c r="G24" s="161" t="s">
        <v>36</v>
      </c>
      <c r="H24" s="127" t="s">
        <v>160</v>
      </c>
      <c r="I24" s="127" t="s">
        <v>159</v>
      </c>
      <c r="J24" s="127" t="s">
        <v>38</v>
      </c>
      <c r="K24" s="127" t="s">
        <v>161</v>
      </c>
      <c r="L24" s="53">
        <v>2</v>
      </c>
      <c r="N24" s="53">
        <v>1</v>
      </c>
      <c r="O24" s="53">
        <v>0.8</v>
      </c>
      <c r="P24" s="34">
        <v>0.75</v>
      </c>
      <c r="Q24" s="75">
        <f t="shared" si="0"/>
        <v>0.77500000000000002</v>
      </c>
      <c r="R24" s="168">
        <v>15.4</v>
      </c>
      <c r="S24" s="168">
        <v>114</v>
      </c>
      <c r="T24" s="16">
        <f t="shared" si="1"/>
        <v>30</v>
      </c>
      <c r="U24" s="164">
        <v>128</v>
      </c>
      <c r="V24" s="38">
        <f t="shared" si="2"/>
        <v>3840</v>
      </c>
      <c r="W24" s="165">
        <v>10</v>
      </c>
      <c r="X24" s="166" t="s">
        <v>46</v>
      </c>
      <c r="Y24" s="172" t="s">
        <v>86</v>
      </c>
      <c r="Z24" s="172" t="s">
        <v>64</v>
      </c>
      <c r="AA24" s="172" t="s">
        <v>97</v>
      </c>
      <c r="AB24" s="53" t="s">
        <v>158</v>
      </c>
      <c r="AP24" s="27" t="s">
        <v>138</v>
      </c>
      <c r="AR24" s="23" t="s">
        <v>91</v>
      </c>
      <c r="AV24" s="23"/>
    </row>
    <row r="25" spans="1:48" x14ac:dyDescent="0.15">
      <c r="A25" s="158" t="s">
        <v>34</v>
      </c>
      <c r="B25" s="158" t="s">
        <v>157</v>
      </c>
      <c r="C25" s="159">
        <v>2019</v>
      </c>
      <c r="D25" s="160" t="s">
        <v>259</v>
      </c>
      <c r="E25" s="159" t="s">
        <v>355</v>
      </c>
      <c r="F25" s="158" t="s">
        <v>360</v>
      </c>
      <c r="G25" s="161" t="s">
        <v>36</v>
      </c>
      <c r="H25" s="127" t="s">
        <v>160</v>
      </c>
      <c r="I25" s="127" t="s">
        <v>159</v>
      </c>
      <c r="J25" s="127" t="s">
        <v>38</v>
      </c>
      <c r="K25" s="127" t="s">
        <v>161</v>
      </c>
      <c r="L25" s="53">
        <v>3</v>
      </c>
      <c r="N25" s="53">
        <v>1</v>
      </c>
      <c r="O25" s="53">
        <v>0.85</v>
      </c>
      <c r="P25" s="34">
        <v>0.8</v>
      </c>
      <c r="Q25" s="75">
        <f t="shared" si="0"/>
        <v>0.82499999999999996</v>
      </c>
      <c r="R25" s="168">
        <v>15.2</v>
      </c>
      <c r="S25" s="168">
        <v>122</v>
      </c>
      <c r="T25" s="16">
        <f t="shared" si="1"/>
        <v>30</v>
      </c>
      <c r="U25" s="164">
        <v>128</v>
      </c>
      <c r="V25" s="38">
        <f t="shared" si="2"/>
        <v>3840</v>
      </c>
      <c r="W25" s="165">
        <v>10</v>
      </c>
      <c r="X25" s="166" t="s">
        <v>46</v>
      </c>
      <c r="Y25" s="172" t="s">
        <v>86</v>
      </c>
      <c r="Z25" s="172" t="s">
        <v>64</v>
      </c>
      <c r="AA25" s="172" t="s">
        <v>97</v>
      </c>
      <c r="AB25" s="53" t="s">
        <v>158</v>
      </c>
      <c r="AP25" s="27" t="s">
        <v>116</v>
      </c>
      <c r="AR25" s="27" t="s">
        <v>92</v>
      </c>
      <c r="AV25" s="23"/>
    </row>
    <row r="26" spans="1:48" x14ac:dyDescent="0.15">
      <c r="A26" s="158" t="s">
        <v>34</v>
      </c>
      <c r="B26" s="158" t="s">
        <v>157</v>
      </c>
      <c r="C26" s="158">
        <v>2019</v>
      </c>
      <c r="D26" s="160" t="s">
        <v>259</v>
      </c>
      <c r="E26" s="159" t="s">
        <v>210</v>
      </c>
      <c r="F26" s="158" t="s">
        <v>361</v>
      </c>
      <c r="G26" s="161" t="s">
        <v>42</v>
      </c>
      <c r="H26" s="127" t="s">
        <v>164</v>
      </c>
      <c r="I26" s="127" t="s">
        <v>159</v>
      </c>
      <c r="J26" s="127" t="s">
        <v>38</v>
      </c>
      <c r="K26" s="127" t="s">
        <v>161</v>
      </c>
      <c r="L26" s="53">
        <v>1</v>
      </c>
      <c r="N26" s="53">
        <v>1</v>
      </c>
      <c r="O26" s="53">
        <v>0.7</v>
      </c>
      <c r="P26" s="53">
        <v>0.7</v>
      </c>
      <c r="Q26" s="75">
        <f t="shared" si="0"/>
        <v>0.7</v>
      </c>
      <c r="R26" s="168">
        <v>14.5</v>
      </c>
      <c r="S26" s="168">
        <v>106</v>
      </c>
      <c r="T26" s="16">
        <f t="shared" si="1"/>
        <v>33</v>
      </c>
      <c r="U26" s="164">
        <v>89</v>
      </c>
      <c r="V26" s="38">
        <f t="shared" si="2"/>
        <v>2937</v>
      </c>
      <c r="W26" s="165">
        <v>8</v>
      </c>
      <c r="X26" s="166" t="s">
        <v>46</v>
      </c>
      <c r="Y26" s="172" t="s">
        <v>64</v>
      </c>
      <c r="Z26" s="172" t="s">
        <v>86</v>
      </c>
      <c r="AA26" s="172" t="s">
        <v>69</v>
      </c>
      <c r="AB26" s="53" t="s">
        <v>158</v>
      </c>
      <c r="AP26" s="27" t="s">
        <v>117</v>
      </c>
      <c r="AR26" s="23" t="s">
        <v>153</v>
      </c>
      <c r="AV26" s="27"/>
    </row>
    <row r="27" spans="1:48" x14ac:dyDescent="0.15">
      <c r="A27" s="158" t="s">
        <v>34</v>
      </c>
      <c r="B27" s="158" t="s">
        <v>157</v>
      </c>
      <c r="C27" s="159">
        <v>2019</v>
      </c>
      <c r="D27" s="160" t="s">
        <v>259</v>
      </c>
      <c r="E27" s="159" t="s">
        <v>210</v>
      </c>
      <c r="F27" s="158" t="s">
        <v>361</v>
      </c>
      <c r="G27" s="161" t="s">
        <v>42</v>
      </c>
      <c r="H27" s="127" t="s">
        <v>164</v>
      </c>
      <c r="I27" s="127" t="s">
        <v>159</v>
      </c>
      <c r="J27" s="127" t="s">
        <v>38</v>
      </c>
      <c r="K27" s="127" t="s">
        <v>161</v>
      </c>
      <c r="L27" s="53">
        <v>2</v>
      </c>
      <c r="N27" s="53">
        <v>1</v>
      </c>
      <c r="O27" s="34">
        <v>0.6</v>
      </c>
      <c r="P27" s="53">
        <v>0.55000000000000004</v>
      </c>
      <c r="Q27" s="75">
        <f t="shared" si="0"/>
        <v>0.57499999999999996</v>
      </c>
      <c r="R27" s="168">
        <v>15.1</v>
      </c>
      <c r="S27" s="168">
        <v>105</v>
      </c>
      <c r="T27" s="16">
        <f t="shared" si="1"/>
        <v>33</v>
      </c>
      <c r="U27" s="164">
        <v>89</v>
      </c>
      <c r="V27" s="38">
        <f t="shared" si="2"/>
        <v>2937</v>
      </c>
      <c r="W27" s="165">
        <v>8</v>
      </c>
      <c r="X27" s="166" t="s">
        <v>46</v>
      </c>
      <c r="Y27" s="172" t="s">
        <v>64</v>
      </c>
      <c r="Z27" s="172" t="s">
        <v>86</v>
      </c>
      <c r="AA27" s="172" t="s">
        <v>69</v>
      </c>
      <c r="AB27" s="53" t="s">
        <v>158</v>
      </c>
      <c r="AP27" s="27" t="s">
        <v>118</v>
      </c>
      <c r="AR27" s="23"/>
    </row>
    <row r="28" spans="1:48" x14ac:dyDescent="0.15">
      <c r="A28" s="158" t="s">
        <v>34</v>
      </c>
      <c r="B28" s="158" t="s">
        <v>157</v>
      </c>
      <c r="C28" s="158">
        <v>2019</v>
      </c>
      <c r="D28" s="160" t="s">
        <v>259</v>
      </c>
      <c r="E28" s="159" t="s">
        <v>210</v>
      </c>
      <c r="F28" s="158" t="s">
        <v>361</v>
      </c>
      <c r="G28" s="161" t="s">
        <v>42</v>
      </c>
      <c r="H28" s="127" t="s">
        <v>164</v>
      </c>
      <c r="I28" s="127" t="s">
        <v>159</v>
      </c>
      <c r="J28" s="127" t="s">
        <v>38</v>
      </c>
      <c r="K28" s="127" t="s">
        <v>161</v>
      </c>
      <c r="L28" s="53">
        <v>3</v>
      </c>
      <c r="N28" s="53">
        <v>1</v>
      </c>
      <c r="O28" s="34">
        <v>0.6</v>
      </c>
      <c r="P28" s="53">
        <v>0.55000000000000004</v>
      </c>
      <c r="Q28" s="75">
        <f t="shared" si="0"/>
        <v>0.57499999999999996</v>
      </c>
      <c r="R28" s="168">
        <v>14.8</v>
      </c>
      <c r="S28" s="168">
        <v>105</v>
      </c>
      <c r="T28" s="16">
        <f t="shared" si="1"/>
        <v>33</v>
      </c>
      <c r="U28" s="164">
        <v>89</v>
      </c>
      <c r="V28" s="38">
        <f t="shared" si="2"/>
        <v>2937</v>
      </c>
      <c r="W28" s="165">
        <v>8</v>
      </c>
      <c r="X28" s="166" t="s">
        <v>46</v>
      </c>
      <c r="Y28" s="172" t="s">
        <v>64</v>
      </c>
      <c r="Z28" s="172" t="s">
        <v>86</v>
      </c>
      <c r="AA28" s="172" t="s">
        <v>69</v>
      </c>
      <c r="AB28" s="53" t="s">
        <v>158</v>
      </c>
      <c r="AR28" s="23"/>
    </row>
    <row r="29" spans="1:48" x14ac:dyDescent="0.15">
      <c r="A29" s="158" t="s">
        <v>34</v>
      </c>
      <c r="B29" s="158" t="s">
        <v>157</v>
      </c>
      <c r="C29" s="158">
        <v>2019</v>
      </c>
      <c r="D29" s="160" t="s">
        <v>259</v>
      </c>
      <c r="E29" s="159" t="s">
        <v>210</v>
      </c>
      <c r="F29" s="158" t="s">
        <v>361</v>
      </c>
      <c r="G29" s="161" t="s">
        <v>42</v>
      </c>
      <c r="H29" s="127" t="s">
        <v>160</v>
      </c>
      <c r="I29" s="127" t="s">
        <v>159</v>
      </c>
      <c r="J29" s="127" t="s">
        <v>38</v>
      </c>
      <c r="K29" s="127" t="s">
        <v>161</v>
      </c>
      <c r="L29" s="53">
        <v>1</v>
      </c>
      <c r="N29" s="53">
        <v>1</v>
      </c>
      <c r="O29" s="53">
        <v>1</v>
      </c>
      <c r="P29" s="53">
        <v>0.85</v>
      </c>
      <c r="Q29" s="75">
        <f t="shared" si="0"/>
        <v>0.92500000000000004</v>
      </c>
      <c r="R29" s="168">
        <v>18</v>
      </c>
      <c r="S29" s="168">
        <v>116</v>
      </c>
      <c r="T29" s="16">
        <f t="shared" si="1"/>
        <v>30</v>
      </c>
      <c r="U29" s="164">
        <v>89</v>
      </c>
      <c r="V29" s="38">
        <f t="shared" si="2"/>
        <v>2670</v>
      </c>
      <c r="W29" s="165">
        <v>8</v>
      </c>
      <c r="X29" s="166" t="s">
        <v>39</v>
      </c>
      <c r="Y29" s="172" t="s">
        <v>64</v>
      </c>
      <c r="Z29" s="172" t="s">
        <v>86</v>
      </c>
      <c r="AA29" s="172" t="s">
        <v>69</v>
      </c>
      <c r="AB29" s="53" t="s">
        <v>158</v>
      </c>
      <c r="AR29" s="28"/>
    </row>
    <row r="30" spans="1:48" x14ac:dyDescent="0.15">
      <c r="A30" s="158" t="s">
        <v>34</v>
      </c>
      <c r="B30" s="158" t="s">
        <v>157</v>
      </c>
      <c r="C30" s="159">
        <v>2019</v>
      </c>
      <c r="D30" s="160" t="s">
        <v>259</v>
      </c>
      <c r="E30" s="159" t="s">
        <v>210</v>
      </c>
      <c r="F30" s="158" t="s">
        <v>361</v>
      </c>
      <c r="G30" s="161" t="s">
        <v>42</v>
      </c>
      <c r="H30" s="127" t="s">
        <v>160</v>
      </c>
      <c r="I30" s="127" t="s">
        <v>159</v>
      </c>
      <c r="J30" s="127" t="s">
        <v>38</v>
      </c>
      <c r="K30" s="127" t="s">
        <v>161</v>
      </c>
      <c r="L30" s="53">
        <v>2</v>
      </c>
      <c r="N30" s="53">
        <v>1</v>
      </c>
      <c r="O30" s="53">
        <v>0.85</v>
      </c>
      <c r="P30" s="53">
        <v>0.9</v>
      </c>
      <c r="Q30" s="75">
        <f t="shared" si="0"/>
        <v>0.875</v>
      </c>
      <c r="R30" s="168">
        <v>17.399999999999999</v>
      </c>
      <c r="S30" s="168">
        <v>117</v>
      </c>
      <c r="T30" s="16">
        <f t="shared" si="1"/>
        <v>30</v>
      </c>
      <c r="U30" s="164">
        <v>89</v>
      </c>
      <c r="V30" s="38">
        <f t="shared" si="2"/>
        <v>2670</v>
      </c>
      <c r="W30" s="165">
        <v>8</v>
      </c>
      <c r="X30" s="166" t="s">
        <v>39</v>
      </c>
      <c r="Y30" s="172" t="s">
        <v>64</v>
      </c>
      <c r="Z30" s="172" t="s">
        <v>86</v>
      </c>
      <c r="AA30" s="172" t="s">
        <v>69</v>
      </c>
      <c r="AB30" s="53" t="s">
        <v>158</v>
      </c>
    </row>
    <row r="31" spans="1:48" x14ac:dyDescent="0.15">
      <c r="A31" s="158" t="s">
        <v>34</v>
      </c>
      <c r="B31" s="158" t="s">
        <v>157</v>
      </c>
      <c r="C31" s="158">
        <v>2019</v>
      </c>
      <c r="D31" s="160" t="s">
        <v>259</v>
      </c>
      <c r="E31" s="159" t="s">
        <v>210</v>
      </c>
      <c r="F31" s="158" t="s">
        <v>361</v>
      </c>
      <c r="G31" s="161" t="s">
        <v>42</v>
      </c>
      <c r="H31" s="127" t="s">
        <v>160</v>
      </c>
      <c r="I31" s="127" t="s">
        <v>159</v>
      </c>
      <c r="J31" s="127" t="s">
        <v>38</v>
      </c>
      <c r="K31" s="127" t="s">
        <v>161</v>
      </c>
      <c r="L31" s="53">
        <v>3</v>
      </c>
      <c r="N31" s="53">
        <v>1</v>
      </c>
      <c r="O31" s="53">
        <v>0.9</v>
      </c>
      <c r="P31" s="53">
        <v>0.85</v>
      </c>
      <c r="Q31" s="75">
        <f t="shared" si="0"/>
        <v>0.875</v>
      </c>
      <c r="R31" s="168">
        <v>17.600000000000001</v>
      </c>
      <c r="S31" s="168">
        <v>122</v>
      </c>
      <c r="T31" s="16">
        <f t="shared" si="1"/>
        <v>30</v>
      </c>
      <c r="U31" s="164">
        <v>89</v>
      </c>
      <c r="V31" s="38">
        <f t="shared" si="2"/>
        <v>2670</v>
      </c>
      <c r="W31" s="165">
        <v>8</v>
      </c>
      <c r="X31" s="166" t="s">
        <v>39</v>
      </c>
      <c r="Y31" s="172" t="s">
        <v>64</v>
      </c>
      <c r="Z31" s="172" t="s">
        <v>86</v>
      </c>
      <c r="AA31" s="172" t="s">
        <v>69</v>
      </c>
      <c r="AB31" s="53" t="s">
        <v>158</v>
      </c>
    </row>
    <row r="32" spans="1:48" ht="14.25" customHeight="1" x14ac:dyDescent="0.15">
      <c r="A32" s="158" t="s">
        <v>34</v>
      </c>
      <c r="B32" s="158" t="s">
        <v>157</v>
      </c>
      <c r="C32" s="159">
        <v>2019</v>
      </c>
      <c r="D32" s="160" t="s">
        <v>259</v>
      </c>
      <c r="E32" s="159" t="s">
        <v>267</v>
      </c>
      <c r="F32" s="158" t="s">
        <v>361</v>
      </c>
      <c r="G32" s="161" t="s">
        <v>42</v>
      </c>
      <c r="H32" s="127" t="s">
        <v>164</v>
      </c>
      <c r="I32" s="127" t="s">
        <v>159</v>
      </c>
      <c r="J32" s="127" t="s">
        <v>38</v>
      </c>
      <c r="K32" s="127" t="s">
        <v>161</v>
      </c>
      <c r="L32" s="53">
        <v>1</v>
      </c>
      <c r="N32" s="53">
        <v>5</v>
      </c>
      <c r="O32" s="53">
        <v>0.75</v>
      </c>
      <c r="P32" s="53">
        <v>0.7</v>
      </c>
      <c r="Q32" s="75">
        <f t="shared" si="0"/>
        <v>0.72499999999999998</v>
      </c>
      <c r="R32" s="168">
        <v>14.6</v>
      </c>
      <c r="S32" s="168">
        <v>77</v>
      </c>
      <c r="T32" s="16">
        <f t="shared" si="1"/>
        <v>39</v>
      </c>
      <c r="U32" s="164">
        <v>298</v>
      </c>
      <c r="V32" s="38">
        <f t="shared" si="2"/>
        <v>2324.4</v>
      </c>
      <c r="W32" s="165">
        <v>10</v>
      </c>
      <c r="X32" s="166" t="s">
        <v>39</v>
      </c>
      <c r="Y32" s="172" t="s">
        <v>97</v>
      </c>
      <c r="Z32" s="172" t="s">
        <v>69</v>
      </c>
      <c r="AA32" s="172" t="s">
        <v>64</v>
      </c>
      <c r="AB32" s="53" t="s">
        <v>158</v>
      </c>
    </row>
    <row r="33" spans="1:28" x14ac:dyDescent="0.15">
      <c r="A33" s="158" t="s">
        <v>34</v>
      </c>
      <c r="B33" s="158" t="s">
        <v>157</v>
      </c>
      <c r="C33" s="158">
        <v>2019</v>
      </c>
      <c r="D33" s="160" t="s">
        <v>259</v>
      </c>
      <c r="E33" s="159" t="s">
        <v>267</v>
      </c>
      <c r="F33" s="158" t="s">
        <v>361</v>
      </c>
      <c r="G33" s="161" t="s">
        <v>42</v>
      </c>
      <c r="H33" s="127" t="s">
        <v>164</v>
      </c>
      <c r="I33" s="127" t="s">
        <v>159</v>
      </c>
      <c r="J33" s="127" t="s">
        <v>38</v>
      </c>
      <c r="K33" s="127" t="s">
        <v>161</v>
      </c>
      <c r="L33" s="53">
        <v>2</v>
      </c>
      <c r="N33" s="53">
        <v>5</v>
      </c>
      <c r="O33" s="53">
        <v>0.6</v>
      </c>
      <c r="P33" s="53">
        <v>0.55000000000000004</v>
      </c>
      <c r="Q33" s="75">
        <f t="shared" si="0"/>
        <v>0.57499999999999996</v>
      </c>
      <c r="R33" s="168">
        <v>15.2</v>
      </c>
      <c r="S33" s="168">
        <v>76</v>
      </c>
      <c r="T33" s="16">
        <f t="shared" si="1"/>
        <v>39</v>
      </c>
      <c r="U33" s="164">
        <v>298</v>
      </c>
      <c r="V33" s="38">
        <f t="shared" si="2"/>
        <v>2324.4</v>
      </c>
      <c r="W33" s="165">
        <v>10</v>
      </c>
      <c r="X33" s="166" t="s">
        <v>39</v>
      </c>
      <c r="Y33" s="172" t="s">
        <v>97</v>
      </c>
      <c r="Z33" s="172" t="s">
        <v>69</v>
      </c>
      <c r="AA33" s="172" t="s">
        <v>64</v>
      </c>
      <c r="AB33" s="53" t="s">
        <v>158</v>
      </c>
    </row>
    <row r="34" spans="1:28" x14ac:dyDescent="0.15">
      <c r="A34" s="158" t="s">
        <v>34</v>
      </c>
      <c r="B34" s="158" t="s">
        <v>157</v>
      </c>
      <c r="C34" s="159">
        <v>2019</v>
      </c>
      <c r="D34" s="160" t="s">
        <v>259</v>
      </c>
      <c r="E34" s="159" t="s">
        <v>267</v>
      </c>
      <c r="F34" s="158" t="s">
        <v>361</v>
      </c>
      <c r="G34" s="161" t="s">
        <v>42</v>
      </c>
      <c r="H34" s="127" t="s">
        <v>164</v>
      </c>
      <c r="I34" s="127" t="s">
        <v>159</v>
      </c>
      <c r="J34" s="127" t="s">
        <v>38</v>
      </c>
      <c r="K34" s="127" t="s">
        <v>161</v>
      </c>
      <c r="L34" s="53">
        <v>3</v>
      </c>
      <c r="N34" s="53">
        <v>5</v>
      </c>
      <c r="O34" s="53">
        <v>0.65</v>
      </c>
      <c r="P34" s="34">
        <v>0.6</v>
      </c>
      <c r="Q34" s="75">
        <f t="shared" si="0"/>
        <v>0.625</v>
      </c>
      <c r="R34" s="168">
        <v>14.8</v>
      </c>
      <c r="S34" s="168">
        <v>83</v>
      </c>
      <c r="T34" s="16">
        <f t="shared" si="1"/>
        <v>39</v>
      </c>
      <c r="U34" s="164">
        <v>298</v>
      </c>
      <c r="V34" s="38">
        <f t="shared" si="2"/>
        <v>2324.4</v>
      </c>
      <c r="W34" s="165">
        <v>10</v>
      </c>
      <c r="X34" s="166" t="s">
        <v>39</v>
      </c>
      <c r="Y34" s="172" t="s">
        <v>97</v>
      </c>
      <c r="Z34" s="172" t="s">
        <v>69</v>
      </c>
      <c r="AA34" s="172" t="s">
        <v>64</v>
      </c>
      <c r="AB34" s="53" t="s">
        <v>158</v>
      </c>
    </row>
    <row r="35" spans="1:28" x14ac:dyDescent="0.15">
      <c r="A35" s="158" t="s">
        <v>34</v>
      </c>
      <c r="B35" s="158" t="s">
        <v>157</v>
      </c>
      <c r="C35" s="158">
        <v>2019</v>
      </c>
      <c r="D35" s="160" t="s">
        <v>259</v>
      </c>
      <c r="E35" s="159" t="s">
        <v>267</v>
      </c>
      <c r="F35" s="158" t="s">
        <v>361</v>
      </c>
      <c r="G35" s="161" t="s">
        <v>42</v>
      </c>
      <c r="H35" s="127" t="s">
        <v>160</v>
      </c>
      <c r="I35" s="127" t="s">
        <v>159</v>
      </c>
      <c r="J35" s="127" t="s">
        <v>38</v>
      </c>
      <c r="K35" s="127" t="s">
        <v>161</v>
      </c>
      <c r="L35" s="53">
        <v>1</v>
      </c>
      <c r="N35" s="53">
        <v>4</v>
      </c>
      <c r="O35" s="53">
        <v>0.45</v>
      </c>
      <c r="P35" s="53">
        <v>0.5</v>
      </c>
      <c r="Q35" s="75">
        <f t="shared" si="0"/>
        <v>0.47499999999999998</v>
      </c>
      <c r="R35" s="168">
        <v>17.3</v>
      </c>
      <c r="S35" s="168">
        <v>91</v>
      </c>
      <c r="T35" s="16">
        <f t="shared" si="1"/>
        <v>36</v>
      </c>
      <c r="U35" s="164">
        <v>480</v>
      </c>
      <c r="V35" s="38">
        <f t="shared" si="2"/>
        <v>4320</v>
      </c>
      <c r="W35" s="165">
        <v>10</v>
      </c>
      <c r="X35" s="166" t="s">
        <v>39</v>
      </c>
      <c r="Y35" s="172" t="s">
        <v>97</v>
      </c>
      <c r="Z35" s="172" t="s">
        <v>69</v>
      </c>
      <c r="AA35" s="172" t="s">
        <v>64</v>
      </c>
      <c r="AB35" s="53" t="s">
        <v>158</v>
      </c>
    </row>
    <row r="36" spans="1:28" x14ac:dyDescent="0.15">
      <c r="A36" s="158" t="s">
        <v>34</v>
      </c>
      <c r="B36" s="158" t="s">
        <v>157</v>
      </c>
      <c r="C36" s="159">
        <v>2019</v>
      </c>
      <c r="D36" s="160" t="s">
        <v>259</v>
      </c>
      <c r="E36" s="159" t="s">
        <v>267</v>
      </c>
      <c r="F36" s="158" t="s">
        <v>361</v>
      </c>
      <c r="G36" s="161" t="s">
        <v>42</v>
      </c>
      <c r="H36" s="127" t="s">
        <v>160</v>
      </c>
      <c r="I36" s="127" t="s">
        <v>159</v>
      </c>
      <c r="J36" s="127" t="s">
        <v>38</v>
      </c>
      <c r="K36" s="127" t="s">
        <v>161</v>
      </c>
      <c r="L36" s="53">
        <v>2</v>
      </c>
      <c r="N36" s="53">
        <v>4</v>
      </c>
      <c r="O36" s="53">
        <v>0.5</v>
      </c>
      <c r="P36" s="53">
        <v>0.45</v>
      </c>
      <c r="Q36" s="75">
        <f t="shared" si="0"/>
        <v>0.47499999999999998</v>
      </c>
      <c r="R36" s="168">
        <v>17.600000000000001</v>
      </c>
      <c r="S36" s="168">
        <v>89</v>
      </c>
      <c r="T36" s="16">
        <f t="shared" si="1"/>
        <v>36</v>
      </c>
      <c r="U36" s="164">
        <v>480</v>
      </c>
      <c r="V36" s="38">
        <f t="shared" si="2"/>
        <v>4320</v>
      </c>
      <c r="W36" s="165">
        <v>10</v>
      </c>
      <c r="X36" s="166" t="s">
        <v>39</v>
      </c>
      <c r="Y36" s="172" t="s">
        <v>97</v>
      </c>
      <c r="Z36" s="172" t="s">
        <v>69</v>
      </c>
      <c r="AA36" s="172" t="s">
        <v>64</v>
      </c>
      <c r="AB36" s="53" t="s">
        <v>158</v>
      </c>
    </row>
    <row r="37" spans="1:28" x14ac:dyDescent="0.15">
      <c r="A37" s="158" t="s">
        <v>34</v>
      </c>
      <c r="B37" s="158" t="s">
        <v>157</v>
      </c>
      <c r="C37" s="158">
        <v>2019</v>
      </c>
      <c r="D37" s="160" t="s">
        <v>259</v>
      </c>
      <c r="E37" s="159" t="s">
        <v>267</v>
      </c>
      <c r="F37" s="158" t="s">
        <v>361</v>
      </c>
      <c r="G37" s="161" t="s">
        <v>42</v>
      </c>
      <c r="H37" s="127" t="s">
        <v>160</v>
      </c>
      <c r="I37" s="127" t="s">
        <v>159</v>
      </c>
      <c r="J37" s="127" t="s">
        <v>38</v>
      </c>
      <c r="K37" s="127" t="s">
        <v>161</v>
      </c>
      <c r="L37" s="53">
        <v>3</v>
      </c>
      <c r="N37" s="53">
        <v>4</v>
      </c>
      <c r="O37" s="53">
        <v>0.45</v>
      </c>
      <c r="P37" s="53">
        <v>0.5</v>
      </c>
      <c r="Q37" s="75">
        <f t="shared" si="0"/>
        <v>0.47499999999999998</v>
      </c>
      <c r="R37" s="168">
        <v>17.7</v>
      </c>
      <c r="S37" s="168">
        <v>93</v>
      </c>
      <c r="T37" s="16">
        <f t="shared" si="1"/>
        <v>36</v>
      </c>
      <c r="U37" s="164">
        <v>480</v>
      </c>
      <c r="V37" s="38">
        <f t="shared" si="2"/>
        <v>4320</v>
      </c>
      <c r="W37" s="165">
        <v>10</v>
      </c>
      <c r="X37" s="166" t="s">
        <v>39</v>
      </c>
      <c r="Y37" s="172" t="s">
        <v>97</v>
      </c>
      <c r="Z37" s="172" t="s">
        <v>69</v>
      </c>
      <c r="AA37" s="172" t="s">
        <v>64</v>
      </c>
      <c r="AB37" s="53" t="s">
        <v>158</v>
      </c>
    </row>
    <row r="38" spans="1:28" x14ac:dyDescent="0.15">
      <c r="A38" s="158" t="s">
        <v>34</v>
      </c>
      <c r="B38" s="158" t="s">
        <v>157</v>
      </c>
      <c r="C38" s="159">
        <v>2019</v>
      </c>
      <c r="D38" s="160" t="s">
        <v>259</v>
      </c>
      <c r="E38" s="159" t="s">
        <v>210</v>
      </c>
      <c r="F38" s="158" t="s">
        <v>363</v>
      </c>
      <c r="G38" s="161" t="s">
        <v>42</v>
      </c>
      <c r="H38" s="127" t="s">
        <v>164</v>
      </c>
      <c r="I38" s="127" t="s">
        <v>159</v>
      </c>
      <c r="J38" s="127" t="s">
        <v>38</v>
      </c>
      <c r="K38" s="127" t="s">
        <v>161</v>
      </c>
      <c r="L38" s="53">
        <v>1</v>
      </c>
      <c r="N38" s="53">
        <v>1</v>
      </c>
      <c r="O38" s="53">
        <v>0.65</v>
      </c>
      <c r="P38" s="53">
        <v>0.7</v>
      </c>
      <c r="Q38" s="75">
        <f t="shared" si="0"/>
        <v>0.67500000000000004</v>
      </c>
      <c r="R38" s="168">
        <v>14.8</v>
      </c>
      <c r="S38" s="168">
        <v>114</v>
      </c>
      <c r="T38" s="16">
        <f t="shared" si="1"/>
        <v>30</v>
      </c>
      <c r="U38" s="164">
        <v>89</v>
      </c>
      <c r="V38" s="38">
        <f t="shared" si="2"/>
        <v>2670</v>
      </c>
      <c r="W38" s="165">
        <v>8</v>
      </c>
      <c r="X38" s="166" t="s">
        <v>46</v>
      </c>
      <c r="Y38" s="172" t="s">
        <v>64</v>
      </c>
      <c r="Z38" s="172" t="s">
        <v>86</v>
      </c>
      <c r="AA38" s="172" t="s">
        <v>97</v>
      </c>
      <c r="AB38" s="53" t="s">
        <v>158</v>
      </c>
    </row>
    <row r="39" spans="1:28" x14ac:dyDescent="0.15">
      <c r="A39" s="158" t="s">
        <v>34</v>
      </c>
      <c r="B39" s="158" t="s">
        <v>157</v>
      </c>
      <c r="C39" s="158">
        <v>2019</v>
      </c>
      <c r="D39" s="160" t="s">
        <v>259</v>
      </c>
      <c r="E39" s="159" t="s">
        <v>210</v>
      </c>
      <c r="F39" s="158" t="s">
        <v>363</v>
      </c>
      <c r="G39" s="161" t="s">
        <v>42</v>
      </c>
      <c r="H39" s="127" t="s">
        <v>164</v>
      </c>
      <c r="I39" s="127" t="s">
        <v>159</v>
      </c>
      <c r="J39" s="127" t="s">
        <v>38</v>
      </c>
      <c r="K39" s="127" t="s">
        <v>161</v>
      </c>
      <c r="L39" s="53">
        <v>2</v>
      </c>
      <c r="N39" s="53">
        <v>1</v>
      </c>
      <c r="O39" s="53">
        <v>0.6</v>
      </c>
      <c r="P39" s="53">
        <v>0.7</v>
      </c>
      <c r="Q39" s="75">
        <f t="shared" si="0"/>
        <v>0.64999999999999991</v>
      </c>
      <c r="R39" s="168">
        <v>15</v>
      </c>
      <c r="S39" s="168">
        <v>110</v>
      </c>
      <c r="T39" s="16">
        <f t="shared" si="1"/>
        <v>33</v>
      </c>
      <c r="U39" s="164">
        <v>89</v>
      </c>
      <c r="V39" s="38">
        <f t="shared" si="2"/>
        <v>2937</v>
      </c>
      <c r="W39" s="165">
        <v>8</v>
      </c>
      <c r="X39" s="166" t="s">
        <v>46</v>
      </c>
      <c r="Y39" s="172" t="s">
        <v>64</v>
      </c>
      <c r="Z39" s="172" t="s">
        <v>86</v>
      </c>
      <c r="AA39" s="172" t="s">
        <v>97</v>
      </c>
      <c r="AB39" s="53" t="s">
        <v>158</v>
      </c>
    </row>
    <row r="40" spans="1:28" ht="12.75" customHeight="1" x14ac:dyDescent="0.15">
      <c r="A40" s="158" t="s">
        <v>34</v>
      </c>
      <c r="B40" s="158" t="s">
        <v>157</v>
      </c>
      <c r="C40" s="159">
        <v>2019</v>
      </c>
      <c r="D40" s="160" t="s">
        <v>259</v>
      </c>
      <c r="E40" s="159" t="s">
        <v>210</v>
      </c>
      <c r="F40" s="158" t="s">
        <v>363</v>
      </c>
      <c r="G40" s="161" t="s">
        <v>42</v>
      </c>
      <c r="H40" s="127" t="s">
        <v>164</v>
      </c>
      <c r="I40" s="127" t="s">
        <v>159</v>
      </c>
      <c r="J40" s="127" t="s">
        <v>38</v>
      </c>
      <c r="K40" s="127" t="s">
        <v>161</v>
      </c>
      <c r="L40" s="53">
        <v>3</v>
      </c>
      <c r="N40" s="53">
        <v>1</v>
      </c>
      <c r="O40" s="53">
        <v>0.65</v>
      </c>
      <c r="P40" s="53">
        <v>0.65</v>
      </c>
      <c r="Q40" s="75">
        <f t="shared" si="0"/>
        <v>0.65</v>
      </c>
      <c r="R40" s="168">
        <v>15.3</v>
      </c>
      <c r="S40" s="168">
        <v>109</v>
      </c>
      <c r="T40" s="16">
        <f t="shared" si="1"/>
        <v>33</v>
      </c>
      <c r="U40" s="164">
        <v>89</v>
      </c>
      <c r="V40" s="38">
        <f t="shared" si="2"/>
        <v>2937</v>
      </c>
      <c r="W40" s="165">
        <v>8</v>
      </c>
      <c r="X40" s="166" t="s">
        <v>46</v>
      </c>
      <c r="Y40" s="172" t="s">
        <v>64</v>
      </c>
      <c r="Z40" s="172" t="s">
        <v>86</v>
      </c>
      <c r="AA40" s="172" t="s">
        <v>97</v>
      </c>
      <c r="AB40" s="53" t="s">
        <v>158</v>
      </c>
    </row>
    <row r="41" spans="1:28" ht="12.75" customHeight="1" x14ac:dyDescent="0.15">
      <c r="A41" s="127" t="s">
        <v>34</v>
      </c>
      <c r="B41" s="158" t="s">
        <v>157</v>
      </c>
      <c r="C41" s="159">
        <v>2019</v>
      </c>
      <c r="D41" s="160" t="s">
        <v>259</v>
      </c>
      <c r="E41" s="159" t="s">
        <v>210</v>
      </c>
      <c r="F41" s="158" t="s">
        <v>363</v>
      </c>
      <c r="G41" s="161" t="s">
        <v>42</v>
      </c>
      <c r="H41" s="127" t="s">
        <v>160</v>
      </c>
      <c r="I41" s="127" t="s">
        <v>159</v>
      </c>
      <c r="J41" s="127" t="s">
        <v>38</v>
      </c>
      <c r="K41" s="127" t="s">
        <v>161</v>
      </c>
      <c r="L41" s="53">
        <v>1</v>
      </c>
      <c r="N41" s="53">
        <v>1</v>
      </c>
      <c r="O41" s="53">
        <v>0.85</v>
      </c>
      <c r="P41" s="53">
        <v>0.9</v>
      </c>
      <c r="Q41" s="75">
        <f t="shared" si="0"/>
        <v>0.875</v>
      </c>
      <c r="R41" s="168">
        <v>18.2</v>
      </c>
      <c r="S41" s="168">
        <v>118</v>
      </c>
      <c r="T41" s="16">
        <f t="shared" si="1"/>
        <v>30</v>
      </c>
      <c r="U41" s="164">
        <v>89</v>
      </c>
      <c r="V41" s="38">
        <f t="shared" si="2"/>
        <v>2670</v>
      </c>
      <c r="W41" s="53">
        <v>8</v>
      </c>
      <c r="X41" s="166" t="s">
        <v>46</v>
      </c>
      <c r="Y41" s="173" t="s">
        <v>64</v>
      </c>
      <c r="Z41" s="173" t="s">
        <v>86</v>
      </c>
      <c r="AA41" s="173" t="s">
        <v>97</v>
      </c>
      <c r="AB41" s="53" t="s">
        <v>158</v>
      </c>
    </row>
    <row r="42" spans="1:28" ht="12.75" customHeight="1" x14ac:dyDescent="0.15">
      <c r="A42" s="127" t="s">
        <v>34</v>
      </c>
      <c r="B42" s="158" t="s">
        <v>157</v>
      </c>
      <c r="C42" s="159">
        <v>2019</v>
      </c>
      <c r="D42" s="160" t="s">
        <v>259</v>
      </c>
      <c r="E42" s="159" t="s">
        <v>210</v>
      </c>
      <c r="F42" s="158" t="s">
        <v>363</v>
      </c>
      <c r="G42" s="161" t="s">
        <v>42</v>
      </c>
      <c r="H42" s="127" t="s">
        <v>160</v>
      </c>
      <c r="I42" s="127" t="s">
        <v>159</v>
      </c>
      <c r="J42" s="127" t="s">
        <v>38</v>
      </c>
      <c r="K42" s="127" t="s">
        <v>161</v>
      </c>
      <c r="L42" s="53">
        <v>2</v>
      </c>
      <c r="N42" s="53">
        <v>1</v>
      </c>
      <c r="O42" s="53">
        <v>0.9</v>
      </c>
      <c r="P42" s="53">
        <v>0.85</v>
      </c>
      <c r="Q42" s="75">
        <f t="shared" si="0"/>
        <v>0.875</v>
      </c>
      <c r="R42" s="168">
        <v>17.7</v>
      </c>
      <c r="S42" s="168">
        <v>124</v>
      </c>
      <c r="T42" s="16">
        <f t="shared" si="1"/>
        <v>30</v>
      </c>
      <c r="U42" s="164">
        <v>89</v>
      </c>
      <c r="V42" s="38">
        <f t="shared" si="2"/>
        <v>2670</v>
      </c>
      <c r="W42" s="53">
        <v>8</v>
      </c>
      <c r="X42" s="166" t="s">
        <v>46</v>
      </c>
      <c r="Y42" s="173" t="s">
        <v>64</v>
      </c>
      <c r="Z42" s="173" t="s">
        <v>86</v>
      </c>
      <c r="AA42" s="173" t="s">
        <v>97</v>
      </c>
      <c r="AB42" s="53" t="s">
        <v>158</v>
      </c>
    </row>
    <row r="43" spans="1:28" ht="12.75" customHeight="1" x14ac:dyDescent="0.15">
      <c r="A43" s="127" t="s">
        <v>34</v>
      </c>
      <c r="B43" s="158" t="s">
        <v>157</v>
      </c>
      <c r="C43" s="159">
        <v>2019</v>
      </c>
      <c r="D43" s="160" t="s">
        <v>259</v>
      </c>
      <c r="E43" s="159" t="s">
        <v>210</v>
      </c>
      <c r="F43" s="158" t="s">
        <v>363</v>
      </c>
      <c r="G43" s="161" t="s">
        <v>42</v>
      </c>
      <c r="H43" s="127" t="s">
        <v>160</v>
      </c>
      <c r="I43" s="127" t="s">
        <v>159</v>
      </c>
      <c r="J43" s="127" t="s">
        <v>38</v>
      </c>
      <c r="K43" s="127" t="s">
        <v>161</v>
      </c>
      <c r="L43" s="53">
        <v>3</v>
      </c>
      <c r="N43" s="53">
        <v>1</v>
      </c>
      <c r="O43" s="53">
        <v>0.85</v>
      </c>
      <c r="P43" s="53">
        <v>0.9</v>
      </c>
      <c r="Q43" s="75">
        <f t="shared" si="0"/>
        <v>0.875</v>
      </c>
      <c r="R43" s="168">
        <v>17.600000000000001</v>
      </c>
      <c r="S43" s="168">
        <v>118</v>
      </c>
      <c r="T43" s="16">
        <f t="shared" si="1"/>
        <v>30</v>
      </c>
      <c r="U43" s="164">
        <v>89</v>
      </c>
      <c r="V43" s="38">
        <f t="shared" si="2"/>
        <v>2670</v>
      </c>
      <c r="W43" s="53">
        <v>8</v>
      </c>
      <c r="X43" s="166" t="s">
        <v>46</v>
      </c>
      <c r="Y43" s="173" t="s">
        <v>64</v>
      </c>
      <c r="Z43" s="173" t="s">
        <v>86</v>
      </c>
      <c r="AA43" s="173" t="s">
        <v>97</v>
      </c>
      <c r="AB43" s="53" t="s">
        <v>158</v>
      </c>
    </row>
    <row r="44" spans="1:28" x14ac:dyDescent="0.15">
      <c r="A44" s="53" t="s">
        <v>34</v>
      </c>
      <c r="B44" s="158" t="s">
        <v>157</v>
      </c>
      <c r="C44" s="159">
        <v>2019</v>
      </c>
      <c r="D44" s="160" t="s">
        <v>259</v>
      </c>
      <c r="E44" s="159" t="s">
        <v>139</v>
      </c>
      <c r="F44" s="158" t="s">
        <v>363</v>
      </c>
      <c r="G44" s="161" t="s">
        <v>36</v>
      </c>
      <c r="H44" s="127" t="s">
        <v>164</v>
      </c>
      <c r="I44" s="127" t="s">
        <v>159</v>
      </c>
      <c r="J44" s="53" t="s">
        <v>38</v>
      </c>
      <c r="K44" s="127" t="s">
        <v>161</v>
      </c>
      <c r="L44" s="53">
        <v>1</v>
      </c>
      <c r="N44" s="53">
        <v>1</v>
      </c>
      <c r="O44" s="53">
        <v>0.8</v>
      </c>
      <c r="P44" s="53">
        <v>0.7</v>
      </c>
      <c r="Q44" s="75">
        <f t="shared" si="0"/>
        <v>0.75</v>
      </c>
      <c r="R44" s="168">
        <v>16.3</v>
      </c>
      <c r="S44" s="168">
        <v>112</v>
      </c>
      <c r="T44" s="16">
        <f t="shared" si="1"/>
        <v>33</v>
      </c>
      <c r="U44" s="164">
        <v>100</v>
      </c>
      <c r="V44" s="16">
        <f t="shared" si="2"/>
        <v>3300</v>
      </c>
      <c r="W44" s="53">
        <v>18</v>
      </c>
      <c r="X44" s="166" t="s">
        <v>46</v>
      </c>
      <c r="Y44" s="173" t="s">
        <v>64</v>
      </c>
      <c r="Z44" s="173" t="s">
        <v>97</v>
      </c>
      <c r="AA44" s="173" t="s">
        <v>86</v>
      </c>
      <c r="AB44" s="53" t="s">
        <v>158</v>
      </c>
    </row>
    <row r="45" spans="1:28" x14ac:dyDescent="0.15">
      <c r="A45" s="53" t="s">
        <v>34</v>
      </c>
      <c r="B45" s="158" t="s">
        <v>157</v>
      </c>
      <c r="C45" s="158">
        <v>2019</v>
      </c>
      <c r="D45" s="160" t="s">
        <v>259</v>
      </c>
      <c r="E45" s="159" t="s">
        <v>139</v>
      </c>
      <c r="F45" s="158" t="s">
        <v>363</v>
      </c>
      <c r="G45" s="161" t="s">
        <v>36</v>
      </c>
      <c r="H45" s="127" t="s">
        <v>164</v>
      </c>
      <c r="I45" s="127" t="s">
        <v>159</v>
      </c>
      <c r="J45" s="53" t="s">
        <v>38</v>
      </c>
      <c r="K45" s="127" t="s">
        <v>161</v>
      </c>
      <c r="L45" s="53">
        <v>2</v>
      </c>
      <c r="N45" s="53">
        <v>1</v>
      </c>
      <c r="O45" s="53">
        <v>0.7</v>
      </c>
      <c r="P45" s="53">
        <v>0.75</v>
      </c>
      <c r="Q45" s="75">
        <f t="shared" si="0"/>
        <v>0.72499999999999998</v>
      </c>
      <c r="R45" s="168">
        <v>15.6</v>
      </c>
      <c r="S45" s="168">
        <v>107</v>
      </c>
      <c r="T45" s="16">
        <f t="shared" si="1"/>
        <v>33</v>
      </c>
      <c r="U45" s="164">
        <v>100</v>
      </c>
      <c r="V45" s="16">
        <f t="shared" si="2"/>
        <v>3300</v>
      </c>
      <c r="W45" s="53">
        <v>18</v>
      </c>
      <c r="X45" s="166" t="s">
        <v>46</v>
      </c>
      <c r="Y45" s="173" t="s">
        <v>64</v>
      </c>
      <c r="Z45" s="173" t="s">
        <v>97</v>
      </c>
      <c r="AA45" s="173" t="s">
        <v>86</v>
      </c>
      <c r="AB45" s="53" t="s">
        <v>158</v>
      </c>
    </row>
    <row r="46" spans="1:28" x14ac:dyDescent="0.15">
      <c r="A46" s="53" t="s">
        <v>34</v>
      </c>
      <c r="B46" s="158" t="s">
        <v>157</v>
      </c>
      <c r="C46" s="159">
        <v>2019</v>
      </c>
      <c r="D46" s="160" t="s">
        <v>259</v>
      </c>
      <c r="E46" s="159" t="s">
        <v>139</v>
      </c>
      <c r="F46" s="158" t="s">
        <v>363</v>
      </c>
      <c r="G46" s="161" t="s">
        <v>36</v>
      </c>
      <c r="H46" s="127" t="s">
        <v>164</v>
      </c>
      <c r="I46" s="127" t="s">
        <v>159</v>
      </c>
      <c r="J46" s="53" t="s">
        <v>38</v>
      </c>
      <c r="K46" s="127" t="s">
        <v>161</v>
      </c>
      <c r="L46" s="53">
        <v>3</v>
      </c>
      <c r="N46" s="53">
        <v>1</v>
      </c>
      <c r="O46" s="53">
        <v>0.7</v>
      </c>
      <c r="P46" s="53">
        <v>0.8</v>
      </c>
      <c r="Q46" s="75">
        <f t="shared" si="0"/>
        <v>0.75</v>
      </c>
      <c r="R46" s="168">
        <v>15.8</v>
      </c>
      <c r="S46" s="168">
        <v>110</v>
      </c>
      <c r="T46" s="16">
        <f t="shared" si="1"/>
        <v>33</v>
      </c>
      <c r="U46" s="164">
        <v>100</v>
      </c>
      <c r="V46" s="16">
        <f t="shared" si="2"/>
        <v>3300</v>
      </c>
      <c r="W46" s="53">
        <v>18</v>
      </c>
      <c r="X46" s="166" t="s">
        <v>46</v>
      </c>
      <c r="Y46" s="173" t="s">
        <v>64</v>
      </c>
      <c r="Z46" s="173" t="s">
        <v>97</v>
      </c>
      <c r="AA46" s="173" t="s">
        <v>86</v>
      </c>
      <c r="AB46" s="53" t="s">
        <v>158</v>
      </c>
    </row>
    <row r="47" spans="1:28" x14ac:dyDescent="0.15">
      <c r="A47" s="53" t="s">
        <v>34</v>
      </c>
      <c r="B47" s="34" t="s">
        <v>157</v>
      </c>
      <c r="C47" s="53">
        <v>2019</v>
      </c>
      <c r="D47" s="174" t="s">
        <v>259</v>
      </c>
      <c r="E47" s="53" t="s">
        <v>139</v>
      </c>
      <c r="F47" s="158" t="s">
        <v>363</v>
      </c>
      <c r="G47" s="161" t="s">
        <v>36</v>
      </c>
      <c r="H47" s="127" t="s">
        <v>160</v>
      </c>
      <c r="I47" s="127" t="s">
        <v>159</v>
      </c>
      <c r="J47" s="53" t="s">
        <v>38</v>
      </c>
      <c r="K47" s="127" t="s">
        <v>161</v>
      </c>
      <c r="L47" s="53">
        <v>1</v>
      </c>
      <c r="N47" s="53">
        <v>1</v>
      </c>
      <c r="O47" s="53">
        <v>0.65</v>
      </c>
      <c r="P47" s="53">
        <v>0.6</v>
      </c>
      <c r="Q47" s="75">
        <f t="shared" si="0"/>
        <v>0.625</v>
      </c>
      <c r="R47" s="168">
        <v>16.600000000000001</v>
      </c>
      <c r="S47" s="168">
        <v>116</v>
      </c>
      <c r="T47" s="16">
        <f t="shared" si="1"/>
        <v>30</v>
      </c>
      <c r="U47" s="53">
        <v>149</v>
      </c>
      <c r="V47" s="16">
        <f t="shared" si="2"/>
        <v>4470</v>
      </c>
      <c r="W47" s="53">
        <v>18</v>
      </c>
      <c r="X47" s="166" t="s">
        <v>46</v>
      </c>
      <c r="Y47" s="53" t="s">
        <v>64</v>
      </c>
      <c r="Z47" s="53" t="s">
        <v>97</v>
      </c>
      <c r="AA47" s="53" t="s">
        <v>86</v>
      </c>
      <c r="AB47" s="53" t="s">
        <v>158</v>
      </c>
    </row>
    <row r="48" spans="1:28" x14ac:dyDescent="0.15">
      <c r="A48" s="53" t="s">
        <v>34</v>
      </c>
      <c r="B48" s="34" t="s">
        <v>157</v>
      </c>
      <c r="C48" s="53">
        <v>2019</v>
      </c>
      <c r="D48" s="174" t="s">
        <v>259</v>
      </c>
      <c r="E48" s="53" t="s">
        <v>139</v>
      </c>
      <c r="F48" s="158" t="s">
        <v>363</v>
      </c>
      <c r="G48" s="161" t="s">
        <v>36</v>
      </c>
      <c r="H48" s="127" t="s">
        <v>160</v>
      </c>
      <c r="I48" s="127" t="s">
        <v>159</v>
      </c>
      <c r="J48" s="53" t="s">
        <v>38</v>
      </c>
      <c r="K48" s="127" t="s">
        <v>161</v>
      </c>
      <c r="L48" s="53">
        <v>2</v>
      </c>
      <c r="N48" s="53">
        <v>1</v>
      </c>
      <c r="O48" s="53">
        <v>0.7</v>
      </c>
      <c r="P48" s="53">
        <v>0.65</v>
      </c>
      <c r="Q48" s="75">
        <f t="shared" si="0"/>
        <v>0.67500000000000004</v>
      </c>
      <c r="R48" s="168">
        <v>16.3</v>
      </c>
      <c r="S48" s="168">
        <v>142</v>
      </c>
      <c r="T48" s="16">
        <f t="shared" si="1"/>
        <v>30</v>
      </c>
      <c r="U48" s="53">
        <v>149</v>
      </c>
      <c r="V48" s="16">
        <f t="shared" si="2"/>
        <v>4470</v>
      </c>
      <c r="W48" s="53">
        <v>18</v>
      </c>
      <c r="X48" s="166" t="s">
        <v>46</v>
      </c>
      <c r="Y48" s="53" t="s">
        <v>64</v>
      </c>
      <c r="Z48" s="53" t="s">
        <v>97</v>
      </c>
      <c r="AA48" s="53" t="s">
        <v>86</v>
      </c>
      <c r="AB48" s="53" t="s">
        <v>158</v>
      </c>
    </row>
    <row r="49" spans="1:28" x14ac:dyDescent="0.15">
      <c r="A49" s="53" t="s">
        <v>34</v>
      </c>
      <c r="B49" s="34" t="s">
        <v>157</v>
      </c>
      <c r="C49" s="53">
        <v>2019</v>
      </c>
      <c r="D49" s="174" t="s">
        <v>259</v>
      </c>
      <c r="E49" s="53" t="s">
        <v>139</v>
      </c>
      <c r="F49" s="158" t="s">
        <v>363</v>
      </c>
      <c r="G49" s="161" t="s">
        <v>36</v>
      </c>
      <c r="H49" s="127" t="s">
        <v>160</v>
      </c>
      <c r="I49" s="127" t="s">
        <v>159</v>
      </c>
      <c r="J49" s="53" t="s">
        <v>38</v>
      </c>
      <c r="K49" s="127" t="s">
        <v>161</v>
      </c>
      <c r="L49" s="53">
        <v>3</v>
      </c>
      <c r="N49" s="53">
        <v>1</v>
      </c>
      <c r="O49" s="53">
        <v>0.6</v>
      </c>
      <c r="P49" s="53">
        <v>0.55000000000000004</v>
      </c>
      <c r="Q49" s="75">
        <f t="shared" si="0"/>
        <v>0.57499999999999996</v>
      </c>
      <c r="R49" s="168">
        <v>16.2</v>
      </c>
      <c r="S49" s="168">
        <v>146</v>
      </c>
      <c r="T49" s="16">
        <f t="shared" si="1"/>
        <v>30</v>
      </c>
      <c r="U49" s="53">
        <v>149</v>
      </c>
      <c r="V49" s="16">
        <f t="shared" si="2"/>
        <v>4470</v>
      </c>
      <c r="W49" s="53">
        <v>18</v>
      </c>
      <c r="X49" s="166" t="s">
        <v>46</v>
      </c>
      <c r="Y49" s="53" t="s">
        <v>64</v>
      </c>
      <c r="Z49" s="53" t="s">
        <v>97</v>
      </c>
      <c r="AA49" s="53" t="s">
        <v>86</v>
      </c>
      <c r="AB49" s="53" t="s">
        <v>158</v>
      </c>
    </row>
    <row r="50" spans="1:28" x14ac:dyDescent="0.15">
      <c r="A50" s="53" t="s">
        <v>34</v>
      </c>
      <c r="B50" s="53" t="s">
        <v>157</v>
      </c>
      <c r="C50" s="53">
        <v>2019</v>
      </c>
      <c r="D50" s="174" t="s">
        <v>259</v>
      </c>
      <c r="E50" s="53" t="s">
        <v>133</v>
      </c>
      <c r="F50" s="158" t="s">
        <v>364</v>
      </c>
      <c r="G50" s="161" t="s">
        <v>36</v>
      </c>
      <c r="H50" s="53" t="s">
        <v>164</v>
      </c>
      <c r="I50" s="53" t="s">
        <v>159</v>
      </c>
      <c r="J50" s="53" t="s">
        <v>38</v>
      </c>
      <c r="K50" s="127" t="s">
        <v>161</v>
      </c>
      <c r="L50" s="53">
        <v>1</v>
      </c>
      <c r="N50" s="53">
        <v>1</v>
      </c>
      <c r="O50" s="53">
        <v>0.85</v>
      </c>
      <c r="P50" s="53">
        <v>0.8</v>
      </c>
      <c r="Q50" s="75">
        <f t="shared" si="0"/>
        <v>0.82499999999999996</v>
      </c>
      <c r="R50" s="53">
        <v>17.2</v>
      </c>
      <c r="S50" s="53">
        <v>122</v>
      </c>
      <c r="T50" s="16">
        <f t="shared" si="1"/>
        <v>30</v>
      </c>
      <c r="U50" s="53">
        <v>98</v>
      </c>
      <c r="V50" s="16">
        <f t="shared" si="2"/>
        <v>2940</v>
      </c>
      <c r="W50" s="53">
        <v>26</v>
      </c>
      <c r="X50" s="166" t="s">
        <v>46</v>
      </c>
      <c r="Y50" s="53" t="s">
        <v>97</v>
      </c>
      <c r="Z50" s="53" t="s">
        <v>78</v>
      </c>
      <c r="AA50" s="53" t="s">
        <v>64</v>
      </c>
      <c r="AB50" s="53" t="s">
        <v>158</v>
      </c>
    </row>
    <row r="51" spans="1:28" x14ac:dyDescent="0.15">
      <c r="A51" s="53" t="s">
        <v>34</v>
      </c>
      <c r="B51" s="53" t="s">
        <v>157</v>
      </c>
      <c r="C51" s="53">
        <v>2019</v>
      </c>
      <c r="D51" s="174" t="s">
        <v>259</v>
      </c>
      <c r="E51" s="53" t="s">
        <v>133</v>
      </c>
      <c r="F51" s="158" t="s">
        <v>364</v>
      </c>
      <c r="G51" s="161" t="s">
        <v>36</v>
      </c>
      <c r="H51" s="53" t="s">
        <v>164</v>
      </c>
      <c r="I51" s="53" t="s">
        <v>159</v>
      </c>
      <c r="J51" s="53" t="s">
        <v>38</v>
      </c>
      <c r="K51" s="127" t="s">
        <v>161</v>
      </c>
      <c r="L51" s="53">
        <v>2</v>
      </c>
      <c r="N51" s="53">
        <v>1</v>
      </c>
      <c r="O51" s="53">
        <v>0.9</v>
      </c>
      <c r="P51" s="53">
        <v>0.75</v>
      </c>
      <c r="Q51" s="75">
        <f t="shared" si="0"/>
        <v>0.82499999999999996</v>
      </c>
      <c r="R51" s="53">
        <v>16.8</v>
      </c>
      <c r="S51" s="53">
        <v>119</v>
      </c>
      <c r="T51" s="16">
        <f t="shared" si="1"/>
        <v>30</v>
      </c>
      <c r="U51" s="53">
        <v>98</v>
      </c>
      <c r="V51" s="16">
        <f t="shared" si="2"/>
        <v>2940</v>
      </c>
      <c r="W51" s="53">
        <v>26</v>
      </c>
      <c r="X51" s="166" t="s">
        <v>46</v>
      </c>
      <c r="Y51" s="53" t="s">
        <v>97</v>
      </c>
      <c r="Z51" s="53" t="s">
        <v>78</v>
      </c>
      <c r="AA51" s="53" t="s">
        <v>64</v>
      </c>
      <c r="AB51" s="53" t="s">
        <v>158</v>
      </c>
    </row>
    <row r="52" spans="1:28" x14ac:dyDescent="0.15">
      <c r="A52" s="53" t="s">
        <v>34</v>
      </c>
      <c r="B52" s="53" t="s">
        <v>157</v>
      </c>
      <c r="C52" s="53">
        <v>2019</v>
      </c>
      <c r="D52" s="174" t="s">
        <v>259</v>
      </c>
      <c r="E52" s="53" t="s">
        <v>133</v>
      </c>
      <c r="F52" s="158" t="s">
        <v>364</v>
      </c>
      <c r="G52" s="161" t="s">
        <v>36</v>
      </c>
      <c r="H52" s="53" t="s">
        <v>164</v>
      </c>
      <c r="I52" s="53" t="s">
        <v>159</v>
      </c>
      <c r="J52" s="53" t="s">
        <v>38</v>
      </c>
      <c r="K52" s="127" t="s">
        <v>161</v>
      </c>
      <c r="L52" s="53">
        <v>3</v>
      </c>
      <c r="N52" s="53">
        <v>1</v>
      </c>
      <c r="O52" s="53">
        <v>0.75</v>
      </c>
      <c r="P52" s="53">
        <v>0.85</v>
      </c>
      <c r="Q52" s="75">
        <f t="shared" si="0"/>
        <v>0.8</v>
      </c>
      <c r="R52" s="53">
        <v>16.5</v>
      </c>
      <c r="S52" s="53">
        <v>122</v>
      </c>
      <c r="T52" s="16">
        <f t="shared" si="1"/>
        <v>30</v>
      </c>
      <c r="U52" s="53">
        <v>98</v>
      </c>
      <c r="V52" s="16">
        <f t="shared" si="2"/>
        <v>2940</v>
      </c>
      <c r="W52" s="53">
        <v>26</v>
      </c>
      <c r="X52" s="166" t="s">
        <v>46</v>
      </c>
      <c r="Y52" s="53" t="s">
        <v>97</v>
      </c>
      <c r="Z52" s="53" t="s">
        <v>78</v>
      </c>
      <c r="AA52" s="53" t="s">
        <v>64</v>
      </c>
      <c r="AB52" s="53" t="s">
        <v>158</v>
      </c>
    </row>
    <row r="53" spans="1:28" x14ac:dyDescent="0.15">
      <c r="A53" s="53" t="s">
        <v>34</v>
      </c>
      <c r="B53" s="53" t="s">
        <v>157</v>
      </c>
      <c r="C53" s="53">
        <v>2019</v>
      </c>
      <c r="D53" s="174" t="s">
        <v>259</v>
      </c>
      <c r="E53" s="53" t="s">
        <v>133</v>
      </c>
      <c r="F53" s="158" t="s">
        <v>364</v>
      </c>
      <c r="G53" s="161" t="s">
        <v>36</v>
      </c>
      <c r="H53" s="53" t="s">
        <v>160</v>
      </c>
      <c r="I53" s="53" t="s">
        <v>159</v>
      </c>
      <c r="J53" s="53" t="s">
        <v>38</v>
      </c>
      <c r="K53" s="127" t="s">
        <v>161</v>
      </c>
      <c r="L53" s="53">
        <v>1</v>
      </c>
      <c r="N53" s="53">
        <v>1</v>
      </c>
      <c r="O53" s="53">
        <v>0.6</v>
      </c>
      <c r="P53" s="53">
        <v>0.55000000000000004</v>
      </c>
      <c r="Q53" s="75">
        <f t="shared" si="0"/>
        <v>0.57499999999999996</v>
      </c>
      <c r="R53" s="53">
        <v>18.7</v>
      </c>
      <c r="S53" s="53">
        <v>146</v>
      </c>
      <c r="T53" s="16">
        <f t="shared" si="1"/>
        <v>30</v>
      </c>
      <c r="U53" s="53">
        <v>138</v>
      </c>
      <c r="V53" s="16">
        <f t="shared" si="2"/>
        <v>4140</v>
      </c>
      <c r="W53" s="53">
        <v>26</v>
      </c>
      <c r="X53" s="166" t="s">
        <v>46</v>
      </c>
      <c r="Y53" s="53" t="s">
        <v>97</v>
      </c>
      <c r="Z53" s="53" t="s">
        <v>78</v>
      </c>
      <c r="AA53" s="53" t="s">
        <v>64</v>
      </c>
      <c r="AB53" s="53" t="s">
        <v>158</v>
      </c>
    </row>
    <row r="54" spans="1:28" x14ac:dyDescent="0.15">
      <c r="A54" s="53" t="s">
        <v>34</v>
      </c>
      <c r="B54" s="53" t="s">
        <v>157</v>
      </c>
      <c r="C54" s="53">
        <v>2019</v>
      </c>
      <c r="D54" s="174" t="s">
        <v>259</v>
      </c>
      <c r="E54" s="53" t="s">
        <v>133</v>
      </c>
      <c r="F54" s="158" t="s">
        <v>364</v>
      </c>
      <c r="G54" s="161" t="s">
        <v>36</v>
      </c>
      <c r="H54" s="53" t="s">
        <v>160</v>
      </c>
      <c r="I54" s="53" t="s">
        <v>159</v>
      </c>
      <c r="J54" s="53" t="s">
        <v>38</v>
      </c>
      <c r="K54" s="127" t="s">
        <v>161</v>
      </c>
      <c r="L54" s="53">
        <v>2</v>
      </c>
      <c r="N54" s="53">
        <v>1</v>
      </c>
      <c r="O54" s="53">
        <v>0.55000000000000004</v>
      </c>
      <c r="P54" s="53">
        <v>0.5</v>
      </c>
      <c r="Q54" s="75">
        <f t="shared" si="0"/>
        <v>0.52500000000000002</v>
      </c>
      <c r="R54" s="53">
        <v>19.2</v>
      </c>
      <c r="S54" s="53">
        <v>146</v>
      </c>
      <c r="T54" s="16">
        <f t="shared" si="1"/>
        <v>30</v>
      </c>
      <c r="U54" s="53">
        <v>138</v>
      </c>
      <c r="V54" s="16">
        <f t="shared" si="2"/>
        <v>4140</v>
      </c>
      <c r="W54" s="53">
        <v>26</v>
      </c>
      <c r="X54" s="166" t="s">
        <v>46</v>
      </c>
      <c r="Y54" s="53" t="s">
        <v>97</v>
      </c>
      <c r="Z54" s="53" t="s">
        <v>78</v>
      </c>
      <c r="AA54" s="53" t="s">
        <v>64</v>
      </c>
      <c r="AB54" s="53" t="s">
        <v>158</v>
      </c>
    </row>
    <row r="55" spans="1:28" x14ac:dyDescent="0.15">
      <c r="A55" s="53" t="s">
        <v>34</v>
      </c>
      <c r="B55" s="53" t="s">
        <v>157</v>
      </c>
      <c r="C55" s="53">
        <v>2019</v>
      </c>
      <c r="D55" s="174" t="s">
        <v>259</v>
      </c>
      <c r="E55" s="53" t="s">
        <v>133</v>
      </c>
      <c r="F55" s="158" t="s">
        <v>364</v>
      </c>
      <c r="G55" s="161" t="s">
        <v>36</v>
      </c>
      <c r="H55" s="53" t="s">
        <v>160</v>
      </c>
      <c r="I55" s="53" t="s">
        <v>159</v>
      </c>
      <c r="J55" s="53" t="s">
        <v>38</v>
      </c>
      <c r="K55" s="127" t="s">
        <v>161</v>
      </c>
      <c r="L55" s="53">
        <v>3</v>
      </c>
      <c r="N55" s="53">
        <v>1</v>
      </c>
      <c r="O55" s="53">
        <v>0.6</v>
      </c>
      <c r="P55" s="53">
        <v>0.55000000000000004</v>
      </c>
      <c r="Q55" s="75">
        <f t="shared" si="0"/>
        <v>0.57499999999999996</v>
      </c>
      <c r="R55" s="53">
        <v>18.8</v>
      </c>
      <c r="S55" s="53">
        <v>139</v>
      </c>
      <c r="T55" s="16">
        <f t="shared" si="1"/>
        <v>30</v>
      </c>
      <c r="U55" s="53">
        <v>138</v>
      </c>
      <c r="V55" s="16">
        <f t="shared" si="2"/>
        <v>4140</v>
      </c>
      <c r="W55" s="53">
        <v>26</v>
      </c>
      <c r="X55" s="166" t="s">
        <v>46</v>
      </c>
      <c r="Y55" s="53" t="s">
        <v>97</v>
      </c>
      <c r="Z55" s="53" t="s">
        <v>78</v>
      </c>
      <c r="AA55" s="53" t="s">
        <v>64</v>
      </c>
      <c r="AB55" s="53" t="s">
        <v>158</v>
      </c>
    </row>
    <row r="56" spans="1:28" x14ac:dyDescent="0.15">
      <c r="A56" s="53" t="s">
        <v>34</v>
      </c>
      <c r="B56" s="53" t="s">
        <v>157</v>
      </c>
      <c r="C56" s="53">
        <v>2019</v>
      </c>
      <c r="D56" s="174" t="s">
        <v>259</v>
      </c>
      <c r="E56" s="53" t="s">
        <v>267</v>
      </c>
      <c r="F56" s="158" t="s">
        <v>365</v>
      </c>
      <c r="G56" s="161" t="s">
        <v>36</v>
      </c>
      <c r="H56" s="53" t="s">
        <v>164</v>
      </c>
      <c r="I56" s="53" t="s">
        <v>159</v>
      </c>
      <c r="J56" s="53" t="s">
        <v>38</v>
      </c>
      <c r="K56" s="127" t="s">
        <v>161</v>
      </c>
      <c r="L56" s="53">
        <v>1</v>
      </c>
      <c r="N56" s="53">
        <v>5</v>
      </c>
      <c r="O56" s="53">
        <v>0.75</v>
      </c>
      <c r="P56" s="53">
        <v>0.8</v>
      </c>
      <c r="Q56" s="75">
        <f t="shared" si="0"/>
        <v>0.77500000000000002</v>
      </c>
      <c r="R56" s="53">
        <v>14.2</v>
      </c>
      <c r="S56" s="53">
        <v>81</v>
      </c>
      <c r="T56" s="16">
        <f t="shared" si="1"/>
        <v>39</v>
      </c>
      <c r="U56" s="53">
        <v>298</v>
      </c>
      <c r="V56" s="16">
        <f t="shared" si="2"/>
        <v>2324.4</v>
      </c>
      <c r="W56" s="53">
        <v>6</v>
      </c>
      <c r="X56" s="166" t="s">
        <v>46</v>
      </c>
      <c r="Y56" s="53" t="s">
        <v>97</v>
      </c>
      <c r="Z56" s="53" t="s">
        <v>78</v>
      </c>
      <c r="AA56" s="53" t="s">
        <v>86</v>
      </c>
      <c r="AB56" s="53" t="s">
        <v>158</v>
      </c>
    </row>
    <row r="57" spans="1:28" x14ac:dyDescent="0.15">
      <c r="A57" s="53" t="s">
        <v>34</v>
      </c>
      <c r="B57" s="53" t="s">
        <v>157</v>
      </c>
      <c r="C57" s="53">
        <v>2019</v>
      </c>
      <c r="D57" s="174" t="s">
        <v>259</v>
      </c>
      <c r="E57" s="53" t="s">
        <v>267</v>
      </c>
      <c r="F57" s="158" t="s">
        <v>365</v>
      </c>
      <c r="G57" s="161" t="s">
        <v>36</v>
      </c>
      <c r="H57" s="53" t="s">
        <v>164</v>
      </c>
      <c r="I57" s="53" t="s">
        <v>159</v>
      </c>
      <c r="J57" s="53" t="s">
        <v>38</v>
      </c>
      <c r="K57" s="127" t="s">
        <v>161</v>
      </c>
      <c r="L57" s="53">
        <v>2</v>
      </c>
      <c r="N57" s="53">
        <v>5</v>
      </c>
      <c r="O57" s="53">
        <v>0.65</v>
      </c>
      <c r="P57" s="53">
        <v>0.7</v>
      </c>
      <c r="Q57" s="75">
        <f t="shared" si="0"/>
        <v>0.67500000000000004</v>
      </c>
      <c r="R57" s="53">
        <v>15</v>
      </c>
      <c r="S57" s="53">
        <v>79</v>
      </c>
      <c r="T57" s="16">
        <f t="shared" si="1"/>
        <v>39</v>
      </c>
      <c r="U57" s="53">
        <v>298</v>
      </c>
      <c r="V57" s="16">
        <f t="shared" si="2"/>
        <v>2324.4</v>
      </c>
      <c r="W57" s="53">
        <v>6</v>
      </c>
      <c r="X57" s="166" t="s">
        <v>46</v>
      </c>
      <c r="Y57" s="53" t="s">
        <v>97</v>
      </c>
      <c r="Z57" s="53" t="s">
        <v>78</v>
      </c>
      <c r="AA57" s="53" t="s">
        <v>86</v>
      </c>
      <c r="AB57" s="53" t="s">
        <v>158</v>
      </c>
    </row>
    <row r="58" spans="1:28" x14ac:dyDescent="0.15">
      <c r="A58" s="53" t="s">
        <v>34</v>
      </c>
      <c r="B58" s="53" t="s">
        <v>157</v>
      </c>
      <c r="C58" s="53">
        <v>2019</v>
      </c>
      <c r="D58" s="174" t="s">
        <v>259</v>
      </c>
      <c r="E58" s="53" t="s">
        <v>267</v>
      </c>
      <c r="F58" s="158" t="s">
        <v>365</v>
      </c>
      <c r="G58" s="161" t="s">
        <v>36</v>
      </c>
      <c r="H58" s="53" t="s">
        <v>164</v>
      </c>
      <c r="I58" s="53" t="s">
        <v>159</v>
      </c>
      <c r="J58" s="53" t="s">
        <v>38</v>
      </c>
      <c r="K58" s="127" t="s">
        <v>161</v>
      </c>
      <c r="L58" s="53">
        <v>3</v>
      </c>
      <c r="N58" s="53">
        <v>5</v>
      </c>
      <c r="O58" s="53">
        <v>0.8</v>
      </c>
      <c r="P58" s="53">
        <v>0.75</v>
      </c>
      <c r="Q58" s="75">
        <f t="shared" si="0"/>
        <v>0.77500000000000002</v>
      </c>
      <c r="R58" s="53">
        <v>14.8</v>
      </c>
      <c r="S58" s="53">
        <v>80</v>
      </c>
      <c r="T58" s="16">
        <f t="shared" si="1"/>
        <v>39</v>
      </c>
      <c r="U58" s="53">
        <v>298</v>
      </c>
      <c r="V58" s="16">
        <f t="shared" si="2"/>
        <v>2324.4</v>
      </c>
      <c r="W58" s="53">
        <v>6</v>
      </c>
      <c r="X58" s="166" t="s">
        <v>46</v>
      </c>
      <c r="Y58" s="53" t="s">
        <v>97</v>
      </c>
      <c r="Z58" s="53" t="s">
        <v>78</v>
      </c>
      <c r="AA58" s="53" t="s">
        <v>86</v>
      </c>
      <c r="AB58" s="53" t="s">
        <v>158</v>
      </c>
    </row>
    <row r="59" spans="1:28" x14ac:dyDescent="0.15">
      <c r="A59" s="53" t="s">
        <v>34</v>
      </c>
      <c r="B59" s="53" t="s">
        <v>157</v>
      </c>
      <c r="C59" s="53">
        <v>2019</v>
      </c>
      <c r="D59" s="174" t="s">
        <v>259</v>
      </c>
      <c r="E59" s="53" t="s">
        <v>267</v>
      </c>
      <c r="F59" s="158" t="s">
        <v>365</v>
      </c>
      <c r="G59" s="161" t="s">
        <v>36</v>
      </c>
      <c r="H59" s="53" t="s">
        <v>160</v>
      </c>
      <c r="I59" s="53" t="s">
        <v>159</v>
      </c>
      <c r="J59" s="53" t="s">
        <v>38</v>
      </c>
      <c r="K59" s="127" t="s">
        <v>161</v>
      </c>
      <c r="L59" s="53">
        <v>1</v>
      </c>
      <c r="N59" s="53">
        <v>4</v>
      </c>
      <c r="O59" s="53">
        <v>0.55000000000000004</v>
      </c>
      <c r="P59" s="53">
        <v>0.5</v>
      </c>
      <c r="Q59" s="75">
        <f t="shared" si="0"/>
        <v>0.52500000000000002</v>
      </c>
      <c r="R59" s="53">
        <v>15.3</v>
      </c>
      <c r="S59" s="53">
        <v>87</v>
      </c>
      <c r="T59" s="16">
        <f t="shared" si="1"/>
        <v>36</v>
      </c>
      <c r="U59" s="53">
        <v>398</v>
      </c>
      <c r="V59" s="16">
        <f t="shared" si="2"/>
        <v>3582</v>
      </c>
      <c r="W59" s="53">
        <v>6</v>
      </c>
      <c r="X59" s="166" t="s">
        <v>46</v>
      </c>
      <c r="Y59" s="53" t="s">
        <v>97</v>
      </c>
      <c r="Z59" s="53" t="s">
        <v>78</v>
      </c>
      <c r="AA59" s="53" t="s">
        <v>86</v>
      </c>
      <c r="AB59" s="53" t="s">
        <v>158</v>
      </c>
    </row>
    <row r="60" spans="1:28" x14ac:dyDescent="0.15">
      <c r="A60" s="53" t="s">
        <v>34</v>
      </c>
      <c r="B60" s="53" t="s">
        <v>157</v>
      </c>
      <c r="C60" s="53">
        <v>2019</v>
      </c>
      <c r="D60" s="174" t="s">
        <v>259</v>
      </c>
      <c r="E60" s="53" t="s">
        <v>267</v>
      </c>
      <c r="F60" s="158" t="s">
        <v>365</v>
      </c>
      <c r="G60" s="161" t="s">
        <v>36</v>
      </c>
      <c r="H60" s="53" t="s">
        <v>160</v>
      </c>
      <c r="I60" s="53" t="s">
        <v>159</v>
      </c>
      <c r="J60" s="53" t="s">
        <v>38</v>
      </c>
      <c r="K60" s="127" t="s">
        <v>161</v>
      </c>
      <c r="L60" s="53">
        <v>2</v>
      </c>
      <c r="N60" s="53">
        <v>4</v>
      </c>
      <c r="O60" s="53">
        <v>0.5</v>
      </c>
      <c r="P60" s="53">
        <v>0.45</v>
      </c>
      <c r="Q60" s="75">
        <f t="shared" si="0"/>
        <v>0.47499999999999998</v>
      </c>
      <c r="R60" s="53">
        <v>14.7</v>
      </c>
      <c r="S60" s="53">
        <v>90</v>
      </c>
      <c r="T60" s="16">
        <f t="shared" si="1"/>
        <v>36</v>
      </c>
      <c r="U60" s="53">
        <v>398</v>
      </c>
      <c r="V60" s="16">
        <f t="shared" si="2"/>
        <v>3582</v>
      </c>
      <c r="W60" s="53">
        <v>6</v>
      </c>
      <c r="X60" s="166" t="s">
        <v>46</v>
      </c>
      <c r="Y60" s="53" t="s">
        <v>97</v>
      </c>
      <c r="Z60" s="53" t="s">
        <v>78</v>
      </c>
      <c r="AA60" s="53" t="s">
        <v>86</v>
      </c>
      <c r="AB60" s="53" t="s">
        <v>158</v>
      </c>
    </row>
    <row r="61" spans="1:28" x14ac:dyDescent="0.15">
      <c r="A61" s="53" t="s">
        <v>34</v>
      </c>
      <c r="B61" s="53" t="s">
        <v>157</v>
      </c>
      <c r="C61" s="53">
        <v>2019</v>
      </c>
      <c r="D61" s="174" t="s">
        <v>259</v>
      </c>
      <c r="E61" s="53" t="s">
        <v>267</v>
      </c>
      <c r="F61" s="158" t="s">
        <v>365</v>
      </c>
      <c r="G61" s="161" t="s">
        <v>36</v>
      </c>
      <c r="H61" s="53" t="s">
        <v>160</v>
      </c>
      <c r="I61" s="53" t="s">
        <v>159</v>
      </c>
      <c r="J61" s="53" t="s">
        <v>38</v>
      </c>
      <c r="K61" s="127" t="s">
        <v>161</v>
      </c>
      <c r="L61" s="53">
        <v>3</v>
      </c>
      <c r="N61" s="53">
        <v>4</v>
      </c>
      <c r="O61" s="53">
        <v>0.5</v>
      </c>
      <c r="P61" s="53">
        <v>0.4</v>
      </c>
      <c r="Q61" s="75">
        <f t="shared" si="0"/>
        <v>0.45</v>
      </c>
      <c r="R61" s="53">
        <v>15.5</v>
      </c>
      <c r="S61" s="53">
        <v>87</v>
      </c>
      <c r="T61" s="16">
        <f t="shared" si="1"/>
        <v>36</v>
      </c>
      <c r="U61" s="53">
        <v>398</v>
      </c>
      <c r="V61" s="16">
        <f t="shared" si="2"/>
        <v>3582</v>
      </c>
      <c r="W61" s="53">
        <v>6</v>
      </c>
      <c r="X61" s="166" t="s">
        <v>46</v>
      </c>
      <c r="Y61" s="53" t="s">
        <v>97</v>
      </c>
      <c r="Z61" s="53" t="s">
        <v>78</v>
      </c>
      <c r="AA61" s="53" t="s">
        <v>86</v>
      </c>
      <c r="AB61" s="53" t="s">
        <v>158</v>
      </c>
    </row>
    <row r="62" spans="1:28" x14ac:dyDescent="0.15">
      <c r="D62" s="174"/>
      <c r="F62" s="158"/>
      <c r="G62" s="161"/>
      <c r="K62" s="127"/>
      <c r="Q62" s="75" t="str">
        <f t="shared" si="0"/>
        <v/>
      </c>
      <c r="T62" s="16" t="str">
        <f t="shared" si="1"/>
        <v/>
      </c>
      <c r="V62" s="16" t="str">
        <f t="shared" si="2"/>
        <v/>
      </c>
      <c r="X62" s="166"/>
    </row>
    <row r="63" spans="1:28" x14ac:dyDescent="0.15">
      <c r="D63" s="174"/>
      <c r="F63" s="158"/>
      <c r="G63" s="161"/>
      <c r="K63" s="127"/>
      <c r="Q63" s="75" t="str">
        <f t="shared" si="0"/>
        <v/>
      </c>
      <c r="T63" s="16" t="str">
        <f t="shared" si="1"/>
        <v/>
      </c>
      <c r="V63" s="16" t="str">
        <f t="shared" si="2"/>
        <v/>
      </c>
      <c r="X63" s="166"/>
    </row>
    <row r="64" spans="1:28" x14ac:dyDescent="0.15">
      <c r="D64" s="174"/>
      <c r="F64" s="158"/>
      <c r="G64" s="161"/>
      <c r="K64" s="127"/>
      <c r="Q64" s="75" t="str">
        <f t="shared" si="0"/>
        <v/>
      </c>
      <c r="T64" s="16" t="str">
        <f t="shared" si="1"/>
        <v/>
      </c>
      <c r="V64" s="16" t="str">
        <f t="shared" si="2"/>
        <v/>
      </c>
      <c r="X64" s="166"/>
    </row>
    <row r="65" spans="4:24" x14ac:dyDescent="0.15">
      <c r="D65" s="174"/>
      <c r="F65" s="158"/>
      <c r="G65" s="161"/>
      <c r="K65" s="127"/>
      <c r="Q65" s="75" t="str">
        <f t="shared" si="0"/>
        <v/>
      </c>
      <c r="T65" s="16" t="str">
        <f t="shared" si="1"/>
        <v/>
      </c>
      <c r="V65" s="16" t="str">
        <f t="shared" si="2"/>
        <v/>
      </c>
      <c r="X65" s="166"/>
    </row>
    <row r="66" spans="4:24" x14ac:dyDescent="0.15">
      <c r="D66" s="174"/>
      <c r="F66" s="158"/>
      <c r="G66" s="161"/>
      <c r="K66" s="127"/>
      <c r="Q66" s="75" t="str">
        <f t="shared" ref="Q66:Q91" si="3">IF(OR(O66="",P66=""),"",AVERAGE(O66,P66))</f>
        <v/>
      </c>
      <c r="T66" s="16" t="str">
        <f t="shared" ref="T66:T91" si="4">IF(H66="","",IF(OR(H66="GREEN",H66="GK"),IF(S66&gt;=$AX$2,VLOOKUP(S66,$AX$2:$AY$7,2,1),""),IF(S66&gt;=$AZ$2,VLOOKUP(S66,$AZ$2:$BA$7,2,1),"")))</f>
        <v/>
      </c>
      <c r="V66" s="16" t="str">
        <f t="shared" ref="V66:V91" si="5">IF(OR(N66="",U66="",T66=""),"",U66/N66*T66)</f>
        <v/>
      </c>
      <c r="X66" s="166"/>
    </row>
    <row r="67" spans="4:24" x14ac:dyDescent="0.15">
      <c r="D67" s="174"/>
      <c r="F67" s="158"/>
      <c r="G67" s="161"/>
      <c r="K67" s="127"/>
      <c r="Q67" s="75" t="str">
        <f t="shared" si="3"/>
        <v/>
      </c>
      <c r="T67" s="16" t="str">
        <f t="shared" si="4"/>
        <v/>
      </c>
      <c r="V67" s="16" t="str">
        <f t="shared" si="5"/>
        <v/>
      </c>
      <c r="X67" s="166"/>
    </row>
    <row r="68" spans="4:24" x14ac:dyDescent="0.15">
      <c r="D68" s="174"/>
      <c r="F68" s="158"/>
      <c r="G68" s="161"/>
      <c r="K68" s="127"/>
      <c r="Q68" s="75" t="str">
        <f t="shared" si="3"/>
        <v/>
      </c>
      <c r="T68" s="16" t="str">
        <f t="shared" si="4"/>
        <v/>
      </c>
      <c r="V68" s="16" t="str">
        <f t="shared" si="5"/>
        <v/>
      </c>
      <c r="X68" s="166"/>
    </row>
    <row r="69" spans="4:24" x14ac:dyDescent="0.15">
      <c r="D69" s="174"/>
      <c r="F69" s="158"/>
      <c r="G69" s="161"/>
      <c r="K69" s="127"/>
      <c r="Q69" s="75" t="str">
        <f t="shared" si="3"/>
        <v/>
      </c>
      <c r="T69" s="16" t="str">
        <f t="shared" si="4"/>
        <v/>
      </c>
      <c r="V69" s="16" t="str">
        <f t="shared" si="5"/>
        <v/>
      </c>
      <c r="X69" s="166"/>
    </row>
    <row r="70" spans="4:24" x14ac:dyDescent="0.15">
      <c r="D70" s="174"/>
      <c r="F70" s="158"/>
      <c r="G70" s="161"/>
      <c r="K70" s="127"/>
      <c r="Q70" s="75" t="str">
        <f t="shared" si="3"/>
        <v/>
      </c>
      <c r="T70" s="16" t="str">
        <f t="shared" si="4"/>
        <v/>
      </c>
      <c r="V70" s="16" t="str">
        <f t="shared" si="5"/>
        <v/>
      </c>
      <c r="X70" s="166"/>
    </row>
    <row r="71" spans="4:24" x14ac:dyDescent="0.15">
      <c r="D71" s="174"/>
      <c r="F71" s="158"/>
      <c r="G71" s="161"/>
      <c r="K71" s="127"/>
      <c r="Q71" s="75" t="str">
        <f t="shared" si="3"/>
        <v/>
      </c>
      <c r="T71" s="16" t="str">
        <f t="shared" si="4"/>
        <v/>
      </c>
      <c r="V71" s="16" t="str">
        <f t="shared" si="5"/>
        <v/>
      </c>
      <c r="X71" s="166"/>
    </row>
    <row r="72" spans="4:24" x14ac:dyDescent="0.15">
      <c r="D72" s="174"/>
      <c r="F72" s="158"/>
      <c r="G72" s="161"/>
      <c r="K72" s="127"/>
      <c r="Q72" s="75" t="str">
        <f t="shared" si="3"/>
        <v/>
      </c>
      <c r="T72" s="16" t="str">
        <f t="shared" si="4"/>
        <v/>
      </c>
      <c r="V72" s="16" t="str">
        <f t="shared" si="5"/>
        <v/>
      </c>
      <c r="X72" s="166"/>
    </row>
    <row r="73" spans="4:24" x14ac:dyDescent="0.15">
      <c r="D73" s="174"/>
      <c r="F73" s="158"/>
      <c r="G73" s="161"/>
      <c r="K73" s="127"/>
      <c r="Q73" s="75" t="str">
        <f t="shared" si="3"/>
        <v/>
      </c>
      <c r="T73" s="16" t="str">
        <f t="shared" si="4"/>
        <v/>
      </c>
      <c r="V73" s="16" t="str">
        <f t="shared" si="5"/>
        <v/>
      </c>
      <c r="X73" s="166"/>
    </row>
    <row r="74" spans="4:24" x14ac:dyDescent="0.15">
      <c r="D74" s="174"/>
      <c r="F74" s="158"/>
      <c r="G74" s="161"/>
      <c r="K74" s="127"/>
      <c r="Q74" s="75" t="str">
        <f t="shared" si="3"/>
        <v/>
      </c>
      <c r="T74" s="16" t="str">
        <f t="shared" si="4"/>
        <v/>
      </c>
      <c r="V74" s="16" t="str">
        <f t="shared" si="5"/>
        <v/>
      </c>
      <c r="X74" s="166"/>
    </row>
    <row r="75" spans="4:24" x14ac:dyDescent="0.15">
      <c r="D75" s="174"/>
      <c r="F75" s="158"/>
      <c r="G75" s="161"/>
      <c r="K75" s="127"/>
      <c r="Q75" s="75" t="str">
        <f t="shared" si="3"/>
        <v/>
      </c>
      <c r="T75" s="16" t="str">
        <f t="shared" si="4"/>
        <v/>
      </c>
      <c r="V75" s="16" t="str">
        <f t="shared" si="5"/>
        <v/>
      </c>
      <c r="X75" s="166"/>
    </row>
    <row r="76" spans="4:24" x14ac:dyDescent="0.15">
      <c r="D76" s="174"/>
      <c r="F76" s="158"/>
      <c r="G76" s="161"/>
      <c r="K76" s="127"/>
      <c r="Q76" s="75" t="str">
        <f t="shared" si="3"/>
        <v/>
      </c>
      <c r="T76" s="16" t="str">
        <f t="shared" si="4"/>
        <v/>
      </c>
      <c r="V76" s="16" t="str">
        <f t="shared" si="5"/>
        <v/>
      </c>
      <c r="X76" s="166"/>
    </row>
    <row r="77" spans="4:24" x14ac:dyDescent="0.15">
      <c r="D77" s="174"/>
      <c r="F77" s="158"/>
      <c r="G77" s="161"/>
      <c r="K77" s="127"/>
      <c r="Q77" s="75" t="str">
        <f t="shared" si="3"/>
        <v/>
      </c>
      <c r="T77" s="16" t="str">
        <f t="shared" si="4"/>
        <v/>
      </c>
      <c r="V77" s="16" t="str">
        <f t="shared" si="5"/>
        <v/>
      </c>
      <c r="X77" s="166"/>
    </row>
    <row r="78" spans="4:24" x14ac:dyDescent="0.15">
      <c r="D78" s="174"/>
      <c r="F78" s="158"/>
      <c r="G78" s="161"/>
      <c r="K78" s="127"/>
      <c r="Q78" s="75" t="str">
        <f t="shared" si="3"/>
        <v/>
      </c>
      <c r="T78" s="16" t="str">
        <f t="shared" si="4"/>
        <v/>
      </c>
      <c r="V78" s="16" t="str">
        <f t="shared" si="5"/>
        <v/>
      </c>
      <c r="X78" s="166"/>
    </row>
    <row r="79" spans="4:24" x14ac:dyDescent="0.15">
      <c r="D79" s="174"/>
      <c r="F79" s="158"/>
      <c r="G79" s="161"/>
      <c r="K79" s="127"/>
      <c r="Q79" s="75" t="str">
        <f t="shared" si="3"/>
        <v/>
      </c>
      <c r="T79" s="16" t="str">
        <f t="shared" si="4"/>
        <v/>
      </c>
      <c r="V79" s="16" t="str">
        <f t="shared" si="5"/>
        <v/>
      </c>
      <c r="X79" s="166"/>
    </row>
    <row r="80" spans="4:24" x14ac:dyDescent="0.15">
      <c r="K80" s="127"/>
      <c r="Q80" s="75" t="str">
        <f t="shared" si="3"/>
        <v/>
      </c>
      <c r="T80" s="16" t="str">
        <f t="shared" si="4"/>
        <v/>
      </c>
      <c r="V80" s="16" t="str">
        <f t="shared" si="5"/>
        <v/>
      </c>
    </row>
    <row r="81" spans="11:22" x14ac:dyDescent="0.15">
      <c r="K81" s="127"/>
      <c r="Q81" s="75" t="str">
        <f t="shared" si="3"/>
        <v/>
      </c>
      <c r="T81" s="16" t="str">
        <f t="shared" si="4"/>
        <v/>
      </c>
      <c r="V81" s="16" t="str">
        <f t="shared" si="5"/>
        <v/>
      </c>
    </row>
    <row r="82" spans="11:22" x14ac:dyDescent="0.15">
      <c r="K82" s="127"/>
      <c r="Q82" s="75" t="str">
        <f t="shared" si="3"/>
        <v/>
      </c>
      <c r="T82" s="16" t="str">
        <f t="shared" si="4"/>
        <v/>
      </c>
      <c r="V82" s="16" t="str">
        <f t="shared" si="5"/>
        <v/>
      </c>
    </row>
    <row r="83" spans="11:22" x14ac:dyDescent="0.15">
      <c r="K83" s="127"/>
      <c r="Q83" s="75" t="str">
        <f t="shared" si="3"/>
        <v/>
      </c>
      <c r="T83" s="16" t="str">
        <f t="shared" si="4"/>
        <v/>
      </c>
      <c r="V83" s="16" t="str">
        <f t="shared" si="5"/>
        <v/>
      </c>
    </row>
    <row r="84" spans="11:22" x14ac:dyDescent="0.15">
      <c r="K84" s="127"/>
      <c r="Q84" s="75" t="str">
        <f t="shared" si="3"/>
        <v/>
      </c>
      <c r="T84" s="16" t="str">
        <f t="shared" si="4"/>
        <v/>
      </c>
      <c r="V84" s="16" t="str">
        <f t="shared" si="5"/>
        <v/>
      </c>
    </row>
    <row r="85" spans="11:22" x14ac:dyDescent="0.15">
      <c r="K85" s="127"/>
      <c r="Q85" s="75" t="str">
        <f t="shared" si="3"/>
        <v/>
      </c>
      <c r="T85" s="16" t="str">
        <f t="shared" si="4"/>
        <v/>
      </c>
      <c r="V85" s="16" t="str">
        <f t="shared" si="5"/>
        <v/>
      </c>
    </row>
    <row r="86" spans="11:22" x14ac:dyDescent="0.15">
      <c r="K86" s="127"/>
      <c r="Q86" s="75" t="str">
        <f t="shared" si="3"/>
        <v/>
      </c>
      <c r="T86" s="16" t="str">
        <f t="shared" si="4"/>
        <v/>
      </c>
      <c r="V86" s="16" t="str">
        <f t="shared" si="5"/>
        <v/>
      </c>
    </row>
    <row r="87" spans="11:22" x14ac:dyDescent="0.15">
      <c r="K87" s="127"/>
      <c r="Q87" s="75" t="str">
        <f t="shared" si="3"/>
        <v/>
      </c>
      <c r="T87" s="16" t="str">
        <f t="shared" si="4"/>
        <v/>
      </c>
      <c r="V87" s="16" t="str">
        <f t="shared" si="5"/>
        <v/>
      </c>
    </row>
    <row r="88" spans="11:22" x14ac:dyDescent="0.15">
      <c r="K88" s="127"/>
      <c r="Q88" s="75" t="str">
        <f t="shared" si="3"/>
        <v/>
      </c>
      <c r="T88" s="16" t="str">
        <f t="shared" si="4"/>
        <v/>
      </c>
      <c r="V88" s="16" t="str">
        <f t="shared" si="5"/>
        <v/>
      </c>
    </row>
    <row r="89" spans="11:22" x14ac:dyDescent="0.15">
      <c r="K89" s="127"/>
      <c r="Q89" s="75" t="str">
        <f t="shared" si="3"/>
        <v/>
      </c>
      <c r="T89" s="16" t="str">
        <f t="shared" si="4"/>
        <v/>
      </c>
      <c r="V89" s="16" t="str">
        <f t="shared" si="5"/>
        <v/>
      </c>
    </row>
    <row r="90" spans="11:22" x14ac:dyDescent="0.15">
      <c r="K90" s="127"/>
      <c r="Q90" s="75" t="str">
        <f t="shared" si="3"/>
        <v/>
      </c>
      <c r="T90" s="16" t="str">
        <f t="shared" si="4"/>
        <v/>
      </c>
      <c r="V90" s="16" t="str">
        <f t="shared" si="5"/>
        <v/>
      </c>
    </row>
    <row r="91" spans="11:22" x14ac:dyDescent="0.15">
      <c r="K91" s="127"/>
      <c r="Q91" s="75" t="str">
        <f t="shared" si="3"/>
        <v/>
      </c>
      <c r="T91" s="16" t="str">
        <f t="shared" si="4"/>
        <v/>
      </c>
      <c r="V91" s="16" t="str">
        <f t="shared" si="5"/>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646892B6-A22C-4F66-A5F3-A82E35B41A08}">
      <formula1>$AH$2:$AH$11</formula1>
    </dataValidation>
    <dataValidation type="list" allowBlank="1" showInputMessage="1" showErrorMessage="1" sqref="E2:E491" xr:uid="{3A1F9DB9-89D4-45A9-8B6D-2B4E08A87DF8}">
      <formula1>$AG$2:$AG$11</formula1>
    </dataValidation>
    <dataValidation type="decimal" allowBlank="1" showInputMessage="1" showErrorMessage="1" error="硬度を正しく入力して下さい。" sqref="O2:P491" xr:uid="{BA98C847-71DC-4D76-BA05-95FF29852035}">
      <formula1>0</formula1>
      <formula2>7</formula2>
    </dataValidation>
    <dataValidation type="list" allowBlank="1" showInputMessage="1" showErrorMessage="1" sqref="Y2:AA491" xr:uid="{68D6B7E1-256C-4496-A336-172130135D20}">
      <formula1>$AV$2:$AV$21</formula1>
    </dataValidation>
    <dataValidation type="list" allowBlank="1" showInputMessage="1" showErrorMessage="1" sqref="K444:K491" xr:uid="{3569DE4A-934B-4145-8B5E-FBAB92DFEDAB}">
      <formula1>$AR$2:$AR$25</formula1>
    </dataValidation>
    <dataValidation type="list" allowBlank="1" showInputMessage="1" showErrorMessage="1" sqref="I2:I491" xr:uid="{AE70589D-E8A8-4F7B-B7FB-362E21E45C14}">
      <formula1>$AN$5:$AN$6</formula1>
    </dataValidation>
    <dataValidation type="list" allowBlank="1" showInputMessage="1" showErrorMessage="1" sqref="H2:H491" xr:uid="{0E4D414F-C8D6-4C94-98F7-3C7841BDA61D}">
      <formula1>$AL$2:$AL$8</formula1>
    </dataValidation>
    <dataValidation type="list" allowBlank="1" showInputMessage="1" showErrorMessage="1" sqref="A2:A491" xr:uid="{14ADD1B4-0CAE-48D3-966A-04EC7D3B39F6}">
      <formula1>$AE$2:$AE$19</formula1>
    </dataValidation>
    <dataValidation type="list" allowBlank="1" showInputMessage="1" showErrorMessage="1" sqref="X2:X491" xr:uid="{737DC97B-00F2-4B37-A11A-C82395DE0382}">
      <formula1>$AT$2:$AT$3</formula1>
    </dataValidation>
    <dataValidation type="list" allowBlank="1" showInputMessage="1" showErrorMessage="1" sqref="G2:G491" xr:uid="{9786F3AB-A6DA-4381-9DFC-159F11BC53E8}">
      <formula1>$AJ$2:$AJ$4</formula1>
    </dataValidation>
    <dataValidation type="list" allowBlank="1" showInputMessage="1" showErrorMessage="1" sqref="J2:J491" xr:uid="{1A5F9B48-7EA6-4FE1-BB7B-CF8A9F6629D3}">
      <formula1>$AP$2:$AP$27</formula1>
    </dataValidation>
    <dataValidation operator="equal" allowBlank="1" showInputMessage="1" showErrorMessage="1" sqref="B2:B46" xr:uid="{EE382014-7BA6-47BE-A78E-C371AC0DE575}"/>
    <dataValidation type="list" allowBlank="1" showInputMessage="1" showErrorMessage="1" sqref="F492:F64242" xr:uid="{930AE2F3-93D5-48A2-8F25-0C4056E426D9}">
      <formula1>$AH$2:$AH$8</formula1>
    </dataValidation>
    <dataValidation type="list" allowBlank="1" showInputMessage="1" showErrorMessage="1" sqref="E492:E64242" xr:uid="{60F46934-4FF9-46D7-9070-E7490C08FB43}">
      <formula1>$AG$2:$AG$9</formula1>
    </dataValidation>
    <dataValidation type="list" allowBlank="1" showInputMessage="1" showErrorMessage="1" sqref="H492:H64242" xr:uid="{245C280A-1A29-43B9-AEE9-4A771CD769B7}">
      <formula1>$AL$2:$AL$10</formula1>
    </dataValidation>
    <dataValidation type="list" allowBlank="1" showInputMessage="1" showErrorMessage="1" sqref="K492:K64242" xr:uid="{5E1FD9DC-BACA-485E-A203-0D1C26C51ADB}">
      <formula1>$AR$2:$AR$28</formula1>
    </dataValidation>
    <dataValidation type="list" allowBlank="1" showInputMessage="1" showErrorMessage="1" sqref="Y492:AA64242" xr:uid="{DC4773C8-E897-4FFD-9DC3-3FFC0E1635FC}">
      <formula1>$AV$2:$AV$26</formula1>
    </dataValidation>
    <dataValidation type="list" allowBlank="1" showInputMessage="1" showErrorMessage="1" sqref="I492:I64242" xr:uid="{7BC6C7C1-E982-4536-BA26-110B00C8BB12}">
      <formula1>$AN$2:$AN$6</formula1>
    </dataValidation>
    <dataValidation type="list" allowBlank="1" showInputMessage="1" showErrorMessage="1" sqref="J492:J64242" xr:uid="{60441182-1150-4299-83CA-512DE12C5285}">
      <formula1>$AP$2:$AP$16</formula1>
    </dataValidation>
    <dataValidation type="list" allowBlank="1" showInputMessage="1" showErrorMessage="1" sqref="K2:K443" xr:uid="{A1E53A99-6898-4DBE-ACF4-A7555B5FC2B1}">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E79E0-9B7A-4DED-9018-A384F521B451}">
  <dimension ref="A1:BA133"/>
  <sheetViews>
    <sheetView zoomScale="70" zoomScaleNormal="70" workbookViewId="0"/>
  </sheetViews>
  <sheetFormatPr defaultColWidth="9"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312</v>
      </c>
      <c r="V1" s="5" t="s">
        <v>20</v>
      </c>
      <c r="W1" s="56" t="s">
        <v>21</v>
      </c>
      <c r="X1" s="45" t="s">
        <v>22</v>
      </c>
      <c r="Y1" s="45" t="s">
        <v>23</v>
      </c>
      <c r="Z1" s="45" t="s">
        <v>366</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232</v>
      </c>
      <c r="C2" s="53">
        <v>2019</v>
      </c>
      <c r="D2" s="176" t="s">
        <v>313</v>
      </c>
      <c r="E2" s="53" t="s">
        <v>367</v>
      </c>
      <c r="F2" s="53" t="s">
        <v>368</v>
      </c>
      <c r="G2" s="53" t="s">
        <v>36</v>
      </c>
      <c r="H2" s="53" t="s">
        <v>164</v>
      </c>
      <c r="I2" s="53" t="s">
        <v>159</v>
      </c>
      <c r="J2" s="53" t="s">
        <v>38</v>
      </c>
      <c r="K2" s="53" t="s">
        <v>161</v>
      </c>
      <c r="L2" s="53">
        <v>1</v>
      </c>
      <c r="N2" s="53">
        <v>1</v>
      </c>
      <c r="O2" s="53">
        <v>0.55000000000000004</v>
      </c>
      <c r="P2" s="53">
        <v>0.65</v>
      </c>
      <c r="Q2" s="75">
        <f t="shared" ref="Q2:Q82" si="0">IF(OR(O2="",P2=""),"",AVERAGE(O2,P2))</f>
        <v>0.60000000000000009</v>
      </c>
      <c r="R2" s="53">
        <v>17.600000000000001</v>
      </c>
      <c r="S2" s="53">
        <v>109</v>
      </c>
      <c r="T2" s="16">
        <f t="shared" ref="T2:T82" si="1">IF(H2="","",IF(OR(H2="GREEN",H2="GK"),IF(S2&gt;=$AX$2,VLOOKUP(S2,$AX$2:$AY$9,2,1),""),IF(S2&gt;=$AZ$2,VLOOKUP(S2,$AZ$2:$BA$9,2,1),"")))</f>
        <v>33</v>
      </c>
      <c r="U2" s="53">
        <v>92</v>
      </c>
      <c r="V2" s="16">
        <f t="shared" ref="V2:V82" si="2">IF(OR(N2="",U2="",T2=""),"",U2/N2*T2)</f>
        <v>3036</v>
      </c>
      <c r="W2" s="53">
        <v>1</v>
      </c>
      <c r="X2" s="53" t="s">
        <v>46</v>
      </c>
      <c r="Y2" s="53" t="s">
        <v>69</v>
      </c>
      <c r="Z2" s="53" t="s">
        <v>47</v>
      </c>
      <c r="AA2" s="53" t="s">
        <v>55</v>
      </c>
      <c r="AB2" s="53" t="s">
        <v>258</v>
      </c>
      <c r="AE2" s="64" t="s">
        <v>35</v>
      </c>
      <c r="AG2" s="177" t="s">
        <v>359</v>
      </c>
      <c r="AH2" s="67" t="s">
        <v>369</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232</v>
      </c>
      <c r="C3" s="53">
        <v>2019</v>
      </c>
      <c r="D3" s="176" t="s">
        <v>313</v>
      </c>
      <c r="E3" s="53" t="s">
        <v>367</v>
      </c>
      <c r="F3" s="53" t="s">
        <v>368</v>
      </c>
      <c r="G3" s="53" t="s">
        <v>36</v>
      </c>
      <c r="H3" s="53" t="s">
        <v>164</v>
      </c>
      <c r="I3" s="53" t="s">
        <v>159</v>
      </c>
      <c r="J3" s="53" t="s">
        <v>38</v>
      </c>
      <c r="K3" s="53" t="s">
        <v>161</v>
      </c>
      <c r="L3" s="53">
        <v>2</v>
      </c>
      <c r="N3" s="53">
        <v>1</v>
      </c>
      <c r="O3" s="53">
        <v>0.7</v>
      </c>
      <c r="P3" s="53">
        <v>0.7</v>
      </c>
      <c r="Q3" s="75">
        <f t="shared" si="0"/>
        <v>0.7</v>
      </c>
      <c r="R3" s="53">
        <v>17.100000000000001</v>
      </c>
      <c r="S3" s="53">
        <v>107</v>
      </c>
      <c r="T3" s="16">
        <f t="shared" si="1"/>
        <v>33</v>
      </c>
      <c r="U3" s="53">
        <v>92</v>
      </c>
      <c r="V3" s="16">
        <f t="shared" si="2"/>
        <v>3036</v>
      </c>
      <c r="W3" s="53">
        <v>1</v>
      </c>
      <c r="X3" s="53" t="s">
        <v>46</v>
      </c>
      <c r="Y3" s="53" t="s">
        <v>69</v>
      </c>
      <c r="Z3" s="53" t="s">
        <v>47</v>
      </c>
      <c r="AA3" s="53" t="s">
        <v>55</v>
      </c>
      <c r="AB3" s="53" t="s">
        <v>258</v>
      </c>
      <c r="AE3" s="22" t="s">
        <v>41</v>
      </c>
      <c r="AG3" s="178" t="s">
        <v>370</v>
      </c>
      <c r="AH3" s="67" t="s">
        <v>369</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232</v>
      </c>
      <c r="C4" s="53">
        <v>2019</v>
      </c>
      <c r="D4" s="176" t="s">
        <v>313</v>
      </c>
      <c r="E4" s="53" t="s">
        <v>367</v>
      </c>
      <c r="F4" s="53" t="s">
        <v>368</v>
      </c>
      <c r="G4" s="53" t="s">
        <v>36</v>
      </c>
      <c r="H4" s="53" t="s">
        <v>164</v>
      </c>
      <c r="I4" s="53" t="s">
        <v>159</v>
      </c>
      <c r="J4" s="53" t="s">
        <v>38</v>
      </c>
      <c r="K4" s="53" t="s">
        <v>161</v>
      </c>
      <c r="L4" s="53">
        <v>3</v>
      </c>
      <c r="N4" s="53">
        <v>1</v>
      </c>
      <c r="O4" s="53">
        <v>0.2</v>
      </c>
      <c r="P4" s="53">
        <v>0.6</v>
      </c>
      <c r="Q4" s="75">
        <f t="shared" si="0"/>
        <v>0.4</v>
      </c>
      <c r="R4" s="53">
        <v>17.899999999999999</v>
      </c>
      <c r="S4" s="53">
        <v>110</v>
      </c>
      <c r="T4" s="16">
        <f t="shared" si="1"/>
        <v>33</v>
      </c>
      <c r="U4" s="53">
        <v>92</v>
      </c>
      <c r="V4" s="16">
        <f t="shared" si="2"/>
        <v>3036</v>
      </c>
      <c r="W4" s="53">
        <v>1</v>
      </c>
      <c r="X4" s="53" t="s">
        <v>46</v>
      </c>
      <c r="Y4" s="53" t="s">
        <v>69</v>
      </c>
      <c r="Z4" s="53" t="s">
        <v>47</v>
      </c>
      <c r="AA4" s="53" t="s">
        <v>55</v>
      </c>
      <c r="AB4" s="53" t="s">
        <v>258</v>
      </c>
      <c r="AE4" s="22" t="s">
        <v>34</v>
      </c>
      <c r="AG4" s="178" t="s">
        <v>371</v>
      </c>
      <c r="AH4" s="67" t="s">
        <v>372</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232</v>
      </c>
      <c r="C5" s="53">
        <v>2019</v>
      </c>
      <c r="D5" s="176" t="s">
        <v>313</v>
      </c>
      <c r="E5" s="53" t="s">
        <v>367</v>
      </c>
      <c r="F5" s="53" t="s">
        <v>368</v>
      </c>
      <c r="G5" s="53" t="s">
        <v>36</v>
      </c>
      <c r="H5" s="53" t="s">
        <v>160</v>
      </c>
      <c r="I5" s="53" t="s">
        <v>159</v>
      </c>
      <c r="J5" s="53" t="s">
        <v>38</v>
      </c>
      <c r="K5" s="53" t="s">
        <v>161</v>
      </c>
      <c r="L5" s="53">
        <v>1</v>
      </c>
      <c r="N5" s="53">
        <v>4</v>
      </c>
      <c r="O5" s="53">
        <v>0.55000000000000004</v>
      </c>
      <c r="P5" s="53">
        <v>0.55000000000000004</v>
      </c>
      <c r="Q5" s="75">
        <f t="shared" si="0"/>
        <v>0.55000000000000004</v>
      </c>
      <c r="R5" s="53">
        <v>18.399999999999999</v>
      </c>
      <c r="S5" s="53">
        <v>82</v>
      </c>
      <c r="T5" s="16">
        <f t="shared" si="1"/>
        <v>39</v>
      </c>
      <c r="U5" s="53">
        <v>427</v>
      </c>
      <c r="V5" s="16">
        <f t="shared" si="2"/>
        <v>4163.25</v>
      </c>
      <c r="W5" s="53">
        <v>2</v>
      </c>
      <c r="X5" s="53" t="s">
        <v>46</v>
      </c>
      <c r="Y5" s="53" t="s">
        <v>69</v>
      </c>
      <c r="Z5" s="53" t="s">
        <v>47</v>
      </c>
      <c r="AA5" s="53" t="s">
        <v>55</v>
      </c>
      <c r="AB5" s="53" t="s">
        <v>258</v>
      </c>
      <c r="AE5" s="22" t="s">
        <v>51</v>
      </c>
      <c r="AG5" s="178" t="s">
        <v>373</v>
      </c>
      <c r="AH5" s="67" t="s">
        <v>374</v>
      </c>
      <c r="AJ5" s="28"/>
      <c r="AL5" s="73" t="s">
        <v>66</v>
      </c>
      <c r="AN5" s="73" t="s">
        <v>52</v>
      </c>
      <c r="AP5" s="23" t="s">
        <v>119</v>
      </c>
      <c r="AR5" s="23" t="s">
        <v>54</v>
      </c>
      <c r="AV5" s="23" t="s">
        <v>55</v>
      </c>
      <c r="AX5" s="24">
        <v>84</v>
      </c>
      <c r="AY5" s="25">
        <v>39</v>
      </c>
      <c r="AZ5" s="25">
        <v>84</v>
      </c>
      <c r="BA5" s="26">
        <v>36</v>
      </c>
    </row>
    <row r="6" spans="1:53" x14ac:dyDescent="0.15">
      <c r="A6" s="53" t="s">
        <v>34</v>
      </c>
      <c r="B6" s="53" t="s">
        <v>232</v>
      </c>
      <c r="C6" s="53">
        <v>2019</v>
      </c>
      <c r="D6" s="176" t="s">
        <v>313</v>
      </c>
      <c r="E6" s="53" t="s">
        <v>367</v>
      </c>
      <c r="F6" s="53" t="s">
        <v>368</v>
      </c>
      <c r="G6" s="53" t="s">
        <v>36</v>
      </c>
      <c r="H6" s="53" t="s">
        <v>160</v>
      </c>
      <c r="I6" s="53" t="s">
        <v>159</v>
      </c>
      <c r="J6" s="53" t="s">
        <v>38</v>
      </c>
      <c r="K6" s="53" t="s">
        <v>161</v>
      </c>
      <c r="L6" s="53">
        <v>2</v>
      </c>
      <c r="N6" s="53">
        <v>4</v>
      </c>
      <c r="O6" s="53">
        <v>0.65</v>
      </c>
      <c r="P6" s="53">
        <v>0.65</v>
      </c>
      <c r="Q6" s="75">
        <f t="shared" si="0"/>
        <v>0.65</v>
      </c>
      <c r="R6" s="53">
        <v>19.3</v>
      </c>
      <c r="S6" s="53">
        <v>89</v>
      </c>
      <c r="T6" s="16">
        <f t="shared" si="1"/>
        <v>36</v>
      </c>
      <c r="U6" s="53">
        <v>427</v>
      </c>
      <c r="V6" s="16">
        <f t="shared" si="2"/>
        <v>3843</v>
      </c>
      <c r="W6" s="53">
        <v>2</v>
      </c>
      <c r="X6" s="53" t="s">
        <v>46</v>
      </c>
      <c r="Y6" s="53" t="s">
        <v>69</v>
      </c>
      <c r="Z6" s="53" t="s">
        <v>47</v>
      </c>
      <c r="AA6" s="53" t="s">
        <v>55</v>
      </c>
      <c r="AB6" s="53" t="s">
        <v>258</v>
      </c>
      <c r="AE6" s="22" t="s">
        <v>56</v>
      </c>
      <c r="AG6" s="178" t="s">
        <v>375</v>
      </c>
      <c r="AH6" s="67" t="s">
        <v>376</v>
      </c>
      <c r="AL6" s="73" t="s">
        <v>99</v>
      </c>
      <c r="AN6" s="73" t="s">
        <v>57</v>
      </c>
      <c r="AP6" s="23" t="s">
        <v>53</v>
      </c>
      <c r="AR6" s="23" t="s">
        <v>59</v>
      </c>
      <c r="AV6" s="23" t="s">
        <v>60</v>
      </c>
      <c r="AX6" s="24">
        <v>97</v>
      </c>
      <c r="AY6" s="25">
        <v>36</v>
      </c>
      <c r="AZ6" s="25">
        <v>99</v>
      </c>
      <c r="BA6" s="26">
        <v>33</v>
      </c>
    </row>
    <row r="7" spans="1:53" x14ac:dyDescent="0.15">
      <c r="A7" s="53" t="s">
        <v>34</v>
      </c>
      <c r="B7" s="53" t="s">
        <v>232</v>
      </c>
      <c r="C7" s="53">
        <v>2019</v>
      </c>
      <c r="D7" s="176" t="s">
        <v>313</v>
      </c>
      <c r="E7" s="53" t="s">
        <v>367</v>
      </c>
      <c r="F7" s="53" t="s">
        <v>368</v>
      </c>
      <c r="G7" s="53" t="s">
        <v>36</v>
      </c>
      <c r="H7" s="53" t="s">
        <v>160</v>
      </c>
      <c r="I7" s="53" t="s">
        <v>159</v>
      </c>
      <c r="J7" s="53" t="s">
        <v>38</v>
      </c>
      <c r="K7" s="53" t="s">
        <v>161</v>
      </c>
      <c r="L7" s="53">
        <v>3</v>
      </c>
      <c r="N7" s="53">
        <v>4</v>
      </c>
      <c r="O7" s="53">
        <v>0.6</v>
      </c>
      <c r="P7" s="53">
        <v>0.5</v>
      </c>
      <c r="Q7" s="75">
        <f t="shared" si="0"/>
        <v>0.55000000000000004</v>
      </c>
      <c r="R7" s="53">
        <v>21</v>
      </c>
      <c r="S7" s="53">
        <v>84</v>
      </c>
      <c r="T7" s="16">
        <f t="shared" si="1"/>
        <v>36</v>
      </c>
      <c r="U7" s="53">
        <v>427</v>
      </c>
      <c r="V7" s="16">
        <f t="shared" si="2"/>
        <v>3843</v>
      </c>
      <c r="W7" s="53">
        <v>2</v>
      </c>
      <c r="X7" s="53" t="s">
        <v>46</v>
      </c>
      <c r="Y7" s="53" t="s">
        <v>69</v>
      </c>
      <c r="Z7" s="53" t="s">
        <v>47</v>
      </c>
      <c r="AA7" s="53" t="s">
        <v>55</v>
      </c>
      <c r="AB7" s="53" t="s">
        <v>258</v>
      </c>
      <c r="AE7" s="22" t="s">
        <v>61</v>
      </c>
      <c r="AG7" s="178" t="s">
        <v>267</v>
      </c>
      <c r="AH7" s="67" t="s">
        <v>377</v>
      </c>
      <c r="AL7" s="34" t="s">
        <v>109</v>
      </c>
      <c r="AP7" s="23" t="s">
        <v>58</v>
      </c>
      <c r="AR7" s="23" t="s">
        <v>122</v>
      </c>
      <c r="AV7" s="23" t="s">
        <v>64</v>
      </c>
      <c r="AX7" s="24">
        <v>109</v>
      </c>
      <c r="AY7" s="25">
        <v>33</v>
      </c>
      <c r="AZ7" s="25">
        <v>113</v>
      </c>
      <c r="BA7" s="26">
        <v>30</v>
      </c>
    </row>
    <row r="8" spans="1:53" x14ac:dyDescent="0.15">
      <c r="A8" s="53" t="s">
        <v>34</v>
      </c>
      <c r="B8" s="53" t="s">
        <v>232</v>
      </c>
      <c r="C8" s="53">
        <v>2019</v>
      </c>
      <c r="D8" s="176" t="s">
        <v>313</v>
      </c>
      <c r="E8" s="53" t="s">
        <v>367</v>
      </c>
      <c r="F8" s="53" t="s">
        <v>368</v>
      </c>
      <c r="G8" s="53" t="s">
        <v>36</v>
      </c>
      <c r="H8" s="53" t="s">
        <v>160</v>
      </c>
      <c r="I8" s="53" t="s">
        <v>159</v>
      </c>
      <c r="J8" s="53" t="s">
        <v>38</v>
      </c>
      <c r="K8" s="53" t="s">
        <v>161</v>
      </c>
      <c r="L8" s="53">
        <v>1</v>
      </c>
      <c r="N8" s="53">
        <v>1</v>
      </c>
      <c r="O8" s="53">
        <v>0.6</v>
      </c>
      <c r="P8" s="53">
        <v>0.2</v>
      </c>
      <c r="Q8" s="75">
        <f t="shared" si="0"/>
        <v>0.4</v>
      </c>
      <c r="R8" s="53">
        <v>0.2</v>
      </c>
      <c r="S8" s="53">
        <v>95</v>
      </c>
      <c r="T8" s="16">
        <f t="shared" si="1"/>
        <v>36</v>
      </c>
      <c r="U8" s="53">
        <v>92</v>
      </c>
      <c r="V8" s="16">
        <f t="shared" si="2"/>
        <v>3312</v>
      </c>
      <c r="W8" s="53">
        <v>2</v>
      </c>
      <c r="X8" s="53" t="s">
        <v>46</v>
      </c>
      <c r="Y8" s="53" t="s">
        <v>69</v>
      </c>
      <c r="Z8" s="53" t="s">
        <v>47</v>
      </c>
      <c r="AA8" s="53" t="s">
        <v>55</v>
      </c>
      <c r="AB8" s="53" t="s">
        <v>258</v>
      </c>
      <c r="AE8" s="22" t="s">
        <v>59</v>
      </c>
      <c r="AG8" s="178" t="s">
        <v>378</v>
      </c>
      <c r="AH8" s="67" t="s">
        <v>379</v>
      </c>
      <c r="AL8" s="34" t="s">
        <v>134</v>
      </c>
      <c r="AP8" s="23" t="s">
        <v>62</v>
      </c>
      <c r="AR8" s="23" t="s">
        <v>81</v>
      </c>
      <c r="AV8" s="23" t="s">
        <v>97</v>
      </c>
      <c r="AX8" s="24">
        <v>151</v>
      </c>
      <c r="AY8" s="25">
        <v>22</v>
      </c>
      <c r="AZ8" s="25">
        <v>152</v>
      </c>
      <c r="BA8" s="26">
        <v>18</v>
      </c>
    </row>
    <row r="9" spans="1:53" x14ac:dyDescent="0.15">
      <c r="A9" s="53" t="s">
        <v>34</v>
      </c>
      <c r="B9" s="53" t="s">
        <v>232</v>
      </c>
      <c r="C9" s="53">
        <v>2019</v>
      </c>
      <c r="D9" s="176" t="s">
        <v>313</v>
      </c>
      <c r="E9" s="53" t="s">
        <v>367</v>
      </c>
      <c r="F9" s="53" t="s">
        <v>368</v>
      </c>
      <c r="G9" s="53" t="s">
        <v>36</v>
      </c>
      <c r="H9" s="53" t="s">
        <v>160</v>
      </c>
      <c r="I9" s="53" t="s">
        <v>159</v>
      </c>
      <c r="J9" s="53" t="s">
        <v>38</v>
      </c>
      <c r="K9" s="53" t="s">
        <v>161</v>
      </c>
      <c r="L9" s="53">
        <v>2</v>
      </c>
      <c r="N9" s="53">
        <v>1</v>
      </c>
      <c r="O9" s="53">
        <v>0.45</v>
      </c>
      <c r="P9" s="53">
        <v>0.5</v>
      </c>
      <c r="Q9" s="75">
        <f t="shared" si="0"/>
        <v>0.47499999999999998</v>
      </c>
      <c r="R9" s="53">
        <v>18.8</v>
      </c>
      <c r="S9" s="53">
        <v>96</v>
      </c>
      <c r="T9" s="16">
        <f t="shared" si="1"/>
        <v>36</v>
      </c>
      <c r="U9" s="53">
        <v>92</v>
      </c>
      <c r="V9" s="16">
        <f t="shared" si="2"/>
        <v>3312</v>
      </c>
      <c r="W9" s="53">
        <v>2</v>
      </c>
      <c r="X9" s="53" t="s">
        <v>46</v>
      </c>
      <c r="Y9" s="53" t="s">
        <v>69</v>
      </c>
      <c r="Z9" s="53" t="s">
        <v>47</v>
      </c>
      <c r="AA9" s="53" t="s">
        <v>55</v>
      </c>
      <c r="AB9" s="53" t="s">
        <v>258</v>
      </c>
      <c r="AE9" s="22" t="s">
        <v>98</v>
      </c>
      <c r="AG9" s="178" t="s">
        <v>380</v>
      </c>
      <c r="AH9" s="67" t="s">
        <v>381</v>
      </c>
      <c r="AL9" s="73"/>
      <c r="AP9" s="23" t="s">
        <v>95</v>
      </c>
      <c r="AR9" s="23" t="s">
        <v>89</v>
      </c>
      <c r="AV9" s="23" t="s">
        <v>102</v>
      </c>
      <c r="AX9" s="31">
        <v>180</v>
      </c>
      <c r="AY9" s="32">
        <v>18</v>
      </c>
      <c r="AZ9" s="32">
        <v>181</v>
      </c>
      <c r="BA9" s="33">
        <v>16</v>
      </c>
    </row>
    <row r="10" spans="1:53" x14ac:dyDescent="0.15">
      <c r="A10" s="53" t="s">
        <v>34</v>
      </c>
      <c r="B10" s="53" t="s">
        <v>232</v>
      </c>
      <c r="C10" s="53">
        <v>2019</v>
      </c>
      <c r="D10" s="176" t="s">
        <v>313</v>
      </c>
      <c r="E10" s="53" t="s">
        <v>367</v>
      </c>
      <c r="F10" s="53" t="s">
        <v>368</v>
      </c>
      <c r="G10" s="53" t="s">
        <v>36</v>
      </c>
      <c r="H10" s="53" t="s">
        <v>160</v>
      </c>
      <c r="I10" s="53" t="s">
        <v>159</v>
      </c>
      <c r="J10" s="53" t="s">
        <v>38</v>
      </c>
      <c r="K10" s="53" t="s">
        <v>161</v>
      </c>
      <c r="L10" s="53">
        <v>3</v>
      </c>
      <c r="N10" s="53">
        <v>1</v>
      </c>
      <c r="O10" s="53">
        <v>0.55000000000000004</v>
      </c>
      <c r="P10" s="53">
        <v>0.55000000000000004</v>
      </c>
      <c r="Q10" s="75">
        <f t="shared" si="0"/>
        <v>0.55000000000000004</v>
      </c>
      <c r="R10" s="53">
        <v>19.3</v>
      </c>
      <c r="S10" s="53">
        <v>106</v>
      </c>
      <c r="T10" s="16">
        <f t="shared" si="1"/>
        <v>33</v>
      </c>
      <c r="U10" s="53">
        <v>92</v>
      </c>
      <c r="V10" s="16">
        <f t="shared" si="2"/>
        <v>3036</v>
      </c>
      <c r="W10" s="53">
        <v>2</v>
      </c>
      <c r="X10" s="53" t="s">
        <v>46</v>
      </c>
      <c r="Y10" s="53" t="s">
        <v>69</v>
      </c>
      <c r="Z10" s="53" t="s">
        <v>47</v>
      </c>
      <c r="AA10" s="53" t="s">
        <v>55</v>
      </c>
      <c r="AB10" s="53" t="s">
        <v>258</v>
      </c>
      <c r="AE10" s="22" t="s">
        <v>103</v>
      </c>
      <c r="AG10" s="178" t="s">
        <v>367</v>
      </c>
      <c r="AH10" s="67" t="s">
        <v>368</v>
      </c>
      <c r="AL10" s="34"/>
      <c r="AP10" s="23" t="s">
        <v>100</v>
      </c>
      <c r="AR10" s="23" t="s">
        <v>123</v>
      </c>
      <c r="AV10" s="23" t="s">
        <v>106</v>
      </c>
    </row>
    <row r="11" spans="1:53" x14ac:dyDescent="0.15">
      <c r="A11" s="53" t="s">
        <v>34</v>
      </c>
      <c r="B11" s="53" t="s">
        <v>232</v>
      </c>
      <c r="C11" s="53">
        <v>2019</v>
      </c>
      <c r="D11" s="176" t="s">
        <v>313</v>
      </c>
      <c r="E11" s="53" t="s">
        <v>367</v>
      </c>
      <c r="F11" s="53" t="s">
        <v>368</v>
      </c>
      <c r="G11" s="53" t="s">
        <v>36</v>
      </c>
      <c r="H11" s="53" t="s">
        <v>194</v>
      </c>
      <c r="I11" s="53" t="s">
        <v>159</v>
      </c>
      <c r="J11" s="53" t="s">
        <v>38</v>
      </c>
      <c r="K11" s="53" t="s">
        <v>161</v>
      </c>
      <c r="L11" s="53">
        <v>1</v>
      </c>
      <c r="N11" s="53">
        <v>4</v>
      </c>
      <c r="O11" s="53">
        <v>0.2</v>
      </c>
      <c r="P11" s="53">
        <v>0.2</v>
      </c>
      <c r="Q11" s="75">
        <f t="shared" si="0"/>
        <v>0.2</v>
      </c>
      <c r="R11" s="53">
        <v>18.399999999999999</v>
      </c>
      <c r="S11" s="53">
        <v>80</v>
      </c>
      <c r="T11" s="16">
        <f t="shared" si="1"/>
        <v>39</v>
      </c>
      <c r="U11" s="53">
        <v>319</v>
      </c>
      <c r="V11" s="16">
        <f t="shared" si="2"/>
        <v>3110.25</v>
      </c>
      <c r="W11" s="53">
        <v>1</v>
      </c>
      <c r="X11" s="53" t="s">
        <v>46</v>
      </c>
      <c r="Y11" s="53" t="s">
        <v>69</v>
      </c>
      <c r="Z11" s="53" t="s">
        <v>47</v>
      </c>
      <c r="AA11" s="53" t="s">
        <v>55</v>
      </c>
      <c r="AB11" s="53" t="s">
        <v>258</v>
      </c>
      <c r="AE11" s="22" t="s">
        <v>65</v>
      </c>
      <c r="AG11" s="178" t="s">
        <v>210</v>
      </c>
      <c r="AH11" s="67" t="s">
        <v>382</v>
      </c>
      <c r="AL11" s="34"/>
      <c r="AP11" s="23" t="s">
        <v>104</v>
      </c>
      <c r="AR11" s="23" t="s">
        <v>87</v>
      </c>
      <c r="AV11" s="23" t="s">
        <v>69</v>
      </c>
    </row>
    <row r="12" spans="1:53" x14ac:dyDescent="0.15">
      <c r="A12" s="53" t="s">
        <v>34</v>
      </c>
      <c r="B12" s="53" t="s">
        <v>232</v>
      </c>
      <c r="C12" s="53">
        <v>2019</v>
      </c>
      <c r="D12" s="176" t="s">
        <v>313</v>
      </c>
      <c r="E12" s="53" t="s">
        <v>367</v>
      </c>
      <c r="F12" s="53" t="s">
        <v>368</v>
      </c>
      <c r="G12" s="53" t="s">
        <v>36</v>
      </c>
      <c r="H12" s="53" t="s">
        <v>194</v>
      </c>
      <c r="I12" s="53" t="s">
        <v>159</v>
      </c>
      <c r="J12" s="53" t="s">
        <v>38</v>
      </c>
      <c r="K12" s="53" t="s">
        <v>161</v>
      </c>
      <c r="L12" s="53">
        <v>2</v>
      </c>
      <c r="N12" s="53">
        <v>4</v>
      </c>
      <c r="O12" s="53">
        <v>0.2</v>
      </c>
      <c r="P12" s="53">
        <v>0.2</v>
      </c>
      <c r="Q12" s="75">
        <f t="shared" si="0"/>
        <v>0.2</v>
      </c>
      <c r="R12" s="53">
        <v>18.7</v>
      </c>
      <c r="S12" s="53">
        <v>80</v>
      </c>
      <c r="T12" s="16">
        <f t="shared" si="1"/>
        <v>39</v>
      </c>
      <c r="U12" s="53">
        <v>319</v>
      </c>
      <c r="V12" s="16">
        <f t="shared" si="2"/>
        <v>3110.25</v>
      </c>
      <c r="W12" s="53">
        <v>1</v>
      </c>
      <c r="X12" s="53" t="s">
        <v>46</v>
      </c>
      <c r="Y12" s="53" t="s">
        <v>69</v>
      </c>
      <c r="Z12" s="53" t="s">
        <v>47</v>
      </c>
      <c r="AA12" s="53" t="s">
        <v>55</v>
      </c>
      <c r="AB12" s="53" t="s">
        <v>258</v>
      </c>
      <c r="AE12" s="22" t="s">
        <v>70</v>
      </c>
      <c r="AG12" s="28"/>
      <c r="AH12" s="23"/>
      <c r="AL12" s="34"/>
      <c r="AP12" s="23" t="s">
        <v>67</v>
      </c>
      <c r="AR12" s="23" t="s">
        <v>124</v>
      </c>
      <c r="AV12" s="23" t="s">
        <v>72</v>
      </c>
    </row>
    <row r="13" spans="1:53" x14ac:dyDescent="0.15">
      <c r="A13" s="53" t="s">
        <v>34</v>
      </c>
      <c r="B13" s="53" t="s">
        <v>232</v>
      </c>
      <c r="C13" s="53">
        <v>2019</v>
      </c>
      <c r="D13" s="176" t="s">
        <v>313</v>
      </c>
      <c r="E13" s="53" t="s">
        <v>367</v>
      </c>
      <c r="F13" s="53" t="s">
        <v>368</v>
      </c>
      <c r="G13" s="53" t="s">
        <v>36</v>
      </c>
      <c r="H13" s="53" t="s">
        <v>194</v>
      </c>
      <c r="I13" s="53" t="s">
        <v>159</v>
      </c>
      <c r="J13" s="53" t="s">
        <v>38</v>
      </c>
      <c r="K13" s="53" t="s">
        <v>161</v>
      </c>
      <c r="L13" s="53">
        <v>3</v>
      </c>
      <c r="N13" s="53">
        <v>4</v>
      </c>
      <c r="O13" s="53">
        <v>0.2</v>
      </c>
      <c r="P13" s="53">
        <v>0.2</v>
      </c>
      <c r="Q13" s="75">
        <f t="shared" si="0"/>
        <v>0.2</v>
      </c>
      <c r="R13" s="53">
        <v>17.100000000000001</v>
      </c>
      <c r="S13" s="53">
        <v>81</v>
      </c>
      <c r="T13" s="16">
        <f t="shared" si="1"/>
        <v>39</v>
      </c>
      <c r="U13" s="53">
        <v>319</v>
      </c>
      <c r="V13" s="16">
        <f t="shared" si="2"/>
        <v>3110.25</v>
      </c>
      <c r="W13" s="53">
        <v>1</v>
      </c>
      <c r="X13" s="53" t="s">
        <v>46</v>
      </c>
      <c r="Y13" s="53" t="s">
        <v>69</v>
      </c>
      <c r="Z13" s="53" t="s">
        <v>47</v>
      </c>
      <c r="AA13" s="53" t="s">
        <v>55</v>
      </c>
      <c r="AB13" s="53" t="s">
        <v>258</v>
      </c>
      <c r="AE13" s="22" t="s">
        <v>73</v>
      </c>
      <c r="AH13" s="28"/>
      <c r="AP13" s="23" t="s">
        <v>71</v>
      </c>
      <c r="AR13" s="23" t="s">
        <v>103</v>
      </c>
      <c r="AV13" s="23" t="s">
        <v>75</v>
      </c>
    </row>
    <row r="14" spans="1:53" x14ac:dyDescent="0.15">
      <c r="A14" s="53" t="s">
        <v>34</v>
      </c>
      <c r="B14" s="53" t="s">
        <v>232</v>
      </c>
      <c r="C14" s="53">
        <v>2019</v>
      </c>
      <c r="D14" s="176" t="s">
        <v>313</v>
      </c>
      <c r="E14" s="53" t="s">
        <v>378</v>
      </c>
      <c r="F14" s="53" t="s">
        <v>379</v>
      </c>
      <c r="G14" s="53" t="s">
        <v>36</v>
      </c>
      <c r="H14" s="53" t="s">
        <v>164</v>
      </c>
      <c r="I14" s="53" t="s">
        <v>159</v>
      </c>
      <c r="J14" s="53" t="s">
        <v>38</v>
      </c>
      <c r="K14" s="53" t="s">
        <v>161</v>
      </c>
      <c r="L14" s="53">
        <v>1</v>
      </c>
      <c r="N14" s="53">
        <v>1</v>
      </c>
      <c r="O14" s="53">
        <v>0.8</v>
      </c>
      <c r="P14" s="53">
        <v>0.75</v>
      </c>
      <c r="Q14" s="75">
        <f t="shared" si="0"/>
        <v>0.77500000000000002</v>
      </c>
      <c r="R14" s="53">
        <v>16.7</v>
      </c>
      <c r="S14" s="53">
        <v>129</v>
      </c>
      <c r="T14" s="16">
        <f t="shared" si="1"/>
        <v>30</v>
      </c>
      <c r="U14" s="53">
        <v>105</v>
      </c>
      <c r="V14" s="16">
        <f t="shared" si="2"/>
        <v>3150</v>
      </c>
      <c r="W14" s="53">
        <v>3</v>
      </c>
      <c r="X14" s="53" t="s">
        <v>46</v>
      </c>
      <c r="Y14" s="53" t="s">
        <v>69</v>
      </c>
      <c r="Z14" s="53" t="s">
        <v>55</v>
      </c>
      <c r="AA14" s="53" t="s">
        <v>90</v>
      </c>
      <c r="AB14" s="53" t="s">
        <v>258</v>
      </c>
      <c r="AE14" s="22" t="s">
        <v>76</v>
      </c>
      <c r="AG14" s="179"/>
      <c r="AP14" s="23" t="s">
        <v>74</v>
      </c>
      <c r="AR14" s="23" t="s">
        <v>125</v>
      </c>
      <c r="AV14" s="23" t="s">
        <v>78</v>
      </c>
    </row>
    <row r="15" spans="1:53" x14ac:dyDescent="0.15">
      <c r="A15" s="53" t="s">
        <v>34</v>
      </c>
      <c r="B15" s="53" t="s">
        <v>232</v>
      </c>
      <c r="C15" s="53">
        <v>2019</v>
      </c>
      <c r="D15" s="176" t="s">
        <v>313</v>
      </c>
      <c r="E15" s="53" t="s">
        <v>378</v>
      </c>
      <c r="F15" s="53" t="s">
        <v>379</v>
      </c>
      <c r="G15" s="53" t="s">
        <v>36</v>
      </c>
      <c r="H15" s="53" t="s">
        <v>164</v>
      </c>
      <c r="I15" s="53" t="s">
        <v>159</v>
      </c>
      <c r="J15" s="53" t="s">
        <v>38</v>
      </c>
      <c r="K15" s="53" t="s">
        <v>161</v>
      </c>
      <c r="L15" s="53">
        <v>2</v>
      </c>
      <c r="N15" s="53">
        <v>1</v>
      </c>
      <c r="O15" s="53">
        <v>1.1499999999999999</v>
      </c>
      <c r="P15" s="53">
        <v>1.2</v>
      </c>
      <c r="Q15" s="75">
        <f t="shared" si="0"/>
        <v>1.1749999999999998</v>
      </c>
      <c r="R15" s="53">
        <v>17.5</v>
      </c>
      <c r="S15" s="53">
        <v>131</v>
      </c>
      <c r="T15" s="16">
        <f t="shared" si="1"/>
        <v>30</v>
      </c>
      <c r="U15" s="53">
        <v>105</v>
      </c>
      <c r="V15" s="16">
        <f t="shared" si="2"/>
        <v>3150</v>
      </c>
      <c r="W15" s="53">
        <v>3</v>
      </c>
      <c r="X15" s="53" t="s">
        <v>46</v>
      </c>
      <c r="Y15" s="53" t="s">
        <v>69</v>
      </c>
      <c r="Z15" s="53" t="s">
        <v>55</v>
      </c>
      <c r="AA15" s="53" t="s">
        <v>90</v>
      </c>
      <c r="AB15" s="53" t="s">
        <v>258</v>
      </c>
      <c r="AE15" s="22" t="s">
        <v>79</v>
      </c>
      <c r="AP15" s="23" t="s">
        <v>77</v>
      </c>
      <c r="AR15" s="23" t="s">
        <v>94</v>
      </c>
      <c r="AV15" s="23" t="s">
        <v>107</v>
      </c>
    </row>
    <row r="16" spans="1:53" x14ac:dyDescent="0.15">
      <c r="A16" s="53" t="s">
        <v>34</v>
      </c>
      <c r="B16" s="53" t="s">
        <v>232</v>
      </c>
      <c r="C16" s="53">
        <v>2019</v>
      </c>
      <c r="D16" s="176" t="s">
        <v>313</v>
      </c>
      <c r="E16" s="53" t="s">
        <v>378</v>
      </c>
      <c r="F16" s="53" t="s">
        <v>379</v>
      </c>
      <c r="G16" s="53" t="s">
        <v>36</v>
      </c>
      <c r="H16" s="53" t="s">
        <v>164</v>
      </c>
      <c r="I16" s="53" t="s">
        <v>159</v>
      </c>
      <c r="J16" s="53" t="s">
        <v>38</v>
      </c>
      <c r="K16" s="53" t="s">
        <v>161</v>
      </c>
      <c r="L16" s="53">
        <v>3</v>
      </c>
      <c r="N16" s="53">
        <v>1</v>
      </c>
      <c r="O16" s="53">
        <v>1.05</v>
      </c>
      <c r="P16" s="53">
        <v>1.1000000000000001</v>
      </c>
      <c r="Q16" s="75">
        <f t="shared" si="0"/>
        <v>1.0750000000000002</v>
      </c>
      <c r="R16" s="53">
        <v>17.899999999999999</v>
      </c>
      <c r="S16" s="53">
        <v>133</v>
      </c>
      <c r="T16" s="16">
        <f t="shared" si="1"/>
        <v>30</v>
      </c>
      <c r="U16" s="53">
        <v>105</v>
      </c>
      <c r="V16" s="16">
        <f t="shared" si="2"/>
        <v>3150</v>
      </c>
      <c r="W16" s="53">
        <v>3</v>
      </c>
      <c r="X16" s="53" t="s">
        <v>46</v>
      </c>
      <c r="Y16" s="53" t="s">
        <v>69</v>
      </c>
      <c r="Z16" s="53" t="s">
        <v>55</v>
      </c>
      <c r="AA16" s="53" t="s">
        <v>90</v>
      </c>
      <c r="AB16" s="53" t="s">
        <v>258</v>
      </c>
      <c r="AE16" s="22" t="s">
        <v>82</v>
      </c>
      <c r="AP16" s="23" t="s">
        <v>80</v>
      </c>
      <c r="AR16" s="23" t="s">
        <v>63</v>
      </c>
      <c r="AV16" s="23" t="s">
        <v>84</v>
      </c>
    </row>
    <row r="17" spans="1:48" x14ac:dyDescent="0.15">
      <c r="A17" s="53" t="s">
        <v>34</v>
      </c>
      <c r="B17" s="53" t="s">
        <v>232</v>
      </c>
      <c r="C17" s="53">
        <v>2019</v>
      </c>
      <c r="D17" s="176" t="s">
        <v>313</v>
      </c>
      <c r="E17" s="53" t="s">
        <v>378</v>
      </c>
      <c r="F17" s="53" t="s">
        <v>379</v>
      </c>
      <c r="G17" s="53" t="s">
        <v>36</v>
      </c>
      <c r="H17" s="53" t="s">
        <v>164</v>
      </c>
      <c r="I17" s="53" t="s">
        <v>159</v>
      </c>
      <c r="J17" s="53" t="s">
        <v>38</v>
      </c>
      <c r="K17" s="53" t="s">
        <v>161</v>
      </c>
      <c r="L17" s="53">
        <v>1</v>
      </c>
      <c r="N17" s="53">
        <v>8</v>
      </c>
      <c r="O17" s="53">
        <v>0.65</v>
      </c>
      <c r="P17" s="53">
        <v>0.65</v>
      </c>
      <c r="Q17" s="75">
        <f t="shared" si="0"/>
        <v>0.65</v>
      </c>
      <c r="R17" s="53">
        <v>17.100000000000001</v>
      </c>
      <c r="S17" s="53">
        <v>81</v>
      </c>
      <c r="T17" s="16">
        <f t="shared" si="1"/>
        <v>39</v>
      </c>
      <c r="U17" s="53">
        <v>410</v>
      </c>
      <c r="V17" s="16">
        <f t="shared" si="2"/>
        <v>1998.75</v>
      </c>
      <c r="W17" s="53">
        <v>3</v>
      </c>
      <c r="X17" s="53" t="s">
        <v>46</v>
      </c>
      <c r="Y17" s="53" t="s">
        <v>69</v>
      </c>
      <c r="Z17" s="53" t="s">
        <v>55</v>
      </c>
      <c r="AA17" s="53" t="s">
        <v>90</v>
      </c>
      <c r="AB17" s="53" t="s">
        <v>258</v>
      </c>
      <c r="AE17" s="22" t="s">
        <v>85</v>
      </c>
      <c r="AP17" s="27" t="s">
        <v>110</v>
      </c>
      <c r="AR17" s="23" t="s">
        <v>96</v>
      </c>
      <c r="AV17" s="23" t="s">
        <v>86</v>
      </c>
    </row>
    <row r="18" spans="1:48" x14ac:dyDescent="0.15">
      <c r="A18" s="53" t="s">
        <v>34</v>
      </c>
      <c r="B18" s="53" t="s">
        <v>232</v>
      </c>
      <c r="C18" s="53">
        <v>2019</v>
      </c>
      <c r="D18" s="176" t="s">
        <v>313</v>
      </c>
      <c r="E18" s="53" t="s">
        <v>378</v>
      </c>
      <c r="F18" s="53" t="s">
        <v>379</v>
      </c>
      <c r="G18" s="53" t="s">
        <v>36</v>
      </c>
      <c r="H18" s="53" t="s">
        <v>164</v>
      </c>
      <c r="I18" s="53" t="s">
        <v>159</v>
      </c>
      <c r="J18" s="53" t="s">
        <v>38</v>
      </c>
      <c r="K18" s="53" t="s">
        <v>161</v>
      </c>
      <c r="L18" s="53">
        <v>2</v>
      </c>
      <c r="N18" s="53">
        <v>8</v>
      </c>
      <c r="O18" s="53">
        <v>0.55000000000000004</v>
      </c>
      <c r="P18" s="53">
        <v>0.7</v>
      </c>
      <c r="Q18" s="75">
        <f t="shared" si="0"/>
        <v>0.625</v>
      </c>
      <c r="R18" s="53">
        <v>18.2</v>
      </c>
      <c r="S18" s="53">
        <v>92</v>
      </c>
      <c r="T18" s="16">
        <f t="shared" si="1"/>
        <v>36</v>
      </c>
      <c r="U18" s="53">
        <v>410</v>
      </c>
      <c r="V18" s="16">
        <f t="shared" si="2"/>
        <v>1845</v>
      </c>
      <c r="W18" s="53">
        <v>3</v>
      </c>
      <c r="X18" s="53" t="s">
        <v>46</v>
      </c>
      <c r="Y18" s="53" t="s">
        <v>69</v>
      </c>
      <c r="Z18" s="53" t="s">
        <v>55</v>
      </c>
      <c r="AA18" s="53" t="s">
        <v>90</v>
      </c>
      <c r="AB18" s="53" t="s">
        <v>258</v>
      </c>
      <c r="AE18" s="22" t="s">
        <v>87</v>
      </c>
      <c r="AP18" s="27" t="s">
        <v>111</v>
      </c>
      <c r="AR18" s="23" t="s">
        <v>101</v>
      </c>
      <c r="AV18" s="23" t="s">
        <v>88</v>
      </c>
    </row>
    <row r="19" spans="1:48" x14ac:dyDescent="0.15">
      <c r="A19" s="53" t="s">
        <v>34</v>
      </c>
      <c r="B19" s="53" t="s">
        <v>232</v>
      </c>
      <c r="C19" s="53">
        <v>2019</v>
      </c>
      <c r="D19" s="176" t="s">
        <v>313</v>
      </c>
      <c r="E19" s="53" t="s">
        <v>378</v>
      </c>
      <c r="F19" s="53" t="s">
        <v>379</v>
      </c>
      <c r="G19" s="53" t="s">
        <v>36</v>
      </c>
      <c r="H19" s="53" t="s">
        <v>164</v>
      </c>
      <c r="I19" s="53" t="s">
        <v>159</v>
      </c>
      <c r="J19" s="53" t="s">
        <v>38</v>
      </c>
      <c r="K19" s="53" t="s">
        <v>161</v>
      </c>
      <c r="L19" s="53">
        <v>3</v>
      </c>
      <c r="N19" s="53">
        <v>8</v>
      </c>
      <c r="O19" s="53">
        <v>0.8</v>
      </c>
      <c r="P19" s="53">
        <v>0.75</v>
      </c>
      <c r="Q19" s="75">
        <f t="shared" si="0"/>
        <v>0.77500000000000002</v>
      </c>
      <c r="R19" s="53">
        <v>18.7</v>
      </c>
      <c r="S19" s="53">
        <v>92</v>
      </c>
      <c r="T19" s="16">
        <f t="shared" si="1"/>
        <v>36</v>
      </c>
      <c r="U19" s="53">
        <v>410</v>
      </c>
      <c r="V19" s="16">
        <f t="shared" si="2"/>
        <v>1845</v>
      </c>
      <c r="W19" s="53">
        <v>3</v>
      </c>
      <c r="X19" s="53" t="s">
        <v>46</v>
      </c>
      <c r="Y19" s="53" t="s">
        <v>69</v>
      </c>
      <c r="Z19" s="53" t="s">
        <v>55</v>
      </c>
      <c r="AA19" s="53" t="s">
        <v>90</v>
      </c>
      <c r="AB19" s="53" t="s">
        <v>258</v>
      </c>
      <c r="AE19" s="35" t="s">
        <v>89</v>
      </c>
      <c r="AP19" s="27" t="s">
        <v>112</v>
      </c>
      <c r="AR19" s="23" t="s">
        <v>126</v>
      </c>
      <c r="AV19" s="23" t="s">
        <v>90</v>
      </c>
    </row>
    <row r="20" spans="1:48" x14ac:dyDescent="0.15">
      <c r="A20" s="53" t="s">
        <v>34</v>
      </c>
      <c r="B20" s="53" t="s">
        <v>232</v>
      </c>
      <c r="C20" s="53">
        <v>2019</v>
      </c>
      <c r="D20" s="176" t="s">
        <v>313</v>
      </c>
      <c r="E20" s="53" t="s">
        <v>378</v>
      </c>
      <c r="F20" s="53" t="s">
        <v>379</v>
      </c>
      <c r="G20" s="53" t="s">
        <v>36</v>
      </c>
      <c r="H20" s="53" t="s">
        <v>160</v>
      </c>
      <c r="I20" s="53" t="s">
        <v>159</v>
      </c>
      <c r="J20" s="53" t="s">
        <v>38</v>
      </c>
      <c r="K20" s="53" t="s">
        <v>161</v>
      </c>
      <c r="L20" s="53">
        <v>1</v>
      </c>
      <c r="N20" s="53">
        <v>1</v>
      </c>
      <c r="O20" s="53">
        <v>0.75</v>
      </c>
      <c r="P20" s="53">
        <v>0.7</v>
      </c>
      <c r="Q20" s="75">
        <f t="shared" si="0"/>
        <v>0.72499999999999998</v>
      </c>
      <c r="R20" s="53">
        <v>19.2</v>
      </c>
      <c r="S20" s="53">
        <v>132</v>
      </c>
      <c r="T20" s="16">
        <f t="shared" si="1"/>
        <v>30</v>
      </c>
      <c r="U20" s="53">
        <v>105</v>
      </c>
      <c r="V20" s="16">
        <f t="shared" si="2"/>
        <v>3150</v>
      </c>
      <c r="W20" s="53">
        <v>9</v>
      </c>
      <c r="X20" s="53" t="s">
        <v>46</v>
      </c>
      <c r="Y20" s="53" t="s">
        <v>69</v>
      </c>
      <c r="Z20" s="53" t="s">
        <v>55</v>
      </c>
      <c r="AA20" s="53" t="s">
        <v>90</v>
      </c>
      <c r="AB20" s="53" t="s">
        <v>258</v>
      </c>
      <c r="AP20" s="27" t="s">
        <v>113</v>
      </c>
      <c r="AR20" s="23" t="s">
        <v>105</v>
      </c>
      <c r="AV20" s="27" t="s">
        <v>135</v>
      </c>
    </row>
    <row r="21" spans="1:48" x14ac:dyDescent="0.15">
      <c r="A21" s="53" t="s">
        <v>34</v>
      </c>
      <c r="B21" s="53" t="s">
        <v>232</v>
      </c>
      <c r="C21" s="53">
        <v>2019</v>
      </c>
      <c r="D21" s="176" t="s">
        <v>313</v>
      </c>
      <c r="E21" s="53" t="s">
        <v>378</v>
      </c>
      <c r="F21" s="53" t="s">
        <v>379</v>
      </c>
      <c r="G21" s="53" t="s">
        <v>36</v>
      </c>
      <c r="H21" s="53" t="s">
        <v>160</v>
      </c>
      <c r="I21" s="53" t="s">
        <v>159</v>
      </c>
      <c r="J21" s="53" t="s">
        <v>38</v>
      </c>
      <c r="K21" s="53" t="s">
        <v>161</v>
      </c>
      <c r="L21" s="53">
        <v>2</v>
      </c>
      <c r="N21" s="53">
        <v>1</v>
      </c>
      <c r="O21" s="53">
        <v>0.6</v>
      </c>
      <c r="P21" s="53">
        <v>0.7</v>
      </c>
      <c r="Q21" s="75">
        <f t="shared" si="0"/>
        <v>0.64999999999999991</v>
      </c>
      <c r="R21" s="53">
        <v>17.3</v>
      </c>
      <c r="S21" s="53">
        <v>133</v>
      </c>
      <c r="T21" s="16">
        <f t="shared" si="1"/>
        <v>30</v>
      </c>
      <c r="U21" s="53">
        <v>105</v>
      </c>
      <c r="V21" s="16">
        <f t="shared" si="2"/>
        <v>3150</v>
      </c>
      <c r="W21" s="53">
        <v>9</v>
      </c>
      <c r="X21" s="53" t="s">
        <v>46</v>
      </c>
      <c r="Y21" s="53" t="s">
        <v>69</v>
      </c>
      <c r="Z21" s="53" t="s">
        <v>55</v>
      </c>
      <c r="AA21" s="53" t="s">
        <v>90</v>
      </c>
      <c r="AB21" s="53" t="s">
        <v>258</v>
      </c>
      <c r="AP21" s="27" t="s">
        <v>114</v>
      </c>
      <c r="AR21" s="23" t="s">
        <v>68</v>
      </c>
      <c r="AV21" s="27" t="s">
        <v>136</v>
      </c>
    </row>
    <row r="22" spans="1:48" x14ac:dyDescent="0.15">
      <c r="A22" s="53" t="s">
        <v>34</v>
      </c>
      <c r="B22" s="53" t="s">
        <v>232</v>
      </c>
      <c r="C22" s="53">
        <v>2019</v>
      </c>
      <c r="D22" s="176" t="s">
        <v>313</v>
      </c>
      <c r="E22" s="53" t="s">
        <v>378</v>
      </c>
      <c r="F22" s="53" t="s">
        <v>379</v>
      </c>
      <c r="G22" s="53" t="s">
        <v>36</v>
      </c>
      <c r="H22" s="53" t="s">
        <v>383</v>
      </c>
      <c r="I22" s="53" t="s">
        <v>159</v>
      </c>
      <c r="J22" s="53" t="s">
        <v>38</v>
      </c>
      <c r="K22" s="53" t="s">
        <v>161</v>
      </c>
      <c r="L22" s="53">
        <v>3</v>
      </c>
      <c r="N22" s="53">
        <v>1</v>
      </c>
      <c r="O22" s="53">
        <v>0.75</v>
      </c>
      <c r="P22" s="53">
        <v>0.7</v>
      </c>
      <c r="Q22" s="75">
        <f t="shared" si="0"/>
        <v>0.72499999999999998</v>
      </c>
      <c r="R22" s="53">
        <v>18.2</v>
      </c>
      <c r="S22" s="53">
        <v>126</v>
      </c>
      <c r="T22" s="16">
        <f t="shared" si="1"/>
        <v>30</v>
      </c>
      <c r="U22" s="53">
        <v>105</v>
      </c>
      <c r="V22" s="16">
        <f t="shared" si="2"/>
        <v>3150</v>
      </c>
      <c r="W22" s="53">
        <v>9</v>
      </c>
      <c r="X22" s="53" t="s">
        <v>46</v>
      </c>
      <c r="Y22" s="53" t="s">
        <v>69</v>
      </c>
      <c r="Z22" s="53" t="s">
        <v>55</v>
      </c>
      <c r="AA22" s="53" t="s">
        <v>90</v>
      </c>
      <c r="AB22" s="53" t="s">
        <v>258</v>
      </c>
      <c r="AP22" s="27" t="s">
        <v>115</v>
      </c>
      <c r="AR22" s="23" t="s">
        <v>83</v>
      </c>
      <c r="AV22" s="27"/>
    </row>
    <row r="23" spans="1:48" x14ac:dyDescent="0.15">
      <c r="A23" s="53" t="s">
        <v>34</v>
      </c>
      <c r="B23" s="53" t="s">
        <v>232</v>
      </c>
      <c r="C23" s="53">
        <v>2019</v>
      </c>
      <c r="D23" s="176" t="s">
        <v>313</v>
      </c>
      <c r="E23" s="53" t="s">
        <v>378</v>
      </c>
      <c r="F23" s="53" t="s">
        <v>379</v>
      </c>
      <c r="G23" s="53" t="s">
        <v>36</v>
      </c>
      <c r="H23" s="53" t="s">
        <v>383</v>
      </c>
      <c r="I23" s="53" t="s">
        <v>159</v>
      </c>
      <c r="J23" s="53" t="s">
        <v>38</v>
      </c>
      <c r="K23" s="53" t="s">
        <v>161</v>
      </c>
      <c r="L23" s="53">
        <v>1</v>
      </c>
      <c r="N23" s="53">
        <v>8</v>
      </c>
      <c r="O23" s="53">
        <v>0.2</v>
      </c>
      <c r="P23" s="53">
        <v>0.2</v>
      </c>
      <c r="Q23" s="75">
        <f t="shared" si="0"/>
        <v>0.2</v>
      </c>
      <c r="R23" s="53">
        <v>13.9</v>
      </c>
      <c r="S23" s="53">
        <v>83</v>
      </c>
      <c r="T23" s="16">
        <f t="shared" si="1"/>
        <v>39</v>
      </c>
      <c r="U23" s="53">
        <v>537</v>
      </c>
      <c r="V23" s="16">
        <f t="shared" si="2"/>
        <v>2617.875</v>
      </c>
      <c r="W23" s="53">
        <v>9</v>
      </c>
      <c r="X23" s="53" t="s">
        <v>46</v>
      </c>
      <c r="Y23" s="53" t="s">
        <v>69</v>
      </c>
      <c r="Z23" s="53" t="s">
        <v>55</v>
      </c>
      <c r="AA23" s="53" t="s">
        <v>90</v>
      </c>
      <c r="AB23" s="53" t="s">
        <v>258</v>
      </c>
      <c r="AP23" s="27" t="s">
        <v>117</v>
      </c>
      <c r="AR23" s="23" t="s">
        <v>153</v>
      </c>
    </row>
    <row r="24" spans="1:48" x14ac:dyDescent="0.15">
      <c r="A24" s="53" t="s">
        <v>34</v>
      </c>
      <c r="B24" s="53" t="s">
        <v>232</v>
      </c>
      <c r="C24" s="53">
        <v>2019</v>
      </c>
      <c r="D24" s="176" t="s">
        <v>313</v>
      </c>
      <c r="E24" s="53" t="s">
        <v>378</v>
      </c>
      <c r="F24" s="53" t="s">
        <v>379</v>
      </c>
      <c r="G24" s="53" t="s">
        <v>36</v>
      </c>
      <c r="H24" s="53" t="s">
        <v>383</v>
      </c>
      <c r="I24" s="53" t="s">
        <v>159</v>
      </c>
      <c r="J24" s="53" t="s">
        <v>38</v>
      </c>
      <c r="K24" s="53" t="s">
        <v>161</v>
      </c>
      <c r="L24" s="53">
        <v>2</v>
      </c>
      <c r="N24" s="53">
        <v>8</v>
      </c>
      <c r="O24" s="53">
        <v>0.2</v>
      </c>
      <c r="P24" s="53">
        <v>0.2</v>
      </c>
      <c r="Q24" s="75">
        <f t="shared" si="0"/>
        <v>0.2</v>
      </c>
      <c r="R24" s="53">
        <v>16.7</v>
      </c>
      <c r="S24" s="53">
        <v>85</v>
      </c>
      <c r="T24" s="16">
        <f t="shared" si="1"/>
        <v>36</v>
      </c>
      <c r="U24" s="53">
        <v>537</v>
      </c>
      <c r="V24" s="16">
        <f t="shared" si="2"/>
        <v>2416.5</v>
      </c>
      <c r="W24" s="53">
        <v>9</v>
      </c>
      <c r="X24" s="53" t="s">
        <v>46</v>
      </c>
      <c r="Y24" s="53" t="s">
        <v>69</v>
      </c>
      <c r="Z24" s="53" t="s">
        <v>55</v>
      </c>
      <c r="AA24" s="53" t="s">
        <v>90</v>
      </c>
      <c r="AB24" s="53" t="s">
        <v>258</v>
      </c>
      <c r="AP24" s="27" t="s">
        <v>118</v>
      </c>
    </row>
    <row r="25" spans="1:48" x14ac:dyDescent="0.15">
      <c r="A25" s="53" t="s">
        <v>34</v>
      </c>
      <c r="B25" s="53" t="s">
        <v>232</v>
      </c>
      <c r="C25" s="53">
        <v>2019</v>
      </c>
      <c r="D25" s="176" t="s">
        <v>313</v>
      </c>
      <c r="E25" s="53" t="s">
        <v>378</v>
      </c>
      <c r="F25" s="53" t="s">
        <v>379</v>
      </c>
      <c r="G25" s="53" t="s">
        <v>36</v>
      </c>
      <c r="H25" s="53" t="s">
        <v>383</v>
      </c>
      <c r="I25" s="53" t="s">
        <v>159</v>
      </c>
      <c r="J25" s="53" t="s">
        <v>38</v>
      </c>
      <c r="K25" s="53" t="s">
        <v>161</v>
      </c>
      <c r="L25" s="53">
        <v>3</v>
      </c>
      <c r="N25" s="53">
        <v>8</v>
      </c>
      <c r="O25" s="53">
        <v>0.2</v>
      </c>
      <c r="P25" s="53">
        <v>0.55000000000000004</v>
      </c>
      <c r="Q25" s="75">
        <f t="shared" si="0"/>
        <v>0.375</v>
      </c>
      <c r="R25" s="53">
        <v>16.8</v>
      </c>
      <c r="S25" s="53">
        <v>83</v>
      </c>
      <c r="T25" s="16">
        <f t="shared" si="1"/>
        <v>39</v>
      </c>
      <c r="U25" s="53">
        <v>537</v>
      </c>
      <c r="V25" s="16">
        <f t="shared" si="2"/>
        <v>2617.875</v>
      </c>
      <c r="W25" s="53">
        <v>9</v>
      </c>
      <c r="X25" s="53" t="s">
        <v>46</v>
      </c>
      <c r="Y25" s="53" t="s">
        <v>69</v>
      </c>
      <c r="Z25" s="53" t="s">
        <v>55</v>
      </c>
      <c r="AA25" s="53" t="s">
        <v>90</v>
      </c>
      <c r="AB25" s="53" t="s">
        <v>258</v>
      </c>
    </row>
    <row r="26" spans="1:48" x14ac:dyDescent="0.15">
      <c r="A26" s="53" t="s">
        <v>34</v>
      </c>
      <c r="B26" s="53" t="s">
        <v>232</v>
      </c>
      <c r="C26" s="53">
        <v>2019</v>
      </c>
      <c r="D26" s="176" t="s">
        <v>313</v>
      </c>
      <c r="E26" s="53" t="s">
        <v>210</v>
      </c>
      <c r="F26" s="53" t="s">
        <v>382</v>
      </c>
      <c r="G26" s="53" t="s">
        <v>36</v>
      </c>
      <c r="H26" s="53" t="s">
        <v>164</v>
      </c>
      <c r="I26" s="53" t="s">
        <v>159</v>
      </c>
      <c r="J26" s="53" t="s">
        <v>38</v>
      </c>
      <c r="K26" s="53" t="s">
        <v>161</v>
      </c>
      <c r="L26" s="53">
        <v>1</v>
      </c>
      <c r="N26" s="53">
        <v>1</v>
      </c>
      <c r="O26" s="53">
        <v>0.65</v>
      </c>
      <c r="P26" s="53">
        <v>0.6</v>
      </c>
      <c r="Q26" s="75">
        <f t="shared" si="0"/>
        <v>0.625</v>
      </c>
      <c r="R26" s="53">
        <v>16.100000000000001</v>
      </c>
      <c r="S26" s="53">
        <v>108</v>
      </c>
      <c r="T26" s="16">
        <f t="shared" si="1"/>
        <v>33</v>
      </c>
      <c r="U26" s="53">
        <v>96</v>
      </c>
      <c r="V26" s="16">
        <f t="shared" si="2"/>
        <v>3168</v>
      </c>
      <c r="W26" s="53">
        <v>5</v>
      </c>
      <c r="X26" s="53" t="s">
        <v>46</v>
      </c>
      <c r="Y26" s="53" t="s">
        <v>55</v>
      </c>
      <c r="Z26" s="53" t="s">
        <v>97</v>
      </c>
      <c r="AA26" s="53" t="s">
        <v>64</v>
      </c>
      <c r="AB26" s="53" t="s">
        <v>258</v>
      </c>
    </row>
    <row r="27" spans="1:48" x14ac:dyDescent="0.15">
      <c r="A27" s="53" t="s">
        <v>34</v>
      </c>
      <c r="B27" s="53" t="s">
        <v>232</v>
      </c>
      <c r="C27" s="53">
        <v>2019</v>
      </c>
      <c r="D27" s="176" t="s">
        <v>313</v>
      </c>
      <c r="E27" s="53" t="s">
        <v>210</v>
      </c>
      <c r="F27" s="53" t="s">
        <v>382</v>
      </c>
      <c r="G27" s="53" t="s">
        <v>36</v>
      </c>
      <c r="H27" s="53" t="s">
        <v>164</v>
      </c>
      <c r="I27" s="53" t="s">
        <v>159</v>
      </c>
      <c r="J27" s="53" t="s">
        <v>38</v>
      </c>
      <c r="K27" s="53" t="s">
        <v>161</v>
      </c>
      <c r="L27" s="53">
        <v>2</v>
      </c>
      <c r="N27" s="53">
        <v>1</v>
      </c>
      <c r="O27" s="53">
        <v>0.8</v>
      </c>
      <c r="P27" s="53">
        <v>0.8</v>
      </c>
      <c r="Q27" s="75">
        <f t="shared" si="0"/>
        <v>0.8</v>
      </c>
      <c r="R27" s="53">
        <v>17.2</v>
      </c>
      <c r="S27" s="53">
        <v>111</v>
      </c>
      <c r="T27" s="16">
        <f t="shared" si="1"/>
        <v>33</v>
      </c>
      <c r="U27" s="53">
        <v>96</v>
      </c>
      <c r="V27" s="16">
        <f t="shared" si="2"/>
        <v>3168</v>
      </c>
      <c r="W27" s="53">
        <v>5</v>
      </c>
      <c r="X27" s="53" t="s">
        <v>46</v>
      </c>
      <c r="Y27" s="53" t="s">
        <v>55</v>
      </c>
      <c r="Z27" s="53" t="s">
        <v>97</v>
      </c>
      <c r="AA27" s="53" t="s">
        <v>64</v>
      </c>
      <c r="AB27" s="53" t="s">
        <v>258</v>
      </c>
    </row>
    <row r="28" spans="1:48" x14ac:dyDescent="0.15">
      <c r="A28" s="53" t="s">
        <v>34</v>
      </c>
      <c r="B28" s="53" t="s">
        <v>232</v>
      </c>
      <c r="C28" s="53">
        <v>2019</v>
      </c>
      <c r="D28" s="176" t="s">
        <v>313</v>
      </c>
      <c r="E28" s="53" t="s">
        <v>210</v>
      </c>
      <c r="F28" s="53" t="s">
        <v>382</v>
      </c>
      <c r="G28" s="53" t="s">
        <v>36</v>
      </c>
      <c r="H28" s="53" t="s">
        <v>164</v>
      </c>
      <c r="I28" s="53" t="s">
        <v>159</v>
      </c>
      <c r="J28" s="53" t="s">
        <v>38</v>
      </c>
      <c r="K28" s="53" t="s">
        <v>161</v>
      </c>
      <c r="L28" s="53">
        <v>3</v>
      </c>
      <c r="N28" s="53">
        <v>1</v>
      </c>
      <c r="O28" s="53">
        <v>0.9</v>
      </c>
      <c r="P28" s="53">
        <v>0.75</v>
      </c>
      <c r="Q28" s="75">
        <f>IF(OR(O28="",P28=""),"",AVERAGE(O28,P28))</f>
        <v>0.82499999999999996</v>
      </c>
      <c r="R28" s="53">
        <v>16.8</v>
      </c>
      <c r="S28" s="53">
        <v>107</v>
      </c>
      <c r="T28" s="16">
        <f t="shared" si="1"/>
        <v>33</v>
      </c>
      <c r="U28" s="53">
        <v>96</v>
      </c>
      <c r="V28" s="16">
        <f t="shared" si="2"/>
        <v>3168</v>
      </c>
      <c r="W28" s="53">
        <v>5</v>
      </c>
      <c r="X28" s="53" t="s">
        <v>46</v>
      </c>
      <c r="Y28" s="53" t="s">
        <v>55</v>
      </c>
      <c r="Z28" s="53" t="s">
        <v>97</v>
      </c>
      <c r="AA28" s="53" t="s">
        <v>64</v>
      </c>
      <c r="AB28" s="53" t="s">
        <v>258</v>
      </c>
    </row>
    <row r="29" spans="1:48" x14ac:dyDescent="0.15">
      <c r="A29" s="53" t="s">
        <v>34</v>
      </c>
      <c r="B29" s="53" t="s">
        <v>232</v>
      </c>
      <c r="C29" s="53">
        <v>2019</v>
      </c>
      <c r="D29" s="176" t="s">
        <v>313</v>
      </c>
      <c r="E29" s="53" t="s">
        <v>210</v>
      </c>
      <c r="F29" s="53" t="s">
        <v>382</v>
      </c>
      <c r="G29" s="53" t="s">
        <v>36</v>
      </c>
      <c r="H29" s="53" t="s">
        <v>164</v>
      </c>
      <c r="I29" s="53" t="s">
        <v>159</v>
      </c>
      <c r="J29" s="53" t="s">
        <v>38</v>
      </c>
      <c r="K29" s="53" t="s">
        <v>161</v>
      </c>
      <c r="L29" s="53">
        <v>1</v>
      </c>
      <c r="N29" s="53">
        <v>4</v>
      </c>
      <c r="O29" s="53">
        <v>0.2</v>
      </c>
      <c r="P29" s="53">
        <v>0.45</v>
      </c>
      <c r="Q29" s="75">
        <f t="shared" si="0"/>
        <v>0.32500000000000001</v>
      </c>
      <c r="R29" s="53">
        <v>16</v>
      </c>
      <c r="S29" s="53">
        <v>100</v>
      </c>
      <c r="T29" s="16">
        <f t="shared" si="1"/>
        <v>33</v>
      </c>
      <c r="U29" s="53">
        <v>320</v>
      </c>
      <c r="V29" s="16">
        <f t="shared" si="2"/>
        <v>2640</v>
      </c>
      <c r="W29" s="53">
        <v>5</v>
      </c>
      <c r="X29" s="53" t="s">
        <v>46</v>
      </c>
      <c r="Y29" s="53" t="s">
        <v>55</v>
      </c>
      <c r="Z29" s="53" t="s">
        <v>97</v>
      </c>
      <c r="AA29" s="53" t="s">
        <v>64</v>
      </c>
      <c r="AB29" s="53" t="s">
        <v>258</v>
      </c>
    </row>
    <row r="30" spans="1:48" x14ac:dyDescent="0.15">
      <c r="A30" s="53" t="s">
        <v>34</v>
      </c>
      <c r="B30" s="53" t="s">
        <v>232</v>
      </c>
      <c r="C30" s="53">
        <v>2019</v>
      </c>
      <c r="D30" s="176" t="s">
        <v>313</v>
      </c>
      <c r="E30" s="53" t="s">
        <v>210</v>
      </c>
      <c r="F30" s="53" t="s">
        <v>382</v>
      </c>
      <c r="G30" s="53" t="s">
        <v>36</v>
      </c>
      <c r="H30" s="53" t="s">
        <v>164</v>
      </c>
      <c r="I30" s="53" t="s">
        <v>159</v>
      </c>
      <c r="J30" s="53" t="s">
        <v>38</v>
      </c>
      <c r="K30" s="53" t="s">
        <v>161</v>
      </c>
      <c r="L30" s="53">
        <v>2</v>
      </c>
      <c r="N30" s="53">
        <v>4</v>
      </c>
      <c r="O30" s="53">
        <v>0.6</v>
      </c>
      <c r="P30" s="53">
        <v>0.5</v>
      </c>
      <c r="Q30" s="75">
        <f t="shared" si="0"/>
        <v>0.55000000000000004</v>
      </c>
      <c r="R30" s="53">
        <v>18.600000000000001</v>
      </c>
      <c r="S30" s="53">
        <v>96</v>
      </c>
      <c r="T30" s="16">
        <f t="shared" si="1"/>
        <v>36</v>
      </c>
      <c r="U30" s="53">
        <v>320</v>
      </c>
      <c r="V30" s="16">
        <f t="shared" si="2"/>
        <v>2880</v>
      </c>
      <c r="W30" s="53">
        <v>5</v>
      </c>
      <c r="X30" s="53" t="s">
        <v>46</v>
      </c>
      <c r="Y30" s="53" t="s">
        <v>55</v>
      </c>
      <c r="Z30" s="53" t="s">
        <v>97</v>
      </c>
      <c r="AA30" s="53" t="s">
        <v>64</v>
      </c>
      <c r="AB30" s="53" t="s">
        <v>258</v>
      </c>
    </row>
    <row r="31" spans="1:48" x14ac:dyDescent="0.15">
      <c r="A31" s="53" t="s">
        <v>34</v>
      </c>
      <c r="B31" s="53" t="s">
        <v>232</v>
      </c>
      <c r="C31" s="53">
        <v>2019</v>
      </c>
      <c r="D31" s="176" t="s">
        <v>313</v>
      </c>
      <c r="E31" s="53" t="s">
        <v>210</v>
      </c>
      <c r="F31" s="53" t="s">
        <v>382</v>
      </c>
      <c r="G31" s="53" t="s">
        <v>36</v>
      </c>
      <c r="H31" s="53" t="s">
        <v>164</v>
      </c>
      <c r="I31" s="53" t="s">
        <v>159</v>
      </c>
      <c r="J31" s="53" t="s">
        <v>38</v>
      </c>
      <c r="K31" s="53" t="s">
        <v>161</v>
      </c>
      <c r="L31" s="53">
        <v>3</v>
      </c>
      <c r="N31" s="53">
        <v>4</v>
      </c>
      <c r="O31" s="53">
        <v>0.55000000000000004</v>
      </c>
      <c r="P31" s="53">
        <v>0.6</v>
      </c>
      <c r="Q31" s="75">
        <f t="shared" si="0"/>
        <v>0.57499999999999996</v>
      </c>
      <c r="R31" s="53">
        <v>19.100000000000001</v>
      </c>
      <c r="S31" s="53">
        <v>93</v>
      </c>
      <c r="T31" s="16">
        <f t="shared" si="1"/>
        <v>36</v>
      </c>
      <c r="U31" s="53">
        <v>320</v>
      </c>
      <c r="V31" s="16">
        <f t="shared" si="2"/>
        <v>2880</v>
      </c>
      <c r="W31" s="53">
        <v>5</v>
      </c>
      <c r="X31" s="53" t="s">
        <v>46</v>
      </c>
      <c r="Y31" s="53" t="s">
        <v>55</v>
      </c>
      <c r="Z31" s="53" t="s">
        <v>97</v>
      </c>
      <c r="AA31" s="53" t="s">
        <v>64</v>
      </c>
      <c r="AB31" s="53" t="s">
        <v>258</v>
      </c>
    </row>
    <row r="32" spans="1:48" x14ac:dyDescent="0.15">
      <c r="A32" s="53" t="s">
        <v>34</v>
      </c>
      <c r="B32" s="53" t="s">
        <v>232</v>
      </c>
      <c r="C32" s="53">
        <v>2019</v>
      </c>
      <c r="D32" s="176" t="s">
        <v>313</v>
      </c>
      <c r="E32" s="53" t="s">
        <v>210</v>
      </c>
      <c r="F32" s="53" t="s">
        <v>382</v>
      </c>
      <c r="G32" s="53" t="s">
        <v>36</v>
      </c>
      <c r="H32" s="53" t="s">
        <v>160</v>
      </c>
      <c r="I32" s="53" t="s">
        <v>159</v>
      </c>
      <c r="J32" s="53" t="s">
        <v>38</v>
      </c>
      <c r="K32" s="53" t="s">
        <v>161</v>
      </c>
      <c r="L32" s="53">
        <v>1</v>
      </c>
      <c r="N32" s="53">
        <v>1</v>
      </c>
      <c r="O32" s="53">
        <v>0.65</v>
      </c>
      <c r="P32" s="53">
        <v>0.65</v>
      </c>
      <c r="Q32" s="75">
        <f t="shared" si="0"/>
        <v>0.65</v>
      </c>
      <c r="R32" s="53">
        <v>19.399999999999999</v>
      </c>
      <c r="S32" s="53">
        <v>126</v>
      </c>
      <c r="T32" s="16">
        <f t="shared" si="1"/>
        <v>30</v>
      </c>
      <c r="U32" s="53">
        <v>96</v>
      </c>
      <c r="V32" s="16">
        <f t="shared" si="2"/>
        <v>2880</v>
      </c>
      <c r="W32" s="53">
        <v>7</v>
      </c>
      <c r="X32" s="53" t="s">
        <v>46</v>
      </c>
      <c r="Y32" s="53" t="s">
        <v>55</v>
      </c>
      <c r="Z32" s="53" t="s">
        <v>97</v>
      </c>
      <c r="AA32" s="53" t="s">
        <v>64</v>
      </c>
      <c r="AB32" s="53" t="s">
        <v>258</v>
      </c>
    </row>
    <row r="33" spans="1:28" x14ac:dyDescent="0.15">
      <c r="A33" s="53" t="s">
        <v>34</v>
      </c>
      <c r="B33" s="53" t="s">
        <v>232</v>
      </c>
      <c r="C33" s="53">
        <v>2019</v>
      </c>
      <c r="D33" s="176" t="s">
        <v>313</v>
      </c>
      <c r="E33" s="53" t="s">
        <v>210</v>
      </c>
      <c r="F33" s="53" t="s">
        <v>382</v>
      </c>
      <c r="G33" s="53" t="s">
        <v>36</v>
      </c>
      <c r="H33" s="53" t="s">
        <v>160</v>
      </c>
      <c r="I33" s="53" t="s">
        <v>159</v>
      </c>
      <c r="J33" s="53" t="s">
        <v>38</v>
      </c>
      <c r="K33" s="53" t="s">
        <v>161</v>
      </c>
      <c r="L33" s="53">
        <v>2</v>
      </c>
      <c r="N33" s="53">
        <v>1</v>
      </c>
      <c r="O33" s="53">
        <v>0.6</v>
      </c>
      <c r="P33" s="53">
        <v>0.65</v>
      </c>
      <c r="Q33" s="75">
        <f t="shared" si="0"/>
        <v>0.625</v>
      </c>
      <c r="R33" s="53">
        <v>19.7</v>
      </c>
      <c r="S33" s="53">
        <v>126</v>
      </c>
      <c r="T33" s="16">
        <f t="shared" si="1"/>
        <v>30</v>
      </c>
      <c r="U33" s="53">
        <v>96</v>
      </c>
      <c r="V33" s="16">
        <f t="shared" si="2"/>
        <v>2880</v>
      </c>
      <c r="W33" s="53">
        <v>7</v>
      </c>
      <c r="X33" s="53" t="s">
        <v>46</v>
      </c>
      <c r="Y33" s="53" t="s">
        <v>55</v>
      </c>
      <c r="Z33" s="53" t="s">
        <v>97</v>
      </c>
      <c r="AA33" s="53" t="s">
        <v>64</v>
      </c>
      <c r="AB33" s="53" t="s">
        <v>258</v>
      </c>
    </row>
    <row r="34" spans="1:28" x14ac:dyDescent="0.15">
      <c r="A34" s="53" t="s">
        <v>34</v>
      </c>
      <c r="B34" s="53" t="s">
        <v>232</v>
      </c>
      <c r="C34" s="53">
        <v>2019</v>
      </c>
      <c r="D34" s="176" t="s">
        <v>313</v>
      </c>
      <c r="E34" s="53" t="s">
        <v>210</v>
      </c>
      <c r="F34" s="53" t="s">
        <v>382</v>
      </c>
      <c r="G34" s="53" t="s">
        <v>36</v>
      </c>
      <c r="H34" s="53" t="s">
        <v>160</v>
      </c>
      <c r="I34" s="53" t="s">
        <v>159</v>
      </c>
      <c r="J34" s="53" t="s">
        <v>38</v>
      </c>
      <c r="K34" s="53" t="s">
        <v>161</v>
      </c>
      <c r="L34" s="53">
        <v>3</v>
      </c>
      <c r="N34" s="53">
        <v>1</v>
      </c>
      <c r="O34" s="53">
        <v>0.8</v>
      </c>
      <c r="P34" s="53">
        <v>0.9</v>
      </c>
      <c r="Q34" s="75">
        <f>IF(OR(O34="",P34=""),"",AVERAGE(O34,P34))</f>
        <v>0.85000000000000009</v>
      </c>
      <c r="R34" s="53">
        <v>18.100000000000001</v>
      </c>
      <c r="S34" s="53">
        <v>125</v>
      </c>
      <c r="T34" s="16">
        <f t="shared" si="1"/>
        <v>30</v>
      </c>
      <c r="U34" s="53">
        <v>96</v>
      </c>
      <c r="V34" s="16">
        <f t="shared" si="2"/>
        <v>2880</v>
      </c>
      <c r="W34" s="53">
        <v>7</v>
      </c>
      <c r="X34" s="53" t="s">
        <v>46</v>
      </c>
      <c r="Y34" s="53" t="s">
        <v>55</v>
      </c>
      <c r="Z34" s="53" t="s">
        <v>97</v>
      </c>
      <c r="AA34" s="53" t="s">
        <v>64</v>
      </c>
      <c r="AB34" s="53" t="s">
        <v>258</v>
      </c>
    </row>
    <row r="35" spans="1:28" x14ac:dyDescent="0.15">
      <c r="A35" s="53" t="s">
        <v>34</v>
      </c>
      <c r="B35" s="53" t="s">
        <v>232</v>
      </c>
      <c r="C35" s="53">
        <v>2019</v>
      </c>
      <c r="D35" s="176" t="s">
        <v>313</v>
      </c>
      <c r="E35" s="53" t="s">
        <v>210</v>
      </c>
      <c r="F35" s="53" t="s">
        <v>382</v>
      </c>
      <c r="G35" s="53" t="s">
        <v>36</v>
      </c>
      <c r="H35" s="53" t="s">
        <v>160</v>
      </c>
      <c r="I35" s="53" t="s">
        <v>159</v>
      </c>
      <c r="J35" s="53" t="s">
        <v>38</v>
      </c>
      <c r="K35" s="53" t="s">
        <v>161</v>
      </c>
      <c r="L35" s="53">
        <v>1</v>
      </c>
      <c r="N35" s="53">
        <v>4</v>
      </c>
      <c r="O35" s="53">
        <v>0.55000000000000004</v>
      </c>
      <c r="P35" s="53">
        <v>0.55000000000000004</v>
      </c>
      <c r="Q35" s="75">
        <f t="shared" ref="Q35:Q36" si="3">IF(OR(O35="",P35=""),"",AVERAGE(O35,P35))</f>
        <v>0.55000000000000004</v>
      </c>
      <c r="R35" s="53">
        <v>18.899999999999999</v>
      </c>
      <c r="S35" s="53">
        <v>112</v>
      </c>
      <c r="T35" s="16">
        <f t="shared" si="1"/>
        <v>33</v>
      </c>
      <c r="U35" s="53">
        <v>320</v>
      </c>
      <c r="V35" s="16">
        <f t="shared" si="2"/>
        <v>2640</v>
      </c>
      <c r="W35" s="53">
        <v>7</v>
      </c>
      <c r="X35" s="53" t="s">
        <v>46</v>
      </c>
      <c r="Y35" s="53" t="s">
        <v>55</v>
      </c>
      <c r="Z35" s="53" t="s">
        <v>97</v>
      </c>
      <c r="AA35" s="53" t="s">
        <v>64</v>
      </c>
      <c r="AB35" s="53" t="s">
        <v>258</v>
      </c>
    </row>
    <row r="36" spans="1:28" x14ac:dyDescent="0.15">
      <c r="A36" s="53" t="s">
        <v>34</v>
      </c>
      <c r="B36" s="53" t="s">
        <v>232</v>
      </c>
      <c r="C36" s="53">
        <v>2019</v>
      </c>
      <c r="D36" s="176" t="s">
        <v>313</v>
      </c>
      <c r="E36" s="53" t="s">
        <v>210</v>
      </c>
      <c r="F36" s="53" t="s">
        <v>382</v>
      </c>
      <c r="G36" s="53" t="s">
        <v>36</v>
      </c>
      <c r="H36" s="53" t="s">
        <v>160</v>
      </c>
      <c r="I36" s="53" t="s">
        <v>159</v>
      </c>
      <c r="J36" s="53" t="s">
        <v>38</v>
      </c>
      <c r="K36" s="53" t="s">
        <v>161</v>
      </c>
      <c r="L36" s="53">
        <v>2</v>
      </c>
      <c r="N36" s="53">
        <v>4</v>
      </c>
      <c r="O36" s="53">
        <v>0.65</v>
      </c>
      <c r="P36" s="53">
        <v>0.75</v>
      </c>
      <c r="Q36" s="75">
        <f t="shared" si="3"/>
        <v>0.7</v>
      </c>
      <c r="R36" s="53">
        <v>18.8</v>
      </c>
      <c r="S36" s="53">
        <v>108</v>
      </c>
      <c r="T36" s="16">
        <f t="shared" si="1"/>
        <v>33</v>
      </c>
      <c r="U36" s="53">
        <v>320</v>
      </c>
      <c r="V36" s="16">
        <f t="shared" si="2"/>
        <v>2640</v>
      </c>
      <c r="W36" s="53">
        <v>7</v>
      </c>
      <c r="X36" s="53" t="s">
        <v>46</v>
      </c>
      <c r="Y36" s="53" t="s">
        <v>55</v>
      </c>
      <c r="Z36" s="53" t="s">
        <v>97</v>
      </c>
      <c r="AA36" s="53" t="s">
        <v>64</v>
      </c>
      <c r="AB36" s="53" t="s">
        <v>258</v>
      </c>
    </row>
    <row r="37" spans="1:28" x14ac:dyDescent="0.15">
      <c r="A37" s="53" t="s">
        <v>34</v>
      </c>
      <c r="B37" s="53" t="s">
        <v>232</v>
      </c>
      <c r="C37" s="53">
        <v>2019</v>
      </c>
      <c r="D37" s="176" t="s">
        <v>313</v>
      </c>
      <c r="E37" s="53" t="s">
        <v>210</v>
      </c>
      <c r="F37" s="53" t="s">
        <v>382</v>
      </c>
      <c r="G37" s="53" t="s">
        <v>36</v>
      </c>
      <c r="H37" s="53" t="s">
        <v>160</v>
      </c>
      <c r="I37" s="53" t="s">
        <v>159</v>
      </c>
      <c r="J37" s="53" t="s">
        <v>38</v>
      </c>
      <c r="K37" s="53" t="s">
        <v>161</v>
      </c>
      <c r="L37" s="53">
        <v>3</v>
      </c>
      <c r="N37" s="53">
        <v>4</v>
      </c>
      <c r="O37" s="53">
        <v>0.65</v>
      </c>
      <c r="P37" s="53">
        <v>0.55000000000000004</v>
      </c>
      <c r="Q37" s="75">
        <f>IF(OR(O37="",P37=""),"",AVERAGE(O37,P37))</f>
        <v>0.60000000000000009</v>
      </c>
      <c r="R37" s="53">
        <v>17.8</v>
      </c>
      <c r="S37" s="53">
        <v>112</v>
      </c>
      <c r="T37" s="16">
        <f t="shared" si="1"/>
        <v>33</v>
      </c>
      <c r="U37" s="53">
        <v>320</v>
      </c>
      <c r="V37" s="16">
        <f t="shared" si="2"/>
        <v>2640</v>
      </c>
      <c r="W37" s="53">
        <v>7</v>
      </c>
      <c r="X37" s="53" t="s">
        <v>46</v>
      </c>
      <c r="Y37" s="53" t="s">
        <v>55</v>
      </c>
      <c r="Z37" s="53" t="s">
        <v>97</v>
      </c>
      <c r="AA37" s="53" t="s">
        <v>64</v>
      </c>
      <c r="AB37" s="53" t="s">
        <v>258</v>
      </c>
    </row>
    <row r="38" spans="1:28" x14ac:dyDescent="0.15">
      <c r="A38" s="53" t="s">
        <v>34</v>
      </c>
      <c r="B38" s="53" t="s">
        <v>232</v>
      </c>
      <c r="C38" s="53">
        <v>2019</v>
      </c>
      <c r="D38" s="176" t="s">
        <v>313</v>
      </c>
      <c r="E38" s="53" t="s">
        <v>371</v>
      </c>
      <c r="F38" s="53" t="s">
        <v>372</v>
      </c>
      <c r="G38" s="53" t="s">
        <v>36</v>
      </c>
      <c r="H38" s="53" t="s">
        <v>164</v>
      </c>
      <c r="I38" s="53" t="s">
        <v>159</v>
      </c>
      <c r="J38" s="53" t="s">
        <v>38</v>
      </c>
      <c r="K38" s="53" t="s">
        <v>161</v>
      </c>
      <c r="L38" s="53">
        <v>1</v>
      </c>
      <c r="N38" s="53">
        <v>1</v>
      </c>
      <c r="O38" s="53">
        <v>0.9</v>
      </c>
      <c r="P38" s="53">
        <v>0.85</v>
      </c>
      <c r="Q38" s="75">
        <f t="shared" ref="Q38:Q39" si="4">IF(OR(O38="",P38=""),"",AVERAGE(O38,P38))</f>
        <v>0.875</v>
      </c>
      <c r="R38" s="53">
        <v>17.7</v>
      </c>
      <c r="S38" s="53">
        <v>139</v>
      </c>
      <c r="T38" s="16">
        <f t="shared" si="1"/>
        <v>30</v>
      </c>
      <c r="U38" s="53">
        <v>108</v>
      </c>
      <c r="V38" s="16">
        <f t="shared" si="2"/>
        <v>3240</v>
      </c>
      <c r="W38" s="53">
        <v>5</v>
      </c>
      <c r="X38" s="53" t="s">
        <v>46</v>
      </c>
      <c r="Y38" s="53" t="s">
        <v>64</v>
      </c>
      <c r="Z38" s="53" t="s">
        <v>55</v>
      </c>
      <c r="AA38" s="53" t="s">
        <v>69</v>
      </c>
      <c r="AB38" s="53" t="s">
        <v>258</v>
      </c>
    </row>
    <row r="39" spans="1:28" x14ac:dyDescent="0.15">
      <c r="A39" s="53" t="s">
        <v>34</v>
      </c>
      <c r="B39" s="53" t="s">
        <v>232</v>
      </c>
      <c r="C39" s="53">
        <v>2019</v>
      </c>
      <c r="D39" s="176" t="s">
        <v>313</v>
      </c>
      <c r="E39" s="53" t="s">
        <v>371</v>
      </c>
      <c r="F39" s="53" t="s">
        <v>372</v>
      </c>
      <c r="G39" s="53" t="s">
        <v>36</v>
      </c>
      <c r="H39" s="53" t="s">
        <v>164</v>
      </c>
      <c r="I39" s="53" t="s">
        <v>159</v>
      </c>
      <c r="J39" s="53" t="s">
        <v>38</v>
      </c>
      <c r="K39" s="53" t="s">
        <v>161</v>
      </c>
      <c r="L39" s="53">
        <v>2</v>
      </c>
      <c r="N39" s="53">
        <v>1</v>
      </c>
      <c r="O39" s="53">
        <v>1</v>
      </c>
      <c r="P39" s="53">
        <v>1</v>
      </c>
      <c r="Q39" s="75">
        <f t="shared" si="4"/>
        <v>1</v>
      </c>
      <c r="R39" s="53">
        <v>16.7</v>
      </c>
      <c r="S39" s="53">
        <v>136</v>
      </c>
      <c r="T39" s="16">
        <f t="shared" si="1"/>
        <v>30</v>
      </c>
      <c r="U39" s="53">
        <v>108</v>
      </c>
      <c r="V39" s="16">
        <f t="shared" si="2"/>
        <v>3240</v>
      </c>
      <c r="W39" s="53">
        <v>5</v>
      </c>
      <c r="X39" s="53" t="s">
        <v>46</v>
      </c>
      <c r="Y39" s="53" t="s">
        <v>64</v>
      </c>
      <c r="Z39" s="53" t="s">
        <v>55</v>
      </c>
      <c r="AA39" s="53" t="s">
        <v>69</v>
      </c>
      <c r="AB39" s="53" t="s">
        <v>258</v>
      </c>
    </row>
    <row r="40" spans="1:28" x14ac:dyDescent="0.15">
      <c r="A40" s="53" t="s">
        <v>34</v>
      </c>
      <c r="B40" s="53" t="s">
        <v>232</v>
      </c>
      <c r="C40" s="53">
        <v>2019</v>
      </c>
      <c r="D40" s="176" t="s">
        <v>313</v>
      </c>
      <c r="E40" s="53" t="s">
        <v>371</v>
      </c>
      <c r="F40" s="53" t="s">
        <v>372</v>
      </c>
      <c r="G40" s="53" t="s">
        <v>36</v>
      </c>
      <c r="H40" s="53" t="s">
        <v>164</v>
      </c>
      <c r="I40" s="53" t="s">
        <v>159</v>
      </c>
      <c r="J40" s="53" t="s">
        <v>38</v>
      </c>
      <c r="K40" s="53" t="s">
        <v>161</v>
      </c>
      <c r="L40" s="53">
        <v>3</v>
      </c>
      <c r="N40" s="53">
        <v>1</v>
      </c>
      <c r="O40" s="53">
        <v>0.7</v>
      </c>
      <c r="P40" s="53">
        <v>0.75</v>
      </c>
      <c r="Q40" s="75">
        <f>IF(OR(O40="",P40=""),"",AVERAGE(O40,P40))</f>
        <v>0.72499999999999998</v>
      </c>
      <c r="R40" s="53">
        <v>17.3</v>
      </c>
      <c r="S40" s="53">
        <v>142</v>
      </c>
      <c r="T40" s="16">
        <f t="shared" si="1"/>
        <v>30</v>
      </c>
      <c r="U40" s="53">
        <v>108</v>
      </c>
      <c r="V40" s="16">
        <f t="shared" si="2"/>
        <v>3240</v>
      </c>
      <c r="W40" s="53">
        <v>5</v>
      </c>
      <c r="X40" s="53" t="s">
        <v>46</v>
      </c>
      <c r="Y40" s="53" t="s">
        <v>64</v>
      </c>
      <c r="Z40" s="53" t="s">
        <v>55</v>
      </c>
      <c r="AA40" s="53" t="s">
        <v>69</v>
      </c>
      <c r="AB40" s="53" t="s">
        <v>258</v>
      </c>
    </row>
    <row r="41" spans="1:28" x14ac:dyDescent="0.15">
      <c r="A41" s="53" t="s">
        <v>34</v>
      </c>
      <c r="B41" s="53" t="s">
        <v>232</v>
      </c>
      <c r="C41" s="53">
        <v>2019</v>
      </c>
      <c r="D41" s="176" t="s">
        <v>313</v>
      </c>
      <c r="E41" s="53" t="s">
        <v>371</v>
      </c>
      <c r="F41" s="53" t="s">
        <v>372</v>
      </c>
      <c r="G41" s="53" t="s">
        <v>36</v>
      </c>
      <c r="H41" s="53" t="s">
        <v>164</v>
      </c>
      <c r="I41" s="53" t="s">
        <v>159</v>
      </c>
      <c r="J41" s="53" t="s">
        <v>38</v>
      </c>
      <c r="K41" s="53" t="s">
        <v>161</v>
      </c>
      <c r="L41" s="53">
        <v>1</v>
      </c>
      <c r="N41" s="53">
        <v>4</v>
      </c>
      <c r="O41" s="53">
        <v>0.45</v>
      </c>
      <c r="P41" s="53">
        <v>0.2</v>
      </c>
      <c r="Q41" s="75">
        <f t="shared" si="0"/>
        <v>0.32500000000000001</v>
      </c>
      <c r="R41" s="53">
        <v>17.5</v>
      </c>
      <c r="S41" s="53">
        <v>94</v>
      </c>
      <c r="T41" s="16">
        <f t="shared" si="1"/>
        <v>36</v>
      </c>
      <c r="U41" s="53">
        <v>321</v>
      </c>
      <c r="V41" s="16">
        <f t="shared" si="2"/>
        <v>2889</v>
      </c>
      <c r="W41" s="53">
        <v>5</v>
      </c>
      <c r="X41" s="53" t="s">
        <v>46</v>
      </c>
      <c r="Y41" s="53" t="s">
        <v>64</v>
      </c>
      <c r="Z41" s="53" t="s">
        <v>55</v>
      </c>
      <c r="AA41" s="53" t="s">
        <v>69</v>
      </c>
      <c r="AB41" s="53" t="s">
        <v>258</v>
      </c>
    </row>
    <row r="42" spans="1:28" x14ac:dyDescent="0.15">
      <c r="A42" s="53" t="s">
        <v>34</v>
      </c>
      <c r="B42" s="53" t="s">
        <v>232</v>
      </c>
      <c r="C42" s="53">
        <v>2019</v>
      </c>
      <c r="D42" s="176" t="s">
        <v>313</v>
      </c>
      <c r="E42" s="53" t="s">
        <v>371</v>
      </c>
      <c r="F42" s="53" t="s">
        <v>372</v>
      </c>
      <c r="G42" s="53" t="s">
        <v>36</v>
      </c>
      <c r="H42" s="53" t="s">
        <v>164</v>
      </c>
      <c r="I42" s="53" t="s">
        <v>159</v>
      </c>
      <c r="J42" s="53" t="s">
        <v>38</v>
      </c>
      <c r="K42" s="53" t="s">
        <v>161</v>
      </c>
      <c r="L42" s="53">
        <v>2</v>
      </c>
      <c r="N42" s="53">
        <v>4</v>
      </c>
      <c r="O42" s="53">
        <v>0.8</v>
      </c>
      <c r="P42" s="53">
        <v>0.8</v>
      </c>
      <c r="Q42" s="75">
        <f t="shared" si="0"/>
        <v>0.8</v>
      </c>
      <c r="R42" s="53">
        <v>19.100000000000001</v>
      </c>
      <c r="S42" s="53">
        <v>98</v>
      </c>
      <c r="T42" s="16">
        <f t="shared" si="1"/>
        <v>36</v>
      </c>
      <c r="U42" s="53">
        <v>321</v>
      </c>
      <c r="V42" s="16">
        <f t="shared" si="2"/>
        <v>2889</v>
      </c>
      <c r="W42" s="53">
        <v>5</v>
      </c>
      <c r="X42" s="53" t="s">
        <v>46</v>
      </c>
      <c r="Y42" s="53" t="s">
        <v>64</v>
      </c>
      <c r="Z42" s="53" t="s">
        <v>55</v>
      </c>
      <c r="AA42" s="53" t="s">
        <v>69</v>
      </c>
      <c r="AB42" s="53" t="s">
        <v>258</v>
      </c>
    </row>
    <row r="43" spans="1:28" x14ac:dyDescent="0.15">
      <c r="A43" s="53" t="s">
        <v>34</v>
      </c>
      <c r="B43" s="53" t="s">
        <v>232</v>
      </c>
      <c r="C43" s="53">
        <v>2019</v>
      </c>
      <c r="D43" s="176" t="s">
        <v>313</v>
      </c>
      <c r="E43" s="53" t="s">
        <v>371</v>
      </c>
      <c r="F43" s="53" t="s">
        <v>372</v>
      </c>
      <c r="G43" s="53" t="s">
        <v>36</v>
      </c>
      <c r="H43" s="53" t="s">
        <v>164</v>
      </c>
      <c r="I43" s="53" t="s">
        <v>159</v>
      </c>
      <c r="J43" s="53" t="s">
        <v>38</v>
      </c>
      <c r="K43" s="53" t="s">
        <v>161</v>
      </c>
      <c r="L43" s="53">
        <v>3</v>
      </c>
      <c r="N43" s="53">
        <v>4</v>
      </c>
      <c r="O43" s="53">
        <v>0.65</v>
      </c>
      <c r="P43" s="53">
        <v>0.45</v>
      </c>
      <c r="Q43" s="75">
        <f t="shared" si="0"/>
        <v>0.55000000000000004</v>
      </c>
      <c r="R43" s="53">
        <v>17.8</v>
      </c>
      <c r="S43" s="53">
        <v>97</v>
      </c>
      <c r="T43" s="16">
        <f t="shared" si="1"/>
        <v>36</v>
      </c>
      <c r="U43" s="53">
        <v>321</v>
      </c>
      <c r="V43" s="16">
        <f t="shared" si="2"/>
        <v>2889</v>
      </c>
      <c r="W43" s="53">
        <v>5</v>
      </c>
      <c r="X43" s="53" t="s">
        <v>46</v>
      </c>
      <c r="Y43" s="53" t="s">
        <v>64</v>
      </c>
      <c r="Z43" s="53" t="s">
        <v>55</v>
      </c>
      <c r="AA43" s="53" t="s">
        <v>69</v>
      </c>
      <c r="AB43" s="53" t="s">
        <v>258</v>
      </c>
    </row>
    <row r="44" spans="1:28" x14ac:dyDescent="0.15">
      <c r="A44" s="53" t="s">
        <v>34</v>
      </c>
      <c r="B44" s="53" t="s">
        <v>232</v>
      </c>
      <c r="C44" s="53">
        <v>2019</v>
      </c>
      <c r="D44" s="176" t="s">
        <v>313</v>
      </c>
      <c r="E44" s="53" t="s">
        <v>371</v>
      </c>
      <c r="F44" s="53" t="s">
        <v>372</v>
      </c>
      <c r="G44" s="53" t="s">
        <v>36</v>
      </c>
      <c r="H44" s="53" t="s">
        <v>160</v>
      </c>
      <c r="I44" s="53" t="s">
        <v>159</v>
      </c>
      <c r="J44" s="53" t="s">
        <v>38</v>
      </c>
      <c r="K44" s="53" t="s">
        <v>161</v>
      </c>
      <c r="L44" s="53">
        <v>1</v>
      </c>
      <c r="N44" s="53">
        <v>1</v>
      </c>
      <c r="O44" s="53">
        <v>0.55000000000000004</v>
      </c>
      <c r="P44" s="53">
        <v>0.55000000000000004</v>
      </c>
      <c r="Q44" s="75">
        <f t="shared" si="0"/>
        <v>0.55000000000000004</v>
      </c>
      <c r="R44" s="53">
        <v>18.399999999999999</v>
      </c>
      <c r="S44" s="53">
        <v>142</v>
      </c>
      <c r="T44" s="16">
        <f t="shared" si="1"/>
        <v>30</v>
      </c>
      <c r="U44" s="53">
        <v>95</v>
      </c>
      <c r="V44" s="16">
        <f t="shared" si="2"/>
        <v>2850</v>
      </c>
      <c r="W44" s="53">
        <v>6</v>
      </c>
      <c r="X44" s="53" t="s">
        <v>46</v>
      </c>
      <c r="Y44" s="53" t="s">
        <v>64</v>
      </c>
      <c r="Z44" s="53" t="s">
        <v>55</v>
      </c>
      <c r="AA44" s="53" t="s">
        <v>69</v>
      </c>
      <c r="AB44" s="53" t="s">
        <v>258</v>
      </c>
    </row>
    <row r="45" spans="1:28" x14ac:dyDescent="0.15">
      <c r="A45" s="53" t="s">
        <v>34</v>
      </c>
      <c r="B45" s="53" t="s">
        <v>232</v>
      </c>
      <c r="C45" s="53">
        <v>2019</v>
      </c>
      <c r="D45" s="176" t="s">
        <v>313</v>
      </c>
      <c r="E45" s="53" t="s">
        <v>371</v>
      </c>
      <c r="F45" s="53" t="s">
        <v>372</v>
      </c>
      <c r="G45" s="53" t="s">
        <v>36</v>
      </c>
      <c r="H45" s="53" t="s">
        <v>160</v>
      </c>
      <c r="I45" s="53" t="s">
        <v>159</v>
      </c>
      <c r="J45" s="53" t="s">
        <v>38</v>
      </c>
      <c r="K45" s="53" t="s">
        <v>161</v>
      </c>
      <c r="L45" s="53">
        <v>2</v>
      </c>
      <c r="N45" s="53">
        <v>1</v>
      </c>
      <c r="O45" s="53">
        <v>0.85</v>
      </c>
      <c r="P45" s="53">
        <v>0.9</v>
      </c>
      <c r="Q45" s="75">
        <f t="shared" si="0"/>
        <v>0.875</v>
      </c>
      <c r="R45" s="53">
        <v>19.600000000000001</v>
      </c>
      <c r="S45" s="53">
        <v>143</v>
      </c>
      <c r="T45" s="16">
        <f t="shared" si="1"/>
        <v>30</v>
      </c>
      <c r="U45" s="53">
        <v>95</v>
      </c>
      <c r="V45" s="16">
        <f t="shared" si="2"/>
        <v>2850</v>
      </c>
      <c r="W45" s="53">
        <v>6</v>
      </c>
      <c r="X45" s="53" t="s">
        <v>46</v>
      </c>
      <c r="Y45" s="53" t="s">
        <v>64</v>
      </c>
      <c r="Z45" s="53" t="s">
        <v>55</v>
      </c>
      <c r="AA45" s="53" t="s">
        <v>69</v>
      </c>
      <c r="AB45" s="53" t="s">
        <v>258</v>
      </c>
    </row>
    <row r="46" spans="1:28" x14ac:dyDescent="0.15">
      <c r="A46" s="53" t="s">
        <v>34</v>
      </c>
      <c r="B46" s="53" t="s">
        <v>232</v>
      </c>
      <c r="C46" s="53">
        <v>2019</v>
      </c>
      <c r="D46" s="176" t="s">
        <v>313</v>
      </c>
      <c r="E46" s="53" t="s">
        <v>371</v>
      </c>
      <c r="F46" s="53" t="s">
        <v>372</v>
      </c>
      <c r="G46" s="53" t="s">
        <v>36</v>
      </c>
      <c r="H46" s="53" t="s">
        <v>160</v>
      </c>
      <c r="I46" s="53" t="s">
        <v>159</v>
      </c>
      <c r="J46" s="53" t="s">
        <v>38</v>
      </c>
      <c r="K46" s="53" t="s">
        <v>161</v>
      </c>
      <c r="L46" s="53">
        <v>3</v>
      </c>
      <c r="N46" s="53">
        <v>1</v>
      </c>
      <c r="O46" s="53">
        <v>0.7</v>
      </c>
      <c r="P46" s="53">
        <v>0.75</v>
      </c>
      <c r="Q46" s="75">
        <f t="shared" si="0"/>
        <v>0.72499999999999998</v>
      </c>
      <c r="R46" s="53">
        <v>20</v>
      </c>
      <c r="S46" s="53">
        <v>137</v>
      </c>
      <c r="T46" s="16">
        <f t="shared" si="1"/>
        <v>30</v>
      </c>
      <c r="U46" s="53">
        <v>95</v>
      </c>
      <c r="V46" s="16">
        <f t="shared" si="2"/>
        <v>2850</v>
      </c>
      <c r="W46" s="53">
        <v>6</v>
      </c>
      <c r="X46" s="53" t="s">
        <v>46</v>
      </c>
      <c r="Y46" s="53" t="s">
        <v>64</v>
      </c>
      <c r="Z46" s="53" t="s">
        <v>55</v>
      </c>
      <c r="AA46" s="53" t="s">
        <v>69</v>
      </c>
      <c r="AB46" s="53" t="s">
        <v>258</v>
      </c>
    </row>
    <row r="47" spans="1:28" x14ac:dyDescent="0.15">
      <c r="A47" s="53" t="s">
        <v>34</v>
      </c>
      <c r="B47" s="53" t="s">
        <v>232</v>
      </c>
      <c r="C47" s="53">
        <v>2019</v>
      </c>
      <c r="D47" s="176" t="s">
        <v>313</v>
      </c>
      <c r="E47" s="53" t="s">
        <v>371</v>
      </c>
      <c r="F47" s="53" t="s">
        <v>372</v>
      </c>
      <c r="G47" s="53" t="s">
        <v>36</v>
      </c>
      <c r="H47" s="53" t="s">
        <v>160</v>
      </c>
      <c r="I47" s="53" t="s">
        <v>159</v>
      </c>
      <c r="J47" s="53" t="s">
        <v>38</v>
      </c>
      <c r="K47" s="53" t="s">
        <v>161</v>
      </c>
      <c r="L47" s="53">
        <v>1</v>
      </c>
      <c r="N47" s="53">
        <v>4</v>
      </c>
      <c r="O47" s="53">
        <v>0.2</v>
      </c>
      <c r="P47" s="53">
        <v>0.2</v>
      </c>
      <c r="Q47" s="75">
        <f t="shared" si="0"/>
        <v>0.2</v>
      </c>
      <c r="R47" s="53">
        <v>18</v>
      </c>
      <c r="S47" s="53">
        <v>104</v>
      </c>
      <c r="T47" s="16">
        <f t="shared" si="1"/>
        <v>33</v>
      </c>
      <c r="U47" s="53">
        <v>429</v>
      </c>
      <c r="V47" s="16">
        <f t="shared" si="2"/>
        <v>3539.25</v>
      </c>
      <c r="W47" s="53">
        <v>6</v>
      </c>
      <c r="X47" s="53" t="s">
        <v>46</v>
      </c>
      <c r="Y47" s="53" t="s">
        <v>64</v>
      </c>
      <c r="Z47" s="53" t="s">
        <v>55</v>
      </c>
      <c r="AA47" s="53" t="s">
        <v>69</v>
      </c>
      <c r="AB47" s="53" t="s">
        <v>258</v>
      </c>
    </row>
    <row r="48" spans="1:28" x14ac:dyDescent="0.15">
      <c r="A48" s="53" t="s">
        <v>34</v>
      </c>
      <c r="B48" s="53" t="s">
        <v>232</v>
      </c>
      <c r="C48" s="53">
        <v>2019</v>
      </c>
      <c r="D48" s="176" t="s">
        <v>313</v>
      </c>
      <c r="E48" s="53" t="s">
        <v>371</v>
      </c>
      <c r="F48" s="53" t="s">
        <v>372</v>
      </c>
      <c r="G48" s="53" t="s">
        <v>36</v>
      </c>
      <c r="H48" s="53" t="s">
        <v>160</v>
      </c>
      <c r="I48" s="53" t="s">
        <v>159</v>
      </c>
      <c r="J48" s="53" t="s">
        <v>38</v>
      </c>
      <c r="K48" s="53" t="s">
        <v>161</v>
      </c>
      <c r="L48" s="53">
        <v>2</v>
      </c>
      <c r="N48" s="53">
        <v>4</v>
      </c>
      <c r="O48" s="53">
        <v>0.2</v>
      </c>
      <c r="P48" s="53">
        <v>0.2</v>
      </c>
      <c r="Q48" s="75">
        <f t="shared" si="0"/>
        <v>0.2</v>
      </c>
      <c r="R48" s="53">
        <v>17.2</v>
      </c>
      <c r="S48" s="53">
        <v>108</v>
      </c>
      <c r="T48" s="16">
        <f t="shared" si="1"/>
        <v>33</v>
      </c>
      <c r="U48" s="53">
        <v>429</v>
      </c>
      <c r="V48" s="16">
        <f t="shared" si="2"/>
        <v>3539.25</v>
      </c>
      <c r="W48" s="53">
        <v>6</v>
      </c>
      <c r="X48" s="53" t="s">
        <v>46</v>
      </c>
      <c r="Y48" s="53" t="s">
        <v>64</v>
      </c>
      <c r="Z48" s="53" t="s">
        <v>55</v>
      </c>
      <c r="AA48" s="53" t="s">
        <v>69</v>
      </c>
      <c r="AB48" s="53" t="s">
        <v>258</v>
      </c>
    </row>
    <row r="49" spans="1:28" x14ac:dyDescent="0.15">
      <c r="A49" s="53" t="s">
        <v>34</v>
      </c>
      <c r="B49" s="53" t="s">
        <v>232</v>
      </c>
      <c r="C49" s="53">
        <v>2019</v>
      </c>
      <c r="D49" s="176" t="s">
        <v>313</v>
      </c>
      <c r="E49" s="53" t="s">
        <v>371</v>
      </c>
      <c r="F49" s="53" t="s">
        <v>372</v>
      </c>
      <c r="G49" s="53" t="s">
        <v>36</v>
      </c>
      <c r="H49" s="53" t="s">
        <v>160</v>
      </c>
      <c r="I49" s="53" t="s">
        <v>159</v>
      </c>
      <c r="J49" s="53" t="s">
        <v>38</v>
      </c>
      <c r="K49" s="53" t="s">
        <v>161</v>
      </c>
      <c r="L49" s="53">
        <v>3</v>
      </c>
      <c r="N49" s="53">
        <v>4</v>
      </c>
      <c r="O49" s="53">
        <v>0.2</v>
      </c>
      <c r="P49" s="53">
        <v>0.2</v>
      </c>
      <c r="Q49" s="75">
        <f t="shared" si="0"/>
        <v>0.2</v>
      </c>
      <c r="R49" s="53">
        <v>16.8</v>
      </c>
      <c r="S49" s="53">
        <v>111</v>
      </c>
      <c r="T49" s="16">
        <f t="shared" si="1"/>
        <v>33</v>
      </c>
      <c r="U49" s="53">
        <v>429</v>
      </c>
      <c r="V49" s="16">
        <f t="shared" si="2"/>
        <v>3539.25</v>
      </c>
      <c r="W49" s="53">
        <v>6</v>
      </c>
      <c r="X49" s="53" t="s">
        <v>46</v>
      </c>
      <c r="Y49" s="53" t="s">
        <v>64</v>
      </c>
      <c r="Z49" s="53" t="s">
        <v>55</v>
      </c>
      <c r="AA49" s="53" t="s">
        <v>69</v>
      </c>
      <c r="AB49" s="53" t="s">
        <v>258</v>
      </c>
    </row>
    <row r="50" spans="1:28" x14ac:dyDescent="0.15">
      <c r="A50" s="53" t="s">
        <v>34</v>
      </c>
      <c r="B50" s="53" t="s">
        <v>232</v>
      </c>
      <c r="C50" s="53">
        <v>2019</v>
      </c>
      <c r="D50" s="176" t="s">
        <v>313</v>
      </c>
      <c r="E50" s="53" t="s">
        <v>380</v>
      </c>
      <c r="F50" s="53" t="s">
        <v>381</v>
      </c>
      <c r="G50" s="53" t="s">
        <v>36</v>
      </c>
      <c r="H50" s="53" t="s">
        <v>164</v>
      </c>
      <c r="I50" s="53" t="s">
        <v>159</v>
      </c>
      <c r="J50" s="53" t="s">
        <v>38</v>
      </c>
      <c r="K50" s="53" t="s">
        <v>161</v>
      </c>
      <c r="L50" s="53">
        <v>1</v>
      </c>
      <c r="N50" s="53">
        <v>1</v>
      </c>
      <c r="O50" s="53">
        <v>0.95</v>
      </c>
      <c r="P50" s="53">
        <v>1</v>
      </c>
      <c r="Q50" s="75">
        <f t="shared" si="0"/>
        <v>0.97499999999999998</v>
      </c>
      <c r="R50" s="53">
        <v>17.5</v>
      </c>
      <c r="S50" s="53">
        <v>116</v>
      </c>
      <c r="T50" s="16">
        <f t="shared" si="1"/>
        <v>30</v>
      </c>
      <c r="U50" s="53">
        <v>95</v>
      </c>
      <c r="V50" s="16">
        <f t="shared" si="2"/>
        <v>2850</v>
      </c>
      <c r="W50" s="53">
        <v>9</v>
      </c>
      <c r="X50" s="53" t="s">
        <v>46</v>
      </c>
      <c r="Y50" s="53" t="s">
        <v>55</v>
      </c>
      <c r="Z50" s="53" t="s">
        <v>64</v>
      </c>
      <c r="AA50" s="53" t="s">
        <v>69</v>
      </c>
      <c r="AB50" s="53" t="s">
        <v>258</v>
      </c>
    </row>
    <row r="51" spans="1:28" x14ac:dyDescent="0.15">
      <c r="A51" s="53" t="s">
        <v>34</v>
      </c>
      <c r="B51" s="53" t="s">
        <v>232</v>
      </c>
      <c r="C51" s="53">
        <v>2019</v>
      </c>
      <c r="D51" s="176" t="s">
        <v>313</v>
      </c>
      <c r="E51" s="53" t="s">
        <v>380</v>
      </c>
      <c r="F51" s="53" t="s">
        <v>381</v>
      </c>
      <c r="G51" s="53" t="s">
        <v>36</v>
      </c>
      <c r="H51" s="53" t="s">
        <v>164</v>
      </c>
      <c r="I51" s="53" t="s">
        <v>159</v>
      </c>
      <c r="J51" s="53" t="s">
        <v>38</v>
      </c>
      <c r="K51" s="53" t="s">
        <v>161</v>
      </c>
      <c r="L51" s="53">
        <v>2</v>
      </c>
      <c r="N51" s="53">
        <v>1</v>
      </c>
      <c r="O51" s="53">
        <v>0.95</v>
      </c>
      <c r="P51" s="53">
        <v>1.1499999999999999</v>
      </c>
      <c r="Q51" s="75">
        <f t="shared" si="0"/>
        <v>1.0499999999999998</v>
      </c>
      <c r="R51" s="53">
        <v>16.2</v>
      </c>
      <c r="S51" s="53">
        <v>125</v>
      </c>
      <c r="T51" s="16">
        <f t="shared" si="1"/>
        <v>30</v>
      </c>
      <c r="U51" s="53">
        <v>95</v>
      </c>
      <c r="V51" s="16">
        <f t="shared" si="2"/>
        <v>2850</v>
      </c>
      <c r="W51" s="53">
        <v>9</v>
      </c>
      <c r="X51" s="53" t="s">
        <v>46</v>
      </c>
      <c r="Y51" s="53" t="s">
        <v>55</v>
      </c>
      <c r="Z51" s="53" t="s">
        <v>64</v>
      </c>
      <c r="AA51" s="53" t="s">
        <v>69</v>
      </c>
      <c r="AB51" s="53" t="s">
        <v>258</v>
      </c>
    </row>
    <row r="52" spans="1:28" x14ac:dyDescent="0.15">
      <c r="A52" s="53" t="s">
        <v>34</v>
      </c>
      <c r="B52" s="53" t="s">
        <v>232</v>
      </c>
      <c r="C52" s="53">
        <v>2019</v>
      </c>
      <c r="D52" s="176" t="s">
        <v>313</v>
      </c>
      <c r="E52" s="53" t="s">
        <v>380</v>
      </c>
      <c r="F52" s="53" t="s">
        <v>381</v>
      </c>
      <c r="G52" s="53" t="s">
        <v>36</v>
      </c>
      <c r="H52" s="53" t="s">
        <v>164</v>
      </c>
      <c r="I52" s="53" t="s">
        <v>159</v>
      </c>
      <c r="J52" s="53" t="s">
        <v>38</v>
      </c>
      <c r="K52" s="53" t="s">
        <v>161</v>
      </c>
      <c r="L52" s="53">
        <v>3</v>
      </c>
      <c r="N52" s="53">
        <v>1</v>
      </c>
      <c r="O52" s="53">
        <v>1.05</v>
      </c>
      <c r="P52" s="53">
        <v>1.2</v>
      </c>
      <c r="Q52" s="75">
        <f t="shared" si="0"/>
        <v>1.125</v>
      </c>
      <c r="R52" s="53">
        <v>13.2</v>
      </c>
      <c r="S52" s="53">
        <v>117</v>
      </c>
      <c r="T52" s="16">
        <f t="shared" si="1"/>
        <v>30</v>
      </c>
      <c r="U52" s="53">
        <v>95</v>
      </c>
      <c r="V52" s="16">
        <f t="shared" si="2"/>
        <v>2850</v>
      </c>
      <c r="W52" s="53">
        <v>9</v>
      </c>
      <c r="X52" s="53" t="s">
        <v>46</v>
      </c>
      <c r="Y52" s="53" t="s">
        <v>55</v>
      </c>
      <c r="Z52" s="53" t="s">
        <v>64</v>
      </c>
      <c r="AA52" s="53" t="s">
        <v>69</v>
      </c>
      <c r="AB52" s="53" t="s">
        <v>258</v>
      </c>
    </row>
    <row r="53" spans="1:28" x14ac:dyDescent="0.15">
      <c r="A53" s="53" t="s">
        <v>34</v>
      </c>
      <c r="B53" s="53" t="s">
        <v>232</v>
      </c>
      <c r="C53" s="53">
        <v>2019</v>
      </c>
      <c r="D53" s="176" t="s">
        <v>313</v>
      </c>
      <c r="E53" s="53" t="s">
        <v>380</v>
      </c>
      <c r="F53" s="53" t="s">
        <v>381</v>
      </c>
      <c r="G53" s="53" t="s">
        <v>36</v>
      </c>
      <c r="H53" s="53" t="s">
        <v>164</v>
      </c>
      <c r="I53" s="53" t="s">
        <v>159</v>
      </c>
      <c r="J53" s="53" t="s">
        <v>38</v>
      </c>
      <c r="K53" s="53" t="s">
        <v>161</v>
      </c>
      <c r="L53" s="53">
        <v>1</v>
      </c>
      <c r="N53" s="53">
        <v>4</v>
      </c>
      <c r="O53" s="53">
        <v>0.8</v>
      </c>
      <c r="P53" s="53">
        <v>0.75</v>
      </c>
      <c r="Q53" s="75">
        <f t="shared" si="0"/>
        <v>0.77500000000000002</v>
      </c>
      <c r="R53" s="53">
        <v>16.7</v>
      </c>
      <c r="S53" s="53">
        <v>90</v>
      </c>
      <c r="T53" s="16">
        <f t="shared" si="1"/>
        <v>36</v>
      </c>
      <c r="U53" s="53">
        <v>321</v>
      </c>
      <c r="V53" s="16">
        <f t="shared" si="2"/>
        <v>2889</v>
      </c>
      <c r="W53" s="53">
        <v>9</v>
      </c>
      <c r="X53" s="53" t="s">
        <v>46</v>
      </c>
      <c r="Y53" s="53" t="s">
        <v>55</v>
      </c>
      <c r="Z53" s="53" t="s">
        <v>64</v>
      </c>
      <c r="AA53" s="53" t="s">
        <v>69</v>
      </c>
      <c r="AB53" s="53" t="s">
        <v>258</v>
      </c>
    </row>
    <row r="54" spans="1:28" x14ac:dyDescent="0.15">
      <c r="A54" s="53" t="s">
        <v>34</v>
      </c>
      <c r="B54" s="53" t="s">
        <v>232</v>
      </c>
      <c r="C54" s="53">
        <v>2019</v>
      </c>
      <c r="D54" s="176" t="s">
        <v>313</v>
      </c>
      <c r="E54" s="53" t="s">
        <v>380</v>
      </c>
      <c r="F54" s="53" t="s">
        <v>381</v>
      </c>
      <c r="G54" s="53" t="s">
        <v>36</v>
      </c>
      <c r="H54" s="53" t="s">
        <v>164</v>
      </c>
      <c r="I54" s="53" t="s">
        <v>159</v>
      </c>
      <c r="J54" s="53" t="s">
        <v>38</v>
      </c>
      <c r="K54" s="53" t="s">
        <v>161</v>
      </c>
      <c r="L54" s="53">
        <v>2</v>
      </c>
      <c r="N54" s="53">
        <v>4</v>
      </c>
      <c r="O54" s="53">
        <v>0.7</v>
      </c>
      <c r="P54" s="53">
        <v>0.6</v>
      </c>
      <c r="Q54" s="75">
        <f t="shared" si="0"/>
        <v>0.64999999999999991</v>
      </c>
      <c r="R54" s="53">
        <v>17.100000000000001</v>
      </c>
      <c r="S54" s="53">
        <v>91</v>
      </c>
      <c r="T54" s="16">
        <f t="shared" si="1"/>
        <v>36</v>
      </c>
      <c r="U54" s="53">
        <v>321</v>
      </c>
      <c r="V54" s="16">
        <f t="shared" si="2"/>
        <v>2889</v>
      </c>
      <c r="W54" s="53">
        <v>9</v>
      </c>
      <c r="X54" s="53" t="s">
        <v>46</v>
      </c>
      <c r="Y54" s="53" t="s">
        <v>55</v>
      </c>
      <c r="Z54" s="53" t="s">
        <v>64</v>
      </c>
      <c r="AA54" s="53" t="s">
        <v>69</v>
      </c>
      <c r="AB54" s="53" t="s">
        <v>258</v>
      </c>
    </row>
    <row r="55" spans="1:28" x14ac:dyDescent="0.15">
      <c r="A55" s="53" t="s">
        <v>34</v>
      </c>
      <c r="B55" s="53" t="s">
        <v>232</v>
      </c>
      <c r="C55" s="53">
        <v>2019</v>
      </c>
      <c r="D55" s="176" t="s">
        <v>313</v>
      </c>
      <c r="E55" s="53" t="s">
        <v>380</v>
      </c>
      <c r="F55" s="53" t="s">
        <v>381</v>
      </c>
      <c r="G55" s="53" t="s">
        <v>36</v>
      </c>
      <c r="H55" s="53" t="s">
        <v>164</v>
      </c>
      <c r="I55" s="53" t="s">
        <v>159</v>
      </c>
      <c r="J55" s="53" t="s">
        <v>38</v>
      </c>
      <c r="K55" s="53" t="s">
        <v>161</v>
      </c>
      <c r="L55" s="53">
        <v>3</v>
      </c>
      <c r="N55" s="53">
        <v>4</v>
      </c>
      <c r="O55" s="53">
        <v>0.7</v>
      </c>
      <c r="P55" s="53">
        <v>0.75</v>
      </c>
      <c r="Q55" s="75">
        <f t="shared" si="0"/>
        <v>0.72499999999999998</v>
      </c>
      <c r="R55" s="53">
        <v>16.7</v>
      </c>
      <c r="S55" s="53">
        <v>88</v>
      </c>
      <c r="T55" s="16">
        <f t="shared" si="1"/>
        <v>36</v>
      </c>
      <c r="U55" s="53">
        <v>321</v>
      </c>
      <c r="V55" s="16">
        <f t="shared" si="2"/>
        <v>2889</v>
      </c>
      <c r="W55" s="53">
        <v>9</v>
      </c>
      <c r="X55" s="53" t="s">
        <v>46</v>
      </c>
      <c r="Y55" s="53" t="s">
        <v>55</v>
      </c>
      <c r="Z55" s="53" t="s">
        <v>64</v>
      </c>
      <c r="AA55" s="53" t="s">
        <v>69</v>
      </c>
      <c r="AB55" s="53" t="s">
        <v>258</v>
      </c>
    </row>
    <row r="56" spans="1:28" x14ac:dyDescent="0.15">
      <c r="A56" s="53" t="s">
        <v>34</v>
      </c>
      <c r="B56" s="53" t="s">
        <v>232</v>
      </c>
      <c r="C56" s="53">
        <v>2019</v>
      </c>
      <c r="D56" s="176" t="s">
        <v>313</v>
      </c>
      <c r="E56" s="53" t="s">
        <v>380</v>
      </c>
      <c r="F56" s="53" t="s">
        <v>381</v>
      </c>
      <c r="G56" s="53" t="s">
        <v>36</v>
      </c>
      <c r="H56" s="53" t="s">
        <v>164</v>
      </c>
      <c r="I56" s="53" t="s">
        <v>159</v>
      </c>
      <c r="J56" s="53" t="s">
        <v>38</v>
      </c>
      <c r="K56" s="53" t="s">
        <v>161</v>
      </c>
      <c r="L56" s="53">
        <v>1</v>
      </c>
      <c r="N56" s="53">
        <v>8</v>
      </c>
      <c r="O56" s="53">
        <v>1</v>
      </c>
      <c r="P56" s="53">
        <v>0.8</v>
      </c>
      <c r="Q56" s="75">
        <f t="shared" si="0"/>
        <v>0.9</v>
      </c>
      <c r="R56" s="53">
        <v>16.899999999999999</v>
      </c>
      <c r="S56" s="53">
        <v>93</v>
      </c>
      <c r="T56" s="16">
        <f t="shared" si="1"/>
        <v>36</v>
      </c>
      <c r="U56" s="53">
        <v>537</v>
      </c>
      <c r="V56" s="16">
        <f t="shared" si="2"/>
        <v>2416.5</v>
      </c>
      <c r="W56" s="53">
        <v>9</v>
      </c>
      <c r="X56" s="53" t="s">
        <v>46</v>
      </c>
      <c r="Y56" s="53" t="s">
        <v>55</v>
      </c>
      <c r="Z56" s="53" t="s">
        <v>64</v>
      </c>
      <c r="AA56" s="53" t="s">
        <v>69</v>
      </c>
      <c r="AB56" s="53" t="s">
        <v>258</v>
      </c>
    </row>
    <row r="57" spans="1:28" x14ac:dyDescent="0.15">
      <c r="A57" s="53" t="s">
        <v>34</v>
      </c>
      <c r="B57" s="53" t="s">
        <v>232</v>
      </c>
      <c r="C57" s="53">
        <v>2019</v>
      </c>
      <c r="D57" s="176" t="s">
        <v>313</v>
      </c>
      <c r="E57" s="53" t="s">
        <v>380</v>
      </c>
      <c r="F57" s="53" t="s">
        <v>381</v>
      </c>
      <c r="G57" s="53" t="s">
        <v>36</v>
      </c>
      <c r="H57" s="53" t="s">
        <v>164</v>
      </c>
      <c r="I57" s="53" t="s">
        <v>159</v>
      </c>
      <c r="J57" s="53" t="s">
        <v>38</v>
      </c>
      <c r="K57" s="53" t="s">
        <v>161</v>
      </c>
      <c r="L57" s="53">
        <v>2</v>
      </c>
      <c r="N57" s="53">
        <v>8</v>
      </c>
      <c r="O57" s="53">
        <v>0.7</v>
      </c>
      <c r="P57" s="53">
        <v>0.6</v>
      </c>
      <c r="Q57" s="75">
        <f t="shared" si="0"/>
        <v>0.64999999999999991</v>
      </c>
      <c r="R57" s="53">
        <v>17.8</v>
      </c>
      <c r="S57" s="53">
        <v>95</v>
      </c>
      <c r="T57" s="16">
        <f t="shared" si="1"/>
        <v>36</v>
      </c>
      <c r="U57" s="53">
        <v>537</v>
      </c>
      <c r="V57" s="16">
        <f t="shared" si="2"/>
        <v>2416.5</v>
      </c>
      <c r="W57" s="53">
        <v>9</v>
      </c>
      <c r="X57" s="53" t="s">
        <v>46</v>
      </c>
      <c r="Y57" s="53" t="s">
        <v>55</v>
      </c>
      <c r="Z57" s="53" t="s">
        <v>64</v>
      </c>
      <c r="AA57" s="53" t="s">
        <v>69</v>
      </c>
      <c r="AB57" s="53" t="s">
        <v>258</v>
      </c>
    </row>
    <row r="58" spans="1:28" x14ac:dyDescent="0.15">
      <c r="A58" s="53" t="s">
        <v>34</v>
      </c>
      <c r="B58" s="53" t="s">
        <v>232</v>
      </c>
      <c r="C58" s="53">
        <v>2019</v>
      </c>
      <c r="D58" s="176" t="s">
        <v>313</v>
      </c>
      <c r="E58" s="53" t="s">
        <v>380</v>
      </c>
      <c r="F58" s="53" t="s">
        <v>381</v>
      </c>
      <c r="G58" s="53" t="s">
        <v>36</v>
      </c>
      <c r="H58" s="53" t="s">
        <v>164</v>
      </c>
      <c r="I58" s="53" t="s">
        <v>159</v>
      </c>
      <c r="J58" s="53" t="s">
        <v>38</v>
      </c>
      <c r="K58" s="53" t="s">
        <v>161</v>
      </c>
      <c r="L58" s="53">
        <v>3</v>
      </c>
      <c r="N58" s="53">
        <v>8</v>
      </c>
      <c r="O58" s="53">
        <v>0.65</v>
      </c>
      <c r="P58" s="53">
        <v>0.7</v>
      </c>
      <c r="Q58" s="75">
        <f t="shared" si="0"/>
        <v>0.67500000000000004</v>
      </c>
      <c r="R58" s="53">
        <v>18.100000000000001</v>
      </c>
      <c r="S58" s="53">
        <v>90</v>
      </c>
      <c r="T58" s="16">
        <f t="shared" si="1"/>
        <v>36</v>
      </c>
      <c r="U58" s="53">
        <v>537</v>
      </c>
      <c r="V58" s="16">
        <f t="shared" si="2"/>
        <v>2416.5</v>
      </c>
      <c r="W58" s="53">
        <v>9</v>
      </c>
      <c r="X58" s="53" t="s">
        <v>46</v>
      </c>
      <c r="Y58" s="53" t="s">
        <v>55</v>
      </c>
      <c r="Z58" s="53" t="s">
        <v>64</v>
      </c>
      <c r="AA58" s="53" t="s">
        <v>69</v>
      </c>
      <c r="AB58" s="53" t="s">
        <v>258</v>
      </c>
    </row>
    <row r="59" spans="1:28" x14ac:dyDescent="0.15">
      <c r="A59" s="53" t="s">
        <v>34</v>
      </c>
      <c r="B59" s="53" t="s">
        <v>232</v>
      </c>
      <c r="C59" s="53">
        <v>2019</v>
      </c>
      <c r="D59" s="176" t="s">
        <v>313</v>
      </c>
      <c r="E59" s="53" t="s">
        <v>380</v>
      </c>
      <c r="F59" s="53" t="s">
        <v>381</v>
      </c>
      <c r="G59" s="53" t="s">
        <v>36</v>
      </c>
      <c r="H59" s="53" t="s">
        <v>160</v>
      </c>
      <c r="I59" s="53" t="s">
        <v>159</v>
      </c>
      <c r="J59" s="53" t="s">
        <v>38</v>
      </c>
      <c r="K59" s="53" t="s">
        <v>161</v>
      </c>
      <c r="L59" s="53">
        <v>1</v>
      </c>
      <c r="N59" s="53">
        <v>1</v>
      </c>
      <c r="O59" s="53">
        <v>0.5</v>
      </c>
      <c r="P59" s="53">
        <v>0.55000000000000004</v>
      </c>
      <c r="Q59" s="75">
        <f t="shared" si="0"/>
        <v>0.52500000000000002</v>
      </c>
      <c r="R59" s="53">
        <v>17.8</v>
      </c>
      <c r="S59" s="53">
        <v>121</v>
      </c>
      <c r="T59" s="16">
        <f t="shared" si="1"/>
        <v>30</v>
      </c>
      <c r="U59" s="53">
        <v>95</v>
      </c>
      <c r="V59" s="16">
        <f t="shared" si="2"/>
        <v>2850</v>
      </c>
      <c r="W59" s="53">
        <v>3</v>
      </c>
      <c r="X59" s="53" t="s">
        <v>46</v>
      </c>
      <c r="Y59" s="53" t="s">
        <v>55</v>
      </c>
      <c r="Z59" s="53" t="s">
        <v>64</v>
      </c>
      <c r="AA59" s="53" t="s">
        <v>69</v>
      </c>
      <c r="AB59" s="53" t="s">
        <v>258</v>
      </c>
    </row>
    <row r="60" spans="1:28" x14ac:dyDescent="0.15">
      <c r="A60" s="53" t="s">
        <v>34</v>
      </c>
      <c r="B60" s="53" t="s">
        <v>232</v>
      </c>
      <c r="C60" s="53">
        <v>2019</v>
      </c>
      <c r="D60" s="176" t="s">
        <v>313</v>
      </c>
      <c r="E60" s="53" t="s">
        <v>380</v>
      </c>
      <c r="F60" s="53" t="s">
        <v>381</v>
      </c>
      <c r="G60" s="53" t="s">
        <v>36</v>
      </c>
      <c r="H60" s="53" t="s">
        <v>160</v>
      </c>
      <c r="I60" s="53" t="s">
        <v>159</v>
      </c>
      <c r="J60" s="53" t="s">
        <v>38</v>
      </c>
      <c r="K60" s="53" t="s">
        <v>161</v>
      </c>
      <c r="L60" s="53">
        <v>2</v>
      </c>
      <c r="N60" s="53">
        <v>1</v>
      </c>
      <c r="O60" s="53">
        <v>0.7</v>
      </c>
      <c r="P60" s="53">
        <v>0.9</v>
      </c>
      <c r="Q60" s="75">
        <f t="shared" si="0"/>
        <v>0.8</v>
      </c>
      <c r="R60" s="53">
        <v>15.2</v>
      </c>
      <c r="S60" s="53">
        <v>123</v>
      </c>
      <c r="T60" s="16">
        <f t="shared" si="1"/>
        <v>30</v>
      </c>
      <c r="U60" s="53">
        <v>95</v>
      </c>
      <c r="V60" s="16">
        <f t="shared" si="2"/>
        <v>2850</v>
      </c>
      <c r="W60" s="53">
        <v>3</v>
      </c>
      <c r="X60" s="53" t="s">
        <v>46</v>
      </c>
      <c r="Y60" s="53" t="s">
        <v>55</v>
      </c>
      <c r="Z60" s="53" t="s">
        <v>64</v>
      </c>
      <c r="AA60" s="53" t="s">
        <v>69</v>
      </c>
      <c r="AB60" s="53" t="s">
        <v>258</v>
      </c>
    </row>
    <row r="61" spans="1:28" x14ac:dyDescent="0.15">
      <c r="A61" s="53" t="s">
        <v>34</v>
      </c>
      <c r="B61" s="53" t="s">
        <v>232</v>
      </c>
      <c r="C61" s="53">
        <v>2019</v>
      </c>
      <c r="D61" s="176" t="s">
        <v>313</v>
      </c>
      <c r="E61" s="53" t="s">
        <v>380</v>
      </c>
      <c r="F61" s="53" t="s">
        <v>381</v>
      </c>
      <c r="G61" s="53" t="s">
        <v>36</v>
      </c>
      <c r="H61" s="53" t="s">
        <v>160</v>
      </c>
      <c r="I61" s="53" t="s">
        <v>159</v>
      </c>
      <c r="J61" s="53" t="s">
        <v>38</v>
      </c>
      <c r="K61" s="53" t="s">
        <v>161</v>
      </c>
      <c r="L61" s="53">
        <v>3</v>
      </c>
      <c r="N61" s="53">
        <v>1</v>
      </c>
      <c r="O61" s="53">
        <v>0.45</v>
      </c>
      <c r="P61" s="53">
        <v>0.55000000000000004</v>
      </c>
      <c r="Q61" s="75">
        <f t="shared" si="0"/>
        <v>0.5</v>
      </c>
      <c r="R61" s="53">
        <v>17.399999999999999</v>
      </c>
      <c r="S61" s="53">
        <v>121</v>
      </c>
      <c r="T61" s="16">
        <f t="shared" si="1"/>
        <v>30</v>
      </c>
      <c r="U61" s="53">
        <v>95</v>
      </c>
      <c r="V61" s="16">
        <f t="shared" si="2"/>
        <v>2850</v>
      </c>
      <c r="W61" s="53">
        <v>3</v>
      </c>
      <c r="X61" s="53" t="s">
        <v>46</v>
      </c>
      <c r="Y61" s="53" t="s">
        <v>55</v>
      </c>
      <c r="Z61" s="53" t="s">
        <v>64</v>
      </c>
      <c r="AA61" s="53" t="s">
        <v>69</v>
      </c>
      <c r="AB61" s="53" t="s">
        <v>258</v>
      </c>
    </row>
    <row r="62" spans="1:28" x14ac:dyDescent="0.15">
      <c r="A62" s="53" t="s">
        <v>34</v>
      </c>
      <c r="B62" s="53" t="s">
        <v>232</v>
      </c>
      <c r="C62" s="53">
        <v>2019</v>
      </c>
      <c r="D62" s="176" t="s">
        <v>313</v>
      </c>
      <c r="E62" s="53" t="s">
        <v>380</v>
      </c>
      <c r="F62" s="53" t="s">
        <v>381</v>
      </c>
      <c r="G62" s="53" t="s">
        <v>36</v>
      </c>
      <c r="H62" s="53" t="s">
        <v>160</v>
      </c>
      <c r="I62" s="53" t="s">
        <v>159</v>
      </c>
      <c r="J62" s="53" t="s">
        <v>38</v>
      </c>
      <c r="K62" s="53" t="s">
        <v>161</v>
      </c>
      <c r="L62" s="53">
        <v>1</v>
      </c>
      <c r="N62" s="53">
        <v>4</v>
      </c>
      <c r="O62" s="53">
        <v>0.65</v>
      </c>
      <c r="P62" s="53">
        <v>0.7</v>
      </c>
      <c r="Q62" s="75">
        <f t="shared" si="0"/>
        <v>0.67500000000000004</v>
      </c>
      <c r="R62" s="53">
        <v>19.8</v>
      </c>
      <c r="S62" s="53">
        <v>102</v>
      </c>
      <c r="T62" s="16">
        <f t="shared" si="1"/>
        <v>33</v>
      </c>
      <c r="U62" s="53">
        <v>429</v>
      </c>
      <c r="V62" s="16">
        <f t="shared" si="2"/>
        <v>3539.25</v>
      </c>
      <c r="W62" s="53">
        <v>3</v>
      </c>
      <c r="X62" s="53" t="s">
        <v>46</v>
      </c>
      <c r="Y62" s="53" t="s">
        <v>55</v>
      </c>
      <c r="Z62" s="53" t="s">
        <v>64</v>
      </c>
      <c r="AA62" s="53" t="s">
        <v>69</v>
      </c>
      <c r="AB62" s="53" t="s">
        <v>258</v>
      </c>
    </row>
    <row r="63" spans="1:28" x14ac:dyDescent="0.15">
      <c r="A63" s="53" t="s">
        <v>34</v>
      </c>
      <c r="B63" s="53" t="s">
        <v>232</v>
      </c>
      <c r="C63" s="53">
        <v>2019</v>
      </c>
      <c r="D63" s="176" t="s">
        <v>313</v>
      </c>
      <c r="E63" s="53" t="s">
        <v>380</v>
      </c>
      <c r="F63" s="53" t="s">
        <v>381</v>
      </c>
      <c r="G63" s="53" t="s">
        <v>36</v>
      </c>
      <c r="H63" s="53" t="s">
        <v>160</v>
      </c>
      <c r="I63" s="53" t="s">
        <v>159</v>
      </c>
      <c r="J63" s="53" t="s">
        <v>38</v>
      </c>
      <c r="K63" s="53" t="s">
        <v>161</v>
      </c>
      <c r="L63" s="53">
        <v>2</v>
      </c>
      <c r="N63" s="53">
        <v>4</v>
      </c>
      <c r="O63" s="53">
        <v>0.65</v>
      </c>
      <c r="P63" s="53">
        <v>0.75</v>
      </c>
      <c r="Q63" s="75">
        <f t="shared" si="0"/>
        <v>0.7</v>
      </c>
      <c r="R63" s="53">
        <v>19.5</v>
      </c>
      <c r="S63" s="53">
        <v>103</v>
      </c>
      <c r="T63" s="16">
        <f t="shared" si="1"/>
        <v>33</v>
      </c>
      <c r="U63" s="53">
        <v>429</v>
      </c>
      <c r="V63" s="16">
        <f t="shared" si="2"/>
        <v>3539.25</v>
      </c>
      <c r="W63" s="53">
        <v>3</v>
      </c>
      <c r="X63" s="53" t="s">
        <v>46</v>
      </c>
      <c r="Y63" s="53" t="s">
        <v>55</v>
      </c>
      <c r="Z63" s="53" t="s">
        <v>64</v>
      </c>
      <c r="AA63" s="53" t="s">
        <v>69</v>
      </c>
      <c r="AB63" s="53" t="s">
        <v>258</v>
      </c>
    </row>
    <row r="64" spans="1:28" x14ac:dyDescent="0.15">
      <c r="A64" s="53" t="s">
        <v>34</v>
      </c>
      <c r="B64" s="53" t="s">
        <v>232</v>
      </c>
      <c r="C64" s="53">
        <v>2019</v>
      </c>
      <c r="D64" s="176" t="s">
        <v>313</v>
      </c>
      <c r="E64" s="53" t="s">
        <v>380</v>
      </c>
      <c r="F64" s="53" t="s">
        <v>381</v>
      </c>
      <c r="G64" s="53" t="s">
        <v>36</v>
      </c>
      <c r="H64" s="53" t="s">
        <v>160</v>
      </c>
      <c r="I64" s="53" t="s">
        <v>159</v>
      </c>
      <c r="J64" s="53" t="s">
        <v>38</v>
      </c>
      <c r="K64" s="53" t="s">
        <v>161</v>
      </c>
      <c r="L64" s="53">
        <v>3</v>
      </c>
      <c r="N64" s="53">
        <v>4</v>
      </c>
      <c r="O64" s="53">
        <v>0.2</v>
      </c>
      <c r="P64" s="53">
        <v>0.2</v>
      </c>
      <c r="Q64" s="75">
        <f t="shared" si="0"/>
        <v>0.2</v>
      </c>
      <c r="R64" s="53">
        <v>18.3</v>
      </c>
      <c r="S64" s="53">
        <v>98</v>
      </c>
      <c r="T64" s="16">
        <f t="shared" si="1"/>
        <v>36</v>
      </c>
      <c r="U64" s="53">
        <v>429</v>
      </c>
      <c r="V64" s="16">
        <f t="shared" si="2"/>
        <v>3861</v>
      </c>
      <c r="W64" s="53">
        <v>3</v>
      </c>
      <c r="X64" s="53" t="s">
        <v>46</v>
      </c>
      <c r="Y64" s="53" t="s">
        <v>55</v>
      </c>
      <c r="Z64" s="53" t="s">
        <v>64</v>
      </c>
      <c r="AA64" s="53" t="s">
        <v>69</v>
      </c>
      <c r="AB64" s="53" t="s">
        <v>258</v>
      </c>
    </row>
    <row r="65" spans="1:28" x14ac:dyDescent="0.15">
      <c r="A65" s="53" t="s">
        <v>34</v>
      </c>
      <c r="B65" s="53" t="s">
        <v>232</v>
      </c>
      <c r="C65" s="53">
        <v>2019</v>
      </c>
      <c r="D65" s="176" t="s">
        <v>313</v>
      </c>
      <c r="E65" s="53" t="s">
        <v>380</v>
      </c>
      <c r="F65" s="53" t="s">
        <v>381</v>
      </c>
      <c r="G65" s="53" t="s">
        <v>36</v>
      </c>
      <c r="H65" s="53" t="s">
        <v>160</v>
      </c>
      <c r="I65" s="53" t="s">
        <v>159</v>
      </c>
      <c r="J65" s="53" t="s">
        <v>38</v>
      </c>
      <c r="K65" s="53" t="s">
        <v>161</v>
      </c>
      <c r="L65" s="53">
        <v>1</v>
      </c>
      <c r="N65" s="53">
        <v>8</v>
      </c>
      <c r="O65" s="53">
        <v>0.55000000000000004</v>
      </c>
      <c r="P65" s="53">
        <v>0.55000000000000004</v>
      </c>
      <c r="Q65" s="75">
        <f t="shared" si="0"/>
        <v>0.55000000000000004</v>
      </c>
      <c r="R65" s="53">
        <v>17.600000000000001</v>
      </c>
      <c r="S65" s="53">
        <v>99</v>
      </c>
      <c r="T65" s="16">
        <f t="shared" si="1"/>
        <v>33</v>
      </c>
      <c r="U65" s="53">
        <v>861</v>
      </c>
      <c r="V65" s="16">
        <f t="shared" si="2"/>
        <v>3551.625</v>
      </c>
      <c r="W65" s="53">
        <v>3</v>
      </c>
      <c r="X65" s="53" t="s">
        <v>46</v>
      </c>
      <c r="Y65" s="53" t="s">
        <v>55</v>
      </c>
      <c r="Z65" s="53" t="s">
        <v>64</v>
      </c>
      <c r="AA65" s="53" t="s">
        <v>69</v>
      </c>
      <c r="AB65" s="53" t="s">
        <v>258</v>
      </c>
    </row>
    <row r="66" spans="1:28" x14ac:dyDescent="0.15">
      <c r="A66" s="53" t="s">
        <v>34</v>
      </c>
      <c r="B66" s="53" t="s">
        <v>232</v>
      </c>
      <c r="C66" s="53">
        <v>2019</v>
      </c>
      <c r="D66" s="176" t="s">
        <v>313</v>
      </c>
      <c r="E66" s="53" t="s">
        <v>380</v>
      </c>
      <c r="F66" s="53" t="s">
        <v>381</v>
      </c>
      <c r="G66" s="53" t="s">
        <v>36</v>
      </c>
      <c r="H66" s="53" t="s">
        <v>160</v>
      </c>
      <c r="I66" s="53" t="s">
        <v>159</v>
      </c>
      <c r="J66" s="53" t="s">
        <v>38</v>
      </c>
      <c r="K66" s="53" t="s">
        <v>161</v>
      </c>
      <c r="L66" s="53">
        <v>2</v>
      </c>
      <c r="N66" s="53">
        <v>8</v>
      </c>
      <c r="O66" s="53">
        <v>0.55000000000000004</v>
      </c>
      <c r="P66" s="53">
        <v>0.55000000000000004</v>
      </c>
      <c r="Q66" s="75">
        <f t="shared" si="0"/>
        <v>0.55000000000000004</v>
      </c>
      <c r="R66" s="53">
        <v>17.899999999999999</v>
      </c>
      <c r="S66" s="53">
        <v>93</v>
      </c>
      <c r="T66" s="16">
        <f t="shared" si="1"/>
        <v>36</v>
      </c>
      <c r="U66" s="53">
        <v>861</v>
      </c>
      <c r="V66" s="16">
        <f t="shared" si="2"/>
        <v>3874.5</v>
      </c>
      <c r="W66" s="53">
        <v>3</v>
      </c>
      <c r="X66" s="53" t="s">
        <v>46</v>
      </c>
      <c r="Y66" s="53" t="s">
        <v>55</v>
      </c>
      <c r="Z66" s="53" t="s">
        <v>64</v>
      </c>
      <c r="AA66" s="53" t="s">
        <v>69</v>
      </c>
      <c r="AB66" s="53" t="s">
        <v>258</v>
      </c>
    </row>
    <row r="67" spans="1:28" x14ac:dyDescent="0.15">
      <c r="A67" s="53" t="s">
        <v>34</v>
      </c>
      <c r="B67" s="53" t="s">
        <v>232</v>
      </c>
      <c r="C67" s="53">
        <v>2019</v>
      </c>
      <c r="D67" s="176" t="s">
        <v>313</v>
      </c>
      <c r="E67" s="53" t="s">
        <v>380</v>
      </c>
      <c r="F67" s="53" t="s">
        <v>381</v>
      </c>
      <c r="G67" s="53" t="s">
        <v>36</v>
      </c>
      <c r="H67" s="53" t="s">
        <v>160</v>
      </c>
      <c r="I67" s="53" t="s">
        <v>159</v>
      </c>
      <c r="J67" s="53" t="s">
        <v>38</v>
      </c>
      <c r="K67" s="53" t="s">
        <v>161</v>
      </c>
      <c r="L67" s="53">
        <v>3</v>
      </c>
      <c r="N67" s="53">
        <v>8</v>
      </c>
      <c r="O67" s="53">
        <v>0.5</v>
      </c>
      <c r="P67" s="53">
        <v>0.55000000000000004</v>
      </c>
      <c r="Q67" s="75">
        <f t="shared" si="0"/>
        <v>0.52500000000000002</v>
      </c>
      <c r="R67" s="53">
        <v>18</v>
      </c>
      <c r="S67" s="53">
        <v>101</v>
      </c>
      <c r="T67" s="16">
        <f t="shared" si="1"/>
        <v>33</v>
      </c>
      <c r="U67" s="53">
        <v>861</v>
      </c>
      <c r="V67" s="16">
        <f t="shared" si="2"/>
        <v>3551.625</v>
      </c>
      <c r="W67" s="53">
        <v>3</v>
      </c>
      <c r="X67" s="53" t="s">
        <v>46</v>
      </c>
      <c r="Y67" s="53" t="s">
        <v>55</v>
      </c>
      <c r="Z67" s="53" t="s">
        <v>64</v>
      </c>
      <c r="AA67" s="53" t="s">
        <v>69</v>
      </c>
      <c r="AB67" s="53" t="s">
        <v>258</v>
      </c>
    </row>
    <row r="68" spans="1:28" x14ac:dyDescent="0.15">
      <c r="A68" s="53" t="s">
        <v>34</v>
      </c>
      <c r="B68" s="53" t="s">
        <v>232</v>
      </c>
      <c r="C68" s="53">
        <v>2019</v>
      </c>
      <c r="D68" s="176" t="s">
        <v>313</v>
      </c>
      <c r="E68" s="53" t="s">
        <v>370</v>
      </c>
      <c r="F68" s="53" t="s">
        <v>369</v>
      </c>
      <c r="G68" s="53" t="s">
        <v>36</v>
      </c>
      <c r="H68" s="53" t="s">
        <v>164</v>
      </c>
      <c r="I68" s="53" t="s">
        <v>159</v>
      </c>
      <c r="J68" s="53" t="s">
        <v>38</v>
      </c>
      <c r="K68" s="53" t="s">
        <v>161</v>
      </c>
      <c r="L68" s="53">
        <v>1</v>
      </c>
      <c r="N68" s="53">
        <v>1</v>
      </c>
      <c r="O68" s="53">
        <v>0.8</v>
      </c>
      <c r="P68" s="53">
        <v>0.8</v>
      </c>
      <c r="Q68" s="75">
        <f t="shared" si="0"/>
        <v>0.8</v>
      </c>
      <c r="R68" s="53">
        <v>18.399999999999999</v>
      </c>
      <c r="S68" s="53">
        <v>120</v>
      </c>
      <c r="T68" s="16">
        <f t="shared" si="1"/>
        <v>30</v>
      </c>
      <c r="U68" s="53">
        <v>108</v>
      </c>
      <c r="V68" s="16">
        <f t="shared" si="2"/>
        <v>3240</v>
      </c>
      <c r="W68" s="53">
        <v>2</v>
      </c>
      <c r="X68" s="53" t="s">
        <v>46</v>
      </c>
      <c r="Y68" s="53" t="s">
        <v>86</v>
      </c>
      <c r="Z68" s="53" t="s">
        <v>55</v>
      </c>
      <c r="AA68" s="53" t="s">
        <v>97</v>
      </c>
      <c r="AB68" s="53" t="s">
        <v>258</v>
      </c>
    </row>
    <row r="69" spans="1:28" x14ac:dyDescent="0.15">
      <c r="A69" s="53" t="s">
        <v>34</v>
      </c>
      <c r="B69" s="53" t="s">
        <v>232</v>
      </c>
      <c r="C69" s="53">
        <v>2019</v>
      </c>
      <c r="D69" s="176" t="s">
        <v>313</v>
      </c>
      <c r="E69" s="53" t="s">
        <v>370</v>
      </c>
      <c r="F69" s="53" t="s">
        <v>369</v>
      </c>
      <c r="G69" s="53" t="s">
        <v>36</v>
      </c>
      <c r="H69" s="53" t="s">
        <v>164</v>
      </c>
      <c r="I69" s="53" t="s">
        <v>159</v>
      </c>
      <c r="J69" s="53" t="s">
        <v>38</v>
      </c>
      <c r="K69" s="53" t="s">
        <v>161</v>
      </c>
      <c r="L69" s="53">
        <v>2</v>
      </c>
      <c r="N69" s="53">
        <v>1</v>
      </c>
      <c r="O69" s="53">
        <v>0.8</v>
      </c>
      <c r="P69" s="53">
        <v>1</v>
      </c>
      <c r="Q69" s="75">
        <f t="shared" si="0"/>
        <v>0.9</v>
      </c>
      <c r="R69" s="53">
        <v>17</v>
      </c>
      <c r="S69" s="53">
        <v>116</v>
      </c>
      <c r="T69" s="16">
        <f t="shared" si="1"/>
        <v>30</v>
      </c>
      <c r="U69" s="53">
        <v>108</v>
      </c>
      <c r="V69" s="16">
        <f t="shared" si="2"/>
        <v>3240</v>
      </c>
      <c r="W69" s="53">
        <v>2</v>
      </c>
      <c r="X69" s="53" t="s">
        <v>46</v>
      </c>
      <c r="Y69" s="53" t="s">
        <v>86</v>
      </c>
      <c r="Z69" s="53" t="s">
        <v>55</v>
      </c>
      <c r="AA69" s="53" t="s">
        <v>97</v>
      </c>
      <c r="AB69" s="53" t="s">
        <v>258</v>
      </c>
    </row>
    <row r="70" spans="1:28" x14ac:dyDescent="0.15">
      <c r="A70" s="53" t="s">
        <v>34</v>
      </c>
      <c r="B70" s="53" t="s">
        <v>232</v>
      </c>
      <c r="C70" s="53">
        <v>2019</v>
      </c>
      <c r="D70" s="176" t="s">
        <v>313</v>
      </c>
      <c r="E70" s="53" t="s">
        <v>370</v>
      </c>
      <c r="F70" s="53" t="s">
        <v>369</v>
      </c>
      <c r="G70" s="53" t="s">
        <v>36</v>
      </c>
      <c r="H70" s="53" t="s">
        <v>164</v>
      </c>
      <c r="I70" s="53" t="s">
        <v>159</v>
      </c>
      <c r="J70" s="53" t="s">
        <v>38</v>
      </c>
      <c r="K70" s="53" t="s">
        <v>161</v>
      </c>
      <c r="L70" s="53">
        <v>3</v>
      </c>
      <c r="N70" s="53">
        <v>1</v>
      </c>
      <c r="O70" s="53">
        <v>0.8</v>
      </c>
      <c r="P70" s="53">
        <v>1</v>
      </c>
      <c r="Q70" s="75">
        <f t="shared" si="0"/>
        <v>0.9</v>
      </c>
      <c r="R70" s="53">
        <v>18.100000000000001</v>
      </c>
      <c r="S70" s="53">
        <v>132</v>
      </c>
      <c r="T70" s="16">
        <f t="shared" si="1"/>
        <v>30</v>
      </c>
      <c r="U70" s="53">
        <v>108</v>
      </c>
      <c r="V70" s="16">
        <f t="shared" si="2"/>
        <v>3240</v>
      </c>
      <c r="W70" s="53">
        <v>2</v>
      </c>
      <c r="X70" s="53" t="s">
        <v>46</v>
      </c>
      <c r="Y70" s="53" t="s">
        <v>86</v>
      </c>
      <c r="Z70" s="53" t="s">
        <v>55</v>
      </c>
      <c r="AA70" s="53" t="s">
        <v>97</v>
      </c>
      <c r="AB70" s="53" t="s">
        <v>258</v>
      </c>
    </row>
    <row r="71" spans="1:28" x14ac:dyDescent="0.15">
      <c r="A71" s="53" t="s">
        <v>34</v>
      </c>
      <c r="B71" s="53" t="s">
        <v>232</v>
      </c>
      <c r="C71" s="53">
        <v>2019</v>
      </c>
      <c r="D71" s="176" t="s">
        <v>313</v>
      </c>
      <c r="E71" s="53" t="s">
        <v>370</v>
      </c>
      <c r="F71" s="53" t="s">
        <v>369</v>
      </c>
      <c r="G71" s="53" t="s">
        <v>36</v>
      </c>
      <c r="H71" s="53" t="s">
        <v>164</v>
      </c>
      <c r="I71" s="53" t="s">
        <v>159</v>
      </c>
      <c r="J71" s="53" t="s">
        <v>38</v>
      </c>
      <c r="K71" s="53" t="s">
        <v>161</v>
      </c>
      <c r="L71" s="53">
        <v>1</v>
      </c>
      <c r="N71" s="53">
        <v>4</v>
      </c>
      <c r="O71" s="53">
        <v>0.45</v>
      </c>
      <c r="P71" s="53">
        <v>0.45</v>
      </c>
      <c r="Q71" s="75">
        <f t="shared" si="0"/>
        <v>0.45</v>
      </c>
      <c r="R71" s="53">
        <v>17.7</v>
      </c>
      <c r="S71" s="53">
        <v>90</v>
      </c>
      <c r="T71" s="16">
        <f t="shared" si="1"/>
        <v>36</v>
      </c>
      <c r="U71" s="53">
        <v>321</v>
      </c>
      <c r="V71" s="16">
        <f t="shared" si="2"/>
        <v>2889</v>
      </c>
      <c r="W71" s="53">
        <v>2</v>
      </c>
      <c r="X71" s="53" t="s">
        <v>46</v>
      </c>
      <c r="Y71" s="53" t="s">
        <v>86</v>
      </c>
      <c r="Z71" s="53" t="s">
        <v>55</v>
      </c>
      <c r="AA71" s="53" t="s">
        <v>97</v>
      </c>
      <c r="AB71" s="53" t="s">
        <v>258</v>
      </c>
    </row>
    <row r="72" spans="1:28" x14ac:dyDescent="0.15">
      <c r="A72" s="53" t="s">
        <v>34</v>
      </c>
      <c r="B72" s="53" t="s">
        <v>232</v>
      </c>
      <c r="C72" s="53">
        <v>2019</v>
      </c>
      <c r="D72" s="176" t="s">
        <v>313</v>
      </c>
      <c r="E72" s="53" t="s">
        <v>370</v>
      </c>
      <c r="F72" s="53" t="s">
        <v>369</v>
      </c>
      <c r="G72" s="53" t="s">
        <v>36</v>
      </c>
      <c r="H72" s="53" t="s">
        <v>164</v>
      </c>
      <c r="I72" s="53" t="s">
        <v>159</v>
      </c>
      <c r="J72" s="53" t="s">
        <v>38</v>
      </c>
      <c r="K72" s="53" t="s">
        <v>161</v>
      </c>
      <c r="L72" s="53">
        <v>2</v>
      </c>
      <c r="N72" s="53">
        <v>4</v>
      </c>
      <c r="O72" s="53">
        <v>0.5</v>
      </c>
      <c r="P72" s="53">
        <v>0.5</v>
      </c>
      <c r="Q72" s="75">
        <f t="shared" si="0"/>
        <v>0.5</v>
      </c>
      <c r="R72" s="53">
        <v>18.600000000000001</v>
      </c>
      <c r="S72" s="53">
        <v>88</v>
      </c>
      <c r="T72" s="16">
        <f t="shared" si="1"/>
        <v>36</v>
      </c>
      <c r="U72" s="53">
        <v>321</v>
      </c>
      <c r="V72" s="16">
        <f t="shared" si="2"/>
        <v>2889</v>
      </c>
      <c r="W72" s="53">
        <v>2</v>
      </c>
      <c r="X72" s="53" t="s">
        <v>46</v>
      </c>
      <c r="Y72" s="53" t="s">
        <v>86</v>
      </c>
      <c r="Z72" s="53" t="s">
        <v>55</v>
      </c>
      <c r="AA72" s="53" t="s">
        <v>97</v>
      </c>
      <c r="AB72" s="53" t="s">
        <v>258</v>
      </c>
    </row>
    <row r="73" spans="1:28" x14ac:dyDescent="0.15">
      <c r="A73" s="53" t="s">
        <v>34</v>
      </c>
      <c r="B73" s="53" t="s">
        <v>232</v>
      </c>
      <c r="C73" s="53">
        <v>2019</v>
      </c>
      <c r="D73" s="176" t="s">
        <v>313</v>
      </c>
      <c r="E73" s="53" t="s">
        <v>370</v>
      </c>
      <c r="F73" s="53" t="s">
        <v>369</v>
      </c>
      <c r="G73" s="53" t="s">
        <v>36</v>
      </c>
      <c r="H73" s="53" t="s">
        <v>164</v>
      </c>
      <c r="I73" s="53" t="s">
        <v>159</v>
      </c>
      <c r="J73" s="53" t="s">
        <v>38</v>
      </c>
      <c r="K73" s="53" t="s">
        <v>161</v>
      </c>
      <c r="L73" s="53">
        <v>3</v>
      </c>
      <c r="N73" s="53">
        <v>4</v>
      </c>
      <c r="O73" s="53">
        <v>0.7</v>
      </c>
      <c r="P73" s="53">
        <v>0.6</v>
      </c>
      <c r="Q73" s="75">
        <f t="shared" si="0"/>
        <v>0.64999999999999991</v>
      </c>
      <c r="R73" s="53">
        <v>17.7</v>
      </c>
      <c r="S73" s="53">
        <v>90</v>
      </c>
      <c r="T73" s="16">
        <f t="shared" si="1"/>
        <v>36</v>
      </c>
      <c r="U73" s="53">
        <v>321</v>
      </c>
      <c r="V73" s="16">
        <f t="shared" si="2"/>
        <v>2889</v>
      </c>
      <c r="W73" s="53">
        <v>2</v>
      </c>
      <c r="X73" s="53" t="s">
        <v>46</v>
      </c>
      <c r="Y73" s="53" t="s">
        <v>86</v>
      </c>
      <c r="Z73" s="53" t="s">
        <v>55</v>
      </c>
      <c r="AA73" s="53" t="s">
        <v>97</v>
      </c>
      <c r="AB73" s="53" t="s">
        <v>258</v>
      </c>
    </row>
    <row r="74" spans="1:28" x14ac:dyDescent="0.15">
      <c r="A74" s="53" t="s">
        <v>34</v>
      </c>
      <c r="B74" s="53" t="s">
        <v>232</v>
      </c>
      <c r="C74" s="53">
        <v>2019</v>
      </c>
      <c r="D74" s="176" t="s">
        <v>313</v>
      </c>
      <c r="E74" s="53" t="s">
        <v>370</v>
      </c>
      <c r="F74" s="53" t="s">
        <v>369</v>
      </c>
      <c r="G74" s="53" t="s">
        <v>36</v>
      </c>
      <c r="H74" s="53" t="s">
        <v>160</v>
      </c>
      <c r="I74" s="53" t="s">
        <v>159</v>
      </c>
      <c r="J74" s="53" t="s">
        <v>38</v>
      </c>
      <c r="K74" s="53" t="s">
        <v>161</v>
      </c>
      <c r="L74" s="53">
        <v>1</v>
      </c>
      <c r="N74" s="53">
        <v>1</v>
      </c>
      <c r="O74" s="53">
        <v>0.2</v>
      </c>
      <c r="P74" s="53">
        <v>0.2</v>
      </c>
      <c r="Q74" s="75">
        <f t="shared" si="0"/>
        <v>0.2</v>
      </c>
      <c r="R74" s="53">
        <v>16.899999999999999</v>
      </c>
      <c r="S74" s="53">
        <v>123</v>
      </c>
      <c r="T74" s="16">
        <f t="shared" si="1"/>
        <v>30</v>
      </c>
      <c r="U74" s="53">
        <v>108</v>
      </c>
      <c r="V74" s="16">
        <f t="shared" si="2"/>
        <v>3240</v>
      </c>
      <c r="W74" s="53">
        <v>8</v>
      </c>
      <c r="X74" s="53" t="s">
        <v>46</v>
      </c>
      <c r="Y74" s="53" t="s">
        <v>86</v>
      </c>
      <c r="Z74" s="53" t="s">
        <v>55</v>
      </c>
      <c r="AA74" s="53" t="s">
        <v>97</v>
      </c>
      <c r="AB74" s="53" t="s">
        <v>258</v>
      </c>
    </row>
    <row r="75" spans="1:28" x14ac:dyDescent="0.15">
      <c r="A75" s="53" t="s">
        <v>34</v>
      </c>
      <c r="B75" s="53" t="s">
        <v>232</v>
      </c>
      <c r="C75" s="53">
        <v>2019</v>
      </c>
      <c r="D75" s="176" t="s">
        <v>313</v>
      </c>
      <c r="E75" s="53" t="s">
        <v>370</v>
      </c>
      <c r="F75" s="53" t="s">
        <v>369</v>
      </c>
      <c r="G75" s="53" t="s">
        <v>36</v>
      </c>
      <c r="H75" s="53" t="s">
        <v>160</v>
      </c>
      <c r="I75" s="53" t="s">
        <v>159</v>
      </c>
      <c r="J75" s="53" t="s">
        <v>38</v>
      </c>
      <c r="K75" s="53" t="s">
        <v>161</v>
      </c>
      <c r="L75" s="53">
        <v>2</v>
      </c>
      <c r="N75" s="53">
        <v>1</v>
      </c>
      <c r="O75" s="53">
        <v>0.2</v>
      </c>
      <c r="P75" s="53">
        <v>0.6</v>
      </c>
      <c r="Q75" s="75">
        <f t="shared" si="0"/>
        <v>0.4</v>
      </c>
      <c r="R75" s="53">
        <v>17.600000000000001</v>
      </c>
      <c r="S75" s="53">
        <v>124</v>
      </c>
      <c r="T75" s="16">
        <f t="shared" si="1"/>
        <v>30</v>
      </c>
      <c r="U75" s="53">
        <v>108</v>
      </c>
      <c r="V75" s="16">
        <f t="shared" si="2"/>
        <v>3240</v>
      </c>
      <c r="W75" s="53">
        <v>8</v>
      </c>
      <c r="X75" s="53" t="s">
        <v>46</v>
      </c>
      <c r="Y75" s="53" t="s">
        <v>86</v>
      </c>
      <c r="Z75" s="53" t="s">
        <v>55</v>
      </c>
      <c r="AA75" s="53" t="s">
        <v>97</v>
      </c>
      <c r="AB75" s="53" t="s">
        <v>258</v>
      </c>
    </row>
    <row r="76" spans="1:28" x14ac:dyDescent="0.15">
      <c r="A76" s="53" t="s">
        <v>34</v>
      </c>
      <c r="B76" s="53" t="s">
        <v>232</v>
      </c>
      <c r="C76" s="53">
        <v>2019</v>
      </c>
      <c r="D76" s="176" t="s">
        <v>313</v>
      </c>
      <c r="E76" s="53" t="s">
        <v>370</v>
      </c>
      <c r="F76" s="53" t="s">
        <v>369</v>
      </c>
      <c r="G76" s="53" t="s">
        <v>36</v>
      </c>
      <c r="H76" s="53" t="s">
        <v>160</v>
      </c>
      <c r="I76" s="53" t="s">
        <v>159</v>
      </c>
      <c r="J76" s="53" t="s">
        <v>38</v>
      </c>
      <c r="K76" s="53" t="s">
        <v>161</v>
      </c>
      <c r="L76" s="53">
        <v>3</v>
      </c>
      <c r="N76" s="53">
        <v>1</v>
      </c>
      <c r="O76" s="53">
        <v>0.2</v>
      </c>
      <c r="P76" s="53">
        <v>0.2</v>
      </c>
      <c r="Q76" s="75">
        <f t="shared" si="0"/>
        <v>0.2</v>
      </c>
      <c r="R76" s="53">
        <v>17.8</v>
      </c>
      <c r="S76" s="53">
        <v>124</v>
      </c>
      <c r="T76" s="16">
        <f t="shared" si="1"/>
        <v>30</v>
      </c>
      <c r="U76" s="53">
        <v>108</v>
      </c>
      <c r="V76" s="16">
        <f t="shared" si="2"/>
        <v>3240</v>
      </c>
      <c r="W76" s="53">
        <v>8</v>
      </c>
      <c r="X76" s="53" t="s">
        <v>46</v>
      </c>
      <c r="Y76" s="53" t="s">
        <v>86</v>
      </c>
      <c r="Z76" s="53" t="s">
        <v>55</v>
      </c>
      <c r="AA76" s="53" t="s">
        <v>97</v>
      </c>
      <c r="AB76" s="53" t="s">
        <v>258</v>
      </c>
    </row>
    <row r="77" spans="1:28" x14ac:dyDescent="0.15">
      <c r="A77" s="53" t="s">
        <v>34</v>
      </c>
      <c r="B77" s="53" t="s">
        <v>232</v>
      </c>
      <c r="C77" s="53">
        <v>2019</v>
      </c>
      <c r="D77" s="176" t="s">
        <v>313</v>
      </c>
      <c r="E77" s="53" t="s">
        <v>370</v>
      </c>
      <c r="F77" s="53" t="s">
        <v>369</v>
      </c>
      <c r="G77" s="53" t="s">
        <v>36</v>
      </c>
      <c r="H77" s="53" t="s">
        <v>160</v>
      </c>
      <c r="I77" s="53" t="s">
        <v>159</v>
      </c>
      <c r="J77" s="53" t="s">
        <v>38</v>
      </c>
      <c r="K77" s="53" t="s">
        <v>161</v>
      </c>
      <c r="L77" s="53">
        <v>1</v>
      </c>
      <c r="N77" s="53">
        <v>4</v>
      </c>
      <c r="O77" s="53">
        <v>0.7</v>
      </c>
      <c r="P77" s="53">
        <v>0.6</v>
      </c>
      <c r="Q77" s="75">
        <f t="shared" si="0"/>
        <v>0.64999999999999991</v>
      </c>
      <c r="R77" s="53">
        <v>18.5</v>
      </c>
      <c r="S77" s="53">
        <v>109</v>
      </c>
      <c r="T77" s="16">
        <f t="shared" si="1"/>
        <v>33</v>
      </c>
      <c r="U77" s="53">
        <v>429</v>
      </c>
      <c r="V77" s="16">
        <f t="shared" si="2"/>
        <v>3539.25</v>
      </c>
      <c r="W77" s="53">
        <v>8</v>
      </c>
      <c r="X77" s="53" t="s">
        <v>46</v>
      </c>
      <c r="Y77" s="53" t="s">
        <v>86</v>
      </c>
      <c r="Z77" s="53" t="s">
        <v>55</v>
      </c>
      <c r="AA77" s="53" t="s">
        <v>97</v>
      </c>
      <c r="AB77" s="53" t="s">
        <v>258</v>
      </c>
    </row>
    <row r="78" spans="1:28" x14ac:dyDescent="0.15">
      <c r="A78" s="53" t="s">
        <v>34</v>
      </c>
      <c r="B78" s="53" t="s">
        <v>232</v>
      </c>
      <c r="C78" s="53">
        <v>2019</v>
      </c>
      <c r="D78" s="176" t="s">
        <v>313</v>
      </c>
      <c r="E78" s="53" t="s">
        <v>370</v>
      </c>
      <c r="F78" s="53" t="s">
        <v>369</v>
      </c>
      <c r="G78" s="53" t="s">
        <v>36</v>
      </c>
      <c r="H78" s="53" t="s">
        <v>160</v>
      </c>
      <c r="I78" s="53" t="s">
        <v>159</v>
      </c>
      <c r="J78" s="53" t="s">
        <v>38</v>
      </c>
      <c r="K78" s="53" t="s">
        <v>161</v>
      </c>
      <c r="L78" s="53">
        <v>2</v>
      </c>
      <c r="N78" s="53">
        <v>4</v>
      </c>
      <c r="O78" s="53">
        <v>0.75</v>
      </c>
      <c r="P78" s="53">
        <v>0.6</v>
      </c>
      <c r="Q78" s="75">
        <f t="shared" si="0"/>
        <v>0.67500000000000004</v>
      </c>
      <c r="R78" s="53">
        <v>17.8</v>
      </c>
      <c r="S78" s="53">
        <v>112</v>
      </c>
      <c r="T78" s="16">
        <f t="shared" si="1"/>
        <v>33</v>
      </c>
      <c r="U78" s="53">
        <v>429</v>
      </c>
      <c r="V78" s="16">
        <f t="shared" si="2"/>
        <v>3539.25</v>
      </c>
      <c r="W78" s="53">
        <v>8</v>
      </c>
      <c r="X78" s="53" t="s">
        <v>46</v>
      </c>
      <c r="Y78" s="53" t="s">
        <v>86</v>
      </c>
      <c r="Z78" s="53" t="s">
        <v>55</v>
      </c>
      <c r="AA78" s="53" t="s">
        <v>97</v>
      </c>
      <c r="AB78" s="53" t="s">
        <v>258</v>
      </c>
    </row>
    <row r="79" spans="1:28" x14ac:dyDescent="0.15">
      <c r="A79" s="53" t="s">
        <v>34</v>
      </c>
      <c r="B79" s="53" t="s">
        <v>232</v>
      </c>
      <c r="C79" s="53">
        <v>2019</v>
      </c>
      <c r="D79" s="176" t="s">
        <v>313</v>
      </c>
      <c r="E79" s="53" t="s">
        <v>370</v>
      </c>
      <c r="F79" s="53" t="s">
        <v>369</v>
      </c>
      <c r="G79" s="53" t="s">
        <v>36</v>
      </c>
      <c r="H79" s="53" t="s">
        <v>160</v>
      </c>
      <c r="I79" s="53" t="s">
        <v>159</v>
      </c>
      <c r="J79" s="53" t="s">
        <v>38</v>
      </c>
      <c r="K79" s="53" t="s">
        <v>161</v>
      </c>
      <c r="L79" s="53">
        <v>3</v>
      </c>
      <c r="N79" s="53">
        <v>4</v>
      </c>
      <c r="O79" s="53">
        <v>0.95</v>
      </c>
      <c r="P79" s="53">
        <v>0.85</v>
      </c>
      <c r="Q79" s="75">
        <f t="shared" si="0"/>
        <v>0.89999999999999991</v>
      </c>
      <c r="R79" s="53">
        <v>17.8</v>
      </c>
      <c r="S79" s="53">
        <v>111</v>
      </c>
      <c r="T79" s="16">
        <f t="shared" si="1"/>
        <v>33</v>
      </c>
      <c r="U79" s="53">
        <v>429</v>
      </c>
      <c r="V79" s="16">
        <f t="shared" si="2"/>
        <v>3539.25</v>
      </c>
      <c r="W79" s="53">
        <v>8</v>
      </c>
      <c r="X79" s="53" t="s">
        <v>46</v>
      </c>
      <c r="Y79" s="53" t="s">
        <v>86</v>
      </c>
      <c r="Z79" s="53" t="s">
        <v>55</v>
      </c>
      <c r="AA79" s="53" t="s">
        <v>97</v>
      </c>
      <c r="AB79" s="53" t="s">
        <v>258</v>
      </c>
    </row>
    <row r="80" spans="1:28" x14ac:dyDescent="0.15">
      <c r="A80" s="53" t="s">
        <v>34</v>
      </c>
      <c r="B80" s="53" t="s">
        <v>232</v>
      </c>
      <c r="C80" s="53">
        <v>2019</v>
      </c>
      <c r="D80" s="176" t="s">
        <v>313</v>
      </c>
      <c r="E80" s="53" t="s">
        <v>359</v>
      </c>
      <c r="F80" s="53" t="s">
        <v>369</v>
      </c>
      <c r="G80" s="53" t="s">
        <v>36</v>
      </c>
      <c r="H80" s="53" t="s">
        <v>164</v>
      </c>
      <c r="I80" s="53" t="s">
        <v>159</v>
      </c>
      <c r="J80" s="53" t="s">
        <v>38</v>
      </c>
      <c r="K80" s="53" t="s">
        <v>161</v>
      </c>
      <c r="L80" s="53">
        <v>1</v>
      </c>
      <c r="N80" s="53">
        <v>1</v>
      </c>
      <c r="O80" s="53">
        <v>0.65</v>
      </c>
      <c r="P80" s="53">
        <v>0.65</v>
      </c>
      <c r="Q80" s="75">
        <f t="shared" si="0"/>
        <v>0.65</v>
      </c>
      <c r="R80" s="53">
        <v>17.899999999999999</v>
      </c>
      <c r="S80" s="53">
        <v>133</v>
      </c>
      <c r="T80" s="16">
        <f t="shared" si="1"/>
        <v>30</v>
      </c>
      <c r="U80" s="53">
        <v>105</v>
      </c>
      <c r="V80" s="16">
        <f t="shared" si="2"/>
        <v>3150</v>
      </c>
      <c r="W80" s="53">
        <v>2</v>
      </c>
      <c r="X80" s="53" t="s">
        <v>46</v>
      </c>
      <c r="Y80" s="53" t="s">
        <v>69</v>
      </c>
      <c r="Z80" s="53" t="s">
        <v>64</v>
      </c>
      <c r="AA80" s="53" t="s">
        <v>97</v>
      </c>
      <c r="AB80" s="53" t="s">
        <v>258</v>
      </c>
    </row>
    <row r="81" spans="1:28" x14ac:dyDescent="0.15">
      <c r="A81" s="53" t="s">
        <v>34</v>
      </c>
      <c r="B81" s="53" t="s">
        <v>232</v>
      </c>
      <c r="C81" s="53">
        <v>2019</v>
      </c>
      <c r="D81" s="176" t="s">
        <v>313</v>
      </c>
      <c r="E81" s="53" t="s">
        <v>359</v>
      </c>
      <c r="F81" s="53" t="s">
        <v>369</v>
      </c>
      <c r="G81" s="53" t="s">
        <v>36</v>
      </c>
      <c r="H81" s="53" t="s">
        <v>164</v>
      </c>
      <c r="I81" s="53" t="s">
        <v>159</v>
      </c>
      <c r="J81" s="53" t="s">
        <v>38</v>
      </c>
      <c r="K81" s="53" t="s">
        <v>161</v>
      </c>
      <c r="L81" s="53">
        <v>2</v>
      </c>
      <c r="N81" s="53">
        <v>1</v>
      </c>
      <c r="O81" s="53">
        <v>0.95</v>
      </c>
      <c r="P81" s="53">
        <v>1</v>
      </c>
      <c r="Q81" s="75">
        <f t="shared" si="0"/>
        <v>0.97499999999999998</v>
      </c>
      <c r="R81" s="53">
        <v>16.100000000000001</v>
      </c>
      <c r="S81" s="53">
        <v>133</v>
      </c>
      <c r="T81" s="16">
        <f t="shared" si="1"/>
        <v>30</v>
      </c>
      <c r="U81" s="53">
        <v>105</v>
      </c>
      <c r="V81" s="16">
        <f t="shared" si="2"/>
        <v>3150</v>
      </c>
      <c r="W81" s="53">
        <v>2</v>
      </c>
      <c r="X81" s="53" t="s">
        <v>46</v>
      </c>
      <c r="Y81" s="53" t="s">
        <v>69</v>
      </c>
      <c r="Z81" s="53" t="s">
        <v>64</v>
      </c>
      <c r="AA81" s="53" t="s">
        <v>97</v>
      </c>
      <c r="AB81" s="53" t="s">
        <v>258</v>
      </c>
    </row>
    <row r="82" spans="1:28" x14ac:dyDescent="0.15">
      <c r="A82" s="53" t="s">
        <v>34</v>
      </c>
      <c r="B82" s="53" t="s">
        <v>232</v>
      </c>
      <c r="C82" s="53">
        <v>2019</v>
      </c>
      <c r="D82" s="176" t="s">
        <v>313</v>
      </c>
      <c r="E82" s="53" t="s">
        <v>359</v>
      </c>
      <c r="F82" s="53" t="s">
        <v>369</v>
      </c>
      <c r="G82" s="53" t="s">
        <v>36</v>
      </c>
      <c r="H82" s="53" t="s">
        <v>164</v>
      </c>
      <c r="I82" s="53" t="s">
        <v>159</v>
      </c>
      <c r="J82" s="53" t="s">
        <v>38</v>
      </c>
      <c r="K82" s="53" t="s">
        <v>161</v>
      </c>
      <c r="L82" s="53">
        <v>3</v>
      </c>
      <c r="N82" s="53">
        <v>1</v>
      </c>
      <c r="O82" s="53">
        <v>0.85</v>
      </c>
      <c r="P82" s="53">
        <v>0.7</v>
      </c>
      <c r="Q82" s="75">
        <f t="shared" si="0"/>
        <v>0.77499999999999991</v>
      </c>
      <c r="R82" s="53">
        <v>16.7</v>
      </c>
      <c r="S82" s="53">
        <v>126</v>
      </c>
      <c r="T82" s="16">
        <f t="shared" si="1"/>
        <v>30</v>
      </c>
      <c r="U82" s="53">
        <v>105</v>
      </c>
      <c r="V82" s="16">
        <f t="shared" si="2"/>
        <v>3150</v>
      </c>
      <c r="W82" s="53">
        <v>2</v>
      </c>
      <c r="X82" s="53" t="s">
        <v>46</v>
      </c>
      <c r="Y82" s="53" t="s">
        <v>69</v>
      </c>
      <c r="Z82" s="53" t="s">
        <v>64</v>
      </c>
      <c r="AA82" s="53" t="s">
        <v>97</v>
      </c>
      <c r="AB82" s="53" t="s">
        <v>258</v>
      </c>
    </row>
    <row r="83" spans="1:28" x14ac:dyDescent="0.15">
      <c r="A83" s="53" t="s">
        <v>34</v>
      </c>
      <c r="B83" s="53" t="s">
        <v>232</v>
      </c>
      <c r="C83" s="53">
        <v>2019</v>
      </c>
      <c r="D83" s="176" t="s">
        <v>313</v>
      </c>
      <c r="E83" s="53" t="s">
        <v>359</v>
      </c>
      <c r="F83" s="53" t="s">
        <v>369</v>
      </c>
      <c r="G83" s="53" t="s">
        <v>36</v>
      </c>
      <c r="H83" s="53" t="s">
        <v>164</v>
      </c>
      <c r="I83" s="53" t="s">
        <v>159</v>
      </c>
      <c r="J83" s="53" t="s">
        <v>38</v>
      </c>
      <c r="K83" s="53" t="s">
        <v>161</v>
      </c>
      <c r="L83" s="53">
        <v>1</v>
      </c>
      <c r="N83" s="53">
        <v>9</v>
      </c>
      <c r="O83" s="53">
        <v>0.2</v>
      </c>
      <c r="P83" s="53">
        <v>0.2</v>
      </c>
      <c r="Q83" s="75">
        <f t="shared" ref="Q83:Q133" si="5">IF(OR(O83="",P83=""),"",AVERAGE(O83,P83))</f>
        <v>0.2</v>
      </c>
      <c r="R83" s="53">
        <v>17.399999999999999</v>
      </c>
      <c r="S83" s="53">
        <v>83</v>
      </c>
      <c r="T83" s="16">
        <f t="shared" ref="T83:T133" si="6">IF(H83="","",IF(OR(H83="GREEN",H83="GK"),IF(S83&gt;=$AX$2,VLOOKUP(S83,$AX$2:$AY$9,2,1),""),IF(S83&gt;=$AZ$2,VLOOKUP(S83,$AZ$2:$BA$9,2,1),"")))</f>
        <v>39</v>
      </c>
      <c r="U83" s="53">
        <v>537</v>
      </c>
      <c r="V83" s="16">
        <f t="shared" ref="V83:V133" si="7">IF(OR(N83="",U83="",T83=""),"",U83/N83*T83)</f>
        <v>2327</v>
      </c>
      <c r="W83" s="53">
        <v>2</v>
      </c>
      <c r="X83" s="53" t="s">
        <v>46</v>
      </c>
      <c r="Y83" s="53" t="s">
        <v>69</v>
      </c>
      <c r="Z83" s="53" t="s">
        <v>64</v>
      </c>
      <c r="AA83" s="53" t="s">
        <v>97</v>
      </c>
      <c r="AB83" s="53" t="s">
        <v>258</v>
      </c>
    </row>
    <row r="84" spans="1:28" x14ac:dyDescent="0.15">
      <c r="A84" s="53" t="s">
        <v>34</v>
      </c>
      <c r="B84" s="53" t="s">
        <v>232</v>
      </c>
      <c r="C84" s="53">
        <v>2019</v>
      </c>
      <c r="D84" s="176" t="s">
        <v>313</v>
      </c>
      <c r="E84" s="53" t="s">
        <v>359</v>
      </c>
      <c r="F84" s="53" t="s">
        <v>369</v>
      </c>
      <c r="G84" s="53" t="s">
        <v>36</v>
      </c>
      <c r="H84" s="53" t="s">
        <v>164</v>
      </c>
      <c r="I84" s="53" t="s">
        <v>159</v>
      </c>
      <c r="J84" s="53" t="s">
        <v>38</v>
      </c>
      <c r="K84" s="53" t="s">
        <v>161</v>
      </c>
      <c r="L84" s="53">
        <v>2</v>
      </c>
      <c r="N84" s="53">
        <v>9</v>
      </c>
      <c r="O84" s="53">
        <v>0.2</v>
      </c>
      <c r="P84" s="53">
        <v>0.2</v>
      </c>
      <c r="Q84" s="75">
        <f t="shared" si="5"/>
        <v>0.2</v>
      </c>
      <c r="R84" s="53">
        <v>17.7</v>
      </c>
      <c r="S84" s="53">
        <v>78</v>
      </c>
      <c r="T84" s="16">
        <f t="shared" si="6"/>
        <v>39</v>
      </c>
      <c r="U84" s="53">
        <v>537</v>
      </c>
      <c r="V84" s="16">
        <f t="shared" si="7"/>
        <v>2327</v>
      </c>
      <c r="W84" s="53">
        <v>2</v>
      </c>
      <c r="X84" s="53" t="s">
        <v>46</v>
      </c>
      <c r="Y84" s="53" t="s">
        <v>69</v>
      </c>
      <c r="Z84" s="53" t="s">
        <v>64</v>
      </c>
      <c r="AA84" s="53" t="s">
        <v>97</v>
      </c>
      <c r="AB84" s="53" t="s">
        <v>258</v>
      </c>
    </row>
    <row r="85" spans="1:28" x14ac:dyDescent="0.15">
      <c r="A85" s="53" t="s">
        <v>34</v>
      </c>
      <c r="B85" s="53" t="s">
        <v>232</v>
      </c>
      <c r="C85" s="53">
        <v>2019</v>
      </c>
      <c r="D85" s="176" t="s">
        <v>313</v>
      </c>
      <c r="E85" s="53" t="s">
        <v>359</v>
      </c>
      <c r="F85" s="53" t="s">
        <v>369</v>
      </c>
      <c r="G85" s="53" t="s">
        <v>36</v>
      </c>
      <c r="H85" s="53" t="s">
        <v>164</v>
      </c>
      <c r="I85" s="53" t="s">
        <v>159</v>
      </c>
      <c r="J85" s="53" t="s">
        <v>38</v>
      </c>
      <c r="K85" s="53" t="s">
        <v>161</v>
      </c>
      <c r="L85" s="53">
        <v>3</v>
      </c>
      <c r="N85" s="53">
        <v>9</v>
      </c>
      <c r="O85" s="53">
        <v>0.2</v>
      </c>
      <c r="P85" s="53">
        <v>0.2</v>
      </c>
      <c r="Q85" s="75">
        <f t="shared" si="5"/>
        <v>0.2</v>
      </c>
      <c r="R85" s="53">
        <v>19.2</v>
      </c>
      <c r="S85" s="53">
        <v>84</v>
      </c>
      <c r="T85" s="16">
        <f t="shared" si="6"/>
        <v>36</v>
      </c>
      <c r="U85" s="53">
        <v>537</v>
      </c>
      <c r="V85" s="16">
        <f t="shared" si="7"/>
        <v>2148</v>
      </c>
      <c r="W85" s="53">
        <v>2</v>
      </c>
      <c r="X85" s="53" t="s">
        <v>46</v>
      </c>
      <c r="Y85" s="53" t="s">
        <v>69</v>
      </c>
      <c r="Z85" s="53" t="s">
        <v>64</v>
      </c>
      <c r="AA85" s="53" t="s">
        <v>97</v>
      </c>
      <c r="AB85" s="53" t="s">
        <v>258</v>
      </c>
    </row>
    <row r="86" spans="1:28" x14ac:dyDescent="0.15">
      <c r="A86" s="53" t="s">
        <v>34</v>
      </c>
      <c r="B86" s="53" t="s">
        <v>232</v>
      </c>
      <c r="C86" s="53">
        <v>2019</v>
      </c>
      <c r="D86" s="176" t="s">
        <v>313</v>
      </c>
      <c r="E86" s="53" t="s">
        <v>359</v>
      </c>
      <c r="F86" s="53" t="s">
        <v>369</v>
      </c>
      <c r="G86" s="53" t="s">
        <v>36</v>
      </c>
      <c r="H86" s="53" t="s">
        <v>160</v>
      </c>
      <c r="I86" s="53" t="s">
        <v>159</v>
      </c>
      <c r="J86" s="53" t="s">
        <v>38</v>
      </c>
      <c r="K86" s="53" t="s">
        <v>161</v>
      </c>
      <c r="L86" s="53">
        <v>1</v>
      </c>
      <c r="N86" s="53">
        <v>1</v>
      </c>
      <c r="O86" s="53">
        <v>0.65</v>
      </c>
      <c r="P86" s="53">
        <v>0.55000000000000004</v>
      </c>
      <c r="Q86" s="75">
        <f t="shared" si="5"/>
        <v>0.60000000000000009</v>
      </c>
      <c r="R86" s="53">
        <v>18.8</v>
      </c>
      <c r="S86" s="53">
        <v>100</v>
      </c>
      <c r="T86" s="16">
        <f t="shared" si="6"/>
        <v>33</v>
      </c>
      <c r="U86" s="53">
        <v>105</v>
      </c>
      <c r="V86" s="16">
        <f t="shared" si="7"/>
        <v>3465</v>
      </c>
      <c r="W86" s="53">
        <v>2</v>
      </c>
      <c r="X86" s="53" t="s">
        <v>46</v>
      </c>
      <c r="Y86" s="53" t="s">
        <v>69</v>
      </c>
      <c r="Z86" s="53" t="s">
        <v>64</v>
      </c>
      <c r="AA86" s="53" t="s">
        <v>97</v>
      </c>
      <c r="AB86" s="53" t="s">
        <v>258</v>
      </c>
    </row>
    <row r="87" spans="1:28" x14ac:dyDescent="0.15">
      <c r="A87" s="53" t="s">
        <v>34</v>
      </c>
      <c r="B87" s="53" t="s">
        <v>232</v>
      </c>
      <c r="C87" s="53">
        <v>2019</v>
      </c>
      <c r="D87" s="176" t="s">
        <v>313</v>
      </c>
      <c r="E87" s="53" t="s">
        <v>359</v>
      </c>
      <c r="F87" s="53" t="s">
        <v>369</v>
      </c>
      <c r="G87" s="53" t="s">
        <v>36</v>
      </c>
      <c r="H87" s="53" t="s">
        <v>160</v>
      </c>
      <c r="I87" s="53" t="s">
        <v>159</v>
      </c>
      <c r="J87" s="53" t="s">
        <v>38</v>
      </c>
      <c r="K87" s="53" t="s">
        <v>161</v>
      </c>
      <c r="L87" s="53">
        <v>2</v>
      </c>
      <c r="N87" s="53">
        <v>1</v>
      </c>
      <c r="O87" s="53">
        <v>0.65</v>
      </c>
      <c r="P87" s="53">
        <v>0.7</v>
      </c>
      <c r="Q87" s="75">
        <f t="shared" si="5"/>
        <v>0.67500000000000004</v>
      </c>
      <c r="R87" s="53">
        <v>18.2</v>
      </c>
      <c r="S87" s="53">
        <v>109</v>
      </c>
      <c r="T87" s="16">
        <f t="shared" si="6"/>
        <v>33</v>
      </c>
      <c r="U87" s="53">
        <v>105</v>
      </c>
      <c r="V87" s="16">
        <f t="shared" si="7"/>
        <v>3465</v>
      </c>
      <c r="W87" s="53">
        <v>2</v>
      </c>
      <c r="X87" s="53" t="s">
        <v>46</v>
      </c>
      <c r="Y87" s="53" t="s">
        <v>69</v>
      </c>
      <c r="Z87" s="53" t="s">
        <v>64</v>
      </c>
      <c r="AA87" s="53" t="s">
        <v>97</v>
      </c>
      <c r="AB87" s="53" t="s">
        <v>258</v>
      </c>
    </row>
    <row r="88" spans="1:28" x14ac:dyDescent="0.15">
      <c r="A88" s="53" t="s">
        <v>34</v>
      </c>
      <c r="B88" s="53" t="s">
        <v>232</v>
      </c>
      <c r="C88" s="53">
        <v>2019</v>
      </c>
      <c r="D88" s="176" t="s">
        <v>313</v>
      </c>
      <c r="E88" s="53" t="s">
        <v>359</v>
      </c>
      <c r="F88" s="53" t="s">
        <v>369</v>
      </c>
      <c r="G88" s="53" t="s">
        <v>36</v>
      </c>
      <c r="H88" s="53" t="s">
        <v>160</v>
      </c>
      <c r="I88" s="53" t="s">
        <v>159</v>
      </c>
      <c r="J88" s="53" t="s">
        <v>38</v>
      </c>
      <c r="K88" s="53" t="s">
        <v>161</v>
      </c>
      <c r="L88" s="53">
        <v>3</v>
      </c>
      <c r="N88" s="53">
        <v>1</v>
      </c>
      <c r="O88" s="53">
        <v>0.2</v>
      </c>
      <c r="P88" s="53">
        <v>0.2</v>
      </c>
      <c r="Q88" s="75">
        <f t="shared" si="5"/>
        <v>0.2</v>
      </c>
      <c r="R88" s="53">
        <v>17.2</v>
      </c>
      <c r="S88" s="53">
        <v>126</v>
      </c>
      <c r="T88" s="16">
        <f t="shared" si="6"/>
        <v>30</v>
      </c>
      <c r="U88" s="53">
        <v>105</v>
      </c>
      <c r="V88" s="16">
        <f t="shared" si="7"/>
        <v>3150</v>
      </c>
      <c r="W88" s="53">
        <v>2</v>
      </c>
      <c r="X88" s="53" t="s">
        <v>46</v>
      </c>
      <c r="Y88" s="53" t="s">
        <v>69</v>
      </c>
      <c r="Z88" s="53" t="s">
        <v>64</v>
      </c>
      <c r="AA88" s="53" t="s">
        <v>97</v>
      </c>
      <c r="AB88" s="53" t="s">
        <v>258</v>
      </c>
    </row>
    <row r="89" spans="1:28" x14ac:dyDescent="0.15">
      <c r="A89" s="53" t="s">
        <v>34</v>
      </c>
      <c r="B89" s="53" t="s">
        <v>232</v>
      </c>
      <c r="C89" s="53">
        <v>2019</v>
      </c>
      <c r="D89" s="176" t="s">
        <v>313</v>
      </c>
      <c r="E89" s="53" t="s">
        <v>359</v>
      </c>
      <c r="F89" s="53" t="s">
        <v>369</v>
      </c>
      <c r="G89" s="53" t="s">
        <v>36</v>
      </c>
      <c r="H89" s="53" t="s">
        <v>160</v>
      </c>
      <c r="I89" s="53" t="s">
        <v>159</v>
      </c>
      <c r="J89" s="53" t="s">
        <v>38</v>
      </c>
      <c r="K89" s="53" t="s">
        <v>161</v>
      </c>
      <c r="L89" s="53">
        <v>1</v>
      </c>
      <c r="N89" s="53">
        <v>6</v>
      </c>
      <c r="O89" s="53">
        <v>0.55000000000000004</v>
      </c>
      <c r="P89" s="53">
        <v>0.6</v>
      </c>
      <c r="Q89" s="75">
        <f t="shared" si="5"/>
        <v>0.57499999999999996</v>
      </c>
      <c r="R89" s="53">
        <v>18.100000000000001</v>
      </c>
      <c r="S89" s="53">
        <v>82</v>
      </c>
      <c r="T89" s="16">
        <f t="shared" si="6"/>
        <v>39</v>
      </c>
      <c r="U89" s="53">
        <v>537</v>
      </c>
      <c r="V89" s="16">
        <f t="shared" si="7"/>
        <v>3490.5</v>
      </c>
      <c r="W89" s="53">
        <v>2</v>
      </c>
      <c r="X89" s="53" t="s">
        <v>46</v>
      </c>
      <c r="Y89" s="53" t="s">
        <v>69</v>
      </c>
      <c r="Z89" s="53" t="s">
        <v>64</v>
      </c>
      <c r="AA89" s="53" t="s">
        <v>97</v>
      </c>
      <c r="AB89" s="53" t="s">
        <v>258</v>
      </c>
    </row>
    <row r="90" spans="1:28" x14ac:dyDescent="0.15">
      <c r="A90" s="53" t="s">
        <v>34</v>
      </c>
      <c r="B90" s="53" t="s">
        <v>232</v>
      </c>
      <c r="C90" s="53">
        <v>2019</v>
      </c>
      <c r="D90" s="176" t="s">
        <v>313</v>
      </c>
      <c r="E90" s="53" t="s">
        <v>359</v>
      </c>
      <c r="F90" s="53" t="s">
        <v>369</v>
      </c>
      <c r="G90" s="53" t="s">
        <v>36</v>
      </c>
      <c r="H90" s="53" t="s">
        <v>160</v>
      </c>
      <c r="I90" s="53" t="s">
        <v>159</v>
      </c>
      <c r="J90" s="53" t="s">
        <v>38</v>
      </c>
      <c r="K90" s="53" t="s">
        <v>161</v>
      </c>
      <c r="L90" s="53">
        <v>2</v>
      </c>
      <c r="N90" s="53">
        <v>6</v>
      </c>
      <c r="O90" s="53">
        <v>0.55000000000000004</v>
      </c>
      <c r="P90" s="53">
        <v>0.6</v>
      </c>
      <c r="Q90" s="75">
        <f t="shared" si="5"/>
        <v>0.57499999999999996</v>
      </c>
      <c r="R90" s="53">
        <v>17.3</v>
      </c>
      <c r="S90" s="53">
        <v>85</v>
      </c>
      <c r="T90" s="16">
        <f t="shared" si="6"/>
        <v>36</v>
      </c>
      <c r="U90" s="53">
        <v>537</v>
      </c>
      <c r="V90" s="16">
        <f t="shared" si="7"/>
        <v>3222</v>
      </c>
      <c r="W90" s="53">
        <v>2</v>
      </c>
      <c r="X90" s="53" t="s">
        <v>46</v>
      </c>
      <c r="Y90" s="53" t="s">
        <v>69</v>
      </c>
      <c r="Z90" s="53" t="s">
        <v>64</v>
      </c>
      <c r="AA90" s="53" t="s">
        <v>97</v>
      </c>
      <c r="AB90" s="53" t="s">
        <v>258</v>
      </c>
    </row>
    <row r="91" spans="1:28" x14ac:dyDescent="0.15">
      <c r="A91" s="53" t="s">
        <v>34</v>
      </c>
      <c r="B91" s="53" t="s">
        <v>232</v>
      </c>
      <c r="C91" s="53">
        <v>2019</v>
      </c>
      <c r="D91" s="176" t="s">
        <v>313</v>
      </c>
      <c r="E91" s="53" t="s">
        <v>359</v>
      </c>
      <c r="F91" s="53" t="s">
        <v>369</v>
      </c>
      <c r="G91" s="53" t="s">
        <v>36</v>
      </c>
      <c r="H91" s="53" t="s">
        <v>160</v>
      </c>
      <c r="I91" s="53" t="s">
        <v>159</v>
      </c>
      <c r="J91" s="53" t="s">
        <v>38</v>
      </c>
      <c r="K91" s="53" t="s">
        <v>161</v>
      </c>
      <c r="L91" s="53">
        <v>3</v>
      </c>
      <c r="N91" s="53">
        <v>6</v>
      </c>
      <c r="O91" s="53">
        <v>0.55000000000000004</v>
      </c>
      <c r="P91" s="53">
        <v>0.55000000000000004</v>
      </c>
      <c r="Q91" s="75">
        <f t="shared" si="5"/>
        <v>0.55000000000000004</v>
      </c>
      <c r="R91" s="53">
        <v>17.5</v>
      </c>
      <c r="S91" s="53">
        <v>88</v>
      </c>
      <c r="T91" s="16">
        <f t="shared" si="6"/>
        <v>36</v>
      </c>
      <c r="U91" s="53">
        <v>537</v>
      </c>
      <c r="V91" s="16">
        <f t="shared" si="7"/>
        <v>3222</v>
      </c>
      <c r="W91" s="53">
        <v>2</v>
      </c>
      <c r="X91" s="53" t="s">
        <v>46</v>
      </c>
      <c r="Y91" s="53" t="s">
        <v>69</v>
      </c>
      <c r="Z91" s="53" t="s">
        <v>64</v>
      </c>
      <c r="AA91" s="53" t="s">
        <v>97</v>
      </c>
      <c r="AB91" s="53" t="s">
        <v>258</v>
      </c>
    </row>
    <row r="92" spans="1:28" x14ac:dyDescent="0.15">
      <c r="A92" s="53" t="s">
        <v>34</v>
      </c>
      <c r="B92" s="53" t="s">
        <v>232</v>
      </c>
      <c r="C92" s="53">
        <v>2019</v>
      </c>
      <c r="D92" s="176" t="s">
        <v>313</v>
      </c>
      <c r="E92" s="53" t="s">
        <v>373</v>
      </c>
      <c r="F92" s="53" t="s">
        <v>374</v>
      </c>
      <c r="G92" s="53" t="s">
        <v>36</v>
      </c>
      <c r="H92" s="53" t="s">
        <v>164</v>
      </c>
      <c r="I92" s="53" t="s">
        <v>159</v>
      </c>
      <c r="J92" s="53" t="s">
        <v>38</v>
      </c>
      <c r="K92" s="53" t="s">
        <v>161</v>
      </c>
      <c r="L92" s="53">
        <v>1</v>
      </c>
      <c r="N92" s="53">
        <v>1</v>
      </c>
      <c r="O92" s="53">
        <v>0.55000000000000004</v>
      </c>
      <c r="P92" s="53">
        <v>0.7</v>
      </c>
      <c r="Q92" s="75">
        <f t="shared" si="5"/>
        <v>0.625</v>
      </c>
      <c r="R92" s="53">
        <v>17.899999999999999</v>
      </c>
      <c r="S92" s="53">
        <v>126</v>
      </c>
      <c r="T92" s="16">
        <f t="shared" si="6"/>
        <v>30</v>
      </c>
      <c r="U92" s="53">
        <v>96</v>
      </c>
      <c r="V92" s="16">
        <f t="shared" si="7"/>
        <v>2880</v>
      </c>
      <c r="W92" s="53">
        <v>6</v>
      </c>
      <c r="X92" s="53" t="s">
        <v>46</v>
      </c>
      <c r="Y92" s="53" t="s">
        <v>55</v>
      </c>
      <c r="Z92" s="53" t="s">
        <v>69</v>
      </c>
      <c r="AA92" s="53" t="s">
        <v>97</v>
      </c>
      <c r="AB92" s="53" t="s">
        <v>258</v>
      </c>
    </row>
    <row r="93" spans="1:28" x14ac:dyDescent="0.15">
      <c r="A93" s="53" t="s">
        <v>34</v>
      </c>
      <c r="B93" s="53" t="s">
        <v>232</v>
      </c>
      <c r="C93" s="53">
        <v>2019</v>
      </c>
      <c r="D93" s="176" t="s">
        <v>313</v>
      </c>
      <c r="E93" s="53" t="s">
        <v>373</v>
      </c>
      <c r="F93" s="53" t="s">
        <v>374</v>
      </c>
      <c r="G93" s="53" t="s">
        <v>36</v>
      </c>
      <c r="H93" s="53" t="s">
        <v>164</v>
      </c>
      <c r="I93" s="53" t="s">
        <v>159</v>
      </c>
      <c r="J93" s="53" t="s">
        <v>38</v>
      </c>
      <c r="K93" s="53" t="s">
        <v>161</v>
      </c>
      <c r="L93" s="53">
        <v>2</v>
      </c>
      <c r="N93" s="53">
        <v>1</v>
      </c>
      <c r="O93" s="53">
        <v>0.2</v>
      </c>
      <c r="P93" s="53">
        <v>0.45</v>
      </c>
      <c r="Q93" s="75">
        <f t="shared" si="5"/>
        <v>0.32500000000000001</v>
      </c>
      <c r="R93" s="53">
        <v>17.8</v>
      </c>
      <c r="S93" s="53">
        <v>129</v>
      </c>
      <c r="T93" s="16">
        <f t="shared" si="6"/>
        <v>30</v>
      </c>
      <c r="U93" s="53">
        <v>96</v>
      </c>
      <c r="V93" s="16">
        <f t="shared" si="7"/>
        <v>2880</v>
      </c>
      <c r="W93" s="53">
        <v>6</v>
      </c>
      <c r="X93" s="53" t="s">
        <v>46</v>
      </c>
      <c r="Y93" s="53" t="s">
        <v>55</v>
      </c>
      <c r="Z93" s="53" t="s">
        <v>69</v>
      </c>
      <c r="AA93" s="53" t="s">
        <v>97</v>
      </c>
      <c r="AB93" s="53" t="s">
        <v>258</v>
      </c>
    </row>
    <row r="94" spans="1:28" x14ac:dyDescent="0.15">
      <c r="A94" s="53" t="s">
        <v>34</v>
      </c>
      <c r="B94" s="53" t="s">
        <v>232</v>
      </c>
      <c r="C94" s="53">
        <v>2019</v>
      </c>
      <c r="D94" s="176" t="s">
        <v>313</v>
      </c>
      <c r="E94" s="53" t="s">
        <v>373</v>
      </c>
      <c r="F94" s="53" t="s">
        <v>374</v>
      </c>
      <c r="G94" s="53" t="s">
        <v>36</v>
      </c>
      <c r="H94" s="53" t="s">
        <v>164</v>
      </c>
      <c r="I94" s="53" t="s">
        <v>159</v>
      </c>
      <c r="J94" s="53" t="s">
        <v>38</v>
      </c>
      <c r="K94" s="53" t="s">
        <v>161</v>
      </c>
      <c r="L94" s="53">
        <v>3</v>
      </c>
      <c r="N94" s="53">
        <v>1</v>
      </c>
      <c r="O94" s="53">
        <v>0.55000000000000004</v>
      </c>
      <c r="P94" s="53">
        <v>0.6</v>
      </c>
      <c r="Q94" s="75">
        <f t="shared" si="5"/>
        <v>0.57499999999999996</v>
      </c>
      <c r="R94" s="53">
        <v>17.7</v>
      </c>
      <c r="S94" s="53">
        <v>125</v>
      </c>
      <c r="T94" s="16">
        <f t="shared" si="6"/>
        <v>30</v>
      </c>
      <c r="U94" s="53">
        <v>96</v>
      </c>
      <c r="V94" s="16">
        <f t="shared" si="7"/>
        <v>2880</v>
      </c>
      <c r="W94" s="53">
        <v>6</v>
      </c>
      <c r="X94" s="53" t="s">
        <v>46</v>
      </c>
      <c r="Y94" s="53" t="s">
        <v>55</v>
      </c>
      <c r="Z94" s="53" t="s">
        <v>69</v>
      </c>
      <c r="AA94" s="53" t="s">
        <v>97</v>
      </c>
      <c r="AB94" s="53" t="s">
        <v>258</v>
      </c>
    </row>
    <row r="95" spans="1:28" x14ac:dyDescent="0.15">
      <c r="A95" s="53" t="s">
        <v>34</v>
      </c>
      <c r="B95" s="53" t="s">
        <v>232</v>
      </c>
      <c r="C95" s="53">
        <v>2019</v>
      </c>
      <c r="D95" s="176" t="s">
        <v>313</v>
      </c>
      <c r="E95" s="53" t="s">
        <v>373</v>
      </c>
      <c r="F95" s="53" t="s">
        <v>374</v>
      </c>
      <c r="G95" s="53" t="s">
        <v>36</v>
      </c>
      <c r="H95" s="53" t="s">
        <v>164</v>
      </c>
      <c r="I95" s="53" t="s">
        <v>159</v>
      </c>
      <c r="J95" s="53" t="s">
        <v>38</v>
      </c>
      <c r="K95" s="53" t="s">
        <v>161</v>
      </c>
      <c r="L95" s="53">
        <v>1</v>
      </c>
      <c r="N95" s="53">
        <v>4</v>
      </c>
      <c r="O95" s="53">
        <v>0.75</v>
      </c>
      <c r="P95" s="53">
        <v>0.9</v>
      </c>
      <c r="Q95" s="75">
        <f t="shared" si="5"/>
        <v>0.82499999999999996</v>
      </c>
      <c r="R95" s="53">
        <v>19.2</v>
      </c>
      <c r="S95" s="53">
        <v>89</v>
      </c>
      <c r="T95" s="16">
        <f t="shared" si="6"/>
        <v>36</v>
      </c>
      <c r="U95" s="53">
        <v>429</v>
      </c>
      <c r="V95" s="16">
        <f t="shared" si="7"/>
        <v>3861</v>
      </c>
      <c r="W95" s="53">
        <v>6</v>
      </c>
      <c r="X95" s="53" t="s">
        <v>46</v>
      </c>
      <c r="Y95" s="53" t="s">
        <v>55</v>
      </c>
      <c r="Z95" s="53" t="s">
        <v>69</v>
      </c>
      <c r="AA95" s="53" t="s">
        <v>97</v>
      </c>
      <c r="AB95" s="53" t="s">
        <v>258</v>
      </c>
    </row>
    <row r="96" spans="1:28" x14ac:dyDescent="0.15">
      <c r="A96" s="53" t="s">
        <v>34</v>
      </c>
      <c r="B96" s="53" t="s">
        <v>232</v>
      </c>
      <c r="C96" s="53">
        <v>2019</v>
      </c>
      <c r="D96" s="176" t="s">
        <v>313</v>
      </c>
      <c r="E96" s="53" t="s">
        <v>373</v>
      </c>
      <c r="F96" s="53" t="s">
        <v>374</v>
      </c>
      <c r="G96" s="53" t="s">
        <v>36</v>
      </c>
      <c r="H96" s="53" t="s">
        <v>164</v>
      </c>
      <c r="I96" s="53" t="s">
        <v>159</v>
      </c>
      <c r="J96" s="53" t="s">
        <v>38</v>
      </c>
      <c r="K96" s="53" t="s">
        <v>161</v>
      </c>
      <c r="L96" s="53">
        <v>2</v>
      </c>
      <c r="N96" s="53">
        <v>4</v>
      </c>
      <c r="O96" s="53">
        <v>0.6</v>
      </c>
      <c r="P96" s="53">
        <v>0.7</v>
      </c>
      <c r="Q96" s="75">
        <f t="shared" si="5"/>
        <v>0.64999999999999991</v>
      </c>
      <c r="R96" s="53">
        <v>17.3</v>
      </c>
      <c r="S96" s="53">
        <v>93</v>
      </c>
      <c r="T96" s="16">
        <f t="shared" si="6"/>
        <v>36</v>
      </c>
      <c r="U96" s="53">
        <v>429</v>
      </c>
      <c r="V96" s="16">
        <f t="shared" si="7"/>
        <v>3861</v>
      </c>
      <c r="W96" s="53">
        <v>6</v>
      </c>
      <c r="X96" s="53" t="s">
        <v>46</v>
      </c>
      <c r="Y96" s="53" t="s">
        <v>55</v>
      </c>
      <c r="Z96" s="53" t="s">
        <v>69</v>
      </c>
      <c r="AA96" s="53" t="s">
        <v>97</v>
      </c>
      <c r="AB96" s="53" t="s">
        <v>258</v>
      </c>
    </row>
    <row r="97" spans="1:28" x14ac:dyDescent="0.15">
      <c r="A97" s="53" t="s">
        <v>34</v>
      </c>
      <c r="B97" s="53" t="s">
        <v>232</v>
      </c>
      <c r="C97" s="53">
        <v>2019</v>
      </c>
      <c r="D97" s="176" t="s">
        <v>313</v>
      </c>
      <c r="E97" s="53" t="s">
        <v>373</v>
      </c>
      <c r="F97" s="53" t="s">
        <v>374</v>
      </c>
      <c r="G97" s="53" t="s">
        <v>36</v>
      </c>
      <c r="H97" s="53" t="s">
        <v>164</v>
      </c>
      <c r="I97" s="53" t="s">
        <v>159</v>
      </c>
      <c r="J97" s="53" t="s">
        <v>38</v>
      </c>
      <c r="K97" s="53" t="s">
        <v>161</v>
      </c>
      <c r="L97" s="53">
        <v>3</v>
      </c>
      <c r="N97" s="53">
        <v>4</v>
      </c>
      <c r="O97" s="53">
        <v>0.9</v>
      </c>
      <c r="P97" s="53">
        <v>0.95</v>
      </c>
      <c r="Q97" s="75">
        <f t="shared" si="5"/>
        <v>0.92500000000000004</v>
      </c>
      <c r="R97" s="53">
        <v>17.2</v>
      </c>
      <c r="S97" s="53">
        <v>89</v>
      </c>
      <c r="T97" s="16">
        <f t="shared" si="6"/>
        <v>36</v>
      </c>
      <c r="U97" s="53">
        <v>429</v>
      </c>
      <c r="V97" s="16">
        <f t="shared" si="7"/>
        <v>3861</v>
      </c>
      <c r="W97" s="53">
        <v>6</v>
      </c>
      <c r="X97" s="53" t="s">
        <v>46</v>
      </c>
      <c r="Y97" s="53" t="s">
        <v>55</v>
      </c>
      <c r="Z97" s="53" t="s">
        <v>69</v>
      </c>
      <c r="AA97" s="53" t="s">
        <v>97</v>
      </c>
      <c r="AB97" s="53" t="s">
        <v>258</v>
      </c>
    </row>
    <row r="98" spans="1:28" x14ac:dyDescent="0.15">
      <c r="A98" s="53" t="s">
        <v>34</v>
      </c>
      <c r="B98" s="53" t="s">
        <v>232</v>
      </c>
      <c r="C98" s="53">
        <v>2019</v>
      </c>
      <c r="D98" s="176" t="s">
        <v>313</v>
      </c>
      <c r="E98" s="53" t="s">
        <v>373</v>
      </c>
      <c r="F98" s="53" t="s">
        <v>374</v>
      </c>
      <c r="G98" s="53" t="s">
        <v>36</v>
      </c>
      <c r="H98" s="53" t="s">
        <v>160</v>
      </c>
      <c r="I98" s="53" t="s">
        <v>159</v>
      </c>
      <c r="J98" s="53" t="s">
        <v>38</v>
      </c>
      <c r="K98" s="53" t="s">
        <v>161</v>
      </c>
      <c r="L98" s="53">
        <v>1</v>
      </c>
      <c r="N98" s="53">
        <v>1</v>
      </c>
      <c r="O98" s="53">
        <v>0.6</v>
      </c>
      <c r="P98" s="53">
        <v>0.55000000000000004</v>
      </c>
      <c r="Q98" s="75">
        <f t="shared" si="5"/>
        <v>0.57499999999999996</v>
      </c>
      <c r="R98" s="53">
        <v>17.5</v>
      </c>
      <c r="S98" s="53">
        <v>122</v>
      </c>
      <c r="T98" s="16">
        <f t="shared" si="6"/>
        <v>30</v>
      </c>
      <c r="U98" s="53">
        <v>96</v>
      </c>
      <c r="V98" s="16">
        <f t="shared" si="7"/>
        <v>2880</v>
      </c>
      <c r="W98" s="53">
        <v>9</v>
      </c>
      <c r="X98" s="53" t="s">
        <v>46</v>
      </c>
      <c r="Y98" s="53" t="s">
        <v>55</v>
      </c>
      <c r="Z98" s="53" t="s">
        <v>69</v>
      </c>
      <c r="AA98" s="53" t="s">
        <v>97</v>
      </c>
      <c r="AB98" s="53" t="s">
        <v>258</v>
      </c>
    </row>
    <row r="99" spans="1:28" x14ac:dyDescent="0.15">
      <c r="A99" s="53" t="s">
        <v>34</v>
      </c>
      <c r="B99" s="53" t="s">
        <v>232</v>
      </c>
      <c r="C99" s="53">
        <v>2019</v>
      </c>
      <c r="D99" s="176" t="s">
        <v>313</v>
      </c>
      <c r="E99" s="53" t="s">
        <v>373</v>
      </c>
      <c r="F99" s="53" t="s">
        <v>374</v>
      </c>
      <c r="G99" s="53" t="s">
        <v>36</v>
      </c>
      <c r="H99" s="53" t="s">
        <v>160</v>
      </c>
      <c r="I99" s="53" t="s">
        <v>159</v>
      </c>
      <c r="J99" s="53" t="s">
        <v>38</v>
      </c>
      <c r="K99" s="53" t="s">
        <v>161</v>
      </c>
      <c r="L99" s="53">
        <v>2</v>
      </c>
      <c r="N99" s="53">
        <v>1</v>
      </c>
      <c r="O99" s="53">
        <v>0.55000000000000004</v>
      </c>
      <c r="P99" s="53">
        <v>0.55000000000000004</v>
      </c>
      <c r="Q99" s="75">
        <f t="shared" si="5"/>
        <v>0.55000000000000004</v>
      </c>
      <c r="R99" s="53">
        <v>20</v>
      </c>
      <c r="S99" s="53">
        <v>130</v>
      </c>
      <c r="T99" s="16">
        <f t="shared" si="6"/>
        <v>30</v>
      </c>
      <c r="U99" s="53">
        <v>96</v>
      </c>
      <c r="V99" s="16">
        <f t="shared" si="7"/>
        <v>2880</v>
      </c>
      <c r="W99" s="53">
        <v>9</v>
      </c>
      <c r="X99" s="53" t="s">
        <v>46</v>
      </c>
      <c r="Y99" s="53" t="s">
        <v>55</v>
      </c>
      <c r="Z99" s="53" t="s">
        <v>69</v>
      </c>
      <c r="AA99" s="53" t="s">
        <v>97</v>
      </c>
      <c r="AB99" s="53" t="s">
        <v>258</v>
      </c>
    </row>
    <row r="100" spans="1:28" x14ac:dyDescent="0.15">
      <c r="A100" s="53" t="s">
        <v>34</v>
      </c>
      <c r="B100" s="53" t="s">
        <v>232</v>
      </c>
      <c r="C100" s="53">
        <v>2019</v>
      </c>
      <c r="D100" s="176" t="s">
        <v>313</v>
      </c>
      <c r="E100" s="53" t="s">
        <v>373</v>
      </c>
      <c r="F100" s="53" t="s">
        <v>374</v>
      </c>
      <c r="G100" s="53" t="s">
        <v>36</v>
      </c>
      <c r="H100" s="53" t="s">
        <v>160</v>
      </c>
      <c r="I100" s="53" t="s">
        <v>159</v>
      </c>
      <c r="J100" s="53" t="s">
        <v>38</v>
      </c>
      <c r="K100" s="53" t="s">
        <v>161</v>
      </c>
      <c r="L100" s="53">
        <v>3</v>
      </c>
      <c r="N100" s="53">
        <v>1</v>
      </c>
      <c r="O100" s="53">
        <v>0.6</v>
      </c>
      <c r="P100" s="53">
        <v>0.6</v>
      </c>
      <c r="Q100" s="75">
        <f t="shared" si="5"/>
        <v>0.6</v>
      </c>
      <c r="R100" s="53">
        <v>18.7</v>
      </c>
      <c r="S100" s="53">
        <v>129</v>
      </c>
      <c r="T100" s="16">
        <f t="shared" si="6"/>
        <v>30</v>
      </c>
      <c r="U100" s="53">
        <v>96</v>
      </c>
      <c r="V100" s="16">
        <f t="shared" si="7"/>
        <v>2880</v>
      </c>
      <c r="W100" s="53">
        <v>9</v>
      </c>
      <c r="X100" s="53" t="s">
        <v>46</v>
      </c>
      <c r="Y100" s="53" t="s">
        <v>55</v>
      </c>
      <c r="Z100" s="53" t="s">
        <v>69</v>
      </c>
      <c r="AA100" s="53" t="s">
        <v>97</v>
      </c>
      <c r="AB100" s="53" t="s">
        <v>258</v>
      </c>
    </row>
    <row r="101" spans="1:28" x14ac:dyDescent="0.15">
      <c r="A101" s="53" t="s">
        <v>34</v>
      </c>
      <c r="B101" s="53" t="s">
        <v>232</v>
      </c>
      <c r="C101" s="53">
        <v>2019</v>
      </c>
      <c r="D101" s="176" t="s">
        <v>313</v>
      </c>
      <c r="E101" s="53" t="s">
        <v>373</v>
      </c>
      <c r="F101" s="53" t="s">
        <v>374</v>
      </c>
      <c r="G101" s="53" t="s">
        <v>36</v>
      </c>
      <c r="H101" s="53" t="s">
        <v>160</v>
      </c>
      <c r="I101" s="53" t="s">
        <v>165</v>
      </c>
      <c r="J101" s="53" t="s">
        <v>38</v>
      </c>
      <c r="K101" s="53" t="s">
        <v>161</v>
      </c>
      <c r="L101" s="53">
        <v>1</v>
      </c>
      <c r="N101" s="53">
        <v>1</v>
      </c>
      <c r="O101" s="53">
        <v>0.2</v>
      </c>
      <c r="P101" s="53">
        <v>0.55000000000000004</v>
      </c>
      <c r="Q101" s="75">
        <f t="shared" si="5"/>
        <v>0.375</v>
      </c>
      <c r="R101" s="53">
        <v>20.2</v>
      </c>
      <c r="S101" s="53">
        <v>122</v>
      </c>
      <c r="T101" s="16">
        <f t="shared" si="6"/>
        <v>30</v>
      </c>
      <c r="U101" s="53">
        <v>96</v>
      </c>
      <c r="V101" s="16">
        <f t="shared" si="7"/>
        <v>2880</v>
      </c>
      <c r="W101" s="53">
        <v>9</v>
      </c>
      <c r="X101" s="53" t="s">
        <v>46</v>
      </c>
      <c r="Y101" s="53" t="s">
        <v>55</v>
      </c>
      <c r="Z101" s="53" t="s">
        <v>69</v>
      </c>
      <c r="AA101" s="53" t="s">
        <v>97</v>
      </c>
      <c r="AB101" s="53" t="s">
        <v>258</v>
      </c>
    </row>
    <row r="102" spans="1:28" x14ac:dyDescent="0.15">
      <c r="A102" s="53" t="s">
        <v>34</v>
      </c>
      <c r="B102" s="53" t="s">
        <v>232</v>
      </c>
      <c r="C102" s="53">
        <v>2019</v>
      </c>
      <c r="D102" s="176" t="s">
        <v>313</v>
      </c>
      <c r="E102" s="53" t="s">
        <v>373</v>
      </c>
      <c r="F102" s="53" t="s">
        <v>374</v>
      </c>
      <c r="G102" s="53" t="s">
        <v>36</v>
      </c>
      <c r="H102" s="53" t="s">
        <v>160</v>
      </c>
      <c r="I102" s="53" t="s">
        <v>165</v>
      </c>
      <c r="J102" s="53" t="s">
        <v>38</v>
      </c>
      <c r="K102" s="53" t="s">
        <v>161</v>
      </c>
      <c r="L102" s="53">
        <v>2</v>
      </c>
      <c r="N102" s="53">
        <v>1</v>
      </c>
      <c r="O102" s="53">
        <v>0.6</v>
      </c>
      <c r="P102" s="53">
        <v>0.6</v>
      </c>
      <c r="Q102" s="75">
        <f t="shared" si="5"/>
        <v>0.6</v>
      </c>
      <c r="R102" s="53">
        <v>17.399999999999999</v>
      </c>
      <c r="S102" s="53">
        <v>122</v>
      </c>
      <c r="T102" s="16">
        <f t="shared" si="6"/>
        <v>30</v>
      </c>
      <c r="U102" s="53">
        <v>96</v>
      </c>
      <c r="V102" s="16">
        <f t="shared" si="7"/>
        <v>2880</v>
      </c>
      <c r="W102" s="53">
        <v>9</v>
      </c>
      <c r="X102" s="53" t="s">
        <v>46</v>
      </c>
      <c r="Y102" s="53" t="s">
        <v>55</v>
      </c>
      <c r="Z102" s="53" t="s">
        <v>69</v>
      </c>
      <c r="AA102" s="53" t="s">
        <v>97</v>
      </c>
      <c r="AB102" s="53" t="s">
        <v>258</v>
      </c>
    </row>
    <row r="103" spans="1:28" x14ac:dyDescent="0.15">
      <c r="A103" s="53" t="s">
        <v>34</v>
      </c>
      <c r="B103" s="53" t="s">
        <v>232</v>
      </c>
      <c r="C103" s="53">
        <v>2019</v>
      </c>
      <c r="D103" s="176" t="s">
        <v>313</v>
      </c>
      <c r="E103" s="53" t="s">
        <v>373</v>
      </c>
      <c r="F103" s="53" t="s">
        <v>374</v>
      </c>
      <c r="G103" s="53" t="s">
        <v>36</v>
      </c>
      <c r="H103" s="53" t="s">
        <v>160</v>
      </c>
      <c r="I103" s="53" t="s">
        <v>165</v>
      </c>
      <c r="J103" s="53" t="s">
        <v>38</v>
      </c>
      <c r="K103" s="53" t="s">
        <v>161</v>
      </c>
      <c r="L103" s="53">
        <v>3</v>
      </c>
      <c r="N103" s="53">
        <v>1</v>
      </c>
      <c r="O103" s="53">
        <v>0.5</v>
      </c>
      <c r="P103" s="53">
        <v>0.2</v>
      </c>
      <c r="Q103" s="75">
        <f t="shared" si="5"/>
        <v>0.35</v>
      </c>
      <c r="R103" s="53">
        <v>17.8</v>
      </c>
      <c r="S103" s="53">
        <v>122</v>
      </c>
      <c r="T103" s="16">
        <f t="shared" si="6"/>
        <v>30</v>
      </c>
      <c r="U103" s="53">
        <v>96</v>
      </c>
      <c r="V103" s="16">
        <f t="shared" si="7"/>
        <v>2880</v>
      </c>
      <c r="W103" s="53">
        <v>9</v>
      </c>
      <c r="X103" s="53" t="s">
        <v>46</v>
      </c>
      <c r="Y103" s="53" t="s">
        <v>55</v>
      </c>
      <c r="Z103" s="53" t="s">
        <v>69</v>
      </c>
      <c r="AA103" s="53" t="s">
        <v>97</v>
      </c>
      <c r="AB103" s="53" t="s">
        <v>258</v>
      </c>
    </row>
    <row r="104" spans="1:28" x14ac:dyDescent="0.15">
      <c r="A104" s="53" t="s">
        <v>34</v>
      </c>
      <c r="B104" s="53" t="s">
        <v>232</v>
      </c>
      <c r="C104" s="53">
        <v>2019</v>
      </c>
      <c r="D104" s="176" t="s">
        <v>313</v>
      </c>
      <c r="E104" s="53" t="s">
        <v>373</v>
      </c>
      <c r="F104" s="53" t="s">
        <v>374</v>
      </c>
      <c r="G104" s="53" t="s">
        <v>36</v>
      </c>
      <c r="H104" s="53" t="s">
        <v>160</v>
      </c>
      <c r="I104" s="53" t="s">
        <v>159</v>
      </c>
      <c r="J104" s="53" t="s">
        <v>38</v>
      </c>
      <c r="K104" s="53" t="s">
        <v>161</v>
      </c>
      <c r="L104" s="53">
        <v>1</v>
      </c>
      <c r="N104" s="53">
        <v>4</v>
      </c>
      <c r="O104" s="53">
        <v>0.6</v>
      </c>
      <c r="P104" s="53">
        <v>0.55000000000000004</v>
      </c>
      <c r="Q104" s="75">
        <f t="shared" si="5"/>
        <v>0.57499999999999996</v>
      </c>
      <c r="R104" s="53">
        <v>17.600000000000001</v>
      </c>
      <c r="S104" s="53">
        <v>102</v>
      </c>
      <c r="T104" s="16">
        <f t="shared" si="6"/>
        <v>33</v>
      </c>
      <c r="U104" s="53">
        <v>537</v>
      </c>
      <c r="V104" s="16">
        <f t="shared" si="7"/>
        <v>4430.25</v>
      </c>
      <c r="W104" s="53">
        <v>9</v>
      </c>
      <c r="X104" s="53" t="s">
        <v>46</v>
      </c>
      <c r="Y104" s="53" t="s">
        <v>55</v>
      </c>
      <c r="Z104" s="53" t="s">
        <v>69</v>
      </c>
      <c r="AA104" s="53" t="s">
        <v>97</v>
      </c>
      <c r="AB104" s="53" t="s">
        <v>258</v>
      </c>
    </row>
    <row r="105" spans="1:28" x14ac:dyDescent="0.15">
      <c r="A105" s="53" t="s">
        <v>34</v>
      </c>
      <c r="B105" s="53" t="s">
        <v>232</v>
      </c>
      <c r="C105" s="53">
        <v>2019</v>
      </c>
      <c r="D105" s="176" t="s">
        <v>313</v>
      </c>
      <c r="E105" s="53" t="s">
        <v>373</v>
      </c>
      <c r="F105" s="53" t="s">
        <v>374</v>
      </c>
      <c r="G105" s="53" t="s">
        <v>36</v>
      </c>
      <c r="H105" s="53" t="s">
        <v>160</v>
      </c>
      <c r="I105" s="53" t="s">
        <v>159</v>
      </c>
      <c r="J105" s="53" t="s">
        <v>38</v>
      </c>
      <c r="K105" s="53" t="s">
        <v>161</v>
      </c>
      <c r="L105" s="53">
        <v>2</v>
      </c>
      <c r="N105" s="53">
        <v>4</v>
      </c>
      <c r="O105" s="53">
        <v>0.2</v>
      </c>
      <c r="P105" s="53">
        <v>0.55000000000000004</v>
      </c>
      <c r="Q105" s="75">
        <f t="shared" si="5"/>
        <v>0.375</v>
      </c>
      <c r="R105" s="53">
        <v>14.5</v>
      </c>
      <c r="S105" s="53">
        <v>95</v>
      </c>
      <c r="T105" s="16">
        <f t="shared" si="6"/>
        <v>36</v>
      </c>
      <c r="U105" s="53">
        <v>537</v>
      </c>
      <c r="V105" s="16">
        <f t="shared" si="7"/>
        <v>4833</v>
      </c>
      <c r="W105" s="53">
        <v>9</v>
      </c>
      <c r="X105" s="53" t="s">
        <v>46</v>
      </c>
      <c r="Y105" s="53" t="s">
        <v>55</v>
      </c>
      <c r="Z105" s="53" t="s">
        <v>69</v>
      </c>
      <c r="AA105" s="53" t="s">
        <v>97</v>
      </c>
      <c r="AB105" s="53" t="s">
        <v>258</v>
      </c>
    </row>
    <row r="106" spans="1:28" x14ac:dyDescent="0.15">
      <c r="A106" s="53" t="s">
        <v>34</v>
      </c>
      <c r="B106" s="53" t="s">
        <v>232</v>
      </c>
      <c r="C106" s="53">
        <v>2019</v>
      </c>
      <c r="D106" s="176" t="s">
        <v>313</v>
      </c>
      <c r="E106" s="53" t="s">
        <v>373</v>
      </c>
      <c r="F106" s="53" t="s">
        <v>374</v>
      </c>
      <c r="G106" s="53" t="s">
        <v>36</v>
      </c>
      <c r="H106" s="53" t="s">
        <v>160</v>
      </c>
      <c r="I106" s="53" t="s">
        <v>159</v>
      </c>
      <c r="J106" s="53" t="s">
        <v>38</v>
      </c>
      <c r="K106" s="53" t="s">
        <v>161</v>
      </c>
      <c r="L106" s="53">
        <v>3</v>
      </c>
      <c r="N106" s="53">
        <v>4</v>
      </c>
      <c r="O106" s="53">
        <v>0.6</v>
      </c>
      <c r="P106" s="53">
        <v>0.55000000000000004</v>
      </c>
      <c r="Q106" s="75">
        <f t="shared" si="5"/>
        <v>0.57499999999999996</v>
      </c>
      <c r="R106" s="53">
        <v>15.5</v>
      </c>
      <c r="S106" s="53">
        <v>99</v>
      </c>
      <c r="T106" s="16">
        <f t="shared" si="6"/>
        <v>33</v>
      </c>
      <c r="U106" s="53">
        <v>537</v>
      </c>
      <c r="V106" s="16">
        <f t="shared" si="7"/>
        <v>4430.25</v>
      </c>
      <c r="W106" s="53">
        <v>9</v>
      </c>
      <c r="X106" s="53" t="s">
        <v>46</v>
      </c>
      <c r="Y106" s="53" t="s">
        <v>55</v>
      </c>
      <c r="Z106" s="53" t="s">
        <v>69</v>
      </c>
      <c r="AA106" s="53" t="s">
        <v>97</v>
      </c>
      <c r="AB106" s="53" t="s">
        <v>258</v>
      </c>
    </row>
    <row r="107" spans="1:28" x14ac:dyDescent="0.15">
      <c r="A107" s="53" t="s">
        <v>34</v>
      </c>
      <c r="B107" s="53" t="s">
        <v>232</v>
      </c>
      <c r="C107" s="53">
        <v>2019</v>
      </c>
      <c r="D107" s="176" t="s">
        <v>313</v>
      </c>
      <c r="E107" s="53" t="s">
        <v>375</v>
      </c>
      <c r="F107" s="53" t="s">
        <v>376</v>
      </c>
      <c r="G107" s="53" t="s">
        <v>36</v>
      </c>
      <c r="H107" s="53" t="s">
        <v>164</v>
      </c>
      <c r="I107" s="53" t="s">
        <v>159</v>
      </c>
      <c r="J107" s="53" t="s">
        <v>38</v>
      </c>
      <c r="K107" s="53" t="s">
        <v>161</v>
      </c>
      <c r="L107" s="53">
        <v>1</v>
      </c>
      <c r="N107" s="53">
        <v>1</v>
      </c>
      <c r="O107" s="53">
        <v>0.8</v>
      </c>
      <c r="P107" s="53">
        <v>0.6</v>
      </c>
      <c r="Q107" s="75">
        <f t="shared" si="5"/>
        <v>0.7</v>
      </c>
      <c r="R107" s="53">
        <v>15</v>
      </c>
      <c r="S107" s="53">
        <v>96</v>
      </c>
      <c r="T107" s="16">
        <f t="shared" si="6"/>
        <v>36</v>
      </c>
      <c r="U107" s="53">
        <v>73</v>
      </c>
      <c r="V107" s="16">
        <f t="shared" si="7"/>
        <v>2628</v>
      </c>
      <c r="W107" s="53">
        <v>6</v>
      </c>
      <c r="X107" s="53" t="s">
        <v>46</v>
      </c>
      <c r="Y107" s="53" t="s">
        <v>55</v>
      </c>
      <c r="Z107" s="53" t="s">
        <v>69</v>
      </c>
      <c r="AA107" s="53" t="s">
        <v>47</v>
      </c>
      <c r="AB107" s="53" t="s">
        <v>258</v>
      </c>
    </row>
    <row r="108" spans="1:28" x14ac:dyDescent="0.15">
      <c r="A108" s="53" t="s">
        <v>34</v>
      </c>
      <c r="B108" s="53" t="s">
        <v>232</v>
      </c>
      <c r="C108" s="53">
        <v>2019</v>
      </c>
      <c r="D108" s="176" t="s">
        <v>313</v>
      </c>
      <c r="E108" s="53" t="s">
        <v>375</v>
      </c>
      <c r="F108" s="53" t="s">
        <v>376</v>
      </c>
      <c r="G108" s="53" t="s">
        <v>36</v>
      </c>
      <c r="H108" s="53" t="s">
        <v>164</v>
      </c>
      <c r="I108" s="53" t="s">
        <v>159</v>
      </c>
      <c r="J108" s="53" t="s">
        <v>38</v>
      </c>
      <c r="K108" s="53" t="s">
        <v>161</v>
      </c>
      <c r="L108" s="53">
        <v>2</v>
      </c>
      <c r="N108" s="53">
        <v>1</v>
      </c>
      <c r="O108" s="53">
        <v>0.65</v>
      </c>
      <c r="P108" s="53">
        <v>0.65</v>
      </c>
      <c r="Q108" s="75">
        <f t="shared" si="5"/>
        <v>0.65</v>
      </c>
      <c r="R108" s="53">
        <v>17.3</v>
      </c>
      <c r="S108" s="53">
        <v>80</v>
      </c>
      <c r="T108" s="16">
        <f t="shared" si="6"/>
        <v>39</v>
      </c>
      <c r="U108" s="53">
        <v>73</v>
      </c>
      <c r="V108" s="16">
        <f t="shared" si="7"/>
        <v>2847</v>
      </c>
      <c r="W108" s="53">
        <v>6</v>
      </c>
      <c r="X108" s="53" t="s">
        <v>46</v>
      </c>
      <c r="Y108" s="53" t="s">
        <v>55</v>
      </c>
      <c r="Z108" s="53" t="s">
        <v>69</v>
      </c>
      <c r="AA108" s="53" t="s">
        <v>47</v>
      </c>
      <c r="AB108" s="53" t="s">
        <v>258</v>
      </c>
    </row>
    <row r="109" spans="1:28" x14ac:dyDescent="0.15">
      <c r="A109" s="53" t="s">
        <v>34</v>
      </c>
      <c r="B109" s="53" t="s">
        <v>232</v>
      </c>
      <c r="C109" s="53">
        <v>2019</v>
      </c>
      <c r="D109" s="176" t="s">
        <v>313</v>
      </c>
      <c r="E109" s="53" t="s">
        <v>375</v>
      </c>
      <c r="F109" s="53" t="s">
        <v>376</v>
      </c>
      <c r="G109" s="53" t="s">
        <v>36</v>
      </c>
      <c r="H109" s="53" t="s">
        <v>164</v>
      </c>
      <c r="I109" s="53" t="s">
        <v>159</v>
      </c>
      <c r="J109" s="53" t="s">
        <v>38</v>
      </c>
      <c r="K109" s="53" t="s">
        <v>161</v>
      </c>
      <c r="L109" s="53">
        <v>3</v>
      </c>
      <c r="N109" s="53">
        <v>1</v>
      </c>
      <c r="O109" s="53">
        <v>0.55000000000000004</v>
      </c>
      <c r="P109" s="53">
        <v>0.65</v>
      </c>
      <c r="Q109" s="75">
        <f t="shared" si="5"/>
        <v>0.60000000000000009</v>
      </c>
      <c r="R109" s="53">
        <v>15.9</v>
      </c>
      <c r="S109" s="53">
        <v>81</v>
      </c>
      <c r="T109" s="16">
        <f t="shared" si="6"/>
        <v>39</v>
      </c>
      <c r="U109" s="53">
        <v>73</v>
      </c>
      <c r="V109" s="16">
        <f t="shared" si="7"/>
        <v>2847</v>
      </c>
      <c r="W109" s="53">
        <v>6</v>
      </c>
      <c r="X109" s="53" t="s">
        <v>46</v>
      </c>
      <c r="Y109" s="53" t="s">
        <v>55</v>
      </c>
      <c r="Z109" s="53" t="s">
        <v>69</v>
      </c>
      <c r="AA109" s="53" t="s">
        <v>47</v>
      </c>
      <c r="AB109" s="53" t="s">
        <v>258</v>
      </c>
    </row>
    <row r="110" spans="1:28" x14ac:dyDescent="0.15">
      <c r="A110" s="53" t="s">
        <v>34</v>
      </c>
      <c r="B110" s="53" t="s">
        <v>232</v>
      </c>
      <c r="C110" s="53">
        <v>2019</v>
      </c>
      <c r="D110" s="176" t="s">
        <v>313</v>
      </c>
      <c r="E110" s="53" t="s">
        <v>375</v>
      </c>
      <c r="F110" s="53" t="s">
        <v>376</v>
      </c>
      <c r="G110" s="53" t="s">
        <v>36</v>
      </c>
      <c r="H110" s="53" t="s">
        <v>164</v>
      </c>
      <c r="I110" s="53" t="s">
        <v>159</v>
      </c>
      <c r="J110" s="53" t="s">
        <v>38</v>
      </c>
      <c r="K110" s="53" t="s">
        <v>161</v>
      </c>
      <c r="L110" s="53">
        <v>1</v>
      </c>
      <c r="N110" s="53">
        <v>4</v>
      </c>
      <c r="O110" s="53">
        <v>0.2</v>
      </c>
      <c r="P110" s="53">
        <v>0.2</v>
      </c>
      <c r="Q110" s="75">
        <f t="shared" si="5"/>
        <v>0.2</v>
      </c>
      <c r="R110" s="53">
        <v>16</v>
      </c>
      <c r="S110" s="53">
        <v>103</v>
      </c>
      <c r="T110" s="16">
        <f t="shared" si="6"/>
        <v>33</v>
      </c>
      <c r="U110" s="53">
        <v>321</v>
      </c>
      <c r="V110" s="16">
        <f t="shared" si="7"/>
        <v>2648.25</v>
      </c>
      <c r="W110" s="53">
        <v>6</v>
      </c>
      <c r="X110" s="53" t="s">
        <v>46</v>
      </c>
      <c r="Y110" s="53" t="s">
        <v>55</v>
      </c>
      <c r="Z110" s="53" t="s">
        <v>69</v>
      </c>
      <c r="AA110" s="53" t="s">
        <v>47</v>
      </c>
      <c r="AB110" s="53" t="s">
        <v>258</v>
      </c>
    </row>
    <row r="111" spans="1:28" x14ac:dyDescent="0.15">
      <c r="A111" s="53" t="s">
        <v>34</v>
      </c>
      <c r="B111" s="53" t="s">
        <v>232</v>
      </c>
      <c r="C111" s="53">
        <v>2019</v>
      </c>
      <c r="D111" s="176" t="s">
        <v>313</v>
      </c>
      <c r="E111" s="53" t="s">
        <v>375</v>
      </c>
      <c r="F111" s="53" t="s">
        <v>376</v>
      </c>
      <c r="G111" s="53" t="s">
        <v>36</v>
      </c>
      <c r="H111" s="53" t="s">
        <v>164</v>
      </c>
      <c r="I111" s="53" t="s">
        <v>159</v>
      </c>
      <c r="J111" s="53" t="s">
        <v>38</v>
      </c>
      <c r="K111" s="53" t="s">
        <v>161</v>
      </c>
      <c r="L111" s="53">
        <v>2</v>
      </c>
      <c r="N111" s="53">
        <v>4</v>
      </c>
      <c r="O111" s="53">
        <v>0.2</v>
      </c>
      <c r="P111" s="53">
        <v>0.45</v>
      </c>
      <c r="Q111" s="75">
        <f t="shared" si="5"/>
        <v>0.32500000000000001</v>
      </c>
      <c r="R111" s="53">
        <v>17.5</v>
      </c>
      <c r="S111" s="53">
        <v>105</v>
      </c>
      <c r="T111" s="16">
        <f t="shared" si="6"/>
        <v>33</v>
      </c>
      <c r="U111" s="53">
        <v>321</v>
      </c>
      <c r="V111" s="16">
        <f t="shared" si="7"/>
        <v>2648.25</v>
      </c>
      <c r="W111" s="53">
        <v>6</v>
      </c>
      <c r="X111" s="53" t="s">
        <v>46</v>
      </c>
      <c r="Y111" s="53" t="s">
        <v>55</v>
      </c>
      <c r="Z111" s="53" t="s">
        <v>69</v>
      </c>
      <c r="AA111" s="53" t="s">
        <v>47</v>
      </c>
      <c r="AB111" s="53" t="s">
        <v>258</v>
      </c>
    </row>
    <row r="112" spans="1:28" x14ac:dyDescent="0.15">
      <c r="A112" s="53" t="s">
        <v>34</v>
      </c>
      <c r="B112" s="53" t="s">
        <v>232</v>
      </c>
      <c r="C112" s="53">
        <v>2019</v>
      </c>
      <c r="D112" s="176" t="s">
        <v>313</v>
      </c>
      <c r="E112" s="53" t="s">
        <v>375</v>
      </c>
      <c r="F112" s="53" t="s">
        <v>376</v>
      </c>
      <c r="G112" s="53" t="s">
        <v>36</v>
      </c>
      <c r="H112" s="53" t="s">
        <v>164</v>
      </c>
      <c r="I112" s="53" t="s">
        <v>159</v>
      </c>
      <c r="J112" s="53" t="s">
        <v>38</v>
      </c>
      <c r="K112" s="53" t="s">
        <v>161</v>
      </c>
      <c r="L112" s="53">
        <v>3</v>
      </c>
      <c r="N112" s="53">
        <v>4</v>
      </c>
      <c r="O112" s="53">
        <v>0.8</v>
      </c>
      <c r="P112" s="53">
        <v>0.95</v>
      </c>
      <c r="Q112" s="75">
        <f t="shared" si="5"/>
        <v>0.875</v>
      </c>
      <c r="R112" s="53">
        <v>18</v>
      </c>
      <c r="S112" s="53">
        <v>116</v>
      </c>
      <c r="T112" s="16">
        <f t="shared" si="6"/>
        <v>30</v>
      </c>
      <c r="U112" s="53">
        <v>321</v>
      </c>
      <c r="V112" s="16">
        <f t="shared" si="7"/>
        <v>2407.5</v>
      </c>
      <c r="W112" s="53">
        <v>6</v>
      </c>
      <c r="X112" s="53" t="s">
        <v>46</v>
      </c>
      <c r="Y112" s="53" t="s">
        <v>55</v>
      </c>
      <c r="Z112" s="53" t="s">
        <v>69</v>
      </c>
      <c r="AA112" s="53" t="s">
        <v>47</v>
      </c>
      <c r="AB112" s="53" t="s">
        <v>258</v>
      </c>
    </row>
    <row r="113" spans="1:28" x14ac:dyDescent="0.15">
      <c r="A113" s="53" t="s">
        <v>34</v>
      </c>
      <c r="B113" s="53" t="s">
        <v>232</v>
      </c>
      <c r="C113" s="53">
        <v>2019</v>
      </c>
      <c r="D113" s="176" t="s">
        <v>313</v>
      </c>
      <c r="E113" s="53" t="s">
        <v>375</v>
      </c>
      <c r="F113" s="53" t="s">
        <v>376</v>
      </c>
      <c r="G113" s="53" t="s">
        <v>36</v>
      </c>
      <c r="H113" s="53" t="s">
        <v>164</v>
      </c>
      <c r="I113" s="53" t="s">
        <v>165</v>
      </c>
      <c r="J113" s="53" t="s">
        <v>80</v>
      </c>
      <c r="K113" s="53" t="s">
        <v>161</v>
      </c>
      <c r="L113" s="53">
        <v>1</v>
      </c>
      <c r="N113" s="53">
        <v>4</v>
      </c>
      <c r="O113" s="53">
        <v>0.5</v>
      </c>
      <c r="P113" s="53">
        <v>0.2</v>
      </c>
      <c r="Q113" s="16">
        <f t="shared" si="5"/>
        <v>0.35</v>
      </c>
      <c r="R113" s="53">
        <v>17.5</v>
      </c>
      <c r="S113" s="53">
        <v>101</v>
      </c>
      <c r="T113" s="16">
        <f t="shared" si="6"/>
        <v>33</v>
      </c>
      <c r="U113" s="53">
        <v>378</v>
      </c>
      <c r="V113" s="16">
        <f t="shared" si="7"/>
        <v>3118.5</v>
      </c>
      <c r="W113" s="53">
        <v>6</v>
      </c>
      <c r="X113" s="53" t="s">
        <v>46</v>
      </c>
      <c r="Y113" s="53" t="s">
        <v>55</v>
      </c>
      <c r="Z113" s="53" t="s">
        <v>69</v>
      </c>
      <c r="AA113" s="53" t="s">
        <v>47</v>
      </c>
      <c r="AB113" s="53" t="s">
        <v>258</v>
      </c>
    </row>
    <row r="114" spans="1:28" x14ac:dyDescent="0.15">
      <c r="A114" s="53" t="s">
        <v>34</v>
      </c>
      <c r="B114" s="53" t="s">
        <v>232</v>
      </c>
      <c r="C114" s="53">
        <v>2019</v>
      </c>
      <c r="D114" s="176" t="s">
        <v>313</v>
      </c>
      <c r="E114" s="53" t="s">
        <v>375</v>
      </c>
      <c r="F114" s="53" t="s">
        <v>376</v>
      </c>
      <c r="G114" s="53" t="s">
        <v>36</v>
      </c>
      <c r="H114" s="53" t="s">
        <v>164</v>
      </c>
      <c r="I114" s="53" t="s">
        <v>165</v>
      </c>
      <c r="J114" s="53" t="s">
        <v>80</v>
      </c>
      <c r="K114" s="53" t="s">
        <v>161</v>
      </c>
      <c r="L114" s="53">
        <v>2</v>
      </c>
      <c r="N114" s="53">
        <v>4</v>
      </c>
      <c r="O114" s="53">
        <v>0.65</v>
      </c>
      <c r="P114" s="53">
        <v>0.6</v>
      </c>
      <c r="Q114" s="16">
        <f t="shared" si="5"/>
        <v>0.625</v>
      </c>
      <c r="R114" s="53">
        <v>18</v>
      </c>
      <c r="S114" s="53">
        <v>92</v>
      </c>
      <c r="T114" s="16">
        <f t="shared" si="6"/>
        <v>36</v>
      </c>
      <c r="U114" s="53">
        <v>378</v>
      </c>
      <c r="V114" s="16">
        <f t="shared" si="7"/>
        <v>3402</v>
      </c>
      <c r="W114" s="53">
        <v>6</v>
      </c>
      <c r="X114" s="53" t="s">
        <v>46</v>
      </c>
      <c r="Y114" s="53" t="s">
        <v>55</v>
      </c>
      <c r="Z114" s="53" t="s">
        <v>69</v>
      </c>
      <c r="AA114" s="53" t="s">
        <v>47</v>
      </c>
      <c r="AB114" s="53" t="s">
        <v>258</v>
      </c>
    </row>
    <row r="115" spans="1:28" x14ac:dyDescent="0.15">
      <c r="A115" s="53" t="s">
        <v>34</v>
      </c>
      <c r="B115" s="53" t="s">
        <v>232</v>
      </c>
      <c r="C115" s="53">
        <v>2019</v>
      </c>
      <c r="D115" s="176" t="s">
        <v>313</v>
      </c>
      <c r="E115" s="53" t="s">
        <v>375</v>
      </c>
      <c r="F115" s="53" t="s">
        <v>376</v>
      </c>
      <c r="G115" s="53" t="s">
        <v>36</v>
      </c>
      <c r="H115" s="53" t="s">
        <v>164</v>
      </c>
      <c r="I115" s="53" t="s">
        <v>165</v>
      </c>
      <c r="J115" s="53" t="s">
        <v>80</v>
      </c>
      <c r="K115" s="53" t="s">
        <v>161</v>
      </c>
      <c r="L115" s="53">
        <v>3</v>
      </c>
      <c r="N115" s="53">
        <v>4</v>
      </c>
      <c r="O115" s="53">
        <v>0.55000000000000004</v>
      </c>
      <c r="P115" s="53">
        <v>0.6</v>
      </c>
      <c r="Q115" s="16">
        <f t="shared" si="5"/>
        <v>0.57499999999999996</v>
      </c>
      <c r="R115" s="53">
        <v>17.8</v>
      </c>
      <c r="S115" s="53">
        <v>90</v>
      </c>
      <c r="T115" s="16">
        <f t="shared" si="6"/>
        <v>36</v>
      </c>
      <c r="U115" s="53">
        <v>378</v>
      </c>
      <c r="V115" s="16">
        <f t="shared" si="7"/>
        <v>3402</v>
      </c>
      <c r="W115" s="53">
        <v>6</v>
      </c>
      <c r="X115" s="53" t="s">
        <v>46</v>
      </c>
      <c r="Y115" s="53" t="s">
        <v>55</v>
      </c>
      <c r="Z115" s="53" t="s">
        <v>69</v>
      </c>
      <c r="AA115" s="53" t="s">
        <v>47</v>
      </c>
      <c r="AB115" s="53" t="s">
        <v>258</v>
      </c>
    </row>
    <row r="116" spans="1:28" x14ac:dyDescent="0.15">
      <c r="A116" s="53" t="s">
        <v>34</v>
      </c>
      <c r="B116" s="53" t="s">
        <v>232</v>
      </c>
      <c r="C116" s="53">
        <v>2019</v>
      </c>
      <c r="D116" s="176" t="s">
        <v>313</v>
      </c>
      <c r="E116" s="53" t="s">
        <v>375</v>
      </c>
      <c r="F116" s="53" t="s">
        <v>376</v>
      </c>
      <c r="G116" s="53" t="s">
        <v>36</v>
      </c>
      <c r="H116" s="53" t="s">
        <v>160</v>
      </c>
      <c r="I116" s="53" t="s">
        <v>159</v>
      </c>
      <c r="J116" s="53" t="s">
        <v>38</v>
      </c>
      <c r="K116" s="53" t="s">
        <v>161</v>
      </c>
      <c r="L116" s="53">
        <v>1</v>
      </c>
      <c r="N116" s="53">
        <v>1</v>
      </c>
      <c r="O116" s="53">
        <v>0.5</v>
      </c>
      <c r="P116" s="53">
        <v>0.5</v>
      </c>
      <c r="Q116" s="16">
        <f t="shared" si="5"/>
        <v>0.5</v>
      </c>
      <c r="R116" s="53">
        <v>17.399999999999999</v>
      </c>
      <c r="S116" s="53">
        <v>113</v>
      </c>
      <c r="T116" s="16">
        <f t="shared" si="6"/>
        <v>30</v>
      </c>
      <c r="U116" s="53">
        <v>105</v>
      </c>
      <c r="V116" s="16">
        <f t="shared" si="7"/>
        <v>3150</v>
      </c>
      <c r="W116" s="53">
        <v>6</v>
      </c>
      <c r="X116" s="53" t="s">
        <v>46</v>
      </c>
      <c r="Y116" s="53" t="s">
        <v>55</v>
      </c>
      <c r="Z116" s="53" t="s">
        <v>69</v>
      </c>
      <c r="AA116" s="53" t="s">
        <v>47</v>
      </c>
      <c r="AB116" s="53" t="s">
        <v>258</v>
      </c>
    </row>
    <row r="117" spans="1:28" x14ac:dyDescent="0.15">
      <c r="A117" s="53" t="s">
        <v>34</v>
      </c>
      <c r="B117" s="53" t="s">
        <v>232</v>
      </c>
      <c r="C117" s="53">
        <v>2019</v>
      </c>
      <c r="D117" s="176" t="s">
        <v>313</v>
      </c>
      <c r="E117" s="53" t="s">
        <v>375</v>
      </c>
      <c r="F117" s="53" t="s">
        <v>376</v>
      </c>
      <c r="G117" s="53" t="s">
        <v>36</v>
      </c>
      <c r="H117" s="53" t="s">
        <v>160</v>
      </c>
      <c r="I117" s="53" t="s">
        <v>159</v>
      </c>
      <c r="J117" s="53" t="s">
        <v>38</v>
      </c>
      <c r="K117" s="53" t="s">
        <v>161</v>
      </c>
      <c r="L117" s="53">
        <v>2</v>
      </c>
      <c r="N117" s="53">
        <v>1</v>
      </c>
      <c r="O117" s="53">
        <v>0.45</v>
      </c>
      <c r="P117" s="53">
        <v>0.2</v>
      </c>
      <c r="Q117" s="16">
        <f t="shared" si="5"/>
        <v>0.32500000000000001</v>
      </c>
      <c r="R117" s="53">
        <v>17.5</v>
      </c>
      <c r="S117" s="53">
        <v>111</v>
      </c>
      <c r="T117" s="16">
        <f t="shared" si="6"/>
        <v>33</v>
      </c>
      <c r="U117" s="53">
        <v>105</v>
      </c>
      <c r="V117" s="16">
        <f t="shared" si="7"/>
        <v>3465</v>
      </c>
      <c r="W117" s="53">
        <v>6</v>
      </c>
      <c r="X117" s="53" t="s">
        <v>46</v>
      </c>
      <c r="Y117" s="53" t="s">
        <v>55</v>
      </c>
      <c r="Z117" s="53" t="s">
        <v>69</v>
      </c>
      <c r="AA117" s="53" t="s">
        <v>47</v>
      </c>
      <c r="AB117" s="53" t="s">
        <v>258</v>
      </c>
    </row>
    <row r="118" spans="1:28" x14ac:dyDescent="0.15">
      <c r="A118" s="53" t="s">
        <v>34</v>
      </c>
      <c r="B118" s="53" t="s">
        <v>232</v>
      </c>
      <c r="C118" s="53">
        <v>2019</v>
      </c>
      <c r="D118" s="176" t="s">
        <v>313</v>
      </c>
      <c r="E118" s="53" t="s">
        <v>375</v>
      </c>
      <c r="F118" s="53" t="s">
        <v>376</v>
      </c>
      <c r="G118" s="53" t="s">
        <v>36</v>
      </c>
      <c r="H118" s="53" t="s">
        <v>160</v>
      </c>
      <c r="I118" s="53" t="s">
        <v>159</v>
      </c>
      <c r="J118" s="53" t="s">
        <v>38</v>
      </c>
      <c r="K118" s="53" t="s">
        <v>161</v>
      </c>
      <c r="L118" s="53">
        <v>3</v>
      </c>
      <c r="N118" s="53">
        <v>1</v>
      </c>
      <c r="O118" s="53">
        <v>0.5</v>
      </c>
      <c r="P118" s="53">
        <v>0.6</v>
      </c>
      <c r="Q118" s="16">
        <f t="shared" si="5"/>
        <v>0.55000000000000004</v>
      </c>
      <c r="R118" s="53">
        <v>20.2</v>
      </c>
      <c r="S118" s="53">
        <v>112</v>
      </c>
      <c r="T118" s="16">
        <f t="shared" si="6"/>
        <v>33</v>
      </c>
      <c r="U118" s="53">
        <v>105</v>
      </c>
      <c r="V118" s="16">
        <f t="shared" si="7"/>
        <v>3465</v>
      </c>
      <c r="W118" s="53">
        <v>6</v>
      </c>
      <c r="X118" s="53" t="s">
        <v>46</v>
      </c>
      <c r="Y118" s="53" t="s">
        <v>55</v>
      </c>
      <c r="Z118" s="53" t="s">
        <v>69</v>
      </c>
      <c r="AA118" s="53" t="s">
        <v>47</v>
      </c>
      <c r="AB118" s="53" t="s">
        <v>258</v>
      </c>
    </row>
    <row r="119" spans="1:28" x14ac:dyDescent="0.15">
      <c r="A119" s="53" t="s">
        <v>34</v>
      </c>
      <c r="B119" s="53" t="s">
        <v>232</v>
      </c>
      <c r="C119" s="53">
        <v>2019</v>
      </c>
      <c r="D119" s="176" t="s">
        <v>313</v>
      </c>
      <c r="E119" s="53" t="s">
        <v>375</v>
      </c>
      <c r="F119" s="53" t="s">
        <v>376</v>
      </c>
      <c r="G119" s="53" t="s">
        <v>36</v>
      </c>
      <c r="H119" s="53" t="s">
        <v>160</v>
      </c>
      <c r="I119" s="53" t="s">
        <v>159</v>
      </c>
      <c r="J119" s="53" t="s">
        <v>38</v>
      </c>
      <c r="K119" s="53" t="s">
        <v>161</v>
      </c>
      <c r="L119" s="53">
        <v>1</v>
      </c>
      <c r="N119" s="53">
        <v>1</v>
      </c>
      <c r="O119" s="53">
        <v>0.45</v>
      </c>
      <c r="P119" s="53">
        <v>0.55000000000000004</v>
      </c>
      <c r="Q119" s="16">
        <f t="shared" si="5"/>
        <v>0.5</v>
      </c>
      <c r="R119" s="53">
        <v>17.5</v>
      </c>
      <c r="S119" s="53">
        <v>192</v>
      </c>
      <c r="T119" s="16">
        <f t="shared" si="6"/>
        <v>16</v>
      </c>
      <c r="U119" s="53">
        <v>192</v>
      </c>
      <c r="V119" s="16">
        <f t="shared" si="7"/>
        <v>3072</v>
      </c>
      <c r="W119" s="53">
        <v>6</v>
      </c>
      <c r="X119" s="53" t="s">
        <v>46</v>
      </c>
      <c r="Y119" s="53" t="s">
        <v>55</v>
      </c>
      <c r="Z119" s="53" t="s">
        <v>69</v>
      </c>
      <c r="AA119" s="53" t="s">
        <v>47</v>
      </c>
      <c r="AB119" s="53" t="s">
        <v>258</v>
      </c>
    </row>
    <row r="120" spans="1:28" x14ac:dyDescent="0.15">
      <c r="A120" s="53" t="s">
        <v>34</v>
      </c>
      <c r="B120" s="53" t="s">
        <v>232</v>
      </c>
      <c r="C120" s="53">
        <v>2019</v>
      </c>
      <c r="D120" s="176" t="s">
        <v>313</v>
      </c>
      <c r="E120" s="53" t="s">
        <v>375</v>
      </c>
      <c r="F120" s="53" t="s">
        <v>376</v>
      </c>
      <c r="G120" s="53" t="s">
        <v>36</v>
      </c>
      <c r="H120" s="53" t="s">
        <v>160</v>
      </c>
      <c r="I120" s="53" t="s">
        <v>159</v>
      </c>
      <c r="J120" s="53" t="s">
        <v>38</v>
      </c>
      <c r="K120" s="53" t="s">
        <v>161</v>
      </c>
      <c r="L120" s="53">
        <v>2</v>
      </c>
      <c r="N120" s="53">
        <v>1</v>
      </c>
      <c r="O120" s="53">
        <v>0.65</v>
      </c>
      <c r="P120" s="53">
        <v>0.55000000000000004</v>
      </c>
      <c r="Q120" s="16">
        <f t="shared" si="5"/>
        <v>0.60000000000000009</v>
      </c>
      <c r="R120" s="53">
        <v>15.3</v>
      </c>
      <c r="S120" s="53">
        <v>185</v>
      </c>
      <c r="T120" s="16">
        <f t="shared" si="6"/>
        <v>16</v>
      </c>
      <c r="U120" s="53">
        <v>192</v>
      </c>
      <c r="V120" s="16">
        <f t="shared" si="7"/>
        <v>3072</v>
      </c>
      <c r="W120" s="53">
        <v>6</v>
      </c>
      <c r="X120" s="53" t="s">
        <v>46</v>
      </c>
      <c r="Y120" s="53" t="s">
        <v>55</v>
      </c>
      <c r="Z120" s="53" t="s">
        <v>69</v>
      </c>
      <c r="AA120" s="53" t="s">
        <v>47</v>
      </c>
      <c r="AB120" s="53" t="s">
        <v>258</v>
      </c>
    </row>
    <row r="121" spans="1:28" x14ac:dyDescent="0.15">
      <c r="A121" s="53" t="s">
        <v>34</v>
      </c>
      <c r="B121" s="53" t="s">
        <v>232</v>
      </c>
      <c r="C121" s="53">
        <v>2019</v>
      </c>
      <c r="D121" s="176" t="s">
        <v>313</v>
      </c>
      <c r="E121" s="53" t="s">
        <v>375</v>
      </c>
      <c r="F121" s="53" t="s">
        <v>376</v>
      </c>
      <c r="G121" s="53" t="s">
        <v>36</v>
      </c>
      <c r="H121" s="53" t="s">
        <v>160</v>
      </c>
      <c r="I121" s="53" t="s">
        <v>159</v>
      </c>
      <c r="J121" s="53" t="s">
        <v>38</v>
      </c>
      <c r="K121" s="53" t="s">
        <v>161</v>
      </c>
      <c r="L121" s="53">
        <v>3</v>
      </c>
      <c r="N121" s="53">
        <v>1</v>
      </c>
      <c r="O121" s="53">
        <v>0.5</v>
      </c>
      <c r="P121" s="53">
        <v>0.2</v>
      </c>
      <c r="Q121" s="16">
        <f t="shared" si="5"/>
        <v>0.35</v>
      </c>
      <c r="R121" s="53">
        <v>16.7</v>
      </c>
      <c r="S121" s="53">
        <v>212</v>
      </c>
      <c r="T121" s="16">
        <f t="shared" si="6"/>
        <v>16</v>
      </c>
      <c r="U121" s="53">
        <v>192</v>
      </c>
      <c r="V121" s="16">
        <f t="shared" si="7"/>
        <v>3072</v>
      </c>
      <c r="W121" s="53">
        <v>6</v>
      </c>
      <c r="X121" s="53" t="s">
        <v>46</v>
      </c>
      <c r="Y121" s="53" t="s">
        <v>55</v>
      </c>
      <c r="Z121" s="53" t="s">
        <v>69</v>
      </c>
      <c r="AA121" s="53" t="s">
        <v>47</v>
      </c>
      <c r="AB121" s="53" t="s">
        <v>258</v>
      </c>
    </row>
    <row r="122" spans="1:28" x14ac:dyDescent="0.15">
      <c r="A122" s="53" t="s">
        <v>34</v>
      </c>
      <c r="B122" s="53" t="s">
        <v>232</v>
      </c>
      <c r="C122" s="53">
        <v>2019</v>
      </c>
      <c r="D122" s="176" t="s">
        <v>313</v>
      </c>
      <c r="E122" s="53" t="s">
        <v>267</v>
      </c>
      <c r="F122" s="53" t="s">
        <v>377</v>
      </c>
      <c r="G122" s="53" t="s">
        <v>36</v>
      </c>
      <c r="H122" s="53" t="s">
        <v>164</v>
      </c>
      <c r="I122" s="53" t="s">
        <v>159</v>
      </c>
      <c r="J122" s="53" t="s">
        <v>38</v>
      </c>
      <c r="K122" s="53" t="s">
        <v>161</v>
      </c>
      <c r="L122" s="53">
        <v>1</v>
      </c>
      <c r="N122" s="53">
        <v>5</v>
      </c>
      <c r="O122" s="53">
        <v>0.45</v>
      </c>
      <c r="P122" s="53">
        <v>0.55000000000000004</v>
      </c>
      <c r="Q122" s="16">
        <f t="shared" si="5"/>
        <v>0.5</v>
      </c>
      <c r="R122" s="53">
        <v>17.3</v>
      </c>
      <c r="S122" s="53">
        <v>80</v>
      </c>
      <c r="T122" s="16">
        <f t="shared" si="6"/>
        <v>39</v>
      </c>
      <c r="U122" s="53">
        <v>321</v>
      </c>
      <c r="V122" s="16">
        <f t="shared" si="7"/>
        <v>2503.8000000000002</v>
      </c>
      <c r="W122" s="53">
        <v>4</v>
      </c>
      <c r="X122" s="53" t="s">
        <v>46</v>
      </c>
      <c r="Y122" s="53" t="s">
        <v>55</v>
      </c>
      <c r="Z122" s="53" t="s">
        <v>69</v>
      </c>
      <c r="AA122" s="53" t="s">
        <v>97</v>
      </c>
      <c r="AB122" s="53" t="s">
        <v>258</v>
      </c>
    </row>
    <row r="123" spans="1:28" x14ac:dyDescent="0.15">
      <c r="A123" s="53" t="s">
        <v>34</v>
      </c>
      <c r="B123" s="53" t="s">
        <v>232</v>
      </c>
      <c r="C123" s="53">
        <v>2019</v>
      </c>
      <c r="D123" s="176" t="s">
        <v>313</v>
      </c>
      <c r="E123" s="53" t="s">
        <v>267</v>
      </c>
      <c r="F123" s="53" t="s">
        <v>377</v>
      </c>
      <c r="G123" s="53" t="s">
        <v>36</v>
      </c>
      <c r="H123" s="53" t="s">
        <v>164</v>
      </c>
      <c r="I123" s="53" t="s">
        <v>159</v>
      </c>
      <c r="J123" s="53" t="s">
        <v>38</v>
      </c>
      <c r="K123" s="53" t="s">
        <v>161</v>
      </c>
      <c r="L123" s="53">
        <v>2</v>
      </c>
      <c r="N123" s="53">
        <v>5</v>
      </c>
      <c r="O123" s="53">
        <v>0.65</v>
      </c>
      <c r="P123" s="53">
        <v>0.55000000000000004</v>
      </c>
      <c r="Q123" s="16">
        <f t="shared" si="5"/>
        <v>0.60000000000000009</v>
      </c>
      <c r="R123" s="53">
        <v>17.2</v>
      </c>
      <c r="S123" s="53">
        <v>73</v>
      </c>
      <c r="T123" s="16">
        <f t="shared" si="6"/>
        <v>42</v>
      </c>
      <c r="U123" s="53">
        <v>321</v>
      </c>
      <c r="V123" s="16">
        <f t="shared" si="7"/>
        <v>2696.4</v>
      </c>
      <c r="W123" s="53">
        <v>4</v>
      </c>
      <c r="X123" s="53" t="s">
        <v>46</v>
      </c>
      <c r="Y123" s="53" t="s">
        <v>55</v>
      </c>
      <c r="Z123" s="53" t="s">
        <v>69</v>
      </c>
      <c r="AA123" s="53" t="s">
        <v>97</v>
      </c>
      <c r="AB123" s="53" t="s">
        <v>258</v>
      </c>
    </row>
    <row r="124" spans="1:28" x14ac:dyDescent="0.15">
      <c r="A124" s="53" t="s">
        <v>34</v>
      </c>
      <c r="B124" s="53" t="s">
        <v>232</v>
      </c>
      <c r="C124" s="53">
        <v>2019</v>
      </c>
      <c r="D124" s="176" t="s">
        <v>313</v>
      </c>
      <c r="E124" s="53" t="s">
        <v>267</v>
      </c>
      <c r="F124" s="53" t="s">
        <v>377</v>
      </c>
      <c r="G124" s="53" t="s">
        <v>36</v>
      </c>
      <c r="H124" s="53" t="s">
        <v>164</v>
      </c>
      <c r="I124" s="53" t="s">
        <v>159</v>
      </c>
      <c r="J124" s="53" t="s">
        <v>38</v>
      </c>
      <c r="K124" s="53" t="s">
        <v>161</v>
      </c>
      <c r="L124" s="53">
        <v>3</v>
      </c>
      <c r="N124" s="53">
        <v>5</v>
      </c>
      <c r="O124" s="53">
        <v>0.7</v>
      </c>
      <c r="P124" s="53">
        <v>0.8</v>
      </c>
      <c r="Q124" s="16">
        <f t="shared" si="5"/>
        <v>0.75</v>
      </c>
      <c r="R124" s="53">
        <v>15.7</v>
      </c>
      <c r="S124" s="53">
        <v>81</v>
      </c>
      <c r="T124" s="16">
        <f t="shared" si="6"/>
        <v>39</v>
      </c>
      <c r="U124" s="53">
        <v>321</v>
      </c>
      <c r="V124" s="16">
        <f t="shared" si="7"/>
        <v>2503.8000000000002</v>
      </c>
      <c r="W124" s="53">
        <v>4</v>
      </c>
      <c r="X124" s="53" t="s">
        <v>46</v>
      </c>
      <c r="Y124" s="53" t="s">
        <v>55</v>
      </c>
      <c r="Z124" s="53" t="s">
        <v>69</v>
      </c>
      <c r="AA124" s="53" t="s">
        <v>97</v>
      </c>
      <c r="AB124" s="53" t="s">
        <v>258</v>
      </c>
    </row>
    <row r="125" spans="1:28" x14ac:dyDescent="0.15">
      <c r="A125" s="53" t="s">
        <v>34</v>
      </c>
      <c r="B125" s="53" t="s">
        <v>232</v>
      </c>
      <c r="C125" s="53">
        <v>2019</v>
      </c>
      <c r="D125" s="176" t="s">
        <v>313</v>
      </c>
      <c r="E125" s="53" t="s">
        <v>267</v>
      </c>
      <c r="F125" s="53" t="s">
        <v>377</v>
      </c>
      <c r="G125" s="53" t="s">
        <v>36</v>
      </c>
      <c r="H125" s="53" t="s">
        <v>164</v>
      </c>
      <c r="I125" s="53" t="s">
        <v>159</v>
      </c>
      <c r="J125" s="53" t="s">
        <v>38</v>
      </c>
      <c r="K125" s="53" t="s">
        <v>161</v>
      </c>
      <c r="L125" s="53">
        <v>1</v>
      </c>
      <c r="N125" s="53">
        <v>7</v>
      </c>
      <c r="O125" s="53">
        <v>0.85</v>
      </c>
      <c r="P125" s="53">
        <v>0.75</v>
      </c>
      <c r="Q125" s="16">
        <f t="shared" si="5"/>
        <v>0.8</v>
      </c>
      <c r="R125" s="53">
        <v>17.2</v>
      </c>
      <c r="S125" s="53">
        <v>78</v>
      </c>
      <c r="T125" s="16">
        <f t="shared" si="6"/>
        <v>39</v>
      </c>
      <c r="U125" s="53">
        <v>429</v>
      </c>
      <c r="V125" s="16">
        <f t="shared" si="7"/>
        <v>2390.1428571428569</v>
      </c>
      <c r="W125" s="53">
        <v>4</v>
      </c>
      <c r="X125" s="53" t="s">
        <v>46</v>
      </c>
      <c r="Y125" s="53" t="s">
        <v>55</v>
      </c>
      <c r="Z125" s="53" t="s">
        <v>69</v>
      </c>
      <c r="AA125" s="53" t="s">
        <v>97</v>
      </c>
      <c r="AB125" s="53" t="s">
        <v>258</v>
      </c>
    </row>
    <row r="126" spans="1:28" x14ac:dyDescent="0.15">
      <c r="A126" s="53" t="s">
        <v>34</v>
      </c>
      <c r="B126" s="53" t="s">
        <v>232</v>
      </c>
      <c r="C126" s="53">
        <v>2019</v>
      </c>
      <c r="D126" s="176" t="s">
        <v>313</v>
      </c>
      <c r="E126" s="53" t="s">
        <v>267</v>
      </c>
      <c r="F126" s="53" t="s">
        <v>377</v>
      </c>
      <c r="G126" s="53" t="s">
        <v>36</v>
      </c>
      <c r="H126" s="53" t="s">
        <v>164</v>
      </c>
      <c r="I126" s="53" t="s">
        <v>159</v>
      </c>
      <c r="J126" s="53" t="s">
        <v>38</v>
      </c>
      <c r="K126" s="53" t="s">
        <v>161</v>
      </c>
      <c r="L126" s="53">
        <v>2</v>
      </c>
      <c r="N126" s="53">
        <v>7</v>
      </c>
      <c r="O126" s="53">
        <v>0.8</v>
      </c>
      <c r="P126" s="53">
        <v>0.7</v>
      </c>
      <c r="Q126" s="16">
        <f t="shared" si="5"/>
        <v>0.75</v>
      </c>
      <c r="R126" s="53">
        <v>15.7</v>
      </c>
      <c r="S126" s="53">
        <v>79</v>
      </c>
      <c r="T126" s="16">
        <f t="shared" si="6"/>
        <v>39</v>
      </c>
      <c r="U126" s="53">
        <v>429</v>
      </c>
      <c r="V126" s="16">
        <f t="shared" si="7"/>
        <v>2390.1428571428569</v>
      </c>
      <c r="W126" s="53">
        <v>4</v>
      </c>
      <c r="X126" s="53" t="s">
        <v>46</v>
      </c>
      <c r="Y126" s="53" t="s">
        <v>55</v>
      </c>
      <c r="Z126" s="53" t="s">
        <v>69</v>
      </c>
      <c r="AA126" s="53" t="s">
        <v>97</v>
      </c>
      <c r="AB126" s="53" t="s">
        <v>258</v>
      </c>
    </row>
    <row r="127" spans="1:28" x14ac:dyDescent="0.15">
      <c r="A127" s="53" t="s">
        <v>34</v>
      </c>
      <c r="B127" s="53" t="s">
        <v>232</v>
      </c>
      <c r="C127" s="53">
        <v>2019</v>
      </c>
      <c r="D127" s="176" t="s">
        <v>313</v>
      </c>
      <c r="E127" s="53" t="s">
        <v>267</v>
      </c>
      <c r="F127" s="53" t="s">
        <v>377</v>
      </c>
      <c r="G127" s="53" t="s">
        <v>36</v>
      </c>
      <c r="H127" s="53" t="s">
        <v>164</v>
      </c>
      <c r="I127" s="53" t="s">
        <v>159</v>
      </c>
      <c r="J127" s="53" t="s">
        <v>38</v>
      </c>
      <c r="K127" s="53" t="s">
        <v>161</v>
      </c>
      <c r="L127" s="53">
        <v>3</v>
      </c>
      <c r="N127" s="53">
        <v>7</v>
      </c>
      <c r="O127" s="53">
        <v>0.85</v>
      </c>
      <c r="P127" s="53">
        <v>0.75</v>
      </c>
      <c r="Q127" s="16">
        <f t="shared" si="5"/>
        <v>0.8</v>
      </c>
      <c r="R127" s="53">
        <v>17</v>
      </c>
      <c r="S127" s="53">
        <v>79</v>
      </c>
      <c r="T127" s="16">
        <f t="shared" si="6"/>
        <v>39</v>
      </c>
      <c r="U127" s="53">
        <v>429</v>
      </c>
      <c r="V127" s="16">
        <f t="shared" si="7"/>
        <v>2390.1428571428569</v>
      </c>
      <c r="W127" s="53">
        <v>4</v>
      </c>
      <c r="X127" s="53" t="s">
        <v>46</v>
      </c>
      <c r="Y127" s="53" t="s">
        <v>55</v>
      </c>
      <c r="Z127" s="53" t="s">
        <v>69</v>
      </c>
      <c r="AA127" s="53" t="s">
        <v>97</v>
      </c>
      <c r="AB127" s="53" t="s">
        <v>258</v>
      </c>
    </row>
    <row r="128" spans="1:28" x14ac:dyDescent="0.15">
      <c r="A128" s="53" t="s">
        <v>34</v>
      </c>
      <c r="B128" s="53" t="s">
        <v>232</v>
      </c>
      <c r="C128" s="53">
        <v>2019</v>
      </c>
      <c r="D128" s="176" t="s">
        <v>313</v>
      </c>
      <c r="E128" s="53" t="s">
        <v>267</v>
      </c>
      <c r="F128" s="53" t="s">
        <v>377</v>
      </c>
      <c r="G128" s="53" t="s">
        <v>36</v>
      </c>
      <c r="H128" s="53" t="s">
        <v>160</v>
      </c>
      <c r="I128" s="53" t="s">
        <v>159</v>
      </c>
      <c r="J128" s="53" t="s">
        <v>38</v>
      </c>
      <c r="K128" s="53" t="s">
        <v>161</v>
      </c>
      <c r="L128" s="53">
        <v>1</v>
      </c>
      <c r="N128" s="53">
        <v>1</v>
      </c>
      <c r="O128" s="53">
        <v>0.6</v>
      </c>
      <c r="P128" s="53">
        <v>0.55000000000000004</v>
      </c>
      <c r="Q128" s="16">
        <f t="shared" si="5"/>
        <v>0.57499999999999996</v>
      </c>
      <c r="R128" s="53">
        <v>17.2</v>
      </c>
      <c r="S128" s="53">
        <v>128</v>
      </c>
      <c r="T128" s="16">
        <f t="shared" si="6"/>
        <v>30</v>
      </c>
      <c r="U128" s="53">
        <v>159</v>
      </c>
      <c r="V128" s="16">
        <f t="shared" si="7"/>
        <v>4770</v>
      </c>
      <c r="W128" s="53">
        <v>4</v>
      </c>
      <c r="X128" s="53" t="s">
        <v>46</v>
      </c>
      <c r="Y128" s="53" t="s">
        <v>55</v>
      </c>
      <c r="Z128" s="53" t="s">
        <v>69</v>
      </c>
      <c r="AA128" s="53" t="s">
        <v>97</v>
      </c>
      <c r="AB128" s="53" t="s">
        <v>258</v>
      </c>
    </row>
    <row r="129" spans="1:28" x14ac:dyDescent="0.15">
      <c r="A129" s="53" t="s">
        <v>34</v>
      </c>
      <c r="B129" s="53" t="s">
        <v>232</v>
      </c>
      <c r="C129" s="53">
        <v>2019</v>
      </c>
      <c r="D129" s="176" t="s">
        <v>313</v>
      </c>
      <c r="E129" s="53" t="s">
        <v>267</v>
      </c>
      <c r="F129" s="53" t="s">
        <v>377</v>
      </c>
      <c r="G129" s="53" t="s">
        <v>36</v>
      </c>
      <c r="H129" s="53" t="s">
        <v>160</v>
      </c>
      <c r="I129" s="53" t="s">
        <v>159</v>
      </c>
      <c r="J129" s="53" t="s">
        <v>38</v>
      </c>
      <c r="K129" s="53" t="s">
        <v>161</v>
      </c>
      <c r="L129" s="53">
        <v>2</v>
      </c>
      <c r="N129" s="53">
        <v>1</v>
      </c>
      <c r="O129" s="53">
        <v>0.6</v>
      </c>
      <c r="P129" s="53">
        <v>0.65</v>
      </c>
      <c r="Q129" s="16">
        <f t="shared" si="5"/>
        <v>0.625</v>
      </c>
      <c r="R129" s="53">
        <v>20.5</v>
      </c>
      <c r="S129" s="53">
        <v>128</v>
      </c>
      <c r="T129" s="16">
        <f t="shared" si="6"/>
        <v>30</v>
      </c>
      <c r="U129" s="53">
        <v>159</v>
      </c>
      <c r="V129" s="16">
        <f t="shared" si="7"/>
        <v>4770</v>
      </c>
      <c r="W129" s="53">
        <v>4</v>
      </c>
      <c r="X129" s="53" t="s">
        <v>46</v>
      </c>
      <c r="Y129" s="53" t="s">
        <v>55</v>
      </c>
      <c r="Z129" s="53" t="s">
        <v>69</v>
      </c>
      <c r="AA129" s="53" t="s">
        <v>97</v>
      </c>
      <c r="AB129" s="53" t="s">
        <v>258</v>
      </c>
    </row>
    <row r="130" spans="1:28" x14ac:dyDescent="0.15">
      <c r="A130" s="53" t="s">
        <v>34</v>
      </c>
      <c r="B130" s="53" t="s">
        <v>232</v>
      </c>
      <c r="C130" s="53">
        <v>2019</v>
      </c>
      <c r="D130" s="176" t="s">
        <v>313</v>
      </c>
      <c r="E130" s="53" t="s">
        <v>267</v>
      </c>
      <c r="F130" s="53" t="s">
        <v>377</v>
      </c>
      <c r="G130" s="53" t="s">
        <v>36</v>
      </c>
      <c r="H130" s="53" t="s">
        <v>160</v>
      </c>
      <c r="I130" s="53" t="s">
        <v>159</v>
      </c>
      <c r="J130" s="53" t="s">
        <v>38</v>
      </c>
      <c r="K130" s="53" t="s">
        <v>161</v>
      </c>
      <c r="L130" s="53">
        <v>3</v>
      </c>
      <c r="N130" s="53">
        <v>1</v>
      </c>
      <c r="O130" s="53">
        <v>0.6</v>
      </c>
      <c r="P130" s="53">
        <v>0.55000000000000004</v>
      </c>
      <c r="Q130" s="16">
        <f t="shared" si="5"/>
        <v>0.57499999999999996</v>
      </c>
      <c r="R130" s="53">
        <v>20.5</v>
      </c>
      <c r="S130" s="53">
        <v>130</v>
      </c>
      <c r="T130" s="16">
        <f t="shared" si="6"/>
        <v>30</v>
      </c>
      <c r="U130" s="53">
        <v>159</v>
      </c>
      <c r="V130" s="16">
        <f t="shared" si="7"/>
        <v>4770</v>
      </c>
      <c r="W130" s="53">
        <v>4</v>
      </c>
      <c r="X130" s="53" t="s">
        <v>46</v>
      </c>
      <c r="Y130" s="53" t="s">
        <v>55</v>
      </c>
      <c r="Z130" s="53" t="s">
        <v>69</v>
      </c>
      <c r="AA130" s="53" t="s">
        <v>97</v>
      </c>
      <c r="AB130" s="53" t="s">
        <v>258</v>
      </c>
    </row>
    <row r="131" spans="1:28" x14ac:dyDescent="0.15">
      <c r="A131" s="53" t="s">
        <v>34</v>
      </c>
      <c r="B131" s="53" t="s">
        <v>232</v>
      </c>
      <c r="C131" s="53">
        <v>2019</v>
      </c>
      <c r="D131" s="176" t="s">
        <v>313</v>
      </c>
      <c r="E131" s="53" t="s">
        <v>267</v>
      </c>
      <c r="F131" s="53" t="s">
        <v>377</v>
      </c>
      <c r="G131" s="53" t="s">
        <v>36</v>
      </c>
      <c r="H131" s="53" t="s">
        <v>160</v>
      </c>
      <c r="I131" s="53" t="s">
        <v>159</v>
      </c>
      <c r="J131" s="53" t="s">
        <v>38</v>
      </c>
      <c r="K131" s="53" t="s">
        <v>161</v>
      </c>
      <c r="L131" s="53">
        <v>1</v>
      </c>
      <c r="N131" s="53">
        <v>4</v>
      </c>
      <c r="O131" s="53">
        <v>0.7</v>
      </c>
      <c r="P131" s="53">
        <v>0.65</v>
      </c>
      <c r="Q131" s="16">
        <f t="shared" si="5"/>
        <v>0.67500000000000004</v>
      </c>
      <c r="R131" s="53">
        <v>17.5</v>
      </c>
      <c r="S131" s="53">
        <v>91</v>
      </c>
      <c r="T131" s="16">
        <f t="shared" si="6"/>
        <v>36</v>
      </c>
      <c r="U131" s="53">
        <v>518</v>
      </c>
      <c r="V131" s="16">
        <f t="shared" si="7"/>
        <v>4662</v>
      </c>
      <c r="W131" s="53">
        <v>4</v>
      </c>
      <c r="X131" s="53" t="s">
        <v>46</v>
      </c>
      <c r="Y131" s="53" t="s">
        <v>55</v>
      </c>
      <c r="Z131" s="53" t="s">
        <v>69</v>
      </c>
      <c r="AA131" s="53" t="s">
        <v>97</v>
      </c>
      <c r="AB131" s="53" t="s">
        <v>258</v>
      </c>
    </row>
    <row r="132" spans="1:28" x14ac:dyDescent="0.15">
      <c r="A132" s="53" t="s">
        <v>34</v>
      </c>
      <c r="B132" s="53" t="s">
        <v>232</v>
      </c>
      <c r="C132" s="53">
        <v>2019</v>
      </c>
      <c r="D132" s="176" t="s">
        <v>313</v>
      </c>
      <c r="E132" s="53" t="s">
        <v>267</v>
      </c>
      <c r="F132" s="53" t="s">
        <v>377</v>
      </c>
      <c r="G132" s="53" t="s">
        <v>36</v>
      </c>
      <c r="H132" s="53" t="s">
        <v>160</v>
      </c>
      <c r="I132" s="53" t="s">
        <v>159</v>
      </c>
      <c r="J132" s="53" t="s">
        <v>38</v>
      </c>
      <c r="K132" s="53" t="s">
        <v>161</v>
      </c>
      <c r="L132" s="53">
        <v>2</v>
      </c>
      <c r="N132" s="53">
        <v>4</v>
      </c>
      <c r="O132" s="53">
        <v>0.5</v>
      </c>
      <c r="P132" s="53">
        <v>0.6</v>
      </c>
      <c r="Q132" s="16">
        <f t="shared" si="5"/>
        <v>0.55000000000000004</v>
      </c>
      <c r="R132" s="53">
        <v>18.3</v>
      </c>
      <c r="S132" s="53">
        <v>90</v>
      </c>
      <c r="T132" s="16">
        <f t="shared" si="6"/>
        <v>36</v>
      </c>
      <c r="U132" s="53">
        <v>518</v>
      </c>
      <c r="V132" s="16">
        <f t="shared" si="7"/>
        <v>4662</v>
      </c>
      <c r="W132" s="53">
        <v>4</v>
      </c>
      <c r="X132" s="53" t="s">
        <v>46</v>
      </c>
      <c r="Y132" s="53" t="s">
        <v>55</v>
      </c>
      <c r="Z132" s="53" t="s">
        <v>69</v>
      </c>
      <c r="AA132" s="53" t="s">
        <v>97</v>
      </c>
      <c r="AB132" s="53" t="s">
        <v>258</v>
      </c>
    </row>
    <row r="133" spans="1:28" x14ac:dyDescent="0.15">
      <c r="A133" s="53" t="s">
        <v>34</v>
      </c>
      <c r="B133" s="53" t="s">
        <v>232</v>
      </c>
      <c r="C133" s="53">
        <v>2019</v>
      </c>
      <c r="D133" s="176" t="s">
        <v>313</v>
      </c>
      <c r="E133" s="53" t="s">
        <v>267</v>
      </c>
      <c r="F133" s="53" t="s">
        <v>377</v>
      </c>
      <c r="G133" s="53" t="s">
        <v>36</v>
      </c>
      <c r="H133" s="53" t="s">
        <v>160</v>
      </c>
      <c r="I133" s="53" t="s">
        <v>159</v>
      </c>
      <c r="J133" s="53" t="s">
        <v>38</v>
      </c>
      <c r="K133" s="53" t="s">
        <v>161</v>
      </c>
      <c r="L133" s="53">
        <v>3</v>
      </c>
      <c r="N133" s="53">
        <v>4</v>
      </c>
      <c r="O133" s="53">
        <v>0.6</v>
      </c>
      <c r="P133" s="53">
        <v>0.6</v>
      </c>
      <c r="Q133" s="16">
        <f t="shared" si="5"/>
        <v>0.6</v>
      </c>
      <c r="R133" s="53">
        <v>17.5</v>
      </c>
      <c r="S133" s="53">
        <v>94</v>
      </c>
      <c r="T133" s="16">
        <f t="shared" si="6"/>
        <v>36</v>
      </c>
      <c r="U133" s="53">
        <v>518</v>
      </c>
      <c r="V133" s="16">
        <f t="shared" si="7"/>
        <v>4662</v>
      </c>
      <c r="W133" s="53">
        <v>4</v>
      </c>
      <c r="X133" s="53" t="s">
        <v>46</v>
      </c>
      <c r="Y133" s="53" t="s">
        <v>55</v>
      </c>
      <c r="Z133" s="53" t="s">
        <v>69</v>
      </c>
      <c r="AA133" s="53" t="s">
        <v>97</v>
      </c>
      <c r="AB133" s="53" t="s">
        <v>258</v>
      </c>
    </row>
  </sheetData>
  <autoFilter ref="A1:BA82" xr:uid="{00000000-0009-0000-0000-000000000000}"/>
  <phoneticPr fontId="3"/>
  <dataValidations count="12">
    <dataValidation type="list" allowBlank="1" showInputMessage="1" showErrorMessage="1" sqref="K2:K723" xr:uid="{3747492F-15D6-42B7-B8CB-355804FA26E6}">
      <formula1>$AR$2:$AR$23</formula1>
    </dataValidation>
    <dataValidation type="list" allowBlank="1" showInputMessage="1" showErrorMessage="1" sqref="A2:A410" xr:uid="{600E4200-3299-4924-BB90-8C80CBE3A688}">
      <formula1>$AE$2:$AE$19</formula1>
    </dataValidation>
    <dataValidation type="list" allowBlank="1" showInputMessage="1" showErrorMessage="1" sqref="Y2:AA411" xr:uid="{6FDCF679-E509-4AB1-B498-3C6992607F16}">
      <formula1>$AV$2:$AV$21</formula1>
    </dataValidation>
    <dataValidation type="list" allowBlank="1" showInputMessage="1" showErrorMessage="1" sqref="H2:H411" xr:uid="{5D076714-C31F-4EF4-8AAB-D545DA16149A}">
      <formula1>$AL$2:$AL$8</formula1>
    </dataValidation>
    <dataValidation type="list" allowBlank="1" showInputMessage="1" showErrorMessage="1" sqref="X2:X411" xr:uid="{43D3E74F-7EE9-45E2-89F6-B8C9536ED448}">
      <formula1>$AT$2:$AT$3</formula1>
    </dataValidation>
    <dataValidation type="list" allowBlank="1" showInputMessage="1" showErrorMessage="1" sqref="G2:G411" xr:uid="{6045C3AF-BBD3-41A1-A451-E076E2CA12D8}">
      <formula1>$AJ$2:$AJ$4</formula1>
    </dataValidation>
    <dataValidation type="list" allowBlank="1" showInputMessage="1" showErrorMessage="1" sqref="I2:I411" xr:uid="{4658CAB4-4C86-4877-8753-CF6928115B4B}">
      <formula1>$AN$5:$AN$6</formula1>
    </dataValidation>
    <dataValidation type="list" allowBlank="1" showInputMessage="1" showErrorMessage="1" sqref="J2:J411" xr:uid="{AF10CAE6-767B-4870-9EBD-B79071D2699B}">
      <formula1>$AP$2:$AP$24</formula1>
    </dataValidation>
    <dataValidation type="list" allowBlank="1" showInputMessage="1" showErrorMessage="1" sqref="F2:F411" xr:uid="{7012BD0C-1AC2-4F8C-9B3E-3B5DB81E3524}">
      <formula1>$AH$2:$AH$11</formula1>
    </dataValidation>
    <dataValidation type="list" allowBlank="1" showInputMessage="1" showErrorMessage="1" sqref="E2:E411" xr:uid="{E8E2F2EF-C223-4FD3-B65F-2F2B21CE3259}">
      <formula1>$AG$2:$AG$11</formula1>
    </dataValidation>
    <dataValidation type="decimal" allowBlank="1" showInputMessage="1" showErrorMessage="1" error="硬度を正しく入力して下さい。" sqref="O2:P49 O59:P411" xr:uid="{61E0ED4C-4BC1-443E-A839-F2F5D87275A2}">
      <formula1>0</formula1>
      <formula2>7</formula2>
    </dataValidation>
    <dataValidation operator="equal" allowBlank="1" showInputMessage="1" showErrorMessage="1" sqref="B2:B133" xr:uid="{5006CB52-FDDA-4D78-B599-A9E09A6EE8F5}"/>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B63F8F2-4663-46C2-8624-5E19372A6169}"/>
</file>

<file path=customXml/itemProps2.xml><?xml version="1.0" encoding="utf-8"?>
<ds:datastoreItem xmlns:ds="http://schemas.openxmlformats.org/officeDocument/2006/customXml" ds:itemID="{AD68CA02-FD23-4955-9460-8A8B47247C36}"/>
</file>

<file path=customXml/itemProps3.xml><?xml version="1.0" encoding="utf-8"?>
<ds:datastoreItem xmlns:ds="http://schemas.openxmlformats.org/officeDocument/2006/customXml" ds:itemID="{134387F3-E660-4C91-A702-F4EEAE5521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2019-07-08T06:50:39Z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