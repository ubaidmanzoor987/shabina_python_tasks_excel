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01"/>
  <workbookPr defaultThemeVersion="124226"/>
  <mc:AlternateContent xmlns:mc="http://schemas.openxmlformats.org/markup-compatibility/2006">
    <mc:Choice Requires="x15">
      <x15ac:absPath xmlns:x15ac="http://schemas.microsoft.com/office/spreadsheetml/2010/11/ac" url="C:\Users\aspeuser\AppData\Local\Microsoft\Windows\INetCache\Content.Outlook\ZAIFXP6C\"/>
    </mc:Choice>
  </mc:AlternateContent>
  <xr:revisionPtr revIDLastSave="0" documentId="13_ncr:1_{481D4AB8-A590-41EE-8956-625C55832A39}"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tokyo-east(ota)" sheetId="22" r:id="rId6"/>
    <sheet name="tokyo-west(kato)" sheetId="23" r:id="rId7"/>
  </sheets>
  <definedNames>
    <definedName name="_xlnm._FilterDatabase" localSheetId="4" hidden="1">hiroshima!$A$1:$BA$1</definedName>
    <definedName name="_xlnm._FilterDatabase" localSheetId="1" hidden="1">miyagi!$A$1:$BA$357</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5" hidden="1">'tokyo-east(ota)'!$A$1:$BA$1</definedName>
    <definedName name="_xlnm._FilterDatabase" localSheetId="6" hidden="1">'tokyo-west(kato)'!$A$1:$BA$84</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03" i="23" l="1"/>
  <c r="V103" i="23" s="1"/>
  <c r="Q103" i="23"/>
  <c r="T102" i="23"/>
  <c r="V102" i="23" s="1"/>
  <c r="Q102" i="23"/>
  <c r="T101" i="23"/>
  <c r="V101" i="23" s="1"/>
  <c r="Q101" i="23"/>
  <c r="T100" i="23"/>
  <c r="V100" i="23" s="1"/>
  <c r="Q100" i="23"/>
  <c r="T99" i="23"/>
  <c r="V99" i="23" s="1"/>
  <c r="Q99" i="23"/>
  <c r="T98" i="23"/>
  <c r="V98" i="23" s="1"/>
  <c r="Q98" i="23"/>
  <c r="T97" i="23"/>
  <c r="V97" i="23" s="1"/>
  <c r="Q97" i="23"/>
  <c r="T96" i="23"/>
  <c r="V96" i="23" s="1"/>
  <c r="Q96" i="23"/>
  <c r="T95" i="23"/>
  <c r="V95" i="23" s="1"/>
  <c r="Q95" i="23"/>
  <c r="T94" i="23"/>
  <c r="V94" i="23" s="1"/>
  <c r="Q94" i="23"/>
  <c r="T93" i="23"/>
  <c r="V93" i="23" s="1"/>
  <c r="Q93" i="23"/>
  <c r="T92" i="23"/>
  <c r="V92" i="23" s="1"/>
  <c r="Q92" i="23"/>
  <c r="T91" i="23"/>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T91" i="22" l="1"/>
  <c r="V91" i="22" s="1"/>
  <c r="Q91" i="22"/>
  <c r="T90" i="22"/>
  <c r="V90" i="22" s="1"/>
  <c r="Q90" i="22"/>
  <c r="T89" i="22"/>
  <c r="V89" i="22" s="1"/>
  <c r="Q89" i="22"/>
  <c r="T88" i="22"/>
  <c r="V88" i="22" s="1"/>
  <c r="Q88" i="22"/>
  <c r="T87" i="22"/>
  <c r="V87" i="22" s="1"/>
  <c r="Q87" i="22"/>
  <c r="T86" i="22"/>
  <c r="V86" i="22" s="1"/>
  <c r="Q86" i="22"/>
  <c r="T85" i="22"/>
  <c r="V85" i="22" s="1"/>
  <c r="Q85" i="22"/>
  <c r="T84" i="22"/>
  <c r="V84" i="22" s="1"/>
  <c r="Q84" i="22"/>
  <c r="T83" i="22"/>
  <c r="V83" i="22" s="1"/>
  <c r="Q83" i="22"/>
  <c r="T82" i="22"/>
  <c r="V82" i="22" s="1"/>
  <c r="Q82" i="22"/>
  <c r="T81" i="22"/>
  <c r="V81" i="22" s="1"/>
  <c r="Q81" i="22"/>
  <c r="T80" i="22"/>
  <c r="V80" i="22" s="1"/>
  <c r="Q80" i="22"/>
  <c r="T79" i="22"/>
  <c r="V79" i="22" s="1"/>
  <c r="Q79" i="22"/>
  <c r="T78" i="22"/>
  <c r="V78" i="22" s="1"/>
  <c r="Q78" i="22"/>
  <c r="T77" i="22"/>
  <c r="V77" i="22" s="1"/>
  <c r="Q77" i="22"/>
  <c r="T76" i="22"/>
  <c r="V76" i="22" s="1"/>
  <c r="Q76" i="22"/>
  <c r="T75" i="22"/>
  <c r="V75" i="22" s="1"/>
  <c r="Q75" i="22"/>
  <c r="T74" i="22"/>
  <c r="V74" i="22" s="1"/>
  <c r="Q74" i="22"/>
  <c r="T73" i="22"/>
  <c r="V73" i="22" s="1"/>
  <c r="Q73" i="22"/>
  <c r="T72" i="22"/>
  <c r="V72" i="22" s="1"/>
  <c r="Q72" i="22"/>
  <c r="T71" i="22"/>
  <c r="V71" i="22" s="1"/>
  <c r="Q71" i="22"/>
  <c r="T70" i="22"/>
  <c r="V70" i="22" s="1"/>
  <c r="Q70" i="22"/>
  <c r="T69" i="22"/>
  <c r="V69" i="22" s="1"/>
  <c r="Q69" i="22"/>
  <c r="T68" i="22"/>
  <c r="V68" i="22" s="1"/>
  <c r="Q68" i="22"/>
  <c r="T67" i="22"/>
  <c r="V67" i="22" s="1"/>
  <c r="Q67" i="22"/>
  <c r="T66" i="22"/>
  <c r="V66" i="22" s="1"/>
  <c r="Q66" i="22"/>
  <c r="T65" i="22"/>
  <c r="V65" i="22" s="1"/>
  <c r="Q65" i="22"/>
  <c r="T64" i="22"/>
  <c r="V64" i="22" s="1"/>
  <c r="Q64" i="22"/>
  <c r="T63" i="22"/>
  <c r="V63" i="22" s="1"/>
  <c r="Q63" i="22"/>
  <c r="T62" i="22"/>
  <c r="V62" i="22" s="1"/>
  <c r="Q62" i="22"/>
  <c r="T61" i="22"/>
  <c r="V61" i="22" s="1"/>
  <c r="Q61" i="22"/>
  <c r="T60" i="22"/>
  <c r="V60" i="22" s="1"/>
  <c r="Q60" i="22"/>
  <c r="T59" i="22"/>
  <c r="V59" i="22" s="1"/>
  <c r="Q59" i="22"/>
  <c r="T58" i="22"/>
  <c r="V58" i="22" s="1"/>
  <c r="Q58" i="22"/>
  <c r="T57" i="22"/>
  <c r="V57" i="22" s="1"/>
  <c r="Q57" i="22"/>
  <c r="T56" i="22"/>
  <c r="V56" i="22" s="1"/>
  <c r="Q56" i="22"/>
  <c r="T55" i="22"/>
  <c r="V55" i="22" s="1"/>
  <c r="Q55" i="22"/>
  <c r="T54" i="22"/>
  <c r="V54" i="22" s="1"/>
  <c r="Q54" i="22"/>
  <c r="T53" i="22"/>
  <c r="V53" i="22" s="1"/>
  <c r="Q53" i="22"/>
  <c r="T52" i="22"/>
  <c r="V52" i="22" s="1"/>
  <c r="Q52" i="22"/>
  <c r="T51" i="22"/>
  <c r="V51" i="22" s="1"/>
  <c r="Q51" i="22"/>
  <c r="T50" i="22"/>
  <c r="V50" i="22" s="1"/>
  <c r="Q50" i="22"/>
  <c r="T49" i="22"/>
  <c r="V49" i="22" s="1"/>
  <c r="Q49" i="22"/>
  <c r="T48" i="22"/>
  <c r="V48" i="22" s="1"/>
  <c r="Q48" i="22"/>
  <c r="T47" i="22"/>
  <c r="V47" i="22" s="1"/>
  <c r="Q47" i="22"/>
  <c r="T46" i="22"/>
  <c r="V46" i="22" s="1"/>
  <c r="Q46" i="22"/>
  <c r="T45" i="22"/>
  <c r="V45" i="22" s="1"/>
  <c r="Q45" i="22"/>
  <c r="T44" i="22"/>
  <c r="V44" i="22" s="1"/>
  <c r="Q44" i="22"/>
  <c r="T43" i="22"/>
  <c r="V43" i="22" s="1"/>
  <c r="Q43" i="22"/>
  <c r="T42" i="22"/>
  <c r="V42" i="22" s="1"/>
  <c r="Q42" i="22"/>
  <c r="T41" i="22"/>
  <c r="V41" i="22" s="1"/>
  <c r="Q41" i="22"/>
  <c r="T40" i="22"/>
  <c r="V40" i="22" s="1"/>
  <c r="Q40" i="22"/>
  <c r="T39" i="22"/>
  <c r="V39" i="22" s="1"/>
  <c r="Q39" i="22"/>
  <c r="T38" i="22"/>
  <c r="V38" i="22" s="1"/>
  <c r="Q38" i="22"/>
  <c r="T37" i="22"/>
  <c r="V37" i="22" s="1"/>
  <c r="Q37" i="22"/>
  <c r="T36" i="22"/>
  <c r="V36" i="22" s="1"/>
  <c r="Q36" i="22"/>
  <c r="T35" i="22"/>
  <c r="V35" i="22" s="1"/>
  <c r="Q35" i="22"/>
  <c r="T34" i="22"/>
  <c r="V34" i="22" s="1"/>
  <c r="Q34" i="22"/>
  <c r="T33" i="22"/>
  <c r="V33" i="22" s="1"/>
  <c r="Q33" i="22"/>
  <c r="T32" i="22"/>
  <c r="V32" i="22" s="1"/>
  <c r="Q32" i="22"/>
  <c r="T31" i="22"/>
  <c r="V31" i="22" s="1"/>
  <c r="Q31" i="22"/>
  <c r="T30" i="22"/>
  <c r="V30" i="22" s="1"/>
  <c r="Q30" i="22"/>
  <c r="T29" i="22"/>
  <c r="V29" i="22" s="1"/>
  <c r="Q29" i="22"/>
  <c r="T28" i="22"/>
  <c r="V28" i="22" s="1"/>
  <c r="Q28" i="22"/>
  <c r="T27" i="22"/>
  <c r="V27" i="22" s="1"/>
  <c r="Q27" i="22"/>
  <c r="T26" i="22"/>
  <c r="V26" i="22" s="1"/>
  <c r="Q26" i="22"/>
  <c r="T25" i="22"/>
  <c r="V25" i="22" s="1"/>
  <c r="Q25" i="22"/>
  <c r="T24" i="22"/>
  <c r="V24" i="22" s="1"/>
  <c r="Q24" i="22"/>
  <c r="T23" i="22"/>
  <c r="V23" i="22" s="1"/>
  <c r="Q23" i="22"/>
  <c r="T22" i="22"/>
  <c r="V22" i="22" s="1"/>
  <c r="Q22" i="22"/>
  <c r="T21" i="22"/>
  <c r="V21" i="22" s="1"/>
  <c r="Q21" i="22"/>
  <c r="T20" i="22"/>
  <c r="V20" i="22" s="1"/>
  <c r="Q20" i="22"/>
  <c r="T19" i="22"/>
  <c r="V19" i="22" s="1"/>
  <c r="Q19" i="22"/>
  <c r="T18" i="22"/>
  <c r="V18" i="22" s="1"/>
  <c r="Q18" i="22"/>
  <c r="T17" i="22"/>
  <c r="V17" i="22" s="1"/>
  <c r="Q17" i="22"/>
  <c r="T16" i="22"/>
  <c r="V16" i="22" s="1"/>
  <c r="Q16" i="22"/>
  <c r="T15" i="22"/>
  <c r="V15" i="22" s="1"/>
  <c r="Q15" i="22"/>
  <c r="T14" i="22"/>
  <c r="V14" i="22" s="1"/>
  <c r="Q14" i="22"/>
  <c r="T13" i="22"/>
  <c r="V13" i="22" s="1"/>
  <c r="Q13" i="22"/>
  <c r="T12" i="22"/>
  <c r="V12" i="22" s="1"/>
  <c r="Q12" i="22"/>
  <c r="T11" i="22"/>
  <c r="V11" i="22" s="1"/>
  <c r="Q11" i="22"/>
  <c r="T10" i="22"/>
  <c r="V10" i="22" s="1"/>
  <c r="Q10" i="22"/>
  <c r="T9" i="22"/>
  <c r="V9" i="22" s="1"/>
  <c r="Q9" i="22"/>
  <c r="T8" i="22"/>
  <c r="V8" i="22" s="1"/>
  <c r="Q8" i="22"/>
  <c r="T7" i="22"/>
  <c r="V7" i="22" s="1"/>
  <c r="Q7" i="22"/>
  <c r="T6" i="22"/>
  <c r="V6" i="22" s="1"/>
  <c r="Q6" i="22"/>
  <c r="T5" i="22"/>
  <c r="V5" i="22" s="1"/>
  <c r="Q5" i="22"/>
  <c r="T4" i="22"/>
  <c r="V4" i="22" s="1"/>
  <c r="Q4" i="22"/>
  <c r="T3" i="22"/>
  <c r="V3" i="22" s="1"/>
  <c r="Q3" i="22"/>
  <c r="T2" i="22"/>
  <c r="V2" i="22" s="1"/>
  <c r="Q2" i="22"/>
  <c r="T73" i="21" l="1"/>
  <c r="V73" i="21" s="1"/>
  <c r="Q73" i="21"/>
  <c r="T72" i="21"/>
  <c r="V72" i="21" s="1"/>
  <c r="Q72" i="21"/>
  <c r="T71" i="21"/>
  <c r="V71" i="21" s="1"/>
  <c r="Q71"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V82" i="20"/>
  <c r="T82" i="20"/>
  <c r="Q82" i="20"/>
  <c r="T81" i="20"/>
  <c r="V81" i="20" s="1"/>
  <c r="Q81" i="20"/>
  <c r="T80" i="20"/>
  <c r="V80" i="20" s="1"/>
  <c r="Q80" i="20"/>
  <c r="T79" i="20"/>
  <c r="V79" i="20" s="1"/>
  <c r="Q79" i="20"/>
  <c r="V78" i="20"/>
  <c r="T78" i="20"/>
  <c r="Q78" i="20"/>
  <c r="T77" i="20"/>
  <c r="V77" i="20" s="1"/>
  <c r="Q77" i="20"/>
  <c r="T76" i="20"/>
  <c r="V76" i="20" s="1"/>
  <c r="Q76" i="20"/>
  <c r="T75" i="20"/>
  <c r="V75" i="20" s="1"/>
  <c r="Q75" i="20"/>
  <c r="V74" i="20"/>
  <c r="T74" i="20"/>
  <c r="Q74" i="20"/>
  <c r="T73" i="20"/>
  <c r="V73" i="20" s="1"/>
  <c r="Q73" i="20"/>
  <c r="T72" i="20"/>
  <c r="V72" i="20" s="1"/>
  <c r="Q72" i="20"/>
  <c r="T71" i="20"/>
  <c r="V71" i="20" s="1"/>
  <c r="Q71" i="20"/>
  <c r="V70" i="20"/>
  <c r="T70" i="20"/>
  <c r="Q70" i="20"/>
  <c r="T69" i="20"/>
  <c r="V69" i="20" s="1"/>
  <c r="Q69" i="20"/>
  <c r="T68" i="20"/>
  <c r="V68" i="20" s="1"/>
  <c r="Q68" i="20"/>
  <c r="T67" i="20"/>
  <c r="V67" i="20" s="1"/>
  <c r="Q67" i="20"/>
  <c r="V66" i="20"/>
  <c r="T66" i="20"/>
  <c r="Q66" i="20"/>
  <c r="T65" i="20"/>
  <c r="V65" i="20" s="1"/>
  <c r="Q65" i="20"/>
  <c r="T64" i="20"/>
  <c r="V64" i="20" s="1"/>
  <c r="Q64" i="20"/>
  <c r="T63" i="20"/>
  <c r="V63" i="20" s="1"/>
  <c r="Q63" i="20"/>
  <c r="V62" i="20"/>
  <c r="T62" i="20"/>
  <c r="Q62" i="20"/>
  <c r="T61" i="20"/>
  <c r="V61" i="20" s="1"/>
  <c r="Q61" i="20"/>
  <c r="T60" i="20"/>
  <c r="V60" i="20" s="1"/>
  <c r="Q60" i="20"/>
  <c r="T59" i="20"/>
  <c r="V59" i="20" s="1"/>
  <c r="Q59" i="20"/>
  <c r="V58" i="20"/>
  <c r="T58" i="20"/>
  <c r="Q58" i="20"/>
  <c r="T57" i="20"/>
  <c r="V57" i="20" s="1"/>
  <c r="Q57" i="20"/>
  <c r="T56" i="20"/>
  <c r="V56" i="20" s="1"/>
  <c r="Q56" i="20"/>
  <c r="T55" i="20"/>
  <c r="V55" i="20" s="1"/>
  <c r="Q55" i="20"/>
  <c r="V54" i="20"/>
  <c r="T54" i="20"/>
  <c r="Q54" i="20"/>
  <c r="T53" i="20"/>
  <c r="V53" i="20" s="1"/>
  <c r="Q53" i="20"/>
  <c r="T52" i="20"/>
  <c r="V52" i="20" s="1"/>
  <c r="Q52" i="20"/>
  <c r="T51" i="20"/>
  <c r="V51" i="20" s="1"/>
  <c r="Q51" i="20"/>
  <c r="V50" i="20"/>
  <c r="T50" i="20"/>
  <c r="Q50" i="20"/>
  <c r="T49" i="20"/>
  <c r="V49" i="20" s="1"/>
  <c r="Q49" i="20"/>
  <c r="T48" i="20"/>
  <c r="V48" i="20" s="1"/>
  <c r="Q48" i="20"/>
  <c r="T47" i="20"/>
  <c r="V47" i="20" s="1"/>
  <c r="Q47" i="20"/>
  <c r="V46" i="20"/>
  <c r="T46" i="20"/>
  <c r="Q46" i="20"/>
  <c r="T45" i="20"/>
  <c r="V45" i="20" s="1"/>
  <c r="Q45" i="20"/>
  <c r="T44" i="20"/>
  <c r="V44" i="20" s="1"/>
  <c r="Q44" i="20"/>
  <c r="T43" i="20"/>
  <c r="V43" i="20" s="1"/>
  <c r="Q43" i="20"/>
  <c r="V42" i="20"/>
  <c r="T42" i="20"/>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57" i="18" l="1"/>
  <c r="T356" i="18"/>
  <c r="T355" i="18"/>
  <c r="T354" i="18"/>
  <c r="T353" i="18"/>
  <c r="T352" i="18"/>
  <c r="T351" i="18"/>
  <c r="T350" i="18"/>
  <c r="T349" i="18"/>
  <c r="T348" i="18"/>
  <c r="T347" i="18"/>
  <c r="T346" i="18"/>
  <c r="T345" i="18"/>
  <c r="T344" i="18"/>
  <c r="T343" i="18"/>
  <c r="T342" i="18"/>
  <c r="T341" i="18"/>
  <c r="T340" i="18"/>
  <c r="T339" i="18"/>
  <c r="T338" i="18"/>
  <c r="T337" i="18"/>
  <c r="V337" i="18" s="1"/>
  <c r="T336" i="18"/>
  <c r="V336" i="18" s="1"/>
  <c r="T335" i="18"/>
  <c r="V335" i="18" s="1"/>
  <c r="V334" i="18"/>
  <c r="T334" i="18"/>
  <c r="T333" i="18"/>
  <c r="V333" i="18" s="1"/>
  <c r="T332" i="18"/>
  <c r="V332" i="18" s="1"/>
  <c r="T331" i="18"/>
  <c r="V331" i="18" s="1"/>
  <c r="T330" i="18"/>
  <c r="V330" i="18" s="1"/>
  <c r="T329" i="18"/>
  <c r="V329" i="18" s="1"/>
  <c r="Q329" i="18"/>
  <c r="V328" i="18"/>
  <c r="T328" i="18"/>
  <c r="Q328" i="18"/>
  <c r="T327" i="18"/>
  <c r="V327" i="18" s="1"/>
  <c r="Q327" i="18"/>
  <c r="V326" i="18"/>
  <c r="T326" i="18"/>
  <c r="Q326" i="18"/>
  <c r="T325" i="18"/>
  <c r="V325" i="18" s="1"/>
  <c r="Q325" i="18"/>
  <c r="V324" i="18"/>
  <c r="T324" i="18"/>
  <c r="Q324" i="18"/>
  <c r="T323" i="18"/>
  <c r="V323" i="18" s="1"/>
  <c r="Q323" i="18"/>
  <c r="V322" i="18"/>
  <c r="T322" i="18"/>
  <c r="Q322" i="18"/>
  <c r="T321" i="18"/>
  <c r="V321" i="18" s="1"/>
  <c r="Q321" i="18"/>
  <c r="V320" i="18"/>
  <c r="T320" i="18"/>
  <c r="Q320" i="18"/>
  <c r="T319" i="18"/>
  <c r="V319" i="18" s="1"/>
  <c r="Q319" i="18"/>
  <c r="V318" i="18"/>
  <c r="T318" i="18"/>
  <c r="Q318" i="18"/>
  <c r="T317" i="18"/>
  <c r="V317" i="18" s="1"/>
  <c r="Q317" i="18"/>
  <c r="V316" i="18"/>
  <c r="T316" i="18"/>
  <c r="Q316" i="18"/>
  <c r="T315" i="18"/>
  <c r="V315" i="18" s="1"/>
  <c r="Q315" i="18"/>
  <c r="V314" i="18"/>
  <c r="T314" i="18"/>
  <c r="Q314" i="18"/>
  <c r="T313" i="18"/>
  <c r="V313" i="18" s="1"/>
  <c r="Q313" i="18"/>
  <c r="V312" i="18"/>
  <c r="T312" i="18"/>
  <c r="Q312" i="18"/>
  <c r="T311" i="18"/>
  <c r="V311" i="18" s="1"/>
  <c r="Q311" i="18"/>
  <c r="V310" i="18"/>
  <c r="T310" i="18"/>
  <c r="Q310" i="18"/>
  <c r="T309" i="18"/>
  <c r="V309" i="18" s="1"/>
  <c r="Q309" i="18"/>
  <c r="V308" i="18"/>
  <c r="T308" i="18"/>
  <c r="Q308" i="18"/>
  <c r="T307" i="18"/>
  <c r="V307" i="18" s="1"/>
  <c r="Q307" i="18"/>
  <c r="V306" i="18"/>
  <c r="T306" i="18"/>
  <c r="Q306" i="18"/>
  <c r="T305" i="18"/>
  <c r="V305" i="18" s="1"/>
  <c r="Q305" i="18"/>
  <c r="V304" i="18"/>
  <c r="T304" i="18"/>
  <c r="Q304" i="18"/>
  <c r="T303" i="18"/>
  <c r="V303" i="18" s="1"/>
  <c r="Q303" i="18"/>
  <c r="V302" i="18"/>
  <c r="T302" i="18"/>
  <c r="Q302" i="18"/>
  <c r="T301" i="18"/>
  <c r="V301" i="18" s="1"/>
  <c r="Q301" i="18"/>
  <c r="V300" i="18"/>
  <c r="T300" i="18"/>
  <c r="Q300" i="18"/>
  <c r="T299" i="18"/>
  <c r="V299" i="18" s="1"/>
  <c r="Q299" i="18"/>
  <c r="V298" i="18"/>
  <c r="T298" i="18"/>
  <c r="Q298" i="18"/>
  <c r="T297" i="18"/>
  <c r="V297" i="18" s="1"/>
  <c r="Q297" i="18"/>
  <c r="V296" i="18"/>
  <c r="T296" i="18"/>
  <c r="Q296" i="18"/>
  <c r="T295" i="18"/>
  <c r="V295" i="18" s="1"/>
  <c r="Q295" i="18"/>
  <c r="V294" i="18"/>
  <c r="T294" i="18"/>
  <c r="Q294" i="18"/>
  <c r="T293" i="18"/>
  <c r="V293" i="18" s="1"/>
  <c r="Q293" i="18"/>
  <c r="V292" i="18"/>
  <c r="T292" i="18"/>
  <c r="Q292" i="18"/>
  <c r="T291" i="18"/>
  <c r="V291" i="18" s="1"/>
  <c r="Q291" i="18"/>
  <c r="V290" i="18"/>
  <c r="T290" i="18"/>
  <c r="Q290" i="18"/>
  <c r="T289" i="18"/>
  <c r="V289" i="18" s="1"/>
  <c r="Q289" i="18"/>
  <c r="V288" i="18"/>
  <c r="T288" i="18"/>
  <c r="Q288" i="18"/>
  <c r="T287" i="18"/>
  <c r="V287" i="18" s="1"/>
  <c r="Q287" i="18"/>
  <c r="V286" i="18"/>
  <c r="T286" i="18"/>
  <c r="Q286" i="18"/>
  <c r="T285" i="18"/>
  <c r="V285" i="18" s="1"/>
  <c r="Q285" i="18"/>
  <c r="T284" i="18"/>
  <c r="V284" i="18" s="1"/>
  <c r="Q284" i="18"/>
  <c r="T283" i="18"/>
  <c r="V283" i="18" s="1"/>
  <c r="Q283" i="18"/>
  <c r="V282" i="18"/>
  <c r="T282" i="18"/>
  <c r="Q282" i="18"/>
  <c r="T281" i="18"/>
  <c r="V281" i="18" s="1"/>
  <c r="Q281" i="18"/>
  <c r="T280" i="18"/>
  <c r="V280" i="18" s="1"/>
  <c r="Q280" i="18"/>
  <c r="T279" i="18"/>
  <c r="V279" i="18" s="1"/>
  <c r="Q279" i="18"/>
  <c r="V278" i="18"/>
  <c r="T278" i="18"/>
  <c r="Q278" i="18"/>
  <c r="T277" i="18"/>
  <c r="V277" i="18" s="1"/>
  <c r="Q277" i="18"/>
  <c r="T276" i="18"/>
  <c r="V276" i="18" s="1"/>
  <c r="Q276" i="18"/>
  <c r="T275" i="18"/>
  <c r="V275" i="18" s="1"/>
  <c r="Q275" i="18"/>
  <c r="V274" i="18"/>
  <c r="T274" i="18"/>
  <c r="Q274" i="18"/>
  <c r="T273" i="18"/>
  <c r="V273" i="18" s="1"/>
  <c r="Q273" i="18"/>
  <c r="T272" i="18"/>
  <c r="V272" i="18" s="1"/>
  <c r="Q272" i="18"/>
  <c r="T271" i="18"/>
  <c r="V271" i="18" s="1"/>
  <c r="Q271" i="18"/>
  <c r="V270" i="18"/>
  <c r="T270" i="18"/>
  <c r="Q270" i="18"/>
  <c r="T269" i="18"/>
  <c r="V269" i="18" s="1"/>
  <c r="Q269" i="18"/>
  <c r="T268" i="18"/>
  <c r="V268" i="18" s="1"/>
  <c r="Q268" i="18"/>
  <c r="T267" i="18"/>
  <c r="V267" i="18" s="1"/>
  <c r="Q267" i="18"/>
  <c r="V266" i="18"/>
  <c r="T266" i="18"/>
  <c r="Q266" i="18"/>
  <c r="T265" i="18"/>
  <c r="V265" i="18" s="1"/>
  <c r="Q265" i="18"/>
  <c r="T264" i="18"/>
  <c r="V264" i="18" s="1"/>
  <c r="Q264" i="18"/>
  <c r="T263" i="18"/>
  <c r="V263" i="18" s="1"/>
  <c r="Q263" i="18"/>
  <c r="V262" i="18"/>
  <c r="T262" i="18"/>
  <c r="Q262" i="18"/>
  <c r="T261" i="18"/>
  <c r="V261" i="18" s="1"/>
  <c r="Q261" i="18"/>
  <c r="T260" i="18"/>
  <c r="V260" i="18" s="1"/>
  <c r="Q260" i="18"/>
  <c r="T259" i="18"/>
  <c r="V259" i="18" s="1"/>
  <c r="Q259" i="18"/>
  <c r="V258" i="18"/>
  <c r="T258" i="18"/>
  <c r="Q258" i="18"/>
  <c r="T257" i="18"/>
  <c r="V257" i="18" s="1"/>
  <c r="Q257" i="18"/>
  <c r="T256" i="18"/>
  <c r="V256" i="18" s="1"/>
  <c r="Q256" i="18"/>
  <c r="T255" i="18"/>
  <c r="V255" i="18" s="1"/>
  <c r="Q255" i="18"/>
  <c r="V254" i="18"/>
  <c r="T254" i="18"/>
  <c r="Q254" i="18"/>
  <c r="T253" i="18"/>
  <c r="V253" i="18" s="1"/>
  <c r="Q253" i="18"/>
  <c r="T252" i="18"/>
  <c r="V252" i="18" s="1"/>
  <c r="Q252" i="18"/>
  <c r="T251" i="18"/>
  <c r="V251" i="18" s="1"/>
  <c r="Q251" i="18"/>
  <c r="V250" i="18"/>
  <c r="T250" i="18"/>
  <c r="Q250" i="18"/>
  <c r="T249" i="18"/>
  <c r="V249" i="18" s="1"/>
  <c r="Q249" i="18"/>
  <c r="T248" i="18"/>
  <c r="V248" i="18" s="1"/>
  <c r="Q248" i="18"/>
  <c r="T247" i="18"/>
  <c r="V247" i="18" s="1"/>
  <c r="Q247" i="18"/>
  <c r="V246" i="18"/>
  <c r="T246" i="18"/>
  <c r="Q246" i="18"/>
  <c r="T245" i="18"/>
  <c r="V245" i="18" s="1"/>
  <c r="Q245" i="18"/>
  <c r="T244" i="18"/>
  <c r="V244" i="18" s="1"/>
  <c r="Q244" i="18"/>
  <c r="T243" i="18"/>
  <c r="V243" i="18" s="1"/>
  <c r="Q243" i="18"/>
  <c r="V242" i="18"/>
  <c r="T242" i="18"/>
  <c r="Q242" i="18"/>
  <c r="T241" i="18"/>
  <c r="V241" i="18" s="1"/>
  <c r="Q241" i="18"/>
  <c r="T240" i="18"/>
  <c r="V240" i="18" s="1"/>
  <c r="Q240" i="18"/>
  <c r="T239" i="18"/>
  <c r="V239" i="18" s="1"/>
  <c r="Q239" i="18"/>
  <c r="V238" i="18"/>
  <c r="T238" i="18"/>
  <c r="Q238" i="18"/>
  <c r="T237" i="18"/>
  <c r="V237" i="18" s="1"/>
  <c r="Q237" i="18"/>
  <c r="T236" i="18"/>
  <c r="V236" i="18" s="1"/>
  <c r="Q236" i="18"/>
  <c r="T235" i="18"/>
  <c r="V235" i="18" s="1"/>
  <c r="Q235" i="18"/>
  <c r="V234" i="18"/>
  <c r="T234" i="18"/>
  <c r="Q234" i="18"/>
  <c r="T233" i="18"/>
  <c r="V233" i="18" s="1"/>
  <c r="Q233" i="18"/>
  <c r="T232" i="18"/>
  <c r="V232" i="18" s="1"/>
  <c r="Q232" i="18"/>
  <c r="T231" i="18"/>
  <c r="V231" i="18" s="1"/>
  <c r="Q231" i="18"/>
  <c r="V230" i="18"/>
  <c r="T230" i="18"/>
  <c r="Q230" i="18"/>
  <c r="T229" i="18"/>
  <c r="V229" i="18" s="1"/>
  <c r="Q229" i="18"/>
  <c r="T228" i="18"/>
  <c r="V228" i="18" s="1"/>
  <c r="Q228" i="18"/>
  <c r="T227" i="18"/>
  <c r="V227" i="18" s="1"/>
  <c r="Q227" i="18"/>
  <c r="V226" i="18"/>
  <c r="T226" i="18"/>
  <c r="Q226" i="18"/>
  <c r="T225" i="18"/>
  <c r="V225" i="18" s="1"/>
  <c r="Q225" i="18"/>
  <c r="T224" i="18"/>
  <c r="V224" i="18" s="1"/>
  <c r="Q224" i="18"/>
  <c r="T223" i="18"/>
  <c r="V223" i="18" s="1"/>
  <c r="Q223" i="18"/>
  <c r="V222" i="18"/>
  <c r="T222" i="18"/>
  <c r="Q222" i="18"/>
  <c r="T221" i="18"/>
  <c r="V221" i="18" s="1"/>
  <c r="Q221" i="18"/>
  <c r="T220" i="18"/>
  <c r="V220" i="18" s="1"/>
  <c r="Q220" i="18"/>
  <c r="T219" i="18"/>
  <c r="V219" i="18" s="1"/>
  <c r="Q219" i="18"/>
  <c r="V218" i="18"/>
  <c r="T218" i="18"/>
  <c r="Q218" i="18"/>
  <c r="T217" i="18"/>
  <c r="V217" i="18" s="1"/>
  <c r="Q217" i="18"/>
  <c r="T216" i="18"/>
  <c r="V216" i="18" s="1"/>
  <c r="Q216" i="18"/>
  <c r="T215" i="18"/>
  <c r="V215" i="18" s="1"/>
  <c r="Q215" i="18"/>
  <c r="V214" i="18"/>
  <c r="T214" i="18"/>
  <c r="Q214" i="18"/>
  <c r="T213" i="18"/>
  <c r="V213" i="18" s="1"/>
  <c r="Q213" i="18"/>
  <c r="T212" i="18"/>
  <c r="V212" i="18" s="1"/>
  <c r="Q212" i="18"/>
  <c r="T211" i="18"/>
  <c r="V211" i="18" s="1"/>
  <c r="Q211" i="18"/>
  <c r="V210" i="18"/>
  <c r="T210" i="18"/>
  <c r="Q210" i="18"/>
  <c r="T209" i="18"/>
  <c r="V209" i="18" s="1"/>
  <c r="Q209" i="18"/>
  <c r="T208" i="18"/>
  <c r="V208" i="18" s="1"/>
  <c r="Q208" i="18"/>
  <c r="T207" i="18"/>
  <c r="V207" i="18" s="1"/>
  <c r="Q207" i="18"/>
  <c r="V206" i="18"/>
  <c r="T206" i="18"/>
  <c r="Q206" i="18"/>
  <c r="T205" i="18"/>
  <c r="V205" i="18" s="1"/>
  <c r="Q205" i="18"/>
  <c r="T204" i="18"/>
  <c r="V204" i="18" s="1"/>
  <c r="Q204" i="18"/>
  <c r="T203" i="18"/>
  <c r="V203" i="18" s="1"/>
  <c r="Q203" i="18"/>
  <c r="V202" i="18"/>
  <c r="T202" i="18"/>
  <c r="Q202" i="18"/>
  <c r="T201" i="18"/>
  <c r="V201" i="18" s="1"/>
  <c r="Q201" i="18"/>
  <c r="T200" i="18"/>
  <c r="V200" i="18" s="1"/>
  <c r="Q200" i="18"/>
  <c r="T199" i="18"/>
  <c r="V199" i="18" s="1"/>
  <c r="Q199" i="18"/>
  <c r="V198" i="18"/>
  <c r="T198" i="18"/>
  <c r="Q198" i="18"/>
  <c r="T197" i="18"/>
  <c r="V197" i="18" s="1"/>
  <c r="Q197" i="18"/>
  <c r="T196" i="18"/>
  <c r="V196" i="18" s="1"/>
  <c r="Q196" i="18"/>
  <c r="T195" i="18"/>
  <c r="V195" i="18" s="1"/>
  <c r="Q195" i="18"/>
  <c r="V194" i="18"/>
  <c r="T194" i="18"/>
  <c r="Q194" i="18"/>
  <c r="T193" i="18"/>
  <c r="V193" i="18" s="1"/>
  <c r="Q193" i="18"/>
  <c r="T192" i="18"/>
  <c r="V192" i="18" s="1"/>
  <c r="Q192" i="18"/>
  <c r="T191" i="18"/>
  <c r="V191" i="18" s="1"/>
  <c r="Q191" i="18"/>
  <c r="V190" i="18"/>
  <c r="T190" i="18"/>
  <c r="Q190" i="18"/>
  <c r="T189" i="18"/>
  <c r="V189" i="18" s="1"/>
  <c r="Q189" i="18"/>
  <c r="T188" i="18"/>
  <c r="V188" i="18" s="1"/>
  <c r="Q188" i="18"/>
  <c r="T187" i="18"/>
  <c r="V187" i="18" s="1"/>
  <c r="Q187" i="18"/>
  <c r="V186" i="18"/>
  <c r="T186" i="18"/>
  <c r="Q186" i="18"/>
  <c r="T185" i="18"/>
  <c r="V185" i="18" s="1"/>
  <c r="Q185" i="18"/>
  <c r="T184" i="18"/>
  <c r="V184" i="18" s="1"/>
  <c r="Q184" i="18"/>
  <c r="T183" i="18"/>
  <c r="V183" i="18" s="1"/>
  <c r="Q183" i="18"/>
  <c r="V182" i="18"/>
  <c r="T182" i="18"/>
  <c r="Q182" i="18"/>
  <c r="T181" i="18"/>
  <c r="V181" i="18" s="1"/>
  <c r="Q181" i="18"/>
  <c r="T180" i="18"/>
  <c r="V180" i="18" s="1"/>
  <c r="Q180" i="18"/>
  <c r="T179" i="18"/>
  <c r="V179" i="18" s="1"/>
  <c r="Q179" i="18"/>
  <c r="V178" i="18"/>
  <c r="T178" i="18"/>
  <c r="Q178" i="18"/>
  <c r="T177" i="18"/>
  <c r="V177" i="18" s="1"/>
  <c r="Q177" i="18"/>
  <c r="T176" i="18"/>
  <c r="V176" i="18" s="1"/>
  <c r="Q176" i="18"/>
  <c r="T175" i="18"/>
  <c r="V175" i="18" s="1"/>
  <c r="Q175" i="18"/>
  <c r="V174" i="18"/>
  <c r="T174" i="18"/>
  <c r="Q174" i="18"/>
  <c r="T173" i="18"/>
  <c r="V173" i="18" s="1"/>
  <c r="Q173" i="18"/>
  <c r="T172" i="18"/>
  <c r="V172" i="18" s="1"/>
  <c r="Q172" i="18"/>
  <c r="T171" i="18"/>
  <c r="V171" i="18" s="1"/>
  <c r="Q171" i="18"/>
  <c r="V170" i="18"/>
  <c r="T170" i="18"/>
  <c r="Q170" i="18"/>
  <c r="T169" i="18"/>
  <c r="V169" i="18" s="1"/>
  <c r="Q169" i="18"/>
  <c r="T168" i="18"/>
  <c r="V168" i="18" s="1"/>
  <c r="Q168" i="18"/>
  <c r="T167" i="18"/>
  <c r="V167" i="18" s="1"/>
  <c r="Q167" i="18"/>
  <c r="V166" i="18"/>
  <c r="T166" i="18"/>
  <c r="Q166" i="18"/>
  <c r="T165" i="18"/>
  <c r="V165" i="18" s="1"/>
  <c r="Q165" i="18"/>
  <c r="T164" i="18"/>
  <c r="V164" i="18" s="1"/>
  <c r="Q164" i="18"/>
  <c r="T163" i="18"/>
  <c r="V163" i="18" s="1"/>
  <c r="Q163" i="18"/>
  <c r="V162" i="18"/>
  <c r="T162" i="18"/>
  <c r="Q162" i="18"/>
  <c r="T161" i="18"/>
  <c r="V161" i="18" s="1"/>
  <c r="Q161" i="18"/>
  <c r="T160" i="18"/>
  <c r="V160" i="18" s="1"/>
  <c r="Q160" i="18"/>
  <c r="T159" i="18"/>
  <c r="V159" i="18" s="1"/>
  <c r="Q159" i="18"/>
  <c r="V158" i="18"/>
  <c r="T158" i="18"/>
  <c r="Q158" i="18"/>
  <c r="T157" i="18"/>
  <c r="V157" i="18" s="1"/>
  <c r="Q157" i="18"/>
  <c r="T156" i="18"/>
  <c r="V156" i="18" s="1"/>
  <c r="Q156" i="18"/>
  <c r="T155" i="18"/>
  <c r="V155" i="18" s="1"/>
  <c r="Q155" i="18"/>
  <c r="V154" i="18"/>
  <c r="T154" i="18"/>
  <c r="Q154" i="18"/>
  <c r="T153" i="18"/>
  <c r="V153" i="18" s="1"/>
  <c r="Q153" i="18"/>
  <c r="T152" i="18"/>
  <c r="V152" i="18" s="1"/>
  <c r="Q152" i="18"/>
  <c r="T151" i="18"/>
  <c r="V151" i="18" s="1"/>
  <c r="Q151" i="18"/>
  <c r="V150" i="18"/>
  <c r="T150" i="18"/>
  <c r="Q150" i="18"/>
  <c r="T149" i="18"/>
  <c r="V149" i="18" s="1"/>
  <c r="Q149" i="18"/>
  <c r="T148" i="18"/>
  <c r="V148" i="18" s="1"/>
  <c r="Q148" i="18"/>
  <c r="T147" i="18"/>
  <c r="V147" i="18" s="1"/>
  <c r="Q147" i="18"/>
  <c r="V146" i="18"/>
  <c r="T146" i="18"/>
  <c r="Q146" i="18"/>
  <c r="T145" i="18"/>
  <c r="V145" i="18" s="1"/>
  <c r="Q145" i="18"/>
  <c r="T144" i="18"/>
  <c r="V144" i="18" s="1"/>
  <c r="Q144" i="18"/>
  <c r="T143" i="18"/>
  <c r="V143" i="18" s="1"/>
  <c r="Q143" i="18"/>
  <c r="V142" i="18"/>
  <c r="T142" i="18"/>
  <c r="Q142" i="18"/>
  <c r="T141" i="18"/>
  <c r="V141" i="18" s="1"/>
  <c r="Q141" i="18"/>
  <c r="T140" i="18"/>
  <c r="V140" i="18" s="1"/>
  <c r="Q140" i="18"/>
  <c r="T139" i="18"/>
  <c r="V139" i="18" s="1"/>
  <c r="Q139" i="18"/>
  <c r="V138" i="18"/>
  <c r="T138" i="18"/>
  <c r="Q138" i="18"/>
  <c r="T137" i="18"/>
  <c r="V137" i="18" s="1"/>
  <c r="Q137" i="18"/>
  <c r="T136" i="18"/>
  <c r="V136" i="18" s="1"/>
  <c r="Q136" i="18"/>
  <c r="T135" i="18"/>
  <c r="V135" i="18" s="1"/>
  <c r="Q135" i="18"/>
  <c r="V134" i="18"/>
  <c r="T134" i="18"/>
  <c r="Q134" i="18"/>
  <c r="T133" i="18"/>
  <c r="V133" i="18" s="1"/>
  <c r="Q133" i="18"/>
  <c r="T132" i="18"/>
  <c r="V132" i="18" s="1"/>
  <c r="Q132" i="18"/>
  <c r="T131" i="18"/>
  <c r="V131" i="18" s="1"/>
  <c r="Q131" i="18"/>
  <c r="V130" i="18"/>
  <c r="T130" i="18"/>
  <c r="Q130" i="18"/>
  <c r="T129" i="18"/>
  <c r="V129" i="18" s="1"/>
  <c r="Q129" i="18"/>
  <c r="T128" i="18"/>
  <c r="V128" i="18" s="1"/>
  <c r="Q128"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T96" i="18"/>
  <c r="V96" i="18" s="1"/>
  <c r="Q96" i="18"/>
  <c r="T95" i="18"/>
  <c r="V95" i="18" s="1"/>
  <c r="Q95" i="18"/>
  <c r="T94" i="18"/>
  <c r="Q94" i="18"/>
  <c r="T93" i="18"/>
  <c r="Q93" i="18"/>
  <c r="V92" i="18"/>
  <c r="T92" i="18"/>
  <c r="Q92" i="18"/>
  <c r="T91" i="18"/>
  <c r="Q91" i="18"/>
  <c r="T90" i="18"/>
  <c r="Q90" i="18"/>
  <c r="T89" i="18"/>
  <c r="Q89" i="18"/>
  <c r="T88" i="18"/>
  <c r="Q88" i="18"/>
  <c r="T87" i="18"/>
  <c r="Q87" i="18"/>
  <c r="T86" i="18"/>
  <c r="Q86" i="18"/>
  <c r="T85" i="18"/>
  <c r="Q85" i="18"/>
  <c r="T84" i="18"/>
  <c r="Q84" i="18"/>
  <c r="T83" i="18"/>
  <c r="Q83" i="18"/>
  <c r="V82" i="18"/>
  <c r="T82" i="18"/>
  <c r="Q82" i="18"/>
  <c r="V81" i="18"/>
  <c r="T81" i="18"/>
  <c r="Q81" i="18"/>
  <c r="V80" i="18"/>
  <c r="T80" i="18"/>
  <c r="Q80" i="18"/>
  <c r="T79" i="18"/>
  <c r="V79" i="18" s="1"/>
  <c r="Q79" i="18"/>
  <c r="V78" i="18"/>
  <c r="T78" i="18"/>
  <c r="Q78" i="18"/>
  <c r="V77" i="18"/>
  <c r="T77" i="18"/>
  <c r="Q77" i="18"/>
  <c r="V76" i="18"/>
  <c r="T76" i="18"/>
  <c r="Q76" i="18"/>
  <c r="T75" i="18"/>
  <c r="V75" i="18" s="1"/>
  <c r="Q75" i="18"/>
  <c r="V74" i="18"/>
  <c r="T74" i="18"/>
  <c r="Q74" i="18"/>
  <c r="V73" i="18"/>
  <c r="T73" i="18"/>
  <c r="Q73" i="18"/>
  <c r="V72" i="18"/>
  <c r="T72" i="18"/>
  <c r="Q72" i="18"/>
  <c r="T71" i="18"/>
  <c r="V71" i="18" s="1"/>
  <c r="Q71" i="18"/>
  <c r="V70" i="18"/>
  <c r="T70" i="18"/>
  <c r="Q70" i="18"/>
  <c r="V69" i="18"/>
  <c r="T69" i="18"/>
  <c r="Q69" i="18"/>
  <c r="V68" i="18"/>
  <c r="T68" i="18"/>
  <c r="Q68" i="18"/>
  <c r="T67" i="18"/>
  <c r="V67" i="18" s="1"/>
  <c r="Q67" i="18"/>
  <c r="V66" i="18"/>
  <c r="T66" i="18"/>
  <c r="Q66" i="18"/>
  <c r="V65" i="18"/>
  <c r="T65" i="18"/>
  <c r="Q65" i="18"/>
  <c r="V64" i="18"/>
  <c r="T64" i="18"/>
  <c r="Q64" i="18"/>
  <c r="T63" i="18"/>
  <c r="V63" i="18" s="1"/>
  <c r="Q63" i="18"/>
  <c r="V62" i="18"/>
  <c r="T62" i="18"/>
  <c r="Q62" i="18"/>
  <c r="V61" i="18"/>
  <c r="T61" i="18"/>
  <c r="Q61" i="18"/>
  <c r="V60" i="18"/>
  <c r="T60" i="18"/>
  <c r="Q60" i="18"/>
  <c r="T59" i="18"/>
  <c r="V59" i="18" s="1"/>
  <c r="Q59" i="18"/>
  <c r="V58" i="18"/>
  <c r="T58" i="18"/>
  <c r="Q58" i="18"/>
  <c r="T57" i="18"/>
  <c r="V57" i="18" s="1"/>
  <c r="Q57" i="18"/>
  <c r="V56" i="18"/>
  <c r="T56" i="18"/>
  <c r="Q56" i="18"/>
  <c r="T55" i="18"/>
  <c r="V55" i="18" s="1"/>
  <c r="Q55" i="18"/>
  <c r="V54" i="18"/>
  <c r="T54" i="18"/>
  <c r="Q54" i="18"/>
  <c r="T53" i="18"/>
  <c r="V53" i="18" s="1"/>
  <c r="Q53" i="18"/>
  <c r="V52" i="18"/>
  <c r="T52" i="18"/>
  <c r="Q52" i="18"/>
  <c r="T51" i="18"/>
  <c r="V51" i="18" s="1"/>
  <c r="Q51" i="18"/>
  <c r="V50" i="18"/>
  <c r="T50" i="18"/>
  <c r="Q50" i="18"/>
  <c r="T49" i="18"/>
  <c r="V49" i="18" s="1"/>
  <c r="Q49" i="18"/>
  <c r="T48" i="18"/>
  <c r="V48" i="18" s="1"/>
  <c r="Q48" i="18"/>
  <c r="T47" i="18"/>
  <c r="V47" i="18" s="1"/>
  <c r="Q47" i="18"/>
  <c r="V46" i="18"/>
  <c r="T46" i="18"/>
  <c r="Q46" i="18"/>
  <c r="T45" i="18"/>
  <c r="V45" i="18" s="1"/>
  <c r="Q45" i="18"/>
  <c r="T44" i="18"/>
  <c r="V44" i="18" s="1"/>
  <c r="Q44" i="18"/>
  <c r="T43" i="18"/>
  <c r="V43" i="18" s="1"/>
  <c r="Q43" i="18"/>
  <c r="V42" i="18"/>
  <c r="T42" i="18"/>
  <c r="Q42" i="18"/>
  <c r="T41" i="18"/>
  <c r="V41" i="18" s="1"/>
  <c r="Q41" i="18"/>
  <c r="T40" i="18"/>
  <c r="V40" i="18" s="1"/>
  <c r="Q40" i="18"/>
  <c r="T39" i="18"/>
  <c r="V39" i="18" s="1"/>
  <c r="Q39" i="18"/>
  <c r="V38" i="18"/>
  <c r="T38" i="18"/>
  <c r="Q38" i="18"/>
  <c r="T37" i="18"/>
  <c r="V37" i="18" s="1"/>
  <c r="Q37" i="18"/>
  <c r="T36" i="18"/>
  <c r="V36" i="18" s="1"/>
  <c r="Q36" i="18"/>
  <c r="T35" i="18"/>
  <c r="V35" i="18" s="1"/>
  <c r="Q35" i="18"/>
  <c r="V34" i="18"/>
  <c r="T34" i="18"/>
  <c r="Q34" i="18"/>
  <c r="T33" i="18"/>
  <c r="V33" i="18" s="1"/>
  <c r="Q33" i="18"/>
  <c r="T32" i="18"/>
  <c r="V32" i="18" s="1"/>
  <c r="Q32" i="18"/>
  <c r="T31" i="18"/>
  <c r="V31" i="18" s="1"/>
  <c r="Q31" i="18"/>
  <c r="V30" i="18"/>
  <c r="T30" i="18"/>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<sst xmlns="http://schemas.openxmlformats.org/spreadsheetml/2006/main" count="8905" uniqueCount="346">
  <si>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</si>
  <si>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</si>
  <si>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</si>
  <si>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</si>
  <si>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</si>
  <si>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</si>
  <si>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</si>
  <si>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</si>
  <si>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</si>
  <si>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</si>
  <si>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</si>
  <si>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</si>
  <si>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</si>
  <si>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</si>
  <si>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</si>
  <si>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</si>
  <si>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</si>
  <si>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</si>
  <si>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</si>
  <si>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</si>
  <si>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</si>
  <si>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</si>
  <si>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</si>
  <si>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</si>
  <si>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</si>
  <si>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</si>
  <si>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</si>
  <si>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</si>
  <si>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</si>
  <si>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</si>
  <si>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</si>
  <si>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</si>
  <si>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</si>
  <si>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</si>
  <si>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</si>
  <si>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</si>
  <si>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</si>
  <si>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</si>
  <si>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</si>
  <si>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</si>
  <si>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</si>
  <si>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</si>
  <si>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</si>
  <si>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</si>
  <si>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</si>
  <si>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</si>
  <si>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</si>
  <si>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</si>
  <si>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</si>
  <si>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</si>
  <si>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</si>
  <si>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</si>
  <si>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</si>
  <si>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</si>
  <si>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</si>
  <si>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</si>
  <si>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</si>
  <si>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</si>
  <si>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</si>
  <si>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</si>
  <si>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</si>
  <si>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</si>
  <si>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</si>
  <si>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</si>
  <si>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</si>
  <si>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</si>
  <si>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</si>
  <si>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</si>
  <si>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</si>
  <si>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</si>
  <si>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</si>
  <si>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</si>
  <si>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</si>
  <si>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</si>
  <si>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</si>
  <si>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</si>
  <si>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</si>
  <si>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</si>
  <si>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</si>
  <si>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</si>
  <si>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</si>
  <si>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</si>
  <si>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</si>
  <si>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</si>
  <si>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</si>
  <si>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</si>
  <si>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</si>
  <si>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</si>
  <si>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</si>
  <si>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</si>
  <si>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</si>
  <si>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</si>
  <si>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</si>
  <si>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</si>
  <si>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</si>
  <si>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</si>
  <si>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</si>
  <si>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</si>
  <si>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</si>
  <si>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</si>
  <si>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</si>
  <si>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</si>
  <si>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</si>
  <si>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</si>
  <si>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</si>
  <si>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</si>
  <si>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</si>
  <si>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</si>
  <si>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</si>
  <si>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</si>
  <si>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</si>
  <si>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</si>
  <si>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</si>
  <si>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</si>
  <si>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</si>
  <si>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</si>
  <si>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</si>
  <si>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</si>
  <si>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</si>
  <si>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</si>
  <si>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</si>
  <si>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</si>
  <si>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</si>
  <si>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</si>
  <si>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</si>
  <si>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</si>
  <si>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</si>
  <si>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</si>
  <si>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</si>
  <si>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</si>
  <si>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</si>
  <si>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</si>
  <si>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</si>
  <si>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</si>
  <si>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</si>
  <si>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</si>
  <si>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</si>
  <si>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</si>
  <si>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</si>
  <si>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</si>
  <si>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</si>
  <si>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</si>
  <si>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</si>
  <si>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</si>
  <si>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</si>
  <si>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</si>
  <si>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</si>
  <si>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</si>
  <si>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</si>
  <si>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</si>
  <si>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</si>
  <si>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</si>
  <si>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</si>
  <si>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</si>
  <si>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</si>
  <si>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</si>
  <si>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</si>
  <si>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</si>
  <si>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</si>
  <si>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</si>
  <si>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</si>
  <si>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</si>
  <si>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</si>
  <si>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</si>
  <si>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</si>
  <si>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13.08.2019</t>
  </si>
  <si>
    <t>13.08.2019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</si>
  <si>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</si>
  <si>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</si>
  <si>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</si>
  <si>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</si>
  <si>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</si>
  <si>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</si>
  <si>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</si>
  <si>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</si>
  <si>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</si>
  <si>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</si>
  <si>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</si>
  <si>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</si>
  <si>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</si>
  <si>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</si>
  <si>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</si>
  <si>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</si>
  <si>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13.08.2019</t>
    <phoneticPr fontId="16"/>
  </si>
  <si>
    <t>利府店</t>
  </si>
  <si>
    <t>その他グリーン</t>
  </si>
  <si>
    <t>みやぎ生協</t>
  </si>
  <si>
    <t>その他ゴールド</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</si>
  <si>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</si>
  <si>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</si>
  <si>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</si>
  <si>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</si>
  <si>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</si>
  <si>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</si>
  <si>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</si>
  <si>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</si>
  <si>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</si>
  <si>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</si>
  <si>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</si>
  <si>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</si>
  <si>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</si>
  <si>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</si>
  <si>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</si>
  <si>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</si>
  <si>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</si>
  <si>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</si>
  <si>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</si>
  <si>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</si>
  <si>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</si>
  <si>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</si>
  <si>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</si>
  <si>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</si>
  <si>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</si>
  <si>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</si>
  <si>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</si>
  <si>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</si>
  <si>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</si>
  <si>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</si>
  <si>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</si>
  <si>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</si>
  <si>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</si>
  <si>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</si>
  <si>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</si>
  <si>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</si>
  <si>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</si>
  <si>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</si>
  <si>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</si>
  <si>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</si>
  <si>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</si>
  <si>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</si>
  <si>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</si>
  <si>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</si>
  <si>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</si>
  <si>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17.08.2019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</si>
  <si>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</si>
  <si>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</si>
  <si>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</si>
  <si>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</si>
  <si>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</si>
  <si>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</si>
  <si>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</si>
  <si>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</si>
  <si>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</si>
  <si>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</si>
  <si>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</si>
  <si>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</si>
  <si>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</si>
  <si>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</si>
  <si>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</si>
  <si>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</si>
  <si>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</si>
  <si>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</si>
  <si>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</si>
  <si>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</si>
  <si>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</si>
  <si>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</si>
  <si>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</si>
  <si>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</si>
  <si>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</si>
  <si>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</si>
  <si>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</si>
  <si>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16.08.2019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</si>
  <si>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</si>
  <si>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</si>
  <si>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</si>
  <si>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</si>
  <si>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</si>
  <si>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</si>
  <si>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</si>
  <si>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</si>
  <si>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</si>
  <si>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</si>
  <si>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</si>
  <si>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</si>
  <si>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</si>
  <si>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</si>
  <si>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</si>
  <si>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</si>
  <si>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</si>
  <si>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</si>
  <si>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</si>
  <si>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</si>
  <si>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</si>
  <si>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16.08.2019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</si>
  <si>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</si>
  <si>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</si>
  <si>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</si>
  <si>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</si>
  <si>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</si>
  <si>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</si>
  <si>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</si>
  <si>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</si>
  <si>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</si>
  <si>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</si>
  <si>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</si>
  <si>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</si>
  <si>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</si>
  <si>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</si>
  <si>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</si>
  <si>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</si>
  <si>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</si>
  <si>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</si>
  <si>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</si>
  <si>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</si>
  <si>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</si>
  <si>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</si>
  <si>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</si>
  <si>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</si>
  <si>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</si>
  <si>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</si>
  <si>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</si>
  <si>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桃</t>
    <phoneticPr fontId="3"/>
  </si>
  <si>
    <t>店舗名</t>
    <phoneticPr fontId="3"/>
  </si>
  <si>
    <t>15.08.2019</t>
    <phoneticPr fontId="3"/>
  </si>
  <si>
    <t>サミット</t>
  </si>
  <si>
    <t>久が原食品館</t>
  </si>
  <si>
    <t>15.08.2019</t>
  </si>
  <si>
    <t>東急ストア</t>
  </si>
  <si>
    <t>蒲田</t>
  </si>
  <si>
    <t>マルエツ</t>
  </si>
  <si>
    <t>大森西</t>
  </si>
  <si>
    <t>大森</t>
  </si>
  <si>
    <t>カドヤ</t>
  </si>
  <si>
    <t>大井町</t>
  </si>
  <si>
    <t>HW</t>
    <phoneticPr fontId="3"/>
  </si>
  <si>
    <t>品川シーサイド</t>
  </si>
  <si>
    <t>大崎ニューシティ</t>
  </si>
  <si>
    <t>U/P JPY</t>
    <phoneticPr fontId="4"/>
  </si>
  <si>
    <t>２番人気
果実</t>
    <phoneticPr fontId="3"/>
  </si>
  <si>
    <t>マックスバリュエクスプレス</t>
  </si>
  <si>
    <t>松島店</t>
    <rPh sb="1" eb="2">
      <t>シマ</t>
    </rPh>
    <phoneticPr fontId="3"/>
  </si>
  <si>
    <t>松江店</t>
  </si>
  <si>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</si>
  <si>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</si>
  <si>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</si>
  <si>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</si>
  <si>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</si>
  <si>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</si>
  <si>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</si>
  <si>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</si>
  <si>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</si>
  <si>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</si>
  <si>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</si>
  <si>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ビッグ・エー</t>
  </si>
  <si>
    <t>江戸川本一色店</t>
  </si>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</sst>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75">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9"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82A8C68A-A03B-4A59-9E95-0D162DB6B5B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N38" sqref="N38"/>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0.9</v>
      </c>
      <c r="P2" s="15">
        <v>0.8</v>
      </c>
      <c r="Q2" s="51">
        <f t="shared" ref="Q2:Q65" si="0">IF(OR(O2="",P2=""),"",AVERAGE(O2,P2))</f>
        <v>0.85000000000000009</v>
      </c>
      <c r="R2" s="15">
        <v>15.4</v>
      </c>
      <c r="S2" s="15">
        <v>127</v>
      </c>
      <c r="T2" s="38">
        <f t="shared" ref="T2:T59" si="1">IF(H2="","",IF(OR(H2="GREEN",H2="GK"),IF(S2&gt;=$AX$2,VLOOKUP(S2,$AX$2:$AY$12,2,1),""),IF(S2&gt;=$AZ$2,VLOOKUP(S2,$AZ$2:$BA$12,2,1),"")))</f>
        <v>27</v>
      </c>
      <c r="U2" s="15">
        <v>105</v>
      </c>
      <c r="V2" s="38">
        <f t="shared" ref="V2:V65" si="2">IF(OR(N2="",U2="",T2=""),"",U2/N2*T2)</f>
        <v>2835</v>
      </c>
      <c r="W2" s="15">
        <v>4</v>
      </c>
      <c r="X2" s="15" t="s">
        <v>46</v>
      </c>
      <c r="Y2" s="15" t="s">
        <v>88</v>
      </c>
      <c r="Z2" s="15" t="s">
        <v>78</v>
      </c>
      <c r="AA2" s="15" t="s">
        <v>97</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0.85</v>
      </c>
      <c r="P3" s="7">
        <v>0.8</v>
      </c>
      <c r="Q3" s="52">
        <f t="shared" si="0"/>
        <v>0.82499999999999996</v>
      </c>
      <c r="R3" s="7">
        <v>14</v>
      </c>
      <c r="S3" s="7">
        <v>128</v>
      </c>
      <c r="T3" s="16">
        <f t="shared" si="1"/>
        <v>27</v>
      </c>
      <c r="U3" s="15">
        <v>105</v>
      </c>
      <c r="V3" s="16">
        <f t="shared" si="2"/>
        <v>2835</v>
      </c>
      <c r="W3" s="15">
        <v>4</v>
      </c>
      <c r="X3" s="15" t="s">
        <v>46</v>
      </c>
      <c r="Y3" s="15" t="s">
        <v>88</v>
      </c>
      <c r="Z3" s="15" t="s">
        <v>78</v>
      </c>
      <c r="AA3" s="15" t="s">
        <v>97</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0.65</v>
      </c>
      <c r="P4" s="7">
        <v>0.8</v>
      </c>
      <c r="Q4" s="52">
        <f t="shared" si="0"/>
        <v>0.72500000000000009</v>
      </c>
      <c r="R4" s="7">
        <v>14.6</v>
      </c>
      <c r="S4" s="7">
        <v>130</v>
      </c>
      <c r="T4" s="16">
        <f t="shared" si="1"/>
        <v>25</v>
      </c>
      <c r="U4" s="15">
        <v>105</v>
      </c>
      <c r="V4" s="16">
        <f t="shared" si="2"/>
        <v>2625</v>
      </c>
      <c r="W4" s="15">
        <v>4</v>
      </c>
      <c r="X4" s="15" t="s">
        <v>46</v>
      </c>
      <c r="Y4" s="54" t="s">
        <v>88</v>
      </c>
      <c r="Z4" s="54" t="s">
        <v>78</v>
      </c>
      <c r="AA4" s="54" t="s">
        <v>97</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54" t="s">
        <v>160</v>
      </c>
      <c r="I5" s="7" t="s">
        <v>159</v>
      </c>
      <c r="J5" s="15" t="s">
        <v>38</v>
      </c>
      <c r="K5" s="7" t="s">
        <v>161</v>
      </c>
      <c r="L5" s="7">
        <v>1</v>
      </c>
      <c r="N5" s="53">
        <v>1</v>
      </c>
      <c r="O5" s="7">
        <v>0.5</v>
      </c>
      <c r="P5" s="7">
        <v>0.5</v>
      </c>
      <c r="Q5" s="52">
        <f t="shared" si="0"/>
        <v>0.5</v>
      </c>
      <c r="R5" s="7">
        <v>18.5</v>
      </c>
      <c r="S5" s="7">
        <v>134</v>
      </c>
      <c r="T5" s="16">
        <f t="shared" si="1"/>
        <v>25</v>
      </c>
      <c r="U5" s="15">
        <v>135</v>
      </c>
      <c r="V5" s="16">
        <f t="shared" si="2"/>
        <v>3375</v>
      </c>
      <c r="W5" s="15">
        <v>6</v>
      </c>
      <c r="X5" s="15" t="s">
        <v>46</v>
      </c>
      <c r="Y5" s="54" t="s">
        <v>88</v>
      </c>
      <c r="Z5" s="54" t="s">
        <v>78</v>
      </c>
      <c r="AA5" s="54" t="s">
        <v>97</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53" t="s">
        <v>159</v>
      </c>
      <c r="J6" s="15" t="s">
        <v>38</v>
      </c>
      <c r="K6" s="7" t="s">
        <v>161</v>
      </c>
      <c r="L6" s="7">
        <v>2</v>
      </c>
      <c r="N6" s="53">
        <v>1</v>
      </c>
      <c r="O6" s="7">
        <v>0.5</v>
      </c>
      <c r="P6" s="7">
        <v>0.5</v>
      </c>
      <c r="Q6" s="52">
        <f t="shared" si="0"/>
        <v>0.5</v>
      </c>
      <c r="R6" s="7">
        <v>18.7</v>
      </c>
      <c r="S6" s="7">
        <v>133</v>
      </c>
      <c r="T6" s="16">
        <f t="shared" si="1"/>
        <v>25</v>
      </c>
      <c r="U6" s="15">
        <v>135</v>
      </c>
      <c r="V6" s="16">
        <f t="shared" si="2"/>
        <v>3375</v>
      </c>
      <c r="W6" s="15">
        <v>6</v>
      </c>
      <c r="X6" s="15" t="s">
        <v>46</v>
      </c>
      <c r="Y6" s="54" t="s">
        <v>88</v>
      </c>
      <c r="Z6" s="54" t="s">
        <v>78</v>
      </c>
      <c r="AA6" s="54" t="s">
        <v>97</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53" t="s">
        <v>159</v>
      </c>
      <c r="J7" s="15" t="s">
        <v>38</v>
      </c>
      <c r="K7" s="7" t="s">
        <v>161</v>
      </c>
      <c r="L7" s="7">
        <v>3</v>
      </c>
      <c r="N7" s="53">
        <v>1</v>
      </c>
      <c r="O7" s="7">
        <v>0.5</v>
      </c>
      <c r="P7" s="7">
        <v>0.5</v>
      </c>
      <c r="Q7" s="52">
        <f t="shared" si="0"/>
        <v>0.5</v>
      </c>
      <c r="R7" s="34">
        <v>15.3</v>
      </c>
      <c r="S7" s="7">
        <v>138</v>
      </c>
      <c r="T7" s="16">
        <f t="shared" si="1"/>
        <v>22</v>
      </c>
      <c r="U7" s="15">
        <v>135</v>
      </c>
      <c r="V7" s="16">
        <f t="shared" si="2"/>
        <v>2970</v>
      </c>
      <c r="W7" s="15">
        <v>6</v>
      </c>
      <c r="X7" s="15" t="s">
        <v>46</v>
      </c>
      <c r="Y7" s="54" t="s">
        <v>88</v>
      </c>
      <c r="Z7" s="54" t="s">
        <v>78</v>
      </c>
      <c r="AA7" s="54" t="s">
        <v>97</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53">
        <v>1</v>
      </c>
      <c r="O8" s="7">
        <v>0.5</v>
      </c>
      <c r="P8" s="7">
        <v>0.5</v>
      </c>
      <c r="Q8" s="52">
        <f t="shared" si="0"/>
        <v>0.5</v>
      </c>
      <c r="R8" s="34">
        <v>14.4</v>
      </c>
      <c r="S8" s="7">
        <v>118</v>
      </c>
      <c r="T8" s="16">
        <f t="shared" si="1"/>
        <v>30</v>
      </c>
      <c r="U8" s="15">
        <v>98</v>
      </c>
      <c r="V8" s="16">
        <f t="shared" si="2"/>
        <v>2940</v>
      </c>
      <c r="W8" s="15">
        <v>3</v>
      </c>
      <c r="X8" s="15" t="s">
        <v>46</v>
      </c>
      <c r="Y8" s="54" t="s">
        <v>88</v>
      </c>
      <c r="Z8" s="54" t="s">
        <v>86</v>
      </c>
      <c r="AA8" s="54" t="s">
        <v>97</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0.5</v>
      </c>
      <c r="P9" s="7">
        <v>0.5</v>
      </c>
      <c r="Q9" s="52">
        <f t="shared" si="0"/>
        <v>0.5</v>
      </c>
      <c r="R9" s="7">
        <v>15.9</v>
      </c>
      <c r="S9" s="7">
        <v>123</v>
      </c>
      <c r="T9" s="16">
        <f t="shared" si="1"/>
        <v>27</v>
      </c>
      <c r="U9" s="15">
        <v>98</v>
      </c>
      <c r="V9" s="16">
        <f t="shared" si="2"/>
        <v>2646</v>
      </c>
      <c r="W9" s="15">
        <v>3</v>
      </c>
      <c r="X9" s="15" t="s">
        <v>46</v>
      </c>
      <c r="Y9" s="54" t="s">
        <v>88</v>
      </c>
      <c r="Z9" s="54" t="s">
        <v>86</v>
      </c>
      <c r="AA9" s="54" t="s">
        <v>97</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0.5</v>
      </c>
      <c r="P10" s="7">
        <v>0.5</v>
      </c>
      <c r="Q10" s="52">
        <f t="shared" si="0"/>
        <v>0.5</v>
      </c>
      <c r="R10" s="7">
        <v>13.6</v>
      </c>
      <c r="S10" s="7">
        <v>118</v>
      </c>
      <c r="T10" s="16">
        <f t="shared" si="1"/>
        <v>30</v>
      </c>
      <c r="U10" s="15">
        <v>98</v>
      </c>
      <c r="V10" s="16">
        <f t="shared" si="2"/>
        <v>2940</v>
      </c>
      <c r="W10" s="15">
        <v>3</v>
      </c>
      <c r="X10" s="15" t="s">
        <v>46</v>
      </c>
      <c r="Y10" s="54" t="s">
        <v>88</v>
      </c>
      <c r="Z10" s="54" t="s">
        <v>86</v>
      </c>
      <c r="AA10" s="54" t="s">
        <v>97</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0.75</v>
      </c>
      <c r="P11" s="7">
        <v>0.85</v>
      </c>
      <c r="Q11" s="52">
        <f t="shared" si="0"/>
        <v>0.8</v>
      </c>
      <c r="R11" s="7">
        <v>13.6</v>
      </c>
      <c r="S11" s="7">
        <v>120</v>
      </c>
      <c r="T11" s="16">
        <f t="shared" si="1"/>
        <v>30</v>
      </c>
      <c r="U11" s="7">
        <v>98</v>
      </c>
      <c r="V11" s="16">
        <f t="shared" si="2"/>
        <v>2940</v>
      </c>
      <c r="W11" s="7">
        <v>3</v>
      </c>
      <c r="X11" s="15" t="s">
        <v>46</v>
      </c>
      <c r="Y11" s="54" t="s">
        <v>88</v>
      </c>
      <c r="Z11" s="54" t="s">
        <v>86</v>
      </c>
      <c r="AA11" s="54" t="s">
        <v>97</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0.55000000000000004</v>
      </c>
      <c r="P12" s="7">
        <v>0.7</v>
      </c>
      <c r="Q12" s="52">
        <f t="shared" si="0"/>
        <v>0.625</v>
      </c>
      <c r="R12" s="34">
        <v>13.6</v>
      </c>
      <c r="S12" s="7">
        <v>123</v>
      </c>
      <c r="T12" s="16">
        <f t="shared" si="1"/>
        <v>27</v>
      </c>
      <c r="U12" s="7">
        <v>98</v>
      </c>
      <c r="V12" s="16">
        <f t="shared" si="2"/>
        <v>2646</v>
      </c>
      <c r="W12" s="7">
        <v>3</v>
      </c>
      <c r="X12" s="15" t="s">
        <v>46</v>
      </c>
      <c r="Y12" s="54" t="s">
        <v>88</v>
      </c>
      <c r="Z12" s="54" t="s">
        <v>86</v>
      </c>
      <c r="AA12" s="54" t="s">
        <v>97</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0.6</v>
      </c>
      <c r="P13" s="7">
        <v>0.75</v>
      </c>
      <c r="Q13" s="52">
        <f t="shared" si="0"/>
        <v>0.67500000000000004</v>
      </c>
      <c r="R13" s="7">
        <v>13.9</v>
      </c>
      <c r="S13" s="7">
        <v>123</v>
      </c>
      <c r="T13" s="16">
        <f t="shared" si="1"/>
        <v>27</v>
      </c>
      <c r="U13" s="7">
        <v>98</v>
      </c>
      <c r="V13" s="16">
        <f t="shared" si="2"/>
        <v>2646</v>
      </c>
      <c r="W13" s="7">
        <v>3</v>
      </c>
      <c r="X13" s="15" t="s">
        <v>46</v>
      </c>
      <c r="Y13" s="54" t="s">
        <v>88</v>
      </c>
      <c r="Z13" s="54" t="s">
        <v>86</v>
      </c>
      <c r="AA13" s="54" t="s">
        <v>97</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0.75</v>
      </c>
      <c r="P14" s="7">
        <v>0.65</v>
      </c>
      <c r="Q14" s="52">
        <f t="shared" si="0"/>
        <v>0.7</v>
      </c>
      <c r="R14" s="7">
        <v>13.4</v>
      </c>
      <c r="S14" s="7">
        <v>135</v>
      </c>
      <c r="T14" s="16">
        <f t="shared" si="1"/>
        <v>25</v>
      </c>
      <c r="U14" s="7">
        <v>138</v>
      </c>
      <c r="V14" s="16">
        <f t="shared" si="2"/>
        <v>3450</v>
      </c>
      <c r="W14" s="7">
        <v>4</v>
      </c>
      <c r="X14" s="15" t="s">
        <v>46</v>
      </c>
      <c r="Y14" s="54" t="s">
        <v>88</v>
      </c>
      <c r="Z14" s="54" t="s">
        <v>78</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0.9</v>
      </c>
      <c r="P15" s="7">
        <v>0.9</v>
      </c>
      <c r="Q15" s="52">
        <f t="shared" si="0"/>
        <v>0.9</v>
      </c>
      <c r="R15" s="7">
        <v>12.9</v>
      </c>
      <c r="S15" s="7">
        <v>132</v>
      </c>
      <c r="T15" s="16">
        <f t="shared" si="1"/>
        <v>25</v>
      </c>
      <c r="U15" s="7">
        <v>138</v>
      </c>
      <c r="V15" s="16">
        <f t="shared" si="2"/>
        <v>3450</v>
      </c>
      <c r="W15" s="7">
        <v>4</v>
      </c>
      <c r="X15" s="15" t="s">
        <v>46</v>
      </c>
      <c r="Y15" s="54" t="s">
        <v>88</v>
      </c>
      <c r="Z15" s="54" t="s">
        <v>78</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0.9</v>
      </c>
      <c r="P16" s="7">
        <v>0.85</v>
      </c>
      <c r="Q16" s="52">
        <f t="shared" si="0"/>
        <v>0.875</v>
      </c>
      <c r="R16" s="7">
        <v>13.7</v>
      </c>
      <c r="S16" s="7">
        <v>129</v>
      </c>
      <c r="T16" s="16">
        <f t="shared" si="1"/>
        <v>25</v>
      </c>
      <c r="U16" s="7">
        <v>138</v>
      </c>
      <c r="V16" s="16">
        <f t="shared" si="2"/>
        <v>3450</v>
      </c>
      <c r="W16" s="7">
        <v>4</v>
      </c>
      <c r="X16" s="15" t="s">
        <v>46</v>
      </c>
      <c r="Y16" s="54" t="s">
        <v>88</v>
      </c>
      <c r="Z16" s="54" t="s">
        <v>78</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0.75</v>
      </c>
      <c r="P17" s="7">
        <v>0.9</v>
      </c>
      <c r="Q17" s="52">
        <f t="shared" si="0"/>
        <v>0.82499999999999996</v>
      </c>
      <c r="R17" s="7">
        <v>14.8</v>
      </c>
      <c r="S17" s="7">
        <v>125</v>
      </c>
      <c r="T17" s="16">
        <f t="shared" si="1"/>
        <v>27</v>
      </c>
      <c r="U17" s="7">
        <v>138</v>
      </c>
      <c r="V17" s="16">
        <f t="shared" si="2"/>
        <v>3726</v>
      </c>
      <c r="W17" s="7">
        <v>3</v>
      </c>
      <c r="X17" s="15" t="s">
        <v>46</v>
      </c>
      <c r="Y17" s="54" t="s">
        <v>88</v>
      </c>
      <c r="Z17" s="54" t="s">
        <v>78</v>
      </c>
      <c r="AA17" s="54" t="s">
        <v>69</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0.9</v>
      </c>
      <c r="P18" s="7">
        <v>1</v>
      </c>
      <c r="Q18" s="52">
        <f t="shared" si="0"/>
        <v>0.95</v>
      </c>
      <c r="R18" s="7">
        <v>16.2</v>
      </c>
      <c r="S18" s="7">
        <v>128</v>
      </c>
      <c r="T18" s="16">
        <f t="shared" si="1"/>
        <v>27</v>
      </c>
      <c r="U18" s="7">
        <v>138</v>
      </c>
      <c r="V18" s="16">
        <f t="shared" si="2"/>
        <v>3726</v>
      </c>
      <c r="W18" s="7">
        <v>3</v>
      </c>
      <c r="X18" s="15" t="s">
        <v>46</v>
      </c>
      <c r="Y18" s="54" t="s">
        <v>88</v>
      </c>
      <c r="Z18" s="54" t="s">
        <v>78</v>
      </c>
      <c r="AA18" s="54" t="s">
        <v>69</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1.1000000000000001</v>
      </c>
      <c r="P19" s="7">
        <v>1.05</v>
      </c>
      <c r="Q19" s="52">
        <f t="shared" si="0"/>
        <v>1.0750000000000002</v>
      </c>
      <c r="R19" s="7">
        <v>16.100000000000001</v>
      </c>
      <c r="S19" s="7">
        <v>125</v>
      </c>
      <c r="T19" s="16">
        <f t="shared" si="1"/>
        <v>27</v>
      </c>
      <c r="U19" s="7">
        <v>138</v>
      </c>
      <c r="V19" s="16">
        <f t="shared" si="2"/>
        <v>3726</v>
      </c>
      <c r="W19" s="7">
        <v>3</v>
      </c>
      <c r="X19" s="15" t="s">
        <v>46</v>
      </c>
      <c r="Y19" s="54" t="s">
        <v>88</v>
      </c>
      <c r="Z19" s="54" t="s">
        <v>78</v>
      </c>
      <c r="AA19" s="54" t="s">
        <v>69</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0.5</v>
      </c>
      <c r="P20" s="34">
        <v>0.5</v>
      </c>
      <c r="Q20" s="52">
        <f t="shared" si="0"/>
        <v>0.5</v>
      </c>
      <c r="R20" s="7">
        <v>16</v>
      </c>
      <c r="S20" s="7">
        <v>123</v>
      </c>
      <c r="T20" s="16">
        <f t="shared" si="1"/>
        <v>27</v>
      </c>
      <c r="U20" s="7">
        <v>105</v>
      </c>
      <c r="V20" s="16">
        <f t="shared" si="2"/>
        <v>2835</v>
      </c>
      <c r="W20" s="7">
        <v>2</v>
      </c>
      <c r="X20" s="15" t="s">
        <v>39</v>
      </c>
      <c r="Y20" s="54" t="s">
        <v>78</v>
      </c>
      <c r="Z20" s="54" t="s">
        <v>88</v>
      </c>
      <c r="AA20" s="54" t="s">
        <v>97</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0.75</v>
      </c>
      <c r="P21" s="7">
        <v>0.85</v>
      </c>
      <c r="Q21" s="52">
        <f t="shared" si="0"/>
        <v>0.8</v>
      </c>
      <c r="R21" s="7">
        <v>15.8</v>
      </c>
      <c r="S21" s="7">
        <v>125</v>
      </c>
      <c r="T21" s="16">
        <f t="shared" si="1"/>
        <v>27</v>
      </c>
      <c r="U21" s="7">
        <v>105</v>
      </c>
      <c r="V21" s="16">
        <f t="shared" si="2"/>
        <v>2835</v>
      </c>
      <c r="W21" s="7">
        <v>2</v>
      </c>
      <c r="X21" s="54" t="s">
        <v>39</v>
      </c>
      <c r="Y21" s="54" t="s">
        <v>78</v>
      </c>
      <c r="Z21" s="54" t="s">
        <v>88</v>
      </c>
      <c r="AA21" s="54" t="s">
        <v>97</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0.65</v>
      </c>
      <c r="P22" s="7">
        <v>0.8</v>
      </c>
      <c r="Q22" s="52">
        <f t="shared" si="0"/>
        <v>0.72500000000000009</v>
      </c>
      <c r="R22" s="7">
        <v>15.2</v>
      </c>
      <c r="S22" s="7">
        <v>118</v>
      </c>
      <c r="T22" s="16">
        <f t="shared" si="1"/>
        <v>30</v>
      </c>
      <c r="U22" s="7">
        <v>105</v>
      </c>
      <c r="V22" s="16">
        <f t="shared" si="2"/>
        <v>3150</v>
      </c>
      <c r="W22" s="7">
        <v>2</v>
      </c>
      <c r="X22" s="54" t="s">
        <v>39</v>
      </c>
      <c r="Y22" s="54" t="s">
        <v>78</v>
      </c>
      <c r="Z22" s="54" t="s">
        <v>88</v>
      </c>
      <c r="AA22" s="54" t="s">
        <v>97</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0.75</v>
      </c>
      <c r="P23" s="7">
        <v>0.75</v>
      </c>
      <c r="Q23" s="52">
        <f t="shared" si="0"/>
        <v>0.75</v>
      </c>
      <c r="R23" s="7">
        <v>14.9</v>
      </c>
      <c r="S23" s="7">
        <v>118</v>
      </c>
      <c r="T23" s="16">
        <f t="shared" si="1"/>
        <v>30</v>
      </c>
      <c r="U23" s="7">
        <v>138</v>
      </c>
      <c r="V23" s="16">
        <f t="shared" si="2"/>
        <v>4140</v>
      </c>
      <c r="W23" s="7">
        <v>2</v>
      </c>
      <c r="X23" s="54" t="s">
        <v>39</v>
      </c>
      <c r="Y23" s="54" t="s">
        <v>78</v>
      </c>
      <c r="Z23" s="54" t="s">
        <v>88</v>
      </c>
      <c r="AA23" s="54" t="s">
        <v>97</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0.7</v>
      </c>
      <c r="P24" s="7">
        <v>0.8</v>
      </c>
      <c r="Q24" s="52">
        <f t="shared" si="0"/>
        <v>0.75</v>
      </c>
      <c r="R24" s="7">
        <v>17.399999999999999</v>
      </c>
      <c r="S24" s="7">
        <v>121</v>
      </c>
      <c r="T24" s="16">
        <f t="shared" si="1"/>
        <v>27</v>
      </c>
      <c r="U24" s="7">
        <v>138</v>
      </c>
      <c r="V24" s="16">
        <f t="shared" si="2"/>
        <v>3726</v>
      </c>
      <c r="W24" s="7">
        <v>2</v>
      </c>
      <c r="X24" s="54" t="s">
        <v>39</v>
      </c>
      <c r="Y24" s="54" t="s">
        <v>78</v>
      </c>
      <c r="Z24" s="54" t="s">
        <v>88</v>
      </c>
      <c r="AA24" s="54" t="s">
        <v>97</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0.7</v>
      </c>
      <c r="P25" s="7">
        <v>0.8</v>
      </c>
      <c r="Q25" s="52">
        <f t="shared" si="0"/>
        <v>0.75</v>
      </c>
      <c r="R25" s="7">
        <v>15.5</v>
      </c>
      <c r="S25" s="7">
        <v>118</v>
      </c>
      <c r="T25" s="16">
        <f t="shared" si="1"/>
        <v>30</v>
      </c>
      <c r="U25" s="7">
        <v>138</v>
      </c>
      <c r="V25" s="16">
        <f t="shared" si="2"/>
        <v>4140</v>
      </c>
      <c r="W25" s="7">
        <v>2</v>
      </c>
      <c r="X25" s="54" t="s">
        <v>39</v>
      </c>
      <c r="Y25" s="54" t="s">
        <v>78</v>
      </c>
      <c r="Z25" s="54" t="s">
        <v>88</v>
      </c>
      <c r="AA25" s="54" t="s">
        <v>97</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0.5</v>
      </c>
      <c r="P26" s="7">
        <v>0.5</v>
      </c>
      <c r="Q26" s="52">
        <f t="shared" si="0"/>
        <v>0.5</v>
      </c>
      <c r="R26" s="7">
        <v>15.2</v>
      </c>
      <c r="S26" s="7">
        <v>116</v>
      </c>
      <c r="T26" s="16">
        <f t="shared" si="1"/>
        <v>30</v>
      </c>
      <c r="U26" s="7">
        <v>138</v>
      </c>
      <c r="V26" s="16">
        <f t="shared" si="2"/>
        <v>4140</v>
      </c>
      <c r="W26" s="7">
        <v>4</v>
      </c>
      <c r="X26" s="15" t="s">
        <v>46</v>
      </c>
      <c r="Y26" s="54" t="s">
        <v>88</v>
      </c>
      <c r="Z26" s="54" t="s">
        <v>55</v>
      </c>
      <c r="AA26" s="54" t="s">
        <v>97</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0.95</v>
      </c>
      <c r="P27" s="7">
        <v>0.95</v>
      </c>
      <c r="Q27" s="52">
        <f t="shared" si="0"/>
        <v>0.95</v>
      </c>
      <c r="R27" s="7">
        <v>13.5</v>
      </c>
      <c r="S27" s="7">
        <v>114</v>
      </c>
      <c r="T27" s="16">
        <f t="shared" si="1"/>
        <v>30</v>
      </c>
      <c r="U27" s="7">
        <v>138</v>
      </c>
      <c r="V27" s="16">
        <f t="shared" si="2"/>
        <v>4140</v>
      </c>
      <c r="W27" s="7">
        <v>4</v>
      </c>
      <c r="X27" s="54" t="s">
        <v>46</v>
      </c>
      <c r="Y27" s="54" t="s">
        <v>88</v>
      </c>
      <c r="Z27" s="54" t="s">
        <v>55</v>
      </c>
      <c r="AA27" s="54" t="s">
        <v>97</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0.65</v>
      </c>
      <c r="P28" s="7">
        <v>0.7</v>
      </c>
      <c r="Q28" s="52">
        <f t="shared" si="0"/>
        <v>0.67500000000000004</v>
      </c>
      <c r="R28" s="7">
        <v>14.1</v>
      </c>
      <c r="S28" s="7">
        <v>118</v>
      </c>
      <c r="T28" s="16">
        <f t="shared" si="1"/>
        <v>30</v>
      </c>
      <c r="U28" s="7">
        <v>138</v>
      </c>
      <c r="V28" s="16">
        <f t="shared" si="2"/>
        <v>4140</v>
      </c>
      <c r="W28" s="7">
        <v>4</v>
      </c>
      <c r="X28" s="54" t="s">
        <v>46</v>
      </c>
      <c r="Y28" s="54" t="s">
        <v>88</v>
      </c>
      <c r="Z28" s="54" t="s">
        <v>55</v>
      </c>
      <c r="AA28" s="54" t="s">
        <v>97</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0.8</v>
      </c>
      <c r="P29" s="7">
        <v>0.85</v>
      </c>
      <c r="Q29" s="52">
        <f t="shared" si="0"/>
        <v>0.82499999999999996</v>
      </c>
      <c r="R29" s="7">
        <v>13.8</v>
      </c>
      <c r="S29" s="7">
        <v>121</v>
      </c>
      <c r="T29" s="16">
        <f t="shared" si="1"/>
        <v>27</v>
      </c>
      <c r="U29" s="7">
        <v>138</v>
      </c>
      <c r="V29" s="16">
        <f t="shared" si="2"/>
        <v>3726</v>
      </c>
      <c r="W29" s="7">
        <v>6</v>
      </c>
      <c r="X29" s="54" t="s">
        <v>46</v>
      </c>
      <c r="Y29" s="54" t="s">
        <v>88</v>
      </c>
      <c r="Z29" s="54" t="s">
        <v>55</v>
      </c>
      <c r="AA29" s="54" t="s">
        <v>97</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0.8</v>
      </c>
      <c r="P30" s="7">
        <v>0.9</v>
      </c>
      <c r="Q30" s="52">
        <f t="shared" si="0"/>
        <v>0.85000000000000009</v>
      </c>
      <c r="R30" s="7">
        <v>13.6</v>
      </c>
      <c r="S30" s="7">
        <v>124</v>
      </c>
      <c r="T30" s="16">
        <f t="shared" si="1"/>
        <v>27</v>
      </c>
      <c r="U30" s="7">
        <v>138</v>
      </c>
      <c r="V30" s="16">
        <f t="shared" si="2"/>
        <v>3726</v>
      </c>
      <c r="W30" s="7">
        <v>6</v>
      </c>
      <c r="X30" s="54" t="s">
        <v>46</v>
      </c>
      <c r="Y30" s="54" t="s">
        <v>88</v>
      </c>
      <c r="Z30" s="54" t="s">
        <v>55</v>
      </c>
      <c r="AA30" s="54" t="s">
        <v>97</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0.75</v>
      </c>
      <c r="P31" s="7">
        <v>0.85</v>
      </c>
      <c r="Q31" s="52">
        <f t="shared" si="0"/>
        <v>0.8</v>
      </c>
      <c r="R31" s="7">
        <v>16.3</v>
      </c>
      <c r="S31" s="7">
        <v>124</v>
      </c>
      <c r="T31" s="16">
        <f t="shared" si="1"/>
        <v>27</v>
      </c>
      <c r="U31" s="7">
        <v>138</v>
      </c>
      <c r="V31" s="16">
        <f t="shared" si="2"/>
        <v>3726</v>
      </c>
      <c r="W31" s="7">
        <v>6</v>
      </c>
      <c r="X31" s="54" t="s">
        <v>46</v>
      </c>
      <c r="Y31" s="54" t="s">
        <v>88</v>
      </c>
      <c r="Z31" s="54" t="s">
        <v>55</v>
      </c>
      <c r="AA31" s="54" t="s">
        <v>97</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0.85</v>
      </c>
      <c r="P32" s="7">
        <v>0.8</v>
      </c>
      <c r="Q32" s="52">
        <f t="shared" si="0"/>
        <v>0.82499999999999996</v>
      </c>
      <c r="R32" s="7">
        <v>18.100000000000001</v>
      </c>
      <c r="S32" s="7">
        <v>110</v>
      </c>
      <c r="T32" s="16">
        <f t="shared" si="1"/>
        <v>33</v>
      </c>
      <c r="U32" s="7">
        <v>100</v>
      </c>
      <c r="V32" s="16">
        <f t="shared" si="2"/>
        <v>3300</v>
      </c>
      <c r="W32" s="7">
        <v>4</v>
      </c>
      <c r="X32" s="54" t="s">
        <v>46</v>
      </c>
      <c r="Y32" s="54" t="s">
        <v>88</v>
      </c>
      <c r="Z32" s="54" t="s">
        <v>97</v>
      </c>
      <c r="AA32" s="54" t="s">
        <v>78</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0.75</v>
      </c>
      <c r="P33" s="7">
        <v>0.7</v>
      </c>
      <c r="Q33" s="52">
        <f t="shared" si="0"/>
        <v>0.72499999999999998</v>
      </c>
      <c r="R33" s="7">
        <v>17.899999999999999</v>
      </c>
      <c r="S33" s="7">
        <v>112</v>
      </c>
      <c r="T33" s="16">
        <f t="shared" si="1"/>
        <v>33</v>
      </c>
      <c r="U33" s="7">
        <v>100</v>
      </c>
      <c r="V33" s="16">
        <f t="shared" si="2"/>
        <v>3300</v>
      </c>
      <c r="W33" s="7">
        <v>4</v>
      </c>
      <c r="X33" s="15" t="s">
        <v>46</v>
      </c>
      <c r="Y33" s="54" t="s">
        <v>88</v>
      </c>
      <c r="Z33" s="54" t="s">
        <v>97</v>
      </c>
      <c r="AA33" s="54" t="s">
        <v>78</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0.8</v>
      </c>
      <c r="P34" s="7">
        <v>0.85</v>
      </c>
      <c r="Q34" s="52">
        <f t="shared" si="0"/>
        <v>0.82499999999999996</v>
      </c>
      <c r="R34" s="7">
        <v>14.5</v>
      </c>
      <c r="S34" s="7">
        <v>106</v>
      </c>
      <c r="T34" s="16">
        <f t="shared" si="1"/>
        <v>33</v>
      </c>
      <c r="U34" s="7">
        <v>100</v>
      </c>
      <c r="V34" s="16">
        <f t="shared" si="2"/>
        <v>3300</v>
      </c>
      <c r="W34" s="7">
        <v>4</v>
      </c>
      <c r="X34" s="15" t="s">
        <v>46</v>
      </c>
      <c r="Y34" s="54" t="s">
        <v>88</v>
      </c>
      <c r="Z34" s="54" t="s">
        <v>97</v>
      </c>
      <c r="AA34" s="54" t="s">
        <v>78</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0.85</v>
      </c>
      <c r="P35" s="7">
        <v>0.85</v>
      </c>
      <c r="Q35" s="52">
        <f t="shared" si="0"/>
        <v>0.85</v>
      </c>
      <c r="R35" s="7">
        <v>13.7</v>
      </c>
      <c r="S35" s="7">
        <v>113</v>
      </c>
      <c r="T35" s="16">
        <f t="shared" si="1"/>
        <v>30</v>
      </c>
      <c r="U35" s="7">
        <v>138</v>
      </c>
      <c r="V35" s="16">
        <f t="shared" si="2"/>
        <v>4140</v>
      </c>
      <c r="W35" s="7">
        <v>8</v>
      </c>
      <c r="X35" s="15" t="s">
        <v>46</v>
      </c>
      <c r="Y35" s="54" t="s">
        <v>88</v>
      </c>
      <c r="Z35" s="54" t="s">
        <v>97</v>
      </c>
      <c r="AA35" s="54" t="s">
        <v>78</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0.5</v>
      </c>
      <c r="P36" s="7">
        <v>0.5</v>
      </c>
      <c r="Q36" s="52">
        <f t="shared" si="0"/>
        <v>0.5</v>
      </c>
      <c r="R36" s="7">
        <v>19.2</v>
      </c>
      <c r="S36" s="7">
        <v>122</v>
      </c>
      <c r="T36" s="16">
        <f t="shared" si="1"/>
        <v>27</v>
      </c>
      <c r="U36" s="7">
        <v>138</v>
      </c>
      <c r="V36" s="16">
        <f t="shared" si="2"/>
        <v>3726</v>
      </c>
      <c r="W36" s="7">
        <v>8</v>
      </c>
      <c r="X36" s="15" t="s">
        <v>46</v>
      </c>
      <c r="Y36" s="54" t="s">
        <v>88</v>
      </c>
      <c r="Z36" s="54" t="s">
        <v>97</v>
      </c>
      <c r="AA36" s="54" t="s">
        <v>78</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0.6</v>
      </c>
      <c r="P37" s="34">
        <v>0.7</v>
      </c>
      <c r="Q37" s="52">
        <f t="shared" si="0"/>
        <v>0.64999999999999991</v>
      </c>
      <c r="R37" s="7">
        <v>15.6</v>
      </c>
      <c r="S37" s="7">
        <v>120</v>
      </c>
      <c r="T37" s="16">
        <f t="shared" si="1"/>
        <v>30</v>
      </c>
      <c r="U37" s="7">
        <v>138</v>
      </c>
      <c r="V37" s="16">
        <f t="shared" si="2"/>
        <v>4140</v>
      </c>
      <c r="W37" s="7">
        <v>8</v>
      </c>
      <c r="X37" s="15" t="s">
        <v>46</v>
      </c>
      <c r="Y37" s="54" t="s">
        <v>88</v>
      </c>
      <c r="Z37" s="54" t="s">
        <v>97</v>
      </c>
      <c r="AA37" s="54" t="s">
        <v>78</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0.5</v>
      </c>
      <c r="P38" s="34">
        <v>0.55000000000000004</v>
      </c>
      <c r="Q38" s="52">
        <f t="shared" si="0"/>
        <v>0.52500000000000002</v>
      </c>
      <c r="R38" s="7">
        <v>14.8</v>
      </c>
      <c r="S38" s="7">
        <v>120</v>
      </c>
      <c r="T38" s="16">
        <f t="shared" si="1"/>
        <v>30</v>
      </c>
      <c r="U38" s="7">
        <v>98</v>
      </c>
      <c r="V38" s="16">
        <f t="shared" si="2"/>
        <v>2940</v>
      </c>
      <c r="W38" s="7">
        <v>5</v>
      </c>
      <c r="X38" s="15" t="s">
        <v>46</v>
      </c>
      <c r="Y38" s="54" t="s">
        <v>88</v>
      </c>
      <c r="Z38" s="54" t="s">
        <v>86</v>
      </c>
      <c r="AA38" s="54" t="s">
        <v>102</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0.5</v>
      </c>
      <c r="P39" s="7">
        <v>0.6</v>
      </c>
      <c r="Q39" s="52">
        <f t="shared" si="0"/>
        <v>0.55000000000000004</v>
      </c>
      <c r="R39" s="34">
        <v>13.4</v>
      </c>
      <c r="S39" s="7">
        <v>121</v>
      </c>
      <c r="T39" s="16">
        <f t="shared" si="1"/>
        <v>27</v>
      </c>
      <c r="U39" s="7">
        <v>98</v>
      </c>
      <c r="V39" s="16">
        <f t="shared" si="2"/>
        <v>2646</v>
      </c>
      <c r="W39" s="7">
        <v>5</v>
      </c>
      <c r="X39" s="15" t="s">
        <v>46</v>
      </c>
      <c r="Y39" s="54" t="s">
        <v>88</v>
      </c>
      <c r="Z39" s="54" t="s">
        <v>86</v>
      </c>
      <c r="AA39" s="54" t="s">
        <v>102</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0.7</v>
      </c>
      <c r="P40" s="7">
        <v>0.55000000000000004</v>
      </c>
      <c r="Q40" s="52">
        <f t="shared" si="0"/>
        <v>0.625</v>
      </c>
      <c r="R40" s="7">
        <v>13.8</v>
      </c>
      <c r="S40" s="7">
        <v>116</v>
      </c>
      <c r="T40" s="16">
        <f t="shared" si="1"/>
        <v>30</v>
      </c>
      <c r="U40" s="7">
        <v>98</v>
      </c>
      <c r="V40" s="16">
        <f t="shared" si="2"/>
        <v>2940</v>
      </c>
      <c r="W40" s="7">
        <v>5</v>
      </c>
      <c r="X40" s="15" t="s">
        <v>46</v>
      </c>
      <c r="Y40" s="54" t="s">
        <v>88</v>
      </c>
      <c r="Z40" s="54" t="s">
        <v>86</v>
      </c>
      <c r="AA40" s="54" t="s">
        <v>102</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1.1499999999999999</v>
      </c>
      <c r="P41" s="7">
        <v>1.1000000000000001</v>
      </c>
      <c r="Q41" s="52">
        <f t="shared" si="0"/>
        <v>1.125</v>
      </c>
      <c r="R41" s="7">
        <v>19.8</v>
      </c>
      <c r="S41" s="7">
        <v>133</v>
      </c>
      <c r="T41" s="16">
        <f t="shared" si="1"/>
        <v>25</v>
      </c>
      <c r="U41" s="7">
        <v>128</v>
      </c>
      <c r="V41" s="16">
        <f t="shared" si="2"/>
        <v>3200</v>
      </c>
      <c r="W41" s="7">
        <v>4</v>
      </c>
      <c r="X41" s="15" t="s">
        <v>46</v>
      </c>
      <c r="Y41" s="54" t="s">
        <v>88</v>
      </c>
      <c r="Z41" s="54" t="s">
        <v>86</v>
      </c>
      <c r="AA41" s="54" t="s">
        <v>102</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1.25</v>
      </c>
      <c r="P42" s="7">
        <v>1.1499999999999999</v>
      </c>
      <c r="Q42" s="52">
        <f t="shared" si="0"/>
        <v>1.2</v>
      </c>
      <c r="R42" s="7">
        <v>14.9</v>
      </c>
      <c r="S42" s="7">
        <v>129</v>
      </c>
      <c r="T42" s="16">
        <f t="shared" si="1"/>
        <v>25</v>
      </c>
      <c r="U42" s="7">
        <v>128</v>
      </c>
      <c r="V42" s="16">
        <f t="shared" si="2"/>
        <v>3200</v>
      </c>
      <c r="W42" s="7">
        <v>4</v>
      </c>
      <c r="X42" s="15" t="s">
        <v>46</v>
      </c>
      <c r="Y42" s="54" t="s">
        <v>88</v>
      </c>
      <c r="Z42" s="54" t="s">
        <v>86</v>
      </c>
      <c r="AA42" s="54" t="s">
        <v>102</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1.1499999999999999</v>
      </c>
      <c r="P43" s="7">
        <v>1.25</v>
      </c>
      <c r="Q43" s="52">
        <f t="shared" si="0"/>
        <v>1.2</v>
      </c>
      <c r="R43" s="7">
        <v>18.600000000000001</v>
      </c>
      <c r="S43" s="7">
        <v>131</v>
      </c>
      <c r="T43" s="16">
        <f t="shared" si="1"/>
        <v>25</v>
      </c>
      <c r="U43" s="7">
        <v>128</v>
      </c>
      <c r="V43" s="16">
        <f t="shared" si="2"/>
        <v>3200</v>
      </c>
      <c r="W43" s="7">
        <v>4</v>
      </c>
      <c r="X43" s="15" t="s">
        <v>46</v>
      </c>
      <c r="Y43" s="54" t="s">
        <v>88</v>
      </c>
      <c r="Z43" s="54" t="s">
        <v>86</v>
      </c>
      <c r="AA43" s="54" t="s">
        <v>102</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0.7</v>
      </c>
      <c r="P44" s="7">
        <v>0.6</v>
      </c>
      <c r="Q44" s="52">
        <f t="shared" si="0"/>
        <v>0.64999999999999991</v>
      </c>
      <c r="R44" s="7">
        <v>14.8</v>
      </c>
      <c r="S44" s="7">
        <v>123</v>
      </c>
      <c r="T44" s="16">
        <f t="shared" si="1"/>
        <v>27</v>
      </c>
      <c r="U44" s="7">
        <v>105</v>
      </c>
      <c r="V44" s="16">
        <f t="shared" si="2"/>
        <v>2835</v>
      </c>
      <c r="W44" s="7">
        <v>4</v>
      </c>
      <c r="X44" s="15" t="s">
        <v>46</v>
      </c>
      <c r="Y44" s="54" t="s">
        <v>88</v>
      </c>
      <c r="Z44" s="54" t="s">
        <v>102</v>
      </c>
      <c r="AA44" s="54" t="s">
        <v>78</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0.5</v>
      </c>
      <c r="P45" s="7">
        <v>0.5</v>
      </c>
      <c r="Q45" s="52">
        <f t="shared" si="0"/>
        <v>0.5</v>
      </c>
      <c r="R45" s="7">
        <v>13.5</v>
      </c>
      <c r="S45" s="7">
        <v>118</v>
      </c>
      <c r="T45" s="16">
        <f t="shared" si="1"/>
        <v>30</v>
      </c>
      <c r="U45" s="7">
        <v>105</v>
      </c>
      <c r="V45" s="16">
        <f t="shared" si="2"/>
        <v>3150</v>
      </c>
      <c r="W45" s="7">
        <v>4</v>
      </c>
      <c r="X45" s="15" t="s">
        <v>46</v>
      </c>
      <c r="Y45" s="54" t="s">
        <v>88</v>
      </c>
      <c r="Z45" s="54" t="s">
        <v>102</v>
      </c>
      <c r="AA45" s="54" t="s">
        <v>78</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0.6</v>
      </c>
      <c r="P46" s="34">
        <v>0.5</v>
      </c>
      <c r="Q46" s="52">
        <f t="shared" si="0"/>
        <v>0.55000000000000004</v>
      </c>
      <c r="R46" s="7">
        <v>14.4</v>
      </c>
      <c r="S46" s="7">
        <v>126</v>
      </c>
      <c r="T46" s="16">
        <f t="shared" si="1"/>
        <v>27</v>
      </c>
      <c r="U46" s="7">
        <v>105</v>
      </c>
      <c r="V46" s="16">
        <f t="shared" si="2"/>
        <v>2835</v>
      </c>
      <c r="W46" s="7">
        <v>4</v>
      </c>
      <c r="X46" s="15" t="s">
        <v>46</v>
      </c>
      <c r="Y46" s="54" t="s">
        <v>88</v>
      </c>
      <c r="Z46" s="54" t="s">
        <v>102</v>
      </c>
      <c r="AA46" s="54" t="s">
        <v>78</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v>
      </c>
      <c r="P47" s="7">
        <v>0.65</v>
      </c>
      <c r="Q47" s="52">
        <f t="shared" si="0"/>
        <v>0.57499999999999996</v>
      </c>
      <c r="R47" s="7">
        <v>13.6</v>
      </c>
      <c r="S47" s="7">
        <v>127</v>
      </c>
      <c r="T47" s="16">
        <f t="shared" si="1"/>
        <v>27</v>
      </c>
      <c r="U47" s="7">
        <v>135</v>
      </c>
      <c r="V47" s="16">
        <f t="shared" si="2"/>
        <v>3645</v>
      </c>
      <c r="W47" s="7">
        <v>5</v>
      </c>
      <c r="X47" s="15" t="s">
        <v>46</v>
      </c>
      <c r="Y47" s="54" t="s">
        <v>88</v>
      </c>
      <c r="Z47" s="54" t="s">
        <v>102</v>
      </c>
      <c r="AA47" s="54" t="s">
        <v>78</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0.5</v>
      </c>
      <c r="P48" s="7">
        <v>0.5</v>
      </c>
      <c r="Q48" s="52">
        <f t="shared" si="0"/>
        <v>0.5</v>
      </c>
      <c r="R48" s="7">
        <v>13.7</v>
      </c>
      <c r="S48" s="7">
        <v>129</v>
      </c>
      <c r="T48" s="16">
        <f t="shared" si="1"/>
        <v>25</v>
      </c>
      <c r="U48" s="7">
        <v>135</v>
      </c>
      <c r="V48" s="16">
        <f t="shared" si="2"/>
        <v>3375</v>
      </c>
      <c r="W48" s="7">
        <v>5</v>
      </c>
      <c r="X48" s="15" t="s">
        <v>46</v>
      </c>
      <c r="Y48" s="54" t="s">
        <v>88</v>
      </c>
      <c r="Z48" s="54" t="s">
        <v>102</v>
      </c>
      <c r="AA48" s="54" t="s">
        <v>78</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0.5</v>
      </c>
      <c r="P49" s="34">
        <v>0.5</v>
      </c>
      <c r="Q49" s="52">
        <f t="shared" si="0"/>
        <v>0.5</v>
      </c>
      <c r="R49" s="7">
        <v>14.5</v>
      </c>
      <c r="S49" s="7">
        <v>135</v>
      </c>
      <c r="T49" s="16">
        <f t="shared" si="1"/>
        <v>25</v>
      </c>
      <c r="U49" s="7">
        <v>135</v>
      </c>
      <c r="V49" s="16">
        <f t="shared" si="2"/>
        <v>3375</v>
      </c>
      <c r="W49" s="7">
        <v>5</v>
      </c>
      <c r="X49" s="15" t="s">
        <v>46</v>
      </c>
      <c r="Y49" s="54" t="s">
        <v>88</v>
      </c>
      <c r="Z49" s="54" t="s">
        <v>102</v>
      </c>
      <c r="AA49" s="54" t="s">
        <v>78</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0.55000000000000004</v>
      </c>
      <c r="P50" s="7">
        <v>0.65</v>
      </c>
      <c r="Q50" s="52">
        <f t="shared" si="0"/>
        <v>0.60000000000000009</v>
      </c>
      <c r="R50" s="7">
        <v>16.8</v>
      </c>
      <c r="S50" s="7">
        <v>135</v>
      </c>
      <c r="T50" s="16">
        <f t="shared" si="1"/>
        <v>25</v>
      </c>
      <c r="U50" s="7">
        <v>138</v>
      </c>
      <c r="V50" s="16">
        <f t="shared" si="2"/>
        <v>3450</v>
      </c>
      <c r="W50" s="7">
        <v>6</v>
      </c>
      <c r="X50" s="15" t="s">
        <v>46</v>
      </c>
      <c r="Y50" s="54" t="s">
        <v>88</v>
      </c>
      <c r="Z50" s="54" t="s">
        <v>78</v>
      </c>
      <c r="AA50" s="54" t="s">
        <v>47</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0.65</v>
      </c>
      <c r="P51" s="7">
        <v>0.75</v>
      </c>
      <c r="Q51" s="52">
        <f t="shared" si="0"/>
        <v>0.7</v>
      </c>
      <c r="R51" s="7">
        <v>14.8</v>
      </c>
      <c r="S51" s="7">
        <v>125</v>
      </c>
      <c r="T51" s="16">
        <f t="shared" si="1"/>
        <v>27</v>
      </c>
      <c r="U51" s="7">
        <v>138</v>
      </c>
      <c r="V51" s="16">
        <f t="shared" si="2"/>
        <v>3726</v>
      </c>
      <c r="W51" s="7">
        <v>6</v>
      </c>
      <c r="X51" s="15" t="s">
        <v>46</v>
      </c>
      <c r="Y51" s="54" t="s">
        <v>88</v>
      </c>
      <c r="Z51" s="54" t="s">
        <v>78</v>
      </c>
      <c r="AA51" s="54" t="s">
        <v>47</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0.85</v>
      </c>
      <c r="P52" s="7">
        <v>1</v>
      </c>
      <c r="Q52" s="52">
        <f t="shared" si="0"/>
        <v>0.92500000000000004</v>
      </c>
      <c r="R52" s="7">
        <v>14.3</v>
      </c>
      <c r="S52" s="7">
        <v>126</v>
      </c>
      <c r="T52" s="16">
        <f t="shared" si="1"/>
        <v>27</v>
      </c>
      <c r="U52" s="7">
        <v>138</v>
      </c>
      <c r="V52" s="16">
        <f t="shared" si="2"/>
        <v>3726</v>
      </c>
      <c r="W52" s="7">
        <v>6</v>
      </c>
      <c r="X52" s="15" t="s">
        <v>46</v>
      </c>
      <c r="Y52" s="54" t="s">
        <v>88</v>
      </c>
      <c r="Z52" s="54" t="s">
        <v>78</v>
      </c>
      <c r="AA52" s="54" t="s">
        <v>47</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0.6</v>
      </c>
      <c r="P53" s="7">
        <v>0.6</v>
      </c>
      <c r="Q53" s="52">
        <f t="shared" si="0"/>
        <v>0.6</v>
      </c>
      <c r="R53" s="7">
        <v>15.4</v>
      </c>
      <c r="S53" s="7">
        <v>131</v>
      </c>
      <c r="T53" s="16">
        <f t="shared" si="1"/>
        <v>25</v>
      </c>
      <c r="U53" s="7">
        <v>138</v>
      </c>
      <c r="V53" s="16">
        <f t="shared" si="2"/>
        <v>3450</v>
      </c>
      <c r="W53" s="7">
        <v>5</v>
      </c>
      <c r="X53" s="15" t="s">
        <v>46</v>
      </c>
      <c r="Y53" s="54" t="s">
        <v>88</v>
      </c>
      <c r="Z53" s="54" t="s">
        <v>78</v>
      </c>
      <c r="AA53" s="54" t="s">
        <v>47</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0.55000000000000004</v>
      </c>
      <c r="P54" s="7">
        <v>0.5</v>
      </c>
      <c r="Q54" s="52">
        <f t="shared" si="0"/>
        <v>0.52500000000000002</v>
      </c>
      <c r="R54" s="7">
        <v>19.8</v>
      </c>
      <c r="S54" s="7">
        <v>131</v>
      </c>
      <c r="T54" s="16">
        <f t="shared" si="1"/>
        <v>25</v>
      </c>
      <c r="U54" s="7">
        <v>138</v>
      </c>
      <c r="V54" s="16">
        <f t="shared" si="2"/>
        <v>3450</v>
      </c>
      <c r="W54" s="7">
        <v>5</v>
      </c>
      <c r="X54" s="15" t="s">
        <v>46</v>
      </c>
      <c r="Y54" s="54" t="s">
        <v>88</v>
      </c>
      <c r="Z54" s="54" t="s">
        <v>78</v>
      </c>
      <c r="AA54" s="54" t="s">
        <v>47</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0.6</v>
      </c>
      <c r="P55" s="7">
        <v>0.6</v>
      </c>
      <c r="Q55" s="52">
        <f t="shared" si="0"/>
        <v>0.6</v>
      </c>
      <c r="R55" s="7">
        <v>19</v>
      </c>
      <c r="S55" s="7">
        <v>125</v>
      </c>
      <c r="T55" s="16">
        <f t="shared" si="1"/>
        <v>27</v>
      </c>
      <c r="U55" s="7">
        <v>138</v>
      </c>
      <c r="V55" s="16">
        <f t="shared" si="2"/>
        <v>3726</v>
      </c>
      <c r="W55" s="7">
        <v>5</v>
      </c>
      <c r="X55" s="15" t="s">
        <v>46</v>
      </c>
      <c r="Y55" s="54" t="s">
        <v>88</v>
      </c>
      <c r="Z55" s="54" t="s">
        <v>78</v>
      </c>
      <c r="AA55" s="54" t="s">
        <v>47</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1.1499999999999999</v>
      </c>
      <c r="P56" s="7">
        <v>1.05</v>
      </c>
      <c r="Q56" s="52">
        <f t="shared" si="0"/>
        <v>1.1000000000000001</v>
      </c>
      <c r="R56" s="7">
        <v>13.1</v>
      </c>
      <c r="S56" s="7">
        <v>90</v>
      </c>
      <c r="T56" s="16">
        <f t="shared" si="1"/>
        <v>36</v>
      </c>
      <c r="U56" s="7">
        <v>84</v>
      </c>
      <c r="V56" s="16">
        <f t="shared" si="2"/>
        <v>3024</v>
      </c>
      <c r="W56" s="7">
        <v>2</v>
      </c>
      <c r="X56" s="15" t="s">
        <v>46</v>
      </c>
      <c r="Y56" s="54" t="s">
        <v>88</v>
      </c>
      <c r="Z56" s="54" t="s">
        <v>78</v>
      </c>
      <c r="AA56" s="54" t="s">
        <v>86</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1.1000000000000001</v>
      </c>
      <c r="P57" s="7">
        <v>1.25</v>
      </c>
      <c r="Q57" s="52">
        <f t="shared" si="0"/>
        <v>1.175</v>
      </c>
      <c r="R57" s="7">
        <v>15</v>
      </c>
      <c r="S57" s="7">
        <v>91</v>
      </c>
      <c r="T57" s="16">
        <f t="shared" si="1"/>
        <v>36</v>
      </c>
      <c r="U57" s="7">
        <v>84</v>
      </c>
      <c r="V57" s="16">
        <f t="shared" si="2"/>
        <v>3024</v>
      </c>
      <c r="W57" s="7">
        <v>2</v>
      </c>
      <c r="X57" s="15" t="s">
        <v>46</v>
      </c>
      <c r="Y57" s="54" t="s">
        <v>88</v>
      </c>
      <c r="Z57" s="54" t="s">
        <v>78</v>
      </c>
      <c r="AA57" s="54" t="s">
        <v>86</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0.9</v>
      </c>
      <c r="P58" s="7">
        <v>1.05</v>
      </c>
      <c r="Q58" s="52">
        <f t="shared" si="0"/>
        <v>0.97500000000000009</v>
      </c>
      <c r="R58" s="7">
        <v>14.6</v>
      </c>
      <c r="S58" s="7">
        <v>91</v>
      </c>
      <c r="T58" s="16">
        <f t="shared" si="1"/>
        <v>36</v>
      </c>
      <c r="U58" s="7">
        <v>84</v>
      </c>
      <c r="V58" s="16">
        <f t="shared" si="2"/>
        <v>3024</v>
      </c>
      <c r="W58" s="7">
        <v>2</v>
      </c>
      <c r="X58" s="15" t="s">
        <v>46</v>
      </c>
      <c r="Y58" s="54" t="s">
        <v>88</v>
      </c>
      <c r="Z58" s="54" t="s">
        <v>78</v>
      </c>
      <c r="AA58" s="54" t="s">
        <v>86</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1</v>
      </c>
      <c r="O59" s="7">
        <v>0.9</v>
      </c>
      <c r="P59" s="7">
        <v>0.95</v>
      </c>
      <c r="Q59" s="52">
        <f t="shared" si="0"/>
        <v>0.92500000000000004</v>
      </c>
      <c r="R59" s="7">
        <v>18.600000000000001</v>
      </c>
      <c r="S59" s="7">
        <v>103</v>
      </c>
      <c r="T59" s="16">
        <f t="shared" si="1"/>
        <v>33</v>
      </c>
      <c r="U59" s="7">
        <v>138</v>
      </c>
      <c r="V59" s="16">
        <f t="shared" si="2"/>
        <v>4554</v>
      </c>
      <c r="W59" s="7">
        <v>2</v>
      </c>
      <c r="X59" s="15" t="s">
        <v>46</v>
      </c>
      <c r="Y59" s="54" t="s">
        <v>88</v>
      </c>
      <c r="Z59" s="54" t="s">
        <v>78</v>
      </c>
      <c r="AA59" s="54" t="s">
        <v>86</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1</v>
      </c>
      <c r="O60" s="7">
        <v>0.75</v>
      </c>
      <c r="P60" s="7">
        <v>0.85</v>
      </c>
      <c r="Q60" s="52">
        <f t="shared" si="0"/>
        <v>0.8</v>
      </c>
      <c r="R60" s="7">
        <v>15.5</v>
      </c>
      <c r="S60" s="7">
        <v>101</v>
      </c>
      <c r="T60" s="16">
        <f>IF(H60="","",IF(OR(H60="GREEN",H60="GK"),IF(S60&gt;=$AX$2,VLOOKUP(S60,$AX$2:$AY$12,2,1),""),IF(S60&gt;=$AZ$2,VLOOKUP(S60,$AZ$2:$BA$12,2,1),"")))</f>
        <v>33</v>
      </c>
      <c r="U60" s="7">
        <v>138</v>
      </c>
      <c r="V60" s="16">
        <f t="shared" si="2"/>
        <v>4554</v>
      </c>
      <c r="W60" s="7">
        <v>2</v>
      </c>
      <c r="X60" s="15" t="s">
        <v>46</v>
      </c>
      <c r="Y60" s="54" t="s">
        <v>88</v>
      </c>
      <c r="Z60" s="54" t="s">
        <v>78</v>
      </c>
      <c r="AA60" s="54" t="s">
        <v>86</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1</v>
      </c>
      <c r="O61" s="7">
        <v>1.1000000000000001</v>
      </c>
      <c r="P61" s="7">
        <v>1.1499999999999999</v>
      </c>
      <c r="Q61" s="52">
        <f t="shared" si="0"/>
        <v>1.125</v>
      </c>
      <c r="R61" s="7">
        <v>14.3</v>
      </c>
      <c r="S61" s="7">
        <v>106</v>
      </c>
      <c r="T61" s="16">
        <f>IF(H61="","",IF(OR(H61="GREEN",H61="GK"),IF(S61&gt;=$AX$2,VLOOKUP(S61,$AX$2:$AY$12,2,1),""),IF(S61&gt;=$AZ$2,VLOOKUP(S61,$AZ$2:$BA$12,2,1),"")))</f>
        <v>33</v>
      </c>
      <c r="U61" s="7">
        <v>138</v>
      </c>
      <c r="V61" s="16">
        <f t="shared" si="2"/>
        <v>4554</v>
      </c>
      <c r="W61" s="7">
        <v>2</v>
      </c>
      <c r="X61" s="15" t="s">
        <v>46</v>
      </c>
      <c r="Y61" s="54" t="s">
        <v>88</v>
      </c>
      <c r="Z61" s="54" t="s">
        <v>78</v>
      </c>
      <c r="AA61" s="54" t="s">
        <v>86</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C68B1-46F1-4C24-A8AF-249192DF8FE2}">
  <dimension ref="A1:BA357"/>
  <sheetViews>
    <sheetView zoomScale="70" zoomScaleNormal="70" workbookViewId="0">
      <selection activeCell="B2" sqref="B2"/>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0.65</v>
      </c>
      <c r="P2" s="53">
        <v>0.7</v>
      </c>
      <c r="Q2" s="16">
        <f t="shared" ref="Q2:Q65" si="0">IF(OR(O2="",P2=""),"",AVERAGE(O2,P2))</f>
        <v>0.67500000000000004</v>
      </c>
      <c r="R2" s="53">
        <v>15.2</v>
      </c>
      <c r="S2" s="53">
        <v>128</v>
      </c>
      <c r="T2" s="16">
        <f t="shared" ref="T2:T65" si="1">IF(H2="","",IF(OR(H2="GREEN",H2="GK"),IF(S2&gt;=$AX$2,VLOOKUP(S2,$AX$2:$AY$10,2,1),""),IF(S2&gt;=$AZ$2,VLOOKUP(S2,$AZ$2:$BA$10,2,1),"")))</f>
        <v>27</v>
      </c>
      <c r="U2" s="53">
        <v>105</v>
      </c>
      <c r="V2" s="16">
        <f t="shared" ref="V2:V65" si="2">IF(OR(N2="",U2="",T2=""),"",U2/N2*T2)</f>
        <v>2835</v>
      </c>
      <c r="W2" s="53">
        <v>2</v>
      </c>
      <c r="X2" s="53" t="s">
        <v>46</v>
      </c>
      <c r="Y2" s="53" t="s">
        <v>88</v>
      </c>
      <c r="Z2" s="53" t="s">
        <v>102</v>
      </c>
      <c r="AA2" s="53" t="s">
        <v>86</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0.5</v>
      </c>
      <c r="P3" s="53">
        <v>0.65</v>
      </c>
      <c r="Q3" s="16">
        <f t="shared" si="0"/>
        <v>0.57499999999999996</v>
      </c>
      <c r="R3" s="53">
        <v>11.2</v>
      </c>
      <c r="S3" s="53">
        <v>127</v>
      </c>
      <c r="T3" s="16">
        <f t="shared" si="1"/>
        <v>27</v>
      </c>
      <c r="U3" s="53">
        <v>105</v>
      </c>
      <c r="V3" s="16">
        <f t="shared" si="2"/>
        <v>2835</v>
      </c>
      <c r="W3" s="53">
        <v>2</v>
      </c>
      <c r="X3" s="53" t="s">
        <v>46</v>
      </c>
      <c r="Y3" s="53" t="s">
        <v>88</v>
      </c>
      <c r="Z3" s="53" t="s">
        <v>102</v>
      </c>
      <c r="AA3" s="53" t="s">
        <v>86</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165</v>
      </c>
      <c r="E4" s="53" t="s">
        <v>133</v>
      </c>
      <c r="F4" s="53" t="s">
        <v>184</v>
      </c>
      <c r="G4" s="53" t="s">
        <v>42</v>
      </c>
      <c r="H4" s="53" t="s">
        <v>164</v>
      </c>
      <c r="I4" s="53" t="s">
        <v>159</v>
      </c>
      <c r="J4" s="53" t="s">
        <v>38</v>
      </c>
      <c r="K4" s="53" t="s">
        <v>161</v>
      </c>
      <c r="L4" s="53">
        <v>3</v>
      </c>
      <c r="N4" s="53">
        <v>1</v>
      </c>
      <c r="O4" s="53">
        <v>0.65</v>
      </c>
      <c r="P4" s="53">
        <v>0.5</v>
      </c>
      <c r="Q4" s="16">
        <f t="shared" si="0"/>
        <v>0.57499999999999996</v>
      </c>
      <c r="R4" s="53">
        <v>14</v>
      </c>
      <c r="S4" s="53">
        <v>125</v>
      </c>
      <c r="T4" s="16">
        <f t="shared" si="1"/>
        <v>27</v>
      </c>
      <c r="U4" s="53">
        <v>105</v>
      </c>
      <c r="V4" s="16">
        <f t="shared" si="2"/>
        <v>2835</v>
      </c>
      <c r="W4" s="53">
        <v>2</v>
      </c>
      <c r="X4" s="53" t="s">
        <v>46</v>
      </c>
      <c r="Y4" s="53" t="s">
        <v>88</v>
      </c>
      <c r="Z4" s="53" t="s">
        <v>102</v>
      </c>
      <c r="AA4" s="53" t="s">
        <v>86</v>
      </c>
      <c r="AB4" s="53" t="s">
        <v>158</v>
      </c>
      <c r="AE4" s="22" t="s">
        <v>34</v>
      </c>
      <c r="AG4" s="71" t="s">
        <v>186</v>
      </c>
      <c r="AH4" s="71" t="s">
        <v>188</v>
      </c>
      <c r="AJ4" s="27" t="s">
        <v>48</v>
      </c>
      <c r="AL4" s="27" t="s">
        <v>189</v>
      </c>
      <c r="AN4" s="28" t="s">
        <v>190</v>
      </c>
      <c r="AP4" s="23" t="s">
        <v>191</v>
      </c>
      <c r="AR4" s="23" t="s">
        <v>192</v>
      </c>
      <c r="AT4" s="28"/>
      <c r="AV4" s="23" t="s">
        <v>50</v>
      </c>
      <c r="AX4" s="24">
        <v>75</v>
      </c>
      <c r="AY4" s="25">
        <v>42</v>
      </c>
      <c r="AZ4" s="25">
        <v>76</v>
      </c>
      <c r="BA4" s="26">
        <v>39</v>
      </c>
    </row>
    <row r="5" spans="1:53" ht="13.5" customHeight="1" x14ac:dyDescent="0.15">
      <c r="A5" s="53" t="s">
        <v>41</v>
      </c>
      <c r="B5" s="53" t="s">
        <v>157</v>
      </c>
      <c r="C5" s="62">
        <v>2019</v>
      </c>
      <c r="D5" s="63" t="s">
        <v>165</v>
      </c>
      <c r="E5" s="53" t="s">
        <v>133</v>
      </c>
      <c r="F5" s="53" t="s">
        <v>184</v>
      </c>
      <c r="G5" s="53" t="s">
        <v>42</v>
      </c>
      <c r="H5" s="53" t="s">
        <v>164</v>
      </c>
      <c r="I5" s="53" t="s">
        <v>159</v>
      </c>
      <c r="J5" s="53" t="s">
        <v>38</v>
      </c>
      <c r="K5" s="53" t="s">
        <v>161</v>
      </c>
      <c r="L5" s="53">
        <v>1</v>
      </c>
      <c r="N5" s="53">
        <v>8</v>
      </c>
      <c r="O5" s="53">
        <v>0.45</v>
      </c>
      <c r="P5" s="53">
        <v>0.45</v>
      </c>
      <c r="Q5" s="72">
        <f t="shared" si="0"/>
        <v>0.45</v>
      </c>
      <c r="R5" s="53">
        <v>12.8</v>
      </c>
      <c r="S5" s="53">
        <v>110</v>
      </c>
      <c r="T5" s="16">
        <f t="shared" si="1"/>
        <v>33</v>
      </c>
      <c r="U5" s="53">
        <v>645</v>
      </c>
      <c r="V5" s="16">
        <f t="shared" si="2"/>
        <v>2660.625</v>
      </c>
      <c r="W5" s="53">
        <v>1</v>
      </c>
      <c r="X5" s="53" t="s">
        <v>46</v>
      </c>
      <c r="Y5" s="53" t="s">
        <v>88</v>
      </c>
      <c r="Z5" s="53" t="s">
        <v>102</v>
      </c>
      <c r="AA5" s="53" t="s">
        <v>86</v>
      </c>
      <c r="AB5" s="53" t="s">
        <v>158</v>
      </c>
      <c r="AE5" s="22" t="s">
        <v>51</v>
      </c>
      <c r="AG5" s="71" t="s">
        <v>193</v>
      </c>
      <c r="AH5" s="71" t="s">
        <v>184</v>
      </c>
      <c r="AJ5" s="28"/>
      <c r="AL5" s="73" t="s">
        <v>164</v>
      </c>
      <c r="AN5" s="73" t="s">
        <v>159</v>
      </c>
      <c r="AP5" s="23" t="s">
        <v>194</v>
      </c>
      <c r="AR5" s="23" t="s">
        <v>54</v>
      </c>
      <c r="AV5" s="23" t="s">
        <v>55</v>
      </c>
      <c r="AX5" s="24">
        <v>84</v>
      </c>
      <c r="AY5" s="25">
        <v>39</v>
      </c>
      <c r="AZ5" s="25">
        <v>84</v>
      </c>
      <c r="BA5" s="26">
        <v>36</v>
      </c>
    </row>
    <row r="6" spans="1:53" x14ac:dyDescent="0.15">
      <c r="A6" s="53" t="s">
        <v>41</v>
      </c>
      <c r="B6" s="53" t="s">
        <v>157</v>
      </c>
      <c r="C6" s="62">
        <v>2019</v>
      </c>
      <c r="D6" s="63" t="s">
        <v>165</v>
      </c>
      <c r="E6" s="53" t="s">
        <v>133</v>
      </c>
      <c r="F6" s="53" t="s">
        <v>184</v>
      </c>
      <c r="G6" s="53" t="s">
        <v>42</v>
      </c>
      <c r="H6" s="53" t="s">
        <v>164</v>
      </c>
      <c r="I6" s="53" t="s">
        <v>159</v>
      </c>
      <c r="J6" s="53" t="s">
        <v>38</v>
      </c>
      <c r="K6" s="53" t="s">
        <v>161</v>
      </c>
      <c r="L6" s="53">
        <v>2</v>
      </c>
      <c r="N6" s="53">
        <v>8</v>
      </c>
      <c r="O6" s="53">
        <v>0.35</v>
      </c>
      <c r="P6" s="53">
        <v>0.35</v>
      </c>
      <c r="Q6" s="72">
        <f t="shared" si="0"/>
        <v>0.35</v>
      </c>
      <c r="R6" s="53">
        <v>12.9</v>
      </c>
      <c r="S6" s="53">
        <v>112</v>
      </c>
      <c r="T6" s="16">
        <f t="shared" si="1"/>
        <v>33</v>
      </c>
      <c r="U6" s="53">
        <v>645</v>
      </c>
      <c r="V6" s="16">
        <f t="shared" si="2"/>
        <v>2660.625</v>
      </c>
      <c r="W6" s="53">
        <v>1</v>
      </c>
      <c r="X6" s="53" t="s">
        <v>46</v>
      </c>
      <c r="Y6" s="53" t="s">
        <v>88</v>
      </c>
      <c r="Z6" s="53" t="s">
        <v>102</v>
      </c>
      <c r="AA6" s="53" t="s">
        <v>86</v>
      </c>
      <c r="AB6" s="53" t="s">
        <v>158</v>
      </c>
      <c r="AE6" s="22" t="s">
        <v>56</v>
      </c>
      <c r="AG6" s="71" t="s">
        <v>193</v>
      </c>
      <c r="AH6" s="71" t="s">
        <v>195</v>
      </c>
      <c r="AL6" s="73" t="s">
        <v>196</v>
      </c>
      <c r="AN6" s="73" t="s">
        <v>197</v>
      </c>
      <c r="AP6" s="23" t="s">
        <v>53</v>
      </c>
      <c r="AR6" s="23" t="s">
        <v>59</v>
      </c>
      <c r="AV6" s="23" t="s">
        <v>60</v>
      </c>
      <c r="AX6" s="24">
        <v>97</v>
      </c>
      <c r="AY6" s="25">
        <v>36</v>
      </c>
      <c r="AZ6" s="25">
        <v>99</v>
      </c>
      <c r="BA6" s="26">
        <v>33</v>
      </c>
    </row>
    <row r="7" spans="1:53" x14ac:dyDescent="0.15">
      <c r="A7" s="53" t="s">
        <v>41</v>
      </c>
      <c r="B7" s="53" t="s">
        <v>157</v>
      </c>
      <c r="C7" s="62">
        <v>2019</v>
      </c>
      <c r="D7" s="63" t="s">
        <v>165</v>
      </c>
      <c r="E7" s="53" t="s">
        <v>133</v>
      </c>
      <c r="F7" s="53" t="s">
        <v>184</v>
      </c>
      <c r="G7" s="53" t="s">
        <v>42</v>
      </c>
      <c r="H7" s="53" t="s">
        <v>164</v>
      </c>
      <c r="I7" s="53" t="s">
        <v>159</v>
      </c>
      <c r="J7" s="53" t="s">
        <v>38</v>
      </c>
      <c r="K7" s="53" t="s">
        <v>161</v>
      </c>
      <c r="L7" s="53">
        <v>3</v>
      </c>
      <c r="N7" s="53">
        <v>8</v>
      </c>
      <c r="O7" s="53">
        <v>0.6</v>
      </c>
      <c r="P7" s="53">
        <v>0.6</v>
      </c>
      <c r="Q7" s="72">
        <f t="shared" si="0"/>
        <v>0.6</v>
      </c>
      <c r="R7" s="53">
        <v>13.7</v>
      </c>
      <c r="S7" s="53">
        <v>114</v>
      </c>
      <c r="T7" s="16">
        <f t="shared" si="1"/>
        <v>30</v>
      </c>
      <c r="U7" s="53">
        <v>645</v>
      </c>
      <c r="V7" s="16">
        <f t="shared" si="2"/>
        <v>2418.75</v>
      </c>
      <c r="W7" s="53">
        <v>1</v>
      </c>
      <c r="X7" s="53" t="s">
        <v>46</v>
      </c>
      <c r="Y7" s="53" t="s">
        <v>88</v>
      </c>
      <c r="Z7" s="53" t="s">
        <v>102</v>
      </c>
      <c r="AA7" s="53" t="s">
        <v>86</v>
      </c>
      <c r="AB7" s="53" t="s">
        <v>158</v>
      </c>
      <c r="AE7" s="22" t="s">
        <v>61</v>
      </c>
      <c r="AG7" s="71" t="s">
        <v>198</v>
      </c>
      <c r="AH7" s="71" t="s">
        <v>195</v>
      </c>
      <c r="AL7" s="74" t="s">
        <v>199</v>
      </c>
      <c r="AP7" s="23" t="s">
        <v>58</v>
      </c>
      <c r="AR7" s="23" t="s">
        <v>200</v>
      </c>
      <c r="AV7" s="23" t="s">
        <v>64</v>
      </c>
      <c r="AX7" s="24">
        <v>109</v>
      </c>
      <c r="AY7" s="25">
        <v>33</v>
      </c>
      <c r="AZ7" s="25">
        <v>113</v>
      </c>
      <c r="BA7" s="26">
        <v>30</v>
      </c>
    </row>
    <row r="8" spans="1:53" x14ac:dyDescent="0.15">
      <c r="A8" s="53" t="s">
        <v>41</v>
      </c>
      <c r="B8" s="53" t="s">
        <v>157</v>
      </c>
      <c r="C8" s="62">
        <v>2019</v>
      </c>
      <c r="D8" s="63" t="s">
        <v>165</v>
      </c>
      <c r="E8" s="53" t="s">
        <v>133</v>
      </c>
      <c r="F8" s="53" t="s">
        <v>184</v>
      </c>
      <c r="G8" s="53" t="s">
        <v>42</v>
      </c>
      <c r="H8" s="53" t="s">
        <v>160</v>
      </c>
      <c r="I8" s="53" t="s">
        <v>159</v>
      </c>
      <c r="J8" s="53" t="s">
        <v>38</v>
      </c>
      <c r="K8" s="53" t="s">
        <v>161</v>
      </c>
      <c r="L8" s="53">
        <v>1</v>
      </c>
      <c r="N8" s="53">
        <v>1</v>
      </c>
      <c r="O8" s="53">
        <v>0.75</v>
      </c>
      <c r="P8" s="53">
        <v>0.7</v>
      </c>
      <c r="Q8" s="75">
        <f t="shared" si="0"/>
        <v>0.72499999999999998</v>
      </c>
      <c r="R8" s="53">
        <v>15.2</v>
      </c>
      <c r="S8" s="53">
        <v>126</v>
      </c>
      <c r="T8" s="16">
        <f t="shared" si="1"/>
        <v>27</v>
      </c>
      <c r="U8" s="53">
        <v>139</v>
      </c>
      <c r="V8" s="16">
        <f t="shared" si="2"/>
        <v>3753</v>
      </c>
      <c r="W8" s="53">
        <v>2</v>
      </c>
      <c r="X8" s="53" t="s">
        <v>46</v>
      </c>
      <c r="Y8" s="53" t="s">
        <v>88</v>
      </c>
      <c r="Z8" s="53" t="s">
        <v>102</v>
      </c>
      <c r="AA8" s="53" t="s">
        <v>86</v>
      </c>
      <c r="AB8" s="53" t="s">
        <v>158</v>
      </c>
      <c r="AE8" s="22" t="s">
        <v>59</v>
      </c>
      <c r="AG8" s="71" t="s">
        <v>201</v>
      </c>
      <c r="AH8" s="71" t="s">
        <v>202</v>
      </c>
      <c r="AL8" s="74" t="s">
        <v>160</v>
      </c>
      <c r="AP8" s="23" t="s">
        <v>62</v>
      </c>
      <c r="AR8" s="23" t="s">
        <v>81</v>
      </c>
      <c r="AV8" s="23" t="s">
        <v>97</v>
      </c>
      <c r="AX8" s="24">
        <v>119</v>
      </c>
      <c r="AY8" s="25">
        <v>30</v>
      </c>
      <c r="AZ8" s="25">
        <v>121</v>
      </c>
      <c r="BA8" s="26">
        <v>27</v>
      </c>
    </row>
    <row r="9" spans="1:53" x14ac:dyDescent="0.15">
      <c r="A9" s="53" t="s">
        <v>41</v>
      </c>
      <c r="B9" s="53" t="s">
        <v>157</v>
      </c>
      <c r="C9" s="62">
        <v>2019</v>
      </c>
      <c r="D9" s="63" t="s">
        <v>165</v>
      </c>
      <c r="E9" s="53" t="s">
        <v>133</v>
      </c>
      <c r="F9" s="53" t="s">
        <v>184</v>
      </c>
      <c r="G9" s="53" t="s">
        <v>42</v>
      </c>
      <c r="H9" s="53" t="s">
        <v>160</v>
      </c>
      <c r="I9" s="53" t="s">
        <v>159</v>
      </c>
      <c r="J9" s="53" t="s">
        <v>38</v>
      </c>
      <c r="K9" s="53" t="s">
        <v>161</v>
      </c>
      <c r="L9" s="53">
        <v>2</v>
      </c>
      <c r="M9" s="76"/>
      <c r="N9" s="53">
        <v>1</v>
      </c>
      <c r="O9" s="53">
        <v>0.5</v>
      </c>
      <c r="P9" s="53">
        <v>0.45</v>
      </c>
      <c r="Q9" s="75">
        <f t="shared" si="0"/>
        <v>0.47499999999999998</v>
      </c>
      <c r="R9" s="53">
        <v>15.5</v>
      </c>
      <c r="S9" s="53">
        <v>123</v>
      </c>
      <c r="T9" s="16">
        <f t="shared" si="1"/>
        <v>27</v>
      </c>
      <c r="U9" s="53">
        <v>139</v>
      </c>
      <c r="V9" s="16">
        <f t="shared" si="2"/>
        <v>3753</v>
      </c>
      <c r="W9" s="53">
        <v>2</v>
      </c>
      <c r="X9" s="53" t="s">
        <v>46</v>
      </c>
      <c r="Y9" s="53" t="s">
        <v>88</v>
      </c>
      <c r="Z9" s="53" t="s">
        <v>102</v>
      </c>
      <c r="AA9" s="53" t="s">
        <v>86</v>
      </c>
      <c r="AB9" s="53" t="s">
        <v>158</v>
      </c>
      <c r="AE9" s="22" t="s">
        <v>203</v>
      </c>
      <c r="AG9" s="71" t="s">
        <v>204</v>
      </c>
      <c r="AH9" s="71" t="s">
        <v>205</v>
      </c>
      <c r="AL9" s="73"/>
      <c r="AP9" s="23" t="s">
        <v>95</v>
      </c>
      <c r="AR9" s="23" t="s">
        <v>206</v>
      </c>
      <c r="AV9" s="23" t="s">
        <v>102</v>
      </c>
      <c r="AX9" s="24">
        <v>128</v>
      </c>
      <c r="AY9" s="25">
        <v>27</v>
      </c>
      <c r="AZ9" s="25">
        <v>129</v>
      </c>
      <c r="BA9" s="26">
        <v>25</v>
      </c>
    </row>
    <row r="10" spans="1:53" x14ac:dyDescent="0.15">
      <c r="A10" s="53" t="s">
        <v>41</v>
      </c>
      <c r="B10" s="53" t="s">
        <v>157</v>
      </c>
      <c r="C10" s="62">
        <v>2019</v>
      </c>
      <c r="D10" s="63" t="s">
        <v>165</v>
      </c>
      <c r="E10" s="53" t="s">
        <v>133</v>
      </c>
      <c r="F10" s="53" t="s">
        <v>184</v>
      </c>
      <c r="G10" s="53" t="s">
        <v>42</v>
      </c>
      <c r="H10" s="53" t="s">
        <v>160</v>
      </c>
      <c r="I10" s="53" t="s">
        <v>159</v>
      </c>
      <c r="J10" s="53" t="s">
        <v>38</v>
      </c>
      <c r="K10" s="53" t="s">
        <v>161</v>
      </c>
      <c r="L10" s="53">
        <v>3</v>
      </c>
      <c r="M10" s="76"/>
      <c r="N10" s="53">
        <v>1</v>
      </c>
      <c r="O10" s="53">
        <v>0.35</v>
      </c>
      <c r="P10" s="53">
        <v>0.3</v>
      </c>
      <c r="Q10" s="75">
        <f t="shared" si="0"/>
        <v>0.32499999999999996</v>
      </c>
      <c r="R10" s="53">
        <v>13.2</v>
      </c>
      <c r="S10" s="53">
        <v>122</v>
      </c>
      <c r="T10" s="16">
        <f t="shared" si="1"/>
        <v>27</v>
      </c>
      <c r="U10" s="53">
        <v>139</v>
      </c>
      <c r="V10" s="16">
        <f t="shared" si="2"/>
        <v>3753</v>
      </c>
      <c r="W10" s="53">
        <v>2</v>
      </c>
      <c r="X10" s="53" t="s">
        <v>46</v>
      </c>
      <c r="Y10" s="53" t="s">
        <v>88</v>
      </c>
      <c r="Z10" s="53" t="s">
        <v>102</v>
      </c>
      <c r="AA10" s="53" t="s">
        <v>86</v>
      </c>
      <c r="AB10" s="53" t="s">
        <v>158</v>
      </c>
      <c r="AE10" s="22" t="s">
        <v>207</v>
      </c>
      <c r="AG10" s="71" t="s">
        <v>201</v>
      </c>
      <c r="AH10" s="71" t="s">
        <v>208</v>
      </c>
      <c r="AL10" s="74"/>
      <c r="AP10" s="23" t="s">
        <v>100</v>
      </c>
      <c r="AR10" s="23" t="s">
        <v>209</v>
      </c>
      <c r="AV10" s="23" t="s">
        <v>106</v>
      </c>
      <c r="AX10" s="24">
        <v>138</v>
      </c>
      <c r="AY10" s="25">
        <v>25</v>
      </c>
      <c r="AZ10" s="25">
        <v>138</v>
      </c>
      <c r="BA10" s="26">
        <v>22</v>
      </c>
    </row>
    <row r="11" spans="1:53" x14ac:dyDescent="0.15">
      <c r="A11" s="53" t="s">
        <v>41</v>
      </c>
      <c r="B11" s="53" t="s">
        <v>157</v>
      </c>
      <c r="C11" s="62">
        <v>2019</v>
      </c>
      <c r="D11" s="63" t="s">
        <v>165</v>
      </c>
      <c r="E11" s="53" t="s">
        <v>133</v>
      </c>
      <c r="F11" s="53" t="s">
        <v>184</v>
      </c>
      <c r="G11" s="53" t="s">
        <v>42</v>
      </c>
      <c r="H11" s="53" t="s">
        <v>160</v>
      </c>
      <c r="I11" s="53" t="s">
        <v>159</v>
      </c>
      <c r="J11" s="53" t="s">
        <v>38</v>
      </c>
      <c r="K11" s="53" t="s">
        <v>161</v>
      </c>
      <c r="L11" s="53">
        <v>1</v>
      </c>
      <c r="N11" s="53">
        <v>8</v>
      </c>
      <c r="O11" s="53">
        <v>0.25</v>
      </c>
      <c r="P11" s="53">
        <v>0.25</v>
      </c>
      <c r="Q11" s="72">
        <f t="shared" si="0"/>
        <v>0.25</v>
      </c>
      <c r="R11" s="53">
        <v>16.7</v>
      </c>
      <c r="S11" s="53">
        <v>108</v>
      </c>
      <c r="T11" s="16">
        <f t="shared" si="1"/>
        <v>33</v>
      </c>
      <c r="U11" s="53">
        <v>862</v>
      </c>
      <c r="V11" s="16">
        <f t="shared" si="2"/>
        <v>3555.75</v>
      </c>
      <c r="W11" s="53">
        <v>2</v>
      </c>
      <c r="X11" s="53" t="s">
        <v>46</v>
      </c>
      <c r="Y11" s="53" t="s">
        <v>88</v>
      </c>
      <c r="Z11" s="53" t="s">
        <v>102</v>
      </c>
      <c r="AA11" s="53" t="s">
        <v>86</v>
      </c>
      <c r="AB11" s="53" t="s">
        <v>158</v>
      </c>
      <c r="AE11" s="22" t="s">
        <v>68</v>
      </c>
      <c r="AG11" s="71" t="s">
        <v>210</v>
      </c>
      <c r="AH11" s="71" t="s">
        <v>211</v>
      </c>
      <c r="AL11" s="74"/>
      <c r="AP11" s="23" t="s">
        <v>104</v>
      </c>
      <c r="AR11" s="23" t="s">
        <v>212</v>
      </c>
      <c r="AV11" s="23" t="s">
        <v>69</v>
      </c>
      <c r="AX11" s="24">
        <v>151</v>
      </c>
      <c r="AY11" s="25">
        <v>22</v>
      </c>
      <c r="AZ11" s="25">
        <v>152</v>
      </c>
      <c r="BA11" s="26">
        <v>18</v>
      </c>
    </row>
    <row r="12" spans="1:53" x14ac:dyDescent="0.15">
      <c r="A12" s="53" t="s">
        <v>41</v>
      </c>
      <c r="B12" s="53" t="s">
        <v>157</v>
      </c>
      <c r="C12" s="62">
        <v>2019</v>
      </c>
      <c r="D12" s="63" t="s">
        <v>165</v>
      </c>
      <c r="E12" s="53" t="s">
        <v>133</v>
      </c>
      <c r="F12" s="53" t="s">
        <v>184</v>
      </c>
      <c r="G12" s="53" t="s">
        <v>42</v>
      </c>
      <c r="H12" s="53" t="s">
        <v>160</v>
      </c>
      <c r="I12" s="53" t="s">
        <v>159</v>
      </c>
      <c r="J12" s="53" t="s">
        <v>38</v>
      </c>
      <c r="K12" s="53" t="s">
        <v>161</v>
      </c>
      <c r="L12" s="53">
        <v>2</v>
      </c>
      <c r="M12" s="76"/>
      <c r="N12" s="53">
        <v>8</v>
      </c>
      <c r="O12" s="53">
        <v>0.25</v>
      </c>
      <c r="P12" s="53">
        <v>0.25</v>
      </c>
      <c r="Q12" s="72">
        <f t="shared" si="0"/>
        <v>0.25</v>
      </c>
      <c r="R12" s="53">
        <v>16.5</v>
      </c>
      <c r="S12" s="53">
        <v>107</v>
      </c>
      <c r="T12" s="16">
        <f t="shared" si="1"/>
        <v>33</v>
      </c>
      <c r="U12" s="53">
        <v>862</v>
      </c>
      <c r="V12" s="16">
        <f t="shared" si="2"/>
        <v>3555.75</v>
      </c>
      <c r="W12" s="53">
        <v>2</v>
      </c>
      <c r="X12" s="53" t="s">
        <v>46</v>
      </c>
      <c r="Y12" s="53" t="s">
        <v>88</v>
      </c>
      <c r="Z12" s="53" t="s">
        <v>102</v>
      </c>
      <c r="AA12" s="53" t="s">
        <v>86</v>
      </c>
      <c r="AB12" s="53" t="s">
        <v>158</v>
      </c>
      <c r="AE12" s="22" t="s">
        <v>213</v>
      </c>
      <c r="AG12" s="22"/>
      <c r="AH12" s="22"/>
      <c r="AL12" s="74"/>
      <c r="AP12" s="23" t="s">
        <v>67</v>
      </c>
      <c r="AR12" s="23" t="s">
        <v>214</v>
      </c>
      <c r="AV12" s="23" t="s">
        <v>72</v>
      </c>
      <c r="AX12" s="31">
        <v>180</v>
      </c>
      <c r="AY12" s="32">
        <v>18</v>
      </c>
      <c r="AZ12" s="32">
        <v>181</v>
      </c>
      <c r="BA12" s="33">
        <v>16</v>
      </c>
    </row>
    <row r="13" spans="1:53" x14ac:dyDescent="0.15">
      <c r="A13" s="53" t="s">
        <v>41</v>
      </c>
      <c r="B13" s="53" t="s">
        <v>157</v>
      </c>
      <c r="C13" s="62">
        <v>2019</v>
      </c>
      <c r="D13" s="63" t="s">
        <v>165</v>
      </c>
      <c r="E13" s="53" t="s">
        <v>133</v>
      </c>
      <c r="F13" s="53" t="s">
        <v>184</v>
      </c>
      <c r="G13" s="53" t="s">
        <v>42</v>
      </c>
      <c r="H13" s="53" t="s">
        <v>160</v>
      </c>
      <c r="I13" s="53" t="s">
        <v>159</v>
      </c>
      <c r="J13" s="53" t="s">
        <v>38</v>
      </c>
      <c r="K13" s="53" t="s">
        <v>161</v>
      </c>
      <c r="L13" s="53">
        <v>3</v>
      </c>
      <c r="M13" s="76"/>
      <c r="N13" s="53">
        <v>8</v>
      </c>
      <c r="O13" s="53">
        <v>0.35</v>
      </c>
      <c r="P13" s="53">
        <v>0.25</v>
      </c>
      <c r="Q13" s="72">
        <f t="shared" si="0"/>
        <v>0.3</v>
      </c>
      <c r="R13" s="53">
        <v>14.8</v>
      </c>
      <c r="S13" s="53">
        <v>111</v>
      </c>
      <c r="T13" s="16">
        <f t="shared" si="1"/>
        <v>33</v>
      </c>
      <c r="U13" s="53">
        <v>862</v>
      </c>
      <c r="V13" s="16">
        <f t="shared" si="2"/>
        <v>3555.75</v>
      </c>
      <c r="W13" s="53">
        <v>2</v>
      </c>
      <c r="X13" s="53" t="s">
        <v>46</v>
      </c>
      <c r="Y13" s="53" t="s">
        <v>88</v>
      </c>
      <c r="Z13" s="53" t="s">
        <v>102</v>
      </c>
      <c r="AA13" s="53" t="s">
        <v>86</v>
      </c>
      <c r="AB13" s="53" t="s">
        <v>158</v>
      </c>
      <c r="AE13" s="22" t="s">
        <v>215</v>
      </c>
      <c r="AG13" s="23"/>
      <c r="AH13" s="23"/>
      <c r="AP13" s="23" t="s">
        <v>71</v>
      </c>
      <c r="AR13" s="23" t="s">
        <v>207</v>
      </c>
      <c r="AV13" s="23" t="s">
        <v>75</v>
      </c>
    </row>
    <row r="14" spans="1:53" x14ac:dyDescent="0.15">
      <c r="A14" s="53" t="s">
        <v>41</v>
      </c>
      <c r="B14" s="53" t="s">
        <v>157</v>
      </c>
      <c r="C14" s="62">
        <v>2019</v>
      </c>
      <c r="D14" s="63" t="s">
        <v>165</v>
      </c>
      <c r="E14" s="53" t="s">
        <v>186</v>
      </c>
      <c r="F14" s="53" t="s">
        <v>184</v>
      </c>
      <c r="G14" s="53" t="s">
        <v>42</v>
      </c>
      <c r="H14" s="53" t="s">
        <v>160</v>
      </c>
      <c r="I14" s="53" t="s">
        <v>159</v>
      </c>
      <c r="J14" s="53" t="s">
        <v>38</v>
      </c>
      <c r="K14" s="53" t="s">
        <v>161</v>
      </c>
      <c r="L14" s="53">
        <v>1</v>
      </c>
      <c r="M14" s="76"/>
      <c r="N14" s="53">
        <v>1</v>
      </c>
      <c r="O14" s="53">
        <v>0.85</v>
      </c>
      <c r="P14" s="53">
        <v>0.95</v>
      </c>
      <c r="Q14" s="72">
        <f t="shared" si="0"/>
        <v>0.89999999999999991</v>
      </c>
      <c r="R14" s="53">
        <v>16.2</v>
      </c>
      <c r="S14" s="53">
        <v>126</v>
      </c>
      <c r="T14" s="16">
        <f t="shared" si="1"/>
        <v>27</v>
      </c>
      <c r="U14" s="53">
        <v>149</v>
      </c>
      <c r="V14" s="16">
        <f t="shared" si="2"/>
        <v>4023</v>
      </c>
      <c r="W14" s="53">
        <v>2</v>
      </c>
      <c r="X14" s="53" t="s">
        <v>46</v>
      </c>
      <c r="Y14" s="53" t="s">
        <v>86</v>
      </c>
      <c r="Z14" s="53" t="s">
        <v>88</v>
      </c>
      <c r="AA14" s="53" t="s">
        <v>97</v>
      </c>
      <c r="AB14" s="53" t="s">
        <v>158</v>
      </c>
      <c r="AE14" s="22" t="s">
        <v>96</v>
      </c>
      <c r="AG14" s="23"/>
      <c r="AH14" s="23"/>
      <c r="AP14" s="23" t="s">
        <v>74</v>
      </c>
      <c r="AR14" s="23" t="s">
        <v>216</v>
      </c>
      <c r="AV14" s="23" t="s">
        <v>78</v>
      </c>
    </row>
    <row r="15" spans="1:53" x14ac:dyDescent="0.15">
      <c r="A15" s="53" t="s">
        <v>41</v>
      </c>
      <c r="B15" s="53" t="s">
        <v>157</v>
      </c>
      <c r="C15" s="62">
        <v>2019</v>
      </c>
      <c r="D15" s="63" t="s">
        <v>165</v>
      </c>
      <c r="E15" s="53" t="s">
        <v>186</v>
      </c>
      <c r="F15" s="53" t="s">
        <v>184</v>
      </c>
      <c r="G15" s="53" t="s">
        <v>42</v>
      </c>
      <c r="H15" s="53" t="s">
        <v>160</v>
      </c>
      <c r="I15" s="53" t="s">
        <v>159</v>
      </c>
      <c r="J15" s="53" t="s">
        <v>38</v>
      </c>
      <c r="K15" s="53" t="s">
        <v>161</v>
      </c>
      <c r="L15" s="53">
        <v>2</v>
      </c>
      <c r="M15" s="76"/>
      <c r="N15" s="53">
        <v>1</v>
      </c>
      <c r="O15" s="53">
        <v>0.8</v>
      </c>
      <c r="P15" s="53">
        <v>0.8</v>
      </c>
      <c r="Q15" s="72">
        <f t="shared" si="0"/>
        <v>0.8</v>
      </c>
      <c r="R15" s="53">
        <v>15.3</v>
      </c>
      <c r="S15" s="53">
        <v>122</v>
      </c>
      <c r="T15" s="16">
        <f t="shared" si="1"/>
        <v>27</v>
      </c>
      <c r="U15" s="53">
        <v>149</v>
      </c>
      <c r="V15" s="16">
        <f t="shared" si="2"/>
        <v>4023</v>
      </c>
      <c r="W15" s="53">
        <v>2</v>
      </c>
      <c r="X15" s="53" t="s">
        <v>46</v>
      </c>
      <c r="Y15" s="53" t="s">
        <v>86</v>
      </c>
      <c r="Z15" s="53" t="s">
        <v>88</v>
      </c>
      <c r="AA15" s="53" t="s">
        <v>97</v>
      </c>
      <c r="AB15" s="53" t="s">
        <v>158</v>
      </c>
      <c r="AE15" s="22" t="s">
        <v>217</v>
      </c>
      <c r="AG15" s="23"/>
      <c r="AH15" s="23"/>
      <c r="AP15" s="23" t="s">
        <v>77</v>
      </c>
      <c r="AR15" s="23" t="s">
        <v>80</v>
      </c>
      <c r="AV15" s="23" t="s">
        <v>107</v>
      </c>
    </row>
    <row r="16" spans="1:53" x14ac:dyDescent="0.15">
      <c r="A16" s="53" t="s">
        <v>41</v>
      </c>
      <c r="B16" s="53" t="s">
        <v>157</v>
      </c>
      <c r="C16" s="62">
        <v>2019</v>
      </c>
      <c r="D16" s="63" t="s">
        <v>165</v>
      </c>
      <c r="E16" s="53" t="s">
        <v>186</v>
      </c>
      <c r="F16" s="53" t="s">
        <v>184</v>
      </c>
      <c r="G16" s="53" t="s">
        <v>42</v>
      </c>
      <c r="H16" s="53" t="s">
        <v>160</v>
      </c>
      <c r="I16" s="53" t="s">
        <v>159</v>
      </c>
      <c r="J16" s="53" t="s">
        <v>38</v>
      </c>
      <c r="K16" s="53" t="s">
        <v>161</v>
      </c>
      <c r="L16" s="53">
        <v>3</v>
      </c>
      <c r="M16" s="76"/>
      <c r="N16" s="53">
        <v>1</v>
      </c>
      <c r="O16" s="53">
        <v>0.9</v>
      </c>
      <c r="P16" s="53">
        <v>0.75</v>
      </c>
      <c r="Q16" s="72">
        <f t="shared" si="0"/>
        <v>0.82499999999999996</v>
      </c>
      <c r="R16" s="53">
        <v>16.8</v>
      </c>
      <c r="S16" s="53">
        <v>128</v>
      </c>
      <c r="T16" s="16">
        <f t="shared" si="1"/>
        <v>27</v>
      </c>
      <c r="U16" s="53">
        <v>149</v>
      </c>
      <c r="V16" s="16">
        <f t="shared" si="2"/>
        <v>4023</v>
      </c>
      <c r="W16" s="53">
        <v>2</v>
      </c>
      <c r="X16" s="53" t="s">
        <v>46</v>
      </c>
      <c r="Y16" s="53" t="s">
        <v>86</v>
      </c>
      <c r="Z16" s="53" t="s">
        <v>88</v>
      </c>
      <c r="AA16" s="53" t="s">
        <v>97</v>
      </c>
      <c r="AB16" s="53" t="s">
        <v>158</v>
      </c>
      <c r="AE16" s="22" t="s">
        <v>218</v>
      </c>
      <c r="AG16" s="28"/>
      <c r="AH16" s="28"/>
      <c r="AP16" s="23" t="s">
        <v>80</v>
      </c>
      <c r="AR16" s="23" t="s">
        <v>63</v>
      </c>
      <c r="AV16" s="23" t="s">
        <v>84</v>
      </c>
    </row>
    <row r="17" spans="1:48" x14ac:dyDescent="0.15">
      <c r="A17" s="53" t="s">
        <v>41</v>
      </c>
      <c r="B17" s="53" t="s">
        <v>157</v>
      </c>
      <c r="C17" s="62">
        <v>2019</v>
      </c>
      <c r="D17" s="63" t="s">
        <v>165</v>
      </c>
      <c r="E17" s="53" t="s">
        <v>186</v>
      </c>
      <c r="F17" s="53" t="s">
        <v>184</v>
      </c>
      <c r="G17" s="53" t="s">
        <v>42</v>
      </c>
      <c r="H17" s="53" t="s">
        <v>160</v>
      </c>
      <c r="I17" s="53" t="s">
        <v>159</v>
      </c>
      <c r="J17" s="53" t="s">
        <v>38</v>
      </c>
      <c r="K17" s="53" t="s">
        <v>161</v>
      </c>
      <c r="L17" s="53">
        <v>1</v>
      </c>
      <c r="M17" s="76"/>
      <c r="N17" s="53">
        <v>7</v>
      </c>
      <c r="O17" s="53">
        <v>0.35</v>
      </c>
      <c r="P17" s="53">
        <v>0.3</v>
      </c>
      <c r="Q17" s="75">
        <f t="shared" si="0"/>
        <v>0.32499999999999996</v>
      </c>
      <c r="R17" s="53">
        <v>14.2</v>
      </c>
      <c r="S17" s="53">
        <v>120</v>
      </c>
      <c r="T17" s="16">
        <f t="shared" si="1"/>
        <v>30</v>
      </c>
      <c r="U17" s="53">
        <v>626</v>
      </c>
      <c r="V17" s="16">
        <f t="shared" si="2"/>
        <v>2682.8571428571431</v>
      </c>
      <c r="W17" s="53">
        <v>1</v>
      </c>
      <c r="X17" s="53" t="s">
        <v>46</v>
      </c>
      <c r="Y17" s="53" t="s">
        <v>86</v>
      </c>
      <c r="Z17" s="53" t="s">
        <v>88</v>
      </c>
      <c r="AA17" s="53" t="s">
        <v>97</v>
      </c>
      <c r="AB17" s="53" t="s">
        <v>158</v>
      </c>
      <c r="AE17" s="22" t="s">
        <v>219</v>
      </c>
      <c r="AP17" s="27" t="s">
        <v>220</v>
      </c>
      <c r="AR17" s="23" t="s">
        <v>96</v>
      </c>
      <c r="AV17" s="23" t="s">
        <v>86</v>
      </c>
    </row>
    <row r="18" spans="1:48" x14ac:dyDescent="0.15">
      <c r="A18" s="53" t="s">
        <v>41</v>
      </c>
      <c r="B18" s="53" t="s">
        <v>157</v>
      </c>
      <c r="C18" s="62">
        <v>2019</v>
      </c>
      <c r="D18" s="63" t="s">
        <v>165</v>
      </c>
      <c r="E18" s="53" t="s">
        <v>186</v>
      </c>
      <c r="F18" s="53" t="s">
        <v>184</v>
      </c>
      <c r="G18" s="53" t="s">
        <v>42</v>
      </c>
      <c r="H18" s="53" t="s">
        <v>160</v>
      </c>
      <c r="I18" s="53" t="s">
        <v>159</v>
      </c>
      <c r="J18" s="53" t="s">
        <v>38</v>
      </c>
      <c r="K18" s="53" t="s">
        <v>161</v>
      </c>
      <c r="L18" s="53">
        <v>2</v>
      </c>
      <c r="M18" s="76"/>
      <c r="N18" s="53">
        <v>7</v>
      </c>
      <c r="O18" s="53">
        <v>0.3</v>
      </c>
      <c r="P18" s="53">
        <v>0.25</v>
      </c>
      <c r="Q18" s="75">
        <f t="shared" si="0"/>
        <v>0.27500000000000002</v>
      </c>
      <c r="R18" s="53">
        <v>15.9</v>
      </c>
      <c r="S18" s="53">
        <v>115</v>
      </c>
      <c r="T18" s="16">
        <f t="shared" si="1"/>
        <v>30</v>
      </c>
      <c r="U18" s="53">
        <v>626</v>
      </c>
      <c r="V18" s="16">
        <f t="shared" si="2"/>
        <v>2682.8571428571431</v>
      </c>
      <c r="W18" s="53">
        <v>1</v>
      </c>
      <c r="X18" s="53" t="s">
        <v>46</v>
      </c>
      <c r="Y18" s="53" t="s">
        <v>86</v>
      </c>
      <c r="Z18" s="53" t="s">
        <v>88</v>
      </c>
      <c r="AA18" s="53" t="s">
        <v>97</v>
      </c>
      <c r="AB18" s="53" t="s">
        <v>158</v>
      </c>
      <c r="AE18" s="22" t="s">
        <v>212</v>
      </c>
      <c r="AP18" s="27" t="s">
        <v>221</v>
      </c>
      <c r="AR18" s="23" t="s">
        <v>101</v>
      </c>
      <c r="AV18" s="23" t="s">
        <v>88</v>
      </c>
    </row>
    <row r="19" spans="1:48" x14ac:dyDescent="0.15">
      <c r="A19" s="53" t="s">
        <v>41</v>
      </c>
      <c r="B19" s="53" t="s">
        <v>157</v>
      </c>
      <c r="C19" s="62">
        <v>2019</v>
      </c>
      <c r="D19" s="63" t="s">
        <v>165</v>
      </c>
      <c r="E19" s="53" t="s">
        <v>186</v>
      </c>
      <c r="F19" s="53" t="s">
        <v>184</v>
      </c>
      <c r="G19" s="53" t="s">
        <v>42</v>
      </c>
      <c r="H19" s="53" t="s">
        <v>160</v>
      </c>
      <c r="I19" s="53" t="s">
        <v>159</v>
      </c>
      <c r="J19" s="53" t="s">
        <v>38</v>
      </c>
      <c r="K19" s="53" t="s">
        <v>161</v>
      </c>
      <c r="L19" s="53">
        <v>3</v>
      </c>
      <c r="M19" s="76"/>
      <c r="N19" s="53">
        <v>7</v>
      </c>
      <c r="O19" s="53">
        <v>0.25</v>
      </c>
      <c r="P19" s="53">
        <v>0.25</v>
      </c>
      <c r="Q19" s="75">
        <f t="shared" si="0"/>
        <v>0.25</v>
      </c>
      <c r="R19" s="53">
        <v>16.7</v>
      </c>
      <c r="S19" s="53">
        <v>117</v>
      </c>
      <c r="T19" s="16">
        <f t="shared" si="1"/>
        <v>30</v>
      </c>
      <c r="U19" s="53">
        <v>626</v>
      </c>
      <c r="V19" s="16">
        <f t="shared" si="2"/>
        <v>2682.8571428571431</v>
      </c>
      <c r="W19" s="53">
        <v>1</v>
      </c>
      <c r="X19" s="53" t="s">
        <v>46</v>
      </c>
      <c r="Y19" s="53" t="s">
        <v>86</v>
      </c>
      <c r="Z19" s="53" t="s">
        <v>88</v>
      </c>
      <c r="AA19" s="53" t="s">
        <v>97</v>
      </c>
      <c r="AB19" s="53" t="s">
        <v>158</v>
      </c>
      <c r="AE19" s="35" t="s">
        <v>206</v>
      </c>
      <c r="AP19" s="27" t="s">
        <v>222</v>
      </c>
      <c r="AR19" s="23" t="s">
        <v>223</v>
      </c>
      <c r="AV19" s="23" t="s">
        <v>90</v>
      </c>
    </row>
    <row r="20" spans="1:48" x14ac:dyDescent="0.15">
      <c r="A20" s="53" t="s">
        <v>41</v>
      </c>
      <c r="B20" s="53" t="s">
        <v>157</v>
      </c>
      <c r="C20" s="62">
        <v>2019</v>
      </c>
      <c r="D20" s="63" t="s">
        <v>165</v>
      </c>
      <c r="E20" s="53" t="s">
        <v>186</v>
      </c>
      <c r="F20" s="53" t="s">
        <v>184</v>
      </c>
      <c r="G20" s="53" t="s">
        <v>42</v>
      </c>
      <c r="H20" s="53" t="s">
        <v>160</v>
      </c>
      <c r="I20" s="53" t="s">
        <v>159</v>
      </c>
      <c r="J20" s="53" t="s">
        <v>38</v>
      </c>
      <c r="K20" s="53" t="s">
        <v>161</v>
      </c>
      <c r="L20" s="53">
        <v>1</v>
      </c>
      <c r="M20" s="76"/>
      <c r="N20" s="53">
        <v>8</v>
      </c>
      <c r="O20" s="53">
        <v>0.25</v>
      </c>
      <c r="P20" s="53">
        <v>0.25</v>
      </c>
      <c r="Q20" s="75">
        <f t="shared" si="0"/>
        <v>0.25</v>
      </c>
      <c r="R20" s="53">
        <v>14.1</v>
      </c>
      <c r="S20" s="53">
        <v>121</v>
      </c>
      <c r="T20" s="16">
        <f t="shared" si="1"/>
        <v>27</v>
      </c>
      <c r="U20" s="53">
        <v>842</v>
      </c>
      <c r="V20" s="16">
        <f t="shared" si="2"/>
        <v>2841.75</v>
      </c>
      <c r="W20" s="53">
        <v>1</v>
      </c>
      <c r="X20" s="53" t="s">
        <v>46</v>
      </c>
      <c r="Y20" s="53" t="s">
        <v>86</v>
      </c>
      <c r="Z20" s="53" t="s">
        <v>88</v>
      </c>
      <c r="AA20" s="53" t="s">
        <v>97</v>
      </c>
      <c r="AB20" s="53" t="s">
        <v>158</v>
      </c>
      <c r="AE20" s="35"/>
      <c r="AP20" s="27" t="s">
        <v>224</v>
      </c>
      <c r="AR20" s="23" t="s">
        <v>105</v>
      </c>
      <c r="AV20" s="27" t="s">
        <v>225</v>
      </c>
    </row>
    <row r="21" spans="1:48" x14ac:dyDescent="0.15">
      <c r="A21" s="53" t="s">
        <v>41</v>
      </c>
      <c r="B21" s="53" t="s">
        <v>157</v>
      </c>
      <c r="C21" s="62">
        <v>2019</v>
      </c>
      <c r="D21" s="63" t="s">
        <v>165</v>
      </c>
      <c r="E21" s="53" t="s">
        <v>186</v>
      </c>
      <c r="F21" s="53" t="s">
        <v>184</v>
      </c>
      <c r="G21" s="53" t="s">
        <v>42</v>
      </c>
      <c r="H21" s="53" t="s">
        <v>160</v>
      </c>
      <c r="I21" s="53" t="s">
        <v>159</v>
      </c>
      <c r="J21" s="53" t="s">
        <v>38</v>
      </c>
      <c r="K21" s="53" t="s">
        <v>161</v>
      </c>
      <c r="L21" s="53">
        <v>2</v>
      </c>
      <c r="M21" s="76"/>
      <c r="N21" s="53">
        <v>8</v>
      </c>
      <c r="O21" s="53">
        <v>0.25</v>
      </c>
      <c r="P21" s="53">
        <v>0.25</v>
      </c>
      <c r="Q21" s="75">
        <f t="shared" si="0"/>
        <v>0.25</v>
      </c>
      <c r="R21" s="53">
        <v>16.7</v>
      </c>
      <c r="S21" s="53">
        <v>122</v>
      </c>
      <c r="T21" s="16">
        <f t="shared" si="1"/>
        <v>27</v>
      </c>
      <c r="U21" s="53">
        <v>842</v>
      </c>
      <c r="V21" s="16">
        <f t="shared" si="2"/>
        <v>2841.75</v>
      </c>
      <c r="W21" s="53">
        <v>1</v>
      </c>
      <c r="X21" s="53" t="s">
        <v>46</v>
      </c>
      <c r="Y21" s="53" t="s">
        <v>86</v>
      </c>
      <c r="Z21" s="53" t="s">
        <v>88</v>
      </c>
      <c r="AA21" s="53" t="s">
        <v>97</v>
      </c>
      <c r="AB21" s="53" t="s">
        <v>158</v>
      </c>
      <c r="AE21" s="28"/>
      <c r="AP21" s="27" t="s">
        <v>226</v>
      </c>
      <c r="AR21" s="23" t="s">
        <v>68</v>
      </c>
      <c r="AV21" s="27" t="s">
        <v>227</v>
      </c>
    </row>
    <row r="22" spans="1:48" x14ac:dyDescent="0.15">
      <c r="A22" s="53" t="s">
        <v>41</v>
      </c>
      <c r="B22" s="53" t="s">
        <v>157</v>
      </c>
      <c r="C22" s="62">
        <v>2019</v>
      </c>
      <c r="D22" s="63" t="s">
        <v>165</v>
      </c>
      <c r="E22" s="53" t="s">
        <v>186</v>
      </c>
      <c r="F22" s="53" t="s">
        <v>184</v>
      </c>
      <c r="G22" s="53" t="s">
        <v>42</v>
      </c>
      <c r="H22" s="53" t="s">
        <v>160</v>
      </c>
      <c r="I22" s="53" t="s">
        <v>159</v>
      </c>
      <c r="J22" s="53" t="s">
        <v>38</v>
      </c>
      <c r="K22" s="53" t="s">
        <v>161</v>
      </c>
      <c r="L22" s="53">
        <v>3</v>
      </c>
      <c r="M22" s="76"/>
      <c r="N22" s="53">
        <v>8</v>
      </c>
      <c r="O22" s="53">
        <v>0.25</v>
      </c>
      <c r="P22" s="53">
        <v>0.25</v>
      </c>
      <c r="Q22" s="75">
        <f t="shared" si="0"/>
        <v>0.25</v>
      </c>
      <c r="R22" s="53">
        <v>12.9</v>
      </c>
      <c r="S22" s="53">
        <v>122</v>
      </c>
      <c r="T22" s="16">
        <f t="shared" si="1"/>
        <v>27</v>
      </c>
      <c r="U22" s="53">
        <v>842</v>
      </c>
      <c r="V22" s="16">
        <f t="shared" si="2"/>
        <v>2841.75</v>
      </c>
      <c r="W22" s="53">
        <v>1</v>
      </c>
      <c r="X22" s="53" t="s">
        <v>46</v>
      </c>
      <c r="Y22" s="53" t="s">
        <v>86</v>
      </c>
      <c r="Z22" s="53" t="s">
        <v>88</v>
      </c>
      <c r="AA22" s="53" t="s">
        <v>97</v>
      </c>
      <c r="AB22" s="53" t="s">
        <v>158</v>
      </c>
      <c r="AP22" s="27" t="s">
        <v>228</v>
      </c>
      <c r="AR22" s="23" t="s">
        <v>83</v>
      </c>
      <c r="AV22" s="27"/>
    </row>
    <row r="23" spans="1:48" x14ac:dyDescent="0.15">
      <c r="A23" s="53" t="s">
        <v>41</v>
      </c>
      <c r="B23" s="53" t="s">
        <v>157</v>
      </c>
      <c r="C23" s="62">
        <v>2019</v>
      </c>
      <c r="D23" s="63" t="s">
        <v>165</v>
      </c>
      <c r="E23" s="53" t="s">
        <v>186</v>
      </c>
      <c r="F23" s="53" t="s">
        <v>184</v>
      </c>
      <c r="G23" s="53" t="s">
        <v>42</v>
      </c>
      <c r="H23" s="53" t="s">
        <v>164</v>
      </c>
      <c r="I23" s="53" t="s">
        <v>159</v>
      </c>
      <c r="J23" s="53" t="s">
        <v>38</v>
      </c>
      <c r="K23" s="53" t="s">
        <v>161</v>
      </c>
      <c r="L23" s="53">
        <v>1</v>
      </c>
      <c r="M23" s="76"/>
      <c r="N23" s="53">
        <v>1</v>
      </c>
      <c r="O23" s="53">
        <v>0.25</v>
      </c>
      <c r="P23" s="53">
        <v>0.4</v>
      </c>
      <c r="Q23" s="75">
        <f t="shared" si="0"/>
        <v>0.32500000000000001</v>
      </c>
      <c r="R23" s="53">
        <v>12.6</v>
      </c>
      <c r="S23" s="53">
        <v>124</v>
      </c>
      <c r="T23" s="16">
        <f t="shared" si="1"/>
        <v>27</v>
      </c>
      <c r="U23" s="53">
        <v>149</v>
      </c>
      <c r="V23" s="16">
        <f t="shared" si="2"/>
        <v>4023</v>
      </c>
      <c r="W23" s="53">
        <v>2</v>
      </c>
      <c r="X23" s="53" t="s">
        <v>46</v>
      </c>
      <c r="Y23" s="53" t="s">
        <v>86</v>
      </c>
      <c r="Z23" s="53" t="s">
        <v>88</v>
      </c>
      <c r="AA23" s="53" t="s">
        <v>97</v>
      </c>
      <c r="AB23" s="53" t="s">
        <v>158</v>
      </c>
      <c r="AP23" s="27" t="s">
        <v>229</v>
      </c>
      <c r="AR23" s="28" t="s">
        <v>230</v>
      </c>
      <c r="AV23" s="28"/>
    </row>
    <row r="24" spans="1:48" x14ac:dyDescent="0.15">
      <c r="A24" s="53" t="s">
        <v>41</v>
      </c>
      <c r="B24" s="53" t="s">
        <v>157</v>
      </c>
      <c r="C24" s="62">
        <v>2019</v>
      </c>
      <c r="D24" s="63" t="s">
        <v>165</v>
      </c>
      <c r="E24" s="53" t="s">
        <v>186</v>
      </c>
      <c r="F24" s="53" t="s">
        <v>184</v>
      </c>
      <c r="G24" s="53" t="s">
        <v>42</v>
      </c>
      <c r="H24" s="53" t="s">
        <v>164</v>
      </c>
      <c r="I24" s="53" t="s">
        <v>159</v>
      </c>
      <c r="J24" s="53" t="s">
        <v>38</v>
      </c>
      <c r="K24" s="53" t="s">
        <v>161</v>
      </c>
      <c r="L24" s="53">
        <v>2</v>
      </c>
      <c r="M24" s="76"/>
      <c r="N24" s="53">
        <v>1</v>
      </c>
      <c r="O24" s="53">
        <v>0.3</v>
      </c>
      <c r="P24" s="53">
        <v>0.3</v>
      </c>
      <c r="Q24" s="75">
        <f t="shared" si="0"/>
        <v>0.3</v>
      </c>
      <c r="R24" s="53">
        <v>13.8</v>
      </c>
      <c r="S24" s="53">
        <v>123</v>
      </c>
      <c r="T24" s="16">
        <f t="shared" si="1"/>
        <v>27</v>
      </c>
      <c r="U24" s="53">
        <v>149</v>
      </c>
      <c r="V24" s="16">
        <f t="shared" si="2"/>
        <v>4023</v>
      </c>
      <c r="W24" s="53">
        <v>2</v>
      </c>
      <c r="X24" s="53" t="s">
        <v>46</v>
      </c>
      <c r="Y24" s="53" t="s">
        <v>86</v>
      </c>
      <c r="Z24" s="53" t="s">
        <v>88</v>
      </c>
      <c r="AA24" s="53" t="s">
        <v>97</v>
      </c>
      <c r="AB24" s="53" t="s">
        <v>158</v>
      </c>
      <c r="AP24" s="27" t="s">
        <v>231</v>
      </c>
    </row>
    <row r="25" spans="1:48" x14ac:dyDescent="0.15">
      <c r="A25" s="53" t="s">
        <v>41</v>
      </c>
      <c r="B25" s="53" t="s">
        <v>157</v>
      </c>
      <c r="C25" s="62">
        <v>2019</v>
      </c>
      <c r="D25" s="63" t="s">
        <v>165</v>
      </c>
      <c r="E25" s="53" t="s">
        <v>186</v>
      </c>
      <c r="F25" s="53" t="s">
        <v>184</v>
      </c>
      <c r="G25" s="53" t="s">
        <v>42</v>
      </c>
      <c r="H25" s="53" t="s">
        <v>164</v>
      </c>
      <c r="I25" s="53" t="s">
        <v>159</v>
      </c>
      <c r="J25" s="53" t="s">
        <v>38</v>
      </c>
      <c r="K25" s="53" t="s">
        <v>161</v>
      </c>
      <c r="L25" s="53">
        <v>3</v>
      </c>
      <c r="M25" s="76"/>
      <c r="N25" s="53">
        <v>1</v>
      </c>
      <c r="O25" s="53">
        <v>0.35</v>
      </c>
      <c r="P25" s="53">
        <v>0.4</v>
      </c>
      <c r="Q25" s="75">
        <f t="shared" si="0"/>
        <v>0.375</v>
      </c>
      <c r="R25" s="53">
        <v>14.4</v>
      </c>
      <c r="S25" s="53">
        <v>126</v>
      </c>
      <c r="T25" s="16">
        <f t="shared" si="1"/>
        <v>27</v>
      </c>
      <c r="U25" s="53">
        <v>149</v>
      </c>
      <c r="V25" s="16">
        <f t="shared" si="2"/>
        <v>4023</v>
      </c>
      <c r="W25" s="53">
        <v>2</v>
      </c>
      <c r="X25" s="53" t="s">
        <v>46</v>
      </c>
      <c r="Y25" s="53" t="s">
        <v>86</v>
      </c>
      <c r="Z25" s="53" t="s">
        <v>88</v>
      </c>
      <c r="AA25" s="53" t="s">
        <v>97</v>
      </c>
      <c r="AB25" s="53" t="s">
        <v>158</v>
      </c>
    </row>
    <row r="26" spans="1:48" x14ac:dyDescent="0.15">
      <c r="A26" s="53" t="s">
        <v>41</v>
      </c>
      <c r="B26" s="53" t="s">
        <v>157</v>
      </c>
      <c r="C26" s="62">
        <v>2019</v>
      </c>
      <c r="D26" s="63" t="s">
        <v>165</v>
      </c>
      <c r="E26" s="53" t="s">
        <v>186</v>
      </c>
      <c r="F26" s="53" t="s">
        <v>184</v>
      </c>
      <c r="G26" s="53" t="s">
        <v>42</v>
      </c>
      <c r="H26" s="53" t="s">
        <v>164</v>
      </c>
      <c r="I26" s="53" t="s">
        <v>159</v>
      </c>
      <c r="J26" s="53" t="s">
        <v>38</v>
      </c>
      <c r="K26" s="53" t="s">
        <v>161</v>
      </c>
      <c r="L26" s="53">
        <v>1</v>
      </c>
      <c r="M26" s="76"/>
      <c r="N26" s="53">
        <v>8</v>
      </c>
      <c r="O26" s="53">
        <v>0.85</v>
      </c>
      <c r="P26" s="74">
        <v>0.75</v>
      </c>
      <c r="Q26" s="75">
        <f t="shared" si="0"/>
        <v>0.8</v>
      </c>
      <c r="R26" s="53">
        <v>14.7</v>
      </c>
      <c r="S26" s="53">
        <v>100</v>
      </c>
      <c r="T26" s="16">
        <f t="shared" si="1"/>
        <v>33</v>
      </c>
      <c r="U26" s="53">
        <v>626</v>
      </c>
      <c r="V26" s="16">
        <f t="shared" si="2"/>
        <v>2582.25</v>
      </c>
      <c r="W26" s="53">
        <v>1</v>
      </c>
      <c r="X26" s="53" t="s">
        <v>46</v>
      </c>
      <c r="Y26" s="53" t="s">
        <v>86</v>
      </c>
      <c r="Z26" s="53" t="s">
        <v>88</v>
      </c>
      <c r="AA26" s="53" t="s">
        <v>97</v>
      </c>
      <c r="AB26" s="53" t="s">
        <v>158</v>
      </c>
    </row>
    <row r="27" spans="1:48" x14ac:dyDescent="0.15">
      <c r="A27" s="53" t="s">
        <v>41</v>
      </c>
      <c r="B27" s="53" t="s">
        <v>157</v>
      </c>
      <c r="C27" s="62">
        <v>2019</v>
      </c>
      <c r="D27" s="63" t="s">
        <v>165</v>
      </c>
      <c r="E27" s="53" t="s">
        <v>186</v>
      </c>
      <c r="F27" s="53" t="s">
        <v>184</v>
      </c>
      <c r="G27" s="53" t="s">
        <v>42</v>
      </c>
      <c r="H27" s="53" t="s">
        <v>164</v>
      </c>
      <c r="I27" s="53" t="s">
        <v>159</v>
      </c>
      <c r="J27" s="53" t="s">
        <v>38</v>
      </c>
      <c r="K27" s="53" t="s">
        <v>161</v>
      </c>
      <c r="L27" s="53">
        <v>2</v>
      </c>
      <c r="M27" s="76"/>
      <c r="N27" s="53">
        <v>8</v>
      </c>
      <c r="O27" s="53">
        <v>0.65</v>
      </c>
      <c r="P27" s="53">
        <v>0.65</v>
      </c>
      <c r="Q27" s="75">
        <f t="shared" si="0"/>
        <v>0.65</v>
      </c>
      <c r="R27" s="53">
        <v>12.8</v>
      </c>
      <c r="S27" s="53">
        <v>105</v>
      </c>
      <c r="T27" s="16">
        <f t="shared" si="1"/>
        <v>33</v>
      </c>
      <c r="U27" s="53">
        <v>626</v>
      </c>
      <c r="V27" s="16">
        <f t="shared" si="2"/>
        <v>2582.25</v>
      </c>
      <c r="W27" s="53">
        <v>1</v>
      </c>
      <c r="X27" s="53" t="s">
        <v>46</v>
      </c>
      <c r="Y27" s="53" t="s">
        <v>86</v>
      </c>
      <c r="Z27" s="53" t="s">
        <v>88</v>
      </c>
      <c r="AA27" s="53" t="s">
        <v>97</v>
      </c>
      <c r="AB27" s="53" t="s">
        <v>158</v>
      </c>
    </row>
    <row r="28" spans="1:48" x14ac:dyDescent="0.15">
      <c r="A28" s="53" t="s">
        <v>41</v>
      </c>
      <c r="B28" s="53" t="s">
        <v>157</v>
      </c>
      <c r="C28" s="62">
        <v>2019</v>
      </c>
      <c r="D28" s="63" t="s">
        <v>165</v>
      </c>
      <c r="E28" s="53" t="s">
        <v>186</v>
      </c>
      <c r="F28" s="53" t="s">
        <v>184</v>
      </c>
      <c r="G28" s="53" t="s">
        <v>42</v>
      </c>
      <c r="H28" s="53" t="s">
        <v>164</v>
      </c>
      <c r="I28" s="53" t="s">
        <v>159</v>
      </c>
      <c r="J28" s="53" t="s">
        <v>38</v>
      </c>
      <c r="K28" s="53" t="s">
        <v>161</v>
      </c>
      <c r="L28" s="53">
        <v>3</v>
      </c>
      <c r="M28" s="76"/>
      <c r="N28" s="53">
        <v>8</v>
      </c>
      <c r="O28" s="53">
        <v>0.5</v>
      </c>
      <c r="P28" s="53">
        <v>0.55000000000000004</v>
      </c>
      <c r="Q28" s="75">
        <f t="shared" si="0"/>
        <v>0.52500000000000002</v>
      </c>
      <c r="R28" s="53">
        <v>13.2</v>
      </c>
      <c r="S28" s="53">
        <v>104</v>
      </c>
      <c r="T28" s="16">
        <f t="shared" si="1"/>
        <v>33</v>
      </c>
      <c r="U28" s="53">
        <v>626</v>
      </c>
      <c r="V28" s="16">
        <f t="shared" si="2"/>
        <v>2582.25</v>
      </c>
      <c r="W28" s="53">
        <v>1</v>
      </c>
      <c r="X28" s="53" t="s">
        <v>46</v>
      </c>
      <c r="Y28" s="53" t="s">
        <v>86</v>
      </c>
      <c r="Z28" s="53" t="s">
        <v>88</v>
      </c>
      <c r="AA28" s="53" t="s">
        <v>97</v>
      </c>
      <c r="AB28" s="53" t="s">
        <v>158</v>
      </c>
    </row>
    <row r="29" spans="1:48" x14ac:dyDescent="0.15">
      <c r="A29" s="53" t="s">
        <v>41</v>
      </c>
      <c r="B29" s="53" t="s">
        <v>157</v>
      </c>
      <c r="C29" s="62">
        <v>2019</v>
      </c>
      <c r="D29" s="63" t="s">
        <v>165</v>
      </c>
      <c r="E29" s="53" t="s">
        <v>186</v>
      </c>
      <c r="F29" s="53" t="s">
        <v>188</v>
      </c>
      <c r="G29" s="53" t="s">
        <v>42</v>
      </c>
      <c r="H29" s="53" t="s">
        <v>164</v>
      </c>
      <c r="I29" s="53" t="s">
        <v>159</v>
      </c>
      <c r="J29" s="53" t="s">
        <v>38</v>
      </c>
      <c r="K29" s="53" t="s">
        <v>161</v>
      </c>
      <c r="L29" s="53">
        <v>1</v>
      </c>
      <c r="M29" s="76"/>
      <c r="N29" s="53">
        <v>1</v>
      </c>
      <c r="O29" s="53">
        <v>0.65</v>
      </c>
      <c r="P29" s="53">
        <v>0.8</v>
      </c>
      <c r="Q29" s="16">
        <f t="shared" si="0"/>
        <v>0.72500000000000009</v>
      </c>
      <c r="R29" s="53">
        <v>11.2</v>
      </c>
      <c r="S29" s="53">
        <v>127</v>
      </c>
      <c r="T29" s="16">
        <f t="shared" si="1"/>
        <v>27</v>
      </c>
      <c r="U29" s="53">
        <v>149</v>
      </c>
      <c r="V29" s="16">
        <f t="shared" si="2"/>
        <v>4023</v>
      </c>
      <c r="W29" s="53">
        <v>2</v>
      </c>
      <c r="X29" s="53" t="s">
        <v>46</v>
      </c>
      <c r="Y29" s="53" t="s">
        <v>102</v>
      </c>
      <c r="Z29" s="53" t="s">
        <v>86</v>
      </c>
      <c r="AA29" s="53" t="s">
        <v>88</v>
      </c>
      <c r="AB29" s="53" t="s">
        <v>158</v>
      </c>
    </row>
    <row r="30" spans="1:48" x14ac:dyDescent="0.15">
      <c r="A30" s="53" t="s">
        <v>41</v>
      </c>
      <c r="B30" s="53" t="s">
        <v>157</v>
      </c>
      <c r="C30" s="62">
        <v>2019</v>
      </c>
      <c r="D30" s="63" t="s">
        <v>165</v>
      </c>
      <c r="E30" s="53" t="s">
        <v>186</v>
      </c>
      <c r="F30" s="53" t="s">
        <v>188</v>
      </c>
      <c r="G30" s="53" t="s">
        <v>42</v>
      </c>
      <c r="H30" s="53" t="s">
        <v>164</v>
      </c>
      <c r="I30" s="53" t="s">
        <v>159</v>
      </c>
      <c r="J30" s="53" t="s">
        <v>38</v>
      </c>
      <c r="K30" s="53" t="s">
        <v>161</v>
      </c>
      <c r="L30" s="53">
        <v>2</v>
      </c>
      <c r="M30" s="76"/>
      <c r="N30" s="53">
        <v>1</v>
      </c>
      <c r="O30" s="53">
        <v>0.5</v>
      </c>
      <c r="P30" s="53">
        <v>0.75</v>
      </c>
      <c r="Q30" s="16">
        <f t="shared" si="0"/>
        <v>0.625</v>
      </c>
      <c r="R30" s="53">
        <v>16.5</v>
      </c>
      <c r="S30" s="53">
        <v>125</v>
      </c>
      <c r="T30" s="16">
        <f t="shared" si="1"/>
        <v>27</v>
      </c>
      <c r="U30" s="53">
        <v>149</v>
      </c>
      <c r="V30" s="16">
        <f t="shared" si="2"/>
        <v>4023</v>
      </c>
      <c r="W30" s="53">
        <v>2</v>
      </c>
      <c r="X30" s="53" t="s">
        <v>46</v>
      </c>
      <c r="Y30" s="53" t="s">
        <v>102</v>
      </c>
      <c r="Z30" s="53" t="s">
        <v>86</v>
      </c>
      <c r="AA30" s="53" t="s">
        <v>88</v>
      </c>
      <c r="AB30" s="53" t="s">
        <v>158</v>
      </c>
    </row>
    <row r="31" spans="1:48" x14ac:dyDescent="0.15">
      <c r="A31" s="53" t="s">
        <v>41</v>
      </c>
      <c r="B31" s="53" t="s">
        <v>157</v>
      </c>
      <c r="C31" s="62">
        <v>2019</v>
      </c>
      <c r="D31" s="63" t="s">
        <v>165</v>
      </c>
      <c r="E31" s="53" t="s">
        <v>186</v>
      </c>
      <c r="F31" s="53" t="s">
        <v>188</v>
      </c>
      <c r="G31" s="53" t="s">
        <v>42</v>
      </c>
      <c r="H31" s="53" t="s">
        <v>164</v>
      </c>
      <c r="I31" s="53" t="s">
        <v>159</v>
      </c>
      <c r="J31" s="53" t="s">
        <v>38</v>
      </c>
      <c r="K31" s="53" t="s">
        <v>161</v>
      </c>
      <c r="L31" s="53">
        <v>3</v>
      </c>
      <c r="M31" s="76"/>
      <c r="N31" s="53">
        <v>1</v>
      </c>
      <c r="O31" s="53">
        <v>0.85</v>
      </c>
      <c r="P31" s="53">
        <v>0.7</v>
      </c>
      <c r="Q31" s="16">
        <f t="shared" si="0"/>
        <v>0.77499999999999991</v>
      </c>
      <c r="R31" s="53">
        <v>14.7</v>
      </c>
      <c r="S31" s="53">
        <v>123</v>
      </c>
      <c r="T31" s="16">
        <f t="shared" si="1"/>
        <v>27</v>
      </c>
      <c r="U31" s="53">
        <v>149</v>
      </c>
      <c r="V31" s="16">
        <f t="shared" si="2"/>
        <v>4023</v>
      </c>
      <c r="W31" s="53">
        <v>2</v>
      </c>
      <c r="X31" s="53" t="s">
        <v>46</v>
      </c>
      <c r="Y31" s="53" t="s">
        <v>102</v>
      </c>
      <c r="Z31" s="53" t="s">
        <v>86</v>
      </c>
      <c r="AA31" s="53" t="s">
        <v>88</v>
      </c>
      <c r="AB31" s="53" t="s">
        <v>158</v>
      </c>
    </row>
    <row r="32" spans="1:48" x14ac:dyDescent="0.15">
      <c r="A32" s="53" t="s">
        <v>41</v>
      </c>
      <c r="B32" s="53" t="s">
        <v>157</v>
      </c>
      <c r="C32" s="62">
        <v>2019</v>
      </c>
      <c r="D32" s="63" t="s">
        <v>165</v>
      </c>
      <c r="E32" s="53" t="s">
        <v>186</v>
      </c>
      <c r="F32" s="53" t="s">
        <v>188</v>
      </c>
      <c r="G32" s="53" t="s">
        <v>42</v>
      </c>
      <c r="H32" s="53" t="s">
        <v>164</v>
      </c>
      <c r="I32" s="53" t="s">
        <v>159</v>
      </c>
      <c r="J32" s="53" t="s">
        <v>38</v>
      </c>
      <c r="K32" s="53" t="s">
        <v>161</v>
      </c>
      <c r="L32" s="53">
        <v>1</v>
      </c>
      <c r="M32" s="76"/>
      <c r="N32" s="53">
        <v>5</v>
      </c>
      <c r="O32" s="53">
        <v>0.95</v>
      </c>
      <c r="P32" s="53">
        <v>0.8</v>
      </c>
      <c r="Q32" s="16">
        <f t="shared" si="0"/>
        <v>0.875</v>
      </c>
      <c r="R32" s="53">
        <v>16.2</v>
      </c>
      <c r="S32" s="53">
        <v>114</v>
      </c>
      <c r="T32" s="16">
        <f t="shared" si="1"/>
        <v>30</v>
      </c>
      <c r="U32" s="53">
        <v>429</v>
      </c>
      <c r="V32" s="16">
        <f t="shared" si="2"/>
        <v>2574</v>
      </c>
      <c r="W32" s="53">
        <v>2</v>
      </c>
      <c r="X32" s="53" t="s">
        <v>46</v>
      </c>
      <c r="Y32" s="53" t="s">
        <v>102</v>
      </c>
      <c r="Z32" s="53" t="s">
        <v>86</v>
      </c>
      <c r="AA32" s="53" t="s">
        <v>88</v>
      </c>
      <c r="AB32" s="53" t="s">
        <v>158</v>
      </c>
    </row>
    <row r="33" spans="1:28" x14ac:dyDescent="0.15">
      <c r="A33" s="53" t="s">
        <v>41</v>
      </c>
      <c r="B33" s="53" t="s">
        <v>157</v>
      </c>
      <c r="C33" s="62">
        <v>2019</v>
      </c>
      <c r="D33" s="63" t="s">
        <v>165</v>
      </c>
      <c r="E33" s="53" t="s">
        <v>186</v>
      </c>
      <c r="F33" s="53" t="s">
        <v>188</v>
      </c>
      <c r="G33" s="53" t="s">
        <v>42</v>
      </c>
      <c r="H33" s="53" t="s">
        <v>164</v>
      </c>
      <c r="I33" s="53" t="s">
        <v>159</v>
      </c>
      <c r="J33" s="53" t="s">
        <v>38</v>
      </c>
      <c r="K33" s="53" t="s">
        <v>161</v>
      </c>
      <c r="L33" s="53">
        <v>2</v>
      </c>
      <c r="M33" s="76"/>
      <c r="N33" s="53">
        <v>5</v>
      </c>
      <c r="O33" s="53">
        <v>0.8</v>
      </c>
      <c r="P33" s="53">
        <v>0.55000000000000004</v>
      </c>
      <c r="Q33" s="16">
        <f t="shared" si="0"/>
        <v>0.67500000000000004</v>
      </c>
      <c r="R33" s="53">
        <v>13.5</v>
      </c>
      <c r="S33" s="53">
        <v>113</v>
      </c>
      <c r="T33" s="16">
        <f t="shared" si="1"/>
        <v>30</v>
      </c>
      <c r="U33" s="53">
        <v>429</v>
      </c>
      <c r="V33" s="16">
        <f t="shared" si="2"/>
        <v>2574</v>
      </c>
      <c r="W33" s="53">
        <v>2</v>
      </c>
      <c r="X33" s="53" t="s">
        <v>46</v>
      </c>
      <c r="Y33" s="53" t="s">
        <v>102</v>
      </c>
      <c r="Z33" s="53" t="s">
        <v>86</v>
      </c>
      <c r="AA33" s="53" t="s">
        <v>88</v>
      </c>
      <c r="AB33" s="53" t="s">
        <v>158</v>
      </c>
    </row>
    <row r="34" spans="1:28" x14ac:dyDescent="0.15">
      <c r="A34" s="53" t="s">
        <v>41</v>
      </c>
      <c r="B34" s="53" t="s">
        <v>157</v>
      </c>
      <c r="C34" s="62">
        <v>2019</v>
      </c>
      <c r="D34" s="63" t="s">
        <v>165</v>
      </c>
      <c r="E34" s="53" t="s">
        <v>186</v>
      </c>
      <c r="F34" s="53" t="s">
        <v>188</v>
      </c>
      <c r="G34" s="53" t="s">
        <v>42</v>
      </c>
      <c r="H34" s="53" t="s">
        <v>164</v>
      </c>
      <c r="I34" s="53" t="s">
        <v>159</v>
      </c>
      <c r="J34" s="53" t="s">
        <v>38</v>
      </c>
      <c r="K34" s="53" t="s">
        <v>161</v>
      </c>
      <c r="L34" s="53">
        <v>3</v>
      </c>
      <c r="M34" s="76"/>
      <c r="N34" s="53">
        <v>5</v>
      </c>
      <c r="O34" s="53">
        <v>0.6</v>
      </c>
      <c r="P34" s="53">
        <v>0.65</v>
      </c>
      <c r="Q34" s="16">
        <f t="shared" si="0"/>
        <v>0.625</v>
      </c>
      <c r="R34" s="53">
        <v>14</v>
      </c>
      <c r="S34" s="53">
        <v>115</v>
      </c>
      <c r="T34" s="16">
        <f t="shared" si="1"/>
        <v>30</v>
      </c>
      <c r="U34" s="53">
        <v>429</v>
      </c>
      <c r="V34" s="16">
        <f t="shared" si="2"/>
        <v>2574</v>
      </c>
      <c r="W34" s="53">
        <v>2</v>
      </c>
      <c r="X34" s="53" t="s">
        <v>46</v>
      </c>
      <c r="Y34" s="53" t="s">
        <v>102</v>
      </c>
      <c r="Z34" s="53" t="s">
        <v>86</v>
      </c>
      <c r="AA34" s="53" t="s">
        <v>88</v>
      </c>
      <c r="AB34" s="53" t="s">
        <v>158</v>
      </c>
    </row>
    <row r="35" spans="1:28" x14ac:dyDescent="0.15">
      <c r="A35" s="53" t="s">
        <v>41</v>
      </c>
      <c r="B35" s="53" t="s">
        <v>157</v>
      </c>
      <c r="C35" s="62">
        <v>2019</v>
      </c>
      <c r="D35" s="63" t="s">
        <v>165</v>
      </c>
      <c r="E35" s="53" t="s">
        <v>186</v>
      </c>
      <c r="F35" s="53" t="s">
        <v>188</v>
      </c>
      <c r="G35" s="53" t="s">
        <v>42</v>
      </c>
      <c r="H35" s="53" t="s">
        <v>160</v>
      </c>
      <c r="I35" s="53" t="s">
        <v>159</v>
      </c>
      <c r="J35" s="53" t="s">
        <v>38</v>
      </c>
      <c r="K35" s="53" t="s">
        <v>161</v>
      </c>
      <c r="L35" s="53">
        <v>1</v>
      </c>
      <c r="M35" s="76"/>
      <c r="N35" s="53">
        <v>1</v>
      </c>
      <c r="O35" s="53">
        <v>0.3</v>
      </c>
      <c r="P35" s="53">
        <v>0.4</v>
      </c>
      <c r="Q35" s="16">
        <f t="shared" si="0"/>
        <v>0.35</v>
      </c>
      <c r="R35" s="53">
        <v>16.8</v>
      </c>
      <c r="S35" s="53">
        <v>126</v>
      </c>
      <c r="T35" s="16">
        <f t="shared" si="1"/>
        <v>27</v>
      </c>
      <c r="U35" s="53">
        <v>149</v>
      </c>
      <c r="V35" s="16">
        <f t="shared" si="2"/>
        <v>4023</v>
      </c>
      <c r="W35" s="53">
        <v>2</v>
      </c>
      <c r="X35" s="53" t="s">
        <v>46</v>
      </c>
      <c r="Y35" s="53" t="s">
        <v>102</v>
      </c>
      <c r="Z35" s="53" t="s">
        <v>86</v>
      </c>
      <c r="AA35" s="53" t="s">
        <v>88</v>
      </c>
      <c r="AB35" s="53" t="s">
        <v>158</v>
      </c>
    </row>
    <row r="36" spans="1:28" x14ac:dyDescent="0.15">
      <c r="A36" s="53" t="s">
        <v>41</v>
      </c>
      <c r="B36" s="53" t="s">
        <v>157</v>
      </c>
      <c r="C36" s="62">
        <v>2019</v>
      </c>
      <c r="D36" s="63" t="s">
        <v>165</v>
      </c>
      <c r="E36" s="53" t="s">
        <v>186</v>
      </c>
      <c r="F36" s="53" t="s">
        <v>188</v>
      </c>
      <c r="G36" s="53" t="s">
        <v>42</v>
      </c>
      <c r="H36" s="53" t="s">
        <v>160</v>
      </c>
      <c r="I36" s="53" t="s">
        <v>159</v>
      </c>
      <c r="J36" s="53" t="s">
        <v>38</v>
      </c>
      <c r="K36" s="53" t="s">
        <v>161</v>
      </c>
      <c r="L36" s="53">
        <v>2</v>
      </c>
      <c r="M36" s="76"/>
      <c r="N36" s="53">
        <v>1</v>
      </c>
      <c r="O36" s="53">
        <v>0.4</v>
      </c>
      <c r="P36" s="53">
        <v>0.4</v>
      </c>
      <c r="Q36" s="16">
        <f t="shared" si="0"/>
        <v>0.4</v>
      </c>
      <c r="R36" s="53">
        <v>16.2</v>
      </c>
      <c r="S36" s="53">
        <v>123</v>
      </c>
      <c r="T36" s="16">
        <f t="shared" si="1"/>
        <v>27</v>
      </c>
      <c r="U36" s="53">
        <v>149</v>
      </c>
      <c r="V36" s="16">
        <f t="shared" si="2"/>
        <v>4023</v>
      </c>
      <c r="W36" s="53">
        <v>2</v>
      </c>
      <c r="X36" s="53" t="s">
        <v>46</v>
      </c>
      <c r="Y36" s="53" t="s">
        <v>102</v>
      </c>
      <c r="Z36" s="53" t="s">
        <v>86</v>
      </c>
      <c r="AA36" s="53" t="s">
        <v>88</v>
      </c>
      <c r="AB36" s="53" t="s">
        <v>158</v>
      </c>
    </row>
    <row r="37" spans="1:28" x14ac:dyDescent="0.15">
      <c r="A37" s="53" t="s">
        <v>41</v>
      </c>
      <c r="B37" s="53" t="s">
        <v>157</v>
      </c>
      <c r="C37" s="62">
        <v>2019</v>
      </c>
      <c r="D37" s="63" t="s">
        <v>165</v>
      </c>
      <c r="E37" s="53" t="s">
        <v>186</v>
      </c>
      <c r="F37" s="53" t="s">
        <v>188</v>
      </c>
      <c r="G37" s="53" t="s">
        <v>42</v>
      </c>
      <c r="H37" s="53" t="s">
        <v>160</v>
      </c>
      <c r="I37" s="53" t="s">
        <v>159</v>
      </c>
      <c r="J37" s="53" t="s">
        <v>38</v>
      </c>
      <c r="K37" s="53" t="s">
        <v>161</v>
      </c>
      <c r="L37" s="53">
        <v>3</v>
      </c>
      <c r="M37" s="76"/>
      <c r="N37" s="53">
        <v>1</v>
      </c>
      <c r="O37" s="53">
        <v>0.5</v>
      </c>
      <c r="P37" s="53">
        <v>0.35</v>
      </c>
      <c r="Q37" s="16">
        <f t="shared" si="0"/>
        <v>0.42499999999999999</v>
      </c>
      <c r="R37" s="53">
        <v>14.8</v>
      </c>
      <c r="S37" s="53">
        <v>125</v>
      </c>
      <c r="T37" s="16">
        <f t="shared" si="1"/>
        <v>27</v>
      </c>
      <c r="U37" s="53">
        <v>149</v>
      </c>
      <c r="V37" s="16">
        <f t="shared" si="2"/>
        <v>4023</v>
      </c>
      <c r="W37" s="53">
        <v>2</v>
      </c>
      <c r="X37" s="53" t="s">
        <v>46</v>
      </c>
      <c r="Y37" s="53" t="s">
        <v>102</v>
      </c>
      <c r="Z37" s="53" t="s">
        <v>86</v>
      </c>
      <c r="AA37" s="53" t="s">
        <v>88</v>
      </c>
      <c r="AB37" s="53" t="s">
        <v>158</v>
      </c>
    </row>
    <row r="38" spans="1:28" x14ac:dyDescent="0.15">
      <c r="A38" s="53" t="s">
        <v>41</v>
      </c>
      <c r="B38" s="53" t="s">
        <v>157</v>
      </c>
      <c r="C38" s="62">
        <v>2019</v>
      </c>
      <c r="D38" s="63" t="s">
        <v>165</v>
      </c>
      <c r="E38" s="53" t="s">
        <v>186</v>
      </c>
      <c r="F38" s="53" t="s">
        <v>188</v>
      </c>
      <c r="G38" s="53" t="s">
        <v>42</v>
      </c>
      <c r="H38" s="53" t="s">
        <v>160</v>
      </c>
      <c r="I38" s="53" t="s">
        <v>159</v>
      </c>
      <c r="J38" s="53" t="s">
        <v>38</v>
      </c>
      <c r="K38" s="53" t="s">
        <v>161</v>
      </c>
      <c r="L38" s="53">
        <v>1</v>
      </c>
      <c r="M38" s="76"/>
      <c r="N38" s="53">
        <v>4</v>
      </c>
      <c r="O38" s="53">
        <v>0.45</v>
      </c>
      <c r="P38" s="53">
        <v>0.6</v>
      </c>
      <c r="Q38" s="16">
        <f t="shared" si="0"/>
        <v>0.52500000000000002</v>
      </c>
      <c r="R38" s="53">
        <v>14.7</v>
      </c>
      <c r="S38" s="53">
        <v>120</v>
      </c>
      <c r="T38" s="16">
        <f t="shared" si="1"/>
        <v>30</v>
      </c>
      <c r="U38" s="53">
        <v>429</v>
      </c>
      <c r="V38" s="16">
        <f t="shared" si="2"/>
        <v>3217.5</v>
      </c>
      <c r="W38" s="53">
        <v>2</v>
      </c>
      <c r="X38" s="53" t="s">
        <v>46</v>
      </c>
      <c r="Y38" s="53" t="s">
        <v>102</v>
      </c>
      <c r="Z38" s="53" t="s">
        <v>86</v>
      </c>
      <c r="AA38" s="53" t="s">
        <v>88</v>
      </c>
      <c r="AB38" s="53" t="s">
        <v>158</v>
      </c>
    </row>
    <row r="39" spans="1:28" x14ac:dyDescent="0.15">
      <c r="A39" s="53" t="s">
        <v>41</v>
      </c>
      <c r="B39" s="53" t="s">
        <v>157</v>
      </c>
      <c r="C39" s="62">
        <v>2019</v>
      </c>
      <c r="D39" s="63" t="s">
        <v>165</v>
      </c>
      <c r="E39" s="53" t="s">
        <v>186</v>
      </c>
      <c r="F39" s="53" t="s">
        <v>188</v>
      </c>
      <c r="G39" s="53" t="s">
        <v>42</v>
      </c>
      <c r="H39" s="53" t="s">
        <v>160</v>
      </c>
      <c r="I39" s="53" t="s">
        <v>159</v>
      </c>
      <c r="J39" s="53" t="s">
        <v>38</v>
      </c>
      <c r="K39" s="53" t="s">
        <v>161</v>
      </c>
      <c r="L39" s="53">
        <v>2</v>
      </c>
      <c r="M39" s="76"/>
      <c r="N39" s="53">
        <v>4</v>
      </c>
      <c r="O39" s="53">
        <v>0.6</v>
      </c>
      <c r="P39" s="53">
        <v>0.75</v>
      </c>
      <c r="Q39" s="16">
        <f t="shared" si="0"/>
        <v>0.67500000000000004</v>
      </c>
      <c r="R39" s="53">
        <v>15.7</v>
      </c>
      <c r="S39" s="53">
        <v>116</v>
      </c>
      <c r="T39" s="16">
        <f t="shared" si="1"/>
        <v>30</v>
      </c>
      <c r="U39" s="53">
        <v>429</v>
      </c>
      <c r="V39" s="16">
        <f t="shared" si="2"/>
        <v>3217.5</v>
      </c>
      <c r="W39" s="53">
        <v>2</v>
      </c>
      <c r="X39" s="53" t="s">
        <v>46</v>
      </c>
      <c r="Y39" s="53" t="s">
        <v>102</v>
      </c>
      <c r="Z39" s="53" t="s">
        <v>86</v>
      </c>
      <c r="AA39" s="53" t="s">
        <v>88</v>
      </c>
      <c r="AB39" s="53" t="s">
        <v>158</v>
      </c>
    </row>
    <row r="40" spans="1:28" x14ac:dyDescent="0.15">
      <c r="A40" s="53" t="s">
        <v>41</v>
      </c>
      <c r="B40" s="53" t="s">
        <v>157</v>
      </c>
      <c r="C40" s="62">
        <v>2019</v>
      </c>
      <c r="D40" s="63" t="s">
        <v>165</v>
      </c>
      <c r="E40" s="53" t="s">
        <v>186</v>
      </c>
      <c r="F40" s="53" t="s">
        <v>188</v>
      </c>
      <c r="G40" s="53" t="s">
        <v>42</v>
      </c>
      <c r="H40" s="53" t="s">
        <v>160</v>
      </c>
      <c r="I40" s="53" t="s">
        <v>159</v>
      </c>
      <c r="J40" s="53" t="s">
        <v>38</v>
      </c>
      <c r="K40" s="53" t="s">
        <v>161</v>
      </c>
      <c r="L40" s="53">
        <v>3</v>
      </c>
      <c r="M40" s="76"/>
      <c r="N40" s="53">
        <v>4</v>
      </c>
      <c r="O40" s="53">
        <v>0.7</v>
      </c>
      <c r="P40" s="53">
        <v>0.7</v>
      </c>
      <c r="Q40" s="16">
        <f t="shared" si="0"/>
        <v>0.7</v>
      </c>
      <c r="R40" s="53">
        <v>15.4</v>
      </c>
      <c r="S40" s="53">
        <v>113</v>
      </c>
      <c r="T40" s="16">
        <f t="shared" si="1"/>
        <v>30</v>
      </c>
      <c r="U40" s="53">
        <v>429</v>
      </c>
      <c r="V40" s="16">
        <f t="shared" si="2"/>
        <v>3217.5</v>
      </c>
      <c r="W40" s="53">
        <v>2</v>
      </c>
      <c r="X40" s="53" t="s">
        <v>46</v>
      </c>
      <c r="Y40" s="53" t="s">
        <v>102</v>
      </c>
      <c r="Z40" s="53" t="s">
        <v>86</v>
      </c>
      <c r="AA40" s="53" t="s">
        <v>88</v>
      </c>
      <c r="AB40" s="53" t="s">
        <v>158</v>
      </c>
    </row>
    <row r="41" spans="1:28" x14ac:dyDescent="0.15">
      <c r="A41" s="53" t="s">
        <v>41</v>
      </c>
      <c r="B41" s="53" t="s">
        <v>157</v>
      </c>
      <c r="C41" s="62">
        <v>2019</v>
      </c>
      <c r="D41" s="63" t="s">
        <v>165</v>
      </c>
      <c r="E41" s="53" t="s">
        <v>193</v>
      </c>
      <c r="F41" s="53" t="s">
        <v>184</v>
      </c>
      <c r="G41" s="53" t="s">
        <v>42</v>
      </c>
      <c r="H41" s="53" t="s">
        <v>164</v>
      </c>
      <c r="I41" s="53" t="s">
        <v>159</v>
      </c>
      <c r="J41" s="53" t="s">
        <v>38</v>
      </c>
      <c r="K41" s="53" t="s">
        <v>161</v>
      </c>
      <c r="L41" s="53">
        <v>1</v>
      </c>
      <c r="N41" s="53">
        <v>1</v>
      </c>
      <c r="O41" s="53">
        <v>0.25</v>
      </c>
      <c r="P41" s="53">
        <v>0.25</v>
      </c>
      <c r="Q41" s="75">
        <f t="shared" si="0"/>
        <v>0.25</v>
      </c>
      <c r="R41" s="53">
        <v>13.3</v>
      </c>
      <c r="S41" s="53">
        <v>123</v>
      </c>
      <c r="T41" s="16">
        <f t="shared" si="1"/>
        <v>27</v>
      </c>
      <c r="U41" s="53">
        <v>108</v>
      </c>
      <c r="V41" s="16">
        <f t="shared" si="2"/>
        <v>2916</v>
      </c>
      <c r="W41" s="53">
        <v>1</v>
      </c>
      <c r="X41" s="53" t="s">
        <v>46</v>
      </c>
      <c r="Y41" s="53" t="s">
        <v>88</v>
      </c>
      <c r="Z41" s="53" t="s">
        <v>78</v>
      </c>
      <c r="AA41" s="53" t="s">
        <v>86</v>
      </c>
      <c r="AB41" s="53" t="s">
        <v>158</v>
      </c>
    </row>
    <row r="42" spans="1:28" x14ac:dyDescent="0.15">
      <c r="A42" s="53" t="s">
        <v>41</v>
      </c>
      <c r="B42" s="53" t="s">
        <v>157</v>
      </c>
      <c r="C42" s="62">
        <v>2019</v>
      </c>
      <c r="D42" s="63" t="s">
        <v>165</v>
      </c>
      <c r="E42" s="53" t="s">
        <v>193</v>
      </c>
      <c r="F42" s="53" t="s">
        <v>184</v>
      </c>
      <c r="G42" s="53" t="s">
        <v>42</v>
      </c>
      <c r="H42" s="53" t="s">
        <v>164</v>
      </c>
      <c r="I42" s="53" t="s">
        <v>159</v>
      </c>
      <c r="J42" s="53" t="s">
        <v>38</v>
      </c>
      <c r="K42" s="53" t="s">
        <v>161</v>
      </c>
      <c r="L42" s="53">
        <v>2</v>
      </c>
      <c r="M42" s="76"/>
      <c r="N42" s="53">
        <v>1</v>
      </c>
      <c r="O42" s="53">
        <v>0.3</v>
      </c>
      <c r="P42" s="53">
        <v>0.25</v>
      </c>
      <c r="Q42" s="75">
        <f t="shared" si="0"/>
        <v>0.27500000000000002</v>
      </c>
      <c r="R42" s="53">
        <v>15.6</v>
      </c>
      <c r="S42" s="53">
        <v>124</v>
      </c>
      <c r="T42" s="16">
        <f t="shared" si="1"/>
        <v>27</v>
      </c>
      <c r="U42" s="53">
        <v>108</v>
      </c>
      <c r="V42" s="16">
        <f t="shared" si="2"/>
        <v>2916</v>
      </c>
      <c r="W42" s="53">
        <v>1</v>
      </c>
      <c r="X42" s="53" t="s">
        <v>46</v>
      </c>
      <c r="Y42" s="53" t="s">
        <v>88</v>
      </c>
      <c r="Z42" s="53" t="s">
        <v>78</v>
      </c>
      <c r="AA42" s="53" t="s">
        <v>86</v>
      </c>
      <c r="AB42" s="53" t="s">
        <v>158</v>
      </c>
    </row>
    <row r="43" spans="1:28" x14ac:dyDescent="0.15">
      <c r="A43" s="53" t="s">
        <v>41</v>
      </c>
      <c r="B43" s="53" t="s">
        <v>157</v>
      </c>
      <c r="C43" s="62">
        <v>2019</v>
      </c>
      <c r="D43" s="63" t="s">
        <v>165</v>
      </c>
      <c r="E43" s="53" t="s">
        <v>193</v>
      </c>
      <c r="F43" s="53" t="s">
        <v>184</v>
      </c>
      <c r="G43" s="53" t="s">
        <v>42</v>
      </c>
      <c r="H43" s="53" t="s">
        <v>164</v>
      </c>
      <c r="I43" s="53" t="s">
        <v>159</v>
      </c>
      <c r="J43" s="53" t="s">
        <v>38</v>
      </c>
      <c r="K43" s="53" t="s">
        <v>161</v>
      </c>
      <c r="L43" s="53">
        <v>3</v>
      </c>
      <c r="M43" s="76"/>
      <c r="N43" s="53">
        <v>1</v>
      </c>
      <c r="O43" s="53">
        <v>0.45</v>
      </c>
      <c r="P43" s="53">
        <v>0.4</v>
      </c>
      <c r="Q43" s="75">
        <f t="shared" si="0"/>
        <v>0.42500000000000004</v>
      </c>
      <c r="R43" s="53">
        <v>13</v>
      </c>
      <c r="S43" s="53">
        <v>125</v>
      </c>
      <c r="T43" s="16">
        <f t="shared" si="1"/>
        <v>27</v>
      </c>
      <c r="U43" s="53">
        <v>108</v>
      </c>
      <c r="V43" s="16">
        <f t="shared" si="2"/>
        <v>2916</v>
      </c>
      <c r="W43" s="53">
        <v>1</v>
      </c>
      <c r="X43" s="53" t="s">
        <v>46</v>
      </c>
      <c r="Y43" s="53" t="s">
        <v>88</v>
      </c>
      <c r="Z43" s="53" t="s">
        <v>78</v>
      </c>
      <c r="AA43" s="53" t="s">
        <v>86</v>
      </c>
      <c r="AB43" s="53" t="s">
        <v>158</v>
      </c>
    </row>
    <row r="44" spans="1:28" x14ac:dyDescent="0.15">
      <c r="A44" s="53" t="s">
        <v>41</v>
      </c>
      <c r="B44" s="53" t="s">
        <v>157</v>
      </c>
      <c r="C44" s="62">
        <v>2019</v>
      </c>
      <c r="D44" s="63" t="s">
        <v>165</v>
      </c>
      <c r="E44" s="53" t="s">
        <v>193</v>
      </c>
      <c r="F44" s="53" t="s">
        <v>184</v>
      </c>
      <c r="G44" s="53" t="s">
        <v>42</v>
      </c>
      <c r="H44" s="53" t="s">
        <v>164</v>
      </c>
      <c r="I44" s="53" t="s">
        <v>159</v>
      </c>
      <c r="J44" s="53" t="s">
        <v>38</v>
      </c>
      <c r="K44" s="53" t="s">
        <v>161</v>
      </c>
      <c r="L44" s="53">
        <v>1</v>
      </c>
      <c r="N44" s="53">
        <v>10</v>
      </c>
      <c r="O44" s="53">
        <v>0.65</v>
      </c>
      <c r="P44" s="53">
        <v>0.6</v>
      </c>
      <c r="Q44" s="75">
        <f t="shared" si="0"/>
        <v>0.625</v>
      </c>
      <c r="R44" s="53">
        <v>14.2</v>
      </c>
      <c r="S44" s="53">
        <v>110</v>
      </c>
      <c r="T44" s="16">
        <f t="shared" si="1"/>
        <v>33</v>
      </c>
      <c r="U44" s="53">
        <v>1058</v>
      </c>
      <c r="V44" s="16">
        <f t="shared" si="2"/>
        <v>3491.4</v>
      </c>
      <c r="W44" s="53">
        <v>3</v>
      </c>
      <c r="X44" s="53" t="s">
        <v>46</v>
      </c>
      <c r="Y44" s="53" t="s">
        <v>88</v>
      </c>
      <c r="Z44" s="53" t="s">
        <v>78</v>
      </c>
      <c r="AA44" s="53" t="s">
        <v>86</v>
      </c>
      <c r="AB44" s="53" t="s">
        <v>158</v>
      </c>
    </row>
    <row r="45" spans="1:28" x14ac:dyDescent="0.15">
      <c r="A45" s="53" t="s">
        <v>41</v>
      </c>
      <c r="B45" s="53" t="s">
        <v>157</v>
      </c>
      <c r="C45" s="62">
        <v>2019</v>
      </c>
      <c r="D45" s="63" t="s">
        <v>165</v>
      </c>
      <c r="E45" s="53" t="s">
        <v>193</v>
      </c>
      <c r="F45" s="53" t="s">
        <v>184</v>
      </c>
      <c r="G45" s="53" t="s">
        <v>42</v>
      </c>
      <c r="H45" s="53" t="s">
        <v>164</v>
      </c>
      <c r="I45" s="53" t="s">
        <v>159</v>
      </c>
      <c r="J45" s="53" t="s">
        <v>38</v>
      </c>
      <c r="K45" s="53" t="s">
        <v>161</v>
      </c>
      <c r="L45" s="53">
        <v>2</v>
      </c>
      <c r="M45" s="76"/>
      <c r="N45" s="53">
        <v>10</v>
      </c>
      <c r="O45" s="53">
        <v>1</v>
      </c>
      <c r="P45" s="53">
        <v>0.9</v>
      </c>
      <c r="Q45" s="75">
        <f t="shared" si="0"/>
        <v>0.95</v>
      </c>
      <c r="R45" s="53">
        <v>15.7</v>
      </c>
      <c r="S45" s="53">
        <v>105</v>
      </c>
      <c r="T45" s="16">
        <f t="shared" si="1"/>
        <v>33</v>
      </c>
      <c r="U45" s="53">
        <v>1058</v>
      </c>
      <c r="V45" s="16">
        <f t="shared" si="2"/>
        <v>3491.4</v>
      </c>
      <c r="W45" s="53">
        <v>3</v>
      </c>
      <c r="X45" s="53" t="s">
        <v>46</v>
      </c>
      <c r="Y45" s="53" t="s">
        <v>88</v>
      </c>
      <c r="Z45" s="53" t="s">
        <v>78</v>
      </c>
      <c r="AA45" s="53" t="s">
        <v>86</v>
      </c>
      <c r="AB45" s="53" t="s">
        <v>158</v>
      </c>
    </row>
    <row r="46" spans="1:28" x14ac:dyDescent="0.15">
      <c r="A46" s="53" t="s">
        <v>41</v>
      </c>
      <c r="B46" s="53" t="s">
        <v>157</v>
      </c>
      <c r="C46" s="62">
        <v>2019</v>
      </c>
      <c r="D46" s="63" t="s">
        <v>165</v>
      </c>
      <c r="E46" s="53" t="s">
        <v>193</v>
      </c>
      <c r="F46" s="53" t="s">
        <v>184</v>
      </c>
      <c r="G46" s="53" t="s">
        <v>42</v>
      </c>
      <c r="H46" s="53" t="s">
        <v>164</v>
      </c>
      <c r="I46" s="53" t="s">
        <v>159</v>
      </c>
      <c r="J46" s="53" t="s">
        <v>38</v>
      </c>
      <c r="K46" s="53" t="s">
        <v>161</v>
      </c>
      <c r="L46" s="53">
        <v>3</v>
      </c>
      <c r="M46" s="76"/>
      <c r="N46" s="53">
        <v>10</v>
      </c>
      <c r="O46" s="53">
        <v>0.85</v>
      </c>
      <c r="P46" s="53">
        <v>0.95</v>
      </c>
      <c r="Q46" s="75">
        <f t="shared" si="0"/>
        <v>0.89999999999999991</v>
      </c>
      <c r="R46" s="53">
        <v>13.3</v>
      </c>
      <c r="S46" s="53">
        <v>106</v>
      </c>
      <c r="T46" s="16">
        <f t="shared" si="1"/>
        <v>33</v>
      </c>
      <c r="U46" s="53">
        <v>1058</v>
      </c>
      <c r="V46" s="16">
        <f t="shared" si="2"/>
        <v>3491.4</v>
      </c>
      <c r="W46" s="53">
        <v>3</v>
      </c>
      <c r="X46" s="53" t="s">
        <v>46</v>
      </c>
      <c r="Y46" s="53" t="s">
        <v>88</v>
      </c>
      <c r="Z46" s="53" t="s">
        <v>78</v>
      </c>
      <c r="AA46" s="53" t="s">
        <v>86</v>
      </c>
      <c r="AB46" s="53" t="s">
        <v>158</v>
      </c>
    </row>
    <row r="47" spans="1:28" x14ac:dyDescent="0.15">
      <c r="A47" s="53" t="s">
        <v>41</v>
      </c>
      <c r="B47" s="53" t="s">
        <v>157</v>
      </c>
      <c r="C47" s="62">
        <v>2019</v>
      </c>
      <c r="D47" s="63" t="s">
        <v>165</v>
      </c>
      <c r="E47" s="53" t="s">
        <v>193</v>
      </c>
      <c r="F47" s="53" t="s">
        <v>184</v>
      </c>
      <c r="G47" s="53" t="s">
        <v>42</v>
      </c>
      <c r="H47" s="53" t="s">
        <v>160</v>
      </c>
      <c r="I47" s="53" t="s">
        <v>159</v>
      </c>
      <c r="J47" s="53" t="s">
        <v>38</v>
      </c>
      <c r="K47" s="53" t="s">
        <v>161</v>
      </c>
      <c r="L47" s="53">
        <v>1</v>
      </c>
      <c r="N47" s="53">
        <v>1</v>
      </c>
      <c r="O47" s="53">
        <v>0.25</v>
      </c>
      <c r="P47" s="53">
        <v>0.25</v>
      </c>
      <c r="Q47" s="75">
        <f t="shared" si="0"/>
        <v>0.25</v>
      </c>
      <c r="R47" s="53">
        <v>15.2</v>
      </c>
      <c r="S47" s="53">
        <v>123</v>
      </c>
      <c r="T47" s="16">
        <f t="shared" si="1"/>
        <v>27</v>
      </c>
      <c r="U47" s="53">
        <v>108</v>
      </c>
      <c r="V47" s="16">
        <f t="shared" si="2"/>
        <v>2916</v>
      </c>
      <c r="W47" s="53">
        <v>1</v>
      </c>
      <c r="X47" s="53" t="s">
        <v>46</v>
      </c>
      <c r="Y47" s="53" t="s">
        <v>88</v>
      </c>
      <c r="Z47" s="53" t="s">
        <v>78</v>
      </c>
      <c r="AA47" s="53" t="s">
        <v>86</v>
      </c>
      <c r="AB47" s="53" t="s">
        <v>158</v>
      </c>
    </row>
    <row r="48" spans="1:28" x14ac:dyDescent="0.15">
      <c r="A48" s="53" t="s">
        <v>41</v>
      </c>
      <c r="B48" s="53" t="s">
        <v>157</v>
      </c>
      <c r="C48" s="62">
        <v>2019</v>
      </c>
      <c r="D48" s="63" t="s">
        <v>165</v>
      </c>
      <c r="E48" s="53" t="s">
        <v>193</v>
      </c>
      <c r="F48" s="53" t="s">
        <v>184</v>
      </c>
      <c r="G48" s="53" t="s">
        <v>42</v>
      </c>
      <c r="H48" s="53" t="s">
        <v>160</v>
      </c>
      <c r="I48" s="53" t="s">
        <v>159</v>
      </c>
      <c r="J48" s="53" t="s">
        <v>38</v>
      </c>
      <c r="K48" s="53" t="s">
        <v>161</v>
      </c>
      <c r="L48" s="53">
        <v>2</v>
      </c>
      <c r="M48" s="76"/>
      <c r="N48" s="53">
        <v>1</v>
      </c>
      <c r="O48" s="53">
        <v>0.35</v>
      </c>
      <c r="P48" s="53">
        <v>0.3</v>
      </c>
      <c r="Q48" s="75">
        <f t="shared" si="0"/>
        <v>0.32499999999999996</v>
      </c>
      <c r="R48" s="53">
        <v>16.2</v>
      </c>
      <c r="S48" s="53">
        <v>123</v>
      </c>
      <c r="T48" s="16">
        <f t="shared" si="1"/>
        <v>27</v>
      </c>
      <c r="U48" s="53">
        <v>108</v>
      </c>
      <c r="V48" s="16">
        <f t="shared" si="2"/>
        <v>2916</v>
      </c>
      <c r="W48" s="53">
        <v>1</v>
      </c>
      <c r="X48" s="53" t="s">
        <v>46</v>
      </c>
      <c r="Y48" s="53" t="s">
        <v>88</v>
      </c>
      <c r="Z48" s="53" t="s">
        <v>78</v>
      </c>
      <c r="AA48" s="53" t="s">
        <v>86</v>
      </c>
      <c r="AB48" s="53" t="s">
        <v>158</v>
      </c>
    </row>
    <row r="49" spans="1:34" x14ac:dyDescent="0.15">
      <c r="A49" s="53" t="s">
        <v>41</v>
      </c>
      <c r="B49" s="53" t="s">
        <v>157</v>
      </c>
      <c r="C49" s="62">
        <v>2019</v>
      </c>
      <c r="D49" s="63" t="s">
        <v>165</v>
      </c>
      <c r="E49" s="53" t="s">
        <v>193</v>
      </c>
      <c r="F49" s="53" t="s">
        <v>184</v>
      </c>
      <c r="G49" s="53" t="s">
        <v>42</v>
      </c>
      <c r="H49" s="53" t="s">
        <v>160</v>
      </c>
      <c r="I49" s="53" t="s">
        <v>159</v>
      </c>
      <c r="J49" s="53" t="s">
        <v>38</v>
      </c>
      <c r="K49" s="53" t="s">
        <v>161</v>
      </c>
      <c r="L49" s="53">
        <v>3</v>
      </c>
      <c r="M49" s="76"/>
      <c r="N49" s="53">
        <v>1</v>
      </c>
      <c r="O49" s="53">
        <v>0.45</v>
      </c>
      <c r="P49" s="53">
        <v>0.3</v>
      </c>
      <c r="Q49" s="75">
        <f t="shared" si="0"/>
        <v>0.375</v>
      </c>
      <c r="R49" s="53">
        <v>15.7</v>
      </c>
      <c r="S49" s="53">
        <v>123</v>
      </c>
      <c r="T49" s="16">
        <f t="shared" si="1"/>
        <v>27</v>
      </c>
      <c r="U49" s="53">
        <v>108</v>
      </c>
      <c r="V49" s="16">
        <f t="shared" si="2"/>
        <v>2916</v>
      </c>
      <c r="W49" s="53">
        <v>1</v>
      </c>
      <c r="X49" s="53" t="s">
        <v>46</v>
      </c>
      <c r="Y49" s="53" t="s">
        <v>88</v>
      </c>
      <c r="Z49" s="53" t="s">
        <v>78</v>
      </c>
      <c r="AA49" s="53" t="s">
        <v>86</v>
      </c>
      <c r="AB49" s="53" t="s">
        <v>158</v>
      </c>
    </row>
    <row r="50" spans="1:34" x14ac:dyDescent="0.15">
      <c r="A50" s="53" t="s">
        <v>41</v>
      </c>
      <c r="B50" s="53" t="s">
        <v>157</v>
      </c>
      <c r="C50" s="62">
        <v>2019</v>
      </c>
      <c r="D50" s="63" t="s">
        <v>165</v>
      </c>
      <c r="E50" s="53" t="s">
        <v>193</v>
      </c>
      <c r="F50" s="53" t="s">
        <v>184</v>
      </c>
      <c r="G50" s="53" t="s">
        <v>42</v>
      </c>
      <c r="H50" s="53" t="s">
        <v>160</v>
      </c>
      <c r="I50" s="53" t="s">
        <v>159</v>
      </c>
      <c r="J50" s="53" t="s">
        <v>38</v>
      </c>
      <c r="K50" s="53" t="s">
        <v>161</v>
      </c>
      <c r="L50" s="53">
        <v>1</v>
      </c>
      <c r="N50" s="53">
        <v>9</v>
      </c>
      <c r="O50" s="53">
        <v>0.3</v>
      </c>
      <c r="P50" s="53">
        <v>0.25</v>
      </c>
      <c r="Q50" s="75">
        <f t="shared" si="0"/>
        <v>0.27500000000000002</v>
      </c>
      <c r="R50" s="53">
        <v>14.8</v>
      </c>
      <c r="S50" s="53">
        <v>108</v>
      </c>
      <c r="T50" s="16">
        <f t="shared" si="1"/>
        <v>33</v>
      </c>
      <c r="U50" s="53">
        <v>1598</v>
      </c>
      <c r="V50" s="16">
        <f t="shared" si="2"/>
        <v>5859.333333333333</v>
      </c>
      <c r="W50" s="53">
        <v>3</v>
      </c>
      <c r="X50" s="53" t="s">
        <v>46</v>
      </c>
      <c r="Y50" s="53" t="s">
        <v>88</v>
      </c>
      <c r="Z50" s="53" t="s">
        <v>78</v>
      </c>
      <c r="AA50" s="53" t="s">
        <v>86</v>
      </c>
      <c r="AB50" s="53" t="s">
        <v>158</v>
      </c>
    </row>
    <row r="51" spans="1:34" x14ac:dyDescent="0.15">
      <c r="A51" s="53" t="s">
        <v>41</v>
      </c>
      <c r="B51" s="53" t="s">
        <v>157</v>
      </c>
      <c r="C51" s="62">
        <v>2019</v>
      </c>
      <c r="D51" s="63" t="s">
        <v>165</v>
      </c>
      <c r="E51" s="53" t="s">
        <v>193</v>
      </c>
      <c r="F51" s="53" t="s">
        <v>184</v>
      </c>
      <c r="G51" s="53" t="s">
        <v>42</v>
      </c>
      <c r="H51" s="53" t="s">
        <v>160</v>
      </c>
      <c r="I51" s="53" t="s">
        <v>159</v>
      </c>
      <c r="J51" s="53" t="s">
        <v>38</v>
      </c>
      <c r="K51" s="53" t="s">
        <v>161</v>
      </c>
      <c r="L51" s="53">
        <v>2</v>
      </c>
      <c r="M51" s="76"/>
      <c r="N51" s="53">
        <v>9</v>
      </c>
      <c r="O51" s="53">
        <v>0.25</v>
      </c>
      <c r="P51" s="53">
        <v>0.25</v>
      </c>
      <c r="Q51" s="75">
        <f t="shared" si="0"/>
        <v>0.25</v>
      </c>
      <c r="R51" s="53">
        <v>13.5</v>
      </c>
      <c r="S51" s="53">
        <v>104</v>
      </c>
      <c r="T51" s="16">
        <f t="shared" si="1"/>
        <v>33</v>
      </c>
      <c r="U51" s="53">
        <v>1598</v>
      </c>
      <c r="V51" s="16">
        <f t="shared" si="2"/>
        <v>5859.333333333333</v>
      </c>
      <c r="W51" s="53">
        <v>3</v>
      </c>
      <c r="X51" s="53" t="s">
        <v>46</v>
      </c>
      <c r="Y51" s="53" t="s">
        <v>88</v>
      </c>
      <c r="Z51" s="53" t="s">
        <v>78</v>
      </c>
      <c r="AA51" s="53" t="s">
        <v>86</v>
      </c>
      <c r="AB51" s="53" t="s">
        <v>158</v>
      </c>
    </row>
    <row r="52" spans="1:34" x14ac:dyDescent="0.15">
      <c r="A52" s="53" t="s">
        <v>41</v>
      </c>
      <c r="B52" s="53" t="s">
        <v>157</v>
      </c>
      <c r="C52" s="62">
        <v>2019</v>
      </c>
      <c r="D52" s="63" t="s">
        <v>165</v>
      </c>
      <c r="E52" s="53" t="s">
        <v>193</v>
      </c>
      <c r="F52" s="53" t="s">
        <v>184</v>
      </c>
      <c r="G52" s="53" t="s">
        <v>42</v>
      </c>
      <c r="H52" s="53" t="s">
        <v>160</v>
      </c>
      <c r="I52" s="53" t="s">
        <v>159</v>
      </c>
      <c r="J52" s="53" t="s">
        <v>38</v>
      </c>
      <c r="K52" s="53" t="s">
        <v>161</v>
      </c>
      <c r="L52" s="53">
        <v>3</v>
      </c>
      <c r="M52" s="76"/>
      <c r="N52" s="53">
        <v>9</v>
      </c>
      <c r="O52" s="53">
        <v>0.35</v>
      </c>
      <c r="P52" s="53">
        <v>0.3</v>
      </c>
      <c r="Q52" s="75">
        <f t="shared" si="0"/>
        <v>0.32499999999999996</v>
      </c>
      <c r="R52" s="53">
        <v>14.2</v>
      </c>
      <c r="S52" s="53">
        <v>110</v>
      </c>
      <c r="T52" s="16">
        <f t="shared" si="1"/>
        <v>33</v>
      </c>
      <c r="U52" s="53">
        <v>1598</v>
      </c>
      <c r="V52" s="16">
        <f t="shared" si="2"/>
        <v>5859.333333333333</v>
      </c>
      <c r="W52" s="53">
        <v>3</v>
      </c>
      <c r="X52" s="53" t="s">
        <v>46</v>
      </c>
      <c r="Y52" s="53" t="s">
        <v>88</v>
      </c>
      <c r="Z52" s="53" t="s">
        <v>78</v>
      </c>
      <c r="AA52" s="53" t="s">
        <v>86</v>
      </c>
      <c r="AB52" s="53" t="s">
        <v>158</v>
      </c>
    </row>
    <row r="53" spans="1:34" x14ac:dyDescent="0.15">
      <c r="A53" s="53" t="s">
        <v>41</v>
      </c>
      <c r="B53" s="53" t="s">
        <v>157</v>
      </c>
      <c r="C53" s="62">
        <v>2019</v>
      </c>
      <c r="D53" s="63" t="s">
        <v>165</v>
      </c>
      <c r="E53" s="53" t="s">
        <v>193</v>
      </c>
      <c r="F53" s="53" t="s">
        <v>195</v>
      </c>
      <c r="G53" s="53" t="s">
        <v>42</v>
      </c>
      <c r="H53" s="53" t="s">
        <v>164</v>
      </c>
      <c r="I53" s="53" t="s">
        <v>159</v>
      </c>
      <c r="J53" s="53" t="s">
        <v>38</v>
      </c>
      <c r="K53" s="53" t="s">
        <v>161</v>
      </c>
      <c r="L53" s="53">
        <v>1</v>
      </c>
      <c r="N53" s="53">
        <v>1</v>
      </c>
      <c r="O53" s="53">
        <v>0.85</v>
      </c>
      <c r="P53" s="74">
        <v>0.95</v>
      </c>
      <c r="Q53" s="75">
        <f t="shared" si="0"/>
        <v>0.89999999999999991</v>
      </c>
      <c r="R53" s="53">
        <v>13.6</v>
      </c>
      <c r="S53" s="53">
        <v>124</v>
      </c>
      <c r="T53" s="16">
        <f t="shared" si="1"/>
        <v>27</v>
      </c>
      <c r="U53" s="53">
        <v>105</v>
      </c>
      <c r="V53" s="16">
        <f t="shared" si="2"/>
        <v>2835</v>
      </c>
      <c r="W53" s="53">
        <v>1</v>
      </c>
      <c r="X53" s="53" t="s">
        <v>46</v>
      </c>
      <c r="Y53" s="53" t="s">
        <v>78</v>
      </c>
      <c r="Z53" s="53" t="s">
        <v>86</v>
      </c>
      <c r="AA53" s="53" t="s">
        <v>88</v>
      </c>
      <c r="AB53" s="53" t="s">
        <v>158</v>
      </c>
    </row>
    <row r="54" spans="1:34" x14ac:dyDescent="0.15">
      <c r="A54" s="53" t="s">
        <v>41</v>
      </c>
      <c r="B54" s="53" t="s">
        <v>157</v>
      </c>
      <c r="C54" s="62">
        <v>2019</v>
      </c>
      <c r="D54" s="63" t="s">
        <v>165</v>
      </c>
      <c r="E54" s="53" t="s">
        <v>193</v>
      </c>
      <c r="F54" s="53" t="s">
        <v>195</v>
      </c>
      <c r="G54" s="53" t="s">
        <v>42</v>
      </c>
      <c r="H54" s="53" t="s">
        <v>164</v>
      </c>
      <c r="I54" s="53" t="s">
        <v>159</v>
      </c>
      <c r="J54" s="53" t="s">
        <v>38</v>
      </c>
      <c r="K54" s="53" t="s">
        <v>161</v>
      </c>
      <c r="L54" s="53">
        <v>2</v>
      </c>
      <c r="M54" s="76"/>
      <c r="N54" s="53">
        <v>1</v>
      </c>
      <c r="O54" s="53">
        <v>0.9</v>
      </c>
      <c r="P54" s="53">
        <v>0.85</v>
      </c>
      <c r="Q54" s="75">
        <f t="shared" si="0"/>
        <v>0.875</v>
      </c>
      <c r="R54" s="53">
        <v>14.8</v>
      </c>
      <c r="S54" s="53">
        <v>123</v>
      </c>
      <c r="T54" s="16">
        <f t="shared" si="1"/>
        <v>27</v>
      </c>
      <c r="U54" s="53">
        <v>105</v>
      </c>
      <c r="V54" s="16">
        <f t="shared" si="2"/>
        <v>2835</v>
      </c>
      <c r="W54" s="53">
        <v>1</v>
      </c>
      <c r="X54" s="53" t="s">
        <v>46</v>
      </c>
      <c r="Y54" s="53" t="s">
        <v>78</v>
      </c>
      <c r="Z54" s="53" t="s">
        <v>86</v>
      </c>
      <c r="AA54" s="53" t="s">
        <v>88</v>
      </c>
      <c r="AB54" s="53" t="s">
        <v>158</v>
      </c>
    </row>
    <row r="55" spans="1:34" x14ac:dyDescent="0.15">
      <c r="A55" s="53" t="s">
        <v>41</v>
      </c>
      <c r="B55" s="53" t="s">
        <v>157</v>
      </c>
      <c r="C55" s="62">
        <v>2019</v>
      </c>
      <c r="D55" s="63" t="s">
        <v>165</v>
      </c>
      <c r="E55" s="53" t="s">
        <v>193</v>
      </c>
      <c r="F55" s="53" t="s">
        <v>195</v>
      </c>
      <c r="G55" s="53" t="s">
        <v>42</v>
      </c>
      <c r="H55" s="53" t="s">
        <v>164</v>
      </c>
      <c r="I55" s="53" t="s">
        <v>159</v>
      </c>
      <c r="J55" s="53" t="s">
        <v>38</v>
      </c>
      <c r="K55" s="53" t="s">
        <v>161</v>
      </c>
      <c r="L55" s="53">
        <v>3</v>
      </c>
      <c r="M55" s="76"/>
      <c r="N55" s="53">
        <v>1</v>
      </c>
      <c r="O55" s="53">
        <v>0.85</v>
      </c>
      <c r="P55" s="53">
        <v>0.7</v>
      </c>
      <c r="Q55" s="75">
        <f t="shared" si="0"/>
        <v>0.77499999999999991</v>
      </c>
      <c r="R55" s="53">
        <v>14</v>
      </c>
      <c r="S55" s="53">
        <v>122</v>
      </c>
      <c r="T55" s="16">
        <f t="shared" si="1"/>
        <v>27</v>
      </c>
      <c r="U55" s="53">
        <v>105</v>
      </c>
      <c r="V55" s="16">
        <f t="shared" si="2"/>
        <v>2835</v>
      </c>
      <c r="W55" s="53">
        <v>1</v>
      </c>
      <c r="X55" s="53" t="s">
        <v>46</v>
      </c>
      <c r="Y55" s="53" t="s">
        <v>78</v>
      </c>
      <c r="Z55" s="53" t="s">
        <v>86</v>
      </c>
      <c r="AA55" s="53" t="s">
        <v>88</v>
      </c>
      <c r="AB55" s="53" t="s">
        <v>158</v>
      </c>
    </row>
    <row r="56" spans="1:34" x14ac:dyDescent="0.15">
      <c r="A56" s="53" t="s">
        <v>41</v>
      </c>
      <c r="B56" s="53" t="s">
        <v>157</v>
      </c>
      <c r="C56" s="62">
        <v>2019</v>
      </c>
      <c r="D56" s="63" t="s">
        <v>165</v>
      </c>
      <c r="E56" s="53" t="s">
        <v>193</v>
      </c>
      <c r="F56" s="53" t="s">
        <v>195</v>
      </c>
      <c r="G56" s="53" t="s">
        <v>42</v>
      </c>
      <c r="H56" s="53" t="s">
        <v>164</v>
      </c>
      <c r="I56" s="53" t="s">
        <v>159</v>
      </c>
      <c r="J56" s="53" t="s">
        <v>38</v>
      </c>
      <c r="K56" s="53" t="s">
        <v>161</v>
      </c>
      <c r="L56" s="53">
        <v>1</v>
      </c>
      <c r="N56" s="53">
        <v>6</v>
      </c>
      <c r="O56" s="53">
        <v>0.6</v>
      </c>
      <c r="P56" s="53">
        <v>0.7</v>
      </c>
      <c r="Q56" s="75">
        <f t="shared" si="0"/>
        <v>0.64999999999999991</v>
      </c>
      <c r="R56" s="53">
        <v>12.8</v>
      </c>
      <c r="S56" s="53">
        <v>100</v>
      </c>
      <c r="T56" s="16">
        <f t="shared" si="1"/>
        <v>33</v>
      </c>
      <c r="U56" s="53">
        <v>421</v>
      </c>
      <c r="V56" s="16">
        <f t="shared" si="2"/>
        <v>2315.5</v>
      </c>
      <c r="W56" s="53">
        <v>2</v>
      </c>
      <c r="X56" s="53" t="s">
        <v>46</v>
      </c>
      <c r="Y56" s="53" t="s">
        <v>78</v>
      </c>
      <c r="Z56" s="53" t="s">
        <v>86</v>
      </c>
      <c r="AA56" s="53" t="s">
        <v>88</v>
      </c>
      <c r="AB56" s="53" t="s">
        <v>158</v>
      </c>
    </row>
    <row r="57" spans="1:34" x14ac:dyDescent="0.15">
      <c r="A57" s="53" t="s">
        <v>41</v>
      </c>
      <c r="B57" s="53" t="s">
        <v>157</v>
      </c>
      <c r="C57" s="62">
        <v>2019</v>
      </c>
      <c r="D57" s="63" t="s">
        <v>165</v>
      </c>
      <c r="E57" s="53" t="s">
        <v>193</v>
      </c>
      <c r="F57" s="53" t="s">
        <v>195</v>
      </c>
      <c r="G57" s="53" t="s">
        <v>42</v>
      </c>
      <c r="H57" s="53" t="s">
        <v>164</v>
      </c>
      <c r="I57" s="53" t="s">
        <v>159</v>
      </c>
      <c r="J57" s="53" t="s">
        <v>38</v>
      </c>
      <c r="K57" s="53" t="s">
        <v>161</v>
      </c>
      <c r="L57" s="53">
        <v>2</v>
      </c>
      <c r="M57" s="76"/>
      <c r="N57" s="53">
        <v>6</v>
      </c>
      <c r="O57" s="53">
        <v>0.65</v>
      </c>
      <c r="P57" s="53">
        <v>0.55000000000000004</v>
      </c>
      <c r="Q57" s="75">
        <f t="shared" si="0"/>
        <v>0.60000000000000009</v>
      </c>
      <c r="R57" s="53">
        <v>13.7</v>
      </c>
      <c r="S57" s="53">
        <v>101</v>
      </c>
      <c r="T57" s="16">
        <f t="shared" si="1"/>
        <v>33</v>
      </c>
      <c r="U57" s="53">
        <v>421</v>
      </c>
      <c r="V57" s="16">
        <f t="shared" si="2"/>
        <v>2315.5</v>
      </c>
      <c r="W57" s="53">
        <v>2</v>
      </c>
      <c r="X57" s="53" t="s">
        <v>46</v>
      </c>
      <c r="Y57" s="53" t="s">
        <v>78</v>
      </c>
      <c r="Z57" s="53" t="s">
        <v>86</v>
      </c>
      <c r="AA57" s="53" t="s">
        <v>88</v>
      </c>
      <c r="AB57" s="53" t="s">
        <v>158</v>
      </c>
    </row>
    <row r="58" spans="1:34" x14ac:dyDescent="0.15">
      <c r="A58" s="53" t="s">
        <v>41</v>
      </c>
      <c r="B58" s="53" t="s">
        <v>157</v>
      </c>
      <c r="C58" s="62">
        <v>2019</v>
      </c>
      <c r="D58" s="63" t="s">
        <v>165</v>
      </c>
      <c r="E58" s="53" t="s">
        <v>193</v>
      </c>
      <c r="F58" s="53" t="s">
        <v>195</v>
      </c>
      <c r="G58" s="53" t="s">
        <v>42</v>
      </c>
      <c r="H58" s="53" t="s">
        <v>164</v>
      </c>
      <c r="I58" s="53" t="s">
        <v>159</v>
      </c>
      <c r="J58" s="53" t="s">
        <v>38</v>
      </c>
      <c r="K58" s="53" t="s">
        <v>161</v>
      </c>
      <c r="L58" s="53">
        <v>3</v>
      </c>
      <c r="M58" s="76"/>
      <c r="N58" s="53">
        <v>6</v>
      </c>
      <c r="O58" s="53">
        <v>0.8</v>
      </c>
      <c r="P58" s="53">
        <v>0.9</v>
      </c>
      <c r="Q58" s="75">
        <f t="shared" si="0"/>
        <v>0.85000000000000009</v>
      </c>
      <c r="R58" s="53">
        <v>12.8</v>
      </c>
      <c r="S58" s="53">
        <v>100</v>
      </c>
      <c r="T58" s="16">
        <f t="shared" si="1"/>
        <v>33</v>
      </c>
      <c r="U58" s="53">
        <v>421</v>
      </c>
      <c r="V58" s="16">
        <f t="shared" si="2"/>
        <v>2315.5</v>
      </c>
      <c r="W58" s="53">
        <v>2</v>
      </c>
      <c r="X58" s="53" t="s">
        <v>46</v>
      </c>
      <c r="Y58" s="53" t="s">
        <v>78</v>
      </c>
      <c r="Z58" s="53" t="s">
        <v>86</v>
      </c>
      <c r="AA58" s="53" t="s">
        <v>88</v>
      </c>
      <c r="AB58" s="53" t="s">
        <v>158</v>
      </c>
    </row>
    <row r="59" spans="1:34" x14ac:dyDescent="0.15">
      <c r="A59" s="53" t="s">
        <v>41</v>
      </c>
      <c r="B59" s="53" t="s">
        <v>157</v>
      </c>
      <c r="C59" s="62">
        <v>2019</v>
      </c>
      <c r="D59" s="63" t="s">
        <v>165</v>
      </c>
      <c r="E59" s="53" t="s">
        <v>193</v>
      </c>
      <c r="F59" s="53" t="s">
        <v>195</v>
      </c>
      <c r="G59" s="53" t="s">
        <v>42</v>
      </c>
      <c r="H59" s="53" t="s">
        <v>160</v>
      </c>
      <c r="I59" s="53" t="s">
        <v>159</v>
      </c>
      <c r="J59" s="53" t="s">
        <v>38</v>
      </c>
      <c r="K59" s="53" t="s">
        <v>161</v>
      </c>
      <c r="L59" s="53">
        <v>1</v>
      </c>
      <c r="N59" s="53">
        <v>1</v>
      </c>
      <c r="O59" s="53">
        <v>0.8</v>
      </c>
      <c r="P59" s="53">
        <v>0.7</v>
      </c>
      <c r="Q59" s="75">
        <f t="shared" si="0"/>
        <v>0.75</v>
      </c>
      <c r="R59" s="53">
        <v>16.2</v>
      </c>
      <c r="S59" s="53">
        <v>123</v>
      </c>
      <c r="T59" s="16">
        <f t="shared" si="1"/>
        <v>27</v>
      </c>
      <c r="U59" s="53">
        <v>170</v>
      </c>
      <c r="V59" s="16">
        <f t="shared" si="2"/>
        <v>4590</v>
      </c>
      <c r="W59" s="53">
        <v>1</v>
      </c>
      <c r="X59" s="53" t="s">
        <v>46</v>
      </c>
      <c r="Y59" s="53" t="s">
        <v>78</v>
      </c>
      <c r="Z59" s="53" t="s">
        <v>86</v>
      </c>
      <c r="AA59" s="53" t="s">
        <v>88</v>
      </c>
      <c r="AB59" s="53" t="s">
        <v>158</v>
      </c>
      <c r="AC59" s="76"/>
      <c r="AD59" s="76"/>
      <c r="AE59" s="76"/>
      <c r="AF59" s="76"/>
      <c r="AG59" s="76"/>
      <c r="AH59" s="76"/>
    </row>
    <row r="60" spans="1:34" x14ac:dyDescent="0.15">
      <c r="A60" s="53" t="s">
        <v>41</v>
      </c>
      <c r="B60" s="53" t="s">
        <v>157</v>
      </c>
      <c r="C60" s="62">
        <v>2019</v>
      </c>
      <c r="D60" s="63" t="s">
        <v>165</v>
      </c>
      <c r="E60" s="53" t="s">
        <v>193</v>
      </c>
      <c r="F60" s="53" t="s">
        <v>195</v>
      </c>
      <c r="G60" s="53" t="s">
        <v>42</v>
      </c>
      <c r="H60" s="53" t="s">
        <v>160</v>
      </c>
      <c r="I60" s="53" t="s">
        <v>159</v>
      </c>
      <c r="J60" s="53" t="s">
        <v>38</v>
      </c>
      <c r="K60" s="53" t="s">
        <v>161</v>
      </c>
      <c r="L60" s="53">
        <v>2</v>
      </c>
      <c r="M60" s="76"/>
      <c r="N60" s="53">
        <v>1</v>
      </c>
      <c r="O60" s="53">
        <v>0.85</v>
      </c>
      <c r="P60" s="53">
        <v>0.85</v>
      </c>
      <c r="Q60" s="75">
        <f t="shared" si="0"/>
        <v>0.85</v>
      </c>
      <c r="R60" s="53">
        <v>16.7</v>
      </c>
      <c r="S60" s="53">
        <v>122</v>
      </c>
      <c r="T60" s="16">
        <f t="shared" si="1"/>
        <v>27</v>
      </c>
      <c r="U60" s="53">
        <v>170</v>
      </c>
      <c r="V60" s="16">
        <f t="shared" si="2"/>
        <v>4590</v>
      </c>
      <c r="W60" s="53">
        <v>1</v>
      </c>
      <c r="X60" s="53" t="s">
        <v>46</v>
      </c>
      <c r="Y60" s="53" t="s">
        <v>78</v>
      </c>
      <c r="Z60" s="53" t="s">
        <v>86</v>
      </c>
      <c r="AA60" s="53" t="s">
        <v>88</v>
      </c>
      <c r="AB60" s="53" t="s">
        <v>158</v>
      </c>
      <c r="AC60" s="76"/>
      <c r="AD60" s="76"/>
      <c r="AE60" s="76"/>
      <c r="AF60" s="76"/>
      <c r="AG60" s="76"/>
      <c r="AH60" s="76"/>
    </row>
    <row r="61" spans="1:34" x14ac:dyDescent="0.15">
      <c r="A61" s="53" t="s">
        <v>41</v>
      </c>
      <c r="B61" s="53" t="s">
        <v>157</v>
      </c>
      <c r="C61" s="62">
        <v>2019</v>
      </c>
      <c r="D61" s="63" t="s">
        <v>165</v>
      </c>
      <c r="E61" s="53" t="s">
        <v>193</v>
      </c>
      <c r="F61" s="53" t="s">
        <v>195</v>
      </c>
      <c r="G61" s="53" t="s">
        <v>42</v>
      </c>
      <c r="H61" s="53" t="s">
        <v>160</v>
      </c>
      <c r="I61" s="53" t="s">
        <v>159</v>
      </c>
      <c r="J61" s="53" t="s">
        <v>38</v>
      </c>
      <c r="K61" s="53" t="s">
        <v>161</v>
      </c>
      <c r="L61" s="53">
        <v>3</v>
      </c>
      <c r="M61" s="76"/>
      <c r="N61" s="53">
        <v>1</v>
      </c>
      <c r="O61" s="53">
        <v>0.9</v>
      </c>
      <c r="P61" s="53">
        <v>0.85</v>
      </c>
      <c r="Q61" s="75">
        <f t="shared" si="0"/>
        <v>0.875</v>
      </c>
      <c r="R61" s="53">
        <v>15.8</v>
      </c>
      <c r="S61" s="53">
        <v>122</v>
      </c>
      <c r="T61" s="16">
        <f t="shared" si="1"/>
        <v>27</v>
      </c>
      <c r="U61" s="53">
        <v>170</v>
      </c>
      <c r="V61" s="16">
        <f t="shared" si="2"/>
        <v>4590</v>
      </c>
      <c r="W61" s="53">
        <v>1</v>
      </c>
      <c r="X61" s="53" t="s">
        <v>46</v>
      </c>
      <c r="Y61" s="53" t="s">
        <v>78</v>
      </c>
      <c r="Z61" s="53" t="s">
        <v>86</v>
      </c>
      <c r="AA61" s="53" t="s">
        <v>88</v>
      </c>
      <c r="AB61" s="53" t="s">
        <v>158</v>
      </c>
      <c r="AC61" s="76"/>
      <c r="AD61" s="76"/>
      <c r="AE61" s="76"/>
      <c r="AF61" s="76"/>
      <c r="AG61" s="76"/>
      <c r="AH61" s="76"/>
    </row>
    <row r="62" spans="1:34" x14ac:dyDescent="0.15">
      <c r="A62" s="53" t="s">
        <v>41</v>
      </c>
      <c r="B62" s="53" t="s">
        <v>157</v>
      </c>
      <c r="C62" s="62">
        <v>2019</v>
      </c>
      <c r="D62" s="63" t="s">
        <v>165</v>
      </c>
      <c r="E62" s="53" t="s">
        <v>193</v>
      </c>
      <c r="F62" s="53" t="s">
        <v>195</v>
      </c>
      <c r="G62" s="53" t="s">
        <v>42</v>
      </c>
      <c r="H62" s="53" t="s">
        <v>160</v>
      </c>
      <c r="I62" s="53" t="s">
        <v>159</v>
      </c>
      <c r="J62" s="53" t="s">
        <v>38</v>
      </c>
      <c r="K62" s="53" t="s">
        <v>161</v>
      </c>
      <c r="L62" s="53">
        <v>1</v>
      </c>
      <c r="N62" s="53">
        <v>4</v>
      </c>
      <c r="O62" s="53">
        <v>0.9</v>
      </c>
      <c r="P62" s="53">
        <v>0.75</v>
      </c>
      <c r="Q62" s="75">
        <f t="shared" si="0"/>
        <v>0.82499999999999996</v>
      </c>
      <c r="R62" s="53">
        <v>14.8</v>
      </c>
      <c r="S62" s="53">
        <v>115</v>
      </c>
      <c r="T62" s="16">
        <f t="shared" si="1"/>
        <v>30</v>
      </c>
      <c r="U62" s="53">
        <v>538</v>
      </c>
      <c r="V62" s="16">
        <f t="shared" si="2"/>
        <v>4035</v>
      </c>
      <c r="W62" s="53">
        <v>2</v>
      </c>
      <c r="X62" s="53" t="s">
        <v>46</v>
      </c>
      <c r="Y62" s="53" t="s">
        <v>78</v>
      </c>
      <c r="Z62" s="53" t="s">
        <v>86</v>
      </c>
      <c r="AA62" s="53" t="s">
        <v>88</v>
      </c>
      <c r="AB62" s="53" t="s">
        <v>158</v>
      </c>
      <c r="AC62" s="76"/>
      <c r="AD62" s="76"/>
      <c r="AE62" s="76"/>
      <c r="AF62" s="76"/>
      <c r="AG62" s="76"/>
      <c r="AH62" s="76"/>
    </row>
    <row r="63" spans="1:34" x14ac:dyDescent="0.15">
      <c r="A63" s="53" t="s">
        <v>41</v>
      </c>
      <c r="B63" s="53" t="s">
        <v>157</v>
      </c>
      <c r="C63" s="62">
        <v>2019</v>
      </c>
      <c r="D63" s="63" t="s">
        <v>165</v>
      </c>
      <c r="E63" s="53" t="s">
        <v>193</v>
      </c>
      <c r="F63" s="53" t="s">
        <v>195</v>
      </c>
      <c r="G63" s="53" t="s">
        <v>42</v>
      </c>
      <c r="H63" s="53" t="s">
        <v>160</v>
      </c>
      <c r="I63" s="53" t="s">
        <v>159</v>
      </c>
      <c r="J63" s="53" t="s">
        <v>38</v>
      </c>
      <c r="K63" s="53" t="s">
        <v>161</v>
      </c>
      <c r="L63" s="53">
        <v>2</v>
      </c>
      <c r="M63" s="76"/>
      <c r="N63" s="53">
        <v>4</v>
      </c>
      <c r="O63" s="53">
        <v>0.95</v>
      </c>
      <c r="P63" s="53">
        <v>0.8</v>
      </c>
      <c r="Q63" s="75">
        <f t="shared" si="0"/>
        <v>0.875</v>
      </c>
      <c r="R63" s="53">
        <v>14</v>
      </c>
      <c r="S63" s="53">
        <v>117</v>
      </c>
      <c r="T63" s="16">
        <f t="shared" si="1"/>
        <v>30</v>
      </c>
      <c r="U63" s="53">
        <v>538</v>
      </c>
      <c r="V63" s="16">
        <f t="shared" si="2"/>
        <v>4035</v>
      </c>
      <c r="W63" s="53">
        <v>2</v>
      </c>
      <c r="X63" s="53" t="s">
        <v>46</v>
      </c>
      <c r="Y63" s="53" t="s">
        <v>78</v>
      </c>
      <c r="Z63" s="53" t="s">
        <v>86</v>
      </c>
      <c r="AA63" s="53" t="s">
        <v>88</v>
      </c>
      <c r="AB63" s="53" t="s">
        <v>158</v>
      </c>
      <c r="AC63" s="76"/>
      <c r="AD63" s="76"/>
      <c r="AE63" s="76"/>
      <c r="AF63" s="76"/>
      <c r="AG63" s="76"/>
      <c r="AH63" s="76"/>
    </row>
    <row r="64" spans="1:34" x14ac:dyDescent="0.15">
      <c r="A64" s="53" t="s">
        <v>41</v>
      </c>
      <c r="B64" s="53" t="s">
        <v>157</v>
      </c>
      <c r="C64" s="62">
        <v>2019</v>
      </c>
      <c r="D64" s="63" t="s">
        <v>165</v>
      </c>
      <c r="E64" s="53" t="s">
        <v>193</v>
      </c>
      <c r="F64" s="53" t="s">
        <v>195</v>
      </c>
      <c r="G64" s="53" t="s">
        <v>42</v>
      </c>
      <c r="H64" s="53" t="s">
        <v>160</v>
      </c>
      <c r="I64" s="53" t="s">
        <v>159</v>
      </c>
      <c r="J64" s="53" t="s">
        <v>38</v>
      </c>
      <c r="K64" s="53" t="s">
        <v>161</v>
      </c>
      <c r="L64" s="53">
        <v>3</v>
      </c>
      <c r="M64" s="76"/>
      <c r="N64" s="53">
        <v>4</v>
      </c>
      <c r="O64" s="53">
        <v>0.8</v>
      </c>
      <c r="P64" s="53">
        <v>0.85</v>
      </c>
      <c r="Q64" s="75">
        <f t="shared" si="0"/>
        <v>0.82499999999999996</v>
      </c>
      <c r="R64" s="53">
        <v>14.9</v>
      </c>
      <c r="S64" s="53">
        <v>119</v>
      </c>
      <c r="T64" s="16">
        <f t="shared" si="1"/>
        <v>30</v>
      </c>
      <c r="U64" s="53">
        <v>538</v>
      </c>
      <c r="V64" s="16">
        <f t="shared" si="2"/>
        <v>4035</v>
      </c>
      <c r="W64" s="53">
        <v>2</v>
      </c>
      <c r="X64" s="53" t="s">
        <v>46</v>
      </c>
      <c r="Y64" s="53" t="s">
        <v>78</v>
      </c>
      <c r="Z64" s="53" t="s">
        <v>86</v>
      </c>
      <c r="AA64" s="53" t="s">
        <v>88</v>
      </c>
      <c r="AB64" s="53" t="s">
        <v>158</v>
      </c>
      <c r="AC64" s="76"/>
      <c r="AD64" s="76"/>
      <c r="AE64" s="76"/>
      <c r="AF64" s="76"/>
      <c r="AG64" s="76"/>
      <c r="AH64" s="76"/>
    </row>
    <row r="65" spans="1:34" x14ac:dyDescent="0.15">
      <c r="A65" s="53" t="s">
        <v>41</v>
      </c>
      <c r="B65" s="53" t="s">
        <v>157</v>
      </c>
      <c r="C65" s="62">
        <v>2019</v>
      </c>
      <c r="D65" s="63" t="s">
        <v>165</v>
      </c>
      <c r="E65" s="53" t="s">
        <v>198</v>
      </c>
      <c r="F65" s="53" t="s">
        <v>195</v>
      </c>
      <c r="G65" s="53" t="s">
        <v>42</v>
      </c>
      <c r="H65" s="53" t="s">
        <v>160</v>
      </c>
      <c r="I65" s="53" t="s">
        <v>159</v>
      </c>
      <c r="J65" s="53" t="s">
        <v>38</v>
      </c>
      <c r="K65" s="53" t="s">
        <v>161</v>
      </c>
      <c r="L65" s="53">
        <v>1</v>
      </c>
      <c r="N65" s="53">
        <v>1</v>
      </c>
      <c r="O65" s="53">
        <v>0.25</v>
      </c>
      <c r="P65" s="53">
        <v>0.25</v>
      </c>
      <c r="Q65" s="16">
        <f t="shared" si="0"/>
        <v>0.25</v>
      </c>
      <c r="R65" s="53">
        <v>12.6</v>
      </c>
      <c r="S65" s="53">
        <v>118</v>
      </c>
      <c r="T65" s="38">
        <f t="shared" si="1"/>
        <v>30</v>
      </c>
      <c r="U65" s="53">
        <v>104</v>
      </c>
      <c r="V65" s="16">
        <f t="shared" si="2"/>
        <v>3120</v>
      </c>
      <c r="W65" s="53">
        <v>2</v>
      </c>
      <c r="X65" s="53" t="s">
        <v>46</v>
      </c>
      <c r="Y65" s="53" t="s">
        <v>88</v>
      </c>
      <c r="Z65" s="53" t="s">
        <v>86</v>
      </c>
      <c r="AA65" s="53" t="s">
        <v>97</v>
      </c>
      <c r="AB65" s="53" t="s">
        <v>158</v>
      </c>
      <c r="AC65" s="76"/>
      <c r="AD65" s="76"/>
      <c r="AE65" s="76"/>
      <c r="AF65" s="76"/>
      <c r="AG65" s="76"/>
      <c r="AH65" s="76"/>
    </row>
    <row r="66" spans="1:34" x14ac:dyDescent="0.15">
      <c r="A66" s="53" t="s">
        <v>41</v>
      </c>
      <c r="B66" s="53" t="s">
        <v>157</v>
      </c>
      <c r="C66" s="62">
        <v>2019</v>
      </c>
      <c r="D66" s="63" t="s">
        <v>165</v>
      </c>
      <c r="E66" s="53" t="s">
        <v>198</v>
      </c>
      <c r="F66" s="53" t="s">
        <v>195</v>
      </c>
      <c r="G66" s="53" t="s">
        <v>42</v>
      </c>
      <c r="H66" s="53" t="s">
        <v>160</v>
      </c>
      <c r="I66" s="53" t="s">
        <v>159</v>
      </c>
      <c r="J66" s="53" t="s">
        <v>38</v>
      </c>
      <c r="K66" s="53" t="s">
        <v>161</v>
      </c>
      <c r="L66" s="53">
        <v>2</v>
      </c>
      <c r="M66" s="76"/>
      <c r="N66" s="53">
        <v>1</v>
      </c>
      <c r="O66" s="53">
        <v>0.3</v>
      </c>
      <c r="P66" s="53">
        <v>0.25</v>
      </c>
      <c r="Q66" s="16">
        <f t="shared" ref="Q66:Q93" si="3">IF(OR(O66="",P66=""),"",AVERAGE(O66,P66))</f>
        <v>0.27500000000000002</v>
      </c>
      <c r="R66" s="53">
        <v>15.4</v>
      </c>
      <c r="S66" s="53">
        <v>115</v>
      </c>
      <c r="T66" s="38">
        <f t="shared" ref="T66:T118" si="4">IF(H66="","",IF(OR(H66="GREEN",H66="GK"),IF(S66&gt;=$AX$2,VLOOKUP(S66,$AX$2:$AY$10,2,1),""),IF(S66&gt;=$AZ$2,VLOOKUP(S66,$AZ$2:$BA$10,2,1),"")))</f>
        <v>30</v>
      </c>
      <c r="U66" s="53">
        <v>104</v>
      </c>
      <c r="V66" s="16">
        <f t="shared" ref="V66:V82" si="5">IF(OR(N66="",U66="",T66=""),"",U66/N66*T66)</f>
        <v>3120</v>
      </c>
      <c r="W66" s="53">
        <v>2</v>
      </c>
      <c r="X66" s="53" t="s">
        <v>46</v>
      </c>
      <c r="Y66" s="53" t="s">
        <v>88</v>
      </c>
      <c r="Z66" s="53" t="s">
        <v>86</v>
      </c>
      <c r="AA66" s="53" t="s">
        <v>97</v>
      </c>
      <c r="AB66" s="53" t="s">
        <v>158</v>
      </c>
      <c r="AC66" s="76"/>
      <c r="AD66" s="76"/>
      <c r="AE66" s="76"/>
      <c r="AF66" s="76"/>
      <c r="AG66" s="76"/>
      <c r="AH66" s="76"/>
    </row>
    <row r="67" spans="1:34" x14ac:dyDescent="0.15">
      <c r="A67" s="53" t="s">
        <v>41</v>
      </c>
      <c r="B67" s="53" t="s">
        <v>157</v>
      </c>
      <c r="C67" s="62">
        <v>2019</v>
      </c>
      <c r="D67" s="63" t="s">
        <v>165</v>
      </c>
      <c r="E67" s="53" t="s">
        <v>198</v>
      </c>
      <c r="F67" s="53" t="s">
        <v>195</v>
      </c>
      <c r="G67" s="53" t="s">
        <v>42</v>
      </c>
      <c r="H67" s="53" t="s">
        <v>160</v>
      </c>
      <c r="I67" s="53" t="s">
        <v>159</v>
      </c>
      <c r="J67" s="53" t="s">
        <v>38</v>
      </c>
      <c r="K67" s="53" t="s">
        <v>161</v>
      </c>
      <c r="L67" s="53">
        <v>3</v>
      </c>
      <c r="M67" s="76"/>
      <c r="N67" s="53">
        <v>1</v>
      </c>
      <c r="O67" s="53">
        <v>0.25</v>
      </c>
      <c r="P67" s="53">
        <v>0.25</v>
      </c>
      <c r="Q67" s="16">
        <f t="shared" si="3"/>
        <v>0.25</v>
      </c>
      <c r="R67" s="53">
        <v>15.7</v>
      </c>
      <c r="S67" s="53">
        <v>120</v>
      </c>
      <c r="T67" s="38">
        <f t="shared" si="4"/>
        <v>30</v>
      </c>
      <c r="U67" s="53">
        <v>104</v>
      </c>
      <c r="V67" s="38">
        <f t="shared" si="5"/>
        <v>3120</v>
      </c>
      <c r="W67" s="53">
        <v>2</v>
      </c>
      <c r="X67" s="53" t="s">
        <v>46</v>
      </c>
      <c r="Y67" s="53" t="s">
        <v>88</v>
      </c>
      <c r="Z67" s="53" t="s">
        <v>86</v>
      </c>
      <c r="AA67" s="53" t="s">
        <v>97</v>
      </c>
      <c r="AB67" s="53" t="s">
        <v>158</v>
      </c>
      <c r="AC67" s="76"/>
      <c r="AD67" s="76"/>
      <c r="AE67" s="76"/>
      <c r="AF67" s="76"/>
      <c r="AG67" s="76"/>
      <c r="AH67" s="76"/>
    </row>
    <row r="68" spans="1:34" x14ac:dyDescent="0.15">
      <c r="A68" s="53" t="s">
        <v>41</v>
      </c>
      <c r="B68" s="53" t="s">
        <v>157</v>
      </c>
      <c r="C68" s="62">
        <v>2019</v>
      </c>
      <c r="D68" s="63" t="s">
        <v>165</v>
      </c>
      <c r="E68" s="53" t="s">
        <v>198</v>
      </c>
      <c r="F68" s="53" t="s">
        <v>195</v>
      </c>
      <c r="G68" s="53" t="s">
        <v>42</v>
      </c>
      <c r="H68" s="53" t="s">
        <v>164</v>
      </c>
      <c r="I68" s="53" t="s">
        <v>159</v>
      </c>
      <c r="J68" s="53" t="s">
        <v>38</v>
      </c>
      <c r="K68" s="53" t="s">
        <v>161</v>
      </c>
      <c r="L68" s="53">
        <v>1</v>
      </c>
      <c r="N68" s="53">
        <v>1</v>
      </c>
      <c r="O68" s="53">
        <v>1</v>
      </c>
      <c r="P68" s="53">
        <v>0.95</v>
      </c>
      <c r="Q68" s="75">
        <f t="shared" si="3"/>
        <v>0.97499999999999998</v>
      </c>
      <c r="R68" s="53">
        <v>15.2</v>
      </c>
      <c r="S68" s="53">
        <v>119</v>
      </c>
      <c r="T68" s="16">
        <f t="shared" si="4"/>
        <v>30</v>
      </c>
      <c r="U68" s="53">
        <v>104</v>
      </c>
      <c r="V68" s="16">
        <f t="shared" si="5"/>
        <v>3120</v>
      </c>
      <c r="W68" s="53">
        <v>2</v>
      </c>
      <c r="X68" s="53" t="s">
        <v>46</v>
      </c>
      <c r="Y68" s="53" t="s">
        <v>88</v>
      </c>
      <c r="Z68" s="53" t="s">
        <v>86</v>
      </c>
      <c r="AA68" s="53" t="s">
        <v>97</v>
      </c>
      <c r="AB68" s="53" t="s">
        <v>158</v>
      </c>
      <c r="AC68" s="76"/>
      <c r="AD68" s="76"/>
      <c r="AE68" s="76"/>
      <c r="AF68" s="76"/>
      <c r="AG68" s="76"/>
      <c r="AH68" s="76"/>
    </row>
    <row r="69" spans="1:34" x14ac:dyDescent="0.15">
      <c r="A69" s="53" t="s">
        <v>41</v>
      </c>
      <c r="B69" s="53" t="s">
        <v>157</v>
      </c>
      <c r="C69" s="62">
        <v>2019</v>
      </c>
      <c r="D69" s="63" t="s">
        <v>165</v>
      </c>
      <c r="E69" s="53" t="s">
        <v>198</v>
      </c>
      <c r="F69" s="53" t="s">
        <v>195</v>
      </c>
      <c r="G69" s="53" t="s">
        <v>42</v>
      </c>
      <c r="H69" s="53" t="s">
        <v>164</v>
      </c>
      <c r="I69" s="53" t="s">
        <v>159</v>
      </c>
      <c r="J69" s="53" t="s">
        <v>38</v>
      </c>
      <c r="K69" s="53" t="s">
        <v>161</v>
      </c>
      <c r="L69" s="53">
        <v>2</v>
      </c>
      <c r="M69" s="76"/>
      <c r="N69" s="53">
        <v>1</v>
      </c>
      <c r="O69" s="53">
        <v>0.9</v>
      </c>
      <c r="P69" s="53">
        <v>0.8</v>
      </c>
      <c r="Q69" s="75">
        <f t="shared" si="3"/>
        <v>0.85000000000000009</v>
      </c>
      <c r="R69" s="53">
        <v>13.9</v>
      </c>
      <c r="S69" s="53">
        <v>120</v>
      </c>
      <c r="T69" s="16">
        <f t="shared" si="4"/>
        <v>30</v>
      </c>
      <c r="U69" s="53">
        <v>104</v>
      </c>
      <c r="V69" s="16">
        <f t="shared" si="5"/>
        <v>3120</v>
      </c>
      <c r="W69" s="53">
        <v>2</v>
      </c>
      <c r="X69" s="53" t="s">
        <v>46</v>
      </c>
      <c r="Y69" s="53" t="s">
        <v>88</v>
      </c>
      <c r="Z69" s="53" t="s">
        <v>86</v>
      </c>
      <c r="AA69" s="53" t="s">
        <v>97</v>
      </c>
      <c r="AB69" s="53" t="s">
        <v>158</v>
      </c>
      <c r="AC69" s="76"/>
      <c r="AD69" s="76"/>
      <c r="AE69" s="76"/>
      <c r="AF69" s="76"/>
      <c r="AG69" s="76"/>
      <c r="AH69" s="76"/>
    </row>
    <row r="70" spans="1:34" x14ac:dyDescent="0.15">
      <c r="A70" s="53" t="s">
        <v>41</v>
      </c>
      <c r="B70" s="53" t="s">
        <v>157</v>
      </c>
      <c r="C70" s="62">
        <v>2019</v>
      </c>
      <c r="D70" s="63" t="s">
        <v>165</v>
      </c>
      <c r="E70" s="53" t="s">
        <v>198</v>
      </c>
      <c r="F70" s="53" t="s">
        <v>195</v>
      </c>
      <c r="G70" s="53" t="s">
        <v>42</v>
      </c>
      <c r="H70" s="53" t="s">
        <v>164</v>
      </c>
      <c r="I70" s="53" t="s">
        <v>159</v>
      </c>
      <c r="J70" s="53" t="s">
        <v>38</v>
      </c>
      <c r="K70" s="53" t="s">
        <v>161</v>
      </c>
      <c r="L70" s="53">
        <v>3</v>
      </c>
      <c r="M70" s="76"/>
      <c r="N70" s="53">
        <v>1</v>
      </c>
      <c r="O70" s="53">
        <v>0.8</v>
      </c>
      <c r="P70" s="53">
        <v>0.95</v>
      </c>
      <c r="Q70" s="75">
        <f t="shared" si="3"/>
        <v>0.875</v>
      </c>
      <c r="R70" s="53">
        <v>12.7</v>
      </c>
      <c r="S70" s="53">
        <v>117</v>
      </c>
      <c r="T70" s="16">
        <f t="shared" si="4"/>
        <v>30</v>
      </c>
      <c r="U70" s="53">
        <v>104</v>
      </c>
      <c r="V70" s="16">
        <f t="shared" si="5"/>
        <v>3120</v>
      </c>
      <c r="W70" s="53">
        <v>2</v>
      </c>
      <c r="X70" s="53" t="s">
        <v>46</v>
      </c>
      <c r="Y70" s="53" t="s">
        <v>88</v>
      </c>
      <c r="Z70" s="53" t="s">
        <v>86</v>
      </c>
      <c r="AA70" s="53" t="s">
        <v>97</v>
      </c>
      <c r="AB70" s="53" t="s">
        <v>158</v>
      </c>
      <c r="AC70" s="76"/>
      <c r="AD70" s="76"/>
      <c r="AE70" s="76"/>
      <c r="AF70" s="76"/>
      <c r="AG70" s="76"/>
      <c r="AH70" s="76"/>
    </row>
    <row r="71" spans="1:34" x14ac:dyDescent="0.15">
      <c r="A71" s="53" t="s">
        <v>41</v>
      </c>
      <c r="B71" s="53" t="s">
        <v>157</v>
      </c>
      <c r="C71" s="62">
        <v>2019</v>
      </c>
      <c r="D71" s="63" t="s">
        <v>165</v>
      </c>
      <c r="E71" s="53" t="s">
        <v>201</v>
      </c>
      <c r="F71" s="53" t="s">
        <v>202</v>
      </c>
      <c r="G71" s="53" t="s">
        <v>42</v>
      </c>
      <c r="H71" s="53" t="s">
        <v>160</v>
      </c>
      <c r="I71" s="53" t="s">
        <v>159</v>
      </c>
      <c r="J71" s="53" t="s">
        <v>38</v>
      </c>
      <c r="K71" s="53" t="s">
        <v>161</v>
      </c>
      <c r="L71" s="53">
        <v>1</v>
      </c>
      <c r="N71" s="53">
        <v>1</v>
      </c>
      <c r="O71" s="53">
        <v>0.25</v>
      </c>
      <c r="P71" s="53">
        <v>0.35</v>
      </c>
      <c r="Q71" s="75">
        <f t="shared" si="3"/>
        <v>0.3</v>
      </c>
      <c r="R71" s="53">
        <v>16.2</v>
      </c>
      <c r="S71" s="53">
        <v>125</v>
      </c>
      <c r="T71" s="16">
        <f t="shared" si="4"/>
        <v>27</v>
      </c>
      <c r="U71" s="53">
        <v>138</v>
      </c>
      <c r="V71" s="16">
        <f t="shared" si="5"/>
        <v>3726</v>
      </c>
      <c r="W71" s="53">
        <v>2</v>
      </c>
      <c r="X71" s="53" t="s">
        <v>46</v>
      </c>
      <c r="Y71" s="53" t="s">
        <v>88</v>
      </c>
      <c r="Z71" s="53" t="s">
        <v>86</v>
      </c>
      <c r="AA71" s="53" t="s">
        <v>78</v>
      </c>
      <c r="AB71" s="53" t="s">
        <v>158</v>
      </c>
      <c r="AC71" s="76"/>
      <c r="AD71" s="76"/>
      <c r="AE71" s="76"/>
      <c r="AF71" s="76"/>
      <c r="AG71" s="76"/>
      <c r="AH71" s="76"/>
    </row>
    <row r="72" spans="1:34" x14ac:dyDescent="0.15">
      <c r="A72" s="53" t="s">
        <v>41</v>
      </c>
      <c r="B72" s="53" t="s">
        <v>157</v>
      </c>
      <c r="C72" s="62">
        <v>2019</v>
      </c>
      <c r="D72" s="63" t="s">
        <v>165</v>
      </c>
      <c r="E72" s="53" t="s">
        <v>201</v>
      </c>
      <c r="F72" s="53" t="s">
        <v>202</v>
      </c>
      <c r="G72" s="53" t="s">
        <v>42</v>
      </c>
      <c r="H72" s="53" t="s">
        <v>160</v>
      </c>
      <c r="I72" s="53" t="s">
        <v>159</v>
      </c>
      <c r="J72" s="53" t="s">
        <v>38</v>
      </c>
      <c r="K72" s="53" t="s">
        <v>161</v>
      </c>
      <c r="L72" s="53">
        <v>2</v>
      </c>
      <c r="N72" s="53">
        <v>1</v>
      </c>
      <c r="O72" s="53">
        <v>0.4</v>
      </c>
      <c r="P72" s="53">
        <v>0.45</v>
      </c>
      <c r="Q72" s="75">
        <f t="shared" si="3"/>
        <v>0.42500000000000004</v>
      </c>
      <c r="R72" s="53">
        <v>15.1</v>
      </c>
      <c r="S72" s="53">
        <v>126</v>
      </c>
      <c r="T72" s="16">
        <f t="shared" si="4"/>
        <v>27</v>
      </c>
      <c r="U72" s="53">
        <v>138</v>
      </c>
      <c r="V72" s="16">
        <f t="shared" si="5"/>
        <v>3726</v>
      </c>
      <c r="W72" s="53">
        <v>2</v>
      </c>
      <c r="X72" s="53" t="s">
        <v>46</v>
      </c>
      <c r="Y72" s="53" t="s">
        <v>88</v>
      </c>
      <c r="Z72" s="53" t="s">
        <v>86</v>
      </c>
      <c r="AA72" s="53" t="s">
        <v>78</v>
      </c>
      <c r="AB72" s="53" t="s">
        <v>158</v>
      </c>
      <c r="AC72" s="76"/>
      <c r="AD72" s="76"/>
      <c r="AE72" s="76"/>
      <c r="AF72" s="76"/>
      <c r="AG72" s="76"/>
      <c r="AH72" s="76"/>
    </row>
    <row r="73" spans="1:34" x14ac:dyDescent="0.15">
      <c r="A73" s="53" t="s">
        <v>41</v>
      </c>
      <c r="B73" s="53" t="s">
        <v>157</v>
      </c>
      <c r="C73" s="62">
        <v>2019</v>
      </c>
      <c r="D73" s="63" t="s">
        <v>165</v>
      </c>
      <c r="E73" s="53" t="s">
        <v>201</v>
      </c>
      <c r="F73" s="53" t="s">
        <v>202</v>
      </c>
      <c r="G73" s="53" t="s">
        <v>42</v>
      </c>
      <c r="H73" s="53" t="s">
        <v>160</v>
      </c>
      <c r="I73" s="53" t="s">
        <v>159</v>
      </c>
      <c r="J73" s="53" t="s">
        <v>38</v>
      </c>
      <c r="K73" s="53" t="s">
        <v>161</v>
      </c>
      <c r="L73" s="53">
        <v>3</v>
      </c>
      <c r="N73" s="53">
        <v>1</v>
      </c>
      <c r="O73" s="53">
        <v>0.35</v>
      </c>
      <c r="P73" s="53">
        <v>0.35</v>
      </c>
      <c r="Q73" s="75">
        <f t="shared" si="3"/>
        <v>0.35</v>
      </c>
      <c r="R73" s="53">
        <v>14.9</v>
      </c>
      <c r="S73" s="53">
        <v>122</v>
      </c>
      <c r="T73" s="16">
        <f t="shared" si="4"/>
        <v>27</v>
      </c>
      <c r="U73" s="53">
        <v>138</v>
      </c>
      <c r="V73" s="16">
        <f t="shared" si="5"/>
        <v>3726</v>
      </c>
      <c r="W73" s="53">
        <v>2</v>
      </c>
      <c r="X73" s="53" t="s">
        <v>46</v>
      </c>
      <c r="Y73" s="53" t="s">
        <v>88</v>
      </c>
      <c r="Z73" s="53" t="s">
        <v>86</v>
      </c>
      <c r="AA73" s="53" t="s">
        <v>78</v>
      </c>
      <c r="AB73" s="53" t="s">
        <v>158</v>
      </c>
      <c r="AC73" s="76"/>
      <c r="AD73" s="76"/>
      <c r="AE73" s="76"/>
      <c r="AF73" s="76"/>
      <c r="AG73" s="76"/>
      <c r="AH73" s="76"/>
    </row>
    <row r="74" spans="1:34" x14ac:dyDescent="0.15">
      <c r="A74" s="53" t="s">
        <v>41</v>
      </c>
      <c r="B74" s="53" t="s">
        <v>157</v>
      </c>
      <c r="C74" s="62">
        <v>2019</v>
      </c>
      <c r="D74" s="63" t="s">
        <v>165</v>
      </c>
      <c r="E74" s="53" t="s">
        <v>201</v>
      </c>
      <c r="F74" s="53" t="s">
        <v>202</v>
      </c>
      <c r="G74" s="53" t="s">
        <v>42</v>
      </c>
      <c r="H74" s="53" t="s">
        <v>160</v>
      </c>
      <c r="I74" s="53" t="s">
        <v>159</v>
      </c>
      <c r="J74" s="53" t="s">
        <v>38</v>
      </c>
      <c r="K74" s="53" t="s">
        <v>161</v>
      </c>
      <c r="L74" s="53">
        <v>1</v>
      </c>
      <c r="N74" s="53">
        <v>7</v>
      </c>
      <c r="O74" s="53">
        <v>0.65</v>
      </c>
      <c r="P74" s="53">
        <v>0.7</v>
      </c>
      <c r="Q74" s="75">
        <f t="shared" si="3"/>
        <v>0.67500000000000004</v>
      </c>
      <c r="R74" s="53">
        <v>12.7</v>
      </c>
      <c r="S74" s="53">
        <v>108</v>
      </c>
      <c r="T74" s="16">
        <f t="shared" si="4"/>
        <v>33</v>
      </c>
      <c r="U74" s="53">
        <v>734</v>
      </c>
      <c r="V74" s="16">
        <f t="shared" si="5"/>
        <v>3460.2857142857142</v>
      </c>
      <c r="W74" s="53">
        <v>1</v>
      </c>
      <c r="X74" s="53" t="s">
        <v>46</v>
      </c>
      <c r="Y74" s="53" t="s">
        <v>88</v>
      </c>
      <c r="Z74" s="53" t="s">
        <v>86</v>
      </c>
      <c r="AA74" s="53" t="s">
        <v>78</v>
      </c>
      <c r="AB74" s="53" t="s">
        <v>158</v>
      </c>
      <c r="AC74" s="76"/>
      <c r="AD74" s="76"/>
      <c r="AE74" s="76"/>
      <c r="AF74" s="76"/>
      <c r="AG74" s="76"/>
      <c r="AH74" s="76"/>
    </row>
    <row r="75" spans="1:34" x14ac:dyDescent="0.15">
      <c r="A75" s="53" t="s">
        <v>41</v>
      </c>
      <c r="B75" s="53" t="s">
        <v>157</v>
      </c>
      <c r="C75" s="62">
        <v>2019</v>
      </c>
      <c r="D75" s="63" t="s">
        <v>165</v>
      </c>
      <c r="E75" s="53" t="s">
        <v>201</v>
      </c>
      <c r="F75" s="53" t="s">
        <v>202</v>
      </c>
      <c r="G75" s="53" t="s">
        <v>42</v>
      </c>
      <c r="H75" s="53" t="s">
        <v>160</v>
      </c>
      <c r="I75" s="53" t="s">
        <v>159</v>
      </c>
      <c r="J75" s="53" t="s">
        <v>38</v>
      </c>
      <c r="K75" s="53" t="s">
        <v>161</v>
      </c>
      <c r="L75" s="53">
        <v>2</v>
      </c>
      <c r="M75" s="76"/>
      <c r="N75" s="53">
        <v>7</v>
      </c>
      <c r="O75" s="53">
        <v>0.5</v>
      </c>
      <c r="P75" s="53">
        <v>0.55000000000000004</v>
      </c>
      <c r="Q75" s="75">
        <f t="shared" si="3"/>
        <v>0.52500000000000002</v>
      </c>
      <c r="R75" s="53">
        <v>15</v>
      </c>
      <c r="S75" s="53">
        <v>110</v>
      </c>
      <c r="T75" s="16">
        <f t="shared" si="4"/>
        <v>33</v>
      </c>
      <c r="U75" s="53">
        <v>734</v>
      </c>
      <c r="V75" s="16">
        <f t="shared" si="5"/>
        <v>3460.2857142857142</v>
      </c>
      <c r="W75" s="53">
        <v>1</v>
      </c>
      <c r="X75" s="53" t="s">
        <v>46</v>
      </c>
      <c r="Y75" s="53" t="s">
        <v>88</v>
      </c>
      <c r="Z75" s="53" t="s">
        <v>86</v>
      </c>
      <c r="AA75" s="53" t="s">
        <v>78</v>
      </c>
      <c r="AB75" s="53" t="s">
        <v>158</v>
      </c>
      <c r="AC75" s="76"/>
      <c r="AD75" s="76"/>
      <c r="AE75" s="76"/>
      <c r="AF75" s="76"/>
      <c r="AG75" s="76"/>
      <c r="AH75" s="76"/>
    </row>
    <row r="76" spans="1:34" x14ac:dyDescent="0.15">
      <c r="A76" s="53" t="s">
        <v>41</v>
      </c>
      <c r="B76" s="53" t="s">
        <v>157</v>
      </c>
      <c r="C76" s="62">
        <v>2019</v>
      </c>
      <c r="D76" s="63" t="s">
        <v>165</v>
      </c>
      <c r="E76" s="53" t="s">
        <v>201</v>
      </c>
      <c r="F76" s="53" t="s">
        <v>202</v>
      </c>
      <c r="G76" s="53" t="s">
        <v>42</v>
      </c>
      <c r="H76" s="53" t="s">
        <v>160</v>
      </c>
      <c r="I76" s="53" t="s">
        <v>159</v>
      </c>
      <c r="J76" s="53" t="s">
        <v>38</v>
      </c>
      <c r="K76" s="53" t="s">
        <v>161</v>
      </c>
      <c r="L76" s="53">
        <v>3</v>
      </c>
      <c r="M76" s="76"/>
      <c r="N76" s="53">
        <v>7</v>
      </c>
      <c r="O76" s="53">
        <v>0.5</v>
      </c>
      <c r="P76" s="53">
        <v>0.45</v>
      </c>
      <c r="Q76" s="72">
        <f t="shared" si="3"/>
        <v>0.47499999999999998</v>
      </c>
      <c r="R76" s="53">
        <v>13.8</v>
      </c>
      <c r="S76" s="53">
        <v>110</v>
      </c>
      <c r="T76" s="38">
        <f t="shared" si="4"/>
        <v>33</v>
      </c>
      <c r="U76" s="53">
        <v>734</v>
      </c>
      <c r="V76" s="16">
        <f t="shared" si="5"/>
        <v>3460.2857142857142</v>
      </c>
      <c r="W76" s="53">
        <v>1</v>
      </c>
      <c r="X76" s="53" t="s">
        <v>46</v>
      </c>
      <c r="Y76" s="53" t="s">
        <v>88</v>
      </c>
      <c r="Z76" s="53" t="s">
        <v>86</v>
      </c>
      <c r="AA76" s="53" t="s">
        <v>78</v>
      </c>
      <c r="AB76" s="53" t="s">
        <v>158</v>
      </c>
      <c r="AC76" s="76"/>
      <c r="AD76" s="76"/>
      <c r="AE76" s="76"/>
      <c r="AF76" s="76"/>
      <c r="AG76" s="76"/>
      <c r="AH76" s="76"/>
    </row>
    <row r="77" spans="1:34" x14ac:dyDescent="0.15">
      <c r="A77" s="53" t="s">
        <v>41</v>
      </c>
      <c r="B77" s="53" t="s">
        <v>157</v>
      </c>
      <c r="C77" s="62">
        <v>2019</v>
      </c>
      <c r="D77" s="63" t="s">
        <v>165</v>
      </c>
      <c r="E77" s="53" t="s">
        <v>201</v>
      </c>
      <c r="F77" s="53" t="s">
        <v>202</v>
      </c>
      <c r="G77" s="53" t="s">
        <v>42</v>
      </c>
      <c r="H77" s="53" t="s">
        <v>164</v>
      </c>
      <c r="I77" s="53" t="s">
        <v>159</v>
      </c>
      <c r="J77" s="53" t="s">
        <v>38</v>
      </c>
      <c r="K77" s="53" t="s">
        <v>161</v>
      </c>
      <c r="L77" s="53">
        <v>1</v>
      </c>
      <c r="N77" s="53">
        <v>1</v>
      </c>
      <c r="O77" s="53">
        <v>0.85</v>
      </c>
      <c r="P77" s="53">
        <v>0.7</v>
      </c>
      <c r="Q77" s="72">
        <f t="shared" si="3"/>
        <v>0.77499999999999991</v>
      </c>
      <c r="R77" s="53">
        <v>13.2</v>
      </c>
      <c r="S77" s="53">
        <v>127</v>
      </c>
      <c r="T77" s="38">
        <f t="shared" si="4"/>
        <v>27</v>
      </c>
      <c r="U77" s="53">
        <v>138</v>
      </c>
      <c r="V77" s="38">
        <f t="shared" si="5"/>
        <v>3726</v>
      </c>
      <c r="W77" s="53">
        <v>2</v>
      </c>
      <c r="X77" s="53" t="s">
        <v>46</v>
      </c>
      <c r="Y77" s="53" t="s">
        <v>88</v>
      </c>
      <c r="Z77" s="53" t="s">
        <v>86</v>
      </c>
      <c r="AA77" s="53" t="s">
        <v>78</v>
      </c>
      <c r="AB77" s="53" t="s">
        <v>158</v>
      </c>
      <c r="AC77" s="76"/>
      <c r="AD77" s="76"/>
      <c r="AE77" s="76"/>
      <c r="AF77" s="76"/>
      <c r="AG77" s="76"/>
      <c r="AH77" s="76"/>
    </row>
    <row r="78" spans="1:34" x14ac:dyDescent="0.15">
      <c r="A78" s="53" t="s">
        <v>41</v>
      </c>
      <c r="B78" s="53" t="s">
        <v>157</v>
      </c>
      <c r="C78" s="62">
        <v>2019</v>
      </c>
      <c r="D78" s="63" t="s">
        <v>165</v>
      </c>
      <c r="E78" s="53" t="s">
        <v>201</v>
      </c>
      <c r="F78" s="53" t="s">
        <v>202</v>
      </c>
      <c r="G78" s="53" t="s">
        <v>42</v>
      </c>
      <c r="H78" s="53" t="s">
        <v>164</v>
      </c>
      <c r="I78" s="53" t="s">
        <v>159</v>
      </c>
      <c r="J78" s="53" t="s">
        <v>38</v>
      </c>
      <c r="K78" s="53" t="s">
        <v>161</v>
      </c>
      <c r="L78" s="53">
        <v>2</v>
      </c>
      <c r="N78" s="53">
        <v>1</v>
      </c>
      <c r="O78" s="53">
        <v>0.9</v>
      </c>
      <c r="P78" s="53">
        <v>0.95</v>
      </c>
      <c r="Q78" s="72">
        <f t="shared" si="3"/>
        <v>0.92500000000000004</v>
      </c>
      <c r="R78" s="53">
        <v>14.1</v>
      </c>
      <c r="S78" s="53">
        <v>125</v>
      </c>
      <c r="T78" s="38">
        <f t="shared" si="4"/>
        <v>27</v>
      </c>
      <c r="U78" s="53">
        <v>138</v>
      </c>
      <c r="V78" s="38">
        <f t="shared" si="5"/>
        <v>3726</v>
      </c>
      <c r="W78" s="53">
        <v>2</v>
      </c>
      <c r="X78" s="53" t="s">
        <v>46</v>
      </c>
      <c r="Y78" s="53" t="s">
        <v>88</v>
      </c>
      <c r="Z78" s="53" t="s">
        <v>86</v>
      </c>
      <c r="AA78" s="53" t="s">
        <v>78</v>
      </c>
      <c r="AB78" s="53" t="s">
        <v>158</v>
      </c>
      <c r="AC78" s="76"/>
      <c r="AD78" s="76"/>
      <c r="AE78" s="76"/>
      <c r="AF78" s="76"/>
      <c r="AG78" s="76"/>
      <c r="AH78" s="76"/>
    </row>
    <row r="79" spans="1:34" x14ac:dyDescent="0.15">
      <c r="A79" s="53" t="s">
        <v>41</v>
      </c>
      <c r="B79" s="53" t="s">
        <v>157</v>
      </c>
      <c r="C79" s="62">
        <v>2019</v>
      </c>
      <c r="D79" s="63" t="s">
        <v>165</v>
      </c>
      <c r="E79" s="53" t="s">
        <v>201</v>
      </c>
      <c r="F79" s="53" t="s">
        <v>202</v>
      </c>
      <c r="G79" s="53" t="s">
        <v>42</v>
      </c>
      <c r="H79" s="53" t="s">
        <v>164</v>
      </c>
      <c r="I79" s="53" t="s">
        <v>159</v>
      </c>
      <c r="J79" s="53" t="s">
        <v>38</v>
      </c>
      <c r="K79" s="53" t="s">
        <v>161</v>
      </c>
      <c r="L79" s="53">
        <v>3</v>
      </c>
      <c r="N79" s="53">
        <v>1</v>
      </c>
      <c r="O79" s="53">
        <v>0.9</v>
      </c>
      <c r="P79" s="53">
        <v>1</v>
      </c>
      <c r="Q79" s="72">
        <f t="shared" si="3"/>
        <v>0.95</v>
      </c>
      <c r="R79" s="53">
        <v>14.8</v>
      </c>
      <c r="S79" s="53">
        <v>126</v>
      </c>
      <c r="T79" s="38">
        <f t="shared" si="4"/>
        <v>27</v>
      </c>
      <c r="U79" s="53">
        <v>138</v>
      </c>
      <c r="V79" s="38">
        <f t="shared" si="5"/>
        <v>3726</v>
      </c>
      <c r="W79" s="53">
        <v>2</v>
      </c>
      <c r="X79" s="53" t="s">
        <v>46</v>
      </c>
      <c r="Y79" s="53" t="s">
        <v>88</v>
      </c>
      <c r="Z79" s="53" t="s">
        <v>86</v>
      </c>
      <c r="AA79" s="53" t="s">
        <v>78</v>
      </c>
      <c r="AB79" s="53" t="s">
        <v>158</v>
      </c>
      <c r="AC79" s="76"/>
      <c r="AD79" s="76"/>
      <c r="AE79" s="76"/>
      <c r="AF79" s="76"/>
      <c r="AG79" s="76"/>
      <c r="AH79" s="76"/>
    </row>
    <row r="80" spans="1:34" x14ac:dyDescent="0.15">
      <c r="A80" s="53" t="s">
        <v>41</v>
      </c>
      <c r="B80" s="53" t="s">
        <v>157</v>
      </c>
      <c r="C80" s="62">
        <v>2019</v>
      </c>
      <c r="D80" s="63" t="s">
        <v>165</v>
      </c>
      <c r="E80" s="53" t="s">
        <v>201</v>
      </c>
      <c r="F80" s="53" t="s">
        <v>202</v>
      </c>
      <c r="G80" s="53" t="s">
        <v>42</v>
      </c>
      <c r="H80" s="53" t="s">
        <v>164</v>
      </c>
      <c r="I80" s="53" t="s">
        <v>159</v>
      </c>
      <c r="J80" s="53" t="s">
        <v>38</v>
      </c>
      <c r="K80" s="53" t="s">
        <v>161</v>
      </c>
      <c r="L80" s="53">
        <v>1</v>
      </c>
      <c r="N80" s="53">
        <v>8</v>
      </c>
      <c r="O80" s="53">
        <v>0.45</v>
      </c>
      <c r="P80" s="53">
        <v>0.5</v>
      </c>
      <c r="Q80" s="75">
        <f t="shared" si="3"/>
        <v>0.47499999999999998</v>
      </c>
      <c r="R80" s="53">
        <v>16.2</v>
      </c>
      <c r="S80" s="53">
        <v>100</v>
      </c>
      <c r="T80" s="16">
        <f t="shared" si="4"/>
        <v>33</v>
      </c>
      <c r="U80" s="53">
        <v>626</v>
      </c>
      <c r="V80" s="16">
        <f t="shared" si="5"/>
        <v>2582.25</v>
      </c>
      <c r="W80" s="53">
        <v>1</v>
      </c>
      <c r="X80" s="53" t="s">
        <v>46</v>
      </c>
      <c r="Y80" s="53" t="s">
        <v>88</v>
      </c>
      <c r="Z80" s="53" t="s">
        <v>86</v>
      </c>
      <c r="AA80" s="53" t="s">
        <v>78</v>
      </c>
      <c r="AB80" s="53" t="s">
        <v>158</v>
      </c>
      <c r="AC80" s="76"/>
      <c r="AD80" s="76"/>
      <c r="AE80" s="76"/>
      <c r="AF80" s="76"/>
      <c r="AG80" s="76"/>
      <c r="AH80" s="76"/>
    </row>
    <row r="81" spans="1:34" x14ac:dyDescent="0.15">
      <c r="A81" s="53" t="s">
        <v>41</v>
      </c>
      <c r="B81" s="53" t="s">
        <v>157</v>
      </c>
      <c r="C81" s="62">
        <v>2019</v>
      </c>
      <c r="D81" s="63" t="s">
        <v>165</v>
      </c>
      <c r="E81" s="53" t="s">
        <v>201</v>
      </c>
      <c r="F81" s="53" t="s">
        <v>202</v>
      </c>
      <c r="G81" s="53" t="s">
        <v>42</v>
      </c>
      <c r="H81" s="53" t="s">
        <v>164</v>
      </c>
      <c r="I81" s="53" t="s">
        <v>159</v>
      </c>
      <c r="J81" s="53" t="s">
        <v>38</v>
      </c>
      <c r="K81" s="53" t="s">
        <v>161</v>
      </c>
      <c r="L81" s="53">
        <v>2</v>
      </c>
      <c r="N81" s="53">
        <v>8</v>
      </c>
      <c r="O81" s="53">
        <v>0.5</v>
      </c>
      <c r="P81" s="53">
        <v>0.65</v>
      </c>
      <c r="Q81" s="75">
        <f t="shared" si="3"/>
        <v>0.57499999999999996</v>
      </c>
      <c r="R81" s="53">
        <v>15.2</v>
      </c>
      <c r="S81" s="53">
        <v>103</v>
      </c>
      <c r="T81" s="16">
        <f t="shared" si="4"/>
        <v>33</v>
      </c>
      <c r="U81" s="53">
        <v>626</v>
      </c>
      <c r="V81" s="16">
        <f t="shared" si="5"/>
        <v>2582.25</v>
      </c>
      <c r="W81" s="53">
        <v>1</v>
      </c>
      <c r="X81" s="53" t="s">
        <v>46</v>
      </c>
      <c r="Y81" s="53" t="s">
        <v>88</v>
      </c>
      <c r="Z81" s="53" t="s">
        <v>86</v>
      </c>
      <c r="AA81" s="53" t="s">
        <v>78</v>
      </c>
      <c r="AB81" s="53" t="s">
        <v>158</v>
      </c>
      <c r="AC81" s="76"/>
      <c r="AD81" s="76"/>
      <c r="AE81" s="76"/>
      <c r="AF81" s="76"/>
      <c r="AG81" s="76"/>
      <c r="AH81" s="76"/>
    </row>
    <row r="82" spans="1:34" x14ac:dyDescent="0.15">
      <c r="A82" s="53" t="s">
        <v>41</v>
      </c>
      <c r="B82" s="53" t="s">
        <v>157</v>
      </c>
      <c r="C82" s="62">
        <v>2019</v>
      </c>
      <c r="D82" s="63" t="s">
        <v>165</v>
      </c>
      <c r="E82" s="53" t="s">
        <v>201</v>
      </c>
      <c r="F82" s="53" t="s">
        <v>202</v>
      </c>
      <c r="G82" s="53" t="s">
        <v>42</v>
      </c>
      <c r="H82" s="53" t="s">
        <v>164</v>
      </c>
      <c r="I82" s="53" t="s">
        <v>159</v>
      </c>
      <c r="J82" s="53" t="s">
        <v>38</v>
      </c>
      <c r="K82" s="53" t="s">
        <v>161</v>
      </c>
      <c r="L82" s="53">
        <v>3</v>
      </c>
      <c r="N82" s="53">
        <v>8</v>
      </c>
      <c r="O82" s="53">
        <v>0.65</v>
      </c>
      <c r="P82" s="53">
        <v>0.5</v>
      </c>
      <c r="Q82" s="75">
        <f t="shared" si="3"/>
        <v>0.57499999999999996</v>
      </c>
      <c r="R82" s="53">
        <v>13.8</v>
      </c>
      <c r="S82" s="53">
        <v>104</v>
      </c>
      <c r="T82" s="16">
        <f t="shared" si="4"/>
        <v>33</v>
      </c>
      <c r="U82" s="53">
        <v>626</v>
      </c>
      <c r="V82" s="16">
        <f t="shared" si="5"/>
        <v>2582.25</v>
      </c>
      <c r="W82" s="53">
        <v>1</v>
      </c>
      <c r="X82" s="53" t="s">
        <v>46</v>
      </c>
      <c r="Y82" s="53" t="s">
        <v>88</v>
      </c>
      <c r="Z82" s="53" t="s">
        <v>86</v>
      </c>
      <c r="AA82" s="53" t="s">
        <v>78</v>
      </c>
      <c r="AB82" s="53" t="s">
        <v>158</v>
      </c>
      <c r="AC82" s="76"/>
      <c r="AD82" s="76"/>
      <c r="AE82" s="76"/>
      <c r="AF82" s="76"/>
      <c r="AG82" s="76"/>
      <c r="AH82" s="76"/>
    </row>
    <row r="83" spans="1:34" x14ac:dyDescent="0.15">
      <c r="A83" s="53" t="s">
        <v>41</v>
      </c>
      <c r="B83" s="53" t="s">
        <v>157</v>
      </c>
      <c r="C83" s="62">
        <v>2019</v>
      </c>
      <c r="D83" s="63" t="s">
        <v>165</v>
      </c>
      <c r="E83" s="53" t="s">
        <v>201</v>
      </c>
      <c r="F83" s="53" t="s">
        <v>208</v>
      </c>
      <c r="G83" s="53" t="s">
        <v>42</v>
      </c>
      <c r="H83" s="53" t="s">
        <v>160</v>
      </c>
      <c r="I83" s="53" t="s">
        <v>159</v>
      </c>
      <c r="J83" s="53" t="s">
        <v>38</v>
      </c>
      <c r="K83" s="53" t="s">
        <v>161</v>
      </c>
      <c r="L83" s="53">
        <v>1</v>
      </c>
      <c r="N83" s="53">
        <v>1</v>
      </c>
      <c r="O83" s="53">
        <v>0.5</v>
      </c>
      <c r="P83" s="53">
        <v>0.6</v>
      </c>
      <c r="Q83" s="75">
        <f t="shared" si="3"/>
        <v>0.55000000000000004</v>
      </c>
      <c r="R83" s="53">
        <v>16.399999999999999</v>
      </c>
      <c r="S83" s="53">
        <v>123</v>
      </c>
      <c r="T83" s="16">
        <f t="shared" si="4"/>
        <v>27</v>
      </c>
      <c r="U83" s="53">
        <v>138</v>
      </c>
      <c r="V83" s="16">
        <v>3726</v>
      </c>
      <c r="W83" s="53">
        <v>2</v>
      </c>
      <c r="X83" s="53" t="s">
        <v>46</v>
      </c>
      <c r="Y83" s="53" t="s">
        <v>88</v>
      </c>
      <c r="Z83" s="53" t="s">
        <v>102</v>
      </c>
      <c r="AA83" s="53" t="s">
        <v>97</v>
      </c>
      <c r="AB83" s="53" t="s">
        <v>158</v>
      </c>
      <c r="AC83" s="76"/>
      <c r="AD83" s="76"/>
      <c r="AE83" s="76"/>
      <c r="AF83" s="76"/>
      <c r="AG83" s="76"/>
      <c r="AH83" s="76"/>
    </row>
    <row r="84" spans="1:34" x14ac:dyDescent="0.15">
      <c r="A84" s="53" t="s">
        <v>41</v>
      </c>
      <c r="B84" s="53" t="s">
        <v>157</v>
      </c>
      <c r="C84" s="62">
        <v>2019</v>
      </c>
      <c r="D84" s="63" t="s">
        <v>165</v>
      </c>
      <c r="E84" s="53" t="s">
        <v>201</v>
      </c>
      <c r="F84" s="53" t="s">
        <v>208</v>
      </c>
      <c r="G84" s="53" t="s">
        <v>42</v>
      </c>
      <c r="H84" s="53" t="s">
        <v>160</v>
      </c>
      <c r="I84" s="53" t="s">
        <v>159</v>
      </c>
      <c r="J84" s="53" t="s">
        <v>38</v>
      </c>
      <c r="K84" s="53" t="s">
        <v>161</v>
      </c>
      <c r="L84" s="53">
        <v>2</v>
      </c>
      <c r="N84" s="53">
        <v>1</v>
      </c>
      <c r="O84" s="53">
        <v>0.6</v>
      </c>
      <c r="P84" s="53">
        <v>0.55000000000000004</v>
      </c>
      <c r="Q84" s="75">
        <f t="shared" si="3"/>
        <v>0.57499999999999996</v>
      </c>
      <c r="R84" s="53">
        <v>13.4</v>
      </c>
      <c r="S84" s="53">
        <v>128</v>
      </c>
      <c r="T84" s="16">
        <f t="shared" si="4"/>
        <v>27</v>
      </c>
      <c r="U84" s="53">
        <v>138</v>
      </c>
      <c r="V84" s="16">
        <v>3726</v>
      </c>
      <c r="W84" s="53">
        <v>2</v>
      </c>
      <c r="X84" s="53" t="s">
        <v>46</v>
      </c>
      <c r="Y84" s="53" t="s">
        <v>88</v>
      </c>
      <c r="Z84" s="53" t="s">
        <v>102</v>
      </c>
      <c r="AA84" s="53" t="s">
        <v>97</v>
      </c>
      <c r="AB84" s="53" t="s">
        <v>158</v>
      </c>
      <c r="AC84" s="76"/>
      <c r="AD84" s="76"/>
      <c r="AE84" s="76"/>
      <c r="AF84" s="76"/>
      <c r="AG84" s="76"/>
      <c r="AH84" s="76"/>
    </row>
    <row r="85" spans="1:34" x14ac:dyDescent="0.15">
      <c r="A85" s="53" t="s">
        <v>41</v>
      </c>
      <c r="B85" s="53" t="s">
        <v>157</v>
      </c>
      <c r="C85" s="62">
        <v>2019</v>
      </c>
      <c r="D85" s="63" t="s">
        <v>165</v>
      </c>
      <c r="E85" s="53" t="s">
        <v>201</v>
      </c>
      <c r="F85" s="53" t="s">
        <v>208</v>
      </c>
      <c r="G85" s="53" t="s">
        <v>42</v>
      </c>
      <c r="H85" s="53" t="s">
        <v>160</v>
      </c>
      <c r="I85" s="53" t="s">
        <v>159</v>
      </c>
      <c r="J85" s="53" t="s">
        <v>38</v>
      </c>
      <c r="K85" s="53" t="s">
        <v>161</v>
      </c>
      <c r="L85" s="53">
        <v>3</v>
      </c>
      <c r="N85" s="53">
        <v>1</v>
      </c>
      <c r="O85" s="53">
        <v>0.45</v>
      </c>
      <c r="P85" s="53">
        <v>0.5</v>
      </c>
      <c r="Q85" s="75">
        <f t="shared" si="3"/>
        <v>0.47499999999999998</v>
      </c>
      <c r="R85" s="53">
        <v>14.5</v>
      </c>
      <c r="S85" s="53">
        <v>127</v>
      </c>
      <c r="T85" s="16">
        <f t="shared" si="4"/>
        <v>27</v>
      </c>
      <c r="U85" s="53">
        <v>138</v>
      </c>
      <c r="V85" s="16">
        <v>3726</v>
      </c>
      <c r="W85" s="53">
        <v>2</v>
      </c>
      <c r="X85" s="53" t="s">
        <v>46</v>
      </c>
      <c r="Y85" s="53" t="s">
        <v>88</v>
      </c>
      <c r="Z85" s="53" t="s">
        <v>102</v>
      </c>
      <c r="AA85" s="53" t="s">
        <v>97</v>
      </c>
      <c r="AB85" s="53" t="s">
        <v>158</v>
      </c>
      <c r="AC85" s="76"/>
      <c r="AD85" s="76"/>
      <c r="AE85" s="76"/>
      <c r="AF85" s="76"/>
      <c r="AG85" s="76"/>
      <c r="AH85" s="76"/>
    </row>
    <row r="86" spans="1:34" x14ac:dyDescent="0.15">
      <c r="A86" s="53" t="s">
        <v>41</v>
      </c>
      <c r="B86" s="53" t="s">
        <v>157</v>
      </c>
      <c r="C86" s="62">
        <v>2019</v>
      </c>
      <c r="D86" s="63" t="s">
        <v>165</v>
      </c>
      <c r="E86" s="53" t="s">
        <v>201</v>
      </c>
      <c r="F86" s="53" t="s">
        <v>208</v>
      </c>
      <c r="G86" s="53" t="s">
        <v>42</v>
      </c>
      <c r="H86" s="53" t="s">
        <v>160</v>
      </c>
      <c r="I86" s="53" t="s">
        <v>159</v>
      </c>
      <c r="J86" s="53" t="s">
        <v>38</v>
      </c>
      <c r="K86" s="53" t="s">
        <v>161</v>
      </c>
      <c r="L86" s="53">
        <v>1</v>
      </c>
      <c r="N86" s="53">
        <v>7</v>
      </c>
      <c r="O86" s="53">
        <v>0.25</v>
      </c>
      <c r="P86" s="53">
        <v>0.3</v>
      </c>
      <c r="Q86" s="75">
        <f t="shared" si="3"/>
        <v>0.27500000000000002</v>
      </c>
      <c r="R86" s="53">
        <v>14.6</v>
      </c>
      <c r="S86" s="53">
        <v>120</v>
      </c>
      <c r="T86" s="16">
        <f t="shared" si="4"/>
        <v>30</v>
      </c>
      <c r="U86" s="53">
        <v>734</v>
      </c>
      <c r="V86" s="16">
        <v>3885</v>
      </c>
      <c r="W86" s="53">
        <v>2</v>
      </c>
      <c r="X86" s="53" t="s">
        <v>46</v>
      </c>
      <c r="Y86" s="53" t="s">
        <v>88</v>
      </c>
      <c r="Z86" s="53" t="s">
        <v>102</v>
      </c>
      <c r="AA86" s="53" t="s">
        <v>97</v>
      </c>
      <c r="AB86" s="53" t="s">
        <v>158</v>
      </c>
      <c r="AC86" s="76"/>
      <c r="AD86" s="76"/>
      <c r="AE86" s="76"/>
      <c r="AF86" s="76"/>
      <c r="AG86" s="76"/>
      <c r="AH86" s="76"/>
    </row>
    <row r="87" spans="1:34" x14ac:dyDescent="0.15">
      <c r="A87" s="53" t="s">
        <v>41</v>
      </c>
      <c r="B87" s="53" t="s">
        <v>157</v>
      </c>
      <c r="C87" s="62">
        <v>2019</v>
      </c>
      <c r="D87" s="63" t="s">
        <v>165</v>
      </c>
      <c r="E87" s="53" t="s">
        <v>201</v>
      </c>
      <c r="F87" s="53" t="s">
        <v>208</v>
      </c>
      <c r="G87" s="53" t="s">
        <v>42</v>
      </c>
      <c r="H87" s="53" t="s">
        <v>160</v>
      </c>
      <c r="I87" s="53" t="s">
        <v>159</v>
      </c>
      <c r="J87" s="53" t="s">
        <v>38</v>
      </c>
      <c r="K87" s="53" t="s">
        <v>161</v>
      </c>
      <c r="L87" s="53">
        <v>2</v>
      </c>
      <c r="M87" s="76"/>
      <c r="N87" s="53">
        <v>7</v>
      </c>
      <c r="O87" s="53">
        <v>0.3</v>
      </c>
      <c r="P87" s="53">
        <v>0.35</v>
      </c>
      <c r="Q87" s="75">
        <f t="shared" si="3"/>
        <v>0.32499999999999996</v>
      </c>
      <c r="R87" s="53">
        <v>16.2</v>
      </c>
      <c r="S87" s="53">
        <v>114</v>
      </c>
      <c r="T87" s="16">
        <f t="shared" si="4"/>
        <v>30</v>
      </c>
      <c r="U87" s="53">
        <v>734</v>
      </c>
      <c r="V87" s="16">
        <v>3885</v>
      </c>
      <c r="W87" s="53">
        <v>2</v>
      </c>
      <c r="X87" s="53" t="s">
        <v>46</v>
      </c>
      <c r="Y87" s="53" t="s">
        <v>88</v>
      </c>
      <c r="Z87" s="53" t="s">
        <v>102</v>
      </c>
      <c r="AA87" s="53" t="s">
        <v>97</v>
      </c>
      <c r="AB87" s="53" t="s">
        <v>158</v>
      </c>
      <c r="AC87" s="76"/>
      <c r="AD87" s="76"/>
      <c r="AE87" s="76"/>
      <c r="AF87" s="76"/>
      <c r="AG87" s="76"/>
      <c r="AH87" s="76"/>
    </row>
    <row r="88" spans="1:34" x14ac:dyDescent="0.15">
      <c r="A88" s="53" t="s">
        <v>41</v>
      </c>
      <c r="B88" s="53" t="s">
        <v>157</v>
      </c>
      <c r="C88" s="62">
        <v>2019</v>
      </c>
      <c r="D88" s="63" t="s">
        <v>165</v>
      </c>
      <c r="E88" s="53" t="s">
        <v>201</v>
      </c>
      <c r="F88" s="53" t="s">
        <v>208</v>
      </c>
      <c r="G88" s="53" t="s">
        <v>42</v>
      </c>
      <c r="H88" s="53" t="s">
        <v>160</v>
      </c>
      <c r="I88" s="53" t="s">
        <v>159</v>
      </c>
      <c r="J88" s="53" t="s">
        <v>38</v>
      </c>
      <c r="K88" s="53" t="s">
        <v>161</v>
      </c>
      <c r="L88" s="53">
        <v>3</v>
      </c>
      <c r="M88" s="76"/>
      <c r="N88" s="53">
        <v>7</v>
      </c>
      <c r="O88" s="53">
        <v>0.25</v>
      </c>
      <c r="P88" s="53">
        <v>0.3</v>
      </c>
      <c r="Q88" s="72">
        <f t="shared" si="3"/>
        <v>0.27500000000000002</v>
      </c>
      <c r="R88" s="53">
        <v>15.8</v>
      </c>
      <c r="S88" s="53">
        <v>118</v>
      </c>
      <c r="T88" s="38">
        <f t="shared" si="4"/>
        <v>30</v>
      </c>
      <c r="U88" s="53">
        <v>734</v>
      </c>
      <c r="V88" s="38">
        <v>3885</v>
      </c>
      <c r="W88" s="53">
        <v>2</v>
      </c>
      <c r="X88" s="53" t="s">
        <v>46</v>
      </c>
      <c r="Y88" s="53" t="s">
        <v>88</v>
      </c>
      <c r="Z88" s="53" t="s">
        <v>102</v>
      </c>
      <c r="AA88" s="53" t="s">
        <v>97</v>
      </c>
      <c r="AB88" s="53" t="s">
        <v>158</v>
      </c>
      <c r="AC88" s="76"/>
      <c r="AD88" s="76"/>
      <c r="AE88" s="76"/>
      <c r="AF88" s="76"/>
      <c r="AG88" s="76"/>
      <c r="AH88" s="76"/>
    </row>
    <row r="89" spans="1:34" x14ac:dyDescent="0.15">
      <c r="A89" s="53" t="s">
        <v>41</v>
      </c>
      <c r="B89" s="53" t="s">
        <v>157</v>
      </c>
      <c r="C89" s="62">
        <v>2019</v>
      </c>
      <c r="D89" s="63" t="s">
        <v>165</v>
      </c>
      <c r="E89" s="53" t="s">
        <v>201</v>
      </c>
      <c r="F89" s="53" t="s">
        <v>208</v>
      </c>
      <c r="G89" s="53" t="s">
        <v>42</v>
      </c>
      <c r="H89" s="53" t="s">
        <v>164</v>
      </c>
      <c r="I89" s="53" t="s">
        <v>159</v>
      </c>
      <c r="J89" s="53" t="s">
        <v>38</v>
      </c>
      <c r="K89" s="53" t="s">
        <v>161</v>
      </c>
      <c r="L89" s="53">
        <v>1</v>
      </c>
      <c r="N89" s="53">
        <v>1</v>
      </c>
      <c r="O89" s="53">
        <v>0.55000000000000004</v>
      </c>
      <c r="P89" s="53">
        <v>0.45</v>
      </c>
      <c r="Q89" s="72">
        <f t="shared" si="3"/>
        <v>0.5</v>
      </c>
      <c r="R89" s="53">
        <v>14.5</v>
      </c>
      <c r="S89" s="53">
        <v>126</v>
      </c>
      <c r="T89" s="38">
        <f t="shared" si="4"/>
        <v>27</v>
      </c>
      <c r="U89" s="53">
        <v>138</v>
      </c>
      <c r="V89" s="38">
        <v>3146</v>
      </c>
      <c r="W89" s="53">
        <v>2</v>
      </c>
      <c r="X89" s="53" t="s">
        <v>46</v>
      </c>
      <c r="Y89" s="53" t="s">
        <v>88</v>
      </c>
      <c r="Z89" s="53" t="s">
        <v>102</v>
      </c>
      <c r="AA89" s="53" t="s">
        <v>97</v>
      </c>
      <c r="AB89" s="53" t="s">
        <v>158</v>
      </c>
      <c r="AC89" s="76"/>
      <c r="AD89" s="76"/>
      <c r="AE89" s="76"/>
      <c r="AF89" s="76"/>
      <c r="AG89" s="76"/>
      <c r="AH89" s="76"/>
    </row>
    <row r="90" spans="1:34" x14ac:dyDescent="0.15">
      <c r="A90" s="53" t="s">
        <v>41</v>
      </c>
      <c r="B90" s="53" t="s">
        <v>157</v>
      </c>
      <c r="C90" s="62">
        <v>2019</v>
      </c>
      <c r="D90" s="63" t="s">
        <v>165</v>
      </c>
      <c r="E90" s="53" t="s">
        <v>201</v>
      </c>
      <c r="F90" s="53" t="s">
        <v>208</v>
      </c>
      <c r="G90" s="53" t="s">
        <v>42</v>
      </c>
      <c r="H90" s="53" t="s">
        <v>164</v>
      </c>
      <c r="I90" s="53" t="s">
        <v>159</v>
      </c>
      <c r="J90" s="53" t="s">
        <v>38</v>
      </c>
      <c r="K90" s="53" t="s">
        <v>161</v>
      </c>
      <c r="L90" s="53">
        <v>2</v>
      </c>
      <c r="N90" s="53">
        <v>1</v>
      </c>
      <c r="O90" s="53">
        <v>0.35</v>
      </c>
      <c r="P90" s="53">
        <v>0.45</v>
      </c>
      <c r="Q90" s="72">
        <f t="shared" si="3"/>
        <v>0.4</v>
      </c>
      <c r="R90" s="53">
        <v>13.6</v>
      </c>
      <c r="S90" s="53">
        <v>127</v>
      </c>
      <c r="T90" s="38">
        <f t="shared" si="4"/>
        <v>27</v>
      </c>
      <c r="U90" s="53">
        <v>138</v>
      </c>
      <c r="V90" s="38">
        <v>3146</v>
      </c>
      <c r="W90" s="53">
        <v>2</v>
      </c>
      <c r="X90" s="53" t="s">
        <v>46</v>
      </c>
      <c r="Y90" s="53" t="s">
        <v>88</v>
      </c>
      <c r="Z90" s="53" t="s">
        <v>102</v>
      </c>
      <c r="AA90" s="53" t="s">
        <v>97</v>
      </c>
      <c r="AB90" s="53" t="s">
        <v>158</v>
      </c>
      <c r="AC90" s="76"/>
      <c r="AD90" s="76"/>
      <c r="AE90" s="76"/>
      <c r="AF90" s="76"/>
      <c r="AG90" s="76"/>
      <c r="AH90" s="76"/>
    </row>
    <row r="91" spans="1:34" x14ac:dyDescent="0.15">
      <c r="A91" s="53" t="s">
        <v>41</v>
      </c>
      <c r="B91" s="53" t="s">
        <v>157</v>
      </c>
      <c r="C91" s="62">
        <v>2019</v>
      </c>
      <c r="D91" s="63" t="s">
        <v>165</v>
      </c>
      <c r="E91" s="53" t="s">
        <v>201</v>
      </c>
      <c r="F91" s="53" t="s">
        <v>208</v>
      </c>
      <c r="G91" s="53" t="s">
        <v>42</v>
      </c>
      <c r="H91" s="53" t="s">
        <v>164</v>
      </c>
      <c r="I91" s="53" t="s">
        <v>159</v>
      </c>
      <c r="J91" s="53" t="s">
        <v>38</v>
      </c>
      <c r="K91" s="53" t="s">
        <v>161</v>
      </c>
      <c r="L91" s="53">
        <v>3</v>
      </c>
      <c r="N91" s="53">
        <v>1</v>
      </c>
      <c r="O91" s="53">
        <v>0.5</v>
      </c>
      <c r="P91" s="53">
        <v>0.65</v>
      </c>
      <c r="Q91" s="72">
        <f t="shared" si="3"/>
        <v>0.57499999999999996</v>
      </c>
      <c r="R91" s="53">
        <v>13</v>
      </c>
      <c r="S91" s="53">
        <v>125</v>
      </c>
      <c r="T91" s="38">
        <f t="shared" si="4"/>
        <v>27</v>
      </c>
      <c r="U91" s="53">
        <v>138</v>
      </c>
      <c r="V91" s="38">
        <v>3146</v>
      </c>
      <c r="W91" s="53">
        <v>2</v>
      </c>
      <c r="X91" s="53" t="s">
        <v>46</v>
      </c>
      <c r="Y91" s="53" t="s">
        <v>88</v>
      </c>
      <c r="Z91" s="53" t="s">
        <v>102</v>
      </c>
      <c r="AA91" s="53" t="s">
        <v>97</v>
      </c>
      <c r="AB91" s="53" t="s">
        <v>158</v>
      </c>
      <c r="AC91" s="76"/>
      <c r="AD91" s="76"/>
      <c r="AE91" s="76"/>
      <c r="AF91" s="76"/>
      <c r="AG91" s="76"/>
      <c r="AH91" s="76"/>
    </row>
    <row r="92" spans="1:34" x14ac:dyDescent="0.15">
      <c r="A92" s="53" t="s">
        <v>41</v>
      </c>
      <c r="B92" s="53" t="s">
        <v>157</v>
      </c>
      <c r="C92" s="62">
        <v>2019</v>
      </c>
      <c r="D92" s="63" t="s">
        <v>165</v>
      </c>
      <c r="E92" s="53" t="s">
        <v>201</v>
      </c>
      <c r="F92" s="53" t="s">
        <v>208</v>
      </c>
      <c r="G92" s="53" t="s">
        <v>42</v>
      </c>
      <c r="H92" s="53" t="s">
        <v>164</v>
      </c>
      <c r="I92" s="53" t="s">
        <v>159</v>
      </c>
      <c r="J92" s="53" t="s">
        <v>38</v>
      </c>
      <c r="K92" s="53" t="s">
        <v>161</v>
      </c>
      <c r="L92" s="53">
        <v>1</v>
      </c>
      <c r="N92" s="53">
        <v>8</v>
      </c>
      <c r="O92" s="53">
        <v>0.6</v>
      </c>
      <c r="P92" s="53">
        <v>0.65</v>
      </c>
      <c r="Q92" s="75">
        <f t="shared" si="3"/>
        <v>0.625</v>
      </c>
      <c r="R92" s="53">
        <v>12.9</v>
      </c>
      <c r="S92" s="53">
        <v>110</v>
      </c>
      <c r="T92" s="16">
        <f t="shared" si="4"/>
        <v>33</v>
      </c>
      <c r="U92" s="53">
        <v>626</v>
      </c>
      <c r="V92" s="16">
        <f>IF(OR(N92="",U92="",T92=""),"",U92/N92*T92)</f>
        <v>2582.25</v>
      </c>
      <c r="W92" s="53">
        <v>2</v>
      </c>
      <c r="X92" s="53" t="s">
        <v>46</v>
      </c>
      <c r="Y92" s="53" t="s">
        <v>88</v>
      </c>
      <c r="Z92" s="53" t="s">
        <v>102</v>
      </c>
      <c r="AA92" s="53" t="s">
        <v>97</v>
      </c>
      <c r="AB92" s="53" t="s">
        <v>158</v>
      </c>
      <c r="AC92" s="76"/>
      <c r="AD92" s="76"/>
      <c r="AE92" s="76"/>
      <c r="AF92" s="76"/>
      <c r="AG92" s="76"/>
      <c r="AH92" s="76"/>
    </row>
    <row r="93" spans="1:34" x14ac:dyDescent="0.15">
      <c r="A93" s="53" t="s">
        <v>41</v>
      </c>
      <c r="B93" s="53" t="s">
        <v>157</v>
      </c>
      <c r="C93" s="62">
        <v>2019</v>
      </c>
      <c r="D93" s="63" t="s">
        <v>165</v>
      </c>
      <c r="E93" s="53" t="s">
        <v>201</v>
      </c>
      <c r="F93" s="53" t="s">
        <v>208</v>
      </c>
      <c r="G93" s="53" t="s">
        <v>42</v>
      </c>
      <c r="H93" s="53" t="s">
        <v>164</v>
      </c>
      <c r="I93" s="53" t="s">
        <v>159</v>
      </c>
      <c r="J93" s="53" t="s">
        <v>38</v>
      </c>
      <c r="K93" s="53" t="s">
        <v>161</v>
      </c>
      <c r="L93" s="53">
        <v>2</v>
      </c>
      <c r="N93" s="53">
        <v>8</v>
      </c>
      <c r="O93" s="53">
        <v>0.3</v>
      </c>
      <c r="P93" s="53">
        <v>0.3</v>
      </c>
      <c r="Q93" s="75">
        <f t="shared" si="3"/>
        <v>0.3</v>
      </c>
      <c r="R93" s="53">
        <v>13</v>
      </c>
      <c r="S93" s="53">
        <v>110</v>
      </c>
      <c r="T93" s="16">
        <f t="shared" si="4"/>
        <v>33</v>
      </c>
      <c r="U93" s="53">
        <v>626</v>
      </c>
      <c r="V93" s="38">
        <v>3303</v>
      </c>
      <c r="W93" s="53">
        <v>2</v>
      </c>
      <c r="X93" s="53" t="s">
        <v>46</v>
      </c>
      <c r="Y93" s="53" t="s">
        <v>88</v>
      </c>
      <c r="Z93" s="53" t="s">
        <v>102</v>
      </c>
      <c r="AA93" s="53" t="s">
        <v>97</v>
      </c>
      <c r="AB93" s="53" t="s">
        <v>158</v>
      </c>
      <c r="AC93" s="76"/>
      <c r="AD93" s="76"/>
      <c r="AE93" s="76"/>
      <c r="AF93" s="76"/>
      <c r="AG93" s="76"/>
      <c r="AH93" s="76"/>
    </row>
    <row r="94" spans="1:34" x14ac:dyDescent="0.15">
      <c r="A94" s="53" t="s">
        <v>41</v>
      </c>
      <c r="B94" s="53" t="s">
        <v>157</v>
      </c>
      <c r="C94" s="62">
        <v>2019</v>
      </c>
      <c r="D94" s="63" t="s">
        <v>165</v>
      </c>
      <c r="E94" s="53" t="s">
        <v>201</v>
      </c>
      <c r="F94" s="53" t="s">
        <v>208</v>
      </c>
      <c r="G94" s="53" t="s">
        <v>42</v>
      </c>
      <c r="H94" s="53" t="s">
        <v>164</v>
      </c>
      <c r="I94" s="53" t="s">
        <v>159</v>
      </c>
      <c r="J94" s="53" t="s">
        <v>38</v>
      </c>
      <c r="K94" s="53" t="s">
        <v>161</v>
      </c>
      <c r="L94" s="53">
        <v>3</v>
      </c>
      <c r="N94" s="53">
        <v>8</v>
      </c>
      <c r="O94" s="53">
        <v>0.3</v>
      </c>
      <c r="P94" s="53">
        <v>0.35</v>
      </c>
      <c r="Q94" s="75">
        <f>IF(OR(O94="",P94=""),"",AVERAGE(O94,P94))</f>
        <v>0.32499999999999996</v>
      </c>
      <c r="R94" s="53">
        <v>15.8</v>
      </c>
      <c r="S94" s="53">
        <v>108</v>
      </c>
      <c r="T94" s="16">
        <f t="shared" si="4"/>
        <v>33</v>
      </c>
      <c r="U94" s="53">
        <v>626</v>
      </c>
      <c r="V94" s="38">
        <v>3670</v>
      </c>
      <c r="W94" s="53">
        <v>2</v>
      </c>
      <c r="X94" s="53" t="s">
        <v>46</v>
      </c>
      <c r="Y94" s="53" t="s">
        <v>88</v>
      </c>
      <c r="Z94" s="53" t="s">
        <v>102</v>
      </c>
      <c r="AA94" s="53" t="s">
        <v>97</v>
      </c>
      <c r="AB94" s="53" t="s">
        <v>158</v>
      </c>
      <c r="AC94" s="76"/>
      <c r="AD94" s="76"/>
      <c r="AE94" s="76"/>
      <c r="AF94" s="76"/>
      <c r="AG94" s="76"/>
      <c r="AH94" s="76"/>
    </row>
    <row r="95" spans="1:34" x14ac:dyDescent="0.15">
      <c r="A95" s="53" t="s">
        <v>41</v>
      </c>
      <c r="B95" s="53" t="s">
        <v>157</v>
      </c>
      <c r="C95" s="62">
        <v>2019</v>
      </c>
      <c r="D95" s="63" t="s">
        <v>165</v>
      </c>
      <c r="E95" s="53" t="s">
        <v>204</v>
      </c>
      <c r="F95" s="53" t="s">
        <v>205</v>
      </c>
      <c r="G95" s="53" t="s">
        <v>42</v>
      </c>
      <c r="H95" s="53" t="s">
        <v>164</v>
      </c>
      <c r="I95" s="53" t="s">
        <v>159</v>
      </c>
      <c r="J95" s="53" t="s">
        <v>38</v>
      </c>
      <c r="K95" s="53" t="s">
        <v>161</v>
      </c>
      <c r="L95" s="53">
        <v>1</v>
      </c>
      <c r="N95" s="53">
        <v>1</v>
      </c>
      <c r="O95" s="53">
        <v>0.25</v>
      </c>
      <c r="P95" s="53">
        <v>0.3</v>
      </c>
      <c r="Q95" s="72">
        <f>IF(OR(O95="",P95=""),"",AVERAGE(O95,P95))</f>
        <v>0.27500000000000002</v>
      </c>
      <c r="R95" s="53">
        <v>14.7</v>
      </c>
      <c r="S95" s="53">
        <v>122</v>
      </c>
      <c r="T95" s="38">
        <f t="shared" si="4"/>
        <v>27</v>
      </c>
      <c r="U95" s="53">
        <v>84</v>
      </c>
      <c r="V95" s="16">
        <f>IF(OR(N95="",U95="",T95=""),"",U95/N95*T95)</f>
        <v>2268</v>
      </c>
      <c r="W95" s="53">
        <v>3</v>
      </c>
      <c r="X95" s="53" t="s">
        <v>46</v>
      </c>
      <c r="Y95" s="53" t="s">
        <v>88</v>
      </c>
      <c r="Z95" s="53" t="s">
        <v>102</v>
      </c>
      <c r="AA95" s="53" t="s">
        <v>97</v>
      </c>
      <c r="AB95" s="53" t="s">
        <v>158</v>
      </c>
      <c r="AC95" s="76"/>
      <c r="AD95" s="76"/>
      <c r="AE95" s="76"/>
      <c r="AF95" s="76"/>
      <c r="AG95" s="76"/>
      <c r="AH95" s="76"/>
    </row>
    <row r="96" spans="1:34" x14ac:dyDescent="0.15">
      <c r="A96" s="53" t="s">
        <v>41</v>
      </c>
      <c r="B96" s="53" t="s">
        <v>157</v>
      </c>
      <c r="C96" s="62">
        <v>2019</v>
      </c>
      <c r="D96" s="63" t="s">
        <v>165</v>
      </c>
      <c r="E96" s="53" t="s">
        <v>204</v>
      </c>
      <c r="F96" s="53" t="s">
        <v>205</v>
      </c>
      <c r="G96" s="53" t="s">
        <v>42</v>
      </c>
      <c r="H96" s="53" t="s">
        <v>164</v>
      </c>
      <c r="I96" s="53" t="s">
        <v>159</v>
      </c>
      <c r="J96" s="53" t="s">
        <v>38</v>
      </c>
      <c r="K96" s="53" t="s">
        <v>161</v>
      </c>
      <c r="L96" s="53">
        <v>2</v>
      </c>
      <c r="N96" s="53">
        <v>1</v>
      </c>
      <c r="O96" s="53">
        <v>0.3</v>
      </c>
      <c r="P96" s="53">
        <v>0.45</v>
      </c>
      <c r="Q96" s="72">
        <f>IF(OR(O96="",P96=""),"",AVERAGE(O96,P96))</f>
        <v>0.375</v>
      </c>
      <c r="R96" s="53">
        <v>16.399999999999999</v>
      </c>
      <c r="S96" s="53">
        <v>124</v>
      </c>
      <c r="T96" s="38">
        <f t="shared" si="4"/>
        <v>27</v>
      </c>
      <c r="U96" s="53">
        <v>84</v>
      </c>
      <c r="V96" s="16">
        <f>IF(OR(N96="",U96="",T96=""),"",U96/N96*T96)</f>
        <v>2268</v>
      </c>
      <c r="W96" s="53">
        <v>3</v>
      </c>
      <c r="X96" s="53" t="s">
        <v>46</v>
      </c>
      <c r="Y96" s="53" t="s">
        <v>88</v>
      </c>
      <c r="Z96" s="53" t="s">
        <v>102</v>
      </c>
      <c r="AA96" s="53" t="s">
        <v>97</v>
      </c>
      <c r="AB96" s="53" t="s">
        <v>158</v>
      </c>
      <c r="AC96" s="76"/>
      <c r="AD96" s="76"/>
      <c r="AE96" s="76"/>
      <c r="AF96" s="76"/>
      <c r="AG96" s="76"/>
      <c r="AH96" s="76"/>
    </row>
    <row r="97" spans="1:34" x14ac:dyDescent="0.15">
      <c r="A97" s="53" t="s">
        <v>41</v>
      </c>
      <c r="B97" s="53" t="s">
        <v>157</v>
      </c>
      <c r="C97" s="62">
        <v>2019</v>
      </c>
      <c r="D97" s="63" t="s">
        <v>165</v>
      </c>
      <c r="E97" s="53" t="s">
        <v>204</v>
      </c>
      <c r="F97" s="53" t="s">
        <v>205</v>
      </c>
      <c r="G97" s="53" t="s">
        <v>42</v>
      </c>
      <c r="H97" s="53" t="s">
        <v>164</v>
      </c>
      <c r="I97" s="53" t="s">
        <v>159</v>
      </c>
      <c r="J97" s="53" t="s">
        <v>38</v>
      </c>
      <c r="K97" s="53" t="s">
        <v>161</v>
      </c>
      <c r="L97" s="53">
        <v>3</v>
      </c>
      <c r="N97" s="53">
        <v>1</v>
      </c>
      <c r="O97" s="53">
        <v>0.45</v>
      </c>
      <c r="P97" s="53">
        <v>0.5</v>
      </c>
      <c r="Q97" s="72">
        <f>IF(OR(O97="",P97=""),"",AVERAGE(O97,P97))</f>
        <v>0.47499999999999998</v>
      </c>
      <c r="R97" s="53">
        <v>16</v>
      </c>
      <c r="S97" s="53">
        <v>123</v>
      </c>
      <c r="T97" s="38">
        <f t="shared" si="4"/>
        <v>27</v>
      </c>
      <c r="U97" s="53">
        <v>84</v>
      </c>
      <c r="V97" s="38">
        <f>IF(OR(N97="",U97="",T97=""),"",U97/N97*T97)</f>
        <v>2268</v>
      </c>
      <c r="W97" s="53">
        <v>3</v>
      </c>
      <c r="X97" s="53" t="s">
        <v>46</v>
      </c>
      <c r="Y97" s="53" t="s">
        <v>88</v>
      </c>
      <c r="Z97" s="53" t="s">
        <v>102</v>
      </c>
      <c r="AA97" s="53" t="s">
        <v>97</v>
      </c>
      <c r="AB97" s="53" t="s">
        <v>158</v>
      </c>
      <c r="AC97" s="76"/>
      <c r="AD97" s="76"/>
      <c r="AE97" s="76"/>
      <c r="AF97" s="76"/>
      <c r="AG97" s="76"/>
      <c r="AH97" s="76"/>
    </row>
    <row r="98" spans="1:34" x14ac:dyDescent="0.15">
      <c r="A98" s="53" t="s">
        <v>41</v>
      </c>
      <c r="B98" s="53" t="s">
        <v>157</v>
      </c>
      <c r="C98" s="62">
        <v>2018</v>
      </c>
      <c r="D98" s="63" t="s">
        <v>165</v>
      </c>
      <c r="E98" s="53" t="s">
        <v>204</v>
      </c>
      <c r="F98" s="53" t="s">
        <v>205</v>
      </c>
      <c r="G98" s="53" t="s">
        <v>42</v>
      </c>
      <c r="H98" s="53" t="s">
        <v>164</v>
      </c>
      <c r="I98" s="53" t="s">
        <v>159</v>
      </c>
      <c r="J98" s="53" t="s">
        <v>38</v>
      </c>
      <c r="K98" s="53" t="s">
        <v>161</v>
      </c>
      <c r="L98" s="53">
        <v>1</v>
      </c>
      <c r="N98" s="53">
        <v>8</v>
      </c>
      <c r="O98" s="53">
        <v>0.5</v>
      </c>
      <c r="P98" s="53">
        <v>0.55000000000000004</v>
      </c>
      <c r="Q98" s="16">
        <f>IF(OR(O98="",P98=""),"",AVERAGE(O98,P98))</f>
        <v>0.52500000000000002</v>
      </c>
      <c r="R98" s="53">
        <v>15.1</v>
      </c>
      <c r="S98" s="53">
        <v>122</v>
      </c>
      <c r="T98" s="16">
        <f t="shared" si="4"/>
        <v>27</v>
      </c>
      <c r="U98" s="53">
        <v>537</v>
      </c>
      <c r="V98" s="16">
        <f>IF(OR(N98="",U98="",T98=""),"",U98/N98*T98)</f>
        <v>1812.375</v>
      </c>
      <c r="W98" s="53">
        <v>1</v>
      </c>
      <c r="X98" s="53" t="s">
        <v>46</v>
      </c>
      <c r="Y98" s="53" t="s">
        <v>88</v>
      </c>
      <c r="Z98" s="53" t="s">
        <v>102</v>
      </c>
      <c r="AA98" s="53" t="s">
        <v>97</v>
      </c>
      <c r="AB98" s="53" t="s">
        <v>158</v>
      </c>
    </row>
    <row r="99" spans="1:34" x14ac:dyDescent="0.15">
      <c r="A99" s="53" t="s">
        <v>41</v>
      </c>
      <c r="B99" s="53" t="s">
        <v>157</v>
      </c>
      <c r="C99" s="62">
        <v>2018</v>
      </c>
      <c r="D99" s="63" t="s">
        <v>165</v>
      </c>
      <c r="E99" s="53" t="s">
        <v>204</v>
      </c>
      <c r="F99" s="53" t="s">
        <v>205</v>
      </c>
      <c r="G99" s="53" t="s">
        <v>42</v>
      </c>
      <c r="H99" s="53" t="s">
        <v>164</v>
      </c>
      <c r="I99" s="53" t="s">
        <v>159</v>
      </c>
      <c r="J99" s="53" t="s">
        <v>38</v>
      </c>
      <c r="K99" s="53" t="s">
        <v>161</v>
      </c>
      <c r="L99" s="53">
        <v>2</v>
      </c>
      <c r="N99" s="53">
        <v>8</v>
      </c>
      <c r="O99" s="53">
        <v>0.65</v>
      </c>
      <c r="P99" s="53">
        <v>0.45</v>
      </c>
      <c r="Q99" s="16">
        <f t="shared" ref="Q99:Q118" si="6">IF(OR(O99="",P99=""),"",AVERAGE(O99,P99))</f>
        <v>0.55000000000000004</v>
      </c>
      <c r="R99" s="53">
        <v>14.2</v>
      </c>
      <c r="S99" s="53">
        <v>122</v>
      </c>
      <c r="T99" s="16">
        <f t="shared" si="4"/>
        <v>27</v>
      </c>
      <c r="U99" s="53">
        <v>537</v>
      </c>
      <c r="V99" s="16">
        <f t="shared" ref="V99:V118" si="7">IF(OR(N99="",U99="",T99=""),"",U99/N99*T99)</f>
        <v>1812.375</v>
      </c>
      <c r="W99" s="53">
        <v>1</v>
      </c>
      <c r="X99" s="53" t="s">
        <v>46</v>
      </c>
      <c r="Y99" s="53" t="s">
        <v>88</v>
      </c>
      <c r="Z99" s="53" t="s">
        <v>102</v>
      </c>
      <c r="AA99" s="53" t="s">
        <v>97</v>
      </c>
      <c r="AB99" s="53" t="s">
        <v>158</v>
      </c>
    </row>
    <row r="100" spans="1:34" x14ac:dyDescent="0.15">
      <c r="A100" s="53" t="s">
        <v>41</v>
      </c>
      <c r="B100" s="53" t="s">
        <v>157</v>
      </c>
      <c r="C100" s="62">
        <v>2018</v>
      </c>
      <c r="D100" s="63" t="s">
        <v>165</v>
      </c>
      <c r="E100" s="53" t="s">
        <v>204</v>
      </c>
      <c r="F100" s="53" t="s">
        <v>205</v>
      </c>
      <c r="G100" s="53" t="s">
        <v>42</v>
      </c>
      <c r="H100" s="53" t="s">
        <v>164</v>
      </c>
      <c r="I100" s="53" t="s">
        <v>159</v>
      </c>
      <c r="J100" s="53" t="s">
        <v>38</v>
      </c>
      <c r="K100" s="53" t="s">
        <v>161</v>
      </c>
      <c r="L100" s="53">
        <v>3</v>
      </c>
      <c r="N100" s="53">
        <v>8</v>
      </c>
      <c r="O100" s="53">
        <v>0.5</v>
      </c>
      <c r="P100" s="53">
        <v>0.5</v>
      </c>
      <c r="Q100" s="16">
        <f t="shared" si="6"/>
        <v>0.5</v>
      </c>
      <c r="R100" s="53">
        <v>14.1</v>
      </c>
      <c r="S100" s="53">
        <v>122</v>
      </c>
      <c r="T100" s="16">
        <f t="shared" si="4"/>
        <v>27</v>
      </c>
      <c r="U100" s="53">
        <v>537</v>
      </c>
      <c r="V100" s="16">
        <f t="shared" si="7"/>
        <v>1812.375</v>
      </c>
      <c r="W100" s="53">
        <v>1</v>
      </c>
      <c r="X100" s="53" t="s">
        <v>46</v>
      </c>
      <c r="Y100" s="53" t="s">
        <v>88</v>
      </c>
      <c r="Z100" s="53" t="s">
        <v>102</v>
      </c>
      <c r="AA100" s="53" t="s">
        <v>97</v>
      </c>
      <c r="AB100" s="53" t="s">
        <v>158</v>
      </c>
    </row>
    <row r="101" spans="1:34" x14ac:dyDescent="0.15">
      <c r="A101" s="53" t="s">
        <v>41</v>
      </c>
      <c r="B101" s="53" t="s">
        <v>157</v>
      </c>
      <c r="C101" s="62">
        <v>2019</v>
      </c>
      <c r="D101" s="63" t="s">
        <v>165</v>
      </c>
      <c r="E101" s="53" t="s">
        <v>204</v>
      </c>
      <c r="F101" s="53" t="s">
        <v>205</v>
      </c>
      <c r="G101" s="53" t="s">
        <v>42</v>
      </c>
      <c r="H101" s="53" t="s">
        <v>160</v>
      </c>
      <c r="I101" s="53" t="s">
        <v>159</v>
      </c>
      <c r="J101" s="53" t="s">
        <v>38</v>
      </c>
      <c r="K101" s="53" t="s">
        <v>161</v>
      </c>
      <c r="L101" s="53">
        <v>1</v>
      </c>
      <c r="N101" s="53">
        <v>1</v>
      </c>
      <c r="O101" s="53">
        <v>0.65</v>
      </c>
      <c r="P101" s="53">
        <v>0.6</v>
      </c>
      <c r="Q101" s="72">
        <f t="shared" si="6"/>
        <v>0.625</v>
      </c>
      <c r="R101" s="53">
        <v>13.1</v>
      </c>
      <c r="S101" s="53">
        <v>126</v>
      </c>
      <c r="T101" s="38">
        <f t="shared" si="4"/>
        <v>27</v>
      </c>
      <c r="U101" s="53">
        <v>138</v>
      </c>
      <c r="V101" s="16">
        <f t="shared" si="7"/>
        <v>3726</v>
      </c>
      <c r="W101" s="53">
        <v>3</v>
      </c>
      <c r="X101" s="53" t="s">
        <v>46</v>
      </c>
      <c r="Y101" s="53" t="s">
        <v>88</v>
      </c>
      <c r="Z101" s="53" t="s">
        <v>102</v>
      </c>
      <c r="AA101" s="53" t="s">
        <v>97</v>
      </c>
      <c r="AB101" s="53" t="s">
        <v>158</v>
      </c>
      <c r="AC101" s="76"/>
      <c r="AD101" s="76"/>
      <c r="AE101" s="76"/>
      <c r="AF101" s="76"/>
      <c r="AG101" s="76"/>
      <c r="AH101" s="76"/>
    </row>
    <row r="102" spans="1:34" x14ac:dyDescent="0.15">
      <c r="A102" s="53" t="s">
        <v>41</v>
      </c>
      <c r="B102" s="53" t="s">
        <v>157</v>
      </c>
      <c r="C102" s="62">
        <v>2019</v>
      </c>
      <c r="D102" s="63" t="s">
        <v>165</v>
      </c>
      <c r="E102" s="53" t="s">
        <v>204</v>
      </c>
      <c r="F102" s="53" t="s">
        <v>205</v>
      </c>
      <c r="G102" s="53" t="s">
        <v>42</v>
      </c>
      <c r="H102" s="53" t="s">
        <v>160</v>
      </c>
      <c r="I102" s="53" t="s">
        <v>159</v>
      </c>
      <c r="J102" s="53" t="s">
        <v>38</v>
      </c>
      <c r="K102" s="53" t="s">
        <v>161</v>
      </c>
      <c r="L102" s="53">
        <v>2</v>
      </c>
      <c r="N102" s="53">
        <v>1</v>
      </c>
      <c r="O102" s="53">
        <v>0.8</v>
      </c>
      <c r="P102" s="53">
        <v>0.65</v>
      </c>
      <c r="Q102" s="72">
        <f t="shared" si="6"/>
        <v>0.72500000000000009</v>
      </c>
      <c r="R102" s="53">
        <v>16.5</v>
      </c>
      <c r="S102" s="53">
        <v>124</v>
      </c>
      <c r="T102" s="38">
        <f t="shared" si="4"/>
        <v>27</v>
      </c>
      <c r="U102" s="53">
        <v>138</v>
      </c>
      <c r="V102" s="16">
        <f t="shared" si="7"/>
        <v>3726</v>
      </c>
      <c r="W102" s="53">
        <v>3</v>
      </c>
      <c r="X102" s="53" t="s">
        <v>46</v>
      </c>
      <c r="Y102" s="53" t="s">
        <v>88</v>
      </c>
      <c r="Z102" s="53" t="s">
        <v>102</v>
      </c>
      <c r="AA102" s="53" t="s">
        <v>97</v>
      </c>
      <c r="AB102" s="53" t="s">
        <v>158</v>
      </c>
      <c r="AC102" s="76"/>
      <c r="AD102" s="76"/>
      <c r="AE102" s="76"/>
      <c r="AF102" s="76"/>
      <c r="AG102" s="76"/>
      <c r="AH102" s="76"/>
    </row>
    <row r="103" spans="1:34" x14ac:dyDescent="0.15">
      <c r="A103" s="53" t="s">
        <v>41</v>
      </c>
      <c r="B103" s="53" t="s">
        <v>157</v>
      </c>
      <c r="C103" s="62">
        <v>2019</v>
      </c>
      <c r="D103" s="63" t="s">
        <v>165</v>
      </c>
      <c r="E103" s="53" t="s">
        <v>204</v>
      </c>
      <c r="F103" s="53" t="s">
        <v>205</v>
      </c>
      <c r="G103" s="53" t="s">
        <v>42</v>
      </c>
      <c r="H103" s="53" t="s">
        <v>160</v>
      </c>
      <c r="I103" s="53" t="s">
        <v>159</v>
      </c>
      <c r="J103" s="53" t="s">
        <v>38</v>
      </c>
      <c r="K103" s="53" t="s">
        <v>161</v>
      </c>
      <c r="L103" s="53">
        <v>3</v>
      </c>
      <c r="N103" s="53">
        <v>1</v>
      </c>
      <c r="O103" s="53">
        <v>0.7</v>
      </c>
      <c r="P103" s="53">
        <v>0.75</v>
      </c>
      <c r="Q103" s="72">
        <f t="shared" si="6"/>
        <v>0.72499999999999998</v>
      </c>
      <c r="R103" s="53">
        <v>12.8</v>
      </c>
      <c r="S103" s="53">
        <v>125</v>
      </c>
      <c r="T103" s="38">
        <f t="shared" si="4"/>
        <v>27</v>
      </c>
      <c r="U103" s="53">
        <v>138</v>
      </c>
      <c r="V103" s="38">
        <f t="shared" si="7"/>
        <v>3726</v>
      </c>
      <c r="W103" s="53">
        <v>3</v>
      </c>
      <c r="X103" s="53" t="s">
        <v>46</v>
      </c>
      <c r="Y103" s="53" t="s">
        <v>88</v>
      </c>
      <c r="Z103" s="53" t="s">
        <v>102</v>
      </c>
      <c r="AA103" s="53" t="s">
        <v>97</v>
      </c>
      <c r="AB103" s="53" t="s">
        <v>158</v>
      </c>
      <c r="AC103" s="76"/>
      <c r="AD103" s="76"/>
      <c r="AE103" s="76"/>
      <c r="AF103" s="76"/>
      <c r="AG103" s="76"/>
      <c r="AH103" s="76"/>
    </row>
    <row r="104" spans="1:34" x14ac:dyDescent="0.15">
      <c r="A104" s="53" t="s">
        <v>41</v>
      </c>
      <c r="B104" s="53" t="s">
        <v>157</v>
      </c>
      <c r="C104" s="62">
        <v>2019</v>
      </c>
      <c r="D104" s="63" t="s">
        <v>165</v>
      </c>
      <c r="E104" s="53" t="s">
        <v>204</v>
      </c>
      <c r="F104" s="53" t="s">
        <v>205</v>
      </c>
      <c r="G104" s="53" t="s">
        <v>42</v>
      </c>
      <c r="H104" s="53" t="s">
        <v>160</v>
      </c>
      <c r="I104" s="53" t="s">
        <v>159</v>
      </c>
      <c r="J104" s="53" t="s">
        <v>38</v>
      </c>
      <c r="K104" s="53" t="s">
        <v>161</v>
      </c>
      <c r="L104" s="53">
        <v>1</v>
      </c>
      <c r="N104" s="53">
        <v>5</v>
      </c>
      <c r="O104" s="53">
        <v>0.25</v>
      </c>
      <c r="P104" s="53">
        <v>0.25</v>
      </c>
      <c r="Q104" s="72">
        <f t="shared" si="6"/>
        <v>0.25</v>
      </c>
      <c r="R104" s="53">
        <v>15.8</v>
      </c>
      <c r="S104" s="53">
        <v>115</v>
      </c>
      <c r="T104" s="38">
        <f t="shared" si="4"/>
        <v>30</v>
      </c>
      <c r="U104" s="53">
        <v>645</v>
      </c>
      <c r="V104" s="16">
        <f t="shared" si="7"/>
        <v>3870</v>
      </c>
      <c r="W104" s="53">
        <v>2</v>
      </c>
      <c r="X104" s="53" t="s">
        <v>46</v>
      </c>
      <c r="Y104" s="53" t="s">
        <v>88</v>
      </c>
      <c r="Z104" s="53" t="s">
        <v>102</v>
      </c>
      <c r="AA104" s="53" t="s">
        <v>97</v>
      </c>
      <c r="AB104" s="53" t="s">
        <v>158</v>
      </c>
      <c r="AC104" s="76"/>
      <c r="AD104" s="76"/>
      <c r="AE104" s="76"/>
      <c r="AF104" s="76"/>
      <c r="AG104" s="76"/>
      <c r="AH104" s="76"/>
    </row>
    <row r="105" spans="1:34" x14ac:dyDescent="0.15">
      <c r="A105" s="53" t="s">
        <v>41</v>
      </c>
      <c r="B105" s="53" t="s">
        <v>157</v>
      </c>
      <c r="C105" s="62">
        <v>2019</v>
      </c>
      <c r="D105" s="63" t="s">
        <v>165</v>
      </c>
      <c r="E105" s="53" t="s">
        <v>204</v>
      </c>
      <c r="F105" s="53" t="s">
        <v>205</v>
      </c>
      <c r="G105" s="53" t="s">
        <v>42</v>
      </c>
      <c r="H105" s="53" t="s">
        <v>160</v>
      </c>
      <c r="I105" s="53" t="s">
        <v>159</v>
      </c>
      <c r="J105" s="53" t="s">
        <v>38</v>
      </c>
      <c r="K105" s="53" t="s">
        <v>161</v>
      </c>
      <c r="L105" s="53">
        <v>2</v>
      </c>
      <c r="N105" s="53">
        <v>5</v>
      </c>
      <c r="O105" s="53">
        <v>0.3</v>
      </c>
      <c r="P105" s="53">
        <v>0.25</v>
      </c>
      <c r="Q105" s="72">
        <f t="shared" si="6"/>
        <v>0.27500000000000002</v>
      </c>
      <c r="R105" s="53">
        <v>12.4</v>
      </c>
      <c r="S105" s="53">
        <v>118</v>
      </c>
      <c r="T105" s="38">
        <f t="shared" si="4"/>
        <v>30</v>
      </c>
      <c r="U105" s="53">
        <v>645</v>
      </c>
      <c r="V105" s="16">
        <f t="shared" si="7"/>
        <v>3870</v>
      </c>
      <c r="W105" s="53">
        <v>2</v>
      </c>
      <c r="X105" s="53" t="s">
        <v>46</v>
      </c>
      <c r="Y105" s="53" t="s">
        <v>88</v>
      </c>
      <c r="Z105" s="53" t="s">
        <v>102</v>
      </c>
      <c r="AA105" s="53" t="s">
        <v>97</v>
      </c>
      <c r="AB105" s="53" t="s">
        <v>158</v>
      </c>
      <c r="AC105" s="76"/>
      <c r="AD105" s="76"/>
      <c r="AE105" s="76"/>
      <c r="AF105" s="76"/>
      <c r="AG105" s="76"/>
      <c r="AH105" s="76"/>
    </row>
    <row r="106" spans="1:34" x14ac:dyDescent="0.15">
      <c r="A106" s="53" t="s">
        <v>41</v>
      </c>
      <c r="B106" s="53" t="s">
        <v>157</v>
      </c>
      <c r="C106" s="62">
        <v>2019</v>
      </c>
      <c r="D106" s="63" t="s">
        <v>165</v>
      </c>
      <c r="E106" s="53" t="s">
        <v>204</v>
      </c>
      <c r="F106" s="53" t="s">
        <v>205</v>
      </c>
      <c r="G106" s="53" t="s">
        <v>42</v>
      </c>
      <c r="H106" s="53" t="s">
        <v>160</v>
      </c>
      <c r="I106" s="53" t="s">
        <v>159</v>
      </c>
      <c r="J106" s="53" t="s">
        <v>38</v>
      </c>
      <c r="K106" s="53" t="s">
        <v>161</v>
      </c>
      <c r="L106" s="53">
        <v>3</v>
      </c>
      <c r="N106" s="53">
        <v>5</v>
      </c>
      <c r="O106" s="53">
        <v>0.35</v>
      </c>
      <c r="P106" s="53">
        <v>0.3</v>
      </c>
      <c r="Q106" s="72">
        <f t="shared" si="6"/>
        <v>0.32499999999999996</v>
      </c>
      <c r="R106" s="53">
        <v>15.2</v>
      </c>
      <c r="S106" s="53">
        <v>119</v>
      </c>
      <c r="T106" s="38">
        <f t="shared" si="4"/>
        <v>30</v>
      </c>
      <c r="U106" s="53">
        <v>645</v>
      </c>
      <c r="V106" s="38">
        <f t="shared" si="7"/>
        <v>3870</v>
      </c>
      <c r="W106" s="53">
        <v>2</v>
      </c>
      <c r="X106" s="53" t="s">
        <v>46</v>
      </c>
      <c r="Y106" s="53" t="s">
        <v>88</v>
      </c>
      <c r="Z106" s="53" t="s">
        <v>102</v>
      </c>
      <c r="AA106" s="53" t="s">
        <v>97</v>
      </c>
      <c r="AB106" s="53" t="s">
        <v>158</v>
      </c>
      <c r="AC106" s="76"/>
      <c r="AD106" s="76"/>
      <c r="AE106" s="76"/>
      <c r="AF106" s="76"/>
      <c r="AG106" s="76"/>
      <c r="AH106" s="76"/>
    </row>
    <row r="107" spans="1:34" x14ac:dyDescent="0.15">
      <c r="A107" s="53" t="s">
        <v>41</v>
      </c>
      <c r="B107" s="53" t="s">
        <v>157</v>
      </c>
      <c r="C107" s="62">
        <v>2019</v>
      </c>
      <c r="D107" s="63" t="s">
        <v>165</v>
      </c>
      <c r="E107" s="53" t="s">
        <v>210</v>
      </c>
      <c r="F107" s="53" t="s">
        <v>211</v>
      </c>
      <c r="G107" s="53" t="s">
        <v>42</v>
      </c>
      <c r="H107" s="53" t="s">
        <v>160</v>
      </c>
      <c r="I107" s="53" t="s">
        <v>159</v>
      </c>
      <c r="J107" s="53" t="s">
        <v>38</v>
      </c>
      <c r="K107" s="53" t="s">
        <v>161</v>
      </c>
      <c r="L107" s="53">
        <v>1</v>
      </c>
      <c r="N107" s="53">
        <v>1</v>
      </c>
      <c r="O107" s="53">
        <v>0.5</v>
      </c>
      <c r="P107" s="53">
        <v>0.45</v>
      </c>
      <c r="Q107" s="16">
        <f t="shared" si="6"/>
        <v>0.47499999999999998</v>
      </c>
      <c r="R107" s="53">
        <v>13.7</v>
      </c>
      <c r="S107" s="53">
        <v>124</v>
      </c>
      <c r="T107" s="38">
        <f t="shared" si="4"/>
        <v>27</v>
      </c>
      <c r="U107" s="53">
        <v>104</v>
      </c>
      <c r="V107" s="38">
        <f t="shared" si="7"/>
        <v>2808</v>
      </c>
      <c r="W107" s="53">
        <v>2</v>
      </c>
      <c r="X107" s="53" t="s">
        <v>46</v>
      </c>
      <c r="Y107" s="53" t="s">
        <v>88</v>
      </c>
      <c r="Z107" s="53" t="s">
        <v>102</v>
      </c>
      <c r="AA107" s="53" t="s">
        <v>78</v>
      </c>
      <c r="AB107" s="53" t="s">
        <v>158</v>
      </c>
    </row>
    <row r="108" spans="1:34" x14ac:dyDescent="0.15">
      <c r="A108" s="53" t="s">
        <v>41</v>
      </c>
      <c r="B108" s="53" t="s">
        <v>157</v>
      </c>
      <c r="C108" s="62">
        <v>2019</v>
      </c>
      <c r="D108" s="63" t="s">
        <v>165</v>
      </c>
      <c r="E108" s="53" t="s">
        <v>210</v>
      </c>
      <c r="F108" s="53" t="s">
        <v>211</v>
      </c>
      <c r="G108" s="53" t="s">
        <v>42</v>
      </c>
      <c r="H108" s="53" t="s">
        <v>160</v>
      </c>
      <c r="I108" s="53" t="s">
        <v>159</v>
      </c>
      <c r="J108" s="53" t="s">
        <v>38</v>
      </c>
      <c r="K108" s="53" t="s">
        <v>161</v>
      </c>
      <c r="L108" s="53">
        <v>2</v>
      </c>
      <c r="N108" s="53">
        <v>1</v>
      </c>
      <c r="O108" s="53">
        <v>0.35</v>
      </c>
      <c r="P108" s="53">
        <v>0.5</v>
      </c>
      <c r="Q108" s="16">
        <f t="shared" si="6"/>
        <v>0.42499999999999999</v>
      </c>
      <c r="R108" s="53">
        <v>14.7</v>
      </c>
      <c r="S108" s="53">
        <v>126</v>
      </c>
      <c r="T108" s="38">
        <f t="shared" si="4"/>
        <v>27</v>
      </c>
      <c r="U108" s="53">
        <v>104</v>
      </c>
      <c r="V108" s="38">
        <f t="shared" si="7"/>
        <v>2808</v>
      </c>
      <c r="W108" s="53">
        <v>2</v>
      </c>
      <c r="X108" s="53" t="s">
        <v>46</v>
      </c>
      <c r="Y108" s="53" t="s">
        <v>88</v>
      </c>
      <c r="Z108" s="53" t="s">
        <v>102</v>
      </c>
      <c r="AA108" s="53" t="s">
        <v>78</v>
      </c>
      <c r="AB108" s="53" t="s">
        <v>158</v>
      </c>
    </row>
    <row r="109" spans="1:34" x14ac:dyDescent="0.15">
      <c r="A109" s="53" t="s">
        <v>41</v>
      </c>
      <c r="B109" s="53" t="s">
        <v>157</v>
      </c>
      <c r="C109" s="62">
        <v>2019</v>
      </c>
      <c r="D109" s="63" t="s">
        <v>165</v>
      </c>
      <c r="E109" s="53" t="s">
        <v>210</v>
      </c>
      <c r="F109" s="53" t="s">
        <v>211</v>
      </c>
      <c r="G109" s="53" t="s">
        <v>42</v>
      </c>
      <c r="H109" s="53" t="s">
        <v>160</v>
      </c>
      <c r="I109" s="53" t="s">
        <v>159</v>
      </c>
      <c r="J109" s="53" t="s">
        <v>38</v>
      </c>
      <c r="K109" s="53" t="s">
        <v>161</v>
      </c>
      <c r="L109" s="53">
        <v>3</v>
      </c>
      <c r="N109" s="53">
        <v>1</v>
      </c>
      <c r="O109" s="53">
        <v>0.55000000000000004</v>
      </c>
      <c r="P109" s="53">
        <v>0.6</v>
      </c>
      <c r="Q109" s="16">
        <f t="shared" si="6"/>
        <v>0.57499999999999996</v>
      </c>
      <c r="R109" s="53">
        <v>15.2</v>
      </c>
      <c r="S109" s="53">
        <v>123</v>
      </c>
      <c r="T109" s="38">
        <f t="shared" si="4"/>
        <v>27</v>
      </c>
      <c r="U109" s="53">
        <v>104</v>
      </c>
      <c r="V109" s="38">
        <f t="shared" si="7"/>
        <v>2808</v>
      </c>
      <c r="W109" s="53">
        <v>2</v>
      </c>
      <c r="X109" s="53" t="s">
        <v>46</v>
      </c>
      <c r="Y109" s="53" t="s">
        <v>88</v>
      </c>
      <c r="Z109" s="53" t="s">
        <v>102</v>
      </c>
      <c r="AA109" s="53" t="s">
        <v>78</v>
      </c>
      <c r="AB109" s="53" t="s">
        <v>158</v>
      </c>
    </row>
    <row r="110" spans="1:34" x14ac:dyDescent="0.15">
      <c r="A110" s="53" t="s">
        <v>41</v>
      </c>
      <c r="B110" s="53" t="s">
        <v>157</v>
      </c>
      <c r="C110" s="62">
        <v>2019</v>
      </c>
      <c r="D110" s="63" t="s">
        <v>165</v>
      </c>
      <c r="E110" s="53" t="s">
        <v>210</v>
      </c>
      <c r="F110" s="53" t="s">
        <v>211</v>
      </c>
      <c r="G110" s="53" t="s">
        <v>42</v>
      </c>
      <c r="H110" s="53" t="s">
        <v>160</v>
      </c>
      <c r="I110" s="53" t="s">
        <v>159</v>
      </c>
      <c r="J110" s="53" t="s">
        <v>38</v>
      </c>
      <c r="K110" s="53" t="s">
        <v>161</v>
      </c>
      <c r="L110" s="53">
        <v>1</v>
      </c>
      <c r="N110" s="53">
        <v>4</v>
      </c>
      <c r="O110" s="53">
        <v>0.65</v>
      </c>
      <c r="P110" s="53">
        <v>0.45</v>
      </c>
      <c r="Q110" s="16">
        <f t="shared" si="6"/>
        <v>0.55000000000000004</v>
      </c>
      <c r="R110" s="53">
        <v>16.2</v>
      </c>
      <c r="S110" s="53">
        <v>120</v>
      </c>
      <c r="T110" s="38">
        <f t="shared" si="4"/>
        <v>30</v>
      </c>
      <c r="U110" s="53">
        <v>407</v>
      </c>
      <c r="V110" s="38">
        <f t="shared" si="7"/>
        <v>3052.5</v>
      </c>
      <c r="W110" s="53">
        <v>1</v>
      </c>
      <c r="X110" s="53" t="s">
        <v>46</v>
      </c>
      <c r="Y110" s="53" t="s">
        <v>88</v>
      </c>
      <c r="Z110" s="53" t="s">
        <v>102</v>
      </c>
      <c r="AA110" s="53" t="s">
        <v>78</v>
      </c>
      <c r="AB110" s="53" t="s">
        <v>158</v>
      </c>
      <c r="AC110" s="76"/>
      <c r="AD110" s="76"/>
      <c r="AE110" s="76"/>
      <c r="AF110" s="76"/>
      <c r="AG110" s="76"/>
      <c r="AH110" s="76"/>
    </row>
    <row r="111" spans="1:34" x14ac:dyDescent="0.15">
      <c r="A111" s="53" t="s">
        <v>41</v>
      </c>
      <c r="B111" s="53" t="s">
        <v>157</v>
      </c>
      <c r="C111" s="62">
        <v>2019</v>
      </c>
      <c r="D111" s="63" t="s">
        <v>165</v>
      </c>
      <c r="E111" s="53" t="s">
        <v>210</v>
      </c>
      <c r="F111" s="53" t="s">
        <v>211</v>
      </c>
      <c r="G111" s="53" t="s">
        <v>42</v>
      </c>
      <c r="H111" s="53" t="s">
        <v>160</v>
      </c>
      <c r="I111" s="53" t="s">
        <v>159</v>
      </c>
      <c r="J111" s="53" t="s">
        <v>38</v>
      </c>
      <c r="K111" s="53" t="s">
        <v>161</v>
      </c>
      <c r="L111" s="53">
        <v>2</v>
      </c>
      <c r="N111" s="53">
        <v>4</v>
      </c>
      <c r="O111" s="53">
        <v>0.5</v>
      </c>
      <c r="P111" s="53">
        <v>0.25</v>
      </c>
      <c r="Q111" s="16">
        <f t="shared" si="6"/>
        <v>0.375</v>
      </c>
      <c r="R111" s="53">
        <v>17.5</v>
      </c>
      <c r="S111" s="53">
        <v>119</v>
      </c>
      <c r="T111" s="38">
        <f t="shared" si="4"/>
        <v>30</v>
      </c>
      <c r="U111" s="53">
        <v>407</v>
      </c>
      <c r="V111" s="38">
        <f t="shared" si="7"/>
        <v>3052.5</v>
      </c>
      <c r="W111" s="53">
        <v>1</v>
      </c>
      <c r="X111" s="53" t="s">
        <v>46</v>
      </c>
      <c r="Y111" s="53" t="s">
        <v>88</v>
      </c>
      <c r="Z111" s="53" t="s">
        <v>102</v>
      </c>
      <c r="AA111" s="53" t="s">
        <v>78</v>
      </c>
      <c r="AB111" s="53" t="s">
        <v>158</v>
      </c>
      <c r="AC111" s="76"/>
      <c r="AD111" s="76"/>
      <c r="AE111" s="76"/>
      <c r="AF111" s="76"/>
      <c r="AG111" s="76"/>
      <c r="AH111" s="76"/>
    </row>
    <row r="112" spans="1:34" x14ac:dyDescent="0.15">
      <c r="A112" s="53" t="s">
        <v>41</v>
      </c>
      <c r="B112" s="53" t="s">
        <v>157</v>
      </c>
      <c r="C112" s="62">
        <v>2019</v>
      </c>
      <c r="D112" s="63" t="s">
        <v>165</v>
      </c>
      <c r="E112" s="53" t="s">
        <v>210</v>
      </c>
      <c r="F112" s="53" t="s">
        <v>211</v>
      </c>
      <c r="G112" s="53" t="s">
        <v>42</v>
      </c>
      <c r="H112" s="53" t="s">
        <v>160</v>
      </c>
      <c r="I112" s="53" t="s">
        <v>159</v>
      </c>
      <c r="J112" s="53" t="s">
        <v>38</v>
      </c>
      <c r="K112" s="53" t="s">
        <v>161</v>
      </c>
      <c r="L112" s="53">
        <v>3</v>
      </c>
      <c r="N112" s="53">
        <v>4</v>
      </c>
      <c r="O112" s="53">
        <v>0.3</v>
      </c>
      <c r="P112" s="53">
        <v>0.3</v>
      </c>
      <c r="Q112" s="16">
        <f t="shared" si="6"/>
        <v>0.3</v>
      </c>
      <c r="R112" s="53">
        <v>12.6</v>
      </c>
      <c r="S112" s="53">
        <v>119</v>
      </c>
      <c r="T112" s="38">
        <f t="shared" si="4"/>
        <v>30</v>
      </c>
      <c r="U112" s="53">
        <v>407</v>
      </c>
      <c r="V112" s="38">
        <f t="shared" si="7"/>
        <v>3052.5</v>
      </c>
      <c r="W112" s="53">
        <v>1</v>
      </c>
      <c r="X112" s="53" t="s">
        <v>46</v>
      </c>
      <c r="Y112" s="53" t="s">
        <v>88</v>
      </c>
      <c r="Z112" s="53" t="s">
        <v>102</v>
      </c>
      <c r="AA112" s="53" t="s">
        <v>78</v>
      </c>
      <c r="AB112" s="53" t="s">
        <v>158</v>
      </c>
      <c r="AC112" s="76"/>
      <c r="AD112" s="76"/>
      <c r="AE112" s="76"/>
      <c r="AF112" s="76"/>
      <c r="AG112" s="76"/>
      <c r="AH112" s="76"/>
    </row>
    <row r="113" spans="1:34" x14ac:dyDescent="0.15">
      <c r="A113" s="53" t="s">
        <v>41</v>
      </c>
      <c r="B113" s="53" t="s">
        <v>157</v>
      </c>
      <c r="C113" s="62">
        <v>2019</v>
      </c>
      <c r="D113" s="63" t="s">
        <v>165</v>
      </c>
      <c r="E113" s="53" t="s">
        <v>210</v>
      </c>
      <c r="F113" s="53" t="s">
        <v>211</v>
      </c>
      <c r="G113" s="53" t="s">
        <v>42</v>
      </c>
      <c r="H113" s="53" t="s">
        <v>164</v>
      </c>
      <c r="I113" s="53" t="s">
        <v>159</v>
      </c>
      <c r="J113" s="53" t="s">
        <v>38</v>
      </c>
      <c r="K113" s="53" t="s">
        <v>161</v>
      </c>
      <c r="L113" s="53">
        <v>1</v>
      </c>
      <c r="N113" s="53">
        <v>1</v>
      </c>
      <c r="O113" s="53">
        <v>0.65</v>
      </c>
      <c r="P113" s="53">
        <v>0.6</v>
      </c>
      <c r="Q113" s="16">
        <f t="shared" si="6"/>
        <v>0.625</v>
      </c>
      <c r="R113" s="53">
        <v>15.8</v>
      </c>
      <c r="S113" s="53">
        <v>125</v>
      </c>
      <c r="T113" s="38">
        <f t="shared" si="4"/>
        <v>27</v>
      </c>
      <c r="U113" s="53">
        <v>104</v>
      </c>
      <c r="V113" s="38">
        <f t="shared" si="7"/>
        <v>2808</v>
      </c>
      <c r="W113" s="53">
        <v>2</v>
      </c>
      <c r="X113" s="53" t="s">
        <v>46</v>
      </c>
      <c r="Y113" s="53" t="s">
        <v>88</v>
      </c>
      <c r="Z113" s="53" t="s">
        <v>102</v>
      </c>
      <c r="AA113" s="53" t="s">
        <v>78</v>
      </c>
      <c r="AB113" s="53" t="s">
        <v>158</v>
      </c>
      <c r="AC113" s="76"/>
      <c r="AD113" s="76"/>
      <c r="AE113" s="76"/>
      <c r="AF113" s="76"/>
      <c r="AG113" s="76"/>
      <c r="AH113" s="76"/>
    </row>
    <row r="114" spans="1:34" x14ac:dyDescent="0.15">
      <c r="A114" s="53" t="s">
        <v>41</v>
      </c>
      <c r="B114" s="53" t="s">
        <v>157</v>
      </c>
      <c r="C114" s="62">
        <v>2019</v>
      </c>
      <c r="D114" s="63" t="s">
        <v>165</v>
      </c>
      <c r="E114" s="53" t="s">
        <v>210</v>
      </c>
      <c r="F114" s="53" t="s">
        <v>211</v>
      </c>
      <c r="G114" s="53" t="s">
        <v>42</v>
      </c>
      <c r="H114" s="53" t="s">
        <v>164</v>
      </c>
      <c r="I114" s="53" t="s">
        <v>159</v>
      </c>
      <c r="J114" s="53" t="s">
        <v>38</v>
      </c>
      <c r="K114" s="53" t="s">
        <v>161</v>
      </c>
      <c r="L114" s="53">
        <v>2</v>
      </c>
      <c r="N114" s="53">
        <v>1</v>
      </c>
      <c r="O114" s="53">
        <v>0.5</v>
      </c>
      <c r="P114" s="53">
        <v>0.5</v>
      </c>
      <c r="Q114" s="16">
        <f t="shared" si="6"/>
        <v>0.5</v>
      </c>
      <c r="R114" s="53">
        <v>13.8</v>
      </c>
      <c r="S114" s="53">
        <v>124</v>
      </c>
      <c r="T114" s="38">
        <f t="shared" si="4"/>
        <v>27</v>
      </c>
      <c r="U114" s="53">
        <v>104</v>
      </c>
      <c r="V114" s="38">
        <f t="shared" si="7"/>
        <v>2808</v>
      </c>
      <c r="W114" s="53">
        <v>2</v>
      </c>
      <c r="X114" s="53" t="s">
        <v>46</v>
      </c>
      <c r="Y114" s="53" t="s">
        <v>88</v>
      </c>
      <c r="Z114" s="53" t="s">
        <v>102</v>
      </c>
      <c r="AA114" s="53" t="s">
        <v>78</v>
      </c>
      <c r="AB114" s="53" t="s">
        <v>158</v>
      </c>
      <c r="AC114" s="76"/>
      <c r="AD114" s="76"/>
      <c r="AE114" s="76"/>
      <c r="AF114" s="76"/>
      <c r="AG114" s="76"/>
      <c r="AH114" s="76"/>
    </row>
    <row r="115" spans="1:34" x14ac:dyDescent="0.15">
      <c r="A115" s="53" t="s">
        <v>41</v>
      </c>
      <c r="B115" s="53" t="s">
        <v>157</v>
      </c>
      <c r="C115" s="62">
        <v>2019</v>
      </c>
      <c r="D115" s="63" t="s">
        <v>165</v>
      </c>
      <c r="E115" s="53" t="s">
        <v>210</v>
      </c>
      <c r="F115" s="53" t="s">
        <v>211</v>
      </c>
      <c r="G115" s="53" t="s">
        <v>42</v>
      </c>
      <c r="H115" s="53" t="s">
        <v>164</v>
      </c>
      <c r="I115" s="53" t="s">
        <v>159</v>
      </c>
      <c r="J115" s="53" t="s">
        <v>38</v>
      </c>
      <c r="K115" s="53" t="s">
        <v>161</v>
      </c>
      <c r="L115" s="53">
        <v>3</v>
      </c>
      <c r="N115" s="53">
        <v>1</v>
      </c>
      <c r="O115" s="53">
        <v>0.4</v>
      </c>
      <c r="P115" s="53">
        <v>0.65</v>
      </c>
      <c r="Q115" s="16">
        <f t="shared" si="6"/>
        <v>0.52500000000000002</v>
      </c>
      <c r="R115" s="53">
        <v>14.7</v>
      </c>
      <c r="S115" s="53">
        <v>123</v>
      </c>
      <c r="T115" s="38">
        <f t="shared" si="4"/>
        <v>27</v>
      </c>
      <c r="U115" s="53">
        <v>104</v>
      </c>
      <c r="V115" s="38">
        <f t="shared" si="7"/>
        <v>2808</v>
      </c>
      <c r="W115" s="53">
        <v>2</v>
      </c>
      <c r="X115" s="53" t="s">
        <v>46</v>
      </c>
      <c r="Y115" s="53" t="s">
        <v>88</v>
      </c>
      <c r="Z115" s="53" t="s">
        <v>102</v>
      </c>
      <c r="AA115" s="53" t="s">
        <v>78</v>
      </c>
      <c r="AB115" s="53" t="s">
        <v>158</v>
      </c>
      <c r="AC115" s="76"/>
      <c r="AD115" s="76"/>
      <c r="AE115" s="76"/>
      <c r="AF115" s="76"/>
      <c r="AG115" s="76"/>
      <c r="AH115" s="76"/>
    </row>
    <row r="116" spans="1:34" x14ac:dyDescent="0.15">
      <c r="A116" s="53" t="s">
        <v>41</v>
      </c>
      <c r="B116" s="53" t="s">
        <v>157</v>
      </c>
      <c r="C116" s="62">
        <v>2019</v>
      </c>
      <c r="D116" s="63" t="s">
        <v>165</v>
      </c>
      <c r="E116" s="53" t="s">
        <v>210</v>
      </c>
      <c r="F116" s="53" t="s">
        <v>211</v>
      </c>
      <c r="G116" s="53" t="s">
        <v>42</v>
      </c>
      <c r="H116" s="53" t="s">
        <v>164</v>
      </c>
      <c r="I116" s="53" t="s">
        <v>159</v>
      </c>
      <c r="J116" s="53" t="s">
        <v>38</v>
      </c>
      <c r="K116" s="53" t="s">
        <v>161</v>
      </c>
      <c r="L116" s="53">
        <v>1</v>
      </c>
      <c r="N116" s="53">
        <v>4</v>
      </c>
      <c r="O116" s="53">
        <v>0.25</v>
      </c>
      <c r="P116" s="53">
        <v>0.25</v>
      </c>
      <c r="Q116" s="16">
        <f t="shared" si="6"/>
        <v>0.25</v>
      </c>
      <c r="R116" s="53">
        <v>14.3</v>
      </c>
      <c r="S116" s="53">
        <v>115</v>
      </c>
      <c r="T116" s="38">
        <f t="shared" si="4"/>
        <v>30</v>
      </c>
      <c r="U116" s="53">
        <v>407</v>
      </c>
      <c r="V116" s="38">
        <f t="shared" si="7"/>
        <v>3052.5</v>
      </c>
      <c r="W116" s="53">
        <v>1</v>
      </c>
      <c r="X116" s="53" t="s">
        <v>46</v>
      </c>
      <c r="Y116" s="53" t="s">
        <v>88</v>
      </c>
      <c r="Z116" s="53" t="s">
        <v>102</v>
      </c>
      <c r="AA116" s="53" t="s">
        <v>78</v>
      </c>
      <c r="AB116" s="53" t="s">
        <v>158</v>
      </c>
      <c r="AC116" s="76"/>
      <c r="AD116" s="76"/>
      <c r="AE116" s="76"/>
      <c r="AF116" s="76"/>
      <c r="AG116" s="76"/>
      <c r="AH116" s="76"/>
    </row>
    <row r="117" spans="1:34" x14ac:dyDescent="0.15">
      <c r="A117" s="53" t="s">
        <v>41</v>
      </c>
      <c r="B117" s="53" t="s">
        <v>157</v>
      </c>
      <c r="C117" s="62">
        <v>2019</v>
      </c>
      <c r="D117" s="63" t="s">
        <v>165</v>
      </c>
      <c r="E117" s="53" t="s">
        <v>210</v>
      </c>
      <c r="F117" s="53" t="s">
        <v>211</v>
      </c>
      <c r="G117" s="53" t="s">
        <v>42</v>
      </c>
      <c r="H117" s="53" t="s">
        <v>164</v>
      </c>
      <c r="I117" s="53" t="s">
        <v>159</v>
      </c>
      <c r="J117" s="53" t="s">
        <v>38</v>
      </c>
      <c r="K117" s="53" t="s">
        <v>161</v>
      </c>
      <c r="L117" s="53">
        <v>2</v>
      </c>
      <c r="N117" s="53">
        <v>4</v>
      </c>
      <c r="O117" s="53">
        <v>0.25</v>
      </c>
      <c r="P117" s="53">
        <v>0.25</v>
      </c>
      <c r="Q117" s="16">
        <f t="shared" si="6"/>
        <v>0.25</v>
      </c>
      <c r="R117" s="53">
        <v>16.600000000000001</v>
      </c>
      <c r="S117" s="53">
        <v>117</v>
      </c>
      <c r="T117" s="38">
        <f t="shared" si="4"/>
        <v>30</v>
      </c>
      <c r="U117" s="53">
        <v>407</v>
      </c>
      <c r="V117" s="38">
        <f t="shared" si="7"/>
        <v>3052.5</v>
      </c>
      <c r="W117" s="53">
        <v>1</v>
      </c>
      <c r="X117" s="53" t="s">
        <v>46</v>
      </c>
      <c r="Y117" s="53" t="s">
        <v>88</v>
      </c>
      <c r="Z117" s="53" t="s">
        <v>102</v>
      </c>
      <c r="AA117" s="53" t="s">
        <v>78</v>
      </c>
      <c r="AB117" s="53" t="s">
        <v>158</v>
      </c>
      <c r="AC117" s="76"/>
      <c r="AD117" s="76"/>
      <c r="AE117" s="76"/>
      <c r="AF117" s="76"/>
      <c r="AG117" s="76"/>
      <c r="AH117" s="76"/>
    </row>
    <row r="118" spans="1:34" x14ac:dyDescent="0.15">
      <c r="A118" s="53" t="s">
        <v>41</v>
      </c>
      <c r="B118" s="53" t="s">
        <v>157</v>
      </c>
      <c r="C118" s="62">
        <v>2019</v>
      </c>
      <c r="D118" s="63" t="s">
        <v>165</v>
      </c>
      <c r="E118" s="53" t="s">
        <v>210</v>
      </c>
      <c r="F118" s="53" t="s">
        <v>211</v>
      </c>
      <c r="G118" s="53" t="s">
        <v>42</v>
      </c>
      <c r="H118" s="53" t="s">
        <v>164</v>
      </c>
      <c r="I118" s="53" t="s">
        <v>159</v>
      </c>
      <c r="J118" s="53" t="s">
        <v>38</v>
      </c>
      <c r="K118" s="53" t="s">
        <v>161</v>
      </c>
      <c r="L118" s="53">
        <v>3</v>
      </c>
      <c r="N118" s="53">
        <v>4</v>
      </c>
      <c r="O118" s="53">
        <v>0.25</v>
      </c>
      <c r="P118" s="53">
        <v>0.3</v>
      </c>
      <c r="Q118" s="16">
        <f t="shared" si="6"/>
        <v>0.27500000000000002</v>
      </c>
      <c r="R118" s="53">
        <v>14.8</v>
      </c>
      <c r="S118" s="53">
        <v>118</v>
      </c>
      <c r="T118" s="38">
        <f t="shared" si="4"/>
        <v>30</v>
      </c>
      <c r="U118" s="53">
        <v>407</v>
      </c>
      <c r="V118" s="38">
        <f t="shared" si="7"/>
        <v>3052.5</v>
      </c>
      <c r="W118" s="53">
        <v>1</v>
      </c>
      <c r="X118" s="53" t="s">
        <v>46</v>
      </c>
      <c r="Y118" s="53" t="s">
        <v>88</v>
      </c>
      <c r="Z118" s="53" t="s">
        <v>102</v>
      </c>
      <c r="AA118" s="53" t="s">
        <v>78</v>
      </c>
      <c r="AB118" s="53" t="s">
        <v>158</v>
      </c>
      <c r="AC118" s="76"/>
      <c r="AD118" s="76"/>
      <c r="AE118" s="76"/>
      <c r="AF118" s="76"/>
      <c r="AG118" s="76"/>
      <c r="AH118" s="76"/>
    </row>
    <row r="119" spans="1:34" x14ac:dyDescent="0.15">
      <c r="C119" s="62"/>
      <c r="D119" s="63"/>
      <c r="T119" s="38"/>
      <c r="V119" s="38"/>
    </row>
    <row r="120" spans="1:34" x14ac:dyDescent="0.15">
      <c r="C120" s="62"/>
      <c r="D120" s="63"/>
      <c r="T120" s="38"/>
      <c r="V120" s="38"/>
    </row>
    <row r="121" spans="1:34" x14ac:dyDescent="0.15">
      <c r="C121" s="62"/>
      <c r="D121" s="63"/>
      <c r="T121" s="38"/>
      <c r="V121" s="38"/>
    </row>
    <row r="122" spans="1:34" x14ac:dyDescent="0.15">
      <c r="C122" s="62"/>
      <c r="D122" s="63"/>
      <c r="T122" s="38"/>
      <c r="V122" s="38"/>
    </row>
    <row r="123" spans="1:34" x14ac:dyDescent="0.15">
      <c r="C123" s="62"/>
      <c r="D123" s="63"/>
      <c r="T123" s="38"/>
      <c r="V123" s="38"/>
    </row>
    <row r="124" spans="1:34" x14ac:dyDescent="0.15">
      <c r="C124" s="62"/>
      <c r="D124" s="63"/>
      <c r="T124" s="38"/>
      <c r="V124" s="38"/>
    </row>
    <row r="125" spans="1:34" x14ac:dyDescent="0.15">
      <c r="Q125" s="75"/>
    </row>
    <row r="126" spans="1:34" x14ac:dyDescent="0.15">
      <c r="Q126" s="75"/>
    </row>
    <row r="127" spans="1:34" x14ac:dyDescent="0.15">
      <c r="Q127" s="75"/>
    </row>
    <row r="128" spans="1:34" x14ac:dyDescent="0.15">
      <c r="Q128" s="75" t="str">
        <f t="shared" ref="Q128:Q191" si="8">IF(OR(O128="",P128=""),"",AVERAGE(O128,P128))</f>
        <v/>
      </c>
      <c r="T128" s="16" t="str">
        <f t="shared" ref="T128:T191" si="9">IF(H128="","",IF(OR(H128="GREEN",H128="GK"),IF(S128&gt;=$AX$2,VLOOKUP(S128,$AX$2:$AY$10,2,1),""),IF(S128&gt;=$AZ$2,VLOOKUP(S128,$AZ$2:$BA$10,2,1),"")))</f>
        <v/>
      </c>
      <c r="V128" s="16" t="str">
        <f t="shared" ref="V128:V191" si="10">IF(OR(N128="",U128="",T128=""),"",U128/N128*T128)</f>
        <v/>
      </c>
    </row>
    <row r="129" spans="17:22" x14ac:dyDescent="0.15">
      <c r="Q129" s="75" t="str">
        <f t="shared" si="8"/>
        <v/>
      </c>
      <c r="T129" s="16" t="str">
        <f t="shared" si="9"/>
        <v/>
      </c>
      <c r="V129" s="16" t="str">
        <f t="shared" si="10"/>
        <v/>
      </c>
    </row>
    <row r="130" spans="17:22" x14ac:dyDescent="0.15">
      <c r="Q130" s="75" t="str">
        <f t="shared" si="8"/>
        <v/>
      </c>
      <c r="T130" s="16" t="str">
        <f t="shared" si="9"/>
        <v/>
      </c>
      <c r="V130" s="16" t="str">
        <f t="shared" si="10"/>
        <v/>
      </c>
    </row>
    <row r="131" spans="17:22" x14ac:dyDescent="0.15">
      <c r="Q131" s="75" t="str">
        <f t="shared" si="8"/>
        <v/>
      </c>
      <c r="T131" s="16" t="str">
        <f t="shared" si="9"/>
        <v/>
      </c>
      <c r="V131" s="16" t="str">
        <f t="shared" si="10"/>
        <v/>
      </c>
    </row>
    <row r="132" spans="17:22" x14ac:dyDescent="0.15">
      <c r="Q132" s="75" t="str">
        <f t="shared" si="8"/>
        <v/>
      </c>
      <c r="T132" s="16" t="str">
        <f t="shared" si="9"/>
        <v/>
      </c>
      <c r="V132" s="16" t="str">
        <f t="shared" si="10"/>
        <v/>
      </c>
    </row>
    <row r="133" spans="17:22" x14ac:dyDescent="0.15">
      <c r="Q133" s="75" t="str">
        <f t="shared" si="8"/>
        <v/>
      </c>
      <c r="T133" s="16" t="str">
        <f t="shared" si="9"/>
        <v/>
      </c>
      <c r="V133" s="16" t="str">
        <f t="shared" si="10"/>
        <v/>
      </c>
    </row>
    <row r="134" spans="17:22" x14ac:dyDescent="0.15">
      <c r="Q134" s="75" t="str">
        <f t="shared" si="8"/>
        <v/>
      </c>
      <c r="T134" s="16" t="str">
        <f t="shared" si="9"/>
        <v/>
      </c>
      <c r="V134" s="16" t="str">
        <f t="shared" si="10"/>
        <v/>
      </c>
    </row>
    <row r="135" spans="17:22" x14ac:dyDescent="0.15">
      <c r="Q135" s="75" t="str">
        <f t="shared" si="8"/>
        <v/>
      </c>
      <c r="T135" s="16" t="str">
        <f t="shared" si="9"/>
        <v/>
      </c>
      <c r="V135" s="16" t="str">
        <f t="shared" si="10"/>
        <v/>
      </c>
    </row>
    <row r="136" spans="17:22" x14ac:dyDescent="0.15">
      <c r="Q136" s="75" t="str">
        <f t="shared" si="8"/>
        <v/>
      </c>
      <c r="T136" s="16" t="str">
        <f t="shared" si="9"/>
        <v/>
      </c>
      <c r="V136" s="16" t="str">
        <f t="shared" si="10"/>
        <v/>
      </c>
    </row>
    <row r="137" spans="17:22" x14ac:dyDescent="0.15">
      <c r="Q137" s="75" t="str">
        <f t="shared" si="8"/>
        <v/>
      </c>
      <c r="T137" s="16" t="str">
        <f t="shared" si="9"/>
        <v/>
      </c>
      <c r="V137" s="16" t="str">
        <f t="shared" si="10"/>
        <v/>
      </c>
    </row>
    <row r="138" spans="17:22" x14ac:dyDescent="0.15">
      <c r="Q138" s="75" t="str">
        <f t="shared" si="8"/>
        <v/>
      </c>
      <c r="T138" s="16" t="str">
        <f t="shared" si="9"/>
        <v/>
      </c>
      <c r="V138" s="16" t="str">
        <f t="shared" si="10"/>
        <v/>
      </c>
    </row>
    <row r="139" spans="17:22" x14ac:dyDescent="0.15">
      <c r="Q139" s="75" t="str">
        <f t="shared" si="8"/>
        <v/>
      </c>
      <c r="T139" s="16" t="str">
        <f t="shared" si="9"/>
        <v/>
      </c>
      <c r="V139" s="16" t="str">
        <f t="shared" si="10"/>
        <v/>
      </c>
    </row>
    <row r="140" spans="17:22" x14ac:dyDescent="0.15">
      <c r="Q140" s="75" t="str">
        <f t="shared" si="8"/>
        <v/>
      </c>
      <c r="T140" s="16" t="str">
        <f t="shared" si="9"/>
        <v/>
      </c>
      <c r="V140" s="16" t="str">
        <f t="shared" si="10"/>
        <v/>
      </c>
    </row>
    <row r="141" spans="17:22" x14ac:dyDescent="0.15">
      <c r="Q141" s="75" t="str">
        <f t="shared" si="8"/>
        <v/>
      </c>
      <c r="T141" s="16" t="str">
        <f t="shared" si="9"/>
        <v/>
      </c>
      <c r="V141" s="16" t="str">
        <f t="shared" si="10"/>
        <v/>
      </c>
    </row>
    <row r="142" spans="17:22" x14ac:dyDescent="0.15">
      <c r="Q142" s="75" t="str">
        <f t="shared" si="8"/>
        <v/>
      </c>
      <c r="T142" s="16" t="str">
        <f t="shared" si="9"/>
        <v/>
      </c>
      <c r="V142" s="16" t="str">
        <f t="shared" si="10"/>
        <v/>
      </c>
    </row>
    <row r="143" spans="17:22" x14ac:dyDescent="0.15">
      <c r="Q143" s="75" t="str">
        <f t="shared" si="8"/>
        <v/>
      </c>
      <c r="T143" s="16" t="str">
        <f t="shared" si="9"/>
        <v/>
      </c>
      <c r="V143" s="16" t="str">
        <f t="shared" si="10"/>
        <v/>
      </c>
    </row>
    <row r="144" spans="17:22" x14ac:dyDescent="0.15">
      <c r="Q144" s="75" t="str">
        <f t="shared" si="8"/>
        <v/>
      </c>
      <c r="T144" s="16" t="str">
        <f t="shared" si="9"/>
        <v/>
      </c>
      <c r="V144" s="16" t="str">
        <f t="shared" si="10"/>
        <v/>
      </c>
    </row>
    <row r="145" spans="17:22" x14ac:dyDescent="0.15">
      <c r="Q145" s="75" t="str">
        <f t="shared" si="8"/>
        <v/>
      </c>
      <c r="T145" s="16" t="str">
        <f t="shared" si="9"/>
        <v/>
      </c>
      <c r="V145" s="16" t="str">
        <f t="shared" si="10"/>
        <v/>
      </c>
    </row>
    <row r="146" spans="17:22" x14ac:dyDescent="0.15">
      <c r="Q146" s="75" t="str">
        <f t="shared" si="8"/>
        <v/>
      </c>
      <c r="T146" s="16" t="str">
        <f t="shared" si="9"/>
        <v/>
      </c>
      <c r="V146" s="16" t="str">
        <f t="shared" si="10"/>
        <v/>
      </c>
    </row>
    <row r="147" spans="17:22" x14ac:dyDescent="0.15">
      <c r="Q147" s="75" t="str">
        <f t="shared" si="8"/>
        <v/>
      </c>
      <c r="T147" s="16" t="str">
        <f t="shared" si="9"/>
        <v/>
      </c>
      <c r="V147" s="16" t="str">
        <f t="shared" si="10"/>
        <v/>
      </c>
    </row>
    <row r="148" spans="17:22" x14ac:dyDescent="0.15">
      <c r="Q148" s="75" t="str">
        <f t="shared" si="8"/>
        <v/>
      </c>
      <c r="T148" s="16" t="str">
        <f t="shared" si="9"/>
        <v/>
      </c>
      <c r="V148" s="16" t="str">
        <f t="shared" si="10"/>
        <v/>
      </c>
    </row>
    <row r="149" spans="17:22" x14ac:dyDescent="0.15">
      <c r="Q149" s="75" t="str">
        <f t="shared" si="8"/>
        <v/>
      </c>
      <c r="T149" s="16" t="str">
        <f t="shared" si="9"/>
        <v/>
      </c>
      <c r="V149" s="16" t="str">
        <f t="shared" si="10"/>
        <v/>
      </c>
    </row>
    <row r="150" spans="17:22" x14ac:dyDescent="0.15">
      <c r="Q150" s="75" t="str">
        <f t="shared" si="8"/>
        <v/>
      </c>
      <c r="T150" s="16" t="str">
        <f t="shared" si="9"/>
        <v/>
      </c>
      <c r="V150" s="16" t="str">
        <f t="shared" si="10"/>
        <v/>
      </c>
    </row>
    <row r="151" spans="17:22" x14ac:dyDescent="0.15">
      <c r="Q151" s="75" t="str">
        <f t="shared" si="8"/>
        <v/>
      </c>
      <c r="T151" s="16" t="str">
        <f t="shared" si="9"/>
        <v/>
      </c>
      <c r="V151" s="16" t="str">
        <f t="shared" si="10"/>
        <v/>
      </c>
    </row>
    <row r="152" spans="17:22" x14ac:dyDescent="0.15">
      <c r="Q152" s="75" t="str">
        <f t="shared" si="8"/>
        <v/>
      </c>
      <c r="T152" s="16" t="str">
        <f t="shared" si="9"/>
        <v/>
      </c>
      <c r="V152" s="16" t="str">
        <f t="shared" si="10"/>
        <v/>
      </c>
    </row>
    <row r="153" spans="17:22" x14ac:dyDescent="0.15">
      <c r="Q153" s="75" t="str">
        <f t="shared" si="8"/>
        <v/>
      </c>
      <c r="T153" s="16" t="str">
        <f t="shared" si="9"/>
        <v/>
      </c>
      <c r="V153" s="16" t="str">
        <f t="shared" si="10"/>
        <v/>
      </c>
    </row>
    <row r="154" spans="17:22" x14ac:dyDescent="0.15">
      <c r="Q154" s="75" t="str">
        <f t="shared" si="8"/>
        <v/>
      </c>
      <c r="T154" s="16" t="str">
        <f t="shared" si="9"/>
        <v/>
      </c>
      <c r="V154" s="16" t="str">
        <f t="shared" si="10"/>
        <v/>
      </c>
    </row>
    <row r="155" spans="17:22" x14ac:dyDescent="0.15">
      <c r="Q155" s="75" t="str">
        <f t="shared" si="8"/>
        <v/>
      </c>
      <c r="T155" s="16" t="str">
        <f t="shared" si="9"/>
        <v/>
      </c>
      <c r="V155" s="16" t="str">
        <f t="shared" si="10"/>
        <v/>
      </c>
    </row>
    <row r="156" spans="17:22" x14ac:dyDescent="0.15">
      <c r="Q156" s="75" t="str">
        <f t="shared" si="8"/>
        <v/>
      </c>
      <c r="T156" s="16" t="str">
        <f t="shared" si="9"/>
        <v/>
      </c>
      <c r="V156" s="16" t="str">
        <f t="shared" si="10"/>
        <v/>
      </c>
    </row>
    <row r="157" spans="17:22" x14ac:dyDescent="0.15">
      <c r="Q157" s="75" t="str">
        <f t="shared" si="8"/>
        <v/>
      </c>
      <c r="T157" s="16" t="str">
        <f t="shared" si="9"/>
        <v/>
      </c>
      <c r="V157" s="16" t="str">
        <f t="shared" si="10"/>
        <v/>
      </c>
    </row>
    <row r="158" spans="17:22" x14ac:dyDescent="0.15">
      <c r="Q158" s="75" t="str">
        <f t="shared" si="8"/>
        <v/>
      </c>
      <c r="T158" s="16" t="str">
        <f t="shared" si="9"/>
        <v/>
      </c>
      <c r="V158" s="16" t="str">
        <f t="shared" si="10"/>
        <v/>
      </c>
    </row>
    <row r="159" spans="17:22" x14ac:dyDescent="0.15">
      <c r="Q159" s="75" t="str">
        <f t="shared" si="8"/>
        <v/>
      </c>
      <c r="T159" s="16" t="str">
        <f t="shared" si="9"/>
        <v/>
      </c>
      <c r="V159" s="16" t="str">
        <f t="shared" si="10"/>
        <v/>
      </c>
    </row>
    <row r="160" spans="17:22" x14ac:dyDescent="0.15">
      <c r="Q160" s="75" t="str">
        <f t="shared" si="8"/>
        <v/>
      </c>
      <c r="T160" s="16" t="str">
        <f t="shared" si="9"/>
        <v/>
      </c>
      <c r="V160" s="16" t="str">
        <f t="shared" si="10"/>
        <v/>
      </c>
    </row>
    <row r="161" spans="17:22" x14ac:dyDescent="0.15">
      <c r="Q161" s="75" t="str">
        <f t="shared" si="8"/>
        <v/>
      </c>
      <c r="T161" s="16" t="str">
        <f t="shared" si="9"/>
        <v/>
      </c>
      <c r="V161" s="16" t="str">
        <f t="shared" si="10"/>
        <v/>
      </c>
    </row>
    <row r="162" spans="17:22" x14ac:dyDescent="0.15">
      <c r="Q162" s="75" t="str">
        <f t="shared" si="8"/>
        <v/>
      </c>
      <c r="T162" s="16" t="str">
        <f t="shared" si="9"/>
        <v/>
      </c>
      <c r="V162" s="16" t="str">
        <f t="shared" si="10"/>
        <v/>
      </c>
    </row>
    <row r="163" spans="17:22" x14ac:dyDescent="0.15">
      <c r="Q163" s="75" t="str">
        <f t="shared" si="8"/>
        <v/>
      </c>
      <c r="T163" s="16" t="str">
        <f t="shared" si="9"/>
        <v/>
      </c>
      <c r="V163" s="16" t="str">
        <f t="shared" si="10"/>
        <v/>
      </c>
    </row>
    <row r="164" spans="17:22" x14ac:dyDescent="0.15">
      <c r="Q164" s="75" t="str">
        <f t="shared" si="8"/>
        <v/>
      </c>
      <c r="T164" s="16" t="str">
        <f t="shared" si="9"/>
        <v/>
      </c>
      <c r="V164" s="16" t="str">
        <f t="shared" si="10"/>
        <v/>
      </c>
    </row>
    <row r="165" spans="17:22" x14ac:dyDescent="0.15">
      <c r="Q165" s="75" t="str">
        <f t="shared" si="8"/>
        <v/>
      </c>
      <c r="T165" s="16" t="str">
        <f t="shared" si="9"/>
        <v/>
      </c>
      <c r="V165" s="16" t="str">
        <f t="shared" si="10"/>
        <v/>
      </c>
    </row>
    <row r="166" spans="17:22" x14ac:dyDescent="0.15">
      <c r="Q166" s="75" t="str">
        <f t="shared" si="8"/>
        <v/>
      </c>
      <c r="T166" s="16" t="str">
        <f t="shared" si="9"/>
        <v/>
      </c>
      <c r="V166" s="16" t="str">
        <f t="shared" si="10"/>
        <v/>
      </c>
    </row>
    <row r="167" spans="17:22" x14ac:dyDescent="0.15">
      <c r="Q167" s="75" t="str">
        <f t="shared" si="8"/>
        <v/>
      </c>
      <c r="T167" s="16" t="str">
        <f t="shared" si="9"/>
        <v/>
      </c>
      <c r="V167" s="16" t="str">
        <f t="shared" si="10"/>
        <v/>
      </c>
    </row>
    <row r="168" spans="17:22" x14ac:dyDescent="0.15">
      <c r="Q168" s="75" t="str">
        <f t="shared" si="8"/>
        <v/>
      </c>
      <c r="T168" s="16" t="str">
        <f t="shared" si="9"/>
        <v/>
      </c>
      <c r="V168" s="16" t="str">
        <f t="shared" si="10"/>
        <v/>
      </c>
    </row>
    <row r="169" spans="17:22" x14ac:dyDescent="0.15">
      <c r="Q169" s="75" t="str">
        <f t="shared" si="8"/>
        <v/>
      </c>
      <c r="T169" s="16" t="str">
        <f t="shared" si="9"/>
        <v/>
      </c>
      <c r="V169" s="16" t="str">
        <f t="shared" si="10"/>
        <v/>
      </c>
    </row>
    <row r="170" spans="17:22" x14ac:dyDescent="0.15">
      <c r="Q170" s="75" t="str">
        <f t="shared" si="8"/>
        <v/>
      </c>
      <c r="T170" s="16" t="str">
        <f t="shared" si="9"/>
        <v/>
      </c>
      <c r="V170" s="16" t="str">
        <f t="shared" si="10"/>
        <v/>
      </c>
    </row>
    <row r="171" spans="17:22" x14ac:dyDescent="0.15">
      <c r="Q171" s="75" t="str">
        <f t="shared" si="8"/>
        <v/>
      </c>
      <c r="T171" s="16" t="str">
        <f t="shared" si="9"/>
        <v/>
      </c>
      <c r="V171" s="16" t="str">
        <f t="shared" si="10"/>
        <v/>
      </c>
    </row>
    <row r="172" spans="17:22" x14ac:dyDescent="0.15">
      <c r="Q172" s="75" t="str">
        <f t="shared" si="8"/>
        <v/>
      </c>
      <c r="T172" s="16" t="str">
        <f t="shared" si="9"/>
        <v/>
      </c>
      <c r="V172" s="16" t="str">
        <f t="shared" si="10"/>
        <v/>
      </c>
    </row>
    <row r="173" spans="17:22" x14ac:dyDescent="0.15">
      <c r="Q173" s="75" t="str">
        <f t="shared" si="8"/>
        <v/>
      </c>
      <c r="T173" s="16" t="str">
        <f t="shared" si="9"/>
        <v/>
      </c>
      <c r="V173" s="16" t="str">
        <f t="shared" si="10"/>
        <v/>
      </c>
    </row>
    <row r="174" spans="17:22" x14ac:dyDescent="0.15">
      <c r="Q174" s="75" t="str">
        <f t="shared" si="8"/>
        <v/>
      </c>
      <c r="T174" s="16" t="str">
        <f t="shared" si="9"/>
        <v/>
      </c>
      <c r="V174" s="16" t="str">
        <f t="shared" si="10"/>
        <v/>
      </c>
    </row>
    <row r="175" spans="17:22" x14ac:dyDescent="0.15">
      <c r="Q175" s="75" t="str">
        <f t="shared" si="8"/>
        <v/>
      </c>
      <c r="T175" s="16" t="str">
        <f t="shared" si="9"/>
        <v/>
      </c>
      <c r="V175" s="16" t="str">
        <f t="shared" si="10"/>
        <v/>
      </c>
    </row>
    <row r="176" spans="17:22" x14ac:dyDescent="0.15">
      <c r="Q176" s="75" t="str">
        <f t="shared" si="8"/>
        <v/>
      </c>
      <c r="T176" s="16" t="str">
        <f t="shared" si="9"/>
        <v/>
      </c>
      <c r="V176" s="16" t="str">
        <f t="shared" si="10"/>
        <v/>
      </c>
    </row>
    <row r="177" spans="17:22" x14ac:dyDescent="0.15">
      <c r="Q177" s="75" t="str">
        <f t="shared" si="8"/>
        <v/>
      </c>
      <c r="T177" s="16" t="str">
        <f t="shared" si="9"/>
        <v/>
      </c>
      <c r="V177" s="16" t="str">
        <f t="shared" si="10"/>
        <v/>
      </c>
    </row>
    <row r="178" spans="17:22" x14ac:dyDescent="0.15">
      <c r="Q178" s="75" t="str">
        <f t="shared" si="8"/>
        <v/>
      </c>
      <c r="T178" s="16" t="str">
        <f t="shared" si="9"/>
        <v/>
      </c>
      <c r="V178" s="16" t="str">
        <f t="shared" si="10"/>
        <v/>
      </c>
    </row>
    <row r="179" spans="17:22" x14ac:dyDescent="0.15">
      <c r="Q179" s="75" t="str">
        <f t="shared" si="8"/>
        <v/>
      </c>
      <c r="T179" s="16" t="str">
        <f t="shared" si="9"/>
        <v/>
      </c>
      <c r="V179" s="16" t="str">
        <f t="shared" si="10"/>
        <v/>
      </c>
    </row>
    <row r="180" spans="17:22" x14ac:dyDescent="0.15">
      <c r="Q180" s="75" t="str">
        <f t="shared" si="8"/>
        <v/>
      </c>
      <c r="T180" s="16" t="str">
        <f t="shared" si="9"/>
        <v/>
      </c>
      <c r="V180" s="16" t="str">
        <f t="shared" si="10"/>
        <v/>
      </c>
    </row>
    <row r="181" spans="17:22" x14ac:dyDescent="0.15">
      <c r="Q181" s="75" t="str">
        <f t="shared" si="8"/>
        <v/>
      </c>
      <c r="T181" s="16" t="str">
        <f t="shared" si="9"/>
        <v/>
      </c>
      <c r="V181" s="16" t="str">
        <f t="shared" si="10"/>
        <v/>
      </c>
    </row>
    <row r="182" spans="17:22" x14ac:dyDescent="0.15">
      <c r="Q182" s="75" t="str">
        <f t="shared" si="8"/>
        <v/>
      </c>
      <c r="T182" s="16" t="str">
        <f t="shared" si="9"/>
        <v/>
      </c>
      <c r="V182" s="16" t="str">
        <f t="shared" si="10"/>
        <v/>
      </c>
    </row>
    <row r="183" spans="17:22" x14ac:dyDescent="0.15">
      <c r="Q183" s="75" t="str">
        <f t="shared" si="8"/>
        <v/>
      </c>
      <c r="T183" s="16" t="str">
        <f t="shared" si="9"/>
        <v/>
      </c>
      <c r="V183" s="16" t="str">
        <f t="shared" si="10"/>
        <v/>
      </c>
    </row>
    <row r="184" spans="17:22" x14ac:dyDescent="0.15">
      <c r="Q184" s="75" t="str">
        <f t="shared" si="8"/>
        <v/>
      </c>
      <c r="T184" s="16" t="str">
        <f t="shared" si="9"/>
        <v/>
      </c>
      <c r="V184" s="16" t="str">
        <f t="shared" si="10"/>
        <v/>
      </c>
    </row>
    <row r="185" spans="17:22" x14ac:dyDescent="0.15">
      <c r="Q185" s="75" t="str">
        <f t="shared" si="8"/>
        <v/>
      </c>
      <c r="T185" s="16" t="str">
        <f t="shared" si="9"/>
        <v/>
      </c>
      <c r="V185" s="16" t="str">
        <f t="shared" si="10"/>
        <v/>
      </c>
    </row>
    <row r="186" spans="17:22" x14ac:dyDescent="0.15">
      <c r="Q186" s="75" t="str">
        <f t="shared" si="8"/>
        <v/>
      </c>
      <c r="T186" s="16" t="str">
        <f t="shared" si="9"/>
        <v/>
      </c>
      <c r="V186" s="16" t="str">
        <f t="shared" si="10"/>
        <v/>
      </c>
    </row>
    <row r="187" spans="17:22" x14ac:dyDescent="0.15">
      <c r="Q187" s="75" t="str">
        <f t="shared" si="8"/>
        <v/>
      </c>
      <c r="T187" s="16" t="str">
        <f t="shared" si="9"/>
        <v/>
      </c>
      <c r="V187" s="16" t="str">
        <f t="shared" si="10"/>
        <v/>
      </c>
    </row>
    <row r="188" spans="17:22" x14ac:dyDescent="0.15">
      <c r="Q188" s="75" t="str">
        <f t="shared" si="8"/>
        <v/>
      </c>
      <c r="T188" s="16" t="str">
        <f t="shared" si="9"/>
        <v/>
      </c>
      <c r="V188" s="16" t="str">
        <f t="shared" si="10"/>
        <v/>
      </c>
    </row>
    <row r="189" spans="17:22" x14ac:dyDescent="0.15">
      <c r="Q189" s="75" t="str">
        <f t="shared" si="8"/>
        <v/>
      </c>
      <c r="T189" s="16" t="str">
        <f t="shared" si="9"/>
        <v/>
      </c>
      <c r="V189" s="16" t="str">
        <f t="shared" si="10"/>
        <v/>
      </c>
    </row>
    <row r="190" spans="17:22" x14ac:dyDescent="0.15">
      <c r="Q190" s="75" t="str">
        <f t="shared" si="8"/>
        <v/>
      </c>
      <c r="T190" s="16" t="str">
        <f t="shared" si="9"/>
        <v/>
      </c>
      <c r="V190" s="16" t="str">
        <f t="shared" si="10"/>
        <v/>
      </c>
    </row>
    <row r="191" spans="17:22" x14ac:dyDescent="0.15">
      <c r="Q191" s="75" t="str">
        <f t="shared" si="8"/>
        <v/>
      </c>
      <c r="T191" s="16" t="str">
        <f t="shared" si="9"/>
        <v/>
      </c>
      <c r="V191" s="16" t="str">
        <f t="shared" si="10"/>
        <v/>
      </c>
    </row>
    <row r="192" spans="17:22" x14ac:dyDescent="0.15">
      <c r="Q192" s="75" t="str">
        <f t="shared" ref="Q192:Q255" si="11">IF(OR(O192="",P192=""),"",AVERAGE(O192,P192))</f>
        <v/>
      </c>
      <c r="T192" s="16" t="str">
        <f t="shared" ref="T192:T255" si="12">IF(H192="","",IF(OR(H192="GREEN",H192="GK"),IF(S192&gt;=$AX$2,VLOOKUP(S192,$AX$2:$AY$10,2,1),""),IF(S192&gt;=$AZ$2,VLOOKUP(S192,$AZ$2:$BA$10,2,1),"")))</f>
        <v/>
      </c>
      <c r="V192" s="16" t="str">
        <f t="shared" ref="V192:V255" si="13">IF(OR(N192="",U192="",T192=""),"",U192/N192*T192)</f>
        <v/>
      </c>
    </row>
    <row r="193" spans="17:22" x14ac:dyDescent="0.15">
      <c r="Q193" s="75" t="str">
        <f t="shared" si="11"/>
        <v/>
      </c>
      <c r="T193" s="16" t="str">
        <f t="shared" si="12"/>
        <v/>
      </c>
      <c r="V193" s="16" t="str">
        <f t="shared" si="13"/>
        <v/>
      </c>
    </row>
    <row r="194" spans="17:22" x14ac:dyDescent="0.15">
      <c r="Q194" s="75" t="str">
        <f t="shared" si="11"/>
        <v/>
      </c>
      <c r="T194" s="16" t="str">
        <f t="shared" si="12"/>
        <v/>
      </c>
      <c r="V194" s="16" t="str">
        <f t="shared" si="13"/>
        <v/>
      </c>
    </row>
    <row r="195" spans="17:22" x14ac:dyDescent="0.15">
      <c r="Q195" s="75" t="str">
        <f t="shared" si="11"/>
        <v/>
      </c>
      <c r="T195" s="16" t="str">
        <f t="shared" si="12"/>
        <v/>
      </c>
      <c r="V195" s="16" t="str">
        <f t="shared" si="13"/>
        <v/>
      </c>
    </row>
    <row r="196" spans="17:22" x14ac:dyDescent="0.15">
      <c r="Q196" s="75" t="str">
        <f t="shared" si="11"/>
        <v/>
      </c>
      <c r="T196" s="16" t="str">
        <f t="shared" si="12"/>
        <v/>
      </c>
      <c r="V196" s="16" t="str">
        <f t="shared" si="13"/>
        <v/>
      </c>
    </row>
    <row r="197" spans="17:22" x14ac:dyDescent="0.15">
      <c r="Q197" s="75" t="str">
        <f t="shared" si="11"/>
        <v/>
      </c>
      <c r="T197" s="16" t="str">
        <f t="shared" si="12"/>
        <v/>
      </c>
      <c r="V197" s="16" t="str">
        <f t="shared" si="13"/>
        <v/>
      </c>
    </row>
    <row r="198" spans="17:22" x14ac:dyDescent="0.15">
      <c r="Q198" s="75" t="str">
        <f t="shared" si="11"/>
        <v/>
      </c>
      <c r="T198" s="16" t="str">
        <f t="shared" si="12"/>
        <v/>
      </c>
      <c r="V198" s="16" t="str">
        <f t="shared" si="13"/>
        <v/>
      </c>
    </row>
    <row r="199" spans="17:22" x14ac:dyDescent="0.15">
      <c r="Q199" s="75" t="str">
        <f t="shared" si="11"/>
        <v/>
      </c>
      <c r="T199" s="16" t="str">
        <f t="shared" si="12"/>
        <v/>
      </c>
      <c r="V199" s="16" t="str">
        <f t="shared" si="13"/>
        <v/>
      </c>
    </row>
    <row r="200" spans="17:22" x14ac:dyDescent="0.15">
      <c r="Q200" s="75" t="str">
        <f t="shared" si="11"/>
        <v/>
      </c>
      <c r="T200" s="16" t="str">
        <f t="shared" si="12"/>
        <v/>
      </c>
      <c r="V200" s="16" t="str">
        <f t="shared" si="13"/>
        <v/>
      </c>
    </row>
    <row r="201" spans="17:22" x14ac:dyDescent="0.15">
      <c r="Q201" s="75" t="str">
        <f t="shared" si="11"/>
        <v/>
      </c>
      <c r="T201" s="16" t="str">
        <f t="shared" si="12"/>
        <v/>
      </c>
      <c r="V201" s="16" t="str">
        <f t="shared" si="13"/>
        <v/>
      </c>
    </row>
    <row r="202" spans="17:22" x14ac:dyDescent="0.15">
      <c r="Q202" s="75" t="str">
        <f t="shared" si="11"/>
        <v/>
      </c>
      <c r="T202" s="16" t="str">
        <f t="shared" si="12"/>
        <v/>
      </c>
      <c r="V202" s="16" t="str">
        <f t="shared" si="13"/>
        <v/>
      </c>
    </row>
    <row r="203" spans="17:22" x14ac:dyDescent="0.15">
      <c r="Q203" s="75" t="str">
        <f t="shared" si="11"/>
        <v/>
      </c>
      <c r="T203" s="16" t="str">
        <f t="shared" si="12"/>
        <v/>
      </c>
      <c r="V203" s="16" t="str">
        <f t="shared" si="13"/>
        <v/>
      </c>
    </row>
    <row r="204" spans="17:22" x14ac:dyDescent="0.15">
      <c r="Q204" s="75" t="str">
        <f t="shared" si="11"/>
        <v/>
      </c>
      <c r="T204" s="16" t="str">
        <f t="shared" si="12"/>
        <v/>
      </c>
      <c r="V204" s="16" t="str">
        <f t="shared" si="13"/>
        <v/>
      </c>
    </row>
    <row r="205" spans="17:22" x14ac:dyDescent="0.15">
      <c r="Q205" s="75" t="str">
        <f t="shared" si="11"/>
        <v/>
      </c>
      <c r="T205" s="16" t="str">
        <f t="shared" si="12"/>
        <v/>
      </c>
      <c r="V205" s="16" t="str">
        <f t="shared" si="13"/>
        <v/>
      </c>
    </row>
    <row r="206" spans="17:22" x14ac:dyDescent="0.15">
      <c r="Q206" s="75" t="str">
        <f t="shared" si="11"/>
        <v/>
      </c>
      <c r="T206" s="16" t="str">
        <f t="shared" si="12"/>
        <v/>
      </c>
      <c r="V206" s="16" t="str">
        <f t="shared" si="13"/>
        <v/>
      </c>
    </row>
    <row r="207" spans="17:22" x14ac:dyDescent="0.15">
      <c r="Q207" s="75" t="str">
        <f t="shared" si="11"/>
        <v/>
      </c>
      <c r="T207" s="16" t="str">
        <f t="shared" si="12"/>
        <v/>
      </c>
      <c r="V207" s="16" t="str">
        <f t="shared" si="13"/>
        <v/>
      </c>
    </row>
    <row r="208" spans="17:22" x14ac:dyDescent="0.15">
      <c r="Q208" s="75" t="str">
        <f t="shared" si="11"/>
        <v/>
      </c>
      <c r="T208" s="16" t="str">
        <f t="shared" si="12"/>
        <v/>
      </c>
      <c r="V208" s="16" t="str">
        <f t="shared" si="13"/>
        <v/>
      </c>
    </row>
    <row r="209" spans="17:22" x14ac:dyDescent="0.15">
      <c r="Q209" s="75" t="str">
        <f t="shared" si="11"/>
        <v/>
      </c>
      <c r="T209" s="16" t="str">
        <f t="shared" si="12"/>
        <v/>
      </c>
      <c r="V209" s="16" t="str">
        <f t="shared" si="13"/>
        <v/>
      </c>
    </row>
    <row r="210" spans="17:22" x14ac:dyDescent="0.15">
      <c r="Q210" s="75" t="str">
        <f t="shared" si="11"/>
        <v/>
      </c>
      <c r="T210" s="16" t="str">
        <f t="shared" si="12"/>
        <v/>
      </c>
      <c r="V210" s="16" t="str">
        <f t="shared" si="13"/>
        <v/>
      </c>
    </row>
    <row r="211" spans="17:22" x14ac:dyDescent="0.15">
      <c r="Q211" s="75" t="str">
        <f t="shared" si="11"/>
        <v/>
      </c>
      <c r="T211" s="16" t="str">
        <f t="shared" si="12"/>
        <v/>
      </c>
      <c r="V211" s="16" t="str">
        <f t="shared" si="13"/>
        <v/>
      </c>
    </row>
    <row r="212" spans="17:22" x14ac:dyDescent="0.15">
      <c r="Q212" s="75" t="str">
        <f t="shared" si="11"/>
        <v/>
      </c>
      <c r="T212" s="16" t="str">
        <f t="shared" si="12"/>
        <v/>
      </c>
      <c r="V212" s="16" t="str">
        <f t="shared" si="13"/>
        <v/>
      </c>
    </row>
    <row r="213" spans="17:22" x14ac:dyDescent="0.15">
      <c r="Q213" s="75" t="str">
        <f t="shared" si="11"/>
        <v/>
      </c>
      <c r="T213" s="16" t="str">
        <f t="shared" si="12"/>
        <v/>
      </c>
      <c r="V213" s="16" t="str">
        <f t="shared" si="13"/>
        <v/>
      </c>
    </row>
    <row r="214" spans="17:22" x14ac:dyDescent="0.15">
      <c r="Q214" s="75" t="str">
        <f t="shared" si="11"/>
        <v/>
      </c>
      <c r="T214" s="16" t="str">
        <f t="shared" si="12"/>
        <v/>
      </c>
      <c r="V214" s="16" t="str">
        <f t="shared" si="13"/>
        <v/>
      </c>
    </row>
    <row r="215" spans="17:22" x14ac:dyDescent="0.15">
      <c r="Q215" s="75" t="str">
        <f t="shared" si="11"/>
        <v/>
      </c>
      <c r="T215" s="16" t="str">
        <f t="shared" si="12"/>
        <v/>
      </c>
      <c r="V215" s="16" t="str">
        <f t="shared" si="13"/>
        <v/>
      </c>
    </row>
    <row r="216" spans="17:22" x14ac:dyDescent="0.15">
      <c r="Q216" s="75" t="str">
        <f t="shared" si="11"/>
        <v/>
      </c>
      <c r="T216" s="16" t="str">
        <f t="shared" si="12"/>
        <v/>
      </c>
      <c r="V216" s="16" t="str">
        <f t="shared" si="13"/>
        <v/>
      </c>
    </row>
    <row r="217" spans="17:22" x14ac:dyDescent="0.15">
      <c r="Q217" s="75" t="str">
        <f t="shared" si="11"/>
        <v/>
      </c>
      <c r="T217" s="16" t="str">
        <f t="shared" si="12"/>
        <v/>
      </c>
      <c r="V217" s="16" t="str">
        <f t="shared" si="13"/>
        <v/>
      </c>
    </row>
    <row r="218" spans="17:22" x14ac:dyDescent="0.15">
      <c r="Q218" s="75" t="str">
        <f t="shared" si="11"/>
        <v/>
      </c>
      <c r="T218" s="16" t="str">
        <f t="shared" si="12"/>
        <v/>
      </c>
      <c r="V218" s="16" t="str">
        <f t="shared" si="13"/>
        <v/>
      </c>
    </row>
    <row r="219" spans="17:22" x14ac:dyDescent="0.15">
      <c r="Q219" s="75" t="str">
        <f t="shared" si="11"/>
        <v/>
      </c>
      <c r="T219" s="16" t="str">
        <f t="shared" si="12"/>
        <v/>
      </c>
      <c r="V219" s="16" t="str">
        <f t="shared" si="13"/>
        <v/>
      </c>
    </row>
    <row r="220" spans="17:22" x14ac:dyDescent="0.15">
      <c r="Q220" s="75" t="str">
        <f t="shared" si="11"/>
        <v/>
      </c>
      <c r="T220" s="16" t="str">
        <f t="shared" si="12"/>
        <v/>
      </c>
      <c r="V220" s="16" t="str">
        <f t="shared" si="13"/>
        <v/>
      </c>
    </row>
    <row r="221" spans="17:22" x14ac:dyDescent="0.15">
      <c r="Q221" s="75" t="str">
        <f t="shared" si="11"/>
        <v/>
      </c>
      <c r="T221" s="16" t="str">
        <f t="shared" si="12"/>
        <v/>
      </c>
      <c r="V221" s="16" t="str">
        <f t="shared" si="13"/>
        <v/>
      </c>
    </row>
    <row r="222" spans="17:22" x14ac:dyDescent="0.15">
      <c r="Q222" s="75" t="str">
        <f t="shared" si="11"/>
        <v/>
      </c>
      <c r="T222" s="16" t="str">
        <f t="shared" si="12"/>
        <v/>
      </c>
      <c r="V222" s="16" t="str">
        <f t="shared" si="13"/>
        <v/>
      </c>
    </row>
    <row r="223" spans="17:22" x14ac:dyDescent="0.15">
      <c r="Q223" s="75" t="str">
        <f t="shared" si="11"/>
        <v/>
      </c>
      <c r="T223" s="16" t="str">
        <f t="shared" si="12"/>
        <v/>
      </c>
      <c r="V223" s="16" t="str">
        <f t="shared" si="13"/>
        <v/>
      </c>
    </row>
    <row r="224" spans="17:22" x14ac:dyDescent="0.15">
      <c r="Q224" s="75" t="str">
        <f t="shared" si="11"/>
        <v/>
      </c>
      <c r="T224" s="16" t="str">
        <f t="shared" si="12"/>
        <v/>
      </c>
      <c r="V224" s="16" t="str">
        <f t="shared" si="13"/>
        <v/>
      </c>
    </row>
    <row r="225" spans="17:22" x14ac:dyDescent="0.15">
      <c r="Q225" s="75" t="str">
        <f t="shared" si="11"/>
        <v/>
      </c>
      <c r="T225" s="16" t="str">
        <f t="shared" si="12"/>
        <v/>
      </c>
      <c r="V225" s="16" t="str">
        <f t="shared" si="13"/>
        <v/>
      </c>
    </row>
    <row r="226" spans="17:22" x14ac:dyDescent="0.15">
      <c r="Q226" s="75" t="str">
        <f t="shared" si="11"/>
        <v/>
      </c>
      <c r="T226" s="16" t="str">
        <f t="shared" si="12"/>
        <v/>
      </c>
      <c r="V226" s="16" t="str">
        <f t="shared" si="13"/>
        <v/>
      </c>
    </row>
    <row r="227" spans="17:22" x14ac:dyDescent="0.15">
      <c r="Q227" s="75" t="str">
        <f t="shared" si="11"/>
        <v/>
      </c>
      <c r="T227" s="16" t="str">
        <f t="shared" si="12"/>
        <v/>
      </c>
      <c r="V227" s="16" t="str">
        <f t="shared" si="13"/>
        <v/>
      </c>
    </row>
    <row r="228" spans="17:22" x14ac:dyDescent="0.15">
      <c r="Q228" s="75" t="str">
        <f t="shared" si="11"/>
        <v/>
      </c>
      <c r="T228" s="16" t="str">
        <f t="shared" si="12"/>
        <v/>
      </c>
      <c r="V228" s="16" t="str">
        <f t="shared" si="13"/>
        <v/>
      </c>
    </row>
    <row r="229" spans="17:22" x14ac:dyDescent="0.15">
      <c r="Q229" s="75" t="str">
        <f t="shared" si="11"/>
        <v/>
      </c>
      <c r="T229" s="16" t="str">
        <f t="shared" si="12"/>
        <v/>
      </c>
      <c r="V229" s="16" t="str">
        <f t="shared" si="13"/>
        <v/>
      </c>
    </row>
    <row r="230" spans="17:22" x14ac:dyDescent="0.15">
      <c r="Q230" s="75" t="str">
        <f t="shared" si="11"/>
        <v/>
      </c>
      <c r="T230" s="16" t="str">
        <f t="shared" si="12"/>
        <v/>
      </c>
      <c r="V230" s="16" t="str">
        <f t="shared" si="13"/>
        <v/>
      </c>
    </row>
    <row r="231" spans="17:22" x14ac:dyDescent="0.15">
      <c r="Q231" s="75" t="str">
        <f t="shared" si="11"/>
        <v/>
      </c>
      <c r="T231" s="16" t="str">
        <f t="shared" si="12"/>
        <v/>
      </c>
      <c r="V231" s="16" t="str">
        <f t="shared" si="13"/>
        <v/>
      </c>
    </row>
    <row r="232" spans="17:22" x14ac:dyDescent="0.15">
      <c r="Q232" s="75" t="str">
        <f t="shared" si="11"/>
        <v/>
      </c>
      <c r="T232" s="16" t="str">
        <f t="shared" si="12"/>
        <v/>
      </c>
      <c r="V232" s="16" t="str">
        <f t="shared" si="13"/>
        <v/>
      </c>
    </row>
    <row r="233" spans="17:22" x14ac:dyDescent="0.15">
      <c r="Q233" s="75" t="str">
        <f t="shared" si="11"/>
        <v/>
      </c>
      <c r="T233" s="16" t="str">
        <f t="shared" si="12"/>
        <v/>
      </c>
      <c r="V233" s="16" t="str">
        <f t="shared" si="13"/>
        <v/>
      </c>
    </row>
    <row r="234" spans="17:22" x14ac:dyDescent="0.15">
      <c r="Q234" s="75" t="str">
        <f t="shared" si="11"/>
        <v/>
      </c>
      <c r="T234" s="16" t="str">
        <f t="shared" si="12"/>
        <v/>
      </c>
      <c r="V234" s="16" t="str">
        <f t="shared" si="13"/>
        <v/>
      </c>
    </row>
    <row r="235" spans="17:22" x14ac:dyDescent="0.15">
      <c r="Q235" s="75" t="str">
        <f t="shared" si="11"/>
        <v/>
      </c>
      <c r="T235" s="16" t="str">
        <f t="shared" si="12"/>
        <v/>
      </c>
      <c r="V235" s="16" t="str">
        <f t="shared" si="13"/>
        <v/>
      </c>
    </row>
    <row r="236" spans="17:22" x14ac:dyDescent="0.15">
      <c r="Q236" s="75" t="str">
        <f t="shared" si="11"/>
        <v/>
      </c>
      <c r="T236" s="16" t="str">
        <f t="shared" si="12"/>
        <v/>
      </c>
      <c r="V236" s="16" t="str">
        <f t="shared" si="13"/>
        <v/>
      </c>
    </row>
    <row r="237" spans="17:22" x14ac:dyDescent="0.15">
      <c r="Q237" s="75" t="str">
        <f t="shared" si="11"/>
        <v/>
      </c>
      <c r="T237" s="16" t="str">
        <f t="shared" si="12"/>
        <v/>
      </c>
      <c r="V237" s="16" t="str">
        <f t="shared" si="13"/>
        <v/>
      </c>
    </row>
    <row r="238" spans="17:22" x14ac:dyDescent="0.15">
      <c r="Q238" s="75" t="str">
        <f t="shared" si="11"/>
        <v/>
      </c>
      <c r="T238" s="16" t="str">
        <f t="shared" si="12"/>
        <v/>
      </c>
      <c r="V238" s="16" t="str">
        <f t="shared" si="13"/>
        <v/>
      </c>
    </row>
    <row r="239" spans="17:22" x14ac:dyDescent="0.15">
      <c r="Q239" s="75" t="str">
        <f t="shared" si="11"/>
        <v/>
      </c>
      <c r="T239" s="16" t="str">
        <f t="shared" si="12"/>
        <v/>
      </c>
      <c r="V239" s="16" t="str">
        <f t="shared" si="13"/>
        <v/>
      </c>
    </row>
    <row r="240" spans="17:22" x14ac:dyDescent="0.15">
      <c r="Q240" s="75" t="str">
        <f t="shared" si="11"/>
        <v/>
      </c>
      <c r="T240" s="16" t="str">
        <f t="shared" si="12"/>
        <v/>
      </c>
      <c r="V240" s="16" t="str">
        <f t="shared" si="13"/>
        <v/>
      </c>
    </row>
    <row r="241" spans="17:22" x14ac:dyDescent="0.15">
      <c r="Q241" s="75" t="str">
        <f t="shared" si="11"/>
        <v/>
      </c>
      <c r="T241" s="16" t="str">
        <f t="shared" si="12"/>
        <v/>
      </c>
      <c r="V241" s="16" t="str">
        <f t="shared" si="13"/>
        <v/>
      </c>
    </row>
    <row r="242" spans="17:22" x14ac:dyDescent="0.15">
      <c r="Q242" s="75" t="str">
        <f t="shared" si="11"/>
        <v/>
      </c>
      <c r="T242" s="16" t="str">
        <f t="shared" si="12"/>
        <v/>
      </c>
      <c r="V242" s="16" t="str">
        <f t="shared" si="13"/>
        <v/>
      </c>
    </row>
    <row r="243" spans="17:22" x14ac:dyDescent="0.15">
      <c r="Q243" s="75" t="str">
        <f t="shared" si="11"/>
        <v/>
      </c>
      <c r="T243" s="16" t="str">
        <f t="shared" si="12"/>
        <v/>
      </c>
      <c r="V243" s="16" t="str">
        <f t="shared" si="13"/>
        <v/>
      </c>
    </row>
    <row r="244" spans="17:22" x14ac:dyDescent="0.15">
      <c r="Q244" s="75" t="str">
        <f t="shared" si="11"/>
        <v/>
      </c>
      <c r="T244" s="16" t="str">
        <f t="shared" si="12"/>
        <v/>
      </c>
      <c r="V244" s="16" t="str">
        <f t="shared" si="13"/>
        <v/>
      </c>
    </row>
    <row r="245" spans="17:22" x14ac:dyDescent="0.15">
      <c r="Q245" s="75" t="str">
        <f t="shared" si="11"/>
        <v/>
      </c>
      <c r="T245" s="16" t="str">
        <f t="shared" si="12"/>
        <v/>
      </c>
      <c r="V245" s="16" t="str">
        <f t="shared" si="13"/>
        <v/>
      </c>
    </row>
    <row r="246" spans="17:22" x14ac:dyDescent="0.15">
      <c r="Q246" s="75" t="str">
        <f t="shared" si="11"/>
        <v/>
      </c>
      <c r="T246" s="16" t="str">
        <f t="shared" si="12"/>
        <v/>
      </c>
      <c r="V246" s="16" t="str">
        <f t="shared" si="13"/>
        <v/>
      </c>
    </row>
    <row r="247" spans="17:22" x14ac:dyDescent="0.15">
      <c r="Q247" s="75" t="str">
        <f t="shared" si="11"/>
        <v/>
      </c>
      <c r="T247" s="16" t="str">
        <f t="shared" si="12"/>
        <v/>
      </c>
      <c r="V247" s="16" t="str">
        <f t="shared" si="13"/>
        <v/>
      </c>
    </row>
    <row r="248" spans="17:22" x14ac:dyDescent="0.15">
      <c r="Q248" s="75" t="str">
        <f t="shared" si="11"/>
        <v/>
      </c>
      <c r="T248" s="16" t="str">
        <f t="shared" si="12"/>
        <v/>
      </c>
      <c r="V248" s="16" t="str">
        <f t="shared" si="13"/>
        <v/>
      </c>
    </row>
    <row r="249" spans="17:22" x14ac:dyDescent="0.15">
      <c r="Q249" s="75" t="str">
        <f t="shared" si="11"/>
        <v/>
      </c>
      <c r="T249" s="16" t="str">
        <f t="shared" si="12"/>
        <v/>
      </c>
      <c r="V249" s="16" t="str">
        <f t="shared" si="13"/>
        <v/>
      </c>
    </row>
    <row r="250" spans="17:22" x14ac:dyDescent="0.15">
      <c r="Q250" s="75" t="str">
        <f t="shared" si="11"/>
        <v/>
      </c>
      <c r="T250" s="16" t="str">
        <f t="shared" si="12"/>
        <v/>
      </c>
      <c r="V250" s="16" t="str">
        <f t="shared" si="13"/>
        <v/>
      </c>
    </row>
    <row r="251" spans="17:22" x14ac:dyDescent="0.15">
      <c r="Q251" s="75" t="str">
        <f t="shared" si="11"/>
        <v/>
      </c>
      <c r="T251" s="16" t="str">
        <f t="shared" si="12"/>
        <v/>
      </c>
      <c r="V251" s="16" t="str">
        <f t="shared" si="13"/>
        <v/>
      </c>
    </row>
    <row r="252" spans="17:22" x14ac:dyDescent="0.15">
      <c r="Q252" s="75" t="str">
        <f t="shared" si="11"/>
        <v/>
      </c>
      <c r="T252" s="16" t="str">
        <f t="shared" si="12"/>
        <v/>
      </c>
      <c r="V252" s="16" t="str">
        <f t="shared" si="13"/>
        <v/>
      </c>
    </row>
    <row r="253" spans="17:22" x14ac:dyDescent="0.15">
      <c r="Q253" s="75" t="str">
        <f t="shared" si="11"/>
        <v/>
      </c>
      <c r="T253" s="16" t="str">
        <f t="shared" si="12"/>
        <v/>
      </c>
      <c r="V253" s="16" t="str">
        <f t="shared" si="13"/>
        <v/>
      </c>
    </row>
    <row r="254" spans="17:22" x14ac:dyDescent="0.15">
      <c r="Q254" s="75" t="str">
        <f t="shared" si="11"/>
        <v/>
      </c>
      <c r="T254" s="16" t="str">
        <f t="shared" si="12"/>
        <v/>
      </c>
      <c r="V254" s="16" t="str">
        <f t="shared" si="13"/>
        <v/>
      </c>
    </row>
    <row r="255" spans="17:22" x14ac:dyDescent="0.15">
      <c r="Q255" s="75" t="str">
        <f t="shared" si="11"/>
        <v/>
      </c>
      <c r="T255" s="16" t="str">
        <f t="shared" si="12"/>
        <v/>
      </c>
      <c r="V255" s="16" t="str">
        <f t="shared" si="13"/>
        <v/>
      </c>
    </row>
    <row r="256" spans="17:22" x14ac:dyDescent="0.15">
      <c r="Q256" s="75" t="str">
        <f t="shared" ref="Q256:Q319" si="14">IF(OR(O256="",P256=""),"",AVERAGE(O256,P256))</f>
        <v/>
      </c>
      <c r="T256" s="16" t="str">
        <f t="shared" ref="T256:T319" si="15">IF(H256="","",IF(OR(H256="GREEN",H256="GK"),IF(S256&gt;=$AX$2,VLOOKUP(S256,$AX$2:$AY$10,2,1),""),IF(S256&gt;=$AZ$2,VLOOKUP(S256,$AZ$2:$BA$10,2,1),"")))</f>
        <v/>
      </c>
      <c r="V256" s="16" t="str">
        <f t="shared" ref="V256:V319" si="16">IF(OR(N256="",U256="",T256=""),"",U256/N256*T256)</f>
        <v/>
      </c>
    </row>
    <row r="257" spans="17:22" x14ac:dyDescent="0.15">
      <c r="Q257" s="75" t="str">
        <f t="shared" si="14"/>
        <v/>
      </c>
      <c r="T257" s="16" t="str">
        <f t="shared" si="15"/>
        <v/>
      </c>
      <c r="V257" s="16" t="str">
        <f t="shared" si="16"/>
        <v/>
      </c>
    </row>
    <row r="258" spans="17:22" x14ac:dyDescent="0.15">
      <c r="Q258" s="75" t="str">
        <f t="shared" si="14"/>
        <v/>
      </c>
      <c r="T258" s="16" t="str">
        <f t="shared" si="15"/>
        <v/>
      </c>
      <c r="V258" s="16" t="str">
        <f t="shared" si="16"/>
        <v/>
      </c>
    </row>
    <row r="259" spans="17:22" x14ac:dyDescent="0.15">
      <c r="Q259" s="75" t="str">
        <f t="shared" si="14"/>
        <v/>
      </c>
      <c r="T259" s="16" t="str">
        <f t="shared" si="15"/>
        <v/>
      </c>
      <c r="V259" s="16" t="str">
        <f t="shared" si="16"/>
        <v/>
      </c>
    </row>
    <row r="260" spans="17:22" x14ac:dyDescent="0.15">
      <c r="Q260" s="75" t="str">
        <f t="shared" si="14"/>
        <v/>
      </c>
      <c r="T260" s="16" t="str">
        <f t="shared" si="15"/>
        <v/>
      </c>
      <c r="V260" s="16" t="str">
        <f t="shared" si="16"/>
        <v/>
      </c>
    </row>
    <row r="261" spans="17:22" x14ac:dyDescent="0.15">
      <c r="Q261" s="75" t="str">
        <f t="shared" si="14"/>
        <v/>
      </c>
      <c r="T261" s="16" t="str">
        <f t="shared" si="15"/>
        <v/>
      </c>
      <c r="V261" s="16" t="str">
        <f t="shared" si="16"/>
        <v/>
      </c>
    </row>
    <row r="262" spans="17:22" x14ac:dyDescent="0.15">
      <c r="Q262" s="75" t="str">
        <f t="shared" si="14"/>
        <v/>
      </c>
      <c r="T262" s="16" t="str">
        <f t="shared" si="15"/>
        <v/>
      </c>
      <c r="V262" s="16" t="str">
        <f t="shared" si="16"/>
        <v/>
      </c>
    </row>
    <row r="263" spans="17:22" x14ac:dyDescent="0.15">
      <c r="Q263" s="75" t="str">
        <f t="shared" si="14"/>
        <v/>
      </c>
      <c r="T263" s="16" t="str">
        <f t="shared" si="15"/>
        <v/>
      </c>
      <c r="V263" s="16" t="str">
        <f t="shared" si="16"/>
        <v/>
      </c>
    </row>
    <row r="264" spans="17:22" x14ac:dyDescent="0.15">
      <c r="Q264" s="75" t="str">
        <f t="shared" si="14"/>
        <v/>
      </c>
      <c r="T264" s="16" t="str">
        <f t="shared" si="15"/>
        <v/>
      </c>
      <c r="V264" s="16" t="str">
        <f t="shared" si="16"/>
        <v/>
      </c>
    </row>
    <row r="265" spans="17:22" x14ac:dyDescent="0.15">
      <c r="Q265" s="75" t="str">
        <f t="shared" si="14"/>
        <v/>
      </c>
      <c r="T265" s="16" t="str">
        <f t="shared" si="15"/>
        <v/>
      </c>
      <c r="V265" s="16" t="str">
        <f t="shared" si="16"/>
        <v/>
      </c>
    </row>
    <row r="266" spans="17:22" x14ac:dyDescent="0.15">
      <c r="Q266" s="75" t="str">
        <f t="shared" si="14"/>
        <v/>
      </c>
      <c r="T266" s="16" t="str">
        <f t="shared" si="15"/>
        <v/>
      </c>
      <c r="V266" s="16" t="str">
        <f t="shared" si="16"/>
        <v/>
      </c>
    </row>
    <row r="267" spans="17:22" x14ac:dyDescent="0.15">
      <c r="Q267" s="75" t="str">
        <f t="shared" si="14"/>
        <v/>
      </c>
      <c r="T267" s="16" t="str">
        <f t="shared" si="15"/>
        <v/>
      </c>
      <c r="V267" s="16" t="str">
        <f t="shared" si="16"/>
        <v/>
      </c>
    </row>
    <row r="268" spans="17:22" x14ac:dyDescent="0.15">
      <c r="Q268" s="75" t="str">
        <f t="shared" si="14"/>
        <v/>
      </c>
      <c r="T268" s="16" t="str">
        <f t="shared" si="15"/>
        <v/>
      </c>
      <c r="V268" s="16" t="str">
        <f t="shared" si="16"/>
        <v/>
      </c>
    </row>
    <row r="269" spans="17:22" x14ac:dyDescent="0.15">
      <c r="Q269" s="75" t="str">
        <f t="shared" si="14"/>
        <v/>
      </c>
      <c r="T269" s="16" t="str">
        <f t="shared" si="15"/>
        <v/>
      </c>
      <c r="V269" s="16" t="str">
        <f t="shared" si="16"/>
        <v/>
      </c>
    </row>
    <row r="270" spans="17:22" x14ac:dyDescent="0.15">
      <c r="Q270" s="75" t="str">
        <f t="shared" si="14"/>
        <v/>
      </c>
      <c r="T270" s="16" t="str">
        <f t="shared" si="15"/>
        <v/>
      </c>
      <c r="V270" s="16" t="str">
        <f t="shared" si="16"/>
        <v/>
      </c>
    </row>
    <row r="271" spans="17:22" x14ac:dyDescent="0.15">
      <c r="Q271" s="75" t="str">
        <f t="shared" si="14"/>
        <v/>
      </c>
      <c r="T271" s="16" t="str">
        <f t="shared" si="15"/>
        <v/>
      </c>
      <c r="V271" s="16" t="str">
        <f t="shared" si="16"/>
        <v/>
      </c>
    </row>
    <row r="272" spans="17:22" x14ac:dyDescent="0.15">
      <c r="Q272" s="75" t="str">
        <f t="shared" si="14"/>
        <v/>
      </c>
      <c r="T272" s="16" t="str">
        <f t="shared" si="15"/>
        <v/>
      </c>
      <c r="V272" s="16" t="str">
        <f t="shared" si="16"/>
        <v/>
      </c>
    </row>
    <row r="273" spans="17:22" x14ac:dyDescent="0.15">
      <c r="Q273" s="75" t="str">
        <f t="shared" si="14"/>
        <v/>
      </c>
      <c r="T273" s="16" t="str">
        <f t="shared" si="15"/>
        <v/>
      </c>
      <c r="V273" s="16" t="str">
        <f t="shared" si="16"/>
        <v/>
      </c>
    </row>
    <row r="274" spans="17:22" x14ac:dyDescent="0.15">
      <c r="Q274" s="75" t="str">
        <f t="shared" si="14"/>
        <v/>
      </c>
      <c r="T274" s="16" t="str">
        <f t="shared" si="15"/>
        <v/>
      </c>
      <c r="V274" s="16" t="str">
        <f t="shared" si="16"/>
        <v/>
      </c>
    </row>
    <row r="275" spans="17:22" x14ac:dyDescent="0.15">
      <c r="Q275" s="75" t="str">
        <f t="shared" si="14"/>
        <v/>
      </c>
      <c r="T275" s="16" t="str">
        <f t="shared" si="15"/>
        <v/>
      </c>
      <c r="V275" s="16" t="str">
        <f t="shared" si="16"/>
        <v/>
      </c>
    </row>
    <row r="276" spans="17:22" x14ac:dyDescent="0.15">
      <c r="Q276" s="75" t="str">
        <f t="shared" si="14"/>
        <v/>
      </c>
      <c r="T276" s="16" t="str">
        <f t="shared" si="15"/>
        <v/>
      </c>
      <c r="V276" s="16" t="str">
        <f t="shared" si="16"/>
        <v/>
      </c>
    </row>
    <row r="277" spans="17:22" x14ac:dyDescent="0.15">
      <c r="Q277" s="75" t="str">
        <f t="shared" si="14"/>
        <v/>
      </c>
      <c r="T277" s="16" t="str">
        <f t="shared" si="15"/>
        <v/>
      </c>
      <c r="V277" s="16" t="str">
        <f t="shared" si="16"/>
        <v/>
      </c>
    </row>
    <row r="278" spans="17:22" x14ac:dyDescent="0.15">
      <c r="Q278" s="75" t="str">
        <f t="shared" si="14"/>
        <v/>
      </c>
      <c r="T278" s="16" t="str">
        <f t="shared" si="15"/>
        <v/>
      </c>
      <c r="V278" s="16" t="str">
        <f t="shared" si="16"/>
        <v/>
      </c>
    </row>
    <row r="279" spans="17:22" x14ac:dyDescent="0.15">
      <c r="Q279" s="75" t="str">
        <f t="shared" si="14"/>
        <v/>
      </c>
      <c r="T279" s="16" t="str">
        <f t="shared" si="15"/>
        <v/>
      </c>
      <c r="V279" s="16" t="str">
        <f t="shared" si="16"/>
        <v/>
      </c>
    </row>
    <row r="280" spans="17:22" x14ac:dyDescent="0.15">
      <c r="Q280" s="75" t="str">
        <f t="shared" si="14"/>
        <v/>
      </c>
      <c r="T280" s="16" t="str">
        <f t="shared" si="15"/>
        <v/>
      </c>
      <c r="V280" s="16" t="str">
        <f t="shared" si="16"/>
        <v/>
      </c>
    </row>
    <row r="281" spans="17:22" x14ac:dyDescent="0.15">
      <c r="Q281" s="75" t="str">
        <f t="shared" si="14"/>
        <v/>
      </c>
      <c r="T281" s="16" t="str">
        <f t="shared" si="15"/>
        <v/>
      </c>
      <c r="V281" s="16" t="str">
        <f t="shared" si="16"/>
        <v/>
      </c>
    </row>
    <row r="282" spans="17:22" x14ac:dyDescent="0.15">
      <c r="Q282" s="75" t="str">
        <f t="shared" si="14"/>
        <v/>
      </c>
      <c r="T282" s="16" t="str">
        <f t="shared" si="15"/>
        <v/>
      </c>
      <c r="V282" s="16" t="str">
        <f t="shared" si="16"/>
        <v/>
      </c>
    </row>
    <row r="283" spans="17:22" x14ac:dyDescent="0.15">
      <c r="Q283" s="75" t="str">
        <f t="shared" si="14"/>
        <v/>
      </c>
      <c r="T283" s="16" t="str">
        <f t="shared" si="15"/>
        <v/>
      </c>
      <c r="V283" s="16" t="str">
        <f t="shared" si="16"/>
        <v/>
      </c>
    </row>
    <row r="284" spans="17:22" x14ac:dyDescent="0.15">
      <c r="Q284" s="75" t="str">
        <f t="shared" si="14"/>
        <v/>
      </c>
      <c r="T284" s="16" t="str">
        <f t="shared" si="15"/>
        <v/>
      </c>
      <c r="V284" s="16" t="str">
        <f t="shared" si="16"/>
        <v/>
      </c>
    </row>
    <row r="285" spans="17:22" x14ac:dyDescent="0.15">
      <c r="Q285" s="75" t="str">
        <f t="shared" si="14"/>
        <v/>
      </c>
      <c r="T285" s="16" t="str">
        <f t="shared" si="15"/>
        <v/>
      </c>
      <c r="V285" s="16" t="str">
        <f t="shared" si="16"/>
        <v/>
      </c>
    </row>
    <row r="286" spans="17:22" x14ac:dyDescent="0.15">
      <c r="Q286" s="75" t="str">
        <f t="shared" si="14"/>
        <v/>
      </c>
      <c r="T286" s="16" t="str">
        <f t="shared" si="15"/>
        <v/>
      </c>
      <c r="V286" s="16" t="str">
        <f t="shared" si="16"/>
        <v/>
      </c>
    </row>
    <row r="287" spans="17:22" x14ac:dyDescent="0.15">
      <c r="Q287" s="75" t="str">
        <f t="shared" si="14"/>
        <v/>
      </c>
      <c r="T287" s="16" t="str">
        <f t="shared" si="15"/>
        <v/>
      </c>
      <c r="V287" s="16" t="str">
        <f t="shared" si="16"/>
        <v/>
      </c>
    </row>
    <row r="288" spans="17:22" x14ac:dyDescent="0.15">
      <c r="Q288" s="75" t="str">
        <f t="shared" si="14"/>
        <v/>
      </c>
      <c r="T288" s="16" t="str">
        <f t="shared" si="15"/>
        <v/>
      </c>
      <c r="V288" s="16" t="str">
        <f t="shared" si="16"/>
        <v/>
      </c>
    </row>
    <row r="289" spans="17:22" x14ac:dyDescent="0.15">
      <c r="Q289" s="75" t="str">
        <f t="shared" si="14"/>
        <v/>
      </c>
      <c r="T289" s="16" t="str">
        <f t="shared" si="15"/>
        <v/>
      </c>
      <c r="V289" s="16" t="str">
        <f t="shared" si="16"/>
        <v/>
      </c>
    </row>
    <row r="290" spans="17:22" x14ac:dyDescent="0.15">
      <c r="Q290" s="75" t="str">
        <f t="shared" si="14"/>
        <v/>
      </c>
      <c r="T290" s="16" t="str">
        <f t="shared" si="15"/>
        <v/>
      </c>
      <c r="V290" s="16" t="str">
        <f t="shared" si="16"/>
        <v/>
      </c>
    </row>
    <row r="291" spans="17:22" x14ac:dyDescent="0.15">
      <c r="Q291" s="75" t="str">
        <f t="shared" si="14"/>
        <v/>
      </c>
      <c r="T291" s="16" t="str">
        <f t="shared" si="15"/>
        <v/>
      </c>
      <c r="V291" s="16" t="str">
        <f t="shared" si="16"/>
        <v/>
      </c>
    </row>
    <row r="292" spans="17:22" x14ac:dyDescent="0.15">
      <c r="Q292" s="75" t="str">
        <f t="shared" si="14"/>
        <v/>
      </c>
      <c r="T292" s="16" t="str">
        <f t="shared" si="15"/>
        <v/>
      </c>
      <c r="V292" s="16" t="str">
        <f t="shared" si="16"/>
        <v/>
      </c>
    </row>
    <row r="293" spans="17:22" x14ac:dyDescent="0.15">
      <c r="Q293" s="75" t="str">
        <f t="shared" si="14"/>
        <v/>
      </c>
      <c r="T293" s="16" t="str">
        <f t="shared" si="15"/>
        <v/>
      </c>
      <c r="V293" s="16" t="str">
        <f t="shared" si="16"/>
        <v/>
      </c>
    </row>
    <row r="294" spans="17:22" x14ac:dyDescent="0.15">
      <c r="Q294" s="75" t="str">
        <f t="shared" si="14"/>
        <v/>
      </c>
      <c r="T294" s="16" t="str">
        <f t="shared" si="15"/>
        <v/>
      </c>
      <c r="V294" s="16" t="str">
        <f t="shared" si="16"/>
        <v/>
      </c>
    </row>
    <row r="295" spans="17:22" x14ac:dyDescent="0.15">
      <c r="Q295" s="75" t="str">
        <f t="shared" si="14"/>
        <v/>
      </c>
      <c r="T295" s="16" t="str">
        <f t="shared" si="15"/>
        <v/>
      </c>
      <c r="V295" s="16" t="str">
        <f t="shared" si="16"/>
        <v/>
      </c>
    </row>
    <row r="296" spans="17:22" x14ac:dyDescent="0.15">
      <c r="Q296" s="75" t="str">
        <f t="shared" si="14"/>
        <v/>
      </c>
      <c r="T296" s="16" t="str">
        <f t="shared" si="15"/>
        <v/>
      </c>
      <c r="V296" s="16" t="str">
        <f t="shared" si="16"/>
        <v/>
      </c>
    </row>
    <row r="297" spans="17:22" x14ac:dyDescent="0.15">
      <c r="Q297" s="75" t="str">
        <f t="shared" si="14"/>
        <v/>
      </c>
      <c r="T297" s="16" t="str">
        <f t="shared" si="15"/>
        <v/>
      </c>
      <c r="V297" s="16" t="str">
        <f t="shared" si="16"/>
        <v/>
      </c>
    </row>
    <row r="298" spans="17:22" x14ac:dyDescent="0.15">
      <c r="Q298" s="75" t="str">
        <f t="shared" si="14"/>
        <v/>
      </c>
      <c r="T298" s="16" t="str">
        <f t="shared" si="15"/>
        <v/>
      </c>
      <c r="V298" s="16" t="str">
        <f t="shared" si="16"/>
        <v/>
      </c>
    </row>
    <row r="299" spans="17:22" x14ac:dyDescent="0.15">
      <c r="Q299" s="75" t="str">
        <f t="shared" si="14"/>
        <v/>
      </c>
      <c r="T299" s="16" t="str">
        <f t="shared" si="15"/>
        <v/>
      </c>
      <c r="V299" s="16" t="str">
        <f t="shared" si="16"/>
        <v/>
      </c>
    </row>
    <row r="300" spans="17:22" x14ac:dyDescent="0.15">
      <c r="Q300" s="75" t="str">
        <f t="shared" si="14"/>
        <v/>
      </c>
      <c r="T300" s="16" t="str">
        <f t="shared" si="15"/>
        <v/>
      </c>
      <c r="V300" s="16" t="str">
        <f t="shared" si="16"/>
        <v/>
      </c>
    </row>
    <row r="301" spans="17:22" x14ac:dyDescent="0.15">
      <c r="Q301" s="75" t="str">
        <f t="shared" si="14"/>
        <v/>
      </c>
      <c r="T301" s="16" t="str">
        <f t="shared" si="15"/>
        <v/>
      </c>
      <c r="V301" s="16" t="str">
        <f t="shared" si="16"/>
        <v/>
      </c>
    </row>
    <row r="302" spans="17:22" x14ac:dyDescent="0.15">
      <c r="Q302" s="75" t="str">
        <f t="shared" si="14"/>
        <v/>
      </c>
      <c r="T302" s="16" t="str">
        <f t="shared" si="15"/>
        <v/>
      </c>
      <c r="V302" s="16" t="str">
        <f t="shared" si="16"/>
        <v/>
      </c>
    </row>
    <row r="303" spans="17:22" x14ac:dyDescent="0.15">
      <c r="Q303" s="75" t="str">
        <f t="shared" si="14"/>
        <v/>
      </c>
      <c r="T303" s="16" t="str">
        <f t="shared" si="15"/>
        <v/>
      </c>
      <c r="V303" s="16" t="str">
        <f t="shared" si="16"/>
        <v/>
      </c>
    </row>
    <row r="304" spans="17:22" x14ac:dyDescent="0.15">
      <c r="Q304" s="75" t="str">
        <f t="shared" si="14"/>
        <v/>
      </c>
      <c r="T304" s="16" t="str">
        <f t="shared" si="15"/>
        <v/>
      </c>
      <c r="V304" s="16" t="str">
        <f t="shared" si="16"/>
        <v/>
      </c>
    </row>
    <row r="305" spans="17:22" x14ac:dyDescent="0.15">
      <c r="Q305" s="75" t="str">
        <f t="shared" si="14"/>
        <v/>
      </c>
      <c r="T305" s="16" t="str">
        <f t="shared" si="15"/>
        <v/>
      </c>
      <c r="V305" s="16" t="str">
        <f t="shared" si="16"/>
        <v/>
      </c>
    </row>
    <row r="306" spans="17:22" x14ac:dyDescent="0.15">
      <c r="Q306" s="75" t="str">
        <f t="shared" si="14"/>
        <v/>
      </c>
      <c r="T306" s="16" t="str">
        <f t="shared" si="15"/>
        <v/>
      </c>
      <c r="V306" s="16" t="str">
        <f t="shared" si="16"/>
        <v/>
      </c>
    </row>
    <row r="307" spans="17:22" x14ac:dyDescent="0.15">
      <c r="Q307" s="75" t="str">
        <f t="shared" si="14"/>
        <v/>
      </c>
      <c r="T307" s="16" t="str">
        <f t="shared" si="15"/>
        <v/>
      </c>
      <c r="V307" s="16" t="str">
        <f t="shared" si="16"/>
        <v/>
      </c>
    </row>
    <row r="308" spans="17:22" x14ac:dyDescent="0.15">
      <c r="Q308" s="75" t="str">
        <f t="shared" si="14"/>
        <v/>
      </c>
      <c r="T308" s="16" t="str">
        <f t="shared" si="15"/>
        <v/>
      </c>
      <c r="V308" s="16" t="str">
        <f t="shared" si="16"/>
        <v/>
      </c>
    </row>
    <row r="309" spans="17:22" x14ac:dyDescent="0.15">
      <c r="Q309" s="75" t="str">
        <f t="shared" si="14"/>
        <v/>
      </c>
      <c r="T309" s="16" t="str">
        <f t="shared" si="15"/>
        <v/>
      </c>
      <c r="V309" s="16" t="str">
        <f t="shared" si="16"/>
        <v/>
      </c>
    </row>
    <row r="310" spans="17:22" x14ac:dyDescent="0.15">
      <c r="Q310" s="75" t="str">
        <f t="shared" si="14"/>
        <v/>
      </c>
      <c r="T310" s="16" t="str">
        <f t="shared" si="15"/>
        <v/>
      </c>
      <c r="V310" s="16" t="str">
        <f t="shared" si="16"/>
        <v/>
      </c>
    </row>
    <row r="311" spans="17:22" x14ac:dyDescent="0.15">
      <c r="Q311" s="75" t="str">
        <f t="shared" si="14"/>
        <v/>
      </c>
      <c r="T311" s="16" t="str">
        <f t="shared" si="15"/>
        <v/>
      </c>
      <c r="V311" s="16" t="str">
        <f t="shared" si="16"/>
        <v/>
      </c>
    </row>
    <row r="312" spans="17:22" x14ac:dyDescent="0.15">
      <c r="Q312" s="75" t="str">
        <f t="shared" si="14"/>
        <v/>
      </c>
      <c r="T312" s="16" t="str">
        <f t="shared" si="15"/>
        <v/>
      </c>
      <c r="V312" s="16" t="str">
        <f t="shared" si="16"/>
        <v/>
      </c>
    </row>
    <row r="313" spans="17:22" x14ac:dyDescent="0.15">
      <c r="Q313" s="75" t="str">
        <f t="shared" si="14"/>
        <v/>
      </c>
      <c r="T313" s="16" t="str">
        <f t="shared" si="15"/>
        <v/>
      </c>
      <c r="V313" s="16" t="str">
        <f t="shared" si="16"/>
        <v/>
      </c>
    </row>
    <row r="314" spans="17:22" x14ac:dyDescent="0.15">
      <c r="Q314" s="75" t="str">
        <f t="shared" si="14"/>
        <v/>
      </c>
      <c r="T314" s="16" t="str">
        <f t="shared" si="15"/>
        <v/>
      </c>
      <c r="V314" s="16" t="str">
        <f t="shared" si="16"/>
        <v/>
      </c>
    </row>
    <row r="315" spans="17:22" x14ac:dyDescent="0.15">
      <c r="Q315" s="75" t="str">
        <f t="shared" si="14"/>
        <v/>
      </c>
      <c r="T315" s="16" t="str">
        <f t="shared" si="15"/>
        <v/>
      </c>
      <c r="V315" s="16" t="str">
        <f t="shared" si="16"/>
        <v/>
      </c>
    </row>
    <row r="316" spans="17:22" x14ac:dyDescent="0.15">
      <c r="Q316" s="75" t="str">
        <f t="shared" si="14"/>
        <v/>
      </c>
      <c r="T316" s="16" t="str">
        <f t="shared" si="15"/>
        <v/>
      </c>
      <c r="V316" s="16" t="str">
        <f t="shared" si="16"/>
        <v/>
      </c>
    </row>
    <row r="317" spans="17:22" x14ac:dyDescent="0.15">
      <c r="Q317" s="75" t="str">
        <f t="shared" si="14"/>
        <v/>
      </c>
      <c r="T317" s="16" t="str">
        <f t="shared" si="15"/>
        <v/>
      </c>
      <c r="V317" s="16" t="str">
        <f t="shared" si="16"/>
        <v/>
      </c>
    </row>
    <row r="318" spans="17:22" x14ac:dyDescent="0.15">
      <c r="Q318" s="75" t="str">
        <f t="shared" si="14"/>
        <v/>
      </c>
      <c r="T318" s="16" t="str">
        <f t="shared" si="15"/>
        <v/>
      </c>
      <c r="V318" s="16" t="str">
        <f t="shared" si="16"/>
        <v/>
      </c>
    </row>
    <row r="319" spans="17:22" x14ac:dyDescent="0.15">
      <c r="Q319" s="75" t="str">
        <f t="shared" si="14"/>
        <v/>
      </c>
      <c r="T319" s="16" t="str">
        <f t="shared" si="15"/>
        <v/>
      </c>
      <c r="V319" s="16" t="str">
        <f t="shared" si="16"/>
        <v/>
      </c>
    </row>
    <row r="320" spans="17:22" x14ac:dyDescent="0.15">
      <c r="Q320" s="75" t="str">
        <f t="shared" ref="Q320:Q329" si="17">IF(OR(O320="",P320=""),"",AVERAGE(O320,P320))</f>
        <v/>
      </c>
      <c r="T320" s="16" t="str">
        <f t="shared" ref="T320:T357" si="18">IF(H320="","",IF(OR(H320="GREEN",H320="GK"),IF(S320&gt;=$AX$2,VLOOKUP(S320,$AX$2:$AY$10,2,1),""),IF(S320&gt;=$AZ$2,VLOOKUP(S320,$AZ$2:$BA$10,2,1),"")))</f>
        <v/>
      </c>
      <c r="V320" s="16" t="str">
        <f t="shared" ref="V320:V337" si="19">IF(OR(N320="",U320="",T320=""),"",U320/N320*T320)</f>
        <v/>
      </c>
    </row>
    <row r="321" spans="17:22" x14ac:dyDescent="0.15">
      <c r="Q321" s="75" t="str">
        <f t="shared" si="17"/>
        <v/>
      </c>
      <c r="T321" s="16" t="str">
        <f t="shared" si="18"/>
        <v/>
      </c>
      <c r="V321" s="16" t="str">
        <f t="shared" si="19"/>
        <v/>
      </c>
    </row>
    <row r="322" spans="17:22" x14ac:dyDescent="0.15">
      <c r="Q322" s="75" t="str">
        <f t="shared" si="17"/>
        <v/>
      </c>
      <c r="T322" s="16" t="str">
        <f t="shared" si="18"/>
        <v/>
      </c>
      <c r="V322" s="16" t="str">
        <f t="shared" si="19"/>
        <v/>
      </c>
    </row>
    <row r="323" spans="17:22" x14ac:dyDescent="0.15">
      <c r="Q323" s="75" t="str">
        <f t="shared" si="17"/>
        <v/>
      </c>
      <c r="T323" s="16" t="str">
        <f t="shared" si="18"/>
        <v/>
      </c>
      <c r="V323" s="16" t="str">
        <f t="shared" si="19"/>
        <v/>
      </c>
    </row>
    <row r="324" spans="17:22" x14ac:dyDescent="0.15">
      <c r="Q324" s="75" t="str">
        <f t="shared" si="17"/>
        <v/>
      </c>
      <c r="T324" s="16" t="str">
        <f t="shared" si="18"/>
        <v/>
      </c>
      <c r="V324" s="16" t="str">
        <f t="shared" si="19"/>
        <v/>
      </c>
    </row>
    <row r="325" spans="17:22" x14ac:dyDescent="0.15">
      <c r="Q325" s="75" t="str">
        <f t="shared" si="17"/>
        <v/>
      </c>
      <c r="T325" s="16" t="str">
        <f t="shared" si="18"/>
        <v/>
      </c>
      <c r="V325" s="16" t="str">
        <f t="shared" si="19"/>
        <v/>
      </c>
    </row>
    <row r="326" spans="17:22" x14ac:dyDescent="0.15">
      <c r="Q326" s="75" t="str">
        <f t="shared" si="17"/>
        <v/>
      </c>
      <c r="T326" s="16" t="str">
        <f t="shared" si="18"/>
        <v/>
      </c>
      <c r="V326" s="16" t="str">
        <f t="shared" si="19"/>
        <v/>
      </c>
    </row>
    <row r="327" spans="17:22" x14ac:dyDescent="0.15">
      <c r="Q327" s="75" t="str">
        <f t="shared" si="17"/>
        <v/>
      </c>
      <c r="T327" s="16" t="str">
        <f t="shared" si="18"/>
        <v/>
      </c>
      <c r="V327" s="16" t="str">
        <f t="shared" si="19"/>
        <v/>
      </c>
    </row>
    <row r="328" spans="17:22" x14ac:dyDescent="0.15">
      <c r="Q328" s="75" t="str">
        <f t="shared" si="17"/>
        <v/>
      </c>
      <c r="T328" s="16" t="str">
        <f t="shared" si="18"/>
        <v/>
      </c>
      <c r="V328" s="16" t="str">
        <f t="shared" si="19"/>
        <v/>
      </c>
    </row>
    <row r="329" spans="17:22" x14ac:dyDescent="0.15">
      <c r="Q329" s="75" t="str">
        <f t="shared" si="17"/>
        <v/>
      </c>
      <c r="T329" s="16" t="str">
        <f t="shared" si="18"/>
        <v/>
      </c>
      <c r="V329" s="16" t="str">
        <f t="shared" si="19"/>
        <v/>
      </c>
    </row>
    <row r="330" spans="17:22" x14ac:dyDescent="0.15">
      <c r="T330" s="16" t="str">
        <f t="shared" si="18"/>
        <v/>
      </c>
      <c r="V330" s="16" t="str">
        <f t="shared" si="19"/>
        <v/>
      </c>
    </row>
    <row r="331" spans="17:22" x14ac:dyDescent="0.15">
      <c r="T331" s="16" t="str">
        <f t="shared" si="18"/>
        <v/>
      </c>
      <c r="V331" s="16" t="str">
        <f t="shared" si="19"/>
        <v/>
      </c>
    </row>
    <row r="332" spans="17:22" x14ac:dyDescent="0.15">
      <c r="T332" s="16" t="str">
        <f t="shared" si="18"/>
        <v/>
      </c>
      <c r="V332" s="16" t="str">
        <f t="shared" si="19"/>
        <v/>
      </c>
    </row>
    <row r="333" spans="17:22" x14ac:dyDescent="0.15">
      <c r="T333" s="16" t="str">
        <f t="shared" si="18"/>
        <v/>
      </c>
      <c r="V333" s="16" t="str">
        <f t="shared" si="19"/>
        <v/>
      </c>
    </row>
    <row r="334" spans="17:22" x14ac:dyDescent="0.15">
      <c r="T334" s="16" t="str">
        <f t="shared" si="18"/>
        <v/>
      </c>
      <c r="V334" s="16" t="str">
        <f t="shared" si="19"/>
        <v/>
      </c>
    </row>
    <row r="335" spans="17:22" x14ac:dyDescent="0.15">
      <c r="T335" s="16" t="str">
        <f t="shared" si="18"/>
        <v/>
      </c>
      <c r="V335" s="16" t="str">
        <f t="shared" si="19"/>
        <v/>
      </c>
    </row>
    <row r="336" spans="17:22" x14ac:dyDescent="0.15">
      <c r="T336" s="16" t="str">
        <f t="shared" si="18"/>
        <v/>
      </c>
      <c r="V336" s="16" t="str">
        <f t="shared" si="19"/>
        <v/>
      </c>
    </row>
    <row r="337" spans="20:22" x14ac:dyDescent="0.15">
      <c r="T337" s="16" t="str">
        <f t="shared" si="18"/>
        <v/>
      </c>
      <c r="V337" s="16" t="str">
        <f t="shared" si="19"/>
        <v/>
      </c>
    </row>
    <row r="338" spans="20:22" x14ac:dyDescent="0.15">
      <c r="T338" s="16" t="str">
        <f t="shared" si="18"/>
        <v/>
      </c>
    </row>
    <row r="339" spans="20:22" x14ac:dyDescent="0.15">
      <c r="T339" s="16" t="str">
        <f t="shared" si="18"/>
        <v/>
      </c>
    </row>
    <row r="340" spans="20:22" x14ac:dyDescent="0.15">
      <c r="T340" s="16" t="str">
        <f t="shared" si="18"/>
        <v/>
      </c>
    </row>
    <row r="341" spans="20:22" x14ac:dyDescent="0.15">
      <c r="T341" s="16" t="str">
        <f t="shared" si="18"/>
        <v/>
      </c>
    </row>
    <row r="342" spans="20:22" x14ac:dyDescent="0.15">
      <c r="T342" s="16" t="str">
        <f t="shared" si="18"/>
        <v/>
      </c>
    </row>
    <row r="343" spans="20:22" x14ac:dyDescent="0.15">
      <c r="T343" s="16" t="str">
        <f t="shared" si="18"/>
        <v/>
      </c>
    </row>
    <row r="344" spans="20:22" x14ac:dyDescent="0.15">
      <c r="T344" s="16" t="str">
        <f t="shared" si="18"/>
        <v/>
      </c>
    </row>
    <row r="345" spans="20:22" x14ac:dyDescent="0.15">
      <c r="T345" s="16" t="str">
        <f t="shared" si="18"/>
        <v/>
      </c>
    </row>
    <row r="346" spans="20:22" x14ac:dyDescent="0.15">
      <c r="T346" s="16" t="str">
        <f t="shared" si="18"/>
        <v/>
      </c>
    </row>
    <row r="347" spans="20:22" x14ac:dyDescent="0.15">
      <c r="T347" s="16" t="str">
        <f t="shared" si="18"/>
        <v/>
      </c>
    </row>
    <row r="348" spans="20:22" x14ac:dyDescent="0.15">
      <c r="T348" s="16" t="str">
        <f t="shared" si="18"/>
        <v/>
      </c>
    </row>
    <row r="349" spans="20:22" x14ac:dyDescent="0.15">
      <c r="T349" s="16" t="str">
        <f t="shared" si="18"/>
        <v/>
      </c>
    </row>
    <row r="350" spans="20:22" x14ac:dyDescent="0.15">
      <c r="T350" s="16" t="str">
        <f t="shared" si="18"/>
        <v/>
      </c>
    </row>
    <row r="351" spans="20:22" x14ac:dyDescent="0.15">
      <c r="T351" s="16" t="str">
        <f t="shared" si="18"/>
        <v/>
      </c>
    </row>
    <row r="352" spans="20:22" x14ac:dyDescent="0.15">
      <c r="T352" s="16" t="str">
        <f t="shared" si="18"/>
        <v/>
      </c>
    </row>
    <row r="353" spans="20:20" x14ac:dyDescent="0.15">
      <c r="T353" s="16" t="str">
        <f t="shared" si="18"/>
        <v/>
      </c>
    </row>
    <row r="354" spans="20:20" x14ac:dyDescent="0.15">
      <c r="T354" s="16" t="str">
        <f t="shared" si="18"/>
        <v/>
      </c>
    </row>
    <row r="355" spans="20:20" x14ac:dyDescent="0.15">
      <c r="T355" s="16" t="str">
        <f t="shared" si="18"/>
        <v/>
      </c>
    </row>
    <row r="356" spans="20:20" x14ac:dyDescent="0.15">
      <c r="T356" s="16" t="str">
        <f t="shared" si="18"/>
        <v/>
      </c>
    </row>
    <row r="357" spans="20:20" x14ac:dyDescent="0.15">
      <c r="T357" s="16" t="str">
        <f t="shared" si="18"/>
        <v/>
      </c>
    </row>
  </sheetData>
  <autoFilter ref="A1:BA357" xr:uid="{00000000-0009-0000-0000-000001000000}"/>
  <phoneticPr fontId="3"/>
  <dataValidations count="14">
    <dataValidation type="list" allowBlank="1" showInputMessage="1" showErrorMessage="1" sqref="X2:X313" xr:uid="{C7AB3E4E-8DC7-4CE3-9AD2-CA5240AF2E66}">
      <formula1>$AT$2:$AT$3</formula1>
    </dataValidation>
    <dataValidation type="list" allowBlank="1" showInputMessage="1" showErrorMessage="1" sqref="G2:G313" xr:uid="{693BE5E2-322C-4EAE-A29E-BCC2A4299168}">
      <formula1>$AJ$2:$AJ$4</formula1>
    </dataValidation>
    <dataValidation type="list" allowBlank="1" showInputMessage="1" showErrorMessage="1" sqref="F1:F65467" xr:uid="{96970651-383D-4796-8226-9B6361472690}">
      <formula1>$AH$2:$AH$11</formula1>
    </dataValidation>
    <dataValidation type="decimal" allowBlank="1" showInputMessage="1" showErrorMessage="1" error="硬度を正しく入力して下さい。" sqref="O2:P313" xr:uid="{2CB67560-C786-4B0D-B241-27925323544E}">
      <formula1>0</formula1>
      <formula2>7</formula2>
    </dataValidation>
    <dataValidation type="list" allowBlank="1" showInputMessage="1" showErrorMessage="1" sqref="I2:I313" xr:uid="{EE5B7CC2-953B-4EBA-989F-982B4C497027}">
      <formula1>$AN$5:$AN$6</formula1>
    </dataValidation>
    <dataValidation type="list" allowBlank="1" showInputMessage="1" showErrorMessage="1" sqref="H2:H313" xr:uid="{4D85EA67-DE7A-42B2-85B8-C93900A35524}">
      <formula1>$AL$2:$AL$8</formula1>
    </dataValidation>
    <dataValidation type="list" allowBlank="1" showInputMessage="1" showErrorMessage="1" sqref="E1:E65467" xr:uid="{9E7B1F18-34AC-40D3-9B4C-7F08592164F7}">
      <formula1>$AG$2:$AG$11</formula1>
    </dataValidation>
    <dataValidation type="list" allowBlank="1" showInputMessage="1" showErrorMessage="1" sqref="J2:J313" xr:uid="{758D5ADC-F0C8-4DCD-872F-F9773FE8749D}">
      <formula1>$AP$2:$AP$19</formula1>
    </dataValidation>
    <dataValidation allowBlank="1" showInputMessage="1" showErrorMessage="1" sqref="B2:B124" xr:uid="{278D97CE-DFF8-4424-AB09-A5A4BCC75D7A}"/>
    <dataValidation type="list" allowBlank="1" showInputMessage="1" showErrorMessage="1" sqref="Y2:AA124" xr:uid="{96C02B34-8B74-41EC-9667-B510E8535170}">
      <formula1>$AV$2:$AV$23</formula1>
    </dataValidation>
    <dataValidation type="list" allowBlank="1" showInputMessage="1" showErrorMessage="1" sqref="K2:K129" xr:uid="{4D313FCC-562D-4E49-9FFA-BEECE3DA02B2}">
      <formula1>$AR$2:$AR$23</formula1>
    </dataValidation>
    <dataValidation type="list" allowBlank="1" showInputMessage="1" showErrorMessage="1" sqref="A2:A313" xr:uid="{597DF0CB-71C7-4BE7-91F9-97BB09F551CA}">
      <formula1>$AE$2:$AE$16</formula1>
    </dataValidation>
    <dataValidation type="list" allowBlank="1" showInputMessage="1" showErrorMessage="1" sqref="Y125:AA313" xr:uid="{B2292C64-8D6E-4F84-8D96-2D4F62A8D647}">
      <formula1>$AV$2:$AV$16</formula1>
    </dataValidation>
    <dataValidation type="list" allowBlank="1" showInputMessage="1" showErrorMessage="1" sqref="K130:K313" xr:uid="{7026E2F8-7CD5-4C16-8C0C-241E2C0455C4}">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47A53-C233-4E0F-BFD0-84A33CA6E404}">
  <dimension ref="A1:BA82"/>
  <sheetViews>
    <sheetView zoomScale="85" zoomScaleNormal="85" workbookViewId="0">
      <selection activeCell="D2" sqref="D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232</v>
      </c>
      <c r="C2" s="53">
        <v>2019</v>
      </c>
      <c r="D2" s="81" t="s">
        <v>233</v>
      </c>
      <c r="E2" s="53" t="s">
        <v>234</v>
      </c>
      <c r="F2" s="53" t="s">
        <v>235</v>
      </c>
      <c r="G2" s="53" t="s">
        <v>42</v>
      </c>
      <c r="H2" s="53" t="s">
        <v>164</v>
      </c>
      <c r="I2" s="53" t="s">
        <v>197</v>
      </c>
      <c r="J2" s="53" t="s">
        <v>38</v>
      </c>
      <c r="K2" s="53" t="s">
        <v>161</v>
      </c>
      <c r="L2" s="53">
        <v>1</v>
      </c>
      <c r="N2" s="53">
        <v>5</v>
      </c>
      <c r="O2" s="53">
        <v>0.65</v>
      </c>
      <c r="P2" s="53">
        <v>0.65</v>
      </c>
      <c r="Q2" s="75">
        <f t="shared" ref="Q2:Q58" si="0">IF(OR(O2="",P2=""),"",AVERAGE(O2,P2))</f>
        <v>0.65</v>
      </c>
      <c r="R2" s="53">
        <v>13.2</v>
      </c>
      <c r="S2" s="53">
        <v>100</v>
      </c>
      <c r="T2" s="16">
        <f t="shared" ref="T2:T58" si="1">IF(H2="","",IF(OR(H2="GREEN",H2="GK"),IF(S2&gt;=$AX$2,VLOOKUP(S2,$AX$2:$AY$10,2,1),""),IF(S2&gt;=$AZ$2,VLOOKUP(S2,$AZ$2:$BA$10,2,1),"")))</f>
        <v>33</v>
      </c>
      <c r="U2" s="53">
        <v>539</v>
      </c>
      <c r="V2" s="16">
        <f t="shared" ref="V2:V58" si="2">IF(OR(N2="",U2="",T2=""),"",U2/N2*T2)</f>
        <v>3557.4</v>
      </c>
      <c r="W2" s="53">
        <v>4</v>
      </c>
      <c r="X2" s="53" t="s">
        <v>46</v>
      </c>
      <c r="Y2" s="53" t="s">
        <v>225</v>
      </c>
      <c r="Z2" s="53" t="s">
        <v>88</v>
      </c>
      <c r="AA2" s="53" t="s">
        <v>102</v>
      </c>
      <c r="AB2" s="53" t="s">
        <v>236</v>
      </c>
      <c r="AE2" s="64" t="s">
        <v>35</v>
      </c>
      <c r="AG2" s="23" t="s">
        <v>237</v>
      </c>
      <c r="AH2" s="82" t="s">
        <v>238</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232</v>
      </c>
      <c r="C3" s="53">
        <v>2019</v>
      </c>
      <c r="D3" s="81" t="s">
        <v>233</v>
      </c>
      <c r="E3" s="53" t="s">
        <v>234</v>
      </c>
      <c r="F3" s="53" t="s">
        <v>235</v>
      </c>
      <c r="G3" s="53" t="s">
        <v>42</v>
      </c>
      <c r="H3" s="53" t="s">
        <v>164</v>
      </c>
      <c r="I3" s="53" t="s">
        <v>197</v>
      </c>
      <c r="J3" s="53" t="s">
        <v>38</v>
      </c>
      <c r="K3" s="53" t="s">
        <v>161</v>
      </c>
      <c r="L3" s="53">
        <v>2</v>
      </c>
      <c r="N3" s="53">
        <v>5</v>
      </c>
      <c r="O3" s="53">
        <v>0.75</v>
      </c>
      <c r="P3" s="53">
        <v>0.75</v>
      </c>
      <c r="Q3" s="75">
        <f t="shared" si="0"/>
        <v>0.75</v>
      </c>
      <c r="R3" s="53">
        <v>13.8</v>
      </c>
      <c r="S3" s="53">
        <v>99</v>
      </c>
      <c r="T3" s="16">
        <f t="shared" si="1"/>
        <v>33</v>
      </c>
      <c r="U3" s="53">
        <v>539</v>
      </c>
      <c r="V3" s="16">
        <f t="shared" si="2"/>
        <v>3557.4</v>
      </c>
      <c r="W3" s="53">
        <v>4</v>
      </c>
      <c r="X3" s="53" t="s">
        <v>46</v>
      </c>
      <c r="Y3" s="53" t="s">
        <v>225</v>
      </c>
      <c r="Z3" s="53" t="s">
        <v>88</v>
      </c>
      <c r="AA3" s="53" t="s">
        <v>102</v>
      </c>
      <c r="AB3" s="53" t="s">
        <v>236</v>
      </c>
      <c r="AE3" s="22" t="s">
        <v>41</v>
      </c>
      <c r="AG3" s="23" t="s">
        <v>239</v>
      </c>
      <c r="AH3" s="82" t="s">
        <v>235</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232</v>
      </c>
      <c r="C4" s="53">
        <v>2019</v>
      </c>
      <c r="D4" s="81" t="s">
        <v>233</v>
      </c>
      <c r="E4" s="53" t="s">
        <v>234</v>
      </c>
      <c r="F4" s="53" t="s">
        <v>235</v>
      </c>
      <c r="G4" s="53" t="s">
        <v>42</v>
      </c>
      <c r="H4" s="53" t="s">
        <v>164</v>
      </c>
      <c r="I4" s="53" t="s">
        <v>197</v>
      </c>
      <c r="J4" s="53" t="s">
        <v>38</v>
      </c>
      <c r="K4" s="53" t="s">
        <v>161</v>
      </c>
      <c r="L4" s="53">
        <v>3</v>
      </c>
      <c r="N4" s="53">
        <v>5</v>
      </c>
      <c r="O4" s="53">
        <v>0.6</v>
      </c>
      <c r="P4" s="53">
        <v>0.6</v>
      </c>
      <c r="Q4" s="75">
        <f t="shared" si="0"/>
        <v>0.6</v>
      </c>
      <c r="R4" s="53">
        <v>13.4</v>
      </c>
      <c r="S4" s="53">
        <v>99</v>
      </c>
      <c r="T4" s="16">
        <f t="shared" si="1"/>
        <v>33</v>
      </c>
      <c r="U4" s="53">
        <v>539</v>
      </c>
      <c r="V4" s="16">
        <f t="shared" si="2"/>
        <v>3557.4</v>
      </c>
      <c r="W4" s="53">
        <v>4</v>
      </c>
      <c r="X4" s="53" t="s">
        <v>46</v>
      </c>
      <c r="Y4" s="53" t="s">
        <v>225</v>
      </c>
      <c r="Z4" s="53" t="s">
        <v>88</v>
      </c>
      <c r="AA4" s="53" t="s">
        <v>102</v>
      </c>
      <c r="AB4" s="53" t="s">
        <v>236</v>
      </c>
      <c r="AE4" s="22" t="s">
        <v>34</v>
      </c>
      <c r="AG4" s="23" t="s">
        <v>240</v>
      </c>
      <c r="AH4" s="82" t="s">
        <v>241</v>
      </c>
      <c r="AJ4" s="27" t="s">
        <v>48</v>
      </c>
      <c r="AL4" s="27" t="s">
        <v>242</v>
      </c>
      <c r="AN4" s="28" t="s">
        <v>49</v>
      </c>
      <c r="AP4" s="23" t="s">
        <v>93</v>
      </c>
      <c r="AR4" s="23" t="s">
        <v>121</v>
      </c>
      <c r="AT4" s="28"/>
      <c r="AV4" s="23" t="s">
        <v>50</v>
      </c>
      <c r="AX4" s="24">
        <v>75</v>
      </c>
      <c r="AY4" s="25">
        <v>42</v>
      </c>
      <c r="AZ4" s="25">
        <v>76</v>
      </c>
      <c r="BA4" s="26">
        <v>39</v>
      </c>
    </row>
    <row r="5" spans="1:53" x14ac:dyDescent="0.15">
      <c r="A5" s="53" t="s">
        <v>56</v>
      </c>
      <c r="B5" s="53" t="s">
        <v>232</v>
      </c>
      <c r="C5" s="53">
        <v>2019</v>
      </c>
      <c r="D5" s="81" t="s">
        <v>233</v>
      </c>
      <c r="E5" s="53" t="s">
        <v>234</v>
      </c>
      <c r="F5" s="53" t="s">
        <v>235</v>
      </c>
      <c r="G5" s="53" t="s">
        <v>42</v>
      </c>
      <c r="H5" s="53" t="s">
        <v>160</v>
      </c>
      <c r="I5" s="53" t="s">
        <v>197</v>
      </c>
      <c r="J5" s="53" t="s">
        <v>38</v>
      </c>
      <c r="K5" s="53" t="s">
        <v>161</v>
      </c>
      <c r="L5" s="53">
        <v>1</v>
      </c>
      <c r="N5" s="53">
        <v>1</v>
      </c>
      <c r="O5" s="53">
        <v>0.55000000000000004</v>
      </c>
      <c r="P5" s="53">
        <v>0.55000000000000004</v>
      </c>
      <c r="Q5" s="75">
        <f t="shared" si="0"/>
        <v>0.55000000000000004</v>
      </c>
      <c r="R5" s="53">
        <v>15.1</v>
      </c>
      <c r="S5" s="53">
        <v>140</v>
      </c>
      <c r="T5" s="16">
        <f t="shared" si="1"/>
        <v>22</v>
      </c>
      <c r="U5" s="53">
        <v>183</v>
      </c>
      <c r="V5" s="16">
        <f t="shared" si="2"/>
        <v>4026</v>
      </c>
      <c r="W5" s="53">
        <v>4</v>
      </c>
      <c r="X5" s="53" t="s">
        <v>46</v>
      </c>
      <c r="Y5" s="53" t="s">
        <v>225</v>
      </c>
      <c r="Z5" s="53" t="s">
        <v>88</v>
      </c>
      <c r="AA5" s="53" t="s">
        <v>102</v>
      </c>
      <c r="AB5" s="53" t="s">
        <v>236</v>
      </c>
      <c r="AE5" s="22" t="s">
        <v>51</v>
      </c>
      <c r="AG5" s="23" t="s">
        <v>243</v>
      </c>
      <c r="AH5" s="82" t="s">
        <v>244</v>
      </c>
      <c r="AJ5" s="28"/>
      <c r="AL5" s="73" t="s">
        <v>66</v>
      </c>
      <c r="AN5" s="73" t="s">
        <v>52</v>
      </c>
      <c r="AP5" s="23" t="s">
        <v>245</v>
      </c>
      <c r="AR5" s="23" t="s">
        <v>54</v>
      </c>
      <c r="AV5" s="23" t="s">
        <v>55</v>
      </c>
      <c r="AX5" s="24">
        <v>84</v>
      </c>
      <c r="AY5" s="25">
        <v>39</v>
      </c>
      <c r="AZ5" s="25">
        <v>84</v>
      </c>
      <c r="BA5" s="26">
        <v>36</v>
      </c>
    </row>
    <row r="6" spans="1:53" x14ac:dyDescent="0.15">
      <c r="A6" s="53" t="s">
        <v>56</v>
      </c>
      <c r="B6" s="53" t="s">
        <v>232</v>
      </c>
      <c r="C6" s="53">
        <v>2019</v>
      </c>
      <c r="D6" s="81" t="s">
        <v>233</v>
      </c>
      <c r="E6" s="53" t="s">
        <v>234</v>
      </c>
      <c r="F6" s="53" t="s">
        <v>235</v>
      </c>
      <c r="G6" s="53" t="s">
        <v>42</v>
      </c>
      <c r="H6" s="53" t="s">
        <v>160</v>
      </c>
      <c r="I6" s="53" t="s">
        <v>197</v>
      </c>
      <c r="J6" s="53" t="s">
        <v>38</v>
      </c>
      <c r="K6" s="53" t="s">
        <v>161</v>
      </c>
      <c r="L6" s="53">
        <v>2</v>
      </c>
      <c r="N6" s="53">
        <v>1</v>
      </c>
      <c r="O6" s="53">
        <v>0.5</v>
      </c>
      <c r="P6" s="53">
        <v>0.5</v>
      </c>
      <c r="Q6" s="75">
        <f t="shared" si="0"/>
        <v>0.5</v>
      </c>
      <c r="R6" s="53">
        <v>16.399999999999999</v>
      </c>
      <c r="S6" s="53">
        <v>149</v>
      </c>
      <c r="T6" s="16">
        <f t="shared" si="1"/>
        <v>22</v>
      </c>
      <c r="U6" s="53">
        <v>183</v>
      </c>
      <c r="V6" s="16">
        <f t="shared" si="2"/>
        <v>4026</v>
      </c>
      <c r="W6" s="53">
        <v>4</v>
      </c>
      <c r="X6" s="53" t="s">
        <v>46</v>
      </c>
      <c r="Y6" s="53" t="s">
        <v>225</v>
      </c>
      <c r="Z6" s="53" t="s">
        <v>88</v>
      </c>
      <c r="AA6" s="53" t="s">
        <v>102</v>
      </c>
      <c r="AB6" s="53" t="s">
        <v>236</v>
      </c>
      <c r="AE6" s="22" t="s">
        <v>56</v>
      </c>
      <c r="AG6" s="23" t="s">
        <v>246</v>
      </c>
      <c r="AH6" s="82" t="s">
        <v>244</v>
      </c>
      <c r="AL6" s="73" t="s">
        <v>99</v>
      </c>
      <c r="AN6" s="73" t="s">
        <v>57</v>
      </c>
      <c r="AP6" s="23" t="s">
        <v>53</v>
      </c>
      <c r="AR6" s="23" t="s">
        <v>59</v>
      </c>
      <c r="AV6" s="23" t="s">
        <v>60</v>
      </c>
      <c r="AX6" s="24">
        <v>97</v>
      </c>
      <c r="AY6" s="25">
        <v>36</v>
      </c>
      <c r="AZ6" s="25">
        <v>99</v>
      </c>
      <c r="BA6" s="26">
        <v>33</v>
      </c>
    </row>
    <row r="7" spans="1:53" x14ac:dyDescent="0.15">
      <c r="A7" s="53" t="s">
        <v>56</v>
      </c>
      <c r="B7" s="53" t="s">
        <v>232</v>
      </c>
      <c r="C7" s="53">
        <v>2019</v>
      </c>
      <c r="D7" s="81" t="s">
        <v>233</v>
      </c>
      <c r="E7" s="53" t="s">
        <v>234</v>
      </c>
      <c r="F7" s="53" t="s">
        <v>235</v>
      </c>
      <c r="G7" s="53" t="s">
        <v>42</v>
      </c>
      <c r="H7" s="53" t="s">
        <v>160</v>
      </c>
      <c r="I7" s="53" t="s">
        <v>197</v>
      </c>
      <c r="J7" s="53" t="s">
        <v>38</v>
      </c>
      <c r="K7" s="53" t="s">
        <v>161</v>
      </c>
      <c r="L7" s="53">
        <v>3</v>
      </c>
      <c r="N7" s="53">
        <v>1</v>
      </c>
      <c r="O7" s="53">
        <v>0.5</v>
      </c>
      <c r="P7" s="53">
        <v>0.5</v>
      </c>
      <c r="Q7" s="75">
        <f t="shared" si="0"/>
        <v>0.5</v>
      </c>
      <c r="R7" s="53">
        <v>17.3</v>
      </c>
      <c r="S7" s="53">
        <v>138</v>
      </c>
      <c r="T7" s="16">
        <f t="shared" si="1"/>
        <v>22</v>
      </c>
      <c r="U7" s="53">
        <v>183</v>
      </c>
      <c r="V7" s="16">
        <f t="shared" si="2"/>
        <v>4026</v>
      </c>
      <c r="W7" s="53">
        <v>4</v>
      </c>
      <c r="X7" s="53" t="s">
        <v>46</v>
      </c>
      <c r="Y7" s="53" t="s">
        <v>225</v>
      </c>
      <c r="Z7" s="53" t="s">
        <v>88</v>
      </c>
      <c r="AA7" s="53" t="s">
        <v>102</v>
      </c>
      <c r="AB7" s="53" t="s">
        <v>236</v>
      </c>
      <c r="AE7" s="22" t="s">
        <v>61</v>
      </c>
      <c r="AG7" s="23" t="s">
        <v>247</v>
      </c>
      <c r="AH7" s="82" t="s">
        <v>248</v>
      </c>
      <c r="AL7" s="83" t="s">
        <v>109</v>
      </c>
      <c r="AP7" s="23" t="s">
        <v>58</v>
      </c>
      <c r="AR7" s="23" t="s">
        <v>122</v>
      </c>
      <c r="AV7" s="23" t="s">
        <v>64</v>
      </c>
      <c r="AX7" s="24">
        <v>109</v>
      </c>
      <c r="AY7" s="25">
        <v>33</v>
      </c>
      <c r="AZ7" s="25">
        <v>113</v>
      </c>
      <c r="BA7" s="26">
        <v>30</v>
      </c>
    </row>
    <row r="8" spans="1:53" x14ac:dyDescent="0.15">
      <c r="A8" s="53" t="s">
        <v>56</v>
      </c>
      <c r="B8" s="53" t="s">
        <v>232</v>
      </c>
      <c r="C8" s="53">
        <v>2019</v>
      </c>
      <c r="D8" s="81" t="s">
        <v>233</v>
      </c>
      <c r="E8" s="53" t="s">
        <v>249</v>
      </c>
      <c r="F8" s="53" t="s">
        <v>235</v>
      </c>
      <c r="G8" s="53" t="s">
        <v>42</v>
      </c>
      <c r="H8" s="53" t="s">
        <v>164</v>
      </c>
      <c r="I8" s="53" t="s">
        <v>159</v>
      </c>
      <c r="J8" s="53" t="s">
        <v>38</v>
      </c>
      <c r="K8" s="53" t="s">
        <v>161</v>
      </c>
      <c r="L8" s="53">
        <v>1</v>
      </c>
      <c r="N8" s="53">
        <v>8</v>
      </c>
      <c r="O8" s="53">
        <v>0.5</v>
      </c>
      <c r="P8" s="53">
        <v>0.5</v>
      </c>
      <c r="Q8" s="75">
        <f t="shared" si="0"/>
        <v>0.5</v>
      </c>
      <c r="R8" s="53">
        <v>14.2</v>
      </c>
      <c r="S8" s="53">
        <v>102</v>
      </c>
      <c r="T8" s="16">
        <f t="shared" si="1"/>
        <v>33</v>
      </c>
      <c r="U8" s="53">
        <v>518</v>
      </c>
      <c r="V8" s="16">
        <f t="shared" si="2"/>
        <v>2136.75</v>
      </c>
      <c r="W8" s="53">
        <v>4</v>
      </c>
      <c r="X8" s="53" t="s">
        <v>46</v>
      </c>
      <c r="Y8" s="53" t="s">
        <v>88</v>
      </c>
      <c r="Z8" s="53" t="s">
        <v>102</v>
      </c>
      <c r="AA8" s="53" t="s">
        <v>55</v>
      </c>
      <c r="AB8" s="53" t="s">
        <v>236</v>
      </c>
      <c r="AE8" s="22" t="s">
        <v>59</v>
      </c>
      <c r="AG8" s="23" t="s">
        <v>250</v>
      </c>
      <c r="AH8" s="82" t="s">
        <v>248</v>
      </c>
      <c r="AL8" s="83" t="s">
        <v>134</v>
      </c>
      <c r="AP8" s="23" t="s">
        <v>62</v>
      </c>
      <c r="AR8" s="23" t="s">
        <v>81</v>
      </c>
      <c r="AV8" s="23" t="s">
        <v>97</v>
      </c>
      <c r="AX8" s="24">
        <v>119</v>
      </c>
      <c r="AY8" s="25">
        <v>30</v>
      </c>
      <c r="AZ8" s="25">
        <v>121</v>
      </c>
      <c r="BA8" s="26">
        <v>27</v>
      </c>
    </row>
    <row r="9" spans="1:53" x14ac:dyDescent="0.15">
      <c r="A9" s="53" t="s">
        <v>56</v>
      </c>
      <c r="B9" s="53" t="s">
        <v>232</v>
      </c>
      <c r="C9" s="53">
        <v>2019</v>
      </c>
      <c r="D9" s="81" t="s">
        <v>233</v>
      </c>
      <c r="E9" s="53" t="s">
        <v>249</v>
      </c>
      <c r="F9" s="53" t="s">
        <v>235</v>
      </c>
      <c r="G9" s="53" t="s">
        <v>42</v>
      </c>
      <c r="H9" s="53" t="s">
        <v>164</v>
      </c>
      <c r="I9" s="53" t="s">
        <v>159</v>
      </c>
      <c r="J9" s="53" t="s">
        <v>38</v>
      </c>
      <c r="K9" s="53" t="s">
        <v>161</v>
      </c>
      <c r="L9" s="53">
        <v>2</v>
      </c>
      <c r="N9" s="53">
        <v>8</v>
      </c>
      <c r="O9" s="53">
        <v>0.5</v>
      </c>
      <c r="P9" s="53">
        <v>0.5</v>
      </c>
      <c r="Q9" s="75">
        <f t="shared" si="0"/>
        <v>0.5</v>
      </c>
      <c r="R9" s="53">
        <v>15</v>
      </c>
      <c r="S9" s="53">
        <v>99</v>
      </c>
      <c r="T9" s="16">
        <f t="shared" si="1"/>
        <v>33</v>
      </c>
      <c r="U9" s="53">
        <v>518</v>
      </c>
      <c r="V9" s="16">
        <f t="shared" si="2"/>
        <v>2136.75</v>
      </c>
      <c r="W9" s="53">
        <v>4</v>
      </c>
      <c r="X9" s="53" t="s">
        <v>46</v>
      </c>
      <c r="Y9" s="53" t="s">
        <v>88</v>
      </c>
      <c r="Z9" s="53" t="s">
        <v>102</v>
      </c>
      <c r="AA9" s="53" t="s">
        <v>55</v>
      </c>
      <c r="AB9" s="53" t="s">
        <v>236</v>
      </c>
      <c r="AE9" s="22" t="s">
        <v>98</v>
      </c>
      <c r="AG9" s="23" t="s">
        <v>234</v>
      </c>
      <c r="AH9" s="23" t="s">
        <v>235</v>
      </c>
      <c r="AL9" s="73"/>
      <c r="AP9" s="23" t="s">
        <v>95</v>
      </c>
      <c r="AR9" s="23" t="s">
        <v>89</v>
      </c>
      <c r="AV9" s="23" t="s">
        <v>102</v>
      </c>
      <c r="AX9" s="24">
        <v>128</v>
      </c>
      <c r="AY9" s="25">
        <v>27</v>
      </c>
      <c r="AZ9" s="25">
        <v>129</v>
      </c>
      <c r="BA9" s="26">
        <v>25</v>
      </c>
    </row>
    <row r="10" spans="1:53" x14ac:dyDescent="0.15">
      <c r="A10" s="53" t="s">
        <v>56</v>
      </c>
      <c r="B10" s="53" t="s">
        <v>232</v>
      </c>
      <c r="C10" s="53">
        <v>2019</v>
      </c>
      <c r="D10" s="81" t="s">
        <v>233</v>
      </c>
      <c r="E10" s="53" t="s">
        <v>249</v>
      </c>
      <c r="F10" s="53" t="s">
        <v>235</v>
      </c>
      <c r="G10" s="53" t="s">
        <v>42</v>
      </c>
      <c r="H10" s="53" t="s">
        <v>164</v>
      </c>
      <c r="I10" s="53" t="s">
        <v>159</v>
      </c>
      <c r="J10" s="53" t="s">
        <v>38</v>
      </c>
      <c r="K10" s="53" t="s">
        <v>161</v>
      </c>
      <c r="L10" s="53">
        <v>3</v>
      </c>
      <c r="N10" s="53">
        <v>8</v>
      </c>
      <c r="O10" s="53">
        <v>0.55000000000000004</v>
      </c>
      <c r="P10" s="53">
        <v>0.55000000000000004</v>
      </c>
      <c r="Q10" s="75">
        <f t="shared" si="0"/>
        <v>0.55000000000000004</v>
      </c>
      <c r="R10" s="53">
        <v>12.9</v>
      </c>
      <c r="S10" s="53">
        <v>100</v>
      </c>
      <c r="T10" s="16">
        <f t="shared" si="1"/>
        <v>33</v>
      </c>
      <c r="U10" s="53">
        <v>518</v>
      </c>
      <c r="V10" s="16">
        <f t="shared" si="2"/>
        <v>2136.75</v>
      </c>
      <c r="W10" s="53">
        <v>4</v>
      </c>
      <c r="X10" s="53" t="s">
        <v>46</v>
      </c>
      <c r="Y10" s="53" t="s">
        <v>88</v>
      </c>
      <c r="Z10" s="53" t="s">
        <v>102</v>
      </c>
      <c r="AA10" s="53" t="s">
        <v>55</v>
      </c>
      <c r="AB10" s="53" t="s">
        <v>236</v>
      </c>
      <c r="AE10" s="22" t="s">
        <v>103</v>
      </c>
      <c r="AG10" s="23" t="s">
        <v>247</v>
      </c>
      <c r="AH10" s="82" t="s">
        <v>244</v>
      </c>
      <c r="AL10" s="83"/>
      <c r="AP10" s="23" t="s">
        <v>100</v>
      </c>
      <c r="AR10" s="23" t="s">
        <v>123</v>
      </c>
      <c r="AV10" s="23" t="s">
        <v>106</v>
      </c>
      <c r="AX10" s="24">
        <v>138</v>
      </c>
      <c r="AY10" s="25">
        <v>25</v>
      </c>
      <c r="AZ10" s="25">
        <v>138</v>
      </c>
      <c r="BA10" s="26">
        <v>22</v>
      </c>
    </row>
    <row r="11" spans="1:53" x14ac:dyDescent="0.15">
      <c r="A11" s="53" t="s">
        <v>56</v>
      </c>
      <c r="B11" s="53" t="s">
        <v>232</v>
      </c>
      <c r="C11" s="53">
        <v>2019</v>
      </c>
      <c r="D11" s="81" t="s">
        <v>233</v>
      </c>
      <c r="E11" s="53" t="s">
        <v>249</v>
      </c>
      <c r="F11" s="53" t="s">
        <v>235</v>
      </c>
      <c r="G11" s="53" t="s">
        <v>42</v>
      </c>
      <c r="H11" s="53" t="s">
        <v>160</v>
      </c>
      <c r="I11" s="53" t="s">
        <v>159</v>
      </c>
      <c r="J11" s="53" t="s">
        <v>38</v>
      </c>
      <c r="K11" s="53" t="s">
        <v>161</v>
      </c>
      <c r="L11" s="53">
        <v>1</v>
      </c>
      <c r="N11" s="53">
        <v>5</v>
      </c>
      <c r="O11" s="53">
        <v>0.7</v>
      </c>
      <c r="P11" s="53">
        <v>0.7</v>
      </c>
      <c r="Q11" s="75">
        <f t="shared" si="0"/>
        <v>0.7</v>
      </c>
      <c r="R11" s="53">
        <v>16.5</v>
      </c>
      <c r="S11" s="53">
        <v>108</v>
      </c>
      <c r="T11" s="16">
        <f t="shared" si="1"/>
        <v>33</v>
      </c>
      <c r="U11" s="53">
        <v>518</v>
      </c>
      <c r="V11" s="16">
        <f t="shared" si="2"/>
        <v>3418.7999999999997</v>
      </c>
      <c r="W11" s="53">
        <v>4</v>
      </c>
      <c r="X11" s="53" t="s">
        <v>46</v>
      </c>
      <c r="Y11" s="53" t="s">
        <v>88</v>
      </c>
      <c r="Z11" s="53" t="s">
        <v>102</v>
      </c>
      <c r="AA11" s="53" t="s">
        <v>55</v>
      </c>
      <c r="AB11" s="53" t="s">
        <v>236</v>
      </c>
      <c r="AE11" s="22" t="s">
        <v>65</v>
      </c>
      <c r="AG11" s="23" t="s">
        <v>246</v>
      </c>
      <c r="AH11" s="82" t="s">
        <v>244</v>
      </c>
      <c r="AJ11" s="83"/>
      <c r="AP11" s="23" t="s">
        <v>104</v>
      </c>
      <c r="AR11" s="23" t="s">
        <v>87</v>
      </c>
      <c r="AV11" s="23" t="s">
        <v>69</v>
      </c>
    </row>
    <row r="12" spans="1:53" x14ac:dyDescent="0.15">
      <c r="A12" s="53" t="s">
        <v>56</v>
      </c>
      <c r="B12" s="53" t="s">
        <v>232</v>
      </c>
      <c r="C12" s="53">
        <v>2019</v>
      </c>
      <c r="D12" s="81" t="s">
        <v>233</v>
      </c>
      <c r="E12" s="53" t="s">
        <v>249</v>
      </c>
      <c r="F12" s="53" t="s">
        <v>235</v>
      </c>
      <c r="G12" s="53" t="s">
        <v>42</v>
      </c>
      <c r="H12" s="53" t="s">
        <v>160</v>
      </c>
      <c r="I12" s="53" t="s">
        <v>159</v>
      </c>
      <c r="J12" s="53" t="s">
        <v>38</v>
      </c>
      <c r="K12" s="53" t="s">
        <v>161</v>
      </c>
      <c r="L12" s="53">
        <v>2</v>
      </c>
      <c r="N12" s="53">
        <v>5</v>
      </c>
      <c r="O12" s="53">
        <v>0.65</v>
      </c>
      <c r="P12" s="53">
        <v>0.65</v>
      </c>
      <c r="Q12" s="75">
        <f t="shared" si="0"/>
        <v>0.65</v>
      </c>
      <c r="R12" s="53">
        <v>16</v>
      </c>
      <c r="S12" s="53">
        <v>107</v>
      </c>
      <c r="T12" s="16">
        <f t="shared" si="1"/>
        <v>33</v>
      </c>
      <c r="U12" s="53">
        <v>518</v>
      </c>
      <c r="V12" s="16">
        <f t="shared" si="2"/>
        <v>3418.7999999999997</v>
      </c>
      <c r="W12" s="53">
        <v>4</v>
      </c>
      <c r="X12" s="53" t="s">
        <v>46</v>
      </c>
      <c r="Y12" s="53" t="s">
        <v>88</v>
      </c>
      <c r="Z12" s="53" t="s">
        <v>102</v>
      </c>
      <c r="AA12" s="53" t="s">
        <v>55</v>
      </c>
      <c r="AB12" s="53" t="s">
        <v>236</v>
      </c>
      <c r="AE12" s="22" t="s">
        <v>70</v>
      </c>
      <c r="AG12" s="23" t="s">
        <v>239</v>
      </c>
      <c r="AH12" s="82" t="s">
        <v>244</v>
      </c>
      <c r="AJ12" s="83"/>
      <c r="AP12" s="23" t="s">
        <v>67</v>
      </c>
      <c r="AR12" s="23" t="s">
        <v>124</v>
      </c>
      <c r="AV12" s="23" t="s">
        <v>72</v>
      </c>
    </row>
    <row r="13" spans="1:53" x14ac:dyDescent="0.15">
      <c r="A13" s="53" t="s">
        <v>56</v>
      </c>
      <c r="B13" s="53" t="s">
        <v>232</v>
      </c>
      <c r="C13" s="53">
        <v>2019</v>
      </c>
      <c r="D13" s="81" t="s">
        <v>233</v>
      </c>
      <c r="E13" s="53" t="s">
        <v>249</v>
      </c>
      <c r="F13" s="53" t="s">
        <v>235</v>
      </c>
      <c r="G13" s="53" t="s">
        <v>42</v>
      </c>
      <c r="H13" s="53" t="s">
        <v>160</v>
      </c>
      <c r="I13" s="53" t="s">
        <v>159</v>
      </c>
      <c r="J13" s="53" t="s">
        <v>38</v>
      </c>
      <c r="K13" s="53" t="s">
        <v>161</v>
      </c>
      <c r="L13" s="53">
        <v>3</v>
      </c>
      <c r="N13" s="53">
        <v>5</v>
      </c>
      <c r="O13" s="53">
        <v>0.75</v>
      </c>
      <c r="P13" s="53">
        <v>0.7</v>
      </c>
      <c r="Q13" s="75">
        <f t="shared" si="0"/>
        <v>0.72499999999999998</v>
      </c>
      <c r="R13" s="53">
        <v>15.1</v>
      </c>
      <c r="S13" s="53">
        <v>108</v>
      </c>
      <c r="T13" s="16">
        <f t="shared" si="1"/>
        <v>33</v>
      </c>
      <c r="U13" s="53">
        <v>518</v>
      </c>
      <c r="V13" s="16">
        <f t="shared" si="2"/>
        <v>3418.7999999999997</v>
      </c>
      <c r="W13" s="53">
        <v>4</v>
      </c>
      <c r="X13" s="53" t="s">
        <v>46</v>
      </c>
      <c r="Y13" s="53" t="s">
        <v>88</v>
      </c>
      <c r="Z13" s="53" t="s">
        <v>102</v>
      </c>
      <c r="AA13" s="53" t="s">
        <v>55</v>
      </c>
      <c r="AB13" s="53" t="s">
        <v>236</v>
      </c>
      <c r="AE13" s="22" t="s">
        <v>73</v>
      </c>
      <c r="AP13" s="23" t="s">
        <v>71</v>
      </c>
      <c r="AR13" s="23" t="s">
        <v>103</v>
      </c>
      <c r="AV13" s="23" t="s">
        <v>75</v>
      </c>
    </row>
    <row r="14" spans="1:53" x14ac:dyDescent="0.15">
      <c r="A14" s="53" t="s">
        <v>56</v>
      </c>
      <c r="B14" s="53" t="s">
        <v>232</v>
      </c>
      <c r="C14" s="53">
        <v>2019</v>
      </c>
      <c r="D14" s="81" t="s">
        <v>233</v>
      </c>
      <c r="E14" s="53" t="s">
        <v>162</v>
      </c>
      <c r="F14" s="53" t="s">
        <v>251</v>
      </c>
      <c r="G14" s="53" t="s">
        <v>42</v>
      </c>
      <c r="H14" s="53" t="s">
        <v>164</v>
      </c>
      <c r="I14" s="53" t="s">
        <v>159</v>
      </c>
      <c r="J14" s="53" t="s">
        <v>38</v>
      </c>
      <c r="K14" s="53" t="s">
        <v>161</v>
      </c>
      <c r="L14" s="53">
        <v>1</v>
      </c>
      <c r="N14" s="53">
        <v>1</v>
      </c>
      <c r="O14" s="53">
        <v>0.65</v>
      </c>
      <c r="P14" s="53">
        <v>0.7</v>
      </c>
      <c r="Q14" s="75">
        <f t="shared" si="0"/>
        <v>0.67500000000000004</v>
      </c>
      <c r="R14" s="53">
        <v>14</v>
      </c>
      <c r="S14" s="53">
        <v>120</v>
      </c>
      <c r="T14" s="16">
        <f t="shared" si="1"/>
        <v>30</v>
      </c>
      <c r="U14" s="53">
        <v>106</v>
      </c>
      <c r="V14" s="16">
        <f t="shared" si="2"/>
        <v>3180</v>
      </c>
      <c r="W14" s="53">
        <v>2</v>
      </c>
      <c r="X14" s="53" t="s">
        <v>46</v>
      </c>
      <c r="Y14" s="53" t="s">
        <v>102</v>
      </c>
      <c r="Z14" s="53" t="s">
        <v>88</v>
      </c>
      <c r="AA14" s="53" t="s">
        <v>78</v>
      </c>
      <c r="AB14" s="53" t="s">
        <v>236</v>
      </c>
      <c r="AE14" s="22" t="s">
        <v>76</v>
      </c>
      <c r="AP14" s="23" t="s">
        <v>74</v>
      </c>
      <c r="AR14" s="23" t="s">
        <v>125</v>
      </c>
      <c r="AV14" s="23" t="s">
        <v>78</v>
      </c>
    </row>
    <row r="15" spans="1:53" x14ac:dyDescent="0.15">
      <c r="A15" s="53" t="s">
        <v>56</v>
      </c>
      <c r="B15" s="53" t="s">
        <v>232</v>
      </c>
      <c r="C15" s="53">
        <v>2019</v>
      </c>
      <c r="D15" s="81" t="s">
        <v>233</v>
      </c>
      <c r="E15" s="53" t="s">
        <v>162</v>
      </c>
      <c r="F15" s="53" t="s">
        <v>251</v>
      </c>
      <c r="G15" s="53" t="s">
        <v>42</v>
      </c>
      <c r="H15" s="53" t="s">
        <v>164</v>
      </c>
      <c r="I15" s="53" t="s">
        <v>159</v>
      </c>
      <c r="J15" s="53" t="s">
        <v>38</v>
      </c>
      <c r="K15" s="53" t="s">
        <v>161</v>
      </c>
      <c r="L15" s="53">
        <v>2</v>
      </c>
      <c r="N15" s="53">
        <v>1</v>
      </c>
      <c r="O15" s="53">
        <v>0.7</v>
      </c>
      <c r="P15" s="53">
        <v>0.8</v>
      </c>
      <c r="Q15" s="75">
        <f t="shared" si="0"/>
        <v>0.75</v>
      </c>
      <c r="R15" s="53">
        <v>12.6</v>
      </c>
      <c r="S15" s="53">
        <v>120</v>
      </c>
      <c r="T15" s="16">
        <f t="shared" si="1"/>
        <v>30</v>
      </c>
      <c r="U15" s="53">
        <v>106</v>
      </c>
      <c r="V15" s="16">
        <f t="shared" si="2"/>
        <v>3180</v>
      </c>
      <c r="W15" s="53">
        <v>2</v>
      </c>
      <c r="X15" s="53" t="s">
        <v>46</v>
      </c>
      <c r="Y15" s="53" t="s">
        <v>102</v>
      </c>
      <c r="Z15" s="53" t="s">
        <v>88</v>
      </c>
      <c r="AA15" s="53" t="s">
        <v>78</v>
      </c>
      <c r="AB15" s="53" t="s">
        <v>236</v>
      </c>
      <c r="AE15" s="22" t="s">
        <v>79</v>
      </c>
      <c r="AP15" s="23" t="s">
        <v>77</v>
      </c>
      <c r="AR15" s="23" t="s">
        <v>94</v>
      </c>
      <c r="AV15" s="23" t="s">
        <v>107</v>
      </c>
    </row>
    <row r="16" spans="1:53" x14ac:dyDescent="0.15">
      <c r="A16" s="53" t="s">
        <v>56</v>
      </c>
      <c r="B16" s="53" t="s">
        <v>232</v>
      </c>
      <c r="C16" s="53">
        <v>2019</v>
      </c>
      <c r="D16" s="81" t="s">
        <v>233</v>
      </c>
      <c r="E16" s="53" t="s">
        <v>162</v>
      </c>
      <c r="F16" s="53" t="s">
        <v>251</v>
      </c>
      <c r="G16" s="53" t="s">
        <v>42</v>
      </c>
      <c r="H16" s="53" t="s">
        <v>164</v>
      </c>
      <c r="I16" s="53" t="s">
        <v>159</v>
      </c>
      <c r="J16" s="53" t="s">
        <v>38</v>
      </c>
      <c r="K16" s="53" t="s">
        <v>161</v>
      </c>
      <c r="L16" s="53">
        <v>3</v>
      </c>
      <c r="N16" s="53">
        <v>1</v>
      </c>
      <c r="O16" s="53">
        <v>0.6</v>
      </c>
      <c r="P16" s="53">
        <v>0.6</v>
      </c>
      <c r="Q16" s="75">
        <f t="shared" si="0"/>
        <v>0.6</v>
      </c>
      <c r="R16" s="53">
        <v>13.8</v>
      </c>
      <c r="S16" s="53">
        <v>116</v>
      </c>
      <c r="T16" s="16">
        <f t="shared" si="1"/>
        <v>30</v>
      </c>
      <c r="U16" s="53">
        <v>106</v>
      </c>
      <c r="V16" s="16">
        <f t="shared" si="2"/>
        <v>3180</v>
      </c>
      <c r="W16" s="53">
        <v>2</v>
      </c>
      <c r="X16" s="53" t="s">
        <v>46</v>
      </c>
      <c r="Y16" s="53" t="s">
        <v>102</v>
      </c>
      <c r="Z16" s="53" t="s">
        <v>88</v>
      </c>
      <c r="AA16" s="53" t="s">
        <v>78</v>
      </c>
      <c r="AB16" s="53" t="s">
        <v>236</v>
      </c>
      <c r="AE16" s="22" t="s">
        <v>82</v>
      </c>
      <c r="AP16" s="23" t="s">
        <v>80</v>
      </c>
      <c r="AR16" s="23" t="s">
        <v>63</v>
      </c>
      <c r="AV16" s="23" t="s">
        <v>84</v>
      </c>
    </row>
    <row r="17" spans="1:48" x14ac:dyDescent="0.15">
      <c r="A17" s="53" t="s">
        <v>56</v>
      </c>
      <c r="B17" s="53" t="s">
        <v>232</v>
      </c>
      <c r="C17" s="53">
        <v>2019</v>
      </c>
      <c r="D17" s="81" t="s">
        <v>233</v>
      </c>
      <c r="E17" s="53" t="s">
        <v>162</v>
      </c>
      <c r="F17" s="53" t="s">
        <v>251</v>
      </c>
      <c r="G17" s="53" t="s">
        <v>42</v>
      </c>
      <c r="H17" s="53" t="s">
        <v>160</v>
      </c>
      <c r="I17" s="53" t="s">
        <v>159</v>
      </c>
      <c r="J17" s="53" t="s">
        <v>38</v>
      </c>
      <c r="K17" s="53" t="s">
        <v>161</v>
      </c>
      <c r="L17" s="53">
        <v>1</v>
      </c>
      <c r="N17" s="53">
        <v>1</v>
      </c>
      <c r="O17" s="53">
        <v>0.75</v>
      </c>
      <c r="P17" s="53">
        <v>0.6</v>
      </c>
      <c r="Q17" s="75">
        <f t="shared" si="0"/>
        <v>0.67500000000000004</v>
      </c>
      <c r="R17" s="53">
        <v>14.6</v>
      </c>
      <c r="S17" s="53">
        <v>112</v>
      </c>
      <c r="T17" s="16">
        <f t="shared" si="1"/>
        <v>33</v>
      </c>
      <c r="U17" s="53">
        <v>138</v>
      </c>
      <c r="V17" s="16">
        <f t="shared" si="2"/>
        <v>4554</v>
      </c>
      <c r="W17" s="53">
        <v>2</v>
      </c>
      <c r="X17" s="53" t="s">
        <v>46</v>
      </c>
      <c r="Y17" s="53" t="s">
        <v>102</v>
      </c>
      <c r="Z17" s="53" t="s">
        <v>88</v>
      </c>
      <c r="AA17" s="53" t="s">
        <v>78</v>
      </c>
      <c r="AB17" s="53" t="s">
        <v>236</v>
      </c>
      <c r="AE17" s="22" t="s">
        <v>85</v>
      </c>
      <c r="AP17" s="27" t="s">
        <v>110</v>
      </c>
      <c r="AR17" s="23" t="s">
        <v>96</v>
      </c>
      <c r="AV17" s="23" t="s">
        <v>86</v>
      </c>
    </row>
    <row r="18" spans="1:48" x14ac:dyDescent="0.15">
      <c r="A18" s="53" t="s">
        <v>56</v>
      </c>
      <c r="B18" s="53" t="s">
        <v>232</v>
      </c>
      <c r="C18" s="53">
        <v>2019</v>
      </c>
      <c r="D18" s="81" t="s">
        <v>233</v>
      </c>
      <c r="E18" s="53" t="s">
        <v>162</v>
      </c>
      <c r="F18" s="53" t="s">
        <v>251</v>
      </c>
      <c r="G18" s="53" t="s">
        <v>42</v>
      </c>
      <c r="H18" s="53" t="s">
        <v>160</v>
      </c>
      <c r="I18" s="53" t="s">
        <v>159</v>
      </c>
      <c r="J18" s="53" t="s">
        <v>38</v>
      </c>
      <c r="K18" s="53" t="s">
        <v>161</v>
      </c>
      <c r="L18" s="53">
        <v>2</v>
      </c>
      <c r="N18" s="53">
        <v>1</v>
      </c>
      <c r="O18" s="53">
        <v>0.6</v>
      </c>
      <c r="P18" s="53">
        <v>0.6</v>
      </c>
      <c r="Q18" s="75">
        <f t="shared" si="0"/>
        <v>0.6</v>
      </c>
      <c r="R18" s="53">
        <v>13</v>
      </c>
      <c r="S18" s="53">
        <v>106</v>
      </c>
      <c r="T18" s="16">
        <f t="shared" si="1"/>
        <v>33</v>
      </c>
      <c r="U18" s="53">
        <v>138</v>
      </c>
      <c r="V18" s="16">
        <f t="shared" si="2"/>
        <v>4554</v>
      </c>
      <c r="W18" s="53">
        <v>2</v>
      </c>
      <c r="X18" s="53" t="s">
        <v>46</v>
      </c>
      <c r="Y18" s="53" t="s">
        <v>102</v>
      </c>
      <c r="Z18" s="53" t="s">
        <v>88</v>
      </c>
      <c r="AA18" s="53" t="s">
        <v>78</v>
      </c>
      <c r="AB18" s="53" t="s">
        <v>236</v>
      </c>
      <c r="AE18" s="22" t="s">
        <v>87</v>
      </c>
      <c r="AP18" s="27" t="s">
        <v>111</v>
      </c>
      <c r="AR18" s="23" t="s">
        <v>101</v>
      </c>
      <c r="AV18" s="23" t="s">
        <v>88</v>
      </c>
    </row>
    <row r="19" spans="1:48" x14ac:dyDescent="0.15">
      <c r="A19" s="53" t="s">
        <v>56</v>
      </c>
      <c r="B19" s="53" t="s">
        <v>232</v>
      </c>
      <c r="C19" s="53">
        <v>2019</v>
      </c>
      <c r="D19" s="81" t="s">
        <v>233</v>
      </c>
      <c r="E19" s="53" t="s">
        <v>162</v>
      </c>
      <c r="F19" s="53" t="s">
        <v>251</v>
      </c>
      <c r="G19" s="53" t="s">
        <v>42</v>
      </c>
      <c r="H19" s="53" t="s">
        <v>160</v>
      </c>
      <c r="I19" s="53" t="s">
        <v>159</v>
      </c>
      <c r="J19" s="53" t="s">
        <v>38</v>
      </c>
      <c r="K19" s="53" t="s">
        <v>161</v>
      </c>
      <c r="L19" s="53">
        <v>3</v>
      </c>
      <c r="N19" s="53">
        <v>1</v>
      </c>
      <c r="O19" s="53">
        <v>0.7</v>
      </c>
      <c r="P19" s="53">
        <v>0.7</v>
      </c>
      <c r="Q19" s="75">
        <f t="shared" si="0"/>
        <v>0.7</v>
      </c>
      <c r="R19" s="53">
        <v>16.899999999999999</v>
      </c>
      <c r="S19" s="53">
        <v>115</v>
      </c>
      <c r="T19" s="16">
        <f t="shared" si="1"/>
        <v>30</v>
      </c>
      <c r="U19" s="53">
        <v>138</v>
      </c>
      <c r="V19" s="16">
        <f t="shared" si="2"/>
        <v>4140</v>
      </c>
      <c r="W19" s="53">
        <v>2</v>
      </c>
      <c r="X19" s="53" t="s">
        <v>46</v>
      </c>
      <c r="Y19" s="53" t="s">
        <v>102</v>
      </c>
      <c r="Z19" s="53" t="s">
        <v>88</v>
      </c>
      <c r="AA19" s="53" t="s">
        <v>78</v>
      </c>
      <c r="AB19" s="53" t="s">
        <v>236</v>
      </c>
      <c r="AE19" s="35" t="s">
        <v>89</v>
      </c>
      <c r="AP19" s="27" t="s">
        <v>112</v>
      </c>
      <c r="AR19" s="23" t="s">
        <v>126</v>
      </c>
      <c r="AV19" s="23" t="s">
        <v>90</v>
      </c>
    </row>
    <row r="20" spans="1:48" x14ac:dyDescent="0.15">
      <c r="A20" s="53" t="s">
        <v>56</v>
      </c>
      <c r="B20" s="53" t="s">
        <v>232</v>
      </c>
      <c r="C20" s="53">
        <v>2019</v>
      </c>
      <c r="D20" s="81" t="s">
        <v>233</v>
      </c>
      <c r="E20" s="53" t="s">
        <v>252</v>
      </c>
      <c r="F20" s="53" t="s">
        <v>253</v>
      </c>
      <c r="G20" s="53" t="s">
        <v>42</v>
      </c>
      <c r="H20" s="53" t="s">
        <v>164</v>
      </c>
      <c r="I20" s="53" t="s">
        <v>159</v>
      </c>
      <c r="J20" s="53" t="s">
        <v>38</v>
      </c>
      <c r="K20" s="53" t="s">
        <v>161</v>
      </c>
      <c r="L20" s="53">
        <v>1</v>
      </c>
      <c r="N20" s="53">
        <v>5</v>
      </c>
      <c r="O20" s="53">
        <v>0.55000000000000004</v>
      </c>
      <c r="P20" s="53">
        <v>0.5</v>
      </c>
      <c r="Q20" s="75">
        <f t="shared" si="0"/>
        <v>0.52500000000000002</v>
      </c>
      <c r="R20" s="53">
        <v>16.399999999999999</v>
      </c>
      <c r="S20" s="53">
        <v>88</v>
      </c>
      <c r="T20" s="16">
        <f t="shared" si="1"/>
        <v>36</v>
      </c>
      <c r="U20" s="53">
        <v>430</v>
      </c>
      <c r="V20" s="16">
        <f t="shared" si="2"/>
        <v>3096</v>
      </c>
      <c r="W20" s="53">
        <v>2</v>
      </c>
      <c r="X20" s="53" t="s">
        <v>46</v>
      </c>
      <c r="Y20" s="53" t="s">
        <v>102</v>
      </c>
      <c r="Z20" s="53" t="s">
        <v>88</v>
      </c>
      <c r="AA20" s="53" t="s">
        <v>78</v>
      </c>
      <c r="AB20" s="53" t="s">
        <v>236</v>
      </c>
      <c r="AP20" s="27" t="s">
        <v>113</v>
      </c>
      <c r="AR20" s="23" t="s">
        <v>105</v>
      </c>
      <c r="AV20" s="27" t="s">
        <v>135</v>
      </c>
    </row>
    <row r="21" spans="1:48" x14ac:dyDescent="0.15">
      <c r="A21" s="53" t="s">
        <v>56</v>
      </c>
      <c r="B21" s="53" t="s">
        <v>232</v>
      </c>
      <c r="C21" s="53">
        <v>2019</v>
      </c>
      <c r="D21" s="81" t="s">
        <v>233</v>
      </c>
      <c r="E21" s="53" t="s">
        <v>252</v>
      </c>
      <c r="F21" s="53" t="s">
        <v>253</v>
      </c>
      <c r="G21" s="53" t="s">
        <v>42</v>
      </c>
      <c r="H21" s="53" t="s">
        <v>164</v>
      </c>
      <c r="I21" s="53" t="s">
        <v>159</v>
      </c>
      <c r="J21" s="53" t="s">
        <v>38</v>
      </c>
      <c r="K21" s="53" t="s">
        <v>161</v>
      </c>
      <c r="L21" s="53">
        <v>2</v>
      </c>
      <c r="N21" s="53">
        <v>5</v>
      </c>
      <c r="O21" s="53">
        <v>0.65</v>
      </c>
      <c r="P21" s="53">
        <v>0.75</v>
      </c>
      <c r="Q21" s="75">
        <f t="shared" si="0"/>
        <v>0.7</v>
      </c>
      <c r="R21" s="53">
        <v>13.3</v>
      </c>
      <c r="S21" s="53">
        <v>82</v>
      </c>
      <c r="T21" s="16">
        <f t="shared" si="1"/>
        <v>39</v>
      </c>
      <c r="U21" s="53">
        <v>430</v>
      </c>
      <c r="V21" s="16">
        <f t="shared" si="2"/>
        <v>3354</v>
      </c>
      <c r="W21" s="53">
        <v>2</v>
      </c>
      <c r="X21" s="53" t="s">
        <v>46</v>
      </c>
      <c r="Y21" s="53" t="s">
        <v>102</v>
      </c>
      <c r="Z21" s="53" t="s">
        <v>88</v>
      </c>
      <c r="AA21" s="53" t="s">
        <v>78</v>
      </c>
      <c r="AB21" s="53" t="s">
        <v>236</v>
      </c>
      <c r="AP21" s="27" t="s">
        <v>114</v>
      </c>
      <c r="AR21" s="23" t="s">
        <v>68</v>
      </c>
      <c r="AV21" s="28" t="s">
        <v>254</v>
      </c>
    </row>
    <row r="22" spans="1:48" x14ac:dyDescent="0.15">
      <c r="A22" s="53" t="s">
        <v>56</v>
      </c>
      <c r="B22" s="53" t="s">
        <v>232</v>
      </c>
      <c r="C22" s="53">
        <v>2019</v>
      </c>
      <c r="D22" s="81" t="s">
        <v>233</v>
      </c>
      <c r="E22" s="53" t="s">
        <v>252</v>
      </c>
      <c r="F22" s="53" t="s">
        <v>253</v>
      </c>
      <c r="G22" s="53" t="s">
        <v>42</v>
      </c>
      <c r="H22" s="53" t="s">
        <v>164</v>
      </c>
      <c r="I22" s="53" t="s">
        <v>159</v>
      </c>
      <c r="J22" s="53" t="s">
        <v>38</v>
      </c>
      <c r="K22" s="53" t="s">
        <v>161</v>
      </c>
      <c r="L22" s="53">
        <v>3</v>
      </c>
      <c r="N22" s="53">
        <v>5</v>
      </c>
      <c r="O22" s="53">
        <v>0.75</v>
      </c>
      <c r="P22" s="53">
        <v>0.75</v>
      </c>
      <c r="Q22" s="75">
        <f t="shared" si="0"/>
        <v>0.75</v>
      </c>
      <c r="R22" s="53">
        <v>14.9</v>
      </c>
      <c r="S22" s="53">
        <v>84</v>
      </c>
      <c r="T22" s="16">
        <f t="shared" si="1"/>
        <v>36</v>
      </c>
      <c r="U22" s="53">
        <v>430</v>
      </c>
      <c r="V22" s="16">
        <f t="shared" si="2"/>
        <v>3096</v>
      </c>
      <c r="W22" s="53">
        <v>2</v>
      </c>
      <c r="X22" s="53" t="s">
        <v>46</v>
      </c>
      <c r="Y22" s="53" t="s">
        <v>102</v>
      </c>
      <c r="Z22" s="53" t="s">
        <v>88</v>
      </c>
      <c r="AA22" s="53" t="s">
        <v>78</v>
      </c>
      <c r="AB22" s="53" t="s">
        <v>236</v>
      </c>
      <c r="AP22" s="27" t="s">
        <v>115</v>
      </c>
      <c r="AR22" s="23" t="s">
        <v>83</v>
      </c>
    </row>
    <row r="23" spans="1:48" x14ac:dyDescent="0.15">
      <c r="A23" s="53" t="s">
        <v>56</v>
      </c>
      <c r="B23" s="53" t="s">
        <v>232</v>
      </c>
      <c r="C23" s="53">
        <v>2019</v>
      </c>
      <c r="D23" s="81" t="s">
        <v>233</v>
      </c>
      <c r="E23" s="53" t="s">
        <v>252</v>
      </c>
      <c r="F23" s="53" t="s">
        <v>253</v>
      </c>
      <c r="G23" s="53" t="s">
        <v>42</v>
      </c>
      <c r="H23" s="53" t="s">
        <v>160</v>
      </c>
      <c r="I23" s="53" t="s">
        <v>159</v>
      </c>
      <c r="J23" s="53" t="s">
        <v>38</v>
      </c>
      <c r="K23" s="53" t="s">
        <v>161</v>
      </c>
      <c r="L23" s="53">
        <v>1</v>
      </c>
      <c r="N23" s="53">
        <v>5</v>
      </c>
      <c r="O23" s="53">
        <v>0.85</v>
      </c>
      <c r="P23" s="53">
        <v>0.65</v>
      </c>
      <c r="Q23" s="75">
        <f t="shared" si="0"/>
        <v>0.75</v>
      </c>
      <c r="R23" s="53">
        <v>15</v>
      </c>
      <c r="S23" s="53">
        <v>117</v>
      </c>
      <c r="T23" s="16">
        <f t="shared" si="1"/>
        <v>30</v>
      </c>
      <c r="U23" s="53">
        <v>646</v>
      </c>
      <c r="V23" s="16">
        <f t="shared" si="2"/>
        <v>3875.9999999999995</v>
      </c>
      <c r="W23" s="53">
        <v>2</v>
      </c>
      <c r="X23" s="53" t="s">
        <v>46</v>
      </c>
      <c r="Y23" s="53" t="s">
        <v>102</v>
      </c>
      <c r="Z23" s="53" t="s">
        <v>88</v>
      </c>
      <c r="AA23" s="53" t="s">
        <v>78</v>
      </c>
      <c r="AB23" s="53" t="s">
        <v>236</v>
      </c>
      <c r="AP23" s="27" t="s">
        <v>137</v>
      </c>
      <c r="AR23" s="23" t="s">
        <v>61</v>
      </c>
    </row>
    <row r="24" spans="1:48" x14ac:dyDescent="0.15">
      <c r="A24" s="53" t="s">
        <v>56</v>
      </c>
      <c r="B24" s="53" t="s">
        <v>232</v>
      </c>
      <c r="C24" s="53">
        <v>2019</v>
      </c>
      <c r="D24" s="81" t="s">
        <v>233</v>
      </c>
      <c r="E24" s="53" t="s">
        <v>252</v>
      </c>
      <c r="F24" s="53" t="s">
        <v>253</v>
      </c>
      <c r="G24" s="53" t="s">
        <v>42</v>
      </c>
      <c r="H24" s="53" t="s">
        <v>160</v>
      </c>
      <c r="I24" s="53" t="s">
        <v>159</v>
      </c>
      <c r="J24" s="53" t="s">
        <v>38</v>
      </c>
      <c r="K24" s="53" t="s">
        <v>161</v>
      </c>
      <c r="L24" s="53">
        <v>2</v>
      </c>
      <c r="N24" s="53">
        <v>5</v>
      </c>
      <c r="O24" s="53">
        <v>0.6</v>
      </c>
      <c r="P24" s="53">
        <v>0.7</v>
      </c>
      <c r="Q24" s="75">
        <f t="shared" si="0"/>
        <v>0.64999999999999991</v>
      </c>
      <c r="R24" s="53">
        <v>13.8</v>
      </c>
      <c r="S24" s="53">
        <v>126</v>
      </c>
      <c r="T24" s="16">
        <f t="shared" si="1"/>
        <v>27</v>
      </c>
      <c r="U24" s="53">
        <v>646</v>
      </c>
      <c r="V24" s="16">
        <f t="shared" si="2"/>
        <v>3488.3999999999996</v>
      </c>
      <c r="W24" s="53">
        <v>2</v>
      </c>
      <c r="X24" s="53" t="s">
        <v>46</v>
      </c>
      <c r="Y24" s="53" t="s">
        <v>102</v>
      </c>
      <c r="Z24" s="53" t="s">
        <v>88</v>
      </c>
      <c r="AA24" s="53" t="s">
        <v>78</v>
      </c>
      <c r="AB24" s="53" t="s">
        <v>236</v>
      </c>
      <c r="AP24" s="27" t="s">
        <v>138</v>
      </c>
      <c r="AR24" s="23" t="s">
        <v>91</v>
      </c>
    </row>
    <row r="25" spans="1:48" x14ac:dyDescent="0.15">
      <c r="A25" s="53" t="s">
        <v>56</v>
      </c>
      <c r="B25" s="53" t="s">
        <v>232</v>
      </c>
      <c r="C25" s="53">
        <v>2019</v>
      </c>
      <c r="D25" s="81" t="s">
        <v>233</v>
      </c>
      <c r="E25" s="53" t="s">
        <v>252</v>
      </c>
      <c r="F25" s="53" t="s">
        <v>253</v>
      </c>
      <c r="G25" s="53" t="s">
        <v>42</v>
      </c>
      <c r="H25" s="53" t="s">
        <v>160</v>
      </c>
      <c r="I25" s="53" t="s">
        <v>159</v>
      </c>
      <c r="J25" s="53" t="s">
        <v>38</v>
      </c>
      <c r="K25" s="53" t="s">
        <v>161</v>
      </c>
      <c r="L25" s="53">
        <v>3</v>
      </c>
      <c r="N25" s="53">
        <v>5</v>
      </c>
      <c r="O25" s="53">
        <v>0.65</v>
      </c>
      <c r="P25" s="53">
        <v>0.7</v>
      </c>
      <c r="Q25" s="75">
        <f t="shared" si="0"/>
        <v>0.67500000000000004</v>
      </c>
      <c r="R25" s="53">
        <v>14.1</v>
      </c>
      <c r="S25" s="53">
        <v>115</v>
      </c>
      <c r="T25" s="16">
        <f t="shared" si="1"/>
        <v>30</v>
      </c>
      <c r="U25" s="53">
        <v>646</v>
      </c>
      <c r="V25" s="16">
        <f t="shared" si="2"/>
        <v>3875.9999999999995</v>
      </c>
      <c r="W25" s="53">
        <v>2</v>
      </c>
      <c r="X25" s="53" t="s">
        <v>46</v>
      </c>
      <c r="Y25" s="53" t="s">
        <v>102</v>
      </c>
      <c r="Z25" s="53" t="s">
        <v>88</v>
      </c>
      <c r="AA25" s="53" t="s">
        <v>78</v>
      </c>
      <c r="AB25" s="53" t="s">
        <v>236</v>
      </c>
      <c r="AP25" s="27" t="s">
        <v>116</v>
      </c>
      <c r="AR25" s="27" t="s">
        <v>92</v>
      </c>
    </row>
    <row r="26" spans="1:48" x14ac:dyDescent="0.15">
      <c r="A26" s="53" t="s">
        <v>56</v>
      </c>
      <c r="B26" s="53" t="s">
        <v>232</v>
      </c>
      <c r="C26" s="53">
        <v>2019</v>
      </c>
      <c r="D26" s="81" t="s">
        <v>233</v>
      </c>
      <c r="E26" s="53" t="s">
        <v>255</v>
      </c>
      <c r="F26" s="53" t="s">
        <v>251</v>
      </c>
      <c r="G26" s="53" t="s">
        <v>42</v>
      </c>
      <c r="H26" s="53" t="s">
        <v>164</v>
      </c>
      <c r="I26" s="53" t="s">
        <v>159</v>
      </c>
      <c r="J26" s="53" t="s">
        <v>38</v>
      </c>
      <c r="K26" s="53" t="s">
        <v>161</v>
      </c>
      <c r="L26" s="53">
        <v>1</v>
      </c>
      <c r="N26" s="53">
        <v>1</v>
      </c>
      <c r="O26" s="53">
        <v>0.8</v>
      </c>
      <c r="P26" s="53">
        <v>0.6</v>
      </c>
      <c r="Q26" s="16">
        <f t="shared" si="0"/>
        <v>0.7</v>
      </c>
      <c r="R26" s="53">
        <v>15.5</v>
      </c>
      <c r="S26" s="53">
        <v>131</v>
      </c>
      <c r="T26" s="16">
        <f t="shared" si="1"/>
        <v>25</v>
      </c>
      <c r="U26" s="53">
        <v>105</v>
      </c>
      <c r="V26" s="16">
        <f t="shared" si="2"/>
        <v>2625</v>
      </c>
      <c r="W26" s="53">
        <v>2</v>
      </c>
      <c r="X26" s="53" t="s">
        <v>39</v>
      </c>
      <c r="Y26" s="53" t="s">
        <v>102</v>
      </c>
      <c r="Z26" s="53" t="s">
        <v>88</v>
      </c>
      <c r="AA26" s="53" t="s">
        <v>78</v>
      </c>
      <c r="AB26" s="53" t="s">
        <v>236</v>
      </c>
      <c r="AP26" s="27" t="s">
        <v>117</v>
      </c>
      <c r="AR26" s="53" t="s">
        <v>153</v>
      </c>
    </row>
    <row r="27" spans="1:48" x14ac:dyDescent="0.15">
      <c r="A27" s="53" t="s">
        <v>56</v>
      </c>
      <c r="B27" s="53" t="s">
        <v>232</v>
      </c>
      <c r="C27" s="53">
        <v>2019</v>
      </c>
      <c r="D27" s="81" t="s">
        <v>233</v>
      </c>
      <c r="E27" s="53" t="s">
        <v>255</v>
      </c>
      <c r="F27" s="53" t="s">
        <v>251</v>
      </c>
      <c r="G27" s="53" t="s">
        <v>42</v>
      </c>
      <c r="H27" s="53" t="s">
        <v>164</v>
      </c>
      <c r="I27" s="53" t="s">
        <v>159</v>
      </c>
      <c r="J27" s="53" t="s">
        <v>38</v>
      </c>
      <c r="K27" s="53" t="s">
        <v>161</v>
      </c>
      <c r="L27" s="53">
        <v>2</v>
      </c>
      <c r="N27" s="53">
        <v>1</v>
      </c>
      <c r="O27" s="53">
        <v>0.7</v>
      </c>
      <c r="P27" s="53">
        <v>0.65</v>
      </c>
      <c r="Q27" s="16">
        <f t="shared" si="0"/>
        <v>0.67500000000000004</v>
      </c>
      <c r="R27" s="53">
        <v>14.4</v>
      </c>
      <c r="S27" s="53">
        <v>126</v>
      </c>
      <c r="T27" s="16">
        <f t="shared" si="1"/>
        <v>27</v>
      </c>
      <c r="U27" s="53">
        <v>105</v>
      </c>
      <c r="V27" s="16">
        <f t="shared" si="2"/>
        <v>2835</v>
      </c>
      <c r="W27" s="53">
        <v>2</v>
      </c>
      <c r="X27" s="53" t="s">
        <v>39</v>
      </c>
      <c r="Y27" s="53" t="s">
        <v>102</v>
      </c>
      <c r="Z27" s="53" t="s">
        <v>88</v>
      </c>
      <c r="AA27" s="53" t="s">
        <v>78</v>
      </c>
      <c r="AB27" s="53" t="s">
        <v>236</v>
      </c>
      <c r="AP27" s="27" t="s">
        <v>118</v>
      </c>
    </row>
    <row r="28" spans="1:48" x14ac:dyDescent="0.15">
      <c r="A28" s="53" t="s">
        <v>56</v>
      </c>
      <c r="B28" s="53" t="s">
        <v>232</v>
      </c>
      <c r="C28" s="53">
        <v>2019</v>
      </c>
      <c r="D28" s="81" t="s">
        <v>233</v>
      </c>
      <c r="E28" s="53" t="s">
        <v>255</v>
      </c>
      <c r="F28" s="53" t="s">
        <v>251</v>
      </c>
      <c r="G28" s="53" t="s">
        <v>42</v>
      </c>
      <c r="H28" s="53" t="s">
        <v>164</v>
      </c>
      <c r="I28" s="53" t="s">
        <v>159</v>
      </c>
      <c r="J28" s="53" t="s">
        <v>38</v>
      </c>
      <c r="K28" s="53" t="s">
        <v>161</v>
      </c>
      <c r="L28" s="53">
        <v>3</v>
      </c>
      <c r="N28" s="53">
        <v>1</v>
      </c>
      <c r="O28" s="53">
        <v>0.85</v>
      </c>
      <c r="P28" s="53">
        <v>0.8</v>
      </c>
      <c r="Q28" s="16">
        <f t="shared" si="0"/>
        <v>0.82499999999999996</v>
      </c>
      <c r="R28" s="53">
        <v>14.5</v>
      </c>
      <c r="S28" s="53">
        <v>135</v>
      </c>
      <c r="T28" s="16">
        <f t="shared" si="1"/>
        <v>25</v>
      </c>
      <c r="U28" s="53">
        <v>105</v>
      </c>
      <c r="V28" s="16">
        <f t="shared" si="2"/>
        <v>2625</v>
      </c>
      <c r="W28" s="53">
        <v>2</v>
      </c>
      <c r="X28" s="53" t="s">
        <v>39</v>
      </c>
      <c r="Y28" s="53" t="s">
        <v>102</v>
      </c>
      <c r="Z28" s="53" t="s">
        <v>88</v>
      </c>
      <c r="AA28" s="53" t="s">
        <v>78</v>
      </c>
      <c r="AB28" s="53" t="s">
        <v>236</v>
      </c>
    </row>
    <row r="29" spans="1:48" x14ac:dyDescent="0.15">
      <c r="A29" s="53" t="s">
        <v>56</v>
      </c>
      <c r="B29" s="53" t="s">
        <v>232</v>
      </c>
      <c r="C29" s="53">
        <v>2019</v>
      </c>
      <c r="D29" s="81" t="s">
        <v>233</v>
      </c>
      <c r="E29" s="53" t="s">
        <v>255</v>
      </c>
      <c r="F29" s="53" t="s">
        <v>251</v>
      </c>
      <c r="G29" s="53" t="s">
        <v>42</v>
      </c>
      <c r="H29" s="53" t="s">
        <v>160</v>
      </c>
      <c r="I29" s="53" t="s">
        <v>159</v>
      </c>
      <c r="J29" s="53" t="s">
        <v>38</v>
      </c>
      <c r="K29" s="53" t="s">
        <v>161</v>
      </c>
      <c r="L29" s="53">
        <v>1</v>
      </c>
      <c r="N29" s="53">
        <v>1</v>
      </c>
      <c r="O29" s="53">
        <v>0.75</v>
      </c>
      <c r="P29" s="53">
        <v>0.7</v>
      </c>
      <c r="Q29" s="16">
        <f t="shared" si="0"/>
        <v>0.72499999999999998</v>
      </c>
      <c r="R29" s="53">
        <v>15.3</v>
      </c>
      <c r="S29" s="53">
        <v>125</v>
      </c>
      <c r="T29" s="16">
        <f t="shared" si="1"/>
        <v>27</v>
      </c>
      <c r="U29" s="53">
        <v>105</v>
      </c>
      <c r="V29" s="16">
        <f t="shared" si="2"/>
        <v>2835</v>
      </c>
      <c r="W29" s="53">
        <v>2</v>
      </c>
      <c r="X29" s="53" t="s">
        <v>39</v>
      </c>
      <c r="Y29" s="53" t="s">
        <v>102</v>
      </c>
      <c r="Z29" s="53" t="s">
        <v>88</v>
      </c>
      <c r="AA29" s="53" t="s">
        <v>78</v>
      </c>
      <c r="AB29" s="53" t="s">
        <v>236</v>
      </c>
    </row>
    <row r="30" spans="1:48" x14ac:dyDescent="0.15">
      <c r="A30" s="53" t="s">
        <v>56</v>
      </c>
      <c r="B30" s="53" t="s">
        <v>232</v>
      </c>
      <c r="C30" s="53">
        <v>2019</v>
      </c>
      <c r="D30" s="81" t="s">
        <v>233</v>
      </c>
      <c r="E30" s="53" t="s">
        <v>255</v>
      </c>
      <c r="F30" s="53" t="s">
        <v>251</v>
      </c>
      <c r="G30" s="53" t="s">
        <v>42</v>
      </c>
      <c r="H30" s="53" t="s">
        <v>160</v>
      </c>
      <c r="I30" s="53" t="s">
        <v>159</v>
      </c>
      <c r="J30" s="53" t="s">
        <v>38</v>
      </c>
      <c r="K30" s="53" t="s">
        <v>161</v>
      </c>
      <c r="L30" s="53">
        <v>2</v>
      </c>
      <c r="N30" s="53">
        <v>1</v>
      </c>
      <c r="O30" s="53">
        <v>0.75</v>
      </c>
      <c r="P30" s="53">
        <v>0.75</v>
      </c>
      <c r="Q30" s="16">
        <f t="shared" si="0"/>
        <v>0.75</v>
      </c>
      <c r="R30" s="53">
        <v>14.9</v>
      </c>
      <c r="S30" s="53">
        <v>125</v>
      </c>
      <c r="T30" s="16">
        <f t="shared" si="1"/>
        <v>27</v>
      </c>
      <c r="U30" s="53">
        <v>105</v>
      </c>
      <c r="V30" s="16">
        <f t="shared" si="2"/>
        <v>2835</v>
      </c>
      <c r="W30" s="53">
        <v>2</v>
      </c>
      <c r="X30" s="53" t="s">
        <v>39</v>
      </c>
      <c r="Y30" s="53" t="s">
        <v>102</v>
      </c>
      <c r="Z30" s="53" t="s">
        <v>88</v>
      </c>
      <c r="AA30" s="53" t="s">
        <v>78</v>
      </c>
      <c r="AB30" s="53" t="s">
        <v>236</v>
      </c>
    </row>
    <row r="31" spans="1:48" x14ac:dyDescent="0.15">
      <c r="A31" s="53" t="s">
        <v>56</v>
      </c>
      <c r="B31" s="53" t="s">
        <v>232</v>
      </c>
      <c r="C31" s="53">
        <v>2019</v>
      </c>
      <c r="D31" s="81" t="s">
        <v>233</v>
      </c>
      <c r="E31" s="53" t="s">
        <v>255</v>
      </c>
      <c r="F31" s="53" t="s">
        <v>251</v>
      </c>
      <c r="G31" s="53" t="s">
        <v>42</v>
      </c>
      <c r="H31" s="53" t="s">
        <v>160</v>
      </c>
      <c r="I31" s="53" t="s">
        <v>159</v>
      </c>
      <c r="J31" s="53" t="s">
        <v>38</v>
      </c>
      <c r="K31" s="53" t="s">
        <v>161</v>
      </c>
      <c r="L31" s="53">
        <v>3</v>
      </c>
      <c r="N31" s="53">
        <v>1</v>
      </c>
      <c r="O31" s="53">
        <v>0.65</v>
      </c>
      <c r="P31" s="53">
        <v>0.65</v>
      </c>
      <c r="Q31" s="16">
        <f t="shared" si="0"/>
        <v>0.65</v>
      </c>
      <c r="R31" s="53">
        <v>15.2</v>
      </c>
      <c r="S31" s="53">
        <v>118</v>
      </c>
      <c r="T31" s="16">
        <f t="shared" si="1"/>
        <v>30</v>
      </c>
      <c r="U31" s="53">
        <v>105</v>
      </c>
      <c r="V31" s="16">
        <f t="shared" si="2"/>
        <v>3150</v>
      </c>
      <c r="W31" s="53">
        <v>2</v>
      </c>
      <c r="X31" s="53" t="s">
        <v>39</v>
      </c>
      <c r="Y31" s="53" t="s">
        <v>102</v>
      </c>
      <c r="Z31" s="53" t="s">
        <v>88</v>
      </c>
      <c r="AA31" s="53" t="s">
        <v>78</v>
      </c>
      <c r="AB31" s="53" t="s">
        <v>236</v>
      </c>
    </row>
    <row r="32" spans="1:48" x14ac:dyDescent="0.15">
      <c r="A32" s="53" t="s">
        <v>56</v>
      </c>
      <c r="B32" s="53" t="s">
        <v>232</v>
      </c>
      <c r="C32" s="53">
        <v>2019</v>
      </c>
      <c r="D32" s="81" t="s">
        <v>233</v>
      </c>
      <c r="E32" s="53" t="s">
        <v>162</v>
      </c>
      <c r="F32" s="53" t="s">
        <v>248</v>
      </c>
      <c r="G32" s="53" t="s">
        <v>42</v>
      </c>
      <c r="H32" s="53" t="s">
        <v>164</v>
      </c>
      <c r="I32" s="53" t="s">
        <v>159</v>
      </c>
      <c r="J32" s="53" t="s">
        <v>38</v>
      </c>
      <c r="K32" s="53" t="s">
        <v>161</v>
      </c>
      <c r="L32" s="53">
        <v>1</v>
      </c>
      <c r="N32" s="53">
        <v>6</v>
      </c>
      <c r="O32" s="53">
        <v>0.65</v>
      </c>
      <c r="P32" s="53">
        <v>0.55000000000000004</v>
      </c>
      <c r="Q32" s="16">
        <f t="shared" si="0"/>
        <v>0.60000000000000009</v>
      </c>
      <c r="R32" s="53">
        <v>14.7</v>
      </c>
      <c r="S32" s="53">
        <v>80</v>
      </c>
      <c r="T32" s="16">
        <f t="shared" si="1"/>
        <v>39</v>
      </c>
      <c r="U32" s="53">
        <v>322</v>
      </c>
      <c r="V32" s="16">
        <f t="shared" si="2"/>
        <v>2093</v>
      </c>
      <c r="W32" s="53">
        <v>2</v>
      </c>
      <c r="X32" s="53" t="s">
        <v>46</v>
      </c>
      <c r="Y32" s="53" t="s">
        <v>55</v>
      </c>
      <c r="Z32" s="53" t="s">
        <v>88</v>
      </c>
      <c r="AA32" s="53" t="s">
        <v>78</v>
      </c>
      <c r="AB32" s="53" t="s">
        <v>236</v>
      </c>
    </row>
    <row r="33" spans="1:28" x14ac:dyDescent="0.15">
      <c r="A33" s="53" t="s">
        <v>56</v>
      </c>
      <c r="B33" s="53" t="s">
        <v>232</v>
      </c>
      <c r="C33" s="53">
        <v>2019</v>
      </c>
      <c r="D33" s="81" t="s">
        <v>233</v>
      </c>
      <c r="E33" s="53" t="s">
        <v>162</v>
      </c>
      <c r="F33" s="53" t="s">
        <v>248</v>
      </c>
      <c r="G33" s="53" t="s">
        <v>42</v>
      </c>
      <c r="H33" s="53" t="s">
        <v>164</v>
      </c>
      <c r="I33" s="53" t="s">
        <v>159</v>
      </c>
      <c r="J33" s="53" t="s">
        <v>38</v>
      </c>
      <c r="K33" s="53" t="s">
        <v>161</v>
      </c>
      <c r="L33" s="53">
        <v>2</v>
      </c>
      <c r="N33" s="53">
        <v>6</v>
      </c>
      <c r="O33" s="53">
        <v>0.7</v>
      </c>
      <c r="P33" s="53">
        <v>0.65</v>
      </c>
      <c r="Q33" s="16">
        <f t="shared" si="0"/>
        <v>0.67500000000000004</v>
      </c>
      <c r="R33" s="53">
        <v>14.9</v>
      </c>
      <c r="S33" s="53">
        <v>75</v>
      </c>
      <c r="T33" s="16">
        <f t="shared" si="1"/>
        <v>42</v>
      </c>
      <c r="U33" s="53">
        <v>322</v>
      </c>
      <c r="V33" s="16">
        <f t="shared" si="2"/>
        <v>2254</v>
      </c>
      <c r="W33" s="53">
        <v>2</v>
      </c>
      <c r="X33" s="53" t="s">
        <v>46</v>
      </c>
      <c r="Y33" s="53" t="s">
        <v>55</v>
      </c>
      <c r="Z33" s="53" t="s">
        <v>88</v>
      </c>
      <c r="AA33" s="53" t="s">
        <v>78</v>
      </c>
      <c r="AB33" s="53" t="s">
        <v>236</v>
      </c>
    </row>
    <row r="34" spans="1:28" x14ac:dyDescent="0.15">
      <c r="A34" s="53" t="s">
        <v>56</v>
      </c>
      <c r="B34" s="53" t="s">
        <v>232</v>
      </c>
      <c r="C34" s="53">
        <v>2019</v>
      </c>
      <c r="D34" s="81" t="s">
        <v>233</v>
      </c>
      <c r="E34" s="53" t="s">
        <v>162</v>
      </c>
      <c r="F34" s="53" t="s">
        <v>248</v>
      </c>
      <c r="G34" s="53" t="s">
        <v>42</v>
      </c>
      <c r="H34" s="53" t="s">
        <v>164</v>
      </c>
      <c r="I34" s="53" t="s">
        <v>159</v>
      </c>
      <c r="J34" s="53" t="s">
        <v>38</v>
      </c>
      <c r="K34" s="53" t="s">
        <v>161</v>
      </c>
      <c r="L34" s="53">
        <v>3</v>
      </c>
      <c r="N34" s="53">
        <v>6</v>
      </c>
      <c r="O34" s="53">
        <v>0.55000000000000004</v>
      </c>
      <c r="P34" s="53">
        <v>0.6</v>
      </c>
      <c r="Q34" s="16">
        <f t="shared" si="0"/>
        <v>0.57499999999999996</v>
      </c>
      <c r="R34" s="53">
        <v>14.3</v>
      </c>
      <c r="S34" s="53">
        <v>78</v>
      </c>
      <c r="T34" s="16">
        <f t="shared" si="1"/>
        <v>39</v>
      </c>
      <c r="U34" s="53">
        <v>322</v>
      </c>
      <c r="V34" s="16">
        <f t="shared" si="2"/>
        <v>2093</v>
      </c>
      <c r="W34" s="53">
        <v>2</v>
      </c>
      <c r="X34" s="53" t="s">
        <v>46</v>
      </c>
      <c r="Y34" s="53" t="s">
        <v>55</v>
      </c>
      <c r="Z34" s="53" t="s">
        <v>88</v>
      </c>
      <c r="AA34" s="53" t="s">
        <v>78</v>
      </c>
      <c r="AB34" s="53" t="s">
        <v>236</v>
      </c>
    </row>
    <row r="35" spans="1:28" x14ac:dyDescent="0.15">
      <c r="A35" s="53" t="s">
        <v>56</v>
      </c>
      <c r="B35" s="53" t="s">
        <v>232</v>
      </c>
      <c r="C35" s="53">
        <v>2019</v>
      </c>
      <c r="D35" s="81" t="s">
        <v>233</v>
      </c>
      <c r="E35" s="53" t="s">
        <v>162</v>
      </c>
      <c r="F35" s="53" t="s">
        <v>248</v>
      </c>
      <c r="G35" s="53" t="s">
        <v>42</v>
      </c>
      <c r="H35" s="53" t="s">
        <v>160</v>
      </c>
      <c r="I35" s="53" t="s">
        <v>159</v>
      </c>
      <c r="J35" s="53" t="s">
        <v>38</v>
      </c>
      <c r="K35" s="53" t="s">
        <v>161</v>
      </c>
      <c r="L35" s="53">
        <v>1</v>
      </c>
      <c r="N35" s="53">
        <v>1</v>
      </c>
      <c r="O35" s="53">
        <v>0.7</v>
      </c>
      <c r="P35" s="53">
        <v>0.55000000000000004</v>
      </c>
      <c r="Q35" s="16">
        <f t="shared" si="0"/>
        <v>0.625</v>
      </c>
      <c r="R35" s="53">
        <v>15.7</v>
      </c>
      <c r="S35" s="53">
        <v>107</v>
      </c>
      <c r="T35" s="16">
        <f t="shared" si="1"/>
        <v>33</v>
      </c>
      <c r="U35" s="53">
        <v>106</v>
      </c>
      <c r="V35" s="16">
        <f t="shared" si="2"/>
        <v>3498</v>
      </c>
      <c r="W35" s="53">
        <v>4</v>
      </c>
      <c r="X35" s="53" t="s">
        <v>46</v>
      </c>
      <c r="Y35" s="53" t="s">
        <v>55</v>
      </c>
      <c r="Z35" s="53" t="s">
        <v>88</v>
      </c>
      <c r="AA35" s="53" t="s">
        <v>78</v>
      </c>
      <c r="AB35" s="53" t="s">
        <v>236</v>
      </c>
    </row>
    <row r="36" spans="1:28" x14ac:dyDescent="0.15">
      <c r="A36" s="53" t="s">
        <v>56</v>
      </c>
      <c r="B36" s="53" t="s">
        <v>232</v>
      </c>
      <c r="C36" s="53">
        <v>2019</v>
      </c>
      <c r="D36" s="81" t="s">
        <v>233</v>
      </c>
      <c r="E36" s="53" t="s">
        <v>162</v>
      </c>
      <c r="F36" s="53" t="s">
        <v>248</v>
      </c>
      <c r="G36" s="53" t="s">
        <v>42</v>
      </c>
      <c r="H36" s="53" t="s">
        <v>160</v>
      </c>
      <c r="I36" s="53" t="s">
        <v>159</v>
      </c>
      <c r="J36" s="53" t="s">
        <v>38</v>
      </c>
      <c r="K36" s="53" t="s">
        <v>161</v>
      </c>
      <c r="L36" s="53">
        <v>2</v>
      </c>
      <c r="N36" s="53">
        <v>1</v>
      </c>
      <c r="O36" s="53">
        <v>0.6</v>
      </c>
      <c r="P36" s="53">
        <v>0.6</v>
      </c>
      <c r="Q36" s="16">
        <f t="shared" si="0"/>
        <v>0.6</v>
      </c>
      <c r="R36" s="53">
        <v>14.9</v>
      </c>
      <c r="S36" s="53">
        <v>110</v>
      </c>
      <c r="T36" s="16">
        <f t="shared" si="1"/>
        <v>33</v>
      </c>
      <c r="U36" s="53">
        <v>106</v>
      </c>
      <c r="V36" s="16">
        <f t="shared" si="2"/>
        <v>3498</v>
      </c>
      <c r="W36" s="53">
        <v>4</v>
      </c>
      <c r="X36" s="53" t="s">
        <v>46</v>
      </c>
      <c r="Y36" s="53" t="s">
        <v>55</v>
      </c>
      <c r="Z36" s="53" t="s">
        <v>88</v>
      </c>
      <c r="AA36" s="53" t="s">
        <v>78</v>
      </c>
      <c r="AB36" s="53" t="s">
        <v>236</v>
      </c>
    </row>
    <row r="37" spans="1:28" x14ac:dyDescent="0.15">
      <c r="A37" s="53" t="s">
        <v>56</v>
      </c>
      <c r="B37" s="53" t="s">
        <v>232</v>
      </c>
      <c r="C37" s="53">
        <v>2019</v>
      </c>
      <c r="D37" s="81" t="s">
        <v>233</v>
      </c>
      <c r="E37" s="53" t="s">
        <v>162</v>
      </c>
      <c r="F37" s="53" t="s">
        <v>248</v>
      </c>
      <c r="G37" s="53" t="s">
        <v>42</v>
      </c>
      <c r="H37" s="53" t="s">
        <v>160</v>
      </c>
      <c r="I37" s="53" t="s">
        <v>159</v>
      </c>
      <c r="J37" s="53" t="s">
        <v>38</v>
      </c>
      <c r="K37" s="53" t="s">
        <v>161</v>
      </c>
      <c r="L37" s="53">
        <v>3</v>
      </c>
      <c r="N37" s="53">
        <v>1</v>
      </c>
      <c r="O37" s="53">
        <v>0.6</v>
      </c>
      <c r="P37" s="53">
        <v>0.5</v>
      </c>
      <c r="Q37" s="16">
        <f t="shared" si="0"/>
        <v>0.55000000000000004</v>
      </c>
      <c r="R37" s="53">
        <v>14.9</v>
      </c>
      <c r="S37" s="53">
        <v>108</v>
      </c>
      <c r="T37" s="16">
        <f t="shared" si="1"/>
        <v>33</v>
      </c>
      <c r="U37" s="53">
        <v>106</v>
      </c>
      <c r="V37" s="16">
        <f t="shared" si="2"/>
        <v>3498</v>
      </c>
      <c r="W37" s="53">
        <v>4</v>
      </c>
      <c r="X37" s="53" t="s">
        <v>46</v>
      </c>
      <c r="Y37" s="53" t="s">
        <v>55</v>
      </c>
      <c r="Z37" s="53" t="s">
        <v>88</v>
      </c>
      <c r="AA37" s="53" t="s">
        <v>78</v>
      </c>
      <c r="AB37" s="53" t="s">
        <v>236</v>
      </c>
    </row>
    <row r="38" spans="1:28" x14ac:dyDescent="0.15">
      <c r="A38" s="53" t="s">
        <v>56</v>
      </c>
      <c r="B38" s="53" t="s">
        <v>232</v>
      </c>
      <c r="C38" s="53">
        <v>2019</v>
      </c>
      <c r="D38" s="81" t="s">
        <v>233</v>
      </c>
      <c r="E38" s="53" t="s">
        <v>256</v>
      </c>
      <c r="F38" s="53" t="s">
        <v>248</v>
      </c>
      <c r="G38" s="53" t="s">
        <v>42</v>
      </c>
      <c r="H38" s="53" t="s">
        <v>164</v>
      </c>
      <c r="I38" s="53" t="s">
        <v>159</v>
      </c>
      <c r="J38" s="53" t="s">
        <v>38</v>
      </c>
      <c r="K38" s="53" t="s">
        <v>161</v>
      </c>
      <c r="L38" s="53">
        <v>1</v>
      </c>
      <c r="N38" s="53">
        <v>1</v>
      </c>
      <c r="O38" s="53">
        <v>0.65</v>
      </c>
      <c r="P38" s="53">
        <v>0.7</v>
      </c>
      <c r="Q38" s="16">
        <f t="shared" si="0"/>
        <v>0.67500000000000004</v>
      </c>
      <c r="R38" s="53">
        <v>13.9</v>
      </c>
      <c r="S38" s="53">
        <v>127</v>
      </c>
      <c r="T38" s="16">
        <f t="shared" si="1"/>
        <v>27</v>
      </c>
      <c r="U38" s="53">
        <v>138</v>
      </c>
      <c r="V38" s="16">
        <f t="shared" si="2"/>
        <v>3726</v>
      </c>
      <c r="W38" s="53">
        <v>1</v>
      </c>
      <c r="X38" s="53" t="s">
        <v>39</v>
      </c>
      <c r="Y38" s="53" t="s">
        <v>88</v>
      </c>
      <c r="Z38" s="53" t="s">
        <v>78</v>
      </c>
      <c r="AA38" s="53" t="s">
        <v>97</v>
      </c>
      <c r="AB38" s="53" t="s">
        <v>236</v>
      </c>
    </row>
    <row r="39" spans="1:28" x14ac:dyDescent="0.15">
      <c r="A39" s="53" t="s">
        <v>56</v>
      </c>
      <c r="B39" s="53" t="s">
        <v>232</v>
      </c>
      <c r="C39" s="53">
        <v>2019</v>
      </c>
      <c r="D39" s="81" t="s">
        <v>233</v>
      </c>
      <c r="E39" s="53" t="s">
        <v>256</v>
      </c>
      <c r="F39" s="53" t="s">
        <v>248</v>
      </c>
      <c r="G39" s="53" t="s">
        <v>42</v>
      </c>
      <c r="H39" s="53" t="s">
        <v>164</v>
      </c>
      <c r="I39" s="53" t="s">
        <v>159</v>
      </c>
      <c r="J39" s="53" t="s">
        <v>38</v>
      </c>
      <c r="K39" s="53" t="s">
        <v>161</v>
      </c>
      <c r="L39" s="53">
        <v>2</v>
      </c>
      <c r="N39" s="53">
        <v>1</v>
      </c>
      <c r="O39" s="53">
        <v>0.7</v>
      </c>
      <c r="P39" s="53">
        <v>0.65</v>
      </c>
      <c r="Q39" s="16">
        <f t="shared" si="0"/>
        <v>0.67500000000000004</v>
      </c>
      <c r="R39" s="53">
        <v>14.3</v>
      </c>
      <c r="S39" s="53">
        <v>134</v>
      </c>
      <c r="T39" s="16">
        <f t="shared" si="1"/>
        <v>25</v>
      </c>
      <c r="U39" s="53">
        <v>138</v>
      </c>
      <c r="V39" s="16">
        <f t="shared" si="2"/>
        <v>3450</v>
      </c>
      <c r="W39" s="53">
        <v>1</v>
      </c>
      <c r="X39" s="53" t="s">
        <v>39</v>
      </c>
      <c r="Y39" s="53" t="s">
        <v>88</v>
      </c>
      <c r="Z39" s="53" t="s">
        <v>78</v>
      </c>
      <c r="AA39" s="53" t="s">
        <v>97</v>
      </c>
      <c r="AB39" s="53" t="s">
        <v>236</v>
      </c>
    </row>
    <row r="40" spans="1:28" x14ac:dyDescent="0.15">
      <c r="A40" s="53" t="s">
        <v>56</v>
      </c>
      <c r="B40" s="53" t="s">
        <v>232</v>
      </c>
      <c r="C40" s="53">
        <v>2019</v>
      </c>
      <c r="D40" s="81" t="s">
        <v>233</v>
      </c>
      <c r="E40" s="53" t="s">
        <v>256</v>
      </c>
      <c r="F40" s="53" t="s">
        <v>248</v>
      </c>
      <c r="G40" s="53" t="s">
        <v>42</v>
      </c>
      <c r="H40" s="53" t="s">
        <v>164</v>
      </c>
      <c r="I40" s="53" t="s">
        <v>159</v>
      </c>
      <c r="J40" s="53" t="s">
        <v>38</v>
      </c>
      <c r="K40" s="53" t="s">
        <v>161</v>
      </c>
      <c r="L40" s="53">
        <v>3</v>
      </c>
      <c r="N40" s="53">
        <v>1</v>
      </c>
      <c r="O40" s="53">
        <v>0.65</v>
      </c>
      <c r="P40" s="53">
        <v>0.65</v>
      </c>
      <c r="Q40" s="16">
        <f t="shared" si="0"/>
        <v>0.65</v>
      </c>
      <c r="R40" s="53">
        <v>12.4</v>
      </c>
      <c r="S40" s="53">
        <v>132</v>
      </c>
      <c r="T40" s="16">
        <f t="shared" si="1"/>
        <v>25</v>
      </c>
      <c r="U40" s="53">
        <v>138</v>
      </c>
      <c r="V40" s="16">
        <f t="shared" si="2"/>
        <v>3450</v>
      </c>
      <c r="W40" s="53">
        <v>1</v>
      </c>
      <c r="X40" s="53" t="s">
        <v>39</v>
      </c>
      <c r="Y40" s="53" t="s">
        <v>88</v>
      </c>
      <c r="Z40" s="53" t="s">
        <v>78</v>
      </c>
      <c r="AA40" s="53" t="s">
        <v>97</v>
      </c>
      <c r="AB40" s="53" t="s">
        <v>236</v>
      </c>
    </row>
    <row r="41" spans="1:28" x14ac:dyDescent="0.15">
      <c r="A41" s="53" t="s">
        <v>56</v>
      </c>
      <c r="B41" s="53" t="s">
        <v>232</v>
      </c>
      <c r="C41" s="53">
        <v>2019</v>
      </c>
      <c r="D41" s="81" t="s">
        <v>233</v>
      </c>
      <c r="E41" s="53" t="s">
        <v>256</v>
      </c>
      <c r="F41" s="53" t="s">
        <v>248</v>
      </c>
      <c r="G41" s="53" t="s">
        <v>42</v>
      </c>
      <c r="H41" s="53" t="s">
        <v>160</v>
      </c>
      <c r="I41" s="53" t="s">
        <v>159</v>
      </c>
      <c r="J41" s="53" t="s">
        <v>38</v>
      </c>
      <c r="K41" s="53" t="s">
        <v>161</v>
      </c>
      <c r="L41" s="53">
        <v>1</v>
      </c>
      <c r="N41" s="53">
        <v>1</v>
      </c>
      <c r="O41" s="53">
        <v>0.5</v>
      </c>
      <c r="P41" s="53">
        <v>0.5</v>
      </c>
      <c r="Q41" s="16">
        <f t="shared" si="0"/>
        <v>0.5</v>
      </c>
      <c r="R41" s="53">
        <v>14.6</v>
      </c>
      <c r="S41" s="53">
        <v>134</v>
      </c>
      <c r="T41" s="16">
        <f t="shared" si="1"/>
        <v>25</v>
      </c>
      <c r="U41" s="53">
        <v>150</v>
      </c>
      <c r="V41" s="16">
        <f t="shared" si="2"/>
        <v>3750</v>
      </c>
      <c r="W41" s="53">
        <v>1</v>
      </c>
      <c r="X41" s="53" t="s">
        <v>39</v>
      </c>
      <c r="Y41" s="53" t="s">
        <v>88</v>
      </c>
      <c r="Z41" s="53" t="s">
        <v>78</v>
      </c>
      <c r="AA41" s="53" t="s">
        <v>97</v>
      </c>
      <c r="AB41" s="53" t="s">
        <v>236</v>
      </c>
    </row>
    <row r="42" spans="1:28" x14ac:dyDescent="0.15">
      <c r="A42" s="53" t="s">
        <v>56</v>
      </c>
      <c r="B42" s="53" t="s">
        <v>232</v>
      </c>
      <c r="C42" s="53">
        <v>2019</v>
      </c>
      <c r="D42" s="81" t="s">
        <v>233</v>
      </c>
      <c r="E42" s="53" t="s">
        <v>256</v>
      </c>
      <c r="F42" s="53" t="s">
        <v>248</v>
      </c>
      <c r="G42" s="53" t="s">
        <v>42</v>
      </c>
      <c r="H42" s="53" t="s">
        <v>160</v>
      </c>
      <c r="I42" s="53" t="s">
        <v>159</v>
      </c>
      <c r="J42" s="53" t="s">
        <v>38</v>
      </c>
      <c r="K42" s="53" t="s">
        <v>161</v>
      </c>
      <c r="L42" s="53">
        <v>2</v>
      </c>
      <c r="N42" s="53">
        <v>1</v>
      </c>
      <c r="O42" s="53">
        <v>0.5</v>
      </c>
      <c r="P42" s="53">
        <v>0.5</v>
      </c>
      <c r="Q42" s="16">
        <f t="shared" si="0"/>
        <v>0.5</v>
      </c>
      <c r="R42" s="53">
        <v>16.7</v>
      </c>
      <c r="S42" s="53">
        <v>126</v>
      </c>
      <c r="T42" s="16">
        <f t="shared" si="1"/>
        <v>27</v>
      </c>
      <c r="U42" s="53">
        <v>150</v>
      </c>
      <c r="V42" s="16">
        <f t="shared" si="2"/>
        <v>4050</v>
      </c>
      <c r="W42" s="53">
        <v>1</v>
      </c>
      <c r="X42" s="53" t="s">
        <v>39</v>
      </c>
      <c r="Y42" s="53" t="s">
        <v>88</v>
      </c>
      <c r="Z42" s="53" t="s">
        <v>78</v>
      </c>
      <c r="AA42" s="53" t="s">
        <v>97</v>
      </c>
      <c r="AB42" s="53" t="s">
        <v>236</v>
      </c>
    </row>
    <row r="43" spans="1:28" x14ac:dyDescent="0.15">
      <c r="A43" s="53" t="s">
        <v>56</v>
      </c>
      <c r="B43" s="53" t="s">
        <v>232</v>
      </c>
      <c r="C43" s="53">
        <v>2019</v>
      </c>
      <c r="D43" s="81" t="s">
        <v>233</v>
      </c>
      <c r="E43" s="53" t="s">
        <v>256</v>
      </c>
      <c r="F43" s="53" t="s">
        <v>248</v>
      </c>
      <c r="G43" s="53" t="s">
        <v>42</v>
      </c>
      <c r="H43" s="53" t="s">
        <v>160</v>
      </c>
      <c r="I43" s="53" t="s">
        <v>159</v>
      </c>
      <c r="J43" s="53" t="s">
        <v>38</v>
      </c>
      <c r="K43" s="53" t="s">
        <v>161</v>
      </c>
      <c r="L43" s="53">
        <v>3</v>
      </c>
      <c r="N43" s="53">
        <v>1</v>
      </c>
      <c r="O43" s="53">
        <v>0.5</v>
      </c>
      <c r="P43" s="53">
        <v>0.5</v>
      </c>
      <c r="Q43" s="16">
        <f t="shared" si="0"/>
        <v>0.5</v>
      </c>
      <c r="R43" s="53">
        <v>17.2</v>
      </c>
      <c r="S43" s="53">
        <v>129</v>
      </c>
      <c r="T43" s="16">
        <f t="shared" si="1"/>
        <v>25</v>
      </c>
      <c r="U43" s="53">
        <v>150</v>
      </c>
      <c r="V43" s="16">
        <f t="shared" si="2"/>
        <v>3750</v>
      </c>
      <c r="W43" s="53">
        <v>1</v>
      </c>
      <c r="X43" s="53" t="s">
        <v>39</v>
      </c>
      <c r="Y43" s="53" t="s">
        <v>88</v>
      </c>
      <c r="Z43" s="53" t="s">
        <v>78</v>
      </c>
      <c r="AA43" s="53" t="s">
        <v>97</v>
      </c>
      <c r="AB43" s="53" t="s">
        <v>236</v>
      </c>
    </row>
    <row r="44" spans="1:28" x14ac:dyDescent="0.15">
      <c r="A44" s="53" t="s">
        <v>56</v>
      </c>
      <c r="B44" s="53" t="s">
        <v>232</v>
      </c>
      <c r="C44" s="53">
        <v>2019</v>
      </c>
      <c r="D44" s="81" t="s">
        <v>233</v>
      </c>
      <c r="E44" s="53" t="s">
        <v>257</v>
      </c>
      <c r="F44" s="53" t="s">
        <v>238</v>
      </c>
      <c r="G44" s="53" t="s">
        <v>42</v>
      </c>
      <c r="H44" s="53" t="s">
        <v>164</v>
      </c>
      <c r="I44" s="53" t="s">
        <v>159</v>
      </c>
      <c r="J44" s="53" t="s">
        <v>38</v>
      </c>
      <c r="K44" s="53" t="s">
        <v>161</v>
      </c>
      <c r="L44" s="53">
        <v>1</v>
      </c>
      <c r="N44" s="53">
        <v>5</v>
      </c>
      <c r="O44" s="53">
        <v>0.6</v>
      </c>
      <c r="P44" s="53">
        <v>0.6</v>
      </c>
      <c r="Q44" s="16">
        <f t="shared" si="0"/>
        <v>0.6</v>
      </c>
      <c r="R44" s="53">
        <v>16.600000000000001</v>
      </c>
      <c r="S44" s="53">
        <v>96</v>
      </c>
      <c r="T44" s="16">
        <f t="shared" si="1"/>
        <v>36</v>
      </c>
      <c r="U44" s="53">
        <v>429</v>
      </c>
      <c r="V44" s="16">
        <f t="shared" si="2"/>
        <v>3088.7999999999997</v>
      </c>
      <c r="W44" s="53">
        <v>1</v>
      </c>
      <c r="X44" s="53" t="s">
        <v>39</v>
      </c>
      <c r="Y44" s="53" t="s">
        <v>88</v>
      </c>
      <c r="Z44" s="53" t="s">
        <v>97</v>
      </c>
      <c r="AA44" s="53" t="s">
        <v>102</v>
      </c>
      <c r="AB44" s="53" t="s">
        <v>236</v>
      </c>
    </row>
    <row r="45" spans="1:28" x14ac:dyDescent="0.15">
      <c r="A45" s="53" t="s">
        <v>56</v>
      </c>
      <c r="B45" s="53" t="s">
        <v>232</v>
      </c>
      <c r="C45" s="53">
        <v>2019</v>
      </c>
      <c r="D45" s="81" t="s">
        <v>233</v>
      </c>
      <c r="E45" s="53" t="s">
        <v>257</v>
      </c>
      <c r="F45" s="53" t="s">
        <v>238</v>
      </c>
      <c r="G45" s="53" t="s">
        <v>42</v>
      </c>
      <c r="H45" s="53" t="s">
        <v>164</v>
      </c>
      <c r="I45" s="53" t="s">
        <v>159</v>
      </c>
      <c r="J45" s="53" t="s">
        <v>38</v>
      </c>
      <c r="K45" s="53" t="s">
        <v>161</v>
      </c>
      <c r="L45" s="53">
        <v>2</v>
      </c>
      <c r="N45" s="53">
        <v>5</v>
      </c>
      <c r="O45" s="53">
        <v>0.65</v>
      </c>
      <c r="P45" s="53">
        <v>0.65</v>
      </c>
      <c r="Q45" s="16">
        <f t="shared" si="0"/>
        <v>0.65</v>
      </c>
      <c r="R45" s="53">
        <v>14.8</v>
      </c>
      <c r="S45" s="53">
        <v>105</v>
      </c>
      <c r="T45" s="16">
        <f t="shared" si="1"/>
        <v>33</v>
      </c>
      <c r="U45" s="53">
        <v>429</v>
      </c>
      <c r="V45" s="16">
        <f t="shared" si="2"/>
        <v>2831.4</v>
      </c>
      <c r="W45" s="53">
        <v>1</v>
      </c>
      <c r="X45" s="53" t="s">
        <v>39</v>
      </c>
      <c r="Y45" s="53" t="s">
        <v>88</v>
      </c>
      <c r="Z45" s="53" t="s">
        <v>97</v>
      </c>
      <c r="AA45" s="53" t="s">
        <v>102</v>
      </c>
      <c r="AB45" s="53" t="s">
        <v>236</v>
      </c>
    </row>
    <row r="46" spans="1:28" x14ac:dyDescent="0.15">
      <c r="A46" s="53" t="s">
        <v>56</v>
      </c>
      <c r="B46" s="53" t="s">
        <v>232</v>
      </c>
      <c r="C46" s="53">
        <v>2019</v>
      </c>
      <c r="D46" s="81" t="s">
        <v>233</v>
      </c>
      <c r="E46" s="53" t="s">
        <v>257</v>
      </c>
      <c r="F46" s="53" t="s">
        <v>238</v>
      </c>
      <c r="G46" s="53" t="s">
        <v>42</v>
      </c>
      <c r="H46" s="53" t="s">
        <v>164</v>
      </c>
      <c r="I46" s="53" t="s">
        <v>159</v>
      </c>
      <c r="J46" s="53" t="s">
        <v>38</v>
      </c>
      <c r="K46" s="53" t="s">
        <v>161</v>
      </c>
      <c r="L46" s="53">
        <v>3</v>
      </c>
      <c r="N46" s="53">
        <v>5</v>
      </c>
      <c r="O46" s="53">
        <v>0.6</v>
      </c>
      <c r="P46" s="53">
        <v>0.65</v>
      </c>
      <c r="Q46" s="16">
        <f t="shared" si="0"/>
        <v>0.625</v>
      </c>
      <c r="R46" s="53">
        <v>13.1</v>
      </c>
      <c r="S46" s="53">
        <v>95</v>
      </c>
      <c r="T46" s="16">
        <f t="shared" si="1"/>
        <v>36</v>
      </c>
      <c r="U46" s="53">
        <v>429</v>
      </c>
      <c r="V46" s="16">
        <f t="shared" si="2"/>
        <v>3088.7999999999997</v>
      </c>
      <c r="W46" s="53">
        <v>1</v>
      </c>
      <c r="X46" s="53" t="s">
        <v>39</v>
      </c>
      <c r="Y46" s="53" t="s">
        <v>88</v>
      </c>
      <c r="Z46" s="53" t="s">
        <v>97</v>
      </c>
      <c r="AA46" s="53" t="s">
        <v>102</v>
      </c>
      <c r="AB46" s="53" t="s">
        <v>236</v>
      </c>
    </row>
    <row r="47" spans="1:28" x14ac:dyDescent="0.15">
      <c r="A47" s="53" t="s">
        <v>56</v>
      </c>
      <c r="B47" s="53" t="s">
        <v>232</v>
      </c>
      <c r="C47" s="53">
        <v>2019</v>
      </c>
      <c r="D47" s="81" t="s">
        <v>233</v>
      </c>
      <c r="E47" s="53" t="s">
        <v>249</v>
      </c>
      <c r="F47" s="53" t="s">
        <v>251</v>
      </c>
      <c r="G47" s="53" t="s">
        <v>42</v>
      </c>
      <c r="H47" s="53" t="s">
        <v>164</v>
      </c>
      <c r="I47" s="53" t="s">
        <v>159</v>
      </c>
      <c r="J47" s="53" t="s">
        <v>38</v>
      </c>
      <c r="K47" s="53" t="s">
        <v>161</v>
      </c>
      <c r="L47" s="53">
        <v>1</v>
      </c>
      <c r="N47" s="53">
        <v>1</v>
      </c>
      <c r="O47" s="53">
        <v>0.75</v>
      </c>
      <c r="P47" s="53">
        <v>0.7</v>
      </c>
      <c r="Q47" s="16">
        <f t="shared" si="0"/>
        <v>0.72499999999999998</v>
      </c>
      <c r="R47" s="53">
        <v>16</v>
      </c>
      <c r="S47" s="53">
        <v>142</v>
      </c>
      <c r="T47" s="16">
        <f t="shared" si="1"/>
        <v>22</v>
      </c>
      <c r="U47" s="53">
        <v>127</v>
      </c>
      <c r="V47" s="16">
        <f t="shared" si="2"/>
        <v>2794</v>
      </c>
      <c r="W47" s="53">
        <v>4</v>
      </c>
      <c r="X47" s="53" t="s">
        <v>46</v>
      </c>
      <c r="Y47" s="53" t="s">
        <v>88</v>
      </c>
      <c r="Z47" s="53" t="s">
        <v>102</v>
      </c>
      <c r="AA47" s="53" t="s">
        <v>97</v>
      </c>
      <c r="AB47" s="53" t="s">
        <v>236</v>
      </c>
    </row>
    <row r="48" spans="1:28" x14ac:dyDescent="0.15">
      <c r="A48" s="53" t="s">
        <v>56</v>
      </c>
      <c r="B48" s="53" t="s">
        <v>232</v>
      </c>
      <c r="C48" s="53">
        <v>2019</v>
      </c>
      <c r="D48" s="81" t="s">
        <v>233</v>
      </c>
      <c r="E48" s="53" t="s">
        <v>249</v>
      </c>
      <c r="F48" s="53" t="s">
        <v>251</v>
      </c>
      <c r="G48" s="53" t="s">
        <v>42</v>
      </c>
      <c r="H48" s="53" t="s">
        <v>164</v>
      </c>
      <c r="I48" s="53" t="s">
        <v>159</v>
      </c>
      <c r="J48" s="53" t="s">
        <v>38</v>
      </c>
      <c r="K48" s="53" t="s">
        <v>161</v>
      </c>
      <c r="L48" s="53">
        <v>2</v>
      </c>
      <c r="N48" s="53">
        <v>1</v>
      </c>
      <c r="O48" s="53">
        <v>0.85</v>
      </c>
      <c r="P48" s="53">
        <v>0.8</v>
      </c>
      <c r="Q48" s="16">
        <f t="shared" si="0"/>
        <v>0.82499999999999996</v>
      </c>
      <c r="R48" s="53">
        <v>16.399999999999999</v>
      </c>
      <c r="S48" s="53">
        <v>144</v>
      </c>
      <c r="T48" s="16">
        <f t="shared" si="1"/>
        <v>22</v>
      </c>
      <c r="U48" s="53">
        <v>127</v>
      </c>
      <c r="V48" s="16">
        <f t="shared" si="2"/>
        <v>2794</v>
      </c>
      <c r="W48" s="53">
        <v>4</v>
      </c>
      <c r="X48" s="53" t="s">
        <v>46</v>
      </c>
      <c r="Y48" s="53" t="s">
        <v>88</v>
      </c>
      <c r="Z48" s="53" t="s">
        <v>102</v>
      </c>
      <c r="AA48" s="53" t="s">
        <v>97</v>
      </c>
      <c r="AB48" s="53" t="s">
        <v>236</v>
      </c>
    </row>
    <row r="49" spans="1:28" x14ac:dyDescent="0.15">
      <c r="A49" s="53" t="s">
        <v>56</v>
      </c>
      <c r="B49" s="53" t="s">
        <v>232</v>
      </c>
      <c r="C49" s="53">
        <v>2019</v>
      </c>
      <c r="D49" s="81" t="s">
        <v>233</v>
      </c>
      <c r="E49" s="53" t="s">
        <v>249</v>
      </c>
      <c r="F49" s="53" t="s">
        <v>251</v>
      </c>
      <c r="G49" s="53" t="s">
        <v>42</v>
      </c>
      <c r="H49" s="53" t="s">
        <v>164</v>
      </c>
      <c r="I49" s="53" t="s">
        <v>159</v>
      </c>
      <c r="J49" s="53" t="s">
        <v>38</v>
      </c>
      <c r="K49" s="53" t="s">
        <v>161</v>
      </c>
      <c r="L49" s="53">
        <v>3</v>
      </c>
      <c r="N49" s="53">
        <v>1</v>
      </c>
      <c r="O49" s="53">
        <v>0.8</v>
      </c>
      <c r="P49" s="53">
        <v>0.65</v>
      </c>
      <c r="Q49" s="16">
        <f t="shared" si="0"/>
        <v>0.72500000000000009</v>
      </c>
      <c r="R49" s="53">
        <v>16.8</v>
      </c>
      <c r="S49" s="53">
        <v>140</v>
      </c>
      <c r="T49" s="16">
        <f t="shared" si="1"/>
        <v>22</v>
      </c>
      <c r="U49" s="53">
        <v>127</v>
      </c>
      <c r="V49" s="16">
        <f t="shared" si="2"/>
        <v>2794</v>
      </c>
      <c r="W49" s="53">
        <v>4</v>
      </c>
      <c r="X49" s="53" t="s">
        <v>46</v>
      </c>
      <c r="Y49" s="53" t="s">
        <v>88</v>
      </c>
      <c r="Z49" s="53" t="s">
        <v>102</v>
      </c>
      <c r="AA49" s="53" t="s">
        <v>97</v>
      </c>
      <c r="AB49" s="53" t="s">
        <v>236</v>
      </c>
    </row>
    <row r="50" spans="1:28" x14ac:dyDescent="0.15">
      <c r="A50" s="53" t="s">
        <v>56</v>
      </c>
      <c r="B50" s="53" t="s">
        <v>232</v>
      </c>
      <c r="C50" s="53">
        <v>2019</v>
      </c>
      <c r="D50" s="81" t="s">
        <v>233</v>
      </c>
      <c r="E50" s="53" t="s">
        <v>249</v>
      </c>
      <c r="F50" s="53" t="s">
        <v>251</v>
      </c>
      <c r="G50" s="53" t="s">
        <v>42</v>
      </c>
      <c r="H50" s="53" t="s">
        <v>160</v>
      </c>
      <c r="I50" s="53" t="s">
        <v>159</v>
      </c>
      <c r="J50" s="53" t="s">
        <v>38</v>
      </c>
      <c r="K50" s="53" t="s">
        <v>161</v>
      </c>
      <c r="L50" s="53">
        <v>1</v>
      </c>
      <c r="N50" s="53">
        <v>1</v>
      </c>
      <c r="O50" s="53">
        <v>0.6</v>
      </c>
      <c r="P50" s="53">
        <v>0.65</v>
      </c>
      <c r="Q50" s="16">
        <f t="shared" si="0"/>
        <v>0.625</v>
      </c>
      <c r="R50" s="53">
        <v>17.399999999999999</v>
      </c>
      <c r="S50" s="53">
        <v>143</v>
      </c>
      <c r="T50" s="16">
        <f t="shared" si="1"/>
        <v>22</v>
      </c>
      <c r="U50" s="53">
        <v>127</v>
      </c>
      <c r="V50" s="16">
        <f t="shared" si="2"/>
        <v>2794</v>
      </c>
      <c r="W50" s="53">
        <v>4</v>
      </c>
      <c r="X50" s="53" t="s">
        <v>46</v>
      </c>
      <c r="Y50" s="53" t="s">
        <v>88</v>
      </c>
      <c r="Z50" s="53" t="s">
        <v>102</v>
      </c>
      <c r="AA50" s="53" t="s">
        <v>97</v>
      </c>
      <c r="AB50" s="53" t="s">
        <v>236</v>
      </c>
    </row>
    <row r="51" spans="1:28" x14ac:dyDescent="0.15">
      <c r="A51" s="53" t="s">
        <v>56</v>
      </c>
      <c r="B51" s="53" t="s">
        <v>232</v>
      </c>
      <c r="C51" s="53">
        <v>2019</v>
      </c>
      <c r="D51" s="81" t="s">
        <v>233</v>
      </c>
      <c r="E51" s="53" t="s">
        <v>249</v>
      </c>
      <c r="F51" s="53" t="s">
        <v>251</v>
      </c>
      <c r="G51" s="53" t="s">
        <v>42</v>
      </c>
      <c r="H51" s="53" t="s">
        <v>160</v>
      </c>
      <c r="I51" s="53" t="s">
        <v>159</v>
      </c>
      <c r="J51" s="53" t="s">
        <v>38</v>
      </c>
      <c r="K51" s="53" t="s">
        <v>161</v>
      </c>
      <c r="L51" s="53">
        <v>2</v>
      </c>
      <c r="N51" s="53">
        <v>1</v>
      </c>
      <c r="O51" s="53">
        <v>0.5</v>
      </c>
      <c r="P51" s="53">
        <v>0.5</v>
      </c>
      <c r="Q51" s="16">
        <f t="shared" si="0"/>
        <v>0.5</v>
      </c>
      <c r="R51" s="53">
        <v>17.5</v>
      </c>
      <c r="S51" s="53">
        <v>138</v>
      </c>
      <c r="T51" s="16">
        <f t="shared" si="1"/>
        <v>22</v>
      </c>
      <c r="U51" s="53">
        <v>127</v>
      </c>
      <c r="V51" s="16">
        <f t="shared" si="2"/>
        <v>2794</v>
      </c>
      <c r="W51" s="53">
        <v>4</v>
      </c>
      <c r="X51" s="53" t="s">
        <v>46</v>
      </c>
      <c r="Y51" s="53" t="s">
        <v>88</v>
      </c>
      <c r="Z51" s="53" t="s">
        <v>102</v>
      </c>
      <c r="AA51" s="53" t="s">
        <v>97</v>
      </c>
      <c r="AB51" s="53" t="s">
        <v>236</v>
      </c>
    </row>
    <row r="52" spans="1:28" x14ac:dyDescent="0.15">
      <c r="A52" s="53" t="s">
        <v>56</v>
      </c>
      <c r="B52" s="53" t="s">
        <v>232</v>
      </c>
      <c r="C52" s="53">
        <v>2019</v>
      </c>
      <c r="D52" s="81" t="s">
        <v>233</v>
      </c>
      <c r="E52" s="53" t="s">
        <v>249</v>
      </c>
      <c r="F52" s="53" t="s">
        <v>251</v>
      </c>
      <c r="G52" s="53" t="s">
        <v>42</v>
      </c>
      <c r="H52" s="53" t="s">
        <v>160</v>
      </c>
      <c r="I52" s="53" t="s">
        <v>159</v>
      </c>
      <c r="J52" s="53" t="s">
        <v>38</v>
      </c>
      <c r="K52" s="53" t="s">
        <v>161</v>
      </c>
      <c r="L52" s="53">
        <v>3</v>
      </c>
      <c r="N52" s="53">
        <v>1</v>
      </c>
      <c r="O52" s="53">
        <v>0.8</v>
      </c>
      <c r="P52" s="53">
        <v>0.7</v>
      </c>
      <c r="Q52" s="16">
        <f t="shared" si="0"/>
        <v>0.75</v>
      </c>
      <c r="R52" s="53">
        <v>15.7</v>
      </c>
      <c r="S52" s="53">
        <v>144</v>
      </c>
      <c r="T52" s="16">
        <f t="shared" si="1"/>
        <v>22</v>
      </c>
      <c r="U52" s="53">
        <v>127</v>
      </c>
      <c r="V52" s="16">
        <f t="shared" si="2"/>
        <v>2794</v>
      </c>
      <c r="W52" s="53">
        <v>4</v>
      </c>
      <c r="X52" s="53" t="s">
        <v>46</v>
      </c>
      <c r="Y52" s="53" t="s">
        <v>88</v>
      </c>
      <c r="Z52" s="53" t="s">
        <v>102</v>
      </c>
      <c r="AA52" s="53" t="s">
        <v>97</v>
      </c>
      <c r="AB52" s="53" t="s">
        <v>236</v>
      </c>
    </row>
    <row r="53" spans="1:28" x14ac:dyDescent="0.15">
      <c r="A53" s="53" t="s">
        <v>56</v>
      </c>
      <c r="B53" s="53" t="s">
        <v>232</v>
      </c>
      <c r="C53" s="53">
        <v>2019</v>
      </c>
      <c r="D53" s="81" t="s">
        <v>233</v>
      </c>
      <c r="E53" s="53" t="s">
        <v>258</v>
      </c>
      <c r="F53" s="53" t="s">
        <v>251</v>
      </c>
      <c r="G53" s="53" t="s">
        <v>42</v>
      </c>
      <c r="H53" s="53" t="s">
        <v>164</v>
      </c>
      <c r="I53" s="53" t="s">
        <v>159</v>
      </c>
      <c r="J53" s="53" t="s">
        <v>38</v>
      </c>
      <c r="K53" s="53" t="s">
        <v>161</v>
      </c>
      <c r="L53" s="53">
        <v>1</v>
      </c>
      <c r="N53" s="53">
        <v>5</v>
      </c>
      <c r="O53" s="53">
        <v>0.7</v>
      </c>
      <c r="P53" s="53">
        <v>0.7</v>
      </c>
      <c r="Q53" s="16">
        <f t="shared" si="0"/>
        <v>0.7</v>
      </c>
      <c r="R53" s="53">
        <v>13.9</v>
      </c>
      <c r="S53" s="53">
        <v>89</v>
      </c>
      <c r="T53" s="16">
        <f t="shared" si="1"/>
        <v>36</v>
      </c>
      <c r="U53" s="53">
        <v>430</v>
      </c>
      <c r="V53" s="16">
        <f t="shared" si="2"/>
        <v>3096</v>
      </c>
      <c r="W53" s="53">
        <v>6</v>
      </c>
      <c r="X53" s="53" t="s">
        <v>46</v>
      </c>
      <c r="Y53" s="53" t="s">
        <v>88</v>
      </c>
      <c r="Z53" s="53" t="s">
        <v>102</v>
      </c>
      <c r="AA53" s="53" t="s">
        <v>78</v>
      </c>
      <c r="AB53" s="53" t="s">
        <v>236</v>
      </c>
    </row>
    <row r="54" spans="1:28" x14ac:dyDescent="0.15">
      <c r="A54" s="53" t="s">
        <v>56</v>
      </c>
      <c r="B54" s="53" t="s">
        <v>232</v>
      </c>
      <c r="C54" s="53">
        <v>2019</v>
      </c>
      <c r="D54" s="81" t="s">
        <v>233</v>
      </c>
      <c r="E54" s="53" t="s">
        <v>258</v>
      </c>
      <c r="F54" s="53" t="s">
        <v>251</v>
      </c>
      <c r="G54" s="53" t="s">
        <v>42</v>
      </c>
      <c r="H54" s="53" t="s">
        <v>164</v>
      </c>
      <c r="I54" s="53" t="s">
        <v>159</v>
      </c>
      <c r="J54" s="53" t="s">
        <v>38</v>
      </c>
      <c r="K54" s="53" t="s">
        <v>161</v>
      </c>
      <c r="L54" s="53">
        <v>2</v>
      </c>
      <c r="N54" s="53">
        <v>5</v>
      </c>
      <c r="O54" s="53">
        <v>1</v>
      </c>
      <c r="P54" s="53">
        <v>1</v>
      </c>
      <c r="Q54" s="16">
        <f t="shared" si="0"/>
        <v>1</v>
      </c>
      <c r="R54" s="53">
        <v>14.1</v>
      </c>
      <c r="S54" s="53">
        <v>86</v>
      </c>
      <c r="T54" s="16">
        <f t="shared" si="1"/>
        <v>36</v>
      </c>
      <c r="U54" s="53">
        <v>430</v>
      </c>
      <c r="V54" s="16">
        <f t="shared" si="2"/>
        <v>3096</v>
      </c>
      <c r="W54" s="53">
        <v>6</v>
      </c>
      <c r="X54" s="53" t="s">
        <v>46</v>
      </c>
      <c r="Y54" s="53" t="s">
        <v>88</v>
      </c>
      <c r="Z54" s="53" t="s">
        <v>102</v>
      </c>
      <c r="AA54" s="53" t="s">
        <v>78</v>
      </c>
      <c r="AB54" s="53" t="s">
        <v>236</v>
      </c>
    </row>
    <row r="55" spans="1:28" x14ac:dyDescent="0.15">
      <c r="A55" s="53" t="s">
        <v>56</v>
      </c>
      <c r="B55" s="53" t="s">
        <v>232</v>
      </c>
      <c r="C55" s="53">
        <v>2019</v>
      </c>
      <c r="D55" s="81" t="s">
        <v>233</v>
      </c>
      <c r="E55" s="53" t="s">
        <v>258</v>
      </c>
      <c r="F55" s="53" t="s">
        <v>251</v>
      </c>
      <c r="G55" s="53" t="s">
        <v>42</v>
      </c>
      <c r="H55" s="53" t="s">
        <v>164</v>
      </c>
      <c r="I55" s="53" t="s">
        <v>159</v>
      </c>
      <c r="J55" s="53" t="s">
        <v>38</v>
      </c>
      <c r="K55" s="53" t="s">
        <v>161</v>
      </c>
      <c r="L55" s="53">
        <v>3</v>
      </c>
      <c r="N55" s="53">
        <v>5</v>
      </c>
      <c r="O55" s="53">
        <v>0.75</v>
      </c>
      <c r="P55" s="53">
        <v>0.75</v>
      </c>
      <c r="Q55" s="16">
        <f t="shared" si="0"/>
        <v>0.75</v>
      </c>
      <c r="R55" s="53">
        <v>12.9</v>
      </c>
      <c r="S55" s="53">
        <v>93</v>
      </c>
      <c r="T55" s="16">
        <f t="shared" si="1"/>
        <v>36</v>
      </c>
      <c r="U55" s="53">
        <v>430</v>
      </c>
      <c r="V55" s="16">
        <f t="shared" si="2"/>
        <v>3096</v>
      </c>
      <c r="W55" s="53">
        <v>6</v>
      </c>
      <c r="X55" s="53" t="s">
        <v>46</v>
      </c>
      <c r="Y55" s="53" t="s">
        <v>88</v>
      </c>
      <c r="Z55" s="53" t="s">
        <v>102</v>
      </c>
      <c r="AA55" s="53" t="s">
        <v>78</v>
      </c>
      <c r="AB55" s="53" t="s">
        <v>236</v>
      </c>
    </row>
    <row r="56" spans="1:28" x14ac:dyDescent="0.15">
      <c r="A56" s="53" t="s">
        <v>56</v>
      </c>
      <c r="B56" s="53" t="s">
        <v>232</v>
      </c>
      <c r="C56" s="53">
        <v>2019</v>
      </c>
      <c r="D56" s="81" t="s">
        <v>233</v>
      </c>
      <c r="E56" s="53" t="s">
        <v>258</v>
      </c>
      <c r="F56" s="53" t="s">
        <v>251</v>
      </c>
      <c r="G56" s="53" t="s">
        <v>42</v>
      </c>
      <c r="H56" s="53" t="s">
        <v>160</v>
      </c>
      <c r="I56" s="53" t="s">
        <v>159</v>
      </c>
      <c r="J56" s="53" t="s">
        <v>38</v>
      </c>
      <c r="K56" s="53" t="s">
        <v>161</v>
      </c>
      <c r="L56" s="53">
        <v>1</v>
      </c>
      <c r="N56" s="53">
        <v>5</v>
      </c>
      <c r="O56" s="53">
        <v>0.75</v>
      </c>
      <c r="P56" s="53">
        <v>0.7</v>
      </c>
      <c r="Q56" s="16">
        <f t="shared" si="0"/>
        <v>0.72499999999999998</v>
      </c>
      <c r="R56" s="53">
        <v>17.100000000000001</v>
      </c>
      <c r="S56" s="53">
        <v>111</v>
      </c>
      <c r="T56" s="16">
        <f t="shared" si="1"/>
        <v>33</v>
      </c>
      <c r="U56" s="53">
        <v>646</v>
      </c>
      <c r="V56" s="16">
        <f t="shared" si="2"/>
        <v>4263.5999999999995</v>
      </c>
      <c r="W56" s="53">
        <v>6</v>
      </c>
      <c r="X56" s="53" t="s">
        <v>46</v>
      </c>
      <c r="Y56" s="53" t="s">
        <v>88</v>
      </c>
      <c r="Z56" s="53" t="s">
        <v>102</v>
      </c>
      <c r="AA56" s="53" t="s">
        <v>78</v>
      </c>
      <c r="AB56" s="53" t="s">
        <v>236</v>
      </c>
    </row>
    <row r="57" spans="1:28" x14ac:dyDescent="0.15">
      <c r="A57" s="53" t="s">
        <v>56</v>
      </c>
      <c r="B57" s="53" t="s">
        <v>232</v>
      </c>
      <c r="C57" s="53">
        <v>2019</v>
      </c>
      <c r="D57" s="81" t="s">
        <v>233</v>
      </c>
      <c r="E57" s="53" t="s">
        <v>258</v>
      </c>
      <c r="F57" s="53" t="s">
        <v>251</v>
      </c>
      <c r="G57" s="53" t="s">
        <v>42</v>
      </c>
      <c r="H57" s="53" t="s">
        <v>160</v>
      </c>
      <c r="I57" s="53" t="s">
        <v>159</v>
      </c>
      <c r="J57" s="53" t="s">
        <v>38</v>
      </c>
      <c r="K57" s="53" t="s">
        <v>161</v>
      </c>
      <c r="L57" s="53">
        <v>2</v>
      </c>
      <c r="N57" s="53">
        <v>5</v>
      </c>
      <c r="O57" s="53">
        <v>0.75</v>
      </c>
      <c r="P57" s="53">
        <v>0.75</v>
      </c>
      <c r="Q57" s="16">
        <f t="shared" si="0"/>
        <v>0.75</v>
      </c>
      <c r="R57" s="53">
        <v>14.1</v>
      </c>
      <c r="S57" s="53">
        <v>124</v>
      </c>
      <c r="T57" s="16">
        <f t="shared" si="1"/>
        <v>27</v>
      </c>
      <c r="U57" s="53">
        <v>646</v>
      </c>
      <c r="V57" s="16">
        <f t="shared" si="2"/>
        <v>3488.3999999999996</v>
      </c>
      <c r="W57" s="53">
        <v>6</v>
      </c>
      <c r="X57" s="53" t="s">
        <v>46</v>
      </c>
      <c r="Y57" s="53" t="s">
        <v>88</v>
      </c>
      <c r="Z57" s="53" t="s">
        <v>102</v>
      </c>
      <c r="AA57" s="53" t="s">
        <v>78</v>
      </c>
      <c r="AB57" s="53" t="s">
        <v>236</v>
      </c>
    </row>
    <row r="58" spans="1:28" x14ac:dyDescent="0.15">
      <c r="A58" s="53" t="s">
        <v>56</v>
      </c>
      <c r="B58" s="53" t="s">
        <v>232</v>
      </c>
      <c r="C58" s="53">
        <v>2019</v>
      </c>
      <c r="D58" s="81" t="s">
        <v>233</v>
      </c>
      <c r="E58" s="53" t="s">
        <v>258</v>
      </c>
      <c r="F58" s="53" t="s">
        <v>251</v>
      </c>
      <c r="G58" s="53" t="s">
        <v>42</v>
      </c>
      <c r="H58" s="53" t="s">
        <v>160</v>
      </c>
      <c r="I58" s="53" t="s">
        <v>159</v>
      </c>
      <c r="J58" s="53" t="s">
        <v>38</v>
      </c>
      <c r="K58" s="53" t="s">
        <v>161</v>
      </c>
      <c r="L58" s="53">
        <v>3</v>
      </c>
      <c r="N58" s="53">
        <v>5</v>
      </c>
      <c r="O58" s="53">
        <v>0.65</v>
      </c>
      <c r="P58" s="53">
        <v>0.65</v>
      </c>
      <c r="Q58" s="16">
        <f t="shared" si="0"/>
        <v>0.65</v>
      </c>
      <c r="R58" s="53">
        <v>15.9</v>
      </c>
      <c r="S58" s="53">
        <v>106</v>
      </c>
      <c r="T58" s="16">
        <f t="shared" si="1"/>
        <v>33</v>
      </c>
      <c r="U58" s="53">
        <v>646</v>
      </c>
      <c r="V58" s="16">
        <f t="shared" si="2"/>
        <v>4263.5999999999995</v>
      </c>
      <c r="W58" s="53">
        <v>6</v>
      </c>
      <c r="X58" s="53" t="s">
        <v>46</v>
      </c>
      <c r="Y58" s="53" t="s">
        <v>88</v>
      </c>
      <c r="Z58" s="53" t="s">
        <v>102</v>
      </c>
      <c r="AA58" s="53" t="s">
        <v>78</v>
      </c>
      <c r="AB58" s="53" t="s">
        <v>236</v>
      </c>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2305866D-1C6D-4687-9E28-BBA78D684348}">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5BD2F986-1E5C-4D7E-8CF7-387F8855345E}">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1BB471BD-FA43-427A-B383-AE665C3612F8}">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D8C36F5B-A6C9-4FBC-B71D-55D048D58D80}">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8FBC7E6D-9428-4D38-80D1-167AE95DB484}">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D0BD30D6-EDEF-444E-99BA-AD1C27F2FF45}"/>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A486C334-8131-465B-8751-BA684AFE6A18}">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D6540DA1-54B8-4115-A6DF-49E38B3DC708}">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7BC3746A-DEF1-4C52-AB3F-0C4F9F1A44EC}">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F131AF9A-C829-49FA-8F1A-E56694D00CC2}">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D62DD56C-4AD2-44F3-8533-1FBC65E0AFF5}">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0E33BB26-C853-42FC-99B2-E2CD011D2ECE}">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E6150496-A539-415B-AD3E-C8D5B9C660A7}">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39228EF4-CCF5-4846-9A2D-EABE6428FF06}">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ADACEEBB-7723-41F6-AB6E-E3B019E68A25}">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2:O500 P2:P500" xr:uid="{7DBA06AD-E3EC-4D0B-B0BF-155FA0A497B7}">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FA10505F-9507-4224-9874-779E2C616E38}">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26AC6828-71D6-47EC-8CDF-2970CEF6BAB1}">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DBF98-058E-4854-9C47-284BE6A2A4B1}">
  <dimension ref="A1:BA91"/>
  <sheetViews>
    <sheetView zoomScale="70" zoomScaleNormal="70" workbookViewId="0">
      <selection activeCell="A2" sqref="A2"/>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259</v>
      </c>
      <c r="AY1" s="99" t="s">
        <v>180</v>
      </c>
      <c r="AZ1" s="99" t="s">
        <v>260</v>
      </c>
      <c r="BA1" s="100" t="s">
        <v>182</v>
      </c>
    </row>
    <row r="2" spans="1:53" x14ac:dyDescent="0.15">
      <c r="A2" s="93" t="s">
        <v>51</v>
      </c>
      <c r="B2" s="93" t="s">
        <v>157</v>
      </c>
      <c r="C2" s="93">
        <v>2019</v>
      </c>
      <c r="D2" s="101" t="s">
        <v>261</v>
      </c>
      <c r="E2" s="93" t="s">
        <v>262</v>
      </c>
      <c r="F2" s="93" t="s">
        <v>263</v>
      </c>
      <c r="G2" s="93" t="s">
        <v>42</v>
      </c>
      <c r="H2" s="93" t="s">
        <v>164</v>
      </c>
      <c r="I2" s="93" t="s">
        <v>159</v>
      </c>
      <c r="J2" s="93" t="s">
        <v>38</v>
      </c>
      <c r="K2" s="93" t="s">
        <v>161</v>
      </c>
      <c r="L2" s="93">
        <v>1</v>
      </c>
      <c r="N2" s="93">
        <v>1</v>
      </c>
      <c r="O2" s="93">
        <v>0.8</v>
      </c>
      <c r="P2" s="93">
        <v>0.85</v>
      </c>
      <c r="Q2" s="102">
        <f t="shared" ref="Q2:Q65" si="0">IF(OR(O2="",P2=""),"",AVERAGE(O2,P2))</f>
        <v>0.82499999999999996</v>
      </c>
      <c r="R2" s="93">
        <v>15.6</v>
      </c>
      <c r="S2" s="93">
        <v>128</v>
      </c>
      <c r="T2" s="103">
        <f t="shared" ref="T2:T65" si="1">IF(H2="","",IF(OR(H2="GREEN",H2="GK"),IF(S2&gt;=$AX$2,VLOOKUP(S2,$AX$2:$AY$12,2,1),""),IF(S2&gt;=$AZ$2,VLOOKUP(S2,$AZ$2:$BA$12,2,1),"")))</f>
        <v>27</v>
      </c>
      <c r="U2" s="93">
        <v>98</v>
      </c>
      <c r="V2" s="104">
        <f t="shared" ref="V2:V65" si="2">IF(OR(N2="",U2="",T2=""),"",U2/N2*T2)</f>
        <v>2646</v>
      </c>
      <c r="W2" s="93">
        <v>4</v>
      </c>
      <c r="X2" s="93" t="s">
        <v>39</v>
      </c>
      <c r="Y2" s="93" t="s">
        <v>97</v>
      </c>
      <c r="Z2" s="93" t="s">
        <v>78</v>
      </c>
      <c r="AA2" s="93" t="s">
        <v>69</v>
      </c>
      <c r="AB2" s="93" t="s">
        <v>158</v>
      </c>
      <c r="AE2" s="105" t="s">
        <v>35</v>
      </c>
      <c r="AG2" s="106" t="s">
        <v>210</v>
      </c>
      <c r="AH2" s="106" t="s">
        <v>264</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261</v>
      </c>
      <c r="E3" s="93" t="s">
        <v>262</v>
      </c>
      <c r="F3" s="93" t="s">
        <v>263</v>
      </c>
      <c r="G3" s="93" t="s">
        <v>42</v>
      </c>
      <c r="H3" s="93" t="s">
        <v>164</v>
      </c>
      <c r="I3" s="93" t="s">
        <v>159</v>
      </c>
      <c r="J3" s="93" t="s">
        <v>38</v>
      </c>
      <c r="K3" s="93" t="s">
        <v>161</v>
      </c>
      <c r="L3" s="93">
        <v>2</v>
      </c>
      <c r="N3" s="93">
        <v>1</v>
      </c>
      <c r="O3" s="93">
        <v>0.75</v>
      </c>
      <c r="P3" s="93">
        <v>0.75</v>
      </c>
      <c r="Q3" s="102">
        <f t="shared" si="0"/>
        <v>0.75</v>
      </c>
      <c r="R3" s="93">
        <v>16.899999999999999</v>
      </c>
      <c r="S3" s="93">
        <v>122</v>
      </c>
      <c r="T3" s="103">
        <f t="shared" si="1"/>
        <v>27</v>
      </c>
      <c r="U3" s="93">
        <v>98</v>
      </c>
      <c r="V3" s="104">
        <f t="shared" si="2"/>
        <v>2646</v>
      </c>
      <c r="W3" s="93">
        <v>4</v>
      </c>
      <c r="X3" s="93" t="s">
        <v>39</v>
      </c>
      <c r="Y3" s="93" t="s">
        <v>97</v>
      </c>
      <c r="Z3" s="93" t="s">
        <v>78</v>
      </c>
      <c r="AA3" s="93" t="s">
        <v>69</v>
      </c>
      <c r="AB3" s="93" t="s">
        <v>158</v>
      </c>
      <c r="AE3" s="110" t="s">
        <v>41</v>
      </c>
      <c r="AG3" s="106" t="s">
        <v>265</v>
      </c>
      <c r="AH3" s="106" t="s">
        <v>266</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261</v>
      </c>
      <c r="E4" s="93" t="s">
        <v>262</v>
      </c>
      <c r="F4" s="93" t="s">
        <v>263</v>
      </c>
      <c r="G4" s="93" t="s">
        <v>42</v>
      </c>
      <c r="H4" s="93" t="s">
        <v>164</v>
      </c>
      <c r="I4" s="93" t="s">
        <v>159</v>
      </c>
      <c r="J4" s="93" t="s">
        <v>38</v>
      </c>
      <c r="K4" s="93" t="s">
        <v>161</v>
      </c>
      <c r="L4" s="93">
        <v>3</v>
      </c>
      <c r="N4" s="93">
        <v>1</v>
      </c>
      <c r="O4" s="93">
        <v>0.8</v>
      </c>
      <c r="P4" s="93">
        <v>0.7</v>
      </c>
      <c r="Q4" s="102">
        <f t="shared" si="0"/>
        <v>0.75</v>
      </c>
      <c r="R4" s="93">
        <v>17</v>
      </c>
      <c r="S4" s="93">
        <v>126</v>
      </c>
      <c r="T4" s="103">
        <f t="shared" si="1"/>
        <v>27</v>
      </c>
      <c r="U4" s="93">
        <v>98</v>
      </c>
      <c r="V4" s="104">
        <f t="shared" si="2"/>
        <v>2646</v>
      </c>
      <c r="W4" s="93">
        <v>4</v>
      </c>
      <c r="X4" s="93" t="s">
        <v>39</v>
      </c>
      <c r="Y4" s="93" t="s">
        <v>97</v>
      </c>
      <c r="Z4" s="93" t="s">
        <v>78</v>
      </c>
      <c r="AA4" s="93" t="s">
        <v>69</v>
      </c>
      <c r="AB4" s="93" t="s">
        <v>158</v>
      </c>
      <c r="AE4" s="110" t="s">
        <v>34</v>
      </c>
      <c r="AG4" s="106" t="s">
        <v>267</v>
      </c>
      <c r="AH4" s="106" t="s">
        <v>268</v>
      </c>
      <c r="AJ4" s="115" t="s">
        <v>48</v>
      </c>
      <c r="AL4" s="115" t="s">
        <v>189</v>
      </c>
      <c r="AN4" s="116" t="s">
        <v>190</v>
      </c>
      <c r="AP4" s="111" t="s">
        <v>191</v>
      </c>
      <c r="AR4" s="111" t="s">
        <v>192</v>
      </c>
      <c r="AT4" s="116"/>
      <c r="AV4" s="111" t="s">
        <v>50</v>
      </c>
      <c r="AX4" s="112">
        <v>75</v>
      </c>
      <c r="AY4" s="113">
        <v>42</v>
      </c>
      <c r="AZ4" s="113">
        <v>76</v>
      </c>
      <c r="BA4" s="114">
        <v>39</v>
      </c>
    </row>
    <row r="5" spans="1:53" x14ac:dyDescent="0.15">
      <c r="A5" s="93" t="s">
        <v>51</v>
      </c>
      <c r="B5" s="93" t="s">
        <v>157</v>
      </c>
      <c r="C5" s="93">
        <v>2019</v>
      </c>
      <c r="D5" s="101" t="s">
        <v>261</v>
      </c>
      <c r="E5" s="93" t="s">
        <v>262</v>
      </c>
      <c r="F5" s="93" t="s">
        <v>263</v>
      </c>
      <c r="G5" s="93" t="s">
        <v>42</v>
      </c>
      <c r="H5" s="93" t="s">
        <v>160</v>
      </c>
      <c r="I5" s="93" t="s">
        <v>159</v>
      </c>
      <c r="J5" s="93" t="s">
        <v>38</v>
      </c>
      <c r="K5" s="93" t="s">
        <v>161</v>
      </c>
      <c r="L5" s="93">
        <v>1</v>
      </c>
      <c r="N5" s="93">
        <v>1</v>
      </c>
      <c r="O5" s="93">
        <v>0.65</v>
      </c>
      <c r="P5" s="93">
        <v>0.75</v>
      </c>
      <c r="Q5" s="102">
        <f t="shared" si="0"/>
        <v>0.7</v>
      </c>
      <c r="R5" s="93">
        <v>17.600000000000001</v>
      </c>
      <c r="S5" s="93">
        <v>134</v>
      </c>
      <c r="T5" s="103">
        <f t="shared" si="1"/>
        <v>25</v>
      </c>
      <c r="U5" s="93">
        <v>138</v>
      </c>
      <c r="V5" s="104">
        <f t="shared" si="2"/>
        <v>3450</v>
      </c>
      <c r="W5" s="93">
        <v>4</v>
      </c>
      <c r="X5" s="93" t="s">
        <v>39</v>
      </c>
      <c r="Y5" s="93" t="s">
        <v>97</v>
      </c>
      <c r="Z5" s="93" t="s">
        <v>78</v>
      </c>
      <c r="AA5" s="93" t="s">
        <v>69</v>
      </c>
      <c r="AB5" s="93" t="s">
        <v>158</v>
      </c>
      <c r="AE5" s="110" t="s">
        <v>51</v>
      </c>
      <c r="AG5" s="106" t="s">
        <v>269</v>
      </c>
      <c r="AH5" s="106" t="s">
        <v>263</v>
      </c>
      <c r="AJ5" s="116"/>
      <c r="AL5" s="117" t="s">
        <v>164</v>
      </c>
      <c r="AN5" s="117" t="s">
        <v>159</v>
      </c>
      <c r="AP5" s="111" t="s">
        <v>194</v>
      </c>
      <c r="AR5" s="111" t="s">
        <v>54</v>
      </c>
      <c r="AV5" s="111" t="s">
        <v>55</v>
      </c>
      <c r="AX5" s="112">
        <v>84</v>
      </c>
      <c r="AY5" s="113">
        <v>39</v>
      </c>
      <c r="AZ5" s="113">
        <v>84</v>
      </c>
      <c r="BA5" s="114">
        <v>36</v>
      </c>
    </row>
    <row r="6" spans="1:53" x14ac:dyDescent="0.15">
      <c r="A6" s="93" t="s">
        <v>51</v>
      </c>
      <c r="B6" s="93" t="s">
        <v>157</v>
      </c>
      <c r="C6" s="93">
        <v>2019</v>
      </c>
      <c r="D6" s="101" t="s">
        <v>261</v>
      </c>
      <c r="E6" s="93" t="s">
        <v>262</v>
      </c>
      <c r="F6" s="93" t="s">
        <v>263</v>
      </c>
      <c r="G6" s="93" t="s">
        <v>42</v>
      </c>
      <c r="H6" s="93" t="s">
        <v>160</v>
      </c>
      <c r="I6" s="93" t="s">
        <v>159</v>
      </c>
      <c r="J6" s="93" t="s">
        <v>38</v>
      </c>
      <c r="K6" s="93" t="s">
        <v>161</v>
      </c>
      <c r="L6" s="93">
        <v>2</v>
      </c>
      <c r="N6" s="93">
        <v>1</v>
      </c>
      <c r="O6" s="93">
        <v>0.7</v>
      </c>
      <c r="P6" s="93">
        <v>0.7</v>
      </c>
      <c r="Q6" s="102">
        <f t="shared" si="0"/>
        <v>0.7</v>
      </c>
      <c r="R6" s="93">
        <v>17.2</v>
      </c>
      <c r="S6" s="93">
        <v>134</v>
      </c>
      <c r="T6" s="103">
        <f t="shared" si="1"/>
        <v>25</v>
      </c>
      <c r="U6" s="93">
        <v>138</v>
      </c>
      <c r="V6" s="104">
        <f t="shared" si="2"/>
        <v>3450</v>
      </c>
      <c r="W6" s="93">
        <v>4</v>
      </c>
      <c r="X6" s="93" t="s">
        <v>39</v>
      </c>
      <c r="Y6" s="93" t="s">
        <v>97</v>
      </c>
      <c r="Z6" s="93" t="s">
        <v>78</v>
      </c>
      <c r="AA6" s="93" t="s">
        <v>69</v>
      </c>
      <c r="AB6" s="93" t="s">
        <v>158</v>
      </c>
      <c r="AE6" s="110" t="s">
        <v>56</v>
      </c>
      <c r="AG6" s="106" t="s">
        <v>270</v>
      </c>
      <c r="AH6" s="106" t="s">
        <v>271</v>
      </c>
      <c r="AL6" s="117" t="s">
        <v>196</v>
      </c>
      <c r="AN6" s="117" t="s">
        <v>197</v>
      </c>
      <c r="AP6" s="111" t="s">
        <v>53</v>
      </c>
      <c r="AR6" s="111" t="s">
        <v>59</v>
      </c>
      <c r="AV6" s="111" t="s">
        <v>60</v>
      </c>
      <c r="AX6" s="112">
        <v>97</v>
      </c>
      <c r="AY6" s="113">
        <v>36</v>
      </c>
      <c r="AZ6" s="113">
        <v>99</v>
      </c>
      <c r="BA6" s="114">
        <v>33</v>
      </c>
    </row>
    <row r="7" spans="1:53" x14ac:dyDescent="0.15">
      <c r="A7" s="93" t="s">
        <v>51</v>
      </c>
      <c r="B7" s="93" t="s">
        <v>157</v>
      </c>
      <c r="C7" s="93">
        <v>2019</v>
      </c>
      <c r="D7" s="101" t="s">
        <v>261</v>
      </c>
      <c r="E7" s="93" t="s">
        <v>262</v>
      </c>
      <c r="F7" s="93" t="s">
        <v>263</v>
      </c>
      <c r="G7" s="93" t="s">
        <v>42</v>
      </c>
      <c r="H7" s="93" t="s">
        <v>160</v>
      </c>
      <c r="I7" s="93" t="s">
        <v>159</v>
      </c>
      <c r="J7" s="93" t="s">
        <v>38</v>
      </c>
      <c r="K7" s="93" t="s">
        <v>161</v>
      </c>
      <c r="L7" s="93">
        <v>3</v>
      </c>
      <c r="N7" s="93">
        <v>1</v>
      </c>
      <c r="O7" s="93">
        <v>0.8</v>
      </c>
      <c r="P7" s="93">
        <v>0.65</v>
      </c>
      <c r="Q7" s="102">
        <f t="shared" si="0"/>
        <v>0.72500000000000009</v>
      </c>
      <c r="R7" s="93">
        <v>16.8</v>
      </c>
      <c r="S7" s="93">
        <v>134</v>
      </c>
      <c r="T7" s="103">
        <f t="shared" si="1"/>
        <v>25</v>
      </c>
      <c r="U7" s="93">
        <v>138</v>
      </c>
      <c r="V7" s="104">
        <f t="shared" si="2"/>
        <v>3450</v>
      </c>
      <c r="W7" s="93">
        <v>4</v>
      </c>
      <c r="X7" s="93" t="s">
        <v>39</v>
      </c>
      <c r="Y7" s="93" t="s">
        <v>97</v>
      </c>
      <c r="Z7" s="93" t="s">
        <v>78</v>
      </c>
      <c r="AA7" s="93" t="s">
        <v>69</v>
      </c>
      <c r="AB7" s="93" t="s">
        <v>158</v>
      </c>
      <c r="AE7" s="110" t="s">
        <v>61</v>
      </c>
      <c r="AG7" s="106" t="s">
        <v>272</v>
      </c>
      <c r="AH7" s="106" t="s">
        <v>264</v>
      </c>
      <c r="AL7" s="93" t="s">
        <v>199</v>
      </c>
      <c r="AP7" s="111" t="s">
        <v>58</v>
      </c>
      <c r="AR7" s="111" t="s">
        <v>200</v>
      </c>
      <c r="AV7" s="111" t="s">
        <v>64</v>
      </c>
      <c r="AX7" s="112">
        <v>109</v>
      </c>
      <c r="AY7" s="113">
        <v>33</v>
      </c>
      <c r="AZ7" s="113">
        <v>113</v>
      </c>
      <c r="BA7" s="114">
        <v>30</v>
      </c>
    </row>
    <row r="8" spans="1:53" x14ac:dyDescent="0.15">
      <c r="A8" s="93" t="s">
        <v>51</v>
      </c>
      <c r="B8" s="93" t="s">
        <v>157</v>
      </c>
      <c r="C8" s="93">
        <v>2019</v>
      </c>
      <c r="D8" s="101" t="s">
        <v>261</v>
      </c>
      <c r="E8" s="93" t="s">
        <v>265</v>
      </c>
      <c r="F8" s="93" t="s">
        <v>266</v>
      </c>
      <c r="G8" s="93" t="s">
        <v>36</v>
      </c>
      <c r="H8" s="93" t="s">
        <v>164</v>
      </c>
      <c r="I8" s="93" t="s">
        <v>159</v>
      </c>
      <c r="J8" s="93" t="s">
        <v>38</v>
      </c>
      <c r="K8" s="93" t="s">
        <v>161</v>
      </c>
      <c r="L8" s="93">
        <v>1</v>
      </c>
      <c r="N8" s="93">
        <v>1</v>
      </c>
      <c r="O8" s="93">
        <v>0.8</v>
      </c>
      <c r="P8" s="93">
        <v>0.8</v>
      </c>
      <c r="Q8" s="102">
        <f t="shared" si="0"/>
        <v>0.8</v>
      </c>
      <c r="R8" s="93">
        <v>17.5</v>
      </c>
      <c r="S8" s="93">
        <v>150</v>
      </c>
      <c r="T8" s="103">
        <f t="shared" si="1"/>
        <v>22</v>
      </c>
      <c r="U8" s="93">
        <v>138</v>
      </c>
      <c r="V8" s="104">
        <f t="shared" si="2"/>
        <v>3036</v>
      </c>
      <c r="W8" s="93">
        <v>3</v>
      </c>
      <c r="X8" s="93" t="s">
        <v>39</v>
      </c>
      <c r="Y8" s="93" t="s">
        <v>78</v>
      </c>
      <c r="Z8" s="93" t="s">
        <v>88</v>
      </c>
      <c r="AA8" s="93" t="s">
        <v>69</v>
      </c>
      <c r="AB8" s="93" t="s">
        <v>158</v>
      </c>
      <c r="AE8" s="110" t="s">
        <v>59</v>
      </c>
      <c r="AG8" s="106" t="s">
        <v>273</v>
      </c>
      <c r="AH8" s="106" t="s">
        <v>274</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261</v>
      </c>
      <c r="E9" s="93" t="s">
        <v>265</v>
      </c>
      <c r="F9" s="93" t="s">
        <v>266</v>
      </c>
      <c r="G9" s="93" t="s">
        <v>36</v>
      </c>
      <c r="H9" s="93" t="s">
        <v>164</v>
      </c>
      <c r="I9" s="93" t="s">
        <v>159</v>
      </c>
      <c r="J9" s="93" t="s">
        <v>38</v>
      </c>
      <c r="K9" s="93" t="s">
        <v>161</v>
      </c>
      <c r="L9" s="93">
        <v>2</v>
      </c>
      <c r="N9" s="93">
        <v>1</v>
      </c>
      <c r="O9" s="93">
        <v>0.75</v>
      </c>
      <c r="P9" s="93">
        <v>0.75</v>
      </c>
      <c r="Q9" s="102">
        <f t="shared" si="0"/>
        <v>0.75</v>
      </c>
      <c r="R9" s="93">
        <v>17.899999999999999</v>
      </c>
      <c r="S9" s="93">
        <v>150</v>
      </c>
      <c r="T9" s="103">
        <f t="shared" si="1"/>
        <v>22</v>
      </c>
      <c r="U9" s="93">
        <v>138</v>
      </c>
      <c r="V9" s="104">
        <f t="shared" si="2"/>
        <v>3036</v>
      </c>
      <c r="W9" s="93">
        <v>3</v>
      </c>
      <c r="X9" s="93" t="s">
        <v>39</v>
      </c>
      <c r="Y9" s="93" t="s">
        <v>78</v>
      </c>
      <c r="Z9" s="93" t="s">
        <v>88</v>
      </c>
      <c r="AA9" s="93" t="s">
        <v>69</v>
      </c>
      <c r="AB9" s="93" t="s">
        <v>158</v>
      </c>
      <c r="AE9" s="110" t="s">
        <v>203</v>
      </c>
      <c r="AG9" s="106" t="s">
        <v>275</v>
      </c>
      <c r="AH9" s="106" t="s">
        <v>263</v>
      </c>
      <c r="AL9" s="117"/>
      <c r="AP9" s="111" t="s">
        <v>95</v>
      </c>
      <c r="AR9" s="111" t="s">
        <v>206</v>
      </c>
      <c r="AV9" s="111" t="s">
        <v>102</v>
      </c>
      <c r="AX9" s="112">
        <v>128</v>
      </c>
      <c r="AY9" s="113">
        <v>27</v>
      </c>
      <c r="AZ9" s="113">
        <v>129</v>
      </c>
      <c r="BA9" s="114">
        <v>25</v>
      </c>
    </row>
    <row r="10" spans="1:53" x14ac:dyDescent="0.15">
      <c r="A10" s="93" t="s">
        <v>51</v>
      </c>
      <c r="B10" s="93" t="s">
        <v>157</v>
      </c>
      <c r="C10" s="93">
        <v>2019</v>
      </c>
      <c r="D10" s="101" t="s">
        <v>261</v>
      </c>
      <c r="E10" s="93" t="s">
        <v>265</v>
      </c>
      <c r="F10" s="93" t="s">
        <v>266</v>
      </c>
      <c r="G10" s="93" t="s">
        <v>36</v>
      </c>
      <c r="H10" s="93" t="s">
        <v>164</v>
      </c>
      <c r="I10" s="93" t="s">
        <v>159</v>
      </c>
      <c r="J10" s="93" t="s">
        <v>38</v>
      </c>
      <c r="K10" s="93" t="s">
        <v>161</v>
      </c>
      <c r="L10" s="93">
        <v>3</v>
      </c>
      <c r="N10" s="93">
        <v>1</v>
      </c>
      <c r="O10" s="93">
        <v>0.75</v>
      </c>
      <c r="P10" s="93">
        <v>0.8</v>
      </c>
      <c r="Q10" s="102">
        <f t="shared" si="0"/>
        <v>0.77500000000000002</v>
      </c>
      <c r="R10" s="93">
        <v>18.2</v>
      </c>
      <c r="S10" s="93">
        <v>146</v>
      </c>
      <c r="T10" s="103">
        <f t="shared" si="1"/>
        <v>22</v>
      </c>
      <c r="U10" s="93">
        <v>138</v>
      </c>
      <c r="V10" s="104">
        <f t="shared" si="2"/>
        <v>3036</v>
      </c>
      <c r="W10" s="93">
        <v>3</v>
      </c>
      <c r="X10" s="93" t="s">
        <v>39</v>
      </c>
      <c r="Y10" s="93" t="s">
        <v>78</v>
      </c>
      <c r="Z10" s="93" t="s">
        <v>88</v>
      </c>
      <c r="AA10" s="93" t="s">
        <v>69</v>
      </c>
      <c r="AB10" s="93" t="s">
        <v>158</v>
      </c>
      <c r="AE10" s="110" t="s">
        <v>207</v>
      </c>
      <c r="AG10" s="106" t="s">
        <v>262</v>
      </c>
      <c r="AH10" s="111" t="s">
        <v>263</v>
      </c>
      <c r="AP10" s="111" t="s">
        <v>100</v>
      </c>
      <c r="AR10" s="111" t="s">
        <v>209</v>
      </c>
      <c r="AV10" s="111" t="s">
        <v>106</v>
      </c>
      <c r="AX10" s="112">
        <v>138</v>
      </c>
      <c r="AY10" s="113">
        <v>25</v>
      </c>
      <c r="AZ10" s="113">
        <v>138</v>
      </c>
      <c r="BA10" s="114">
        <v>22</v>
      </c>
    </row>
    <row r="11" spans="1:53" x14ac:dyDescent="0.15">
      <c r="A11" s="93" t="s">
        <v>51</v>
      </c>
      <c r="B11" s="93" t="s">
        <v>157</v>
      </c>
      <c r="C11" s="93">
        <v>2019</v>
      </c>
      <c r="D11" s="101" t="s">
        <v>261</v>
      </c>
      <c r="E11" s="93" t="s">
        <v>265</v>
      </c>
      <c r="F11" s="93" t="s">
        <v>266</v>
      </c>
      <c r="G11" s="93" t="s">
        <v>36</v>
      </c>
      <c r="H11" s="93" t="s">
        <v>160</v>
      </c>
      <c r="I11" s="93" t="s">
        <v>159</v>
      </c>
      <c r="J11" s="93" t="s">
        <v>38</v>
      </c>
      <c r="K11" s="93" t="s">
        <v>161</v>
      </c>
      <c r="L11" s="93">
        <v>1</v>
      </c>
      <c r="N11" s="93">
        <v>1</v>
      </c>
      <c r="O11" s="93">
        <v>0.65</v>
      </c>
      <c r="P11" s="93">
        <v>0.75</v>
      </c>
      <c r="Q11" s="102">
        <f t="shared" si="0"/>
        <v>0.7</v>
      </c>
      <c r="R11" s="93">
        <v>16.5</v>
      </c>
      <c r="S11" s="93">
        <v>128</v>
      </c>
      <c r="T11" s="103">
        <f t="shared" si="1"/>
        <v>27</v>
      </c>
      <c r="U11" s="93">
        <v>138</v>
      </c>
      <c r="V11" s="104">
        <f t="shared" si="2"/>
        <v>3726</v>
      </c>
      <c r="W11" s="93">
        <v>3</v>
      </c>
      <c r="X11" s="93" t="s">
        <v>39</v>
      </c>
      <c r="Y11" s="93" t="s">
        <v>78</v>
      </c>
      <c r="Z11" s="93" t="s">
        <v>88</v>
      </c>
      <c r="AA11" s="93" t="s">
        <v>69</v>
      </c>
      <c r="AB11" s="93" t="s">
        <v>158</v>
      </c>
      <c r="AE11" s="110" t="s">
        <v>68</v>
      </c>
      <c r="AG11" s="106" t="s">
        <v>139</v>
      </c>
      <c r="AH11" s="111" t="s">
        <v>276</v>
      </c>
      <c r="AP11" s="111" t="s">
        <v>104</v>
      </c>
      <c r="AR11" s="111" t="s">
        <v>212</v>
      </c>
      <c r="AV11" s="111" t="s">
        <v>69</v>
      </c>
      <c r="AX11" s="112">
        <v>151</v>
      </c>
      <c r="AY11" s="113">
        <v>22</v>
      </c>
      <c r="AZ11" s="113">
        <v>152</v>
      </c>
      <c r="BA11" s="114">
        <v>18</v>
      </c>
    </row>
    <row r="12" spans="1:53" x14ac:dyDescent="0.15">
      <c r="A12" s="93" t="s">
        <v>51</v>
      </c>
      <c r="B12" s="93" t="s">
        <v>157</v>
      </c>
      <c r="C12" s="93">
        <v>2019</v>
      </c>
      <c r="D12" s="101" t="s">
        <v>261</v>
      </c>
      <c r="E12" s="93" t="s">
        <v>265</v>
      </c>
      <c r="F12" s="93" t="s">
        <v>266</v>
      </c>
      <c r="G12" s="93" t="s">
        <v>36</v>
      </c>
      <c r="H12" s="93" t="s">
        <v>160</v>
      </c>
      <c r="I12" s="93" t="s">
        <v>159</v>
      </c>
      <c r="J12" s="93" t="s">
        <v>38</v>
      </c>
      <c r="K12" s="93" t="s">
        <v>161</v>
      </c>
      <c r="L12" s="93">
        <v>2</v>
      </c>
      <c r="N12" s="93">
        <v>1</v>
      </c>
      <c r="O12" s="93">
        <v>0.7</v>
      </c>
      <c r="P12" s="93">
        <v>0.65</v>
      </c>
      <c r="Q12" s="102">
        <f t="shared" si="0"/>
        <v>0.67500000000000004</v>
      </c>
      <c r="R12" s="93">
        <v>16.8</v>
      </c>
      <c r="S12" s="93">
        <v>136</v>
      </c>
      <c r="T12" s="103">
        <f t="shared" si="1"/>
        <v>25</v>
      </c>
      <c r="U12" s="93">
        <v>138</v>
      </c>
      <c r="V12" s="104">
        <f t="shared" si="2"/>
        <v>3450</v>
      </c>
      <c r="W12" s="93">
        <v>3</v>
      </c>
      <c r="X12" s="93" t="s">
        <v>39</v>
      </c>
      <c r="Y12" s="93" t="s">
        <v>78</v>
      </c>
      <c r="Z12" s="93" t="s">
        <v>88</v>
      </c>
      <c r="AA12" s="93" t="s">
        <v>69</v>
      </c>
      <c r="AB12" s="93" t="s">
        <v>158</v>
      </c>
      <c r="AE12" s="110" t="s">
        <v>213</v>
      </c>
      <c r="AG12" s="111"/>
      <c r="AH12" s="111"/>
      <c r="AP12" s="111" t="s">
        <v>67</v>
      </c>
      <c r="AR12" s="111" t="s">
        <v>214</v>
      </c>
      <c r="AV12" s="111" t="s">
        <v>72</v>
      </c>
      <c r="AX12" s="118">
        <v>180</v>
      </c>
      <c r="AY12" s="119">
        <v>18</v>
      </c>
      <c r="AZ12" s="119">
        <v>181</v>
      </c>
      <c r="BA12" s="120">
        <v>16</v>
      </c>
    </row>
    <row r="13" spans="1:53" x14ac:dyDescent="0.15">
      <c r="A13" s="93" t="s">
        <v>51</v>
      </c>
      <c r="B13" s="93" t="s">
        <v>157</v>
      </c>
      <c r="C13" s="93">
        <v>2019</v>
      </c>
      <c r="D13" s="101" t="s">
        <v>261</v>
      </c>
      <c r="E13" s="93" t="s">
        <v>265</v>
      </c>
      <c r="F13" s="93" t="s">
        <v>266</v>
      </c>
      <c r="G13" s="93" t="s">
        <v>36</v>
      </c>
      <c r="H13" s="93" t="s">
        <v>160</v>
      </c>
      <c r="I13" s="93" t="s">
        <v>159</v>
      </c>
      <c r="J13" s="93" t="s">
        <v>38</v>
      </c>
      <c r="K13" s="93" t="s">
        <v>161</v>
      </c>
      <c r="L13" s="93">
        <v>3</v>
      </c>
      <c r="N13" s="93">
        <v>1</v>
      </c>
      <c r="O13" s="93">
        <v>0.75</v>
      </c>
      <c r="P13" s="93">
        <v>0.7</v>
      </c>
      <c r="Q13" s="102">
        <f t="shared" si="0"/>
        <v>0.72499999999999998</v>
      </c>
      <c r="R13" s="93">
        <v>17.100000000000001</v>
      </c>
      <c r="S13" s="93">
        <v>136</v>
      </c>
      <c r="T13" s="103">
        <f t="shared" si="1"/>
        <v>25</v>
      </c>
      <c r="U13" s="93">
        <v>138</v>
      </c>
      <c r="V13" s="104">
        <f t="shared" si="2"/>
        <v>3450</v>
      </c>
      <c r="W13" s="93">
        <v>3</v>
      </c>
      <c r="X13" s="93" t="s">
        <v>39</v>
      </c>
      <c r="Y13" s="93" t="s">
        <v>78</v>
      </c>
      <c r="Z13" s="93" t="s">
        <v>88</v>
      </c>
      <c r="AA13" s="93" t="s">
        <v>69</v>
      </c>
      <c r="AB13" s="93" t="s">
        <v>158</v>
      </c>
      <c r="AE13" s="110" t="s">
        <v>215</v>
      </c>
      <c r="AG13" s="111"/>
      <c r="AH13" s="111"/>
      <c r="AP13" s="111" t="s">
        <v>71</v>
      </c>
      <c r="AR13" s="111" t="s">
        <v>207</v>
      </c>
      <c r="AV13" s="111" t="s">
        <v>75</v>
      </c>
    </row>
    <row r="14" spans="1:53" x14ac:dyDescent="0.15">
      <c r="A14" s="93" t="s">
        <v>51</v>
      </c>
      <c r="B14" s="93" t="s">
        <v>157</v>
      </c>
      <c r="C14" s="93">
        <v>2019</v>
      </c>
      <c r="D14" s="101" t="s">
        <v>261</v>
      </c>
      <c r="E14" s="93" t="s">
        <v>139</v>
      </c>
      <c r="F14" s="93" t="s">
        <v>276</v>
      </c>
      <c r="G14" s="93" t="s">
        <v>42</v>
      </c>
      <c r="H14" s="93" t="s">
        <v>164</v>
      </c>
      <c r="I14" s="93" t="s">
        <v>159</v>
      </c>
      <c r="J14" s="93" t="s">
        <v>38</v>
      </c>
      <c r="K14" s="93" t="s">
        <v>161</v>
      </c>
      <c r="L14" s="93">
        <v>1</v>
      </c>
      <c r="N14" s="93">
        <v>1</v>
      </c>
      <c r="O14" s="93">
        <v>0.75</v>
      </c>
      <c r="P14" s="93">
        <v>0.85</v>
      </c>
      <c r="Q14" s="102">
        <f t="shared" si="0"/>
        <v>0.8</v>
      </c>
      <c r="R14" s="93">
        <v>16.7</v>
      </c>
      <c r="S14" s="93">
        <v>116</v>
      </c>
      <c r="T14" s="103">
        <f t="shared" si="1"/>
        <v>30</v>
      </c>
      <c r="U14" s="93">
        <v>98</v>
      </c>
      <c r="V14" s="104">
        <f t="shared" si="2"/>
        <v>2940</v>
      </c>
      <c r="W14" s="93">
        <v>11</v>
      </c>
      <c r="X14" s="93" t="s">
        <v>46</v>
      </c>
      <c r="Y14" s="93" t="s">
        <v>97</v>
      </c>
      <c r="Z14" s="93" t="s">
        <v>78</v>
      </c>
      <c r="AA14" s="93" t="s">
        <v>69</v>
      </c>
      <c r="AB14" s="93" t="s">
        <v>158</v>
      </c>
      <c r="AE14" s="110" t="s">
        <v>96</v>
      </c>
      <c r="AG14" s="111"/>
      <c r="AH14" s="111"/>
      <c r="AP14" s="111" t="s">
        <v>74</v>
      </c>
      <c r="AR14" s="111" t="s">
        <v>216</v>
      </c>
      <c r="AV14" s="111" t="s">
        <v>78</v>
      </c>
    </row>
    <row r="15" spans="1:53" x14ac:dyDescent="0.15">
      <c r="A15" s="93" t="s">
        <v>51</v>
      </c>
      <c r="B15" s="93" t="s">
        <v>157</v>
      </c>
      <c r="C15" s="93">
        <v>2019</v>
      </c>
      <c r="D15" s="101" t="s">
        <v>261</v>
      </c>
      <c r="E15" s="93" t="s">
        <v>139</v>
      </c>
      <c r="F15" s="93" t="s">
        <v>276</v>
      </c>
      <c r="G15" s="93" t="s">
        <v>42</v>
      </c>
      <c r="H15" s="93" t="s">
        <v>164</v>
      </c>
      <c r="I15" s="93" t="s">
        <v>159</v>
      </c>
      <c r="J15" s="93" t="s">
        <v>38</v>
      </c>
      <c r="K15" s="93" t="s">
        <v>161</v>
      </c>
      <c r="L15" s="93">
        <v>2</v>
      </c>
      <c r="N15" s="93">
        <v>1</v>
      </c>
      <c r="O15" s="93">
        <v>0.8</v>
      </c>
      <c r="P15" s="93">
        <v>0.8</v>
      </c>
      <c r="Q15" s="102">
        <f t="shared" si="0"/>
        <v>0.8</v>
      </c>
      <c r="R15" s="93">
        <v>16.5</v>
      </c>
      <c r="S15" s="93">
        <v>116</v>
      </c>
      <c r="T15" s="103">
        <f t="shared" si="1"/>
        <v>30</v>
      </c>
      <c r="U15" s="93">
        <v>98</v>
      </c>
      <c r="V15" s="104">
        <f t="shared" si="2"/>
        <v>2940</v>
      </c>
      <c r="W15" s="93">
        <v>11</v>
      </c>
      <c r="X15" s="93" t="s">
        <v>46</v>
      </c>
      <c r="Y15" s="93" t="s">
        <v>97</v>
      </c>
      <c r="Z15" s="93" t="s">
        <v>78</v>
      </c>
      <c r="AA15" s="93" t="s">
        <v>69</v>
      </c>
      <c r="AB15" s="93" t="s">
        <v>158</v>
      </c>
      <c r="AE15" s="110" t="s">
        <v>217</v>
      </c>
      <c r="AG15" s="111"/>
      <c r="AH15" s="111"/>
      <c r="AP15" s="111" t="s">
        <v>77</v>
      </c>
      <c r="AR15" s="111" t="s">
        <v>80</v>
      </c>
      <c r="AV15" s="111" t="s">
        <v>107</v>
      </c>
    </row>
    <row r="16" spans="1:53" x14ac:dyDescent="0.15">
      <c r="A16" s="93" t="s">
        <v>51</v>
      </c>
      <c r="B16" s="93" t="s">
        <v>157</v>
      </c>
      <c r="C16" s="93">
        <v>2019</v>
      </c>
      <c r="D16" s="101" t="s">
        <v>261</v>
      </c>
      <c r="E16" s="93" t="s">
        <v>139</v>
      </c>
      <c r="F16" s="93" t="s">
        <v>276</v>
      </c>
      <c r="G16" s="93" t="s">
        <v>42</v>
      </c>
      <c r="H16" s="93" t="s">
        <v>164</v>
      </c>
      <c r="I16" s="93" t="s">
        <v>159</v>
      </c>
      <c r="J16" s="93" t="s">
        <v>38</v>
      </c>
      <c r="K16" s="93" t="s">
        <v>161</v>
      </c>
      <c r="L16" s="93">
        <v>3</v>
      </c>
      <c r="N16" s="93">
        <v>1</v>
      </c>
      <c r="O16" s="93">
        <v>0.85</v>
      </c>
      <c r="P16" s="93">
        <v>0.85</v>
      </c>
      <c r="Q16" s="102">
        <f t="shared" si="0"/>
        <v>0.85</v>
      </c>
      <c r="R16" s="93">
        <v>16.2</v>
      </c>
      <c r="S16" s="93">
        <v>112</v>
      </c>
      <c r="T16" s="103">
        <f t="shared" si="1"/>
        <v>33</v>
      </c>
      <c r="U16" s="93">
        <v>98</v>
      </c>
      <c r="V16" s="104">
        <f t="shared" si="2"/>
        <v>3234</v>
      </c>
      <c r="W16" s="93">
        <v>11</v>
      </c>
      <c r="X16" s="93" t="s">
        <v>46</v>
      </c>
      <c r="Y16" s="93" t="s">
        <v>97</v>
      </c>
      <c r="Z16" s="93" t="s">
        <v>78</v>
      </c>
      <c r="AA16" s="93" t="s">
        <v>69</v>
      </c>
      <c r="AB16" s="93" t="s">
        <v>158</v>
      </c>
      <c r="AE16" s="110" t="s">
        <v>218</v>
      </c>
      <c r="AG16" s="116"/>
      <c r="AH16" s="116"/>
      <c r="AP16" s="111" t="s">
        <v>80</v>
      </c>
      <c r="AR16" s="111" t="s">
        <v>63</v>
      </c>
      <c r="AV16" s="111" t="s">
        <v>84</v>
      </c>
    </row>
    <row r="17" spans="1:48" x14ac:dyDescent="0.15">
      <c r="A17" s="93" t="s">
        <v>51</v>
      </c>
      <c r="B17" s="93" t="s">
        <v>157</v>
      </c>
      <c r="C17" s="93">
        <v>2019</v>
      </c>
      <c r="D17" s="101" t="s">
        <v>261</v>
      </c>
      <c r="E17" s="93" t="s">
        <v>139</v>
      </c>
      <c r="F17" s="93" t="s">
        <v>276</v>
      </c>
      <c r="G17" s="93" t="s">
        <v>42</v>
      </c>
      <c r="H17" s="93" t="s">
        <v>160</v>
      </c>
      <c r="I17" s="93" t="s">
        <v>159</v>
      </c>
      <c r="J17" s="93" t="s">
        <v>38</v>
      </c>
      <c r="K17" s="93" t="s">
        <v>161</v>
      </c>
      <c r="L17" s="93">
        <v>1</v>
      </c>
      <c r="N17" s="93">
        <v>4</v>
      </c>
      <c r="O17" s="93">
        <v>0.85</v>
      </c>
      <c r="P17" s="93">
        <v>0.9</v>
      </c>
      <c r="Q17" s="102">
        <f t="shared" si="0"/>
        <v>0.875</v>
      </c>
      <c r="R17" s="93">
        <v>14.3</v>
      </c>
      <c r="S17" s="93">
        <v>108</v>
      </c>
      <c r="T17" s="103">
        <f t="shared" si="1"/>
        <v>33</v>
      </c>
      <c r="U17" s="93">
        <v>498</v>
      </c>
      <c r="V17" s="104">
        <f t="shared" si="2"/>
        <v>4108.5</v>
      </c>
      <c r="W17" s="93">
        <v>11</v>
      </c>
      <c r="X17" s="93" t="s">
        <v>46</v>
      </c>
      <c r="Y17" s="93" t="s">
        <v>97</v>
      </c>
      <c r="Z17" s="93" t="s">
        <v>78</v>
      </c>
      <c r="AA17" s="93" t="s">
        <v>69</v>
      </c>
      <c r="AB17" s="93" t="s">
        <v>158</v>
      </c>
      <c r="AE17" s="110" t="s">
        <v>219</v>
      </c>
      <c r="AP17" s="115" t="s">
        <v>220</v>
      </c>
      <c r="AR17" s="111" t="s">
        <v>96</v>
      </c>
      <c r="AV17" s="111" t="s">
        <v>86</v>
      </c>
    </row>
    <row r="18" spans="1:48" x14ac:dyDescent="0.15">
      <c r="A18" s="93" t="s">
        <v>51</v>
      </c>
      <c r="B18" s="93" t="s">
        <v>157</v>
      </c>
      <c r="C18" s="93">
        <v>2019</v>
      </c>
      <c r="D18" s="101" t="s">
        <v>261</v>
      </c>
      <c r="E18" s="93" t="s">
        <v>139</v>
      </c>
      <c r="F18" s="93" t="s">
        <v>276</v>
      </c>
      <c r="G18" s="93" t="s">
        <v>42</v>
      </c>
      <c r="H18" s="93" t="s">
        <v>160</v>
      </c>
      <c r="I18" s="93" t="s">
        <v>159</v>
      </c>
      <c r="J18" s="93" t="s">
        <v>38</v>
      </c>
      <c r="K18" s="93" t="s">
        <v>161</v>
      </c>
      <c r="L18" s="93">
        <v>2</v>
      </c>
      <c r="N18" s="93">
        <v>4</v>
      </c>
      <c r="O18" s="93">
        <v>0.9</v>
      </c>
      <c r="P18" s="93">
        <v>0.9</v>
      </c>
      <c r="Q18" s="102">
        <f t="shared" si="0"/>
        <v>0.9</v>
      </c>
      <c r="R18" s="93">
        <v>14.7</v>
      </c>
      <c r="S18" s="93">
        <v>110</v>
      </c>
      <c r="T18" s="103">
        <f t="shared" si="1"/>
        <v>33</v>
      </c>
      <c r="U18" s="93">
        <v>498</v>
      </c>
      <c r="V18" s="104">
        <f t="shared" si="2"/>
        <v>4108.5</v>
      </c>
      <c r="W18" s="93">
        <v>11</v>
      </c>
      <c r="X18" s="93" t="s">
        <v>46</v>
      </c>
      <c r="Y18" s="93" t="s">
        <v>97</v>
      </c>
      <c r="Z18" s="93" t="s">
        <v>78</v>
      </c>
      <c r="AA18" s="93" t="s">
        <v>69</v>
      </c>
      <c r="AB18" s="93" t="s">
        <v>158</v>
      </c>
      <c r="AE18" s="110" t="s">
        <v>212</v>
      </c>
      <c r="AP18" s="115" t="s">
        <v>221</v>
      </c>
      <c r="AR18" s="111" t="s">
        <v>101</v>
      </c>
      <c r="AV18" s="111" t="s">
        <v>88</v>
      </c>
    </row>
    <row r="19" spans="1:48" x14ac:dyDescent="0.15">
      <c r="A19" s="93" t="s">
        <v>51</v>
      </c>
      <c r="B19" s="93" t="s">
        <v>157</v>
      </c>
      <c r="C19" s="93">
        <v>2019</v>
      </c>
      <c r="D19" s="101" t="s">
        <v>261</v>
      </c>
      <c r="E19" s="93" t="s">
        <v>139</v>
      </c>
      <c r="F19" s="93" t="s">
        <v>276</v>
      </c>
      <c r="G19" s="93" t="s">
        <v>42</v>
      </c>
      <c r="H19" s="93" t="s">
        <v>160</v>
      </c>
      <c r="I19" s="93" t="s">
        <v>159</v>
      </c>
      <c r="J19" s="93" t="s">
        <v>38</v>
      </c>
      <c r="K19" s="93" t="s">
        <v>161</v>
      </c>
      <c r="L19" s="93">
        <v>3</v>
      </c>
      <c r="N19" s="93">
        <v>4</v>
      </c>
      <c r="O19" s="93">
        <v>0.8</v>
      </c>
      <c r="P19" s="93">
        <v>0.75</v>
      </c>
      <c r="Q19" s="102">
        <f t="shared" si="0"/>
        <v>0.77500000000000002</v>
      </c>
      <c r="R19" s="93">
        <v>15.1</v>
      </c>
      <c r="S19" s="93">
        <v>114</v>
      </c>
      <c r="T19" s="103">
        <f t="shared" si="1"/>
        <v>30</v>
      </c>
      <c r="U19" s="93">
        <v>498</v>
      </c>
      <c r="V19" s="104">
        <f t="shared" si="2"/>
        <v>3735</v>
      </c>
      <c r="W19" s="93">
        <v>11</v>
      </c>
      <c r="X19" s="93" t="s">
        <v>46</v>
      </c>
      <c r="Y19" s="93" t="s">
        <v>97</v>
      </c>
      <c r="Z19" s="93" t="s">
        <v>78</v>
      </c>
      <c r="AA19" s="93" t="s">
        <v>69</v>
      </c>
      <c r="AB19" s="93" t="s">
        <v>158</v>
      </c>
      <c r="AE19" s="121" t="s">
        <v>206</v>
      </c>
      <c r="AP19" s="115" t="s">
        <v>222</v>
      </c>
      <c r="AR19" s="111" t="s">
        <v>223</v>
      </c>
      <c r="AV19" s="111" t="s">
        <v>90</v>
      </c>
    </row>
    <row r="20" spans="1:48" x14ac:dyDescent="0.15">
      <c r="A20" s="93" t="s">
        <v>51</v>
      </c>
      <c r="B20" s="93" t="s">
        <v>157</v>
      </c>
      <c r="C20" s="93">
        <v>2019</v>
      </c>
      <c r="D20" s="101" t="s">
        <v>261</v>
      </c>
      <c r="E20" s="93" t="s">
        <v>270</v>
      </c>
      <c r="F20" s="93" t="s">
        <v>271</v>
      </c>
      <c r="G20" s="93" t="s">
        <v>36</v>
      </c>
      <c r="H20" s="93" t="s">
        <v>164</v>
      </c>
      <c r="I20" s="93" t="s">
        <v>159</v>
      </c>
      <c r="J20" s="93" t="s">
        <v>38</v>
      </c>
      <c r="K20" s="93" t="s">
        <v>161</v>
      </c>
      <c r="L20" s="93">
        <v>1</v>
      </c>
      <c r="N20" s="93">
        <v>1</v>
      </c>
      <c r="O20" s="93">
        <v>0.75</v>
      </c>
      <c r="P20" s="93">
        <v>0.75</v>
      </c>
      <c r="Q20" s="102">
        <f t="shared" si="0"/>
        <v>0.75</v>
      </c>
      <c r="R20" s="93">
        <v>17.8</v>
      </c>
      <c r="S20" s="93">
        <v>138</v>
      </c>
      <c r="T20" s="103">
        <f t="shared" si="1"/>
        <v>22</v>
      </c>
      <c r="U20" s="93">
        <v>98</v>
      </c>
      <c r="V20" s="104">
        <f t="shared" si="2"/>
        <v>2156</v>
      </c>
      <c r="W20" s="93">
        <v>12</v>
      </c>
      <c r="X20" s="93" t="s">
        <v>46</v>
      </c>
      <c r="Y20" s="93" t="s">
        <v>69</v>
      </c>
      <c r="Z20" s="93" t="s">
        <v>78</v>
      </c>
      <c r="AA20" s="93" t="s">
        <v>55</v>
      </c>
      <c r="AB20" s="93" t="s">
        <v>158</v>
      </c>
      <c r="AE20" s="121"/>
      <c r="AP20" s="115" t="s">
        <v>224</v>
      </c>
      <c r="AR20" s="111" t="s">
        <v>105</v>
      </c>
      <c r="AV20" s="115" t="s">
        <v>225</v>
      </c>
    </row>
    <row r="21" spans="1:48" x14ac:dyDescent="0.15">
      <c r="A21" s="93" t="s">
        <v>51</v>
      </c>
      <c r="B21" s="93" t="s">
        <v>157</v>
      </c>
      <c r="C21" s="93">
        <v>2019</v>
      </c>
      <c r="D21" s="101" t="s">
        <v>261</v>
      </c>
      <c r="E21" s="93" t="s">
        <v>270</v>
      </c>
      <c r="F21" s="93" t="s">
        <v>271</v>
      </c>
      <c r="G21" s="93" t="s">
        <v>36</v>
      </c>
      <c r="H21" s="93" t="s">
        <v>164</v>
      </c>
      <c r="I21" s="93" t="s">
        <v>159</v>
      </c>
      <c r="J21" s="93" t="s">
        <v>38</v>
      </c>
      <c r="K21" s="93" t="s">
        <v>161</v>
      </c>
      <c r="L21" s="93">
        <v>2</v>
      </c>
      <c r="N21" s="93">
        <v>1</v>
      </c>
      <c r="O21" s="93">
        <v>0.8</v>
      </c>
      <c r="P21" s="93">
        <v>0.7</v>
      </c>
      <c r="Q21" s="102">
        <f t="shared" si="0"/>
        <v>0.75</v>
      </c>
      <c r="R21" s="93">
        <v>16.899999999999999</v>
      </c>
      <c r="S21" s="93">
        <v>148</v>
      </c>
      <c r="T21" s="103">
        <f t="shared" si="1"/>
        <v>22</v>
      </c>
      <c r="U21" s="93">
        <v>98</v>
      </c>
      <c r="V21" s="104">
        <f t="shared" si="2"/>
        <v>2156</v>
      </c>
      <c r="W21" s="93">
        <v>12</v>
      </c>
      <c r="X21" s="93" t="s">
        <v>46</v>
      </c>
      <c r="Y21" s="93" t="s">
        <v>69</v>
      </c>
      <c r="Z21" s="93" t="s">
        <v>78</v>
      </c>
      <c r="AA21" s="93" t="s">
        <v>55</v>
      </c>
      <c r="AB21" s="93" t="s">
        <v>158</v>
      </c>
      <c r="AE21" s="116"/>
      <c r="AP21" s="115" t="s">
        <v>226</v>
      </c>
      <c r="AR21" s="111" t="s">
        <v>68</v>
      </c>
      <c r="AV21" s="115" t="s">
        <v>227</v>
      </c>
    </row>
    <row r="22" spans="1:48" x14ac:dyDescent="0.15">
      <c r="A22" s="93" t="s">
        <v>51</v>
      </c>
      <c r="B22" s="93" t="s">
        <v>157</v>
      </c>
      <c r="C22" s="93">
        <v>2019</v>
      </c>
      <c r="D22" s="101" t="s">
        <v>261</v>
      </c>
      <c r="E22" s="93" t="s">
        <v>270</v>
      </c>
      <c r="F22" s="93" t="s">
        <v>271</v>
      </c>
      <c r="G22" s="93" t="s">
        <v>36</v>
      </c>
      <c r="H22" s="93" t="s">
        <v>164</v>
      </c>
      <c r="I22" s="93" t="s">
        <v>159</v>
      </c>
      <c r="J22" s="93" t="s">
        <v>38</v>
      </c>
      <c r="K22" s="93" t="s">
        <v>161</v>
      </c>
      <c r="L22" s="93">
        <v>3</v>
      </c>
      <c r="N22" s="93">
        <v>1</v>
      </c>
      <c r="O22" s="93">
        <v>0.65</v>
      </c>
      <c r="P22" s="93">
        <v>0.7</v>
      </c>
      <c r="Q22" s="102">
        <f t="shared" si="0"/>
        <v>0.67500000000000004</v>
      </c>
      <c r="R22" s="93">
        <v>18</v>
      </c>
      <c r="S22" s="93">
        <v>148</v>
      </c>
      <c r="T22" s="103">
        <f t="shared" si="1"/>
        <v>22</v>
      </c>
      <c r="U22" s="93">
        <v>98</v>
      </c>
      <c r="V22" s="104">
        <f t="shared" si="2"/>
        <v>2156</v>
      </c>
      <c r="W22" s="93">
        <v>12</v>
      </c>
      <c r="X22" s="93" t="s">
        <v>46</v>
      </c>
      <c r="Y22" s="93" t="s">
        <v>69</v>
      </c>
      <c r="Z22" s="93" t="s">
        <v>78</v>
      </c>
      <c r="AA22" s="93" t="s">
        <v>55</v>
      </c>
      <c r="AB22" s="93" t="s">
        <v>158</v>
      </c>
      <c r="AP22" s="115" t="s">
        <v>228</v>
      </c>
      <c r="AR22" s="111" t="s">
        <v>83</v>
      </c>
      <c r="AV22" s="115"/>
    </row>
    <row r="23" spans="1:48" x14ac:dyDescent="0.15">
      <c r="A23" s="93" t="s">
        <v>51</v>
      </c>
      <c r="B23" s="93" t="s">
        <v>157</v>
      </c>
      <c r="C23" s="93">
        <v>2019</v>
      </c>
      <c r="D23" s="101" t="s">
        <v>261</v>
      </c>
      <c r="E23" s="93" t="s">
        <v>270</v>
      </c>
      <c r="F23" s="93" t="s">
        <v>271</v>
      </c>
      <c r="G23" s="93" t="s">
        <v>36</v>
      </c>
      <c r="H23" s="93" t="s">
        <v>160</v>
      </c>
      <c r="I23" s="93" t="s">
        <v>159</v>
      </c>
      <c r="J23" s="93" t="s">
        <v>38</v>
      </c>
      <c r="K23" s="93" t="s">
        <v>161</v>
      </c>
      <c r="L23" s="93">
        <v>1</v>
      </c>
      <c r="N23" s="93">
        <v>1</v>
      </c>
      <c r="O23" s="93">
        <v>0.6</v>
      </c>
      <c r="P23" s="93">
        <v>0.5</v>
      </c>
      <c r="Q23" s="102">
        <f t="shared" si="0"/>
        <v>0.55000000000000004</v>
      </c>
      <c r="R23" s="93">
        <v>18.7</v>
      </c>
      <c r="S23" s="93">
        <v>148</v>
      </c>
      <c r="T23" s="103">
        <f t="shared" si="1"/>
        <v>22</v>
      </c>
      <c r="U23" s="93">
        <v>128</v>
      </c>
      <c r="V23" s="104">
        <f t="shared" si="2"/>
        <v>2816</v>
      </c>
      <c r="W23" s="93">
        <v>12</v>
      </c>
      <c r="X23" s="93" t="s">
        <v>46</v>
      </c>
      <c r="Y23" s="93" t="s">
        <v>69</v>
      </c>
      <c r="Z23" s="93" t="s">
        <v>78</v>
      </c>
      <c r="AA23" s="93" t="s">
        <v>55</v>
      </c>
      <c r="AB23" s="93" t="s">
        <v>158</v>
      </c>
      <c r="AP23" s="115" t="s">
        <v>277</v>
      </c>
      <c r="AR23" s="111" t="s">
        <v>61</v>
      </c>
    </row>
    <row r="24" spans="1:48" x14ac:dyDescent="0.15">
      <c r="A24" s="93" t="s">
        <v>51</v>
      </c>
      <c r="B24" s="93" t="s">
        <v>157</v>
      </c>
      <c r="C24" s="93">
        <v>2019</v>
      </c>
      <c r="D24" s="101" t="s">
        <v>261</v>
      </c>
      <c r="E24" s="93" t="s">
        <v>270</v>
      </c>
      <c r="F24" s="93" t="s">
        <v>271</v>
      </c>
      <c r="G24" s="93" t="s">
        <v>36</v>
      </c>
      <c r="H24" s="93" t="s">
        <v>160</v>
      </c>
      <c r="I24" s="93" t="s">
        <v>159</v>
      </c>
      <c r="J24" s="93" t="s">
        <v>38</v>
      </c>
      <c r="K24" s="93" t="s">
        <v>161</v>
      </c>
      <c r="L24" s="93">
        <v>2</v>
      </c>
      <c r="N24" s="93">
        <v>1</v>
      </c>
      <c r="O24" s="93">
        <v>0.5</v>
      </c>
      <c r="P24" s="93">
        <v>0.5</v>
      </c>
      <c r="Q24" s="102">
        <f t="shared" si="0"/>
        <v>0.5</v>
      </c>
      <c r="R24" s="93">
        <v>20.2</v>
      </c>
      <c r="S24" s="93">
        <v>146</v>
      </c>
      <c r="T24" s="103">
        <f t="shared" si="1"/>
        <v>22</v>
      </c>
      <c r="U24" s="93">
        <v>128</v>
      </c>
      <c r="V24" s="104">
        <f t="shared" si="2"/>
        <v>2816</v>
      </c>
      <c r="W24" s="93">
        <v>12</v>
      </c>
      <c r="X24" s="93" t="s">
        <v>46</v>
      </c>
      <c r="Y24" s="93" t="s">
        <v>69</v>
      </c>
      <c r="Z24" s="93" t="s">
        <v>78</v>
      </c>
      <c r="AA24" s="93" t="s">
        <v>55</v>
      </c>
      <c r="AB24" s="93" t="s">
        <v>158</v>
      </c>
      <c r="AP24" s="115" t="s">
        <v>278</v>
      </c>
      <c r="AR24" s="111" t="s">
        <v>91</v>
      </c>
    </row>
    <row r="25" spans="1:48" x14ac:dyDescent="0.15">
      <c r="A25" s="93" t="s">
        <v>51</v>
      </c>
      <c r="B25" s="93" t="s">
        <v>157</v>
      </c>
      <c r="C25" s="93">
        <v>2019</v>
      </c>
      <c r="D25" s="101" t="s">
        <v>261</v>
      </c>
      <c r="E25" s="93" t="s">
        <v>270</v>
      </c>
      <c r="F25" s="93" t="s">
        <v>271</v>
      </c>
      <c r="G25" s="93" t="s">
        <v>36</v>
      </c>
      <c r="H25" s="93" t="s">
        <v>160</v>
      </c>
      <c r="I25" s="93" t="s">
        <v>159</v>
      </c>
      <c r="J25" s="93" t="s">
        <v>38</v>
      </c>
      <c r="K25" s="93" t="s">
        <v>161</v>
      </c>
      <c r="L25" s="93">
        <v>3</v>
      </c>
      <c r="N25" s="93">
        <v>1</v>
      </c>
      <c r="O25" s="93">
        <v>0.65</v>
      </c>
      <c r="P25" s="93">
        <v>0.6</v>
      </c>
      <c r="Q25" s="102">
        <f t="shared" si="0"/>
        <v>0.625</v>
      </c>
      <c r="R25" s="93">
        <v>17.600000000000001</v>
      </c>
      <c r="S25" s="93">
        <v>146</v>
      </c>
      <c r="T25" s="103">
        <f t="shared" si="1"/>
        <v>22</v>
      </c>
      <c r="U25" s="93">
        <v>128</v>
      </c>
      <c r="V25" s="104">
        <f t="shared" si="2"/>
        <v>2816</v>
      </c>
      <c r="W25" s="93">
        <v>12</v>
      </c>
      <c r="X25" s="93" t="s">
        <v>46</v>
      </c>
      <c r="Y25" s="93" t="s">
        <v>69</v>
      </c>
      <c r="Z25" s="93" t="s">
        <v>78</v>
      </c>
      <c r="AA25" s="93" t="s">
        <v>55</v>
      </c>
      <c r="AB25" s="93" t="s">
        <v>158</v>
      </c>
      <c r="AP25" s="115" t="s">
        <v>279</v>
      </c>
      <c r="AR25" s="115" t="s">
        <v>51</v>
      </c>
    </row>
    <row r="26" spans="1:48" x14ac:dyDescent="0.15">
      <c r="A26" s="93" t="s">
        <v>51</v>
      </c>
      <c r="B26" s="93" t="s">
        <v>157</v>
      </c>
      <c r="C26" s="93">
        <v>2019</v>
      </c>
      <c r="D26" s="101" t="s">
        <v>261</v>
      </c>
      <c r="E26" s="93" t="s">
        <v>210</v>
      </c>
      <c r="F26" s="93" t="s">
        <v>264</v>
      </c>
      <c r="G26" s="93" t="s">
        <v>42</v>
      </c>
      <c r="H26" s="93" t="s">
        <v>164</v>
      </c>
      <c r="I26" s="93" t="s">
        <v>159</v>
      </c>
      <c r="J26" s="93" t="s">
        <v>38</v>
      </c>
      <c r="K26" s="93" t="s">
        <v>161</v>
      </c>
      <c r="L26" s="93">
        <v>1</v>
      </c>
      <c r="N26" s="93">
        <v>1</v>
      </c>
      <c r="O26" s="93">
        <v>0.65</v>
      </c>
      <c r="P26" s="93">
        <v>0.75</v>
      </c>
      <c r="Q26" s="102">
        <f t="shared" si="0"/>
        <v>0.7</v>
      </c>
      <c r="R26" s="93">
        <v>17.100000000000001</v>
      </c>
      <c r="S26" s="93">
        <v>110</v>
      </c>
      <c r="T26" s="103">
        <f t="shared" si="1"/>
        <v>33</v>
      </c>
      <c r="U26" s="93">
        <v>97</v>
      </c>
      <c r="V26" s="104">
        <f t="shared" si="2"/>
        <v>3201</v>
      </c>
      <c r="W26" s="93">
        <v>9</v>
      </c>
      <c r="X26" s="93" t="s">
        <v>46</v>
      </c>
      <c r="Y26" s="93" t="s">
        <v>97</v>
      </c>
      <c r="Z26" s="93" t="s">
        <v>78</v>
      </c>
      <c r="AA26" s="93" t="s">
        <v>88</v>
      </c>
      <c r="AB26" s="93" t="s">
        <v>158</v>
      </c>
      <c r="AP26" s="115" t="s">
        <v>229</v>
      </c>
      <c r="AR26" s="93" t="s">
        <v>230</v>
      </c>
    </row>
    <row r="27" spans="1:48" x14ac:dyDescent="0.15">
      <c r="A27" s="93" t="s">
        <v>51</v>
      </c>
      <c r="B27" s="93" t="s">
        <v>157</v>
      </c>
      <c r="C27" s="93">
        <v>2019</v>
      </c>
      <c r="D27" s="101" t="s">
        <v>261</v>
      </c>
      <c r="E27" s="93" t="s">
        <v>210</v>
      </c>
      <c r="F27" s="93" t="s">
        <v>264</v>
      </c>
      <c r="G27" s="93" t="s">
        <v>42</v>
      </c>
      <c r="H27" s="93" t="s">
        <v>164</v>
      </c>
      <c r="I27" s="93" t="s">
        <v>159</v>
      </c>
      <c r="J27" s="93" t="s">
        <v>38</v>
      </c>
      <c r="K27" s="93" t="s">
        <v>161</v>
      </c>
      <c r="L27" s="93">
        <v>2</v>
      </c>
      <c r="N27" s="93">
        <v>1</v>
      </c>
      <c r="O27" s="93">
        <v>0.7</v>
      </c>
      <c r="P27" s="93">
        <v>0.6</v>
      </c>
      <c r="Q27" s="102">
        <f t="shared" si="0"/>
        <v>0.64999999999999991</v>
      </c>
      <c r="R27" s="93">
        <v>17.5</v>
      </c>
      <c r="S27" s="93">
        <v>114</v>
      </c>
      <c r="T27" s="103">
        <f t="shared" si="1"/>
        <v>30</v>
      </c>
      <c r="U27" s="93">
        <v>97</v>
      </c>
      <c r="V27" s="104">
        <f t="shared" si="2"/>
        <v>2910</v>
      </c>
      <c r="W27" s="93">
        <v>9</v>
      </c>
      <c r="X27" s="93" t="s">
        <v>46</v>
      </c>
      <c r="Y27" s="93" t="s">
        <v>97</v>
      </c>
      <c r="Z27" s="93" t="s">
        <v>78</v>
      </c>
      <c r="AA27" s="93" t="s">
        <v>88</v>
      </c>
      <c r="AB27" s="93" t="s">
        <v>158</v>
      </c>
      <c r="AP27" s="115" t="s">
        <v>231</v>
      </c>
    </row>
    <row r="28" spans="1:48" x14ac:dyDescent="0.15">
      <c r="A28" s="93" t="s">
        <v>51</v>
      </c>
      <c r="B28" s="93" t="s">
        <v>157</v>
      </c>
      <c r="C28" s="93">
        <v>2019</v>
      </c>
      <c r="D28" s="101" t="s">
        <v>261</v>
      </c>
      <c r="E28" s="93" t="s">
        <v>210</v>
      </c>
      <c r="F28" s="93" t="s">
        <v>264</v>
      </c>
      <c r="G28" s="93" t="s">
        <v>42</v>
      </c>
      <c r="H28" s="93" t="s">
        <v>164</v>
      </c>
      <c r="I28" s="93" t="s">
        <v>159</v>
      </c>
      <c r="J28" s="93" t="s">
        <v>38</v>
      </c>
      <c r="K28" s="93" t="s">
        <v>161</v>
      </c>
      <c r="L28" s="93">
        <v>3</v>
      </c>
      <c r="N28" s="93">
        <v>1</v>
      </c>
      <c r="O28" s="93">
        <v>0.75</v>
      </c>
      <c r="P28" s="93">
        <v>0.75</v>
      </c>
      <c r="Q28" s="102">
        <f t="shared" si="0"/>
        <v>0.75</v>
      </c>
      <c r="R28" s="93">
        <v>16.8</v>
      </c>
      <c r="S28" s="93">
        <v>110</v>
      </c>
      <c r="T28" s="103">
        <f t="shared" si="1"/>
        <v>33</v>
      </c>
      <c r="U28" s="93">
        <v>97</v>
      </c>
      <c r="V28" s="104">
        <f t="shared" si="2"/>
        <v>3201</v>
      </c>
      <c r="W28" s="93">
        <v>9</v>
      </c>
      <c r="X28" s="93" t="s">
        <v>46</v>
      </c>
      <c r="Y28" s="93" t="s">
        <v>97</v>
      </c>
      <c r="Z28" s="93" t="s">
        <v>78</v>
      </c>
      <c r="AA28" s="93" t="s">
        <v>88</v>
      </c>
      <c r="AB28" s="93" t="s">
        <v>158</v>
      </c>
    </row>
    <row r="29" spans="1:48" x14ac:dyDescent="0.15">
      <c r="A29" s="93" t="s">
        <v>51</v>
      </c>
      <c r="B29" s="93" t="s">
        <v>157</v>
      </c>
      <c r="C29" s="93">
        <v>2019</v>
      </c>
      <c r="D29" s="101" t="s">
        <v>261</v>
      </c>
      <c r="E29" s="93" t="s">
        <v>210</v>
      </c>
      <c r="F29" s="93" t="s">
        <v>264</v>
      </c>
      <c r="G29" s="93" t="s">
        <v>42</v>
      </c>
      <c r="H29" s="93" t="s">
        <v>160</v>
      </c>
      <c r="I29" s="93" t="s">
        <v>159</v>
      </c>
      <c r="J29" s="93" t="s">
        <v>38</v>
      </c>
      <c r="K29" s="93" t="s">
        <v>161</v>
      </c>
      <c r="L29" s="93">
        <v>1</v>
      </c>
      <c r="N29" s="93">
        <v>1</v>
      </c>
      <c r="O29" s="93">
        <v>0.75</v>
      </c>
      <c r="P29" s="93">
        <v>0.65</v>
      </c>
      <c r="Q29" s="102">
        <f t="shared" si="0"/>
        <v>0.7</v>
      </c>
      <c r="R29" s="93">
        <v>16.8</v>
      </c>
      <c r="S29" s="93">
        <v>138</v>
      </c>
      <c r="T29" s="103">
        <f t="shared" si="1"/>
        <v>22</v>
      </c>
      <c r="U29" s="93">
        <v>97</v>
      </c>
      <c r="V29" s="104">
        <f t="shared" si="2"/>
        <v>2134</v>
      </c>
      <c r="W29" s="93">
        <v>9</v>
      </c>
      <c r="X29" s="93" t="s">
        <v>46</v>
      </c>
      <c r="Y29" s="93" t="s">
        <v>97</v>
      </c>
      <c r="Z29" s="93" t="s">
        <v>78</v>
      </c>
      <c r="AA29" s="93" t="s">
        <v>88</v>
      </c>
      <c r="AB29" s="93" t="s">
        <v>158</v>
      </c>
    </row>
    <row r="30" spans="1:48" x14ac:dyDescent="0.15">
      <c r="A30" s="93" t="s">
        <v>51</v>
      </c>
      <c r="B30" s="93" t="s">
        <v>157</v>
      </c>
      <c r="C30" s="93">
        <v>2019</v>
      </c>
      <c r="D30" s="101" t="s">
        <v>261</v>
      </c>
      <c r="E30" s="93" t="s">
        <v>210</v>
      </c>
      <c r="F30" s="93" t="s">
        <v>264</v>
      </c>
      <c r="G30" s="93" t="s">
        <v>42</v>
      </c>
      <c r="H30" s="93" t="s">
        <v>160</v>
      </c>
      <c r="I30" s="93" t="s">
        <v>159</v>
      </c>
      <c r="J30" s="93" t="s">
        <v>38</v>
      </c>
      <c r="K30" s="93" t="s">
        <v>161</v>
      </c>
      <c r="L30" s="93">
        <v>2</v>
      </c>
      <c r="N30" s="93">
        <v>1</v>
      </c>
      <c r="O30" s="93">
        <v>0.6</v>
      </c>
      <c r="P30" s="93">
        <v>0.8</v>
      </c>
      <c r="Q30" s="102">
        <f t="shared" si="0"/>
        <v>0.7</v>
      </c>
      <c r="R30" s="93">
        <v>16.399999999999999</v>
      </c>
      <c r="S30" s="93">
        <v>134</v>
      </c>
      <c r="T30" s="103">
        <f t="shared" si="1"/>
        <v>25</v>
      </c>
      <c r="U30" s="93">
        <v>97</v>
      </c>
      <c r="V30" s="104">
        <f t="shared" si="2"/>
        <v>2425</v>
      </c>
      <c r="W30" s="93">
        <v>9</v>
      </c>
      <c r="X30" s="93" t="s">
        <v>46</v>
      </c>
      <c r="Y30" s="93" t="s">
        <v>97</v>
      </c>
      <c r="Z30" s="93" t="s">
        <v>78</v>
      </c>
      <c r="AA30" s="93" t="s">
        <v>88</v>
      </c>
      <c r="AB30" s="93" t="s">
        <v>158</v>
      </c>
    </row>
    <row r="31" spans="1:48" x14ac:dyDescent="0.15">
      <c r="A31" s="93" t="s">
        <v>51</v>
      </c>
      <c r="B31" s="93" t="s">
        <v>157</v>
      </c>
      <c r="C31" s="93">
        <v>2019</v>
      </c>
      <c r="D31" s="101" t="s">
        <v>261</v>
      </c>
      <c r="E31" s="93" t="s">
        <v>210</v>
      </c>
      <c r="F31" s="93" t="s">
        <v>264</v>
      </c>
      <c r="G31" s="93" t="s">
        <v>42</v>
      </c>
      <c r="H31" s="93" t="s">
        <v>160</v>
      </c>
      <c r="I31" s="93" t="s">
        <v>159</v>
      </c>
      <c r="J31" s="93" t="s">
        <v>38</v>
      </c>
      <c r="K31" s="93" t="s">
        <v>161</v>
      </c>
      <c r="L31" s="93">
        <v>3</v>
      </c>
      <c r="N31" s="93">
        <v>1</v>
      </c>
      <c r="O31" s="93">
        <v>0.75</v>
      </c>
      <c r="P31" s="93">
        <v>0.7</v>
      </c>
      <c r="Q31" s="102">
        <f t="shared" si="0"/>
        <v>0.72499999999999998</v>
      </c>
      <c r="R31" s="93">
        <v>16.600000000000001</v>
      </c>
      <c r="S31" s="93">
        <v>134</v>
      </c>
      <c r="T31" s="103">
        <f t="shared" si="1"/>
        <v>25</v>
      </c>
      <c r="U31" s="93">
        <v>97</v>
      </c>
      <c r="V31" s="104">
        <f t="shared" si="2"/>
        <v>2425</v>
      </c>
      <c r="W31" s="93">
        <v>9</v>
      </c>
      <c r="X31" s="93" t="s">
        <v>46</v>
      </c>
      <c r="Y31" s="93" t="s">
        <v>97</v>
      </c>
      <c r="Z31" s="93" t="s">
        <v>78</v>
      </c>
      <c r="AA31" s="93" t="s">
        <v>88</v>
      </c>
      <c r="AB31" s="93" t="s">
        <v>158</v>
      </c>
    </row>
    <row r="32" spans="1:48" x14ac:dyDescent="0.15">
      <c r="A32" s="93" t="s">
        <v>51</v>
      </c>
      <c r="B32" s="93" t="s">
        <v>157</v>
      </c>
      <c r="C32" s="93">
        <v>2019</v>
      </c>
      <c r="D32" s="101" t="s">
        <v>261</v>
      </c>
      <c r="E32" s="93" t="s">
        <v>272</v>
      </c>
      <c r="F32" s="93" t="s">
        <v>264</v>
      </c>
      <c r="G32" s="93" t="s">
        <v>42</v>
      </c>
      <c r="H32" s="93" t="s">
        <v>164</v>
      </c>
      <c r="I32" s="93" t="s">
        <v>159</v>
      </c>
      <c r="J32" s="93" t="s">
        <v>38</v>
      </c>
      <c r="K32" s="93" t="s">
        <v>161</v>
      </c>
      <c r="L32" s="93">
        <v>1</v>
      </c>
      <c r="N32" s="93">
        <v>1</v>
      </c>
      <c r="O32" s="93">
        <v>1.1000000000000001</v>
      </c>
      <c r="P32" s="93">
        <v>0.9</v>
      </c>
      <c r="Q32" s="102">
        <f t="shared" si="0"/>
        <v>1</v>
      </c>
      <c r="R32" s="93">
        <v>16.100000000000001</v>
      </c>
      <c r="S32" s="93">
        <v>138</v>
      </c>
      <c r="T32" s="103">
        <f t="shared" si="1"/>
        <v>22</v>
      </c>
      <c r="U32" s="93">
        <v>138</v>
      </c>
      <c r="V32" s="104">
        <f t="shared" si="2"/>
        <v>3036</v>
      </c>
      <c r="W32" s="93">
        <v>10</v>
      </c>
      <c r="X32" s="93" t="s">
        <v>39</v>
      </c>
      <c r="Y32" s="93" t="s">
        <v>102</v>
      </c>
      <c r="Z32" s="93" t="s">
        <v>78</v>
      </c>
      <c r="AA32" s="93" t="s">
        <v>88</v>
      </c>
      <c r="AB32" s="93" t="s">
        <v>158</v>
      </c>
    </row>
    <row r="33" spans="1:28" x14ac:dyDescent="0.15">
      <c r="A33" s="93" t="s">
        <v>51</v>
      </c>
      <c r="B33" s="93" t="s">
        <v>157</v>
      </c>
      <c r="C33" s="93">
        <v>2019</v>
      </c>
      <c r="D33" s="101" t="s">
        <v>261</v>
      </c>
      <c r="E33" s="93" t="s">
        <v>272</v>
      </c>
      <c r="F33" s="93" t="s">
        <v>264</v>
      </c>
      <c r="G33" s="93" t="s">
        <v>42</v>
      </c>
      <c r="H33" s="93" t="s">
        <v>164</v>
      </c>
      <c r="I33" s="93" t="s">
        <v>159</v>
      </c>
      <c r="J33" s="93" t="s">
        <v>38</v>
      </c>
      <c r="K33" s="93" t="s">
        <v>161</v>
      </c>
      <c r="L33" s="93">
        <v>2</v>
      </c>
      <c r="N33" s="93">
        <v>1</v>
      </c>
      <c r="O33" s="93">
        <v>1.05</v>
      </c>
      <c r="P33" s="93">
        <v>1</v>
      </c>
      <c r="Q33" s="102">
        <f t="shared" si="0"/>
        <v>1.0249999999999999</v>
      </c>
      <c r="R33" s="93">
        <v>15.6</v>
      </c>
      <c r="S33" s="93">
        <v>140</v>
      </c>
      <c r="T33" s="103">
        <f t="shared" si="1"/>
        <v>22</v>
      </c>
      <c r="U33" s="93">
        <v>138</v>
      </c>
      <c r="V33" s="104">
        <f t="shared" si="2"/>
        <v>3036</v>
      </c>
      <c r="W33" s="93">
        <v>10</v>
      </c>
      <c r="X33" s="93" t="s">
        <v>39</v>
      </c>
      <c r="Y33" s="93" t="s">
        <v>102</v>
      </c>
      <c r="Z33" s="93" t="s">
        <v>78</v>
      </c>
      <c r="AA33" s="93" t="s">
        <v>88</v>
      </c>
      <c r="AB33" s="93" t="s">
        <v>158</v>
      </c>
    </row>
    <row r="34" spans="1:28" x14ac:dyDescent="0.15">
      <c r="A34" s="93" t="s">
        <v>51</v>
      </c>
      <c r="B34" s="93" t="s">
        <v>157</v>
      </c>
      <c r="C34" s="93">
        <v>2019</v>
      </c>
      <c r="D34" s="101" t="s">
        <v>261</v>
      </c>
      <c r="E34" s="93" t="s">
        <v>272</v>
      </c>
      <c r="F34" s="93" t="s">
        <v>264</v>
      </c>
      <c r="G34" s="93" t="s">
        <v>42</v>
      </c>
      <c r="H34" s="93" t="s">
        <v>164</v>
      </c>
      <c r="I34" s="93" t="s">
        <v>159</v>
      </c>
      <c r="J34" s="93" t="s">
        <v>38</v>
      </c>
      <c r="K34" s="93" t="s">
        <v>161</v>
      </c>
      <c r="L34" s="93">
        <v>3</v>
      </c>
      <c r="N34" s="93">
        <v>1</v>
      </c>
      <c r="O34" s="93">
        <v>0.9</v>
      </c>
      <c r="P34" s="93">
        <v>0.85</v>
      </c>
      <c r="Q34" s="102">
        <f t="shared" si="0"/>
        <v>0.875</v>
      </c>
      <c r="R34" s="93">
        <v>15.9</v>
      </c>
      <c r="S34" s="93">
        <v>142</v>
      </c>
      <c r="T34" s="103">
        <f t="shared" si="1"/>
        <v>22</v>
      </c>
      <c r="U34" s="93">
        <v>138</v>
      </c>
      <c r="V34" s="104">
        <f t="shared" si="2"/>
        <v>3036</v>
      </c>
      <c r="W34" s="93">
        <v>10</v>
      </c>
      <c r="X34" s="93" t="s">
        <v>39</v>
      </c>
      <c r="Y34" s="93" t="s">
        <v>102</v>
      </c>
      <c r="Z34" s="93" t="s">
        <v>78</v>
      </c>
      <c r="AA34" s="93" t="s">
        <v>88</v>
      </c>
      <c r="AB34" s="93" t="s">
        <v>158</v>
      </c>
    </row>
    <row r="35" spans="1:28" x14ac:dyDescent="0.15">
      <c r="A35" s="93" t="s">
        <v>51</v>
      </c>
      <c r="B35" s="93" t="s">
        <v>157</v>
      </c>
      <c r="C35" s="93">
        <v>2019</v>
      </c>
      <c r="D35" s="101" t="s">
        <v>261</v>
      </c>
      <c r="E35" s="93" t="s">
        <v>272</v>
      </c>
      <c r="F35" s="93" t="s">
        <v>264</v>
      </c>
      <c r="G35" s="93" t="s">
        <v>42</v>
      </c>
      <c r="H35" s="93" t="s">
        <v>160</v>
      </c>
      <c r="I35" s="93" t="s">
        <v>159</v>
      </c>
      <c r="J35" s="93" t="s">
        <v>38</v>
      </c>
      <c r="K35" s="93" t="s">
        <v>161</v>
      </c>
      <c r="L35" s="93">
        <v>1</v>
      </c>
      <c r="N35" s="93">
        <v>1</v>
      </c>
      <c r="O35" s="93">
        <v>0.55000000000000004</v>
      </c>
      <c r="P35" s="93">
        <v>0.55000000000000004</v>
      </c>
      <c r="Q35" s="102">
        <f t="shared" si="0"/>
        <v>0.55000000000000004</v>
      </c>
      <c r="R35" s="93">
        <v>16.5</v>
      </c>
      <c r="S35" s="93">
        <v>142</v>
      </c>
      <c r="T35" s="103">
        <f t="shared" si="1"/>
        <v>22</v>
      </c>
      <c r="U35" s="93">
        <v>158</v>
      </c>
      <c r="V35" s="104">
        <f t="shared" si="2"/>
        <v>3476</v>
      </c>
      <c r="W35" s="93">
        <v>10</v>
      </c>
      <c r="X35" s="93" t="s">
        <v>39</v>
      </c>
      <c r="Y35" s="93" t="s">
        <v>102</v>
      </c>
      <c r="Z35" s="93" t="s">
        <v>78</v>
      </c>
      <c r="AA35" s="93" t="s">
        <v>88</v>
      </c>
      <c r="AB35" s="93" t="s">
        <v>158</v>
      </c>
    </row>
    <row r="36" spans="1:28" x14ac:dyDescent="0.15">
      <c r="A36" s="93" t="s">
        <v>51</v>
      </c>
      <c r="B36" s="93" t="s">
        <v>157</v>
      </c>
      <c r="C36" s="93">
        <v>2019</v>
      </c>
      <c r="D36" s="101" t="s">
        <v>261</v>
      </c>
      <c r="E36" s="93" t="s">
        <v>272</v>
      </c>
      <c r="F36" s="93" t="s">
        <v>264</v>
      </c>
      <c r="G36" s="93" t="s">
        <v>42</v>
      </c>
      <c r="H36" s="93" t="s">
        <v>160</v>
      </c>
      <c r="I36" s="93" t="s">
        <v>159</v>
      </c>
      <c r="J36" s="93" t="s">
        <v>38</v>
      </c>
      <c r="K36" s="93" t="s">
        <v>161</v>
      </c>
      <c r="L36" s="93">
        <v>2</v>
      </c>
      <c r="N36" s="93">
        <v>1</v>
      </c>
      <c r="O36" s="93">
        <v>0.65</v>
      </c>
      <c r="P36" s="93">
        <v>0.5</v>
      </c>
      <c r="Q36" s="102">
        <f t="shared" si="0"/>
        <v>0.57499999999999996</v>
      </c>
      <c r="R36" s="93">
        <v>16.2</v>
      </c>
      <c r="S36" s="93">
        <v>142</v>
      </c>
      <c r="T36" s="103">
        <f t="shared" si="1"/>
        <v>22</v>
      </c>
      <c r="U36" s="93">
        <v>158</v>
      </c>
      <c r="V36" s="104">
        <f t="shared" si="2"/>
        <v>3476</v>
      </c>
      <c r="W36" s="93">
        <v>10</v>
      </c>
      <c r="X36" s="93" t="s">
        <v>39</v>
      </c>
      <c r="Y36" s="93" t="s">
        <v>102</v>
      </c>
      <c r="Z36" s="93" t="s">
        <v>78</v>
      </c>
      <c r="AA36" s="93" t="s">
        <v>88</v>
      </c>
      <c r="AB36" s="93" t="s">
        <v>158</v>
      </c>
    </row>
    <row r="37" spans="1:28" x14ac:dyDescent="0.15">
      <c r="A37" s="93" t="s">
        <v>51</v>
      </c>
      <c r="B37" s="93" t="s">
        <v>157</v>
      </c>
      <c r="C37" s="93">
        <v>2019</v>
      </c>
      <c r="D37" s="101" t="s">
        <v>261</v>
      </c>
      <c r="E37" s="93" t="s">
        <v>272</v>
      </c>
      <c r="F37" s="93" t="s">
        <v>264</v>
      </c>
      <c r="G37" s="93" t="s">
        <v>42</v>
      </c>
      <c r="H37" s="93" t="s">
        <v>160</v>
      </c>
      <c r="I37" s="93" t="s">
        <v>159</v>
      </c>
      <c r="J37" s="93" t="s">
        <v>38</v>
      </c>
      <c r="K37" s="93" t="s">
        <v>161</v>
      </c>
      <c r="L37" s="93">
        <v>3</v>
      </c>
      <c r="N37" s="93">
        <v>1</v>
      </c>
      <c r="O37" s="93">
        <v>0.7</v>
      </c>
      <c r="P37" s="93">
        <v>0.75</v>
      </c>
      <c r="Q37" s="102">
        <f t="shared" si="0"/>
        <v>0.72499999999999998</v>
      </c>
      <c r="R37" s="93">
        <v>16.7</v>
      </c>
      <c r="S37" s="93">
        <v>150</v>
      </c>
      <c r="T37" s="103">
        <f t="shared" si="1"/>
        <v>22</v>
      </c>
      <c r="U37" s="93">
        <v>158</v>
      </c>
      <c r="V37" s="104">
        <f t="shared" si="2"/>
        <v>3476</v>
      </c>
      <c r="W37" s="93">
        <v>10</v>
      </c>
      <c r="X37" s="93" t="s">
        <v>39</v>
      </c>
      <c r="Y37" s="93" t="s">
        <v>102</v>
      </c>
      <c r="Z37" s="93" t="s">
        <v>78</v>
      </c>
      <c r="AA37" s="93" t="s">
        <v>88</v>
      </c>
      <c r="AB37" s="93" t="s">
        <v>158</v>
      </c>
    </row>
    <row r="38" spans="1:28" x14ac:dyDescent="0.15">
      <c r="A38" s="93" t="s">
        <v>51</v>
      </c>
      <c r="B38" s="93" t="s">
        <v>157</v>
      </c>
      <c r="C38" s="93">
        <v>2019</v>
      </c>
      <c r="D38" s="101" t="s">
        <v>261</v>
      </c>
      <c r="E38" s="93" t="s">
        <v>267</v>
      </c>
      <c r="F38" s="93" t="s">
        <v>268</v>
      </c>
      <c r="G38" s="93" t="s">
        <v>42</v>
      </c>
      <c r="H38" s="93" t="s">
        <v>164</v>
      </c>
      <c r="I38" s="93" t="s">
        <v>159</v>
      </c>
      <c r="J38" s="93" t="s">
        <v>38</v>
      </c>
      <c r="K38" s="93" t="s">
        <v>161</v>
      </c>
      <c r="L38" s="93">
        <v>1</v>
      </c>
      <c r="N38" s="93">
        <v>1</v>
      </c>
      <c r="O38" s="93">
        <v>0.8</v>
      </c>
      <c r="P38" s="93">
        <v>0.75</v>
      </c>
      <c r="Q38" s="102">
        <f t="shared" si="0"/>
        <v>0.77500000000000002</v>
      </c>
      <c r="R38" s="93">
        <v>15.9</v>
      </c>
      <c r="S38" s="93">
        <v>132</v>
      </c>
      <c r="T38" s="103">
        <f t="shared" si="1"/>
        <v>25</v>
      </c>
      <c r="U38" s="93">
        <v>138</v>
      </c>
      <c r="V38" s="104">
        <f t="shared" si="2"/>
        <v>3450</v>
      </c>
      <c r="W38" s="93">
        <v>3</v>
      </c>
      <c r="X38" s="93" t="s">
        <v>46</v>
      </c>
      <c r="Y38" s="93" t="s">
        <v>69</v>
      </c>
      <c r="Z38" s="93" t="s">
        <v>102</v>
      </c>
      <c r="AA38" s="93" t="s">
        <v>97</v>
      </c>
      <c r="AB38" s="93" t="s">
        <v>158</v>
      </c>
    </row>
    <row r="39" spans="1:28" x14ac:dyDescent="0.15">
      <c r="A39" s="93" t="s">
        <v>51</v>
      </c>
      <c r="B39" s="93" t="s">
        <v>157</v>
      </c>
      <c r="C39" s="93">
        <v>2019</v>
      </c>
      <c r="D39" s="101" t="s">
        <v>261</v>
      </c>
      <c r="E39" s="93" t="s">
        <v>267</v>
      </c>
      <c r="F39" s="93" t="s">
        <v>268</v>
      </c>
      <c r="G39" s="93" t="s">
        <v>42</v>
      </c>
      <c r="H39" s="93" t="s">
        <v>164</v>
      </c>
      <c r="I39" s="93" t="s">
        <v>159</v>
      </c>
      <c r="J39" s="93" t="s">
        <v>38</v>
      </c>
      <c r="K39" s="93" t="s">
        <v>161</v>
      </c>
      <c r="L39" s="93">
        <v>2</v>
      </c>
      <c r="N39" s="93">
        <v>1</v>
      </c>
      <c r="O39" s="93">
        <v>0.7</v>
      </c>
      <c r="P39" s="93">
        <v>0.7</v>
      </c>
      <c r="Q39" s="102">
        <f t="shared" si="0"/>
        <v>0.7</v>
      </c>
      <c r="R39" s="93">
        <v>16.3</v>
      </c>
      <c r="S39" s="93">
        <v>132</v>
      </c>
      <c r="T39" s="103">
        <f t="shared" si="1"/>
        <v>25</v>
      </c>
      <c r="U39" s="93">
        <v>138</v>
      </c>
      <c r="V39" s="104">
        <f t="shared" si="2"/>
        <v>3450</v>
      </c>
      <c r="W39" s="93">
        <v>3</v>
      </c>
      <c r="X39" s="93" t="s">
        <v>46</v>
      </c>
      <c r="Y39" s="93" t="s">
        <v>69</v>
      </c>
      <c r="Z39" s="93" t="s">
        <v>102</v>
      </c>
      <c r="AA39" s="93" t="s">
        <v>97</v>
      </c>
      <c r="AB39" s="93" t="s">
        <v>158</v>
      </c>
    </row>
    <row r="40" spans="1:28" x14ac:dyDescent="0.15">
      <c r="A40" s="93" t="s">
        <v>51</v>
      </c>
      <c r="B40" s="93" t="s">
        <v>157</v>
      </c>
      <c r="C40" s="93">
        <v>2019</v>
      </c>
      <c r="D40" s="101" t="s">
        <v>261</v>
      </c>
      <c r="E40" s="93" t="s">
        <v>267</v>
      </c>
      <c r="F40" s="93" t="s">
        <v>268</v>
      </c>
      <c r="G40" s="93" t="s">
        <v>42</v>
      </c>
      <c r="H40" s="93" t="s">
        <v>164</v>
      </c>
      <c r="I40" s="93" t="s">
        <v>159</v>
      </c>
      <c r="J40" s="93" t="s">
        <v>38</v>
      </c>
      <c r="K40" s="93" t="s">
        <v>161</v>
      </c>
      <c r="L40" s="93">
        <v>3</v>
      </c>
      <c r="N40" s="93">
        <v>1</v>
      </c>
      <c r="O40" s="93">
        <v>0.75</v>
      </c>
      <c r="P40" s="93">
        <v>0.65</v>
      </c>
      <c r="Q40" s="102">
        <f t="shared" si="0"/>
        <v>0.7</v>
      </c>
      <c r="R40" s="93">
        <v>16.600000000000001</v>
      </c>
      <c r="S40" s="93">
        <v>132</v>
      </c>
      <c r="T40" s="103">
        <f t="shared" si="1"/>
        <v>25</v>
      </c>
      <c r="U40" s="93">
        <v>138</v>
      </c>
      <c r="V40" s="104">
        <f t="shared" si="2"/>
        <v>3450</v>
      </c>
      <c r="W40" s="93">
        <v>3</v>
      </c>
      <c r="X40" s="93" t="s">
        <v>46</v>
      </c>
      <c r="Y40" s="93" t="s">
        <v>69</v>
      </c>
      <c r="Z40" s="93" t="s">
        <v>102</v>
      </c>
      <c r="AA40" s="93" t="s">
        <v>97</v>
      </c>
      <c r="AB40" s="93" t="s">
        <v>158</v>
      </c>
    </row>
    <row r="41" spans="1:28" x14ac:dyDescent="0.15">
      <c r="A41" s="93" t="s">
        <v>51</v>
      </c>
      <c r="B41" s="93" t="s">
        <v>157</v>
      </c>
      <c r="C41" s="93">
        <v>2019</v>
      </c>
      <c r="D41" s="101" t="s">
        <v>261</v>
      </c>
      <c r="E41" s="93" t="s">
        <v>267</v>
      </c>
      <c r="F41" s="93" t="s">
        <v>268</v>
      </c>
      <c r="G41" s="93" t="s">
        <v>42</v>
      </c>
      <c r="H41" s="93" t="s">
        <v>160</v>
      </c>
      <c r="I41" s="93" t="s">
        <v>159</v>
      </c>
      <c r="J41" s="93" t="s">
        <v>38</v>
      </c>
      <c r="K41" s="93" t="s">
        <v>161</v>
      </c>
      <c r="L41" s="93">
        <v>1</v>
      </c>
      <c r="N41" s="93">
        <v>1</v>
      </c>
      <c r="O41" s="93">
        <v>0.6</v>
      </c>
      <c r="P41" s="93">
        <v>0.55000000000000004</v>
      </c>
      <c r="Q41" s="102">
        <f t="shared" si="0"/>
        <v>0.57499999999999996</v>
      </c>
      <c r="R41" s="93">
        <v>17.5</v>
      </c>
      <c r="S41" s="93">
        <v>132</v>
      </c>
      <c r="T41" s="103">
        <f t="shared" si="1"/>
        <v>25</v>
      </c>
      <c r="U41" s="93">
        <v>138</v>
      </c>
      <c r="V41" s="104">
        <f t="shared" si="2"/>
        <v>3450</v>
      </c>
      <c r="W41" s="93">
        <v>3</v>
      </c>
      <c r="X41" s="93" t="s">
        <v>46</v>
      </c>
      <c r="Y41" s="93" t="s">
        <v>69</v>
      </c>
      <c r="Z41" s="93" t="s">
        <v>102</v>
      </c>
      <c r="AA41" s="93" t="s">
        <v>97</v>
      </c>
      <c r="AB41" s="93" t="s">
        <v>158</v>
      </c>
    </row>
    <row r="42" spans="1:28" x14ac:dyDescent="0.15">
      <c r="A42" s="93" t="s">
        <v>51</v>
      </c>
      <c r="B42" s="93" t="s">
        <v>157</v>
      </c>
      <c r="C42" s="93">
        <v>2019</v>
      </c>
      <c r="D42" s="101" t="s">
        <v>261</v>
      </c>
      <c r="E42" s="93" t="s">
        <v>267</v>
      </c>
      <c r="F42" s="93" t="s">
        <v>268</v>
      </c>
      <c r="G42" s="93" t="s">
        <v>42</v>
      </c>
      <c r="H42" s="93" t="s">
        <v>160</v>
      </c>
      <c r="I42" s="93" t="s">
        <v>159</v>
      </c>
      <c r="J42" s="93" t="s">
        <v>38</v>
      </c>
      <c r="K42" s="93" t="s">
        <v>161</v>
      </c>
      <c r="L42" s="93">
        <v>2</v>
      </c>
      <c r="N42" s="93">
        <v>1</v>
      </c>
      <c r="O42" s="93">
        <v>0.65</v>
      </c>
      <c r="P42" s="93">
        <v>0.6</v>
      </c>
      <c r="Q42" s="102">
        <f t="shared" si="0"/>
        <v>0.625</v>
      </c>
      <c r="R42" s="93">
        <v>16.8</v>
      </c>
      <c r="S42" s="93">
        <v>128</v>
      </c>
      <c r="T42" s="103">
        <f t="shared" si="1"/>
        <v>27</v>
      </c>
      <c r="U42" s="93">
        <v>138</v>
      </c>
      <c r="V42" s="104">
        <f t="shared" si="2"/>
        <v>3726</v>
      </c>
      <c r="W42" s="93">
        <v>3</v>
      </c>
      <c r="X42" s="93" t="s">
        <v>46</v>
      </c>
      <c r="Y42" s="93" t="s">
        <v>69</v>
      </c>
      <c r="Z42" s="93" t="s">
        <v>102</v>
      </c>
      <c r="AA42" s="93" t="s">
        <v>97</v>
      </c>
      <c r="AB42" s="93" t="s">
        <v>158</v>
      </c>
    </row>
    <row r="43" spans="1:28" x14ac:dyDescent="0.15">
      <c r="A43" s="93" t="s">
        <v>51</v>
      </c>
      <c r="B43" s="93" t="s">
        <v>157</v>
      </c>
      <c r="C43" s="93">
        <v>2019</v>
      </c>
      <c r="D43" s="101" t="s">
        <v>261</v>
      </c>
      <c r="E43" s="93" t="s">
        <v>267</v>
      </c>
      <c r="F43" s="93" t="s">
        <v>268</v>
      </c>
      <c r="G43" s="93" t="s">
        <v>42</v>
      </c>
      <c r="H43" s="93" t="s">
        <v>160</v>
      </c>
      <c r="I43" s="93" t="s">
        <v>159</v>
      </c>
      <c r="J43" s="93" t="s">
        <v>38</v>
      </c>
      <c r="K43" s="93" t="s">
        <v>161</v>
      </c>
      <c r="L43" s="93">
        <v>3</v>
      </c>
      <c r="N43" s="93">
        <v>1</v>
      </c>
      <c r="O43" s="93">
        <v>0.65</v>
      </c>
      <c r="P43" s="93">
        <v>0.7</v>
      </c>
      <c r="Q43" s="102">
        <f t="shared" si="0"/>
        <v>0.67500000000000004</v>
      </c>
      <c r="R43" s="93">
        <v>17</v>
      </c>
      <c r="S43" s="93">
        <v>132</v>
      </c>
      <c r="T43" s="103">
        <f t="shared" si="1"/>
        <v>25</v>
      </c>
      <c r="U43" s="93">
        <v>138</v>
      </c>
      <c r="V43" s="104">
        <f t="shared" si="2"/>
        <v>3450</v>
      </c>
      <c r="W43" s="93">
        <v>3</v>
      </c>
      <c r="X43" s="93" t="s">
        <v>46</v>
      </c>
      <c r="Y43" s="93" t="s">
        <v>69</v>
      </c>
      <c r="Z43" s="93" t="s">
        <v>102</v>
      </c>
      <c r="AA43" s="93" t="s">
        <v>97</v>
      </c>
      <c r="AB43" s="93" t="s">
        <v>158</v>
      </c>
    </row>
    <row r="44" spans="1:28" x14ac:dyDescent="0.15">
      <c r="A44" s="93" t="s">
        <v>51</v>
      </c>
      <c r="B44" s="93" t="s">
        <v>157</v>
      </c>
      <c r="C44" s="93">
        <v>2019</v>
      </c>
      <c r="D44" s="101" t="s">
        <v>261</v>
      </c>
      <c r="E44" s="93" t="s">
        <v>269</v>
      </c>
      <c r="F44" s="93" t="s">
        <v>263</v>
      </c>
      <c r="G44" s="93" t="s">
        <v>36</v>
      </c>
      <c r="H44" s="93" t="s">
        <v>164</v>
      </c>
      <c r="I44" s="93" t="s">
        <v>159</v>
      </c>
      <c r="J44" s="93" t="s">
        <v>38</v>
      </c>
      <c r="K44" s="93" t="s">
        <v>161</v>
      </c>
      <c r="L44" s="93">
        <v>1</v>
      </c>
      <c r="N44" s="93">
        <v>8</v>
      </c>
      <c r="O44" s="93">
        <v>0.8</v>
      </c>
      <c r="P44" s="93">
        <v>0.8</v>
      </c>
      <c r="Q44" s="102">
        <f t="shared" si="0"/>
        <v>0.8</v>
      </c>
      <c r="R44" s="93">
        <v>15.5</v>
      </c>
      <c r="S44" s="93">
        <v>96</v>
      </c>
      <c r="T44" s="103">
        <f t="shared" si="1"/>
        <v>36</v>
      </c>
      <c r="U44" s="93">
        <v>580</v>
      </c>
      <c r="V44" s="104">
        <f t="shared" si="2"/>
        <v>2610</v>
      </c>
      <c r="W44" s="93">
        <v>4</v>
      </c>
      <c r="X44" s="93" t="s">
        <v>46</v>
      </c>
      <c r="Y44" s="93" t="s">
        <v>102</v>
      </c>
      <c r="Z44" s="93" t="s">
        <v>78</v>
      </c>
      <c r="AA44" s="93" t="s">
        <v>88</v>
      </c>
      <c r="AB44" s="93" t="s">
        <v>158</v>
      </c>
    </row>
    <row r="45" spans="1:28" x14ac:dyDescent="0.15">
      <c r="A45" s="93" t="s">
        <v>51</v>
      </c>
      <c r="B45" s="93" t="s">
        <v>157</v>
      </c>
      <c r="C45" s="93">
        <v>2019</v>
      </c>
      <c r="D45" s="101" t="s">
        <v>261</v>
      </c>
      <c r="E45" s="93" t="s">
        <v>269</v>
      </c>
      <c r="F45" s="93" t="s">
        <v>263</v>
      </c>
      <c r="G45" s="93" t="s">
        <v>36</v>
      </c>
      <c r="H45" s="93" t="s">
        <v>164</v>
      </c>
      <c r="I45" s="93" t="s">
        <v>159</v>
      </c>
      <c r="J45" s="93" t="s">
        <v>38</v>
      </c>
      <c r="K45" s="93" t="s">
        <v>161</v>
      </c>
      <c r="L45" s="93">
        <v>2</v>
      </c>
      <c r="N45" s="93">
        <v>8</v>
      </c>
      <c r="O45" s="93">
        <v>0.75</v>
      </c>
      <c r="P45" s="93">
        <v>0.8</v>
      </c>
      <c r="Q45" s="102">
        <f t="shared" si="0"/>
        <v>0.77500000000000002</v>
      </c>
      <c r="R45" s="93">
        <v>15.8</v>
      </c>
      <c r="S45" s="93">
        <v>99</v>
      </c>
      <c r="T45" s="103">
        <f t="shared" si="1"/>
        <v>33</v>
      </c>
      <c r="U45" s="93">
        <v>580</v>
      </c>
      <c r="V45" s="104">
        <f t="shared" si="2"/>
        <v>2392.5</v>
      </c>
      <c r="W45" s="93">
        <v>4</v>
      </c>
      <c r="X45" s="93" t="s">
        <v>46</v>
      </c>
      <c r="Y45" s="93" t="s">
        <v>102</v>
      </c>
      <c r="Z45" s="93" t="s">
        <v>78</v>
      </c>
      <c r="AA45" s="93" t="s">
        <v>88</v>
      </c>
      <c r="AB45" s="93" t="s">
        <v>158</v>
      </c>
    </row>
    <row r="46" spans="1:28" x14ac:dyDescent="0.15">
      <c r="A46" s="93" t="s">
        <v>51</v>
      </c>
      <c r="B46" s="93" t="s">
        <v>157</v>
      </c>
      <c r="C46" s="93">
        <v>2019</v>
      </c>
      <c r="D46" s="101" t="s">
        <v>261</v>
      </c>
      <c r="E46" s="93" t="s">
        <v>269</v>
      </c>
      <c r="F46" s="93" t="s">
        <v>263</v>
      </c>
      <c r="G46" s="93" t="s">
        <v>36</v>
      </c>
      <c r="H46" s="93" t="s">
        <v>164</v>
      </c>
      <c r="I46" s="93" t="s">
        <v>159</v>
      </c>
      <c r="J46" s="93" t="s">
        <v>38</v>
      </c>
      <c r="K46" s="93" t="s">
        <v>161</v>
      </c>
      <c r="L46" s="93">
        <v>3</v>
      </c>
      <c r="N46" s="93">
        <v>8</v>
      </c>
      <c r="O46" s="93">
        <v>0.9</v>
      </c>
      <c r="P46" s="93">
        <v>0.75</v>
      </c>
      <c r="Q46" s="102">
        <f t="shared" si="0"/>
        <v>0.82499999999999996</v>
      </c>
      <c r="R46" s="93">
        <v>15.2</v>
      </c>
      <c r="S46" s="93">
        <v>94</v>
      </c>
      <c r="T46" s="103">
        <f t="shared" si="1"/>
        <v>36</v>
      </c>
      <c r="U46" s="93">
        <v>580</v>
      </c>
      <c r="V46" s="104">
        <f t="shared" si="2"/>
        <v>2610</v>
      </c>
      <c r="W46" s="93">
        <v>4</v>
      </c>
      <c r="X46" s="93" t="s">
        <v>46</v>
      </c>
      <c r="Y46" s="93" t="s">
        <v>102</v>
      </c>
      <c r="Z46" s="93" t="s">
        <v>78</v>
      </c>
      <c r="AA46" s="93" t="s">
        <v>88</v>
      </c>
      <c r="AB46" s="93" t="s">
        <v>158</v>
      </c>
    </row>
    <row r="47" spans="1:28" x14ac:dyDescent="0.15">
      <c r="A47" s="93" t="s">
        <v>51</v>
      </c>
      <c r="B47" s="93" t="s">
        <v>157</v>
      </c>
      <c r="C47" s="93">
        <v>2019</v>
      </c>
      <c r="D47" s="101" t="s">
        <v>261</v>
      </c>
      <c r="E47" s="93" t="s">
        <v>269</v>
      </c>
      <c r="F47" s="93" t="s">
        <v>263</v>
      </c>
      <c r="G47" s="93" t="s">
        <v>36</v>
      </c>
      <c r="H47" s="93" t="s">
        <v>160</v>
      </c>
      <c r="I47" s="93" t="s">
        <v>159</v>
      </c>
      <c r="J47" s="93" t="s">
        <v>38</v>
      </c>
      <c r="K47" s="93" t="s">
        <v>161</v>
      </c>
      <c r="L47" s="93">
        <v>1</v>
      </c>
      <c r="N47" s="93">
        <v>4</v>
      </c>
      <c r="O47" s="93">
        <v>0.9</v>
      </c>
      <c r="P47" s="93">
        <v>0.75</v>
      </c>
      <c r="Q47" s="102">
        <f t="shared" si="0"/>
        <v>0.82499999999999996</v>
      </c>
      <c r="R47" s="93">
        <v>17.2</v>
      </c>
      <c r="S47" s="93">
        <v>114</v>
      </c>
      <c r="T47" s="103">
        <f t="shared" si="1"/>
        <v>30</v>
      </c>
      <c r="U47" s="93">
        <v>398</v>
      </c>
      <c r="V47" s="104">
        <f t="shared" si="2"/>
        <v>2985</v>
      </c>
      <c r="W47" s="93">
        <v>4</v>
      </c>
      <c r="X47" s="93" t="s">
        <v>46</v>
      </c>
      <c r="Y47" s="93" t="s">
        <v>102</v>
      </c>
      <c r="Z47" s="93" t="s">
        <v>78</v>
      </c>
      <c r="AA47" s="93" t="s">
        <v>88</v>
      </c>
      <c r="AB47" s="93" t="s">
        <v>158</v>
      </c>
    </row>
    <row r="48" spans="1:28" x14ac:dyDescent="0.15">
      <c r="A48" s="93" t="s">
        <v>51</v>
      </c>
      <c r="B48" s="93" t="s">
        <v>157</v>
      </c>
      <c r="C48" s="93">
        <v>2019</v>
      </c>
      <c r="D48" s="101" t="s">
        <v>261</v>
      </c>
      <c r="E48" s="93" t="s">
        <v>269</v>
      </c>
      <c r="F48" s="93" t="s">
        <v>263</v>
      </c>
      <c r="G48" s="93" t="s">
        <v>36</v>
      </c>
      <c r="H48" s="93" t="s">
        <v>160</v>
      </c>
      <c r="I48" s="93" t="s">
        <v>159</v>
      </c>
      <c r="J48" s="93" t="s">
        <v>38</v>
      </c>
      <c r="K48" s="93" t="s">
        <v>161</v>
      </c>
      <c r="L48" s="93">
        <v>2</v>
      </c>
      <c r="N48" s="93">
        <v>4</v>
      </c>
      <c r="O48" s="93">
        <v>0.8</v>
      </c>
      <c r="P48" s="93">
        <v>1</v>
      </c>
      <c r="Q48" s="102">
        <f t="shared" si="0"/>
        <v>0.9</v>
      </c>
      <c r="R48" s="93">
        <v>16.600000000000001</v>
      </c>
      <c r="S48" s="93">
        <v>110</v>
      </c>
      <c r="T48" s="103">
        <f t="shared" si="1"/>
        <v>33</v>
      </c>
      <c r="U48" s="93">
        <v>398</v>
      </c>
      <c r="V48" s="104">
        <f t="shared" si="2"/>
        <v>3283.5</v>
      </c>
      <c r="W48" s="93">
        <v>4</v>
      </c>
      <c r="X48" s="93" t="s">
        <v>46</v>
      </c>
      <c r="Y48" s="93" t="s">
        <v>102</v>
      </c>
      <c r="Z48" s="93" t="s">
        <v>78</v>
      </c>
      <c r="AA48" s="93" t="s">
        <v>88</v>
      </c>
      <c r="AB48" s="93" t="s">
        <v>158</v>
      </c>
    </row>
    <row r="49" spans="1:28" x14ac:dyDescent="0.15">
      <c r="A49" s="93" t="s">
        <v>51</v>
      </c>
      <c r="B49" s="93" t="s">
        <v>157</v>
      </c>
      <c r="C49" s="93">
        <v>2019</v>
      </c>
      <c r="D49" s="101" t="s">
        <v>261</v>
      </c>
      <c r="E49" s="93" t="s">
        <v>269</v>
      </c>
      <c r="F49" s="93" t="s">
        <v>263</v>
      </c>
      <c r="G49" s="93" t="s">
        <v>36</v>
      </c>
      <c r="H49" s="93" t="s">
        <v>160</v>
      </c>
      <c r="I49" s="93" t="s">
        <v>159</v>
      </c>
      <c r="J49" s="93" t="s">
        <v>38</v>
      </c>
      <c r="K49" s="93" t="s">
        <v>161</v>
      </c>
      <c r="L49" s="93">
        <v>3</v>
      </c>
      <c r="N49" s="93">
        <v>4</v>
      </c>
      <c r="O49" s="93">
        <v>0.75</v>
      </c>
      <c r="P49" s="93">
        <v>0.85</v>
      </c>
      <c r="Q49" s="102">
        <f t="shared" si="0"/>
        <v>0.8</v>
      </c>
      <c r="R49" s="93">
        <v>16.8</v>
      </c>
      <c r="S49" s="93">
        <v>116</v>
      </c>
      <c r="T49" s="103">
        <f t="shared" si="1"/>
        <v>30</v>
      </c>
      <c r="U49" s="93">
        <v>398</v>
      </c>
      <c r="V49" s="104">
        <f t="shared" si="2"/>
        <v>2985</v>
      </c>
      <c r="W49" s="93">
        <v>4</v>
      </c>
      <c r="X49" s="93" t="s">
        <v>46</v>
      </c>
      <c r="Y49" s="93" t="s">
        <v>102</v>
      </c>
      <c r="Z49" s="93" t="s">
        <v>78</v>
      </c>
      <c r="AA49" s="93" t="s">
        <v>88</v>
      </c>
      <c r="AB49" s="93" t="s">
        <v>158</v>
      </c>
    </row>
    <row r="50" spans="1:28" x14ac:dyDescent="0.15">
      <c r="A50" s="93" t="s">
        <v>51</v>
      </c>
      <c r="B50" s="93" t="s">
        <v>157</v>
      </c>
      <c r="C50" s="93">
        <v>2019</v>
      </c>
      <c r="D50" s="101" t="s">
        <v>261</v>
      </c>
      <c r="E50" s="93" t="s">
        <v>273</v>
      </c>
      <c r="F50" s="93" t="s">
        <v>274</v>
      </c>
      <c r="G50" s="93" t="s">
        <v>36</v>
      </c>
      <c r="H50" s="93" t="s">
        <v>164</v>
      </c>
      <c r="I50" s="93" t="s">
        <v>159</v>
      </c>
      <c r="J50" s="93" t="s">
        <v>38</v>
      </c>
      <c r="K50" s="93" t="s">
        <v>161</v>
      </c>
      <c r="L50" s="93">
        <v>1</v>
      </c>
      <c r="N50" s="93">
        <v>1</v>
      </c>
      <c r="O50" s="93">
        <v>0.9</v>
      </c>
      <c r="P50" s="93">
        <v>1</v>
      </c>
      <c r="Q50" s="102">
        <f t="shared" si="0"/>
        <v>0.95</v>
      </c>
      <c r="R50" s="93">
        <v>16.8</v>
      </c>
      <c r="S50" s="93">
        <v>150</v>
      </c>
      <c r="T50" s="103">
        <f t="shared" si="1"/>
        <v>22</v>
      </c>
      <c r="U50" s="93">
        <v>128</v>
      </c>
      <c r="V50" s="104">
        <f t="shared" si="2"/>
        <v>2816</v>
      </c>
      <c r="W50" s="93">
        <v>4</v>
      </c>
      <c r="X50" s="93" t="s">
        <v>46</v>
      </c>
      <c r="Y50" s="93" t="s">
        <v>97</v>
      </c>
      <c r="Z50" s="93" t="s">
        <v>69</v>
      </c>
      <c r="AA50" s="93" t="s">
        <v>78</v>
      </c>
      <c r="AB50" s="93" t="s">
        <v>158</v>
      </c>
    </row>
    <row r="51" spans="1:28" x14ac:dyDescent="0.15">
      <c r="A51" s="93" t="s">
        <v>51</v>
      </c>
      <c r="B51" s="93" t="s">
        <v>157</v>
      </c>
      <c r="C51" s="93">
        <v>2019</v>
      </c>
      <c r="D51" s="101" t="s">
        <v>261</v>
      </c>
      <c r="E51" s="93" t="s">
        <v>273</v>
      </c>
      <c r="F51" s="93" t="s">
        <v>274</v>
      </c>
      <c r="G51" s="93" t="s">
        <v>36</v>
      </c>
      <c r="H51" s="93" t="s">
        <v>164</v>
      </c>
      <c r="I51" s="93" t="s">
        <v>159</v>
      </c>
      <c r="J51" s="93" t="s">
        <v>38</v>
      </c>
      <c r="K51" s="93" t="s">
        <v>161</v>
      </c>
      <c r="L51" s="93">
        <v>2</v>
      </c>
      <c r="N51" s="93">
        <v>1</v>
      </c>
      <c r="O51" s="93">
        <v>0.95</v>
      </c>
      <c r="P51" s="93">
        <v>1.05</v>
      </c>
      <c r="Q51" s="102">
        <f t="shared" si="0"/>
        <v>1</v>
      </c>
      <c r="R51" s="93">
        <v>16.3</v>
      </c>
      <c r="S51" s="93">
        <v>138</v>
      </c>
      <c r="T51" s="103">
        <f t="shared" si="1"/>
        <v>22</v>
      </c>
      <c r="U51" s="93">
        <v>128</v>
      </c>
      <c r="V51" s="104">
        <f t="shared" si="2"/>
        <v>2816</v>
      </c>
      <c r="W51" s="93">
        <v>4</v>
      </c>
      <c r="X51" s="93" t="s">
        <v>46</v>
      </c>
      <c r="Y51" s="93" t="s">
        <v>97</v>
      </c>
      <c r="Z51" s="93" t="s">
        <v>69</v>
      </c>
      <c r="AA51" s="93" t="s">
        <v>78</v>
      </c>
      <c r="AB51" s="93" t="s">
        <v>158</v>
      </c>
    </row>
    <row r="52" spans="1:28" x14ac:dyDescent="0.15">
      <c r="A52" s="93" t="s">
        <v>51</v>
      </c>
      <c r="B52" s="93" t="s">
        <v>157</v>
      </c>
      <c r="C52" s="93">
        <v>2019</v>
      </c>
      <c r="D52" s="101" t="s">
        <v>261</v>
      </c>
      <c r="E52" s="93" t="s">
        <v>273</v>
      </c>
      <c r="F52" s="93" t="s">
        <v>274</v>
      </c>
      <c r="G52" s="93" t="s">
        <v>36</v>
      </c>
      <c r="H52" s="93" t="s">
        <v>164</v>
      </c>
      <c r="I52" s="93" t="s">
        <v>159</v>
      </c>
      <c r="J52" s="93" t="s">
        <v>38</v>
      </c>
      <c r="K52" s="93" t="s">
        <v>161</v>
      </c>
      <c r="L52" s="93">
        <v>3</v>
      </c>
      <c r="N52" s="93">
        <v>1</v>
      </c>
      <c r="O52" s="93">
        <v>0.85</v>
      </c>
      <c r="P52" s="93">
        <v>0.95</v>
      </c>
      <c r="Q52" s="102">
        <f t="shared" si="0"/>
        <v>0.89999999999999991</v>
      </c>
      <c r="R52" s="93">
        <v>15.9</v>
      </c>
      <c r="S52" s="93">
        <v>140</v>
      </c>
      <c r="T52" s="103">
        <f t="shared" si="1"/>
        <v>22</v>
      </c>
      <c r="U52" s="93">
        <v>128</v>
      </c>
      <c r="V52" s="104">
        <f t="shared" si="2"/>
        <v>2816</v>
      </c>
      <c r="W52" s="93">
        <v>4</v>
      </c>
      <c r="X52" s="93" t="s">
        <v>46</v>
      </c>
      <c r="Y52" s="93" t="s">
        <v>97</v>
      </c>
      <c r="Z52" s="93" t="s">
        <v>69</v>
      </c>
      <c r="AA52" s="93" t="s">
        <v>78</v>
      </c>
      <c r="AB52" s="93" t="s">
        <v>158</v>
      </c>
    </row>
    <row r="53" spans="1:28" x14ac:dyDescent="0.15">
      <c r="A53" s="93" t="s">
        <v>51</v>
      </c>
      <c r="B53" s="93" t="s">
        <v>157</v>
      </c>
      <c r="C53" s="93">
        <v>2019</v>
      </c>
      <c r="D53" s="101" t="s">
        <v>261</v>
      </c>
      <c r="E53" s="93" t="s">
        <v>273</v>
      </c>
      <c r="F53" s="93" t="s">
        <v>274</v>
      </c>
      <c r="G53" s="93" t="s">
        <v>36</v>
      </c>
      <c r="H53" s="93" t="s">
        <v>160</v>
      </c>
      <c r="I53" s="93" t="s">
        <v>159</v>
      </c>
      <c r="J53" s="93" t="s">
        <v>38</v>
      </c>
      <c r="K53" s="93" t="s">
        <v>161</v>
      </c>
      <c r="L53" s="93">
        <v>1</v>
      </c>
      <c r="N53" s="93">
        <v>1</v>
      </c>
      <c r="O53" s="93">
        <v>0.5</v>
      </c>
      <c r="P53" s="93">
        <v>0.55000000000000004</v>
      </c>
      <c r="Q53" s="102">
        <f t="shared" si="0"/>
        <v>0.52500000000000002</v>
      </c>
      <c r="R53" s="93">
        <v>17.2</v>
      </c>
      <c r="S53" s="93">
        <v>134</v>
      </c>
      <c r="T53" s="103">
        <f t="shared" si="1"/>
        <v>25</v>
      </c>
      <c r="U53" s="93">
        <v>128</v>
      </c>
      <c r="V53" s="104">
        <f t="shared" si="2"/>
        <v>3200</v>
      </c>
      <c r="W53" s="93">
        <v>4</v>
      </c>
      <c r="X53" s="93" t="s">
        <v>46</v>
      </c>
      <c r="Y53" s="93" t="s">
        <v>97</v>
      </c>
      <c r="Z53" s="93" t="s">
        <v>69</v>
      </c>
      <c r="AA53" s="93" t="s">
        <v>78</v>
      </c>
      <c r="AB53" s="93" t="s">
        <v>158</v>
      </c>
    </row>
    <row r="54" spans="1:28" x14ac:dyDescent="0.15">
      <c r="A54" s="93" t="s">
        <v>51</v>
      </c>
      <c r="B54" s="93" t="s">
        <v>157</v>
      </c>
      <c r="C54" s="93">
        <v>2019</v>
      </c>
      <c r="D54" s="101" t="s">
        <v>261</v>
      </c>
      <c r="E54" s="93" t="s">
        <v>273</v>
      </c>
      <c r="F54" s="93" t="s">
        <v>274</v>
      </c>
      <c r="G54" s="93" t="s">
        <v>36</v>
      </c>
      <c r="H54" s="93" t="s">
        <v>160</v>
      </c>
      <c r="I54" s="93" t="s">
        <v>159</v>
      </c>
      <c r="J54" s="93" t="s">
        <v>38</v>
      </c>
      <c r="K54" s="93" t="s">
        <v>161</v>
      </c>
      <c r="L54" s="93">
        <v>2</v>
      </c>
      <c r="N54" s="93">
        <v>1</v>
      </c>
      <c r="O54" s="93">
        <v>0.65</v>
      </c>
      <c r="P54" s="93">
        <v>0.6</v>
      </c>
      <c r="Q54" s="102">
        <f t="shared" si="0"/>
        <v>0.625</v>
      </c>
      <c r="R54" s="93">
        <v>17.5</v>
      </c>
      <c r="S54" s="93">
        <v>136</v>
      </c>
      <c r="T54" s="103">
        <f t="shared" si="1"/>
        <v>25</v>
      </c>
      <c r="U54" s="93">
        <v>128</v>
      </c>
      <c r="V54" s="104">
        <f t="shared" si="2"/>
        <v>3200</v>
      </c>
      <c r="W54" s="93">
        <v>4</v>
      </c>
      <c r="X54" s="93" t="s">
        <v>46</v>
      </c>
      <c r="Y54" s="93" t="s">
        <v>97</v>
      </c>
      <c r="Z54" s="93" t="s">
        <v>69</v>
      </c>
      <c r="AA54" s="93" t="s">
        <v>78</v>
      </c>
      <c r="AB54" s="93" t="s">
        <v>158</v>
      </c>
    </row>
    <row r="55" spans="1:28" x14ac:dyDescent="0.15">
      <c r="A55" s="93" t="s">
        <v>51</v>
      </c>
      <c r="B55" s="93" t="s">
        <v>157</v>
      </c>
      <c r="C55" s="93">
        <v>2019</v>
      </c>
      <c r="D55" s="101" t="s">
        <v>261</v>
      </c>
      <c r="E55" s="93" t="s">
        <v>273</v>
      </c>
      <c r="F55" s="93" t="s">
        <v>274</v>
      </c>
      <c r="G55" s="93" t="s">
        <v>36</v>
      </c>
      <c r="H55" s="93" t="s">
        <v>160</v>
      </c>
      <c r="I55" s="93" t="s">
        <v>159</v>
      </c>
      <c r="J55" s="93" t="s">
        <v>38</v>
      </c>
      <c r="K55" s="93" t="s">
        <v>161</v>
      </c>
      <c r="L55" s="93">
        <v>3</v>
      </c>
      <c r="N55" s="93">
        <v>1</v>
      </c>
      <c r="O55" s="93">
        <v>0.7</v>
      </c>
      <c r="P55" s="93">
        <v>0.75</v>
      </c>
      <c r="Q55" s="102">
        <f t="shared" si="0"/>
        <v>0.72499999999999998</v>
      </c>
      <c r="R55" s="93">
        <v>16.899999999999999</v>
      </c>
      <c r="S55" s="93">
        <v>138</v>
      </c>
      <c r="T55" s="103">
        <f t="shared" si="1"/>
        <v>22</v>
      </c>
      <c r="U55" s="93">
        <v>128</v>
      </c>
      <c r="V55" s="104">
        <f t="shared" si="2"/>
        <v>2816</v>
      </c>
      <c r="W55" s="93">
        <v>4</v>
      </c>
      <c r="X55" s="93" t="s">
        <v>46</v>
      </c>
      <c r="Y55" s="93" t="s">
        <v>97</v>
      </c>
      <c r="Z55" s="93" t="s">
        <v>69</v>
      </c>
      <c r="AA55" s="93" t="s">
        <v>78</v>
      </c>
      <c r="AB55" s="93" t="s">
        <v>158</v>
      </c>
    </row>
    <row r="56" spans="1:28" x14ac:dyDescent="0.15">
      <c r="A56" s="93" t="s">
        <v>51</v>
      </c>
      <c r="B56" s="93" t="s">
        <v>157</v>
      </c>
      <c r="C56" s="93">
        <v>2019</v>
      </c>
      <c r="D56" s="101" t="s">
        <v>261</v>
      </c>
      <c r="E56" s="93" t="s">
        <v>275</v>
      </c>
      <c r="F56" s="93" t="s">
        <v>263</v>
      </c>
      <c r="G56" s="93" t="s">
        <v>42</v>
      </c>
      <c r="H56" s="93" t="s">
        <v>164</v>
      </c>
      <c r="I56" s="93" t="s">
        <v>159</v>
      </c>
      <c r="J56" s="93" t="s">
        <v>38</v>
      </c>
      <c r="K56" s="93" t="s">
        <v>161</v>
      </c>
      <c r="L56" s="93">
        <v>1</v>
      </c>
      <c r="N56" s="93">
        <v>1</v>
      </c>
      <c r="O56" s="93">
        <v>0.65</v>
      </c>
      <c r="P56" s="93">
        <v>0.7</v>
      </c>
      <c r="Q56" s="102">
        <f t="shared" si="0"/>
        <v>0.67500000000000004</v>
      </c>
      <c r="R56" s="93">
        <v>16.7</v>
      </c>
      <c r="S56" s="93">
        <v>124</v>
      </c>
      <c r="T56" s="103">
        <f t="shared" si="1"/>
        <v>27</v>
      </c>
      <c r="U56" s="93">
        <v>78</v>
      </c>
      <c r="V56" s="104">
        <f t="shared" si="2"/>
        <v>2106</v>
      </c>
      <c r="W56" s="93">
        <v>2</v>
      </c>
      <c r="X56" s="93" t="s">
        <v>46</v>
      </c>
      <c r="Y56" s="93" t="s">
        <v>69</v>
      </c>
      <c r="Z56" s="93" t="s">
        <v>88</v>
      </c>
      <c r="AA56" s="93" t="s">
        <v>97</v>
      </c>
      <c r="AB56" s="93" t="s">
        <v>158</v>
      </c>
    </row>
    <row r="57" spans="1:28" x14ac:dyDescent="0.15">
      <c r="A57" s="93" t="s">
        <v>51</v>
      </c>
      <c r="B57" s="93" t="s">
        <v>157</v>
      </c>
      <c r="C57" s="93">
        <v>2019</v>
      </c>
      <c r="D57" s="101" t="s">
        <v>261</v>
      </c>
      <c r="E57" s="93" t="s">
        <v>275</v>
      </c>
      <c r="F57" s="93" t="s">
        <v>263</v>
      </c>
      <c r="G57" s="93" t="s">
        <v>42</v>
      </c>
      <c r="H57" s="93" t="s">
        <v>164</v>
      </c>
      <c r="I57" s="93" t="s">
        <v>159</v>
      </c>
      <c r="J57" s="93" t="s">
        <v>38</v>
      </c>
      <c r="K57" s="93" t="s">
        <v>161</v>
      </c>
      <c r="L57" s="93">
        <v>2</v>
      </c>
      <c r="N57" s="93">
        <v>1</v>
      </c>
      <c r="O57" s="93">
        <v>0.75</v>
      </c>
      <c r="P57" s="93">
        <v>0.8</v>
      </c>
      <c r="Q57" s="102">
        <f t="shared" si="0"/>
        <v>0.77500000000000002</v>
      </c>
      <c r="R57" s="93">
        <v>15.9</v>
      </c>
      <c r="S57" s="93">
        <v>120</v>
      </c>
      <c r="T57" s="103">
        <f t="shared" si="1"/>
        <v>30</v>
      </c>
      <c r="U57" s="93">
        <v>78</v>
      </c>
      <c r="V57" s="104">
        <f t="shared" si="2"/>
        <v>2340</v>
      </c>
      <c r="W57" s="93">
        <v>2</v>
      </c>
      <c r="X57" s="93" t="s">
        <v>46</v>
      </c>
      <c r="Y57" s="93" t="s">
        <v>69</v>
      </c>
      <c r="Z57" s="93" t="s">
        <v>88</v>
      </c>
      <c r="AA57" s="93" t="s">
        <v>97</v>
      </c>
      <c r="AB57" s="93" t="s">
        <v>158</v>
      </c>
    </row>
    <row r="58" spans="1:28" x14ac:dyDescent="0.15">
      <c r="A58" s="93" t="s">
        <v>51</v>
      </c>
      <c r="B58" s="93" t="s">
        <v>157</v>
      </c>
      <c r="C58" s="93">
        <v>2019</v>
      </c>
      <c r="D58" s="101" t="s">
        <v>261</v>
      </c>
      <c r="E58" s="93" t="s">
        <v>275</v>
      </c>
      <c r="F58" s="93" t="s">
        <v>263</v>
      </c>
      <c r="G58" s="93" t="s">
        <v>42</v>
      </c>
      <c r="H58" s="93" t="s">
        <v>164</v>
      </c>
      <c r="I58" s="93" t="s">
        <v>159</v>
      </c>
      <c r="J58" s="93" t="s">
        <v>38</v>
      </c>
      <c r="K58" s="93" t="s">
        <v>161</v>
      </c>
      <c r="L58" s="93">
        <v>3</v>
      </c>
      <c r="N58" s="93">
        <v>1</v>
      </c>
      <c r="O58" s="93">
        <v>0.7</v>
      </c>
      <c r="P58" s="93">
        <v>0.75</v>
      </c>
      <c r="Q58" s="102">
        <f t="shared" si="0"/>
        <v>0.72499999999999998</v>
      </c>
      <c r="R58" s="93">
        <v>16.2</v>
      </c>
      <c r="S58" s="93">
        <v>120</v>
      </c>
      <c r="T58" s="103">
        <f t="shared" si="1"/>
        <v>30</v>
      </c>
      <c r="U58" s="93">
        <v>78</v>
      </c>
      <c r="V58" s="104">
        <f t="shared" si="2"/>
        <v>2340</v>
      </c>
      <c r="W58" s="93">
        <v>2</v>
      </c>
      <c r="X58" s="93" t="s">
        <v>46</v>
      </c>
      <c r="Y58" s="93" t="s">
        <v>69</v>
      </c>
      <c r="Z58" s="93" t="s">
        <v>88</v>
      </c>
      <c r="AA58" s="93" t="s">
        <v>97</v>
      </c>
      <c r="AB58" s="93" t="s">
        <v>158</v>
      </c>
    </row>
    <row r="59" spans="1:28" x14ac:dyDescent="0.15">
      <c r="A59" s="93" t="s">
        <v>51</v>
      </c>
      <c r="B59" s="93" t="s">
        <v>157</v>
      </c>
      <c r="C59" s="93">
        <v>2019</v>
      </c>
      <c r="D59" s="101" t="s">
        <v>261</v>
      </c>
      <c r="E59" s="93" t="s">
        <v>275</v>
      </c>
      <c r="F59" s="93" t="s">
        <v>263</v>
      </c>
      <c r="G59" s="93" t="s">
        <v>42</v>
      </c>
      <c r="H59" s="93" t="s">
        <v>160</v>
      </c>
      <c r="I59" s="93" t="s">
        <v>159</v>
      </c>
      <c r="J59" s="93" t="s">
        <v>38</v>
      </c>
      <c r="K59" s="93" t="s">
        <v>161</v>
      </c>
      <c r="L59" s="93">
        <v>1</v>
      </c>
      <c r="N59" s="93">
        <v>1</v>
      </c>
      <c r="O59" s="93">
        <v>0.55000000000000004</v>
      </c>
      <c r="P59" s="93">
        <v>0.55000000000000004</v>
      </c>
      <c r="Q59" s="102">
        <f t="shared" si="0"/>
        <v>0.55000000000000004</v>
      </c>
      <c r="R59" s="93">
        <v>18.5</v>
      </c>
      <c r="S59" s="93">
        <v>146</v>
      </c>
      <c r="T59" s="103">
        <f t="shared" si="1"/>
        <v>22</v>
      </c>
      <c r="U59" s="93">
        <v>138</v>
      </c>
      <c r="V59" s="104">
        <f t="shared" si="2"/>
        <v>3036</v>
      </c>
      <c r="W59" s="93">
        <v>2</v>
      </c>
      <c r="X59" s="93" t="s">
        <v>46</v>
      </c>
      <c r="Y59" s="93" t="s">
        <v>69</v>
      </c>
      <c r="Z59" s="93" t="s">
        <v>88</v>
      </c>
      <c r="AA59" s="93" t="s">
        <v>97</v>
      </c>
      <c r="AB59" s="93" t="s">
        <v>158</v>
      </c>
    </row>
    <row r="60" spans="1:28" x14ac:dyDescent="0.15">
      <c r="A60" s="93" t="s">
        <v>51</v>
      </c>
      <c r="B60" s="93" t="s">
        <v>157</v>
      </c>
      <c r="C60" s="93">
        <v>2019</v>
      </c>
      <c r="D60" s="101" t="s">
        <v>261</v>
      </c>
      <c r="E60" s="93" t="s">
        <v>275</v>
      </c>
      <c r="F60" s="93" t="s">
        <v>263</v>
      </c>
      <c r="G60" s="93" t="s">
        <v>42</v>
      </c>
      <c r="H60" s="93" t="s">
        <v>160</v>
      </c>
      <c r="I60" s="93" t="s">
        <v>159</v>
      </c>
      <c r="J60" s="93" t="s">
        <v>38</v>
      </c>
      <c r="K60" s="93" t="s">
        <v>161</v>
      </c>
      <c r="L60" s="93">
        <v>2</v>
      </c>
      <c r="N60" s="93">
        <v>1</v>
      </c>
      <c r="O60" s="93">
        <v>0.5</v>
      </c>
      <c r="P60" s="93">
        <v>0.6</v>
      </c>
      <c r="Q60" s="102">
        <f t="shared" si="0"/>
        <v>0.55000000000000004</v>
      </c>
      <c r="R60" s="93">
        <v>18</v>
      </c>
      <c r="S60" s="93">
        <v>144</v>
      </c>
      <c r="T60" s="103">
        <f t="shared" si="1"/>
        <v>22</v>
      </c>
      <c r="U60" s="93">
        <v>138</v>
      </c>
      <c r="V60" s="104">
        <f t="shared" si="2"/>
        <v>3036</v>
      </c>
      <c r="W60" s="93">
        <v>2</v>
      </c>
      <c r="X60" s="93" t="s">
        <v>46</v>
      </c>
      <c r="Y60" s="93" t="s">
        <v>69</v>
      </c>
      <c r="Z60" s="93" t="s">
        <v>88</v>
      </c>
      <c r="AA60" s="93" t="s">
        <v>97</v>
      </c>
      <c r="AB60" s="93" t="s">
        <v>158</v>
      </c>
    </row>
    <row r="61" spans="1:28" x14ac:dyDescent="0.15">
      <c r="A61" s="93" t="s">
        <v>51</v>
      </c>
      <c r="B61" s="93" t="s">
        <v>157</v>
      </c>
      <c r="C61" s="93">
        <v>2019</v>
      </c>
      <c r="D61" s="101" t="s">
        <v>261</v>
      </c>
      <c r="E61" s="93" t="s">
        <v>275</v>
      </c>
      <c r="F61" s="93" t="s">
        <v>263</v>
      </c>
      <c r="G61" s="93" t="s">
        <v>42</v>
      </c>
      <c r="H61" s="93" t="s">
        <v>160</v>
      </c>
      <c r="I61" s="93" t="s">
        <v>159</v>
      </c>
      <c r="J61" s="93" t="s">
        <v>38</v>
      </c>
      <c r="K61" s="93" t="s">
        <v>161</v>
      </c>
      <c r="L61" s="93">
        <v>3</v>
      </c>
      <c r="N61" s="93">
        <v>1</v>
      </c>
      <c r="O61" s="93">
        <v>0.6</v>
      </c>
      <c r="P61" s="93">
        <v>0.6</v>
      </c>
      <c r="Q61" s="102">
        <f t="shared" si="0"/>
        <v>0.6</v>
      </c>
      <c r="R61" s="93">
        <v>18.7</v>
      </c>
      <c r="S61" s="93">
        <v>152</v>
      </c>
      <c r="T61" s="103">
        <f t="shared" si="1"/>
        <v>18</v>
      </c>
      <c r="U61" s="93">
        <v>138</v>
      </c>
      <c r="V61" s="104">
        <f t="shared" si="2"/>
        <v>2484</v>
      </c>
      <c r="W61" s="93">
        <v>2</v>
      </c>
      <c r="X61" s="93" t="s">
        <v>46</v>
      </c>
      <c r="Y61" s="93" t="s">
        <v>69</v>
      </c>
      <c r="Z61" s="93" t="s">
        <v>88</v>
      </c>
      <c r="AA61" s="93" t="s">
        <v>97</v>
      </c>
      <c r="AB61" s="93" t="s">
        <v>158</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D3D3940F-4B71-4134-867D-05C8DD1DC1C9}">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BE8175A4-18B6-4621-9B0A-201A4FB2DDA5}">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8C883224-060B-4575-A197-0995EE5DB1EB}">
      <formula1>$AT$2:$AT$3</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C6000FEE-583A-4DAE-97A6-C3172992BB30}">
      <formula1>$AL$4:$AL$12</formula1>
    </dataValidation>
    <dataValidation type="list" allowBlank="1" showInputMessage="1" showErrorMessage="1" sqref="Y2:AA500" xr:uid="{28444B4C-B03B-4873-86AF-C9EEA41800C6}">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E273D52F-6393-436D-9643-C8B8DC7582AC}">
      <formula1>$AP$2:$AP$27</formula1>
    </dataValidation>
    <dataValidation type="list" allowBlank="1" showInputMessage="1" showErrorMessage="1" sqref="H2:H500" xr:uid="{F9C983C7-3E53-41B1-B058-6BD174DBBD78}">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F70BDFAD-27FD-4DDC-B5E6-731C40D82192}">
      <formula1>$AH$2:$AH$11</formula1>
    </dataValidation>
    <dataValidation type="list" allowBlank="1" showInputMessage="1" showErrorMessage="1" sqref="K2:K89" xr:uid="{C6264A31-9010-42F0-A091-1ED977B3CA2E}">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ABB52CAF-5169-4763-A3D0-19B87BAA9270}">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7EAA6291-ECE6-4579-AAA5-1FFF1F8CC770}"/>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ECBADA9B-C923-460D-B8F9-65583783A136}">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6D44E345-7FB8-4563-8C4E-635BABBC97DD}">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33520CB5-BE78-4CD0-A4D5-253B2109E1AE}">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97BF0282-6B2E-4F7A-BCF5-095B3F424B36}">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4199-E6D5-459A-AC70-CD180314AE07}">
  <sheetPr>
    <pageSetUpPr fitToPage="1"/>
  </sheetPr>
  <dimension ref="A1:BA108"/>
  <sheetViews>
    <sheetView zoomScale="85" zoomScaleNormal="85" workbookViewId="0">
      <selection activeCell="S62" sqref="S62"/>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280</v>
      </c>
      <c r="B1" s="55" t="s">
        <v>1</v>
      </c>
      <c r="C1" s="55" t="s">
        <v>2</v>
      </c>
      <c r="D1" s="56" t="s">
        <v>3</v>
      </c>
      <c r="E1" s="56" t="s">
        <v>281</v>
      </c>
      <c r="F1" s="56" t="s">
        <v>5</v>
      </c>
      <c r="G1" s="56" t="s">
        <v>6</v>
      </c>
      <c r="H1" s="56" t="s">
        <v>282</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232</v>
      </c>
      <c r="C2" s="127">
        <v>2019</v>
      </c>
      <c r="D2" s="128" t="s">
        <v>283</v>
      </c>
      <c r="E2" s="127" t="s">
        <v>284</v>
      </c>
      <c r="F2" s="127" t="s">
        <v>285</v>
      </c>
      <c r="G2" s="127" t="s">
        <v>42</v>
      </c>
      <c r="H2" s="53" t="s">
        <v>164</v>
      </c>
      <c r="I2" s="53" t="s">
        <v>159</v>
      </c>
      <c r="J2" s="127" t="s">
        <v>38</v>
      </c>
      <c r="K2" s="53" t="s">
        <v>161</v>
      </c>
      <c r="L2" s="53">
        <v>1</v>
      </c>
      <c r="M2" s="53"/>
      <c r="N2" s="53">
        <v>4</v>
      </c>
      <c r="O2" s="53">
        <v>0.75</v>
      </c>
      <c r="P2" s="53">
        <v>0.65</v>
      </c>
      <c r="Q2" s="75">
        <f t="shared" ref="Q2:Q65" si="0">IF(OR(O2="",P2=""),"",AVERAGE(O2,P2))</f>
        <v>0.7</v>
      </c>
      <c r="R2" s="53">
        <v>13.3</v>
      </c>
      <c r="S2" s="53">
        <v>102</v>
      </c>
      <c r="T2" s="16">
        <f t="shared" ref="T2:T65" si="1">IF(H2="","",IF(OR(H2="GREEN",H2="GK"),IF(S2&gt;=$AX$2,VLOOKUP(S2,$AX$2:$AY$15,2,1),""),IF(S2&gt;=$AZ$2,VLOOKUP(S2,$AZ$2:$BA$15,2,1),"")))</f>
        <v>33</v>
      </c>
      <c r="U2" s="53">
        <v>350</v>
      </c>
      <c r="V2" s="129">
        <f t="shared" ref="V2:V65" si="2">IF(OR(N2="",U2="",T2=""),"",U2/N2*T2)</f>
        <v>2887.5</v>
      </c>
      <c r="W2" s="53">
        <v>4</v>
      </c>
      <c r="X2" s="127" t="s">
        <v>39</v>
      </c>
      <c r="Y2" s="53" t="s">
        <v>88</v>
      </c>
      <c r="Z2" s="53" t="s">
        <v>78</v>
      </c>
      <c r="AA2" s="53" t="s">
        <v>97</v>
      </c>
      <c r="AB2" s="127" t="s">
        <v>236</v>
      </c>
      <c r="AC2" s="34"/>
      <c r="AE2" s="64" t="s">
        <v>35</v>
      </c>
      <c r="AG2" s="49" t="s">
        <v>284</v>
      </c>
      <c r="AH2" s="49" t="s">
        <v>285</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232</v>
      </c>
      <c r="C3" s="127">
        <v>2019</v>
      </c>
      <c r="D3" s="128" t="s">
        <v>283</v>
      </c>
      <c r="E3" s="127" t="s">
        <v>284</v>
      </c>
      <c r="F3" s="127" t="s">
        <v>285</v>
      </c>
      <c r="G3" s="127" t="s">
        <v>42</v>
      </c>
      <c r="H3" s="53" t="s">
        <v>164</v>
      </c>
      <c r="I3" s="53" t="s">
        <v>159</v>
      </c>
      <c r="J3" s="127" t="s">
        <v>38</v>
      </c>
      <c r="K3" s="53" t="s">
        <v>161</v>
      </c>
      <c r="L3" s="53">
        <v>2</v>
      </c>
      <c r="N3" s="53">
        <v>4</v>
      </c>
      <c r="O3" s="53">
        <v>0.5</v>
      </c>
      <c r="P3" s="53">
        <v>0.5</v>
      </c>
      <c r="Q3" s="75">
        <f t="shared" si="0"/>
        <v>0.5</v>
      </c>
      <c r="R3" s="53">
        <v>14.6</v>
      </c>
      <c r="S3" s="53">
        <v>94</v>
      </c>
      <c r="T3" s="16">
        <f t="shared" si="1"/>
        <v>36</v>
      </c>
      <c r="U3" s="53">
        <v>350</v>
      </c>
      <c r="V3" s="129">
        <f t="shared" si="2"/>
        <v>3150</v>
      </c>
      <c r="W3" s="53">
        <v>4</v>
      </c>
      <c r="X3" s="127" t="s">
        <v>39</v>
      </c>
      <c r="Y3" s="53" t="s">
        <v>88</v>
      </c>
      <c r="Z3" s="53" t="s">
        <v>78</v>
      </c>
      <c r="AA3" s="53" t="s">
        <v>97</v>
      </c>
      <c r="AB3" s="127" t="s">
        <v>236</v>
      </c>
      <c r="AC3" s="34"/>
      <c r="AE3" s="22" t="s">
        <v>41</v>
      </c>
      <c r="AG3" s="49" t="s">
        <v>286</v>
      </c>
      <c r="AH3" s="49" t="s">
        <v>287</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232</v>
      </c>
      <c r="C4" s="127">
        <v>2019</v>
      </c>
      <c r="D4" s="128" t="s">
        <v>283</v>
      </c>
      <c r="E4" s="127" t="s">
        <v>284</v>
      </c>
      <c r="F4" s="127" t="s">
        <v>285</v>
      </c>
      <c r="G4" s="127" t="s">
        <v>42</v>
      </c>
      <c r="H4" s="53" t="s">
        <v>164</v>
      </c>
      <c r="I4" s="53" t="s">
        <v>159</v>
      </c>
      <c r="J4" s="127" t="s">
        <v>38</v>
      </c>
      <c r="K4" s="53" t="s">
        <v>161</v>
      </c>
      <c r="L4" s="53">
        <v>3</v>
      </c>
      <c r="N4" s="53">
        <v>4</v>
      </c>
      <c r="O4" s="53">
        <v>0.7</v>
      </c>
      <c r="P4" s="53">
        <v>0.65</v>
      </c>
      <c r="Q4" s="75">
        <f t="shared" si="0"/>
        <v>0.67500000000000004</v>
      </c>
      <c r="R4" s="53">
        <v>16.3</v>
      </c>
      <c r="S4" s="53">
        <v>105</v>
      </c>
      <c r="T4" s="16">
        <f t="shared" si="1"/>
        <v>33</v>
      </c>
      <c r="U4" s="53">
        <v>350</v>
      </c>
      <c r="V4" s="129">
        <f t="shared" si="2"/>
        <v>2887.5</v>
      </c>
      <c r="W4" s="53">
        <v>4</v>
      </c>
      <c r="X4" s="127" t="s">
        <v>39</v>
      </c>
      <c r="Y4" s="53" t="s">
        <v>88</v>
      </c>
      <c r="Z4" s="53" t="s">
        <v>78</v>
      </c>
      <c r="AA4" s="53" t="s">
        <v>97</v>
      </c>
      <c r="AB4" s="127" t="s">
        <v>236</v>
      </c>
      <c r="AC4" s="34"/>
      <c r="AE4" s="22" t="s">
        <v>34</v>
      </c>
      <c r="AG4" s="49" t="s">
        <v>288</v>
      </c>
      <c r="AH4" s="49" t="s">
        <v>289</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232</v>
      </c>
      <c r="C5" s="127">
        <v>2019</v>
      </c>
      <c r="D5" s="128" t="s">
        <v>283</v>
      </c>
      <c r="E5" s="127" t="s">
        <v>284</v>
      </c>
      <c r="F5" s="127" t="s">
        <v>285</v>
      </c>
      <c r="G5" s="127" t="s">
        <v>42</v>
      </c>
      <c r="H5" s="53" t="s">
        <v>160</v>
      </c>
      <c r="I5" s="53" t="s">
        <v>159</v>
      </c>
      <c r="J5" s="127" t="s">
        <v>38</v>
      </c>
      <c r="K5" s="53" t="s">
        <v>161</v>
      </c>
      <c r="L5" s="53">
        <v>1</v>
      </c>
      <c r="N5" s="53">
        <v>1</v>
      </c>
      <c r="O5" s="53">
        <v>0.5</v>
      </c>
      <c r="P5" s="53">
        <v>0.5</v>
      </c>
      <c r="Q5" s="75">
        <f t="shared" si="0"/>
        <v>0.5</v>
      </c>
      <c r="R5" s="53">
        <v>16.600000000000001</v>
      </c>
      <c r="S5" s="53">
        <v>126</v>
      </c>
      <c r="T5" s="16">
        <f t="shared" si="1"/>
        <v>27</v>
      </c>
      <c r="U5" s="53">
        <v>138</v>
      </c>
      <c r="V5" s="129">
        <f t="shared" si="2"/>
        <v>3726</v>
      </c>
      <c r="W5" s="53">
        <v>4</v>
      </c>
      <c r="X5" s="127" t="s">
        <v>39</v>
      </c>
      <c r="Y5" s="53" t="s">
        <v>88</v>
      </c>
      <c r="Z5" s="53" t="s">
        <v>78</v>
      </c>
      <c r="AA5" s="53" t="s">
        <v>97</v>
      </c>
      <c r="AB5" s="127" t="s">
        <v>236</v>
      </c>
      <c r="AC5" s="34"/>
      <c r="AE5" s="22" t="s">
        <v>51</v>
      </c>
      <c r="AG5" s="49" t="s">
        <v>290</v>
      </c>
      <c r="AH5" s="49" t="s">
        <v>291</v>
      </c>
      <c r="AJ5" s="27"/>
      <c r="AL5" s="73" t="s">
        <v>66</v>
      </c>
      <c r="AN5" s="73" t="s">
        <v>52</v>
      </c>
      <c r="AP5" s="23" t="s">
        <v>119</v>
      </c>
      <c r="AR5" s="23" t="s">
        <v>54</v>
      </c>
      <c r="AV5" s="23" t="s">
        <v>55</v>
      </c>
      <c r="AX5" s="24">
        <v>84</v>
      </c>
      <c r="AY5" s="25">
        <v>39</v>
      </c>
      <c r="AZ5" s="25">
        <v>84</v>
      </c>
      <c r="BA5" s="26">
        <v>36</v>
      </c>
    </row>
    <row r="6" spans="1:53" x14ac:dyDescent="0.15">
      <c r="A6" s="127" t="s">
        <v>61</v>
      </c>
      <c r="B6" s="127" t="s">
        <v>232</v>
      </c>
      <c r="C6" s="127">
        <v>2019</v>
      </c>
      <c r="D6" s="128" t="s">
        <v>283</v>
      </c>
      <c r="E6" s="127" t="s">
        <v>284</v>
      </c>
      <c r="F6" s="127" t="s">
        <v>285</v>
      </c>
      <c r="G6" s="127" t="s">
        <v>42</v>
      </c>
      <c r="H6" s="53" t="s">
        <v>160</v>
      </c>
      <c r="I6" s="53" t="s">
        <v>159</v>
      </c>
      <c r="J6" s="127" t="s">
        <v>38</v>
      </c>
      <c r="K6" s="53" t="s">
        <v>161</v>
      </c>
      <c r="L6" s="53">
        <v>2</v>
      </c>
      <c r="N6" s="53">
        <v>1</v>
      </c>
      <c r="O6" s="53">
        <v>0.5</v>
      </c>
      <c r="P6" s="53">
        <v>0.5</v>
      </c>
      <c r="Q6" s="75">
        <f t="shared" si="0"/>
        <v>0.5</v>
      </c>
      <c r="R6" s="53">
        <v>16.5</v>
      </c>
      <c r="S6" s="53">
        <v>128</v>
      </c>
      <c r="T6" s="16">
        <f t="shared" si="1"/>
        <v>27</v>
      </c>
      <c r="U6" s="53">
        <v>138</v>
      </c>
      <c r="V6" s="129">
        <f t="shared" si="2"/>
        <v>3726</v>
      </c>
      <c r="W6" s="53">
        <v>4</v>
      </c>
      <c r="X6" s="127" t="s">
        <v>39</v>
      </c>
      <c r="Y6" s="53" t="s">
        <v>88</v>
      </c>
      <c r="Z6" s="53" t="s">
        <v>78</v>
      </c>
      <c r="AA6" s="53" t="s">
        <v>97</v>
      </c>
      <c r="AB6" s="127" t="s">
        <v>236</v>
      </c>
      <c r="AC6" s="34"/>
      <c r="AE6" s="22" t="s">
        <v>56</v>
      </c>
      <c r="AG6" s="49" t="s">
        <v>292</v>
      </c>
      <c r="AH6" s="49" t="s">
        <v>293</v>
      </c>
      <c r="AJ6" s="27"/>
      <c r="AL6" s="73" t="s">
        <v>99</v>
      </c>
      <c r="AN6" s="73" t="s">
        <v>57</v>
      </c>
      <c r="AP6" s="23" t="s">
        <v>53</v>
      </c>
      <c r="AR6" s="23" t="s">
        <v>59</v>
      </c>
      <c r="AV6" s="23" t="s">
        <v>60</v>
      </c>
      <c r="AX6" s="24">
        <v>97</v>
      </c>
      <c r="AY6" s="25">
        <v>36</v>
      </c>
      <c r="AZ6" s="25">
        <v>99</v>
      </c>
      <c r="BA6" s="26">
        <v>33</v>
      </c>
    </row>
    <row r="7" spans="1:53" x14ac:dyDescent="0.15">
      <c r="A7" s="127" t="s">
        <v>61</v>
      </c>
      <c r="B7" s="127" t="s">
        <v>232</v>
      </c>
      <c r="C7" s="127">
        <v>2019</v>
      </c>
      <c r="D7" s="128" t="s">
        <v>283</v>
      </c>
      <c r="E7" s="127" t="s">
        <v>284</v>
      </c>
      <c r="F7" s="127" t="s">
        <v>285</v>
      </c>
      <c r="G7" s="127" t="s">
        <v>42</v>
      </c>
      <c r="H7" s="53" t="s">
        <v>160</v>
      </c>
      <c r="I7" s="53" t="s">
        <v>159</v>
      </c>
      <c r="J7" s="127" t="s">
        <v>38</v>
      </c>
      <c r="K7" s="53" t="s">
        <v>161</v>
      </c>
      <c r="L7" s="53">
        <v>3</v>
      </c>
      <c r="N7" s="53">
        <v>1</v>
      </c>
      <c r="O7" s="53">
        <v>0.5</v>
      </c>
      <c r="P7" s="53">
        <v>0.5</v>
      </c>
      <c r="Q7" s="75">
        <f t="shared" si="0"/>
        <v>0.5</v>
      </c>
      <c r="R7" s="53">
        <v>15.7</v>
      </c>
      <c r="S7" s="53">
        <v>100</v>
      </c>
      <c r="T7" s="16">
        <f t="shared" si="1"/>
        <v>33</v>
      </c>
      <c r="U7" s="53">
        <v>138</v>
      </c>
      <c r="V7" s="129">
        <f t="shared" si="2"/>
        <v>4554</v>
      </c>
      <c r="W7" s="53">
        <v>4</v>
      </c>
      <c r="X7" s="127" t="s">
        <v>39</v>
      </c>
      <c r="Y7" s="53" t="s">
        <v>88</v>
      </c>
      <c r="Z7" s="53" t="s">
        <v>78</v>
      </c>
      <c r="AA7" s="53" t="s">
        <v>97</v>
      </c>
      <c r="AB7" s="127" t="s">
        <v>236</v>
      </c>
      <c r="AC7" s="34"/>
      <c r="AE7" s="22" t="s">
        <v>61</v>
      </c>
      <c r="AG7" s="49" t="s">
        <v>294</v>
      </c>
      <c r="AH7" s="49" t="s">
        <v>295</v>
      </c>
      <c r="AJ7" s="27"/>
      <c r="AL7" s="34" t="s">
        <v>109</v>
      </c>
      <c r="AN7" s="73"/>
      <c r="AP7" s="23" t="s">
        <v>58</v>
      </c>
      <c r="AR7" s="23" t="s">
        <v>122</v>
      </c>
      <c r="AV7" s="23" t="s">
        <v>64</v>
      </c>
      <c r="AX7" s="24">
        <v>109</v>
      </c>
      <c r="AY7" s="25">
        <v>33</v>
      </c>
      <c r="AZ7" s="25">
        <v>113</v>
      </c>
      <c r="BA7" s="26">
        <v>30</v>
      </c>
    </row>
    <row r="8" spans="1:53" x14ac:dyDescent="0.15">
      <c r="A8" s="127" t="s">
        <v>61</v>
      </c>
      <c r="B8" s="127" t="s">
        <v>232</v>
      </c>
      <c r="C8" s="127">
        <v>2019</v>
      </c>
      <c r="D8" s="128" t="s">
        <v>283</v>
      </c>
      <c r="E8" s="127" t="s">
        <v>286</v>
      </c>
      <c r="F8" s="127" t="s">
        <v>287</v>
      </c>
      <c r="G8" s="127" t="s">
        <v>42</v>
      </c>
      <c r="H8" s="53" t="s">
        <v>164</v>
      </c>
      <c r="I8" s="53" t="s">
        <v>159</v>
      </c>
      <c r="J8" s="127" t="s">
        <v>38</v>
      </c>
      <c r="K8" s="53" t="s">
        <v>161</v>
      </c>
      <c r="L8" s="53">
        <v>1</v>
      </c>
      <c r="N8" s="53">
        <v>4</v>
      </c>
      <c r="O8" s="53">
        <v>0.8</v>
      </c>
      <c r="P8" s="53">
        <v>0.9</v>
      </c>
      <c r="Q8" s="75">
        <f t="shared" si="0"/>
        <v>0.85000000000000009</v>
      </c>
      <c r="R8" s="53">
        <v>15.7</v>
      </c>
      <c r="S8" s="53">
        <v>102</v>
      </c>
      <c r="T8" s="16">
        <f t="shared" si="1"/>
        <v>33</v>
      </c>
      <c r="U8" s="53">
        <v>398</v>
      </c>
      <c r="V8" s="129">
        <f t="shared" si="2"/>
        <v>3283.5</v>
      </c>
      <c r="W8" s="53">
        <v>5</v>
      </c>
      <c r="X8" s="127" t="s">
        <v>46</v>
      </c>
      <c r="Y8" s="53" t="s">
        <v>97</v>
      </c>
      <c r="Z8" s="53" t="s">
        <v>88</v>
      </c>
      <c r="AA8" s="53" t="s">
        <v>78</v>
      </c>
      <c r="AB8" s="127" t="s">
        <v>236</v>
      </c>
      <c r="AC8" s="34"/>
      <c r="AE8" s="22" t="s">
        <v>59</v>
      </c>
      <c r="AG8" s="49" t="s">
        <v>296</v>
      </c>
      <c r="AH8" s="49" t="s">
        <v>297</v>
      </c>
      <c r="AJ8" s="28"/>
      <c r="AL8" s="34" t="s">
        <v>134</v>
      </c>
      <c r="AN8" s="73"/>
      <c r="AP8" s="23" t="s">
        <v>62</v>
      </c>
      <c r="AR8" s="23" t="s">
        <v>81</v>
      </c>
      <c r="AV8" s="23" t="s">
        <v>97</v>
      </c>
      <c r="AX8" s="24">
        <v>119</v>
      </c>
      <c r="AY8" s="25">
        <v>30</v>
      </c>
      <c r="AZ8" s="25">
        <v>121</v>
      </c>
      <c r="BA8" s="26">
        <v>27</v>
      </c>
    </row>
    <row r="9" spans="1:53" x14ac:dyDescent="0.15">
      <c r="A9" s="127" t="s">
        <v>61</v>
      </c>
      <c r="B9" s="127" t="s">
        <v>232</v>
      </c>
      <c r="C9" s="127">
        <v>2019</v>
      </c>
      <c r="D9" s="128" t="s">
        <v>283</v>
      </c>
      <c r="E9" s="127" t="s">
        <v>286</v>
      </c>
      <c r="F9" s="127" t="s">
        <v>287</v>
      </c>
      <c r="G9" s="127" t="s">
        <v>42</v>
      </c>
      <c r="H9" s="53" t="s">
        <v>164</v>
      </c>
      <c r="I9" s="53" t="s">
        <v>159</v>
      </c>
      <c r="J9" s="127" t="s">
        <v>38</v>
      </c>
      <c r="K9" s="53" t="s">
        <v>161</v>
      </c>
      <c r="L9" s="53">
        <v>2</v>
      </c>
      <c r="N9" s="53">
        <v>4</v>
      </c>
      <c r="O9" s="53">
        <v>0.7</v>
      </c>
      <c r="P9" s="53">
        <v>0.8</v>
      </c>
      <c r="Q9" s="75">
        <f t="shared" si="0"/>
        <v>0.75</v>
      </c>
      <c r="R9" s="34">
        <v>15.8</v>
      </c>
      <c r="S9" s="53">
        <v>94</v>
      </c>
      <c r="T9" s="16">
        <f t="shared" si="1"/>
        <v>36</v>
      </c>
      <c r="U9" s="53">
        <v>398</v>
      </c>
      <c r="V9" s="129">
        <f t="shared" si="2"/>
        <v>3582</v>
      </c>
      <c r="W9" s="53">
        <v>5</v>
      </c>
      <c r="X9" s="127" t="s">
        <v>46</v>
      </c>
      <c r="Y9" s="53" t="s">
        <v>97</v>
      </c>
      <c r="Z9" s="53" t="s">
        <v>88</v>
      </c>
      <c r="AA9" s="53" t="s">
        <v>78</v>
      </c>
      <c r="AB9" s="127" t="s">
        <v>236</v>
      </c>
      <c r="AC9" s="34"/>
      <c r="AE9" s="22" t="s">
        <v>98</v>
      </c>
      <c r="AG9" s="49" t="s">
        <v>133</v>
      </c>
      <c r="AH9" s="49" t="s">
        <v>298</v>
      </c>
      <c r="AL9" s="73"/>
      <c r="AN9" s="73"/>
      <c r="AP9" s="23" t="s">
        <v>95</v>
      </c>
      <c r="AR9" s="23" t="s">
        <v>89</v>
      </c>
      <c r="AV9" s="23" t="s">
        <v>102</v>
      </c>
      <c r="AX9" s="24">
        <v>128</v>
      </c>
      <c r="AY9" s="25">
        <v>27</v>
      </c>
      <c r="AZ9" s="25">
        <v>129</v>
      </c>
      <c r="BA9" s="26">
        <v>25</v>
      </c>
    </row>
    <row r="10" spans="1:53" x14ac:dyDescent="0.15">
      <c r="A10" s="127" t="s">
        <v>61</v>
      </c>
      <c r="B10" s="127" t="s">
        <v>232</v>
      </c>
      <c r="C10" s="127">
        <v>2019</v>
      </c>
      <c r="D10" s="128" t="s">
        <v>283</v>
      </c>
      <c r="E10" s="127" t="s">
        <v>286</v>
      </c>
      <c r="F10" s="127" t="s">
        <v>287</v>
      </c>
      <c r="G10" s="127" t="s">
        <v>42</v>
      </c>
      <c r="H10" s="53" t="s">
        <v>164</v>
      </c>
      <c r="I10" s="53" t="s">
        <v>159</v>
      </c>
      <c r="J10" s="127" t="s">
        <v>38</v>
      </c>
      <c r="K10" s="53" t="s">
        <v>161</v>
      </c>
      <c r="L10" s="53">
        <v>3</v>
      </c>
      <c r="N10" s="53">
        <v>4</v>
      </c>
      <c r="O10" s="53">
        <v>0.8</v>
      </c>
      <c r="P10" s="53">
        <v>0.8</v>
      </c>
      <c r="Q10" s="75">
        <f t="shared" si="0"/>
        <v>0.8</v>
      </c>
      <c r="R10" s="53">
        <v>12.3</v>
      </c>
      <c r="S10" s="53">
        <v>143</v>
      </c>
      <c r="T10" s="16">
        <f t="shared" si="1"/>
        <v>22</v>
      </c>
      <c r="U10" s="53">
        <v>398</v>
      </c>
      <c r="V10" s="129">
        <f t="shared" si="2"/>
        <v>2189</v>
      </c>
      <c r="W10" s="53">
        <v>5</v>
      </c>
      <c r="X10" s="127" t="s">
        <v>46</v>
      </c>
      <c r="Y10" s="53" t="s">
        <v>97</v>
      </c>
      <c r="Z10" s="53" t="s">
        <v>88</v>
      </c>
      <c r="AA10" s="53" t="s">
        <v>78</v>
      </c>
      <c r="AB10" s="127" t="s">
        <v>236</v>
      </c>
      <c r="AC10" s="34"/>
      <c r="AE10" s="22" t="s">
        <v>103</v>
      </c>
      <c r="AG10" s="49" t="s">
        <v>299</v>
      </c>
      <c r="AH10" s="49" t="s">
        <v>300</v>
      </c>
      <c r="AL10" s="27"/>
      <c r="AP10" s="23" t="s">
        <v>100</v>
      </c>
      <c r="AR10" s="23" t="s">
        <v>123</v>
      </c>
      <c r="AV10" s="23" t="s">
        <v>106</v>
      </c>
      <c r="AX10" s="24">
        <v>138</v>
      </c>
      <c r="AY10" s="25">
        <v>25</v>
      </c>
      <c r="AZ10" s="25">
        <v>138</v>
      </c>
      <c r="BA10" s="26">
        <v>22</v>
      </c>
    </row>
    <row r="11" spans="1:53" x14ac:dyDescent="0.15">
      <c r="A11" s="127" t="s">
        <v>61</v>
      </c>
      <c r="B11" s="127" t="s">
        <v>232</v>
      </c>
      <c r="C11" s="127">
        <v>2019</v>
      </c>
      <c r="D11" s="128" t="s">
        <v>283</v>
      </c>
      <c r="E11" s="127" t="s">
        <v>286</v>
      </c>
      <c r="F11" s="127" t="s">
        <v>287</v>
      </c>
      <c r="G11" s="127" t="s">
        <v>42</v>
      </c>
      <c r="H11" s="53" t="s">
        <v>160</v>
      </c>
      <c r="I11" s="53" t="s">
        <v>159</v>
      </c>
      <c r="J11" s="127" t="s">
        <v>38</v>
      </c>
      <c r="K11" s="53" t="s">
        <v>161</v>
      </c>
      <c r="L11" s="53">
        <v>1</v>
      </c>
      <c r="N11" s="53">
        <v>1</v>
      </c>
      <c r="O11" s="53">
        <v>1</v>
      </c>
      <c r="P11" s="53">
        <v>1.05</v>
      </c>
      <c r="Q11" s="75">
        <f t="shared" si="0"/>
        <v>1.0249999999999999</v>
      </c>
      <c r="R11" s="53">
        <v>16</v>
      </c>
      <c r="S11" s="53">
        <v>134</v>
      </c>
      <c r="T11" s="16">
        <f t="shared" si="1"/>
        <v>25</v>
      </c>
      <c r="U11" s="53">
        <v>158</v>
      </c>
      <c r="V11" s="129">
        <f t="shared" si="2"/>
        <v>3950</v>
      </c>
      <c r="W11" s="53">
        <v>5</v>
      </c>
      <c r="X11" s="127" t="s">
        <v>46</v>
      </c>
      <c r="Y11" s="53" t="s">
        <v>97</v>
      </c>
      <c r="Z11" s="53" t="s">
        <v>88</v>
      </c>
      <c r="AA11" s="53" t="s">
        <v>78</v>
      </c>
      <c r="AB11" s="127" t="s">
        <v>236</v>
      </c>
      <c r="AC11" s="34"/>
      <c r="AE11" s="22" t="s">
        <v>65</v>
      </c>
      <c r="AG11" s="49" t="s">
        <v>301</v>
      </c>
      <c r="AH11" s="49" t="s">
        <v>300</v>
      </c>
      <c r="AL11" s="134"/>
      <c r="AP11" s="23" t="s">
        <v>104</v>
      </c>
      <c r="AR11" s="23" t="s">
        <v>87</v>
      </c>
      <c r="AV11" s="135" t="s">
        <v>302</v>
      </c>
      <c r="AX11" s="24">
        <v>151</v>
      </c>
      <c r="AY11" s="25">
        <v>22</v>
      </c>
      <c r="AZ11" s="25">
        <v>152</v>
      </c>
      <c r="BA11" s="26">
        <v>18</v>
      </c>
    </row>
    <row r="12" spans="1:53" x14ac:dyDescent="0.15">
      <c r="A12" s="127" t="s">
        <v>61</v>
      </c>
      <c r="B12" s="127" t="s">
        <v>232</v>
      </c>
      <c r="C12" s="127">
        <v>2019</v>
      </c>
      <c r="D12" s="128" t="s">
        <v>283</v>
      </c>
      <c r="E12" s="127" t="s">
        <v>286</v>
      </c>
      <c r="F12" s="127" t="s">
        <v>287</v>
      </c>
      <c r="G12" s="127" t="s">
        <v>42</v>
      </c>
      <c r="H12" s="53" t="s">
        <v>160</v>
      </c>
      <c r="I12" s="53" t="s">
        <v>159</v>
      </c>
      <c r="J12" s="127" t="s">
        <v>38</v>
      </c>
      <c r="K12" s="53" t="s">
        <v>161</v>
      </c>
      <c r="L12" s="53">
        <v>2</v>
      </c>
      <c r="N12" s="53">
        <v>1</v>
      </c>
      <c r="O12" s="53">
        <v>1</v>
      </c>
      <c r="P12" s="53">
        <v>0.9</v>
      </c>
      <c r="Q12" s="75">
        <f t="shared" si="0"/>
        <v>0.95</v>
      </c>
      <c r="R12" s="34">
        <v>15.9</v>
      </c>
      <c r="S12" s="53">
        <v>138</v>
      </c>
      <c r="T12" s="16">
        <f t="shared" si="1"/>
        <v>22</v>
      </c>
      <c r="U12" s="53">
        <v>158</v>
      </c>
      <c r="V12" s="129">
        <f t="shared" si="2"/>
        <v>3476</v>
      </c>
      <c r="W12" s="53">
        <v>5</v>
      </c>
      <c r="X12" s="127" t="s">
        <v>46</v>
      </c>
      <c r="Y12" s="53" t="s">
        <v>97</v>
      </c>
      <c r="Z12" s="53" t="s">
        <v>88</v>
      </c>
      <c r="AA12" s="53" t="s">
        <v>78</v>
      </c>
      <c r="AB12" s="127" t="s">
        <v>236</v>
      </c>
      <c r="AC12" s="34"/>
      <c r="AE12" s="22" t="s">
        <v>70</v>
      </c>
      <c r="AG12" s="23"/>
      <c r="AH12" s="22"/>
      <c r="AL12" s="134"/>
      <c r="AP12" s="23" t="s">
        <v>67</v>
      </c>
      <c r="AR12" s="23" t="s">
        <v>124</v>
      </c>
      <c r="AV12" s="135" t="s">
        <v>303</v>
      </c>
      <c r="AX12" s="24">
        <v>180</v>
      </c>
      <c r="AY12" s="25">
        <v>18</v>
      </c>
      <c r="AZ12" s="25">
        <v>181</v>
      </c>
      <c r="BA12" s="26">
        <v>16</v>
      </c>
    </row>
    <row r="13" spans="1:53" x14ac:dyDescent="0.15">
      <c r="A13" s="127" t="s">
        <v>61</v>
      </c>
      <c r="B13" s="127" t="s">
        <v>232</v>
      </c>
      <c r="C13" s="127">
        <v>2019</v>
      </c>
      <c r="D13" s="128" t="s">
        <v>283</v>
      </c>
      <c r="E13" s="127" t="s">
        <v>286</v>
      </c>
      <c r="F13" s="127" t="s">
        <v>287</v>
      </c>
      <c r="G13" s="127" t="s">
        <v>42</v>
      </c>
      <c r="H13" s="53" t="s">
        <v>160</v>
      </c>
      <c r="I13" s="53" t="s">
        <v>159</v>
      </c>
      <c r="J13" s="127" t="s">
        <v>38</v>
      </c>
      <c r="K13" s="53" t="s">
        <v>161</v>
      </c>
      <c r="L13" s="53">
        <v>3</v>
      </c>
      <c r="N13" s="53">
        <v>1</v>
      </c>
      <c r="O13" s="53">
        <v>0.5</v>
      </c>
      <c r="P13" s="53">
        <v>0.5</v>
      </c>
      <c r="Q13" s="75">
        <f t="shared" si="0"/>
        <v>0.5</v>
      </c>
      <c r="R13" s="53">
        <v>16</v>
      </c>
      <c r="S13" s="53">
        <v>144</v>
      </c>
      <c r="T13" s="16">
        <f t="shared" si="1"/>
        <v>22</v>
      </c>
      <c r="U13" s="53">
        <v>158</v>
      </c>
      <c r="V13" s="129">
        <f t="shared" si="2"/>
        <v>3476</v>
      </c>
      <c r="W13" s="53">
        <v>5</v>
      </c>
      <c r="X13" s="127" t="s">
        <v>46</v>
      </c>
      <c r="Y13" s="53" t="s">
        <v>97</v>
      </c>
      <c r="Z13" s="53" t="s">
        <v>88</v>
      </c>
      <c r="AA13" s="53" t="s">
        <v>78</v>
      </c>
      <c r="AB13" s="127" t="s">
        <v>236</v>
      </c>
      <c r="AC13" s="34"/>
      <c r="AE13" s="22" t="s">
        <v>73</v>
      </c>
      <c r="AG13" s="23"/>
      <c r="AH13" s="22"/>
      <c r="AL13" s="136"/>
      <c r="AP13" s="23" t="s">
        <v>71</v>
      </c>
      <c r="AR13" s="23" t="s">
        <v>103</v>
      </c>
      <c r="AV13" s="135" t="s">
        <v>304</v>
      </c>
      <c r="AX13" s="24"/>
      <c r="AY13" s="25"/>
      <c r="AZ13" s="25"/>
      <c r="BA13" s="26"/>
    </row>
    <row r="14" spans="1:53" x14ac:dyDescent="0.15">
      <c r="A14" s="127" t="s">
        <v>61</v>
      </c>
      <c r="B14" s="127" t="s">
        <v>232</v>
      </c>
      <c r="C14" s="127">
        <v>2019</v>
      </c>
      <c r="D14" s="128" t="s">
        <v>283</v>
      </c>
      <c r="E14" s="127" t="s">
        <v>288</v>
      </c>
      <c r="F14" s="127" t="s">
        <v>289</v>
      </c>
      <c r="G14" s="127" t="s">
        <v>42</v>
      </c>
      <c r="H14" s="53" t="s">
        <v>164</v>
      </c>
      <c r="I14" s="53" t="s">
        <v>159</v>
      </c>
      <c r="J14" s="127" t="s">
        <v>38</v>
      </c>
      <c r="K14" s="53" t="s">
        <v>161</v>
      </c>
      <c r="L14" s="53">
        <v>1</v>
      </c>
      <c r="N14" s="53">
        <v>4</v>
      </c>
      <c r="O14" s="53">
        <v>0.5</v>
      </c>
      <c r="P14" s="53">
        <v>0.5</v>
      </c>
      <c r="Q14" s="75">
        <f t="shared" si="0"/>
        <v>0.5</v>
      </c>
      <c r="R14" s="53">
        <v>11.6</v>
      </c>
      <c r="S14" s="53">
        <v>94</v>
      </c>
      <c r="T14" s="16">
        <f t="shared" si="1"/>
        <v>36</v>
      </c>
      <c r="U14" s="53">
        <v>298</v>
      </c>
      <c r="V14" s="129">
        <f t="shared" si="2"/>
        <v>2682</v>
      </c>
      <c r="W14" s="53">
        <v>10</v>
      </c>
      <c r="X14" s="127" t="s">
        <v>46</v>
      </c>
      <c r="Y14" s="53" t="s">
        <v>88</v>
      </c>
      <c r="Z14" s="53" t="s">
        <v>97</v>
      </c>
      <c r="AA14" s="53" t="s">
        <v>78</v>
      </c>
      <c r="AB14" s="127" t="s">
        <v>236</v>
      </c>
      <c r="AC14" s="34"/>
      <c r="AE14" s="22" t="s">
        <v>76</v>
      </c>
      <c r="AG14" s="23"/>
      <c r="AH14" s="22"/>
      <c r="AL14" s="34"/>
      <c r="AP14" s="23" t="s">
        <v>74</v>
      </c>
      <c r="AR14" s="23" t="s">
        <v>125</v>
      </c>
      <c r="AV14" s="135" t="s">
        <v>305</v>
      </c>
      <c r="AX14" s="24"/>
      <c r="AY14" s="25"/>
      <c r="AZ14" s="25"/>
      <c r="BA14" s="26"/>
    </row>
    <row r="15" spans="1:53" x14ac:dyDescent="0.15">
      <c r="A15" s="127" t="s">
        <v>61</v>
      </c>
      <c r="B15" s="127" t="s">
        <v>232</v>
      </c>
      <c r="C15" s="127">
        <v>2019</v>
      </c>
      <c r="D15" s="128" t="s">
        <v>283</v>
      </c>
      <c r="E15" s="127" t="s">
        <v>288</v>
      </c>
      <c r="F15" s="127" t="s">
        <v>289</v>
      </c>
      <c r="G15" s="127" t="s">
        <v>42</v>
      </c>
      <c r="H15" s="53" t="s">
        <v>164</v>
      </c>
      <c r="I15" s="53" t="s">
        <v>159</v>
      </c>
      <c r="J15" s="127" t="s">
        <v>38</v>
      </c>
      <c r="K15" s="53" t="s">
        <v>161</v>
      </c>
      <c r="L15" s="53">
        <v>2</v>
      </c>
      <c r="N15" s="53">
        <v>4</v>
      </c>
      <c r="O15" s="53">
        <v>1</v>
      </c>
      <c r="P15" s="53">
        <v>0.9</v>
      </c>
      <c r="Q15" s="75">
        <f t="shared" si="0"/>
        <v>0.95</v>
      </c>
      <c r="R15" s="34">
        <v>13.2</v>
      </c>
      <c r="S15" s="53">
        <v>81</v>
      </c>
      <c r="T15" s="16">
        <f t="shared" si="1"/>
        <v>39</v>
      </c>
      <c r="U15" s="53">
        <v>298</v>
      </c>
      <c r="V15" s="129">
        <f t="shared" si="2"/>
        <v>2905.5</v>
      </c>
      <c r="W15" s="53">
        <v>10</v>
      </c>
      <c r="X15" s="127" t="s">
        <v>46</v>
      </c>
      <c r="Y15" s="53" t="s">
        <v>88</v>
      </c>
      <c r="Z15" s="53" t="s">
        <v>97</v>
      </c>
      <c r="AA15" s="53" t="s">
        <v>78</v>
      </c>
      <c r="AB15" s="127" t="s">
        <v>236</v>
      </c>
      <c r="AC15" s="34"/>
      <c r="AE15" s="22" t="s">
        <v>79</v>
      </c>
      <c r="AG15" s="23"/>
      <c r="AH15" s="23"/>
      <c r="AL15" s="34"/>
      <c r="AP15" s="23" t="s">
        <v>77</v>
      </c>
      <c r="AR15" s="23" t="s">
        <v>94</v>
      </c>
      <c r="AV15" s="135" t="s">
        <v>306</v>
      </c>
      <c r="AX15" s="31"/>
      <c r="AY15" s="32"/>
      <c r="AZ15" s="32"/>
      <c r="BA15" s="33"/>
    </row>
    <row r="16" spans="1:53" x14ac:dyDescent="0.15">
      <c r="A16" s="127" t="s">
        <v>61</v>
      </c>
      <c r="B16" s="127" t="s">
        <v>232</v>
      </c>
      <c r="C16" s="127">
        <v>2019</v>
      </c>
      <c r="D16" s="128" t="s">
        <v>283</v>
      </c>
      <c r="E16" s="127" t="s">
        <v>288</v>
      </c>
      <c r="F16" s="127" t="s">
        <v>289</v>
      </c>
      <c r="G16" s="127" t="s">
        <v>42</v>
      </c>
      <c r="H16" s="53" t="s">
        <v>164</v>
      </c>
      <c r="I16" s="53" t="s">
        <v>159</v>
      </c>
      <c r="J16" s="127" t="s">
        <v>38</v>
      </c>
      <c r="K16" s="53" t="s">
        <v>161</v>
      </c>
      <c r="L16" s="53">
        <v>3</v>
      </c>
      <c r="N16" s="53">
        <v>4</v>
      </c>
      <c r="O16" s="53">
        <v>0.85</v>
      </c>
      <c r="P16" s="53">
        <v>0.8</v>
      </c>
      <c r="Q16" s="75">
        <f t="shared" si="0"/>
        <v>0.82499999999999996</v>
      </c>
      <c r="R16" s="53">
        <v>14.2</v>
      </c>
      <c r="S16" s="53">
        <v>81</v>
      </c>
      <c r="T16" s="16">
        <f t="shared" si="1"/>
        <v>39</v>
      </c>
      <c r="U16" s="53">
        <v>298</v>
      </c>
      <c r="V16" s="129">
        <f t="shared" si="2"/>
        <v>2905.5</v>
      </c>
      <c r="W16" s="53">
        <v>10</v>
      </c>
      <c r="X16" s="127" t="s">
        <v>46</v>
      </c>
      <c r="Y16" s="53" t="s">
        <v>88</v>
      </c>
      <c r="Z16" s="53" t="s">
        <v>97</v>
      </c>
      <c r="AA16" s="53" t="s">
        <v>78</v>
      </c>
      <c r="AB16" s="127" t="s">
        <v>236</v>
      </c>
      <c r="AC16" s="34"/>
      <c r="AE16" s="22" t="s">
        <v>82</v>
      </c>
      <c r="AG16" s="23"/>
      <c r="AH16" s="23"/>
      <c r="AP16" s="23" t="s">
        <v>80</v>
      </c>
      <c r="AR16" s="23" t="s">
        <v>63</v>
      </c>
      <c r="AV16" s="135" t="s">
        <v>307</v>
      </c>
    </row>
    <row r="17" spans="1:48" x14ac:dyDescent="0.15">
      <c r="A17" s="127" t="s">
        <v>61</v>
      </c>
      <c r="B17" s="127" t="s">
        <v>232</v>
      </c>
      <c r="C17" s="127">
        <v>2019</v>
      </c>
      <c r="D17" s="128" t="s">
        <v>283</v>
      </c>
      <c r="E17" s="127" t="s">
        <v>288</v>
      </c>
      <c r="F17" s="127" t="s">
        <v>289</v>
      </c>
      <c r="G17" s="127" t="s">
        <v>42</v>
      </c>
      <c r="H17" s="53" t="s">
        <v>160</v>
      </c>
      <c r="I17" s="53" t="s">
        <v>159</v>
      </c>
      <c r="J17" s="127" t="s">
        <v>38</v>
      </c>
      <c r="K17" s="53" t="s">
        <v>161</v>
      </c>
      <c r="L17" s="53">
        <v>1</v>
      </c>
      <c r="N17" s="53">
        <v>1</v>
      </c>
      <c r="O17" s="53">
        <v>0.5</v>
      </c>
      <c r="P17" s="53">
        <v>0.5</v>
      </c>
      <c r="Q17" s="75">
        <f t="shared" si="0"/>
        <v>0.5</v>
      </c>
      <c r="R17" s="53">
        <v>16.2</v>
      </c>
      <c r="S17" s="53">
        <v>150</v>
      </c>
      <c r="T17" s="16">
        <f t="shared" si="1"/>
        <v>22</v>
      </c>
      <c r="U17" s="53">
        <v>158</v>
      </c>
      <c r="V17" s="129">
        <f t="shared" si="2"/>
        <v>3476</v>
      </c>
      <c r="W17" s="53">
        <v>10</v>
      </c>
      <c r="X17" s="127" t="s">
        <v>46</v>
      </c>
      <c r="Y17" s="53" t="s">
        <v>88</v>
      </c>
      <c r="Z17" s="53" t="s">
        <v>97</v>
      </c>
      <c r="AA17" s="53" t="s">
        <v>78</v>
      </c>
      <c r="AB17" s="127" t="s">
        <v>236</v>
      </c>
      <c r="AC17" s="34"/>
      <c r="AE17" s="22" t="s">
        <v>85</v>
      </c>
      <c r="AP17" s="27" t="s">
        <v>110</v>
      </c>
      <c r="AR17" s="23" t="s">
        <v>96</v>
      </c>
      <c r="AV17" s="135" t="s">
        <v>254</v>
      </c>
    </row>
    <row r="18" spans="1:48" x14ac:dyDescent="0.15">
      <c r="A18" s="127" t="s">
        <v>61</v>
      </c>
      <c r="B18" s="127" t="s">
        <v>232</v>
      </c>
      <c r="C18" s="127">
        <v>2019</v>
      </c>
      <c r="D18" s="128" t="s">
        <v>283</v>
      </c>
      <c r="E18" s="127" t="s">
        <v>288</v>
      </c>
      <c r="F18" s="127" t="s">
        <v>289</v>
      </c>
      <c r="G18" s="127" t="s">
        <v>42</v>
      </c>
      <c r="H18" s="53" t="s">
        <v>160</v>
      </c>
      <c r="I18" s="53" t="s">
        <v>159</v>
      </c>
      <c r="J18" s="127" t="s">
        <v>38</v>
      </c>
      <c r="K18" s="53" t="s">
        <v>161</v>
      </c>
      <c r="L18" s="53">
        <v>2</v>
      </c>
      <c r="N18" s="53">
        <v>1</v>
      </c>
      <c r="O18" s="53">
        <v>0.75</v>
      </c>
      <c r="P18" s="53">
        <v>0.7</v>
      </c>
      <c r="Q18" s="75">
        <f t="shared" si="0"/>
        <v>0.72499999999999998</v>
      </c>
      <c r="R18" s="34">
        <v>15.7</v>
      </c>
      <c r="S18" s="53">
        <v>150</v>
      </c>
      <c r="T18" s="16">
        <f t="shared" si="1"/>
        <v>22</v>
      </c>
      <c r="U18" s="53">
        <v>158</v>
      </c>
      <c r="V18" s="129">
        <f t="shared" si="2"/>
        <v>3476</v>
      </c>
      <c r="W18" s="53">
        <v>10</v>
      </c>
      <c r="X18" s="127" t="s">
        <v>46</v>
      </c>
      <c r="Y18" s="53" t="s">
        <v>88</v>
      </c>
      <c r="Z18" s="53" t="s">
        <v>97</v>
      </c>
      <c r="AA18" s="53" t="s">
        <v>78</v>
      </c>
      <c r="AB18" s="127" t="s">
        <v>236</v>
      </c>
      <c r="AC18" s="34"/>
      <c r="AE18" s="22" t="s">
        <v>87</v>
      </c>
      <c r="AP18" s="27" t="s">
        <v>111</v>
      </c>
      <c r="AR18" s="23" t="s">
        <v>101</v>
      </c>
      <c r="AV18" s="135" t="s">
        <v>135</v>
      </c>
    </row>
    <row r="19" spans="1:48" x14ac:dyDescent="0.15">
      <c r="A19" s="127" t="s">
        <v>61</v>
      </c>
      <c r="B19" s="127" t="s">
        <v>232</v>
      </c>
      <c r="C19" s="127">
        <v>2019</v>
      </c>
      <c r="D19" s="128" t="s">
        <v>283</v>
      </c>
      <c r="E19" s="127" t="s">
        <v>288</v>
      </c>
      <c r="F19" s="127" t="s">
        <v>289</v>
      </c>
      <c r="G19" s="127" t="s">
        <v>42</v>
      </c>
      <c r="H19" s="53" t="s">
        <v>160</v>
      </c>
      <c r="I19" s="53" t="s">
        <v>159</v>
      </c>
      <c r="J19" s="127" t="s">
        <v>38</v>
      </c>
      <c r="K19" s="53" t="s">
        <v>161</v>
      </c>
      <c r="L19" s="53">
        <v>3</v>
      </c>
      <c r="N19" s="53">
        <v>1</v>
      </c>
      <c r="O19" s="34">
        <v>0.7</v>
      </c>
      <c r="P19" s="53">
        <v>0.7</v>
      </c>
      <c r="Q19" s="75">
        <f t="shared" si="0"/>
        <v>0.7</v>
      </c>
      <c r="R19" s="53">
        <v>16.100000000000001</v>
      </c>
      <c r="S19" s="53">
        <v>146</v>
      </c>
      <c r="T19" s="16">
        <f t="shared" si="1"/>
        <v>22</v>
      </c>
      <c r="U19" s="53">
        <v>158</v>
      </c>
      <c r="V19" s="129">
        <f t="shared" si="2"/>
        <v>3476</v>
      </c>
      <c r="W19" s="53">
        <v>10</v>
      </c>
      <c r="X19" s="127" t="s">
        <v>46</v>
      </c>
      <c r="Y19" s="53" t="s">
        <v>88</v>
      </c>
      <c r="Z19" s="53" t="s">
        <v>97</v>
      </c>
      <c r="AA19" s="53" t="s">
        <v>78</v>
      </c>
      <c r="AB19" s="127" t="s">
        <v>236</v>
      </c>
      <c r="AC19" s="34"/>
      <c r="AE19" s="35" t="s">
        <v>89</v>
      </c>
      <c r="AP19" s="27" t="s">
        <v>112</v>
      </c>
      <c r="AR19" s="23" t="s">
        <v>126</v>
      </c>
      <c r="AV19" s="135" t="s">
        <v>308</v>
      </c>
    </row>
    <row r="20" spans="1:48" x14ac:dyDescent="0.15">
      <c r="A20" s="127" t="s">
        <v>61</v>
      </c>
      <c r="B20" s="127" t="s">
        <v>232</v>
      </c>
      <c r="C20" s="127">
        <v>2019</v>
      </c>
      <c r="D20" s="128" t="s">
        <v>283</v>
      </c>
      <c r="E20" s="127" t="s">
        <v>290</v>
      </c>
      <c r="F20" s="127" t="s">
        <v>291</v>
      </c>
      <c r="G20" s="127" t="s">
        <v>42</v>
      </c>
      <c r="H20" s="53" t="s">
        <v>164</v>
      </c>
      <c r="I20" s="53" t="s">
        <v>159</v>
      </c>
      <c r="J20" s="127" t="s">
        <v>38</v>
      </c>
      <c r="K20" s="53" t="s">
        <v>161</v>
      </c>
      <c r="L20" s="53">
        <v>1</v>
      </c>
      <c r="N20" s="53">
        <v>1</v>
      </c>
      <c r="O20" s="53">
        <v>0.5</v>
      </c>
      <c r="P20" s="53">
        <v>0.5</v>
      </c>
      <c r="Q20" s="75">
        <f t="shared" si="0"/>
        <v>0.5</v>
      </c>
      <c r="R20" s="53">
        <v>16.600000000000001</v>
      </c>
      <c r="S20" s="53">
        <v>125</v>
      </c>
      <c r="T20" s="16">
        <f t="shared" si="1"/>
        <v>27</v>
      </c>
      <c r="U20" s="53">
        <v>128</v>
      </c>
      <c r="V20" s="129">
        <f t="shared" si="2"/>
        <v>3456</v>
      </c>
      <c r="W20" s="53">
        <v>12</v>
      </c>
      <c r="X20" s="127" t="s">
        <v>46</v>
      </c>
      <c r="Y20" s="53" t="s">
        <v>97</v>
      </c>
      <c r="Z20" s="53" t="s">
        <v>78</v>
      </c>
      <c r="AA20" s="53" t="s">
        <v>88</v>
      </c>
      <c r="AB20" s="127" t="s">
        <v>236</v>
      </c>
      <c r="AC20" s="34"/>
      <c r="AE20" s="22"/>
      <c r="AP20" s="27" t="s">
        <v>113</v>
      </c>
      <c r="AR20" s="23" t="s">
        <v>105</v>
      </c>
      <c r="AV20" s="135" t="s">
        <v>309</v>
      </c>
    </row>
    <row r="21" spans="1:48" x14ac:dyDescent="0.15">
      <c r="A21" s="127" t="s">
        <v>61</v>
      </c>
      <c r="B21" s="127" t="s">
        <v>232</v>
      </c>
      <c r="C21" s="127">
        <v>2019</v>
      </c>
      <c r="D21" s="128" t="s">
        <v>283</v>
      </c>
      <c r="E21" s="127" t="s">
        <v>290</v>
      </c>
      <c r="F21" s="127" t="s">
        <v>291</v>
      </c>
      <c r="G21" s="127" t="s">
        <v>42</v>
      </c>
      <c r="H21" s="53" t="s">
        <v>164</v>
      </c>
      <c r="I21" s="53" t="s">
        <v>159</v>
      </c>
      <c r="J21" s="127" t="s">
        <v>38</v>
      </c>
      <c r="K21" s="53" t="s">
        <v>161</v>
      </c>
      <c r="L21" s="53">
        <v>2</v>
      </c>
      <c r="N21" s="53">
        <v>1</v>
      </c>
      <c r="O21" s="53">
        <v>0.5</v>
      </c>
      <c r="P21" s="53">
        <v>0.5</v>
      </c>
      <c r="Q21" s="75">
        <f t="shared" si="0"/>
        <v>0.5</v>
      </c>
      <c r="R21" s="53">
        <v>17.100000000000001</v>
      </c>
      <c r="S21" s="53">
        <v>133</v>
      </c>
      <c r="T21" s="16">
        <f t="shared" si="1"/>
        <v>25</v>
      </c>
      <c r="U21" s="53">
        <v>128</v>
      </c>
      <c r="V21" s="129">
        <f t="shared" si="2"/>
        <v>3200</v>
      </c>
      <c r="W21" s="53">
        <v>12</v>
      </c>
      <c r="X21" s="127" t="s">
        <v>46</v>
      </c>
      <c r="Y21" s="53" t="s">
        <v>97</v>
      </c>
      <c r="Z21" s="53" t="s">
        <v>78</v>
      </c>
      <c r="AA21" s="53" t="s">
        <v>88</v>
      </c>
      <c r="AB21" s="127" t="s">
        <v>236</v>
      </c>
      <c r="AC21" s="34"/>
      <c r="AE21" s="22"/>
      <c r="AP21" s="27" t="s">
        <v>114</v>
      </c>
      <c r="AR21" s="23" t="s">
        <v>68</v>
      </c>
      <c r="AV21" s="135" t="s">
        <v>310</v>
      </c>
    </row>
    <row r="22" spans="1:48" x14ac:dyDescent="0.15">
      <c r="A22" s="127" t="s">
        <v>61</v>
      </c>
      <c r="B22" s="127" t="s">
        <v>232</v>
      </c>
      <c r="C22" s="127">
        <v>2019</v>
      </c>
      <c r="D22" s="128" t="s">
        <v>283</v>
      </c>
      <c r="E22" s="127" t="s">
        <v>290</v>
      </c>
      <c r="F22" s="127" t="s">
        <v>291</v>
      </c>
      <c r="G22" s="127" t="s">
        <v>42</v>
      </c>
      <c r="H22" s="53" t="s">
        <v>164</v>
      </c>
      <c r="I22" s="53" t="s">
        <v>159</v>
      </c>
      <c r="J22" s="127" t="s">
        <v>38</v>
      </c>
      <c r="K22" s="53" t="s">
        <v>161</v>
      </c>
      <c r="L22" s="53">
        <v>3</v>
      </c>
      <c r="N22" s="53">
        <v>1</v>
      </c>
      <c r="O22" s="53">
        <v>0.5</v>
      </c>
      <c r="P22" s="53">
        <v>0.5</v>
      </c>
      <c r="Q22" s="75">
        <f t="shared" si="0"/>
        <v>0.5</v>
      </c>
      <c r="R22" s="53">
        <v>14.6</v>
      </c>
      <c r="S22" s="53">
        <v>126</v>
      </c>
      <c r="T22" s="16">
        <f t="shared" si="1"/>
        <v>27</v>
      </c>
      <c r="U22" s="53">
        <v>128</v>
      </c>
      <c r="V22" s="129">
        <f t="shared" si="2"/>
        <v>3456</v>
      </c>
      <c r="W22" s="53">
        <v>12</v>
      </c>
      <c r="X22" s="127" t="s">
        <v>46</v>
      </c>
      <c r="Y22" s="53" t="s">
        <v>97</v>
      </c>
      <c r="Z22" s="53" t="s">
        <v>78</v>
      </c>
      <c r="AA22" s="53" t="s">
        <v>88</v>
      </c>
      <c r="AB22" s="127" t="s">
        <v>236</v>
      </c>
      <c r="AC22" s="34"/>
      <c r="AE22" s="35"/>
      <c r="AP22" s="27" t="s">
        <v>115</v>
      </c>
      <c r="AR22" s="23" t="s">
        <v>83</v>
      </c>
      <c r="AV22" s="23"/>
    </row>
    <row r="23" spans="1:48" x14ac:dyDescent="0.15">
      <c r="A23" s="127" t="s">
        <v>61</v>
      </c>
      <c r="B23" s="127" t="s">
        <v>232</v>
      </c>
      <c r="C23" s="127">
        <v>2019</v>
      </c>
      <c r="D23" s="128" t="s">
        <v>283</v>
      </c>
      <c r="E23" s="127" t="s">
        <v>290</v>
      </c>
      <c r="F23" s="127" t="s">
        <v>291</v>
      </c>
      <c r="G23" s="127" t="s">
        <v>42</v>
      </c>
      <c r="H23" s="53" t="s">
        <v>160</v>
      </c>
      <c r="I23" s="53" t="s">
        <v>159</v>
      </c>
      <c r="J23" s="127" t="s">
        <v>38</v>
      </c>
      <c r="K23" s="53" t="s">
        <v>161</v>
      </c>
      <c r="L23" s="53">
        <v>1</v>
      </c>
      <c r="N23" s="53">
        <v>1</v>
      </c>
      <c r="O23" s="53">
        <v>0.5</v>
      </c>
      <c r="P23" s="53">
        <v>0.5</v>
      </c>
      <c r="Q23" s="75">
        <f t="shared" si="0"/>
        <v>0.5</v>
      </c>
      <c r="R23" s="53">
        <v>15.6</v>
      </c>
      <c r="S23" s="53">
        <v>124</v>
      </c>
      <c r="T23" s="16">
        <f t="shared" si="1"/>
        <v>27</v>
      </c>
      <c r="U23" s="53">
        <v>138</v>
      </c>
      <c r="V23" s="129">
        <f t="shared" si="2"/>
        <v>3726</v>
      </c>
      <c r="W23" s="53">
        <v>12</v>
      </c>
      <c r="X23" s="127" t="s">
        <v>46</v>
      </c>
      <c r="Y23" s="53" t="s">
        <v>97</v>
      </c>
      <c r="Z23" s="53" t="s">
        <v>78</v>
      </c>
      <c r="AA23" s="53" t="s">
        <v>88</v>
      </c>
      <c r="AB23" s="127" t="s">
        <v>236</v>
      </c>
      <c r="AC23" s="34"/>
      <c r="AE23" s="22"/>
      <c r="AP23" s="27" t="s">
        <v>137</v>
      </c>
      <c r="AR23" s="23" t="s">
        <v>61</v>
      </c>
    </row>
    <row r="24" spans="1:48" x14ac:dyDescent="0.15">
      <c r="A24" s="127" t="s">
        <v>61</v>
      </c>
      <c r="B24" s="127" t="s">
        <v>232</v>
      </c>
      <c r="C24" s="127">
        <v>2019</v>
      </c>
      <c r="D24" s="128" t="s">
        <v>283</v>
      </c>
      <c r="E24" s="127" t="s">
        <v>290</v>
      </c>
      <c r="F24" s="127" t="s">
        <v>291</v>
      </c>
      <c r="G24" s="127" t="s">
        <v>42</v>
      </c>
      <c r="H24" s="53" t="s">
        <v>160</v>
      </c>
      <c r="I24" s="53" t="s">
        <v>159</v>
      </c>
      <c r="J24" s="127" t="s">
        <v>38</v>
      </c>
      <c r="K24" s="53" t="s">
        <v>161</v>
      </c>
      <c r="L24" s="53">
        <v>2</v>
      </c>
      <c r="N24" s="53">
        <v>1</v>
      </c>
      <c r="O24" s="53">
        <v>0.5</v>
      </c>
      <c r="P24" s="53">
        <v>0.5</v>
      </c>
      <c r="Q24" s="75">
        <f t="shared" si="0"/>
        <v>0.5</v>
      </c>
      <c r="R24" s="53">
        <v>16.600000000000001</v>
      </c>
      <c r="S24" s="53">
        <v>129</v>
      </c>
      <c r="T24" s="16">
        <f t="shared" si="1"/>
        <v>25</v>
      </c>
      <c r="U24" s="53">
        <v>138</v>
      </c>
      <c r="V24" s="129">
        <f t="shared" si="2"/>
        <v>3450</v>
      </c>
      <c r="W24" s="53">
        <v>12</v>
      </c>
      <c r="X24" s="127" t="s">
        <v>46</v>
      </c>
      <c r="Y24" s="53" t="s">
        <v>97</v>
      </c>
      <c r="Z24" s="53" t="s">
        <v>78</v>
      </c>
      <c r="AA24" s="53" t="s">
        <v>88</v>
      </c>
      <c r="AB24" s="127" t="s">
        <v>236</v>
      </c>
      <c r="AC24" s="34"/>
      <c r="AE24" s="22"/>
      <c r="AP24" s="27" t="s">
        <v>138</v>
      </c>
      <c r="AR24" s="23" t="s">
        <v>91</v>
      </c>
    </row>
    <row r="25" spans="1:48" x14ac:dyDescent="0.15">
      <c r="A25" s="127" t="s">
        <v>61</v>
      </c>
      <c r="B25" s="127" t="s">
        <v>232</v>
      </c>
      <c r="C25" s="127">
        <v>2019</v>
      </c>
      <c r="D25" s="128" t="s">
        <v>283</v>
      </c>
      <c r="E25" s="127" t="s">
        <v>290</v>
      </c>
      <c r="F25" s="127" t="s">
        <v>291</v>
      </c>
      <c r="G25" s="127" t="s">
        <v>42</v>
      </c>
      <c r="H25" s="53" t="s">
        <v>160</v>
      </c>
      <c r="I25" s="53" t="s">
        <v>159</v>
      </c>
      <c r="J25" s="127" t="s">
        <v>38</v>
      </c>
      <c r="K25" s="53" t="s">
        <v>161</v>
      </c>
      <c r="L25" s="53">
        <v>3</v>
      </c>
      <c r="N25" s="53">
        <v>1</v>
      </c>
      <c r="O25" s="34">
        <v>0.5</v>
      </c>
      <c r="P25" s="53">
        <v>0.5</v>
      </c>
      <c r="Q25" s="75">
        <f t="shared" si="0"/>
        <v>0.5</v>
      </c>
      <c r="R25" s="53">
        <v>15.9</v>
      </c>
      <c r="S25" s="53">
        <v>129</v>
      </c>
      <c r="T25" s="16">
        <f t="shared" si="1"/>
        <v>25</v>
      </c>
      <c r="U25" s="53">
        <v>138</v>
      </c>
      <c r="V25" s="129">
        <f t="shared" si="2"/>
        <v>3450</v>
      </c>
      <c r="W25" s="53">
        <v>12</v>
      </c>
      <c r="X25" s="127" t="s">
        <v>46</v>
      </c>
      <c r="Y25" s="53" t="s">
        <v>97</v>
      </c>
      <c r="Z25" s="53" t="s">
        <v>78</v>
      </c>
      <c r="AA25" s="53" t="s">
        <v>88</v>
      </c>
      <c r="AB25" s="127" t="s">
        <v>236</v>
      </c>
      <c r="AC25" s="34"/>
      <c r="AE25" s="35"/>
      <c r="AP25" s="27" t="s">
        <v>116</v>
      </c>
      <c r="AR25" s="27" t="s">
        <v>92</v>
      </c>
    </row>
    <row r="26" spans="1:48" x14ac:dyDescent="0.15">
      <c r="A26" s="127" t="s">
        <v>61</v>
      </c>
      <c r="B26" s="127" t="s">
        <v>232</v>
      </c>
      <c r="C26" s="127">
        <v>2019</v>
      </c>
      <c r="D26" s="128" t="s">
        <v>283</v>
      </c>
      <c r="E26" s="127" t="s">
        <v>292</v>
      </c>
      <c r="F26" s="127" t="s">
        <v>293</v>
      </c>
      <c r="G26" s="127" t="s">
        <v>42</v>
      </c>
      <c r="H26" s="53" t="s">
        <v>164</v>
      </c>
      <c r="I26" s="53" t="s">
        <v>197</v>
      </c>
      <c r="J26" s="127" t="s">
        <v>38</v>
      </c>
      <c r="K26" s="53" t="s">
        <v>161</v>
      </c>
      <c r="L26" s="53">
        <v>1</v>
      </c>
      <c r="N26" s="53">
        <v>1</v>
      </c>
      <c r="O26" s="34">
        <v>1.2</v>
      </c>
      <c r="P26" s="53">
        <v>1.05</v>
      </c>
      <c r="Q26" s="75">
        <f t="shared" si="0"/>
        <v>1.125</v>
      </c>
      <c r="R26" s="53">
        <v>16.8</v>
      </c>
      <c r="S26" s="53">
        <v>128</v>
      </c>
      <c r="T26" s="16">
        <f t="shared" si="1"/>
        <v>27</v>
      </c>
      <c r="U26" s="53">
        <v>100</v>
      </c>
      <c r="V26" s="129">
        <f t="shared" si="2"/>
        <v>2700</v>
      </c>
      <c r="W26" s="53">
        <v>8</v>
      </c>
      <c r="X26" s="127" t="s">
        <v>39</v>
      </c>
      <c r="Y26" s="53" t="s">
        <v>78</v>
      </c>
      <c r="Z26" s="53" t="s">
        <v>88</v>
      </c>
      <c r="AA26" s="53" t="s">
        <v>69</v>
      </c>
      <c r="AB26" s="127" t="s">
        <v>236</v>
      </c>
      <c r="AC26" s="34"/>
      <c r="AD26" s="34"/>
      <c r="AE26" s="35"/>
      <c r="AP26" s="27" t="s">
        <v>117</v>
      </c>
      <c r="AR26" s="23" t="s">
        <v>153</v>
      </c>
    </row>
    <row r="27" spans="1:48" x14ac:dyDescent="0.15">
      <c r="A27" s="127" t="s">
        <v>61</v>
      </c>
      <c r="B27" s="127" t="s">
        <v>232</v>
      </c>
      <c r="C27" s="127">
        <v>2019</v>
      </c>
      <c r="D27" s="128" t="s">
        <v>283</v>
      </c>
      <c r="E27" s="127" t="s">
        <v>292</v>
      </c>
      <c r="F27" s="127" t="s">
        <v>293</v>
      </c>
      <c r="G27" s="127" t="s">
        <v>42</v>
      </c>
      <c r="H27" s="53" t="s">
        <v>164</v>
      </c>
      <c r="I27" s="53" t="s">
        <v>197</v>
      </c>
      <c r="J27" s="127" t="s">
        <v>38</v>
      </c>
      <c r="K27" s="53" t="s">
        <v>161</v>
      </c>
      <c r="L27" s="53">
        <v>2</v>
      </c>
      <c r="N27" s="53">
        <v>1</v>
      </c>
      <c r="O27" s="34">
        <v>0.75</v>
      </c>
      <c r="P27" s="53">
        <v>0.65</v>
      </c>
      <c r="Q27" s="75">
        <f t="shared" si="0"/>
        <v>0.7</v>
      </c>
      <c r="R27" s="53">
        <v>16.3</v>
      </c>
      <c r="S27" s="53">
        <v>132</v>
      </c>
      <c r="T27" s="16">
        <f t="shared" si="1"/>
        <v>25</v>
      </c>
      <c r="U27" s="53">
        <v>100</v>
      </c>
      <c r="V27" s="129">
        <f t="shared" si="2"/>
        <v>2500</v>
      </c>
      <c r="W27" s="53">
        <v>8</v>
      </c>
      <c r="X27" s="127" t="s">
        <v>39</v>
      </c>
      <c r="Y27" s="53" t="s">
        <v>78</v>
      </c>
      <c r="Z27" s="53" t="s">
        <v>88</v>
      </c>
      <c r="AA27" s="53" t="s">
        <v>69</v>
      </c>
      <c r="AB27" s="127" t="s">
        <v>236</v>
      </c>
      <c r="AC27" s="34"/>
      <c r="AD27" s="34"/>
      <c r="AE27" s="28"/>
      <c r="AP27" s="27" t="s">
        <v>118</v>
      </c>
      <c r="AR27" s="23"/>
    </row>
    <row r="28" spans="1:48" x14ac:dyDescent="0.15">
      <c r="A28" s="127" t="s">
        <v>61</v>
      </c>
      <c r="B28" s="127" t="s">
        <v>232</v>
      </c>
      <c r="C28" s="127">
        <v>2019</v>
      </c>
      <c r="D28" s="128" t="s">
        <v>283</v>
      </c>
      <c r="E28" s="127" t="s">
        <v>292</v>
      </c>
      <c r="F28" s="127" t="s">
        <v>293</v>
      </c>
      <c r="G28" s="127" t="s">
        <v>42</v>
      </c>
      <c r="H28" s="53" t="s">
        <v>164</v>
      </c>
      <c r="I28" s="53" t="s">
        <v>197</v>
      </c>
      <c r="J28" s="127" t="s">
        <v>38</v>
      </c>
      <c r="K28" s="53" t="s">
        <v>161</v>
      </c>
      <c r="L28" s="53">
        <v>3</v>
      </c>
      <c r="N28" s="53">
        <v>1</v>
      </c>
      <c r="O28" s="34">
        <v>0.8</v>
      </c>
      <c r="P28" s="53">
        <v>0.75</v>
      </c>
      <c r="Q28" s="75">
        <f t="shared" si="0"/>
        <v>0.77500000000000002</v>
      </c>
      <c r="R28" s="53">
        <v>20.8</v>
      </c>
      <c r="S28" s="53">
        <v>136</v>
      </c>
      <c r="T28" s="16">
        <f t="shared" si="1"/>
        <v>25</v>
      </c>
      <c r="U28" s="53">
        <v>100</v>
      </c>
      <c r="V28" s="129">
        <f t="shared" si="2"/>
        <v>2500</v>
      </c>
      <c r="W28" s="53">
        <v>8</v>
      </c>
      <c r="X28" s="127" t="s">
        <v>39</v>
      </c>
      <c r="Y28" s="53" t="s">
        <v>78</v>
      </c>
      <c r="Z28" s="53" t="s">
        <v>88</v>
      </c>
      <c r="AA28" s="53" t="s">
        <v>69</v>
      </c>
      <c r="AB28" s="127" t="s">
        <v>236</v>
      </c>
      <c r="AC28" s="34"/>
      <c r="AD28" s="34"/>
      <c r="AP28" s="27"/>
      <c r="AR28" s="23"/>
    </row>
    <row r="29" spans="1:48" x14ac:dyDescent="0.15">
      <c r="A29" s="127" t="s">
        <v>61</v>
      </c>
      <c r="B29" s="127" t="s">
        <v>232</v>
      </c>
      <c r="C29" s="127">
        <v>2019</v>
      </c>
      <c r="D29" s="128" t="s">
        <v>283</v>
      </c>
      <c r="E29" s="127" t="s">
        <v>292</v>
      </c>
      <c r="F29" s="127" t="s">
        <v>293</v>
      </c>
      <c r="G29" s="127" t="s">
        <v>42</v>
      </c>
      <c r="H29" s="53" t="s">
        <v>160</v>
      </c>
      <c r="I29" s="53" t="s">
        <v>159</v>
      </c>
      <c r="J29" s="127" t="s">
        <v>38</v>
      </c>
      <c r="K29" s="53" t="s">
        <v>161</v>
      </c>
      <c r="L29" s="53">
        <v>1</v>
      </c>
      <c r="N29" s="53">
        <v>1</v>
      </c>
      <c r="O29" s="34">
        <v>0.5</v>
      </c>
      <c r="P29" s="53">
        <v>0.6</v>
      </c>
      <c r="Q29" s="75">
        <f t="shared" si="0"/>
        <v>0.55000000000000004</v>
      </c>
      <c r="R29" s="53">
        <v>16.600000000000001</v>
      </c>
      <c r="S29" s="53">
        <v>134</v>
      </c>
      <c r="T29" s="16">
        <f t="shared" si="1"/>
        <v>25</v>
      </c>
      <c r="U29" s="53">
        <v>128</v>
      </c>
      <c r="V29" s="129">
        <f t="shared" si="2"/>
        <v>3200</v>
      </c>
      <c r="W29" s="53">
        <v>8</v>
      </c>
      <c r="X29" s="127" t="s">
        <v>39</v>
      </c>
      <c r="Y29" s="53" t="s">
        <v>78</v>
      </c>
      <c r="Z29" s="53" t="s">
        <v>88</v>
      </c>
      <c r="AA29" s="53" t="s">
        <v>69</v>
      </c>
      <c r="AB29" s="127" t="s">
        <v>236</v>
      </c>
      <c r="AC29" s="34"/>
    </row>
    <row r="30" spans="1:48" x14ac:dyDescent="0.15">
      <c r="A30" s="127" t="s">
        <v>61</v>
      </c>
      <c r="B30" s="127" t="s">
        <v>232</v>
      </c>
      <c r="C30" s="127">
        <v>2019</v>
      </c>
      <c r="D30" s="128" t="s">
        <v>283</v>
      </c>
      <c r="E30" s="127" t="s">
        <v>292</v>
      </c>
      <c r="F30" s="127" t="s">
        <v>293</v>
      </c>
      <c r="G30" s="127" t="s">
        <v>42</v>
      </c>
      <c r="H30" s="53" t="s">
        <v>160</v>
      </c>
      <c r="I30" s="53" t="s">
        <v>159</v>
      </c>
      <c r="J30" s="127" t="s">
        <v>38</v>
      </c>
      <c r="K30" s="53" t="s">
        <v>161</v>
      </c>
      <c r="L30" s="53">
        <v>2</v>
      </c>
      <c r="N30" s="53">
        <v>1</v>
      </c>
      <c r="O30" s="34">
        <v>0.75</v>
      </c>
      <c r="P30" s="53">
        <v>0.8</v>
      </c>
      <c r="Q30" s="75">
        <f t="shared" si="0"/>
        <v>0.77500000000000002</v>
      </c>
      <c r="R30" s="53">
        <v>16.2</v>
      </c>
      <c r="S30" s="53">
        <v>137</v>
      </c>
      <c r="T30" s="16">
        <f t="shared" si="1"/>
        <v>25</v>
      </c>
      <c r="U30" s="53">
        <v>128</v>
      </c>
      <c r="V30" s="129">
        <f t="shared" si="2"/>
        <v>3200</v>
      </c>
      <c r="W30" s="53">
        <v>8</v>
      </c>
      <c r="X30" s="127" t="s">
        <v>39</v>
      </c>
      <c r="Y30" s="53" t="s">
        <v>78</v>
      </c>
      <c r="Z30" s="53" t="s">
        <v>88</v>
      </c>
      <c r="AA30" s="53" t="s">
        <v>69</v>
      </c>
      <c r="AB30" s="127" t="s">
        <v>236</v>
      </c>
      <c r="AC30" s="34"/>
    </row>
    <row r="31" spans="1:48" x14ac:dyDescent="0.15">
      <c r="A31" s="127" t="s">
        <v>61</v>
      </c>
      <c r="B31" s="127" t="s">
        <v>232</v>
      </c>
      <c r="C31" s="127">
        <v>2019</v>
      </c>
      <c r="D31" s="128" t="s">
        <v>283</v>
      </c>
      <c r="E31" s="127" t="s">
        <v>292</v>
      </c>
      <c r="F31" s="127" t="s">
        <v>293</v>
      </c>
      <c r="G31" s="127" t="s">
        <v>42</v>
      </c>
      <c r="H31" s="53" t="s">
        <v>160</v>
      </c>
      <c r="I31" s="53" t="s">
        <v>159</v>
      </c>
      <c r="J31" s="127" t="s">
        <v>38</v>
      </c>
      <c r="K31" s="53" t="s">
        <v>161</v>
      </c>
      <c r="L31" s="53">
        <v>3</v>
      </c>
      <c r="N31" s="53">
        <v>1</v>
      </c>
      <c r="O31" s="34">
        <v>0.8</v>
      </c>
      <c r="P31" s="53">
        <v>0.65</v>
      </c>
      <c r="Q31" s="75">
        <f t="shared" si="0"/>
        <v>0.72500000000000009</v>
      </c>
      <c r="R31" s="53">
        <v>15.8</v>
      </c>
      <c r="S31" s="53">
        <v>108</v>
      </c>
      <c r="T31" s="16">
        <f t="shared" si="1"/>
        <v>33</v>
      </c>
      <c r="U31" s="53">
        <v>128</v>
      </c>
      <c r="V31" s="129">
        <f t="shared" si="2"/>
        <v>4224</v>
      </c>
      <c r="W31" s="53">
        <v>8</v>
      </c>
      <c r="X31" s="127" t="s">
        <v>39</v>
      </c>
      <c r="Y31" s="53" t="s">
        <v>78</v>
      </c>
      <c r="Z31" s="53" t="s">
        <v>88</v>
      </c>
      <c r="AA31" s="53" t="s">
        <v>69</v>
      </c>
      <c r="AB31" s="127" t="s">
        <v>236</v>
      </c>
      <c r="AC31" s="34"/>
    </row>
    <row r="32" spans="1:48" x14ac:dyDescent="0.15">
      <c r="A32" s="127" t="s">
        <v>61</v>
      </c>
      <c r="B32" s="127" t="s">
        <v>232</v>
      </c>
      <c r="C32" s="127">
        <v>2019</v>
      </c>
      <c r="D32" s="128" t="s">
        <v>283</v>
      </c>
      <c r="E32" s="127" t="s">
        <v>294</v>
      </c>
      <c r="F32" s="127" t="s">
        <v>295</v>
      </c>
      <c r="G32" s="127" t="s">
        <v>42</v>
      </c>
      <c r="H32" s="53" t="s">
        <v>164</v>
      </c>
      <c r="I32" s="53" t="s">
        <v>159</v>
      </c>
      <c r="J32" s="127" t="s">
        <v>38</v>
      </c>
      <c r="K32" s="53" t="s">
        <v>161</v>
      </c>
      <c r="L32" s="53">
        <v>1</v>
      </c>
      <c r="N32" s="53">
        <v>1</v>
      </c>
      <c r="O32" s="34">
        <v>0.5</v>
      </c>
      <c r="P32" s="53">
        <v>0.5</v>
      </c>
      <c r="Q32" s="75">
        <f t="shared" si="0"/>
        <v>0.5</v>
      </c>
      <c r="R32" s="53">
        <v>14.5</v>
      </c>
      <c r="S32" s="53">
        <v>107</v>
      </c>
      <c r="T32" s="16">
        <f t="shared" si="1"/>
        <v>33</v>
      </c>
      <c r="U32" s="53">
        <v>98</v>
      </c>
      <c r="V32" s="129">
        <f t="shared" si="2"/>
        <v>3234</v>
      </c>
      <c r="W32" s="53">
        <v>8</v>
      </c>
      <c r="X32" s="127" t="s">
        <v>46</v>
      </c>
      <c r="Y32" s="53" t="s">
        <v>69</v>
      </c>
      <c r="Z32" s="53" t="s">
        <v>55</v>
      </c>
      <c r="AA32" s="53" t="s">
        <v>90</v>
      </c>
      <c r="AB32" s="127" t="s">
        <v>236</v>
      </c>
      <c r="AC32" s="34"/>
    </row>
    <row r="33" spans="1:29" x14ac:dyDescent="0.15">
      <c r="A33" s="127" t="s">
        <v>61</v>
      </c>
      <c r="B33" s="127" t="s">
        <v>232</v>
      </c>
      <c r="C33" s="127">
        <v>2019</v>
      </c>
      <c r="D33" s="128" t="s">
        <v>283</v>
      </c>
      <c r="E33" s="127" t="s">
        <v>294</v>
      </c>
      <c r="F33" s="127" t="s">
        <v>295</v>
      </c>
      <c r="G33" s="127" t="s">
        <v>42</v>
      </c>
      <c r="H33" s="53" t="s">
        <v>164</v>
      </c>
      <c r="I33" s="53" t="s">
        <v>159</v>
      </c>
      <c r="J33" s="127" t="s">
        <v>38</v>
      </c>
      <c r="K33" s="53" t="s">
        <v>161</v>
      </c>
      <c r="L33" s="53">
        <v>2</v>
      </c>
      <c r="N33" s="53">
        <v>1</v>
      </c>
      <c r="O33" s="34">
        <v>0.5</v>
      </c>
      <c r="P33" s="53">
        <v>0.5</v>
      </c>
      <c r="Q33" s="75">
        <f t="shared" si="0"/>
        <v>0.5</v>
      </c>
      <c r="R33" s="53">
        <v>15.8</v>
      </c>
      <c r="S33" s="53">
        <v>106</v>
      </c>
      <c r="T33" s="16">
        <f t="shared" si="1"/>
        <v>33</v>
      </c>
      <c r="U33" s="53">
        <v>98</v>
      </c>
      <c r="V33" s="129">
        <f t="shared" si="2"/>
        <v>3234</v>
      </c>
      <c r="W33" s="53">
        <v>8</v>
      </c>
      <c r="X33" s="127" t="s">
        <v>46</v>
      </c>
      <c r="Y33" s="53" t="s">
        <v>69</v>
      </c>
      <c r="Z33" s="53" t="s">
        <v>55</v>
      </c>
      <c r="AA33" s="53" t="s">
        <v>90</v>
      </c>
      <c r="AB33" s="127" t="s">
        <v>236</v>
      </c>
      <c r="AC33" s="34"/>
    </row>
    <row r="34" spans="1:29" x14ac:dyDescent="0.15">
      <c r="A34" s="127" t="s">
        <v>61</v>
      </c>
      <c r="B34" s="127" t="s">
        <v>232</v>
      </c>
      <c r="C34" s="127">
        <v>2019</v>
      </c>
      <c r="D34" s="128" t="s">
        <v>283</v>
      </c>
      <c r="E34" s="127" t="s">
        <v>294</v>
      </c>
      <c r="F34" s="127" t="s">
        <v>295</v>
      </c>
      <c r="G34" s="127" t="s">
        <v>42</v>
      </c>
      <c r="H34" s="53" t="s">
        <v>164</v>
      </c>
      <c r="I34" s="53" t="s">
        <v>159</v>
      </c>
      <c r="J34" s="127" t="s">
        <v>38</v>
      </c>
      <c r="K34" s="53" t="s">
        <v>161</v>
      </c>
      <c r="L34" s="53">
        <v>3</v>
      </c>
      <c r="N34" s="53">
        <v>1</v>
      </c>
      <c r="O34" s="34">
        <v>0.5</v>
      </c>
      <c r="P34" s="53">
        <v>0.5</v>
      </c>
      <c r="Q34" s="75">
        <f t="shared" si="0"/>
        <v>0.5</v>
      </c>
      <c r="R34" s="53">
        <v>15.3</v>
      </c>
      <c r="S34" s="53">
        <v>138</v>
      </c>
      <c r="T34" s="16">
        <f t="shared" si="1"/>
        <v>22</v>
      </c>
      <c r="U34" s="53">
        <v>98</v>
      </c>
      <c r="V34" s="129">
        <f t="shared" si="2"/>
        <v>2156</v>
      </c>
      <c r="W34" s="53">
        <v>8</v>
      </c>
      <c r="X34" s="127" t="s">
        <v>46</v>
      </c>
      <c r="Y34" s="53" t="s">
        <v>69</v>
      </c>
      <c r="Z34" s="53" t="s">
        <v>55</v>
      </c>
      <c r="AA34" s="53" t="s">
        <v>90</v>
      </c>
      <c r="AB34" s="127" t="s">
        <v>236</v>
      </c>
      <c r="AC34" s="34"/>
    </row>
    <row r="35" spans="1:29" x14ac:dyDescent="0.15">
      <c r="A35" s="127" t="s">
        <v>61</v>
      </c>
      <c r="B35" s="127" t="s">
        <v>232</v>
      </c>
      <c r="C35" s="127">
        <v>2019</v>
      </c>
      <c r="D35" s="128" t="s">
        <v>283</v>
      </c>
      <c r="E35" s="127" t="s">
        <v>294</v>
      </c>
      <c r="F35" s="127" t="s">
        <v>295</v>
      </c>
      <c r="G35" s="127" t="s">
        <v>42</v>
      </c>
      <c r="H35" s="53" t="s">
        <v>160</v>
      </c>
      <c r="I35" s="53" t="s">
        <v>159</v>
      </c>
      <c r="J35" s="127" t="s">
        <v>38</v>
      </c>
      <c r="K35" s="53" t="s">
        <v>161</v>
      </c>
      <c r="L35" s="53">
        <v>1</v>
      </c>
      <c r="N35" s="53">
        <v>1</v>
      </c>
      <c r="O35" s="34">
        <v>0.9</v>
      </c>
      <c r="P35" s="53">
        <v>0.8</v>
      </c>
      <c r="Q35" s="75">
        <f t="shared" si="0"/>
        <v>0.85000000000000009</v>
      </c>
      <c r="R35" s="53">
        <v>15.4</v>
      </c>
      <c r="S35" s="53">
        <v>149</v>
      </c>
      <c r="T35" s="16">
        <f t="shared" si="1"/>
        <v>22</v>
      </c>
      <c r="U35" s="53">
        <v>128</v>
      </c>
      <c r="V35" s="129">
        <f t="shared" si="2"/>
        <v>2816</v>
      </c>
      <c r="W35" s="53">
        <v>8</v>
      </c>
      <c r="X35" s="127" t="s">
        <v>46</v>
      </c>
      <c r="Y35" s="53" t="s">
        <v>69</v>
      </c>
      <c r="Z35" s="53" t="s">
        <v>55</v>
      </c>
      <c r="AA35" s="53" t="s">
        <v>90</v>
      </c>
      <c r="AB35" s="127" t="s">
        <v>236</v>
      </c>
      <c r="AC35" s="34"/>
    </row>
    <row r="36" spans="1:29" x14ac:dyDescent="0.15">
      <c r="A36" s="127" t="s">
        <v>61</v>
      </c>
      <c r="B36" s="127" t="s">
        <v>232</v>
      </c>
      <c r="C36" s="127">
        <v>2019</v>
      </c>
      <c r="D36" s="128" t="s">
        <v>283</v>
      </c>
      <c r="E36" s="127" t="s">
        <v>294</v>
      </c>
      <c r="F36" s="127" t="s">
        <v>295</v>
      </c>
      <c r="G36" s="127" t="s">
        <v>42</v>
      </c>
      <c r="H36" s="53" t="s">
        <v>160</v>
      </c>
      <c r="I36" s="53" t="s">
        <v>159</v>
      </c>
      <c r="J36" s="127" t="s">
        <v>38</v>
      </c>
      <c r="K36" s="53" t="s">
        <v>161</v>
      </c>
      <c r="L36" s="53">
        <v>2</v>
      </c>
      <c r="N36" s="53">
        <v>1</v>
      </c>
      <c r="O36" s="34">
        <v>0.5</v>
      </c>
      <c r="P36" s="53">
        <v>0.5</v>
      </c>
      <c r="Q36" s="75">
        <f t="shared" si="0"/>
        <v>0.5</v>
      </c>
      <c r="R36" s="53">
        <v>16.399999999999999</v>
      </c>
      <c r="S36" s="53">
        <v>148</v>
      </c>
      <c r="T36" s="16">
        <f t="shared" si="1"/>
        <v>22</v>
      </c>
      <c r="U36" s="53">
        <v>128</v>
      </c>
      <c r="V36" s="129">
        <f t="shared" si="2"/>
        <v>2816</v>
      </c>
      <c r="W36" s="53">
        <v>8</v>
      </c>
      <c r="X36" s="127" t="s">
        <v>46</v>
      </c>
      <c r="Y36" s="53" t="s">
        <v>69</v>
      </c>
      <c r="Z36" s="53" t="s">
        <v>55</v>
      </c>
      <c r="AA36" s="53" t="s">
        <v>90</v>
      </c>
      <c r="AB36" s="127" t="s">
        <v>236</v>
      </c>
      <c r="AC36" s="34"/>
    </row>
    <row r="37" spans="1:29" x14ac:dyDescent="0.15">
      <c r="A37" s="127" t="s">
        <v>61</v>
      </c>
      <c r="B37" s="127" t="s">
        <v>232</v>
      </c>
      <c r="C37" s="127">
        <v>2019</v>
      </c>
      <c r="D37" s="128" t="s">
        <v>283</v>
      </c>
      <c r="E37" s="127" t="s">
        <v>294</v>
      </c>
      <c r="F37" s="127" t="s">
        <v>295</v>
      </c>
      <c r="G37" s="127" t="s">
        <v>42</v>
      </c>
      <c r="H37" s="53" t="s">
        <v>160</v>
      </c>
      <c r="I37" s="53" t="s">
        <v>159</v>
      </c>
      <c r="J37" s="127" t="s">
        <v>38</v>
      </c>
      <c r="K37" s="53" t="s">
        <v>161</v>
      </c>
      <c r="L37" s="53">
        <v>3</v>
      </c>
      <c r="N37" s="53">
        <v>1</v>
      </c>
      <c r="O37" s="53">
        <v>0.8</v>
      </c>
      <c r="P37" s="53">
        <v>0.95</v>
      </c>
      <c r="Q37" s="75">
        <f t="shared" si="0"/>
        <v>0.875</v>
      </c>
      <c r="R37" s="53">
        <v>16.399999999999999</v>
      </c>
      <c r="S37" s="53">
        <v>136</v>
      </c>
      <c r="T37" s="16">
        <f t="shared" si="1"/>
        <v>25</v>
      </c>
      <c r="U37" s="53">
        <v>128</v>
      </c>
      <c r="V37" s="129">
        <f t="shared" si="2"/>
        <v>3200</v>
      </c>
      <c r="W37" s="53">
        <v>8</v>
      </c>
      <c r="X37" s="127" t="s">
        <v>46</v>
      </c>
      <c r="Y37" s="53" t="s">
        <v>69</v>
      </c>
      <c r="Z37" s="53" t="s">
        <v>55</v>
      </c>
      <c r="AA37" s="53" t="s">
        <v>90</v>
      </c>
      <c r="AB37" s="127" t="s">
        <v>236</v>
      </c>
      <c r="AC37" s="34"/>
    </row>
    <row r="38" spans="1:29" x14ac:dyDescent="0.15">
      <c r="A38" s="127" t="s">
        <v>61</v>
      </c>
      <c r="B38" s="127" t="s">
        <v>232</v>
      </c>
      <c r="C38" s="127">
        <v>2019</v>
      </c>
      <c r="D38" s="128" t="s">
        <v>283</v>
      </c>
      <c r="E38" s="127" t="s">
        <v>296</v>
      </c>
      <c r="F38" s="127" t="s">
        <v>297</v>
      </c>
      <c r="G38" s="127" t="s">
        <v>42</v>
      </c>
      <c r="H38" s="53" t="s">
        <v>164</v>
      </c>
      <c r="I38" s="53" t="s">
        <v>159</v>
      </c>
      <c r="J38" s="127" t="s">
        <v>38</v>
      </c>
      <c r="K38" s="53" t="s">
        <v>161</v>
      </c>
      <c r="L38" s="53">
        <v>1</v>
      </c>
      <c r="N38" s="53">
        <v>5</v>
      </c>
      <c r="O38" s="34">
        <v>1</v>
      </c>
      <c r="P38" s="53">
        <v>1.2</v>
      </c>
      <c r="Q38" s="75">
        <f t="shared" si="0"/>
        <v>1.1000000000000001</v>
      </c>
      <c r="R38" s="53">
        <v>11.3</v>
      </c>
      <c r="S38" s="53">
        <v>73</v>
      </c>
      <c r="T38" s="16">
        <f t="shared" si="1"/>
        <v>42</v>
      </c>
      <c r="U38" s="53">
        <v>321</v>
      </c>
      <c r="V38" s="129">
        <f t="shared" si="2"/>
        <v>2696.4</v>
      </c>
      <c r="W38" s="53">
        <v>6</v>
      </c>
      <c r="X38" s="127" t="s">
        <v>39</v>
      </c>
      <c r="Y38" s="53" t="s">
        <v>97</v>
      </c>
      <c r="Z38" s="53" t="s">
        <v>88</v>
      </c>
      <c r="AA38" s="53" t="s">
        <v>47</v>
      </c>
      <c r="AB38" s="127" t="s">
        <v>236</v>
      </c>
    </row>
    <row r="39" spans="1:29" x14ac:dyDescent="0.15">
      <c r="A39" s="127" t="s">
        <v>61</v>
      </c>
      <c r="B39" s="127" t="s">
        <v>232</v>
      </c>
      <c r="C39" s="127">
        <v>2020</v>
      </c>
      <c r="D39" s="128" t="s">
        <v>283</v>
      </c>
      <c r="E39" s="127" t="s">
        <v>296</v>
      </c>
      <c r="F39" s="127" t="s">
        <v>297</v>
      </c>
      <c r="G39" s="127" t="s">
        <v>42</v>
      </c>
      <c r="H39" s="53" t="s">
        <v>164</v>
      </c>
      <c r="I39" s="53" t="s">
        <v>159</v>
      </c>
      <c r="J39" s="127" t="s">
        <v>38</v>
      </c>
      <c r="K39" s="53" t="s">
        <v>161</v>
      </c>
      <c r="L39" s="53">
        <v>2</v>
      </c>
      <c r="N39" s="53">
        <v>5</v>
      </c>
      <c r="O39" s="34">
        <v>1.25</v>
      </c>
      <c r="P39" s="53">
        <v>1.3</v>
      </c>
      <c r="Q39" s="75">
        <f t="shared" si="0"/>
        <v>1.2749999999999999</v>
      </c>
      <c r="R39" s="53">
        <v>12.7</v>
      </c>
      <c r="S39" s="53">
        <v>77</v>
      </c>
      <c r="T39" s="16">
        <f t="shared" si="1"/>
        <v>39</v>
      </c>
      <c r="U39" s="53">
        <v>321</v>
      </c>
      <c r="V39" s="129">
        <f t="shared" si="2"/>
        <v>2503.8000000000002</v>
      </c>
      <c r="W39" s="53">
        <v>6</v>
      </c>
      <c r="X39" s="127" t="s">
        <v>39</v>
      </c>
      <c r="Y39" s="53" t="s">
        <v>97</v>
      </c>
      <c r="Z39" s="53" t="s">
        <v>88</v>
      </c>
      <c r="AA39" s="53" t="s">
        <v>47</v>
      </c>
      <c r="AB39" s="127" t="s">
        <v>236</v>
      </c>
    </row>
    <row r="40" spans="1:29" x14ac:dyDescent="0.15">
      <c r="A40" s="127" t="s">
        <v>61</v>
      </c>
      <c r="B40" s="127" t="s">
        <v>232</v>
      </c>
      <c r="C40" s="127">
        <v>2021</v>
      </c>
      <c r="D40" s="128" t="s">
        <v>283</v>
      </c>
      <c r="E40" s="127" t="s">
        <v>296</v>
      </c>
      <c r="F40" s="127" t="s">
        <v>297</v>
      </c>
      <c r="G40" s="127" t="s">
        <v>42</v>
      </c>
      <c r="H40" s="53" t="s">
        <v>164</v>
      </c>
      <c r="I40" s="53" t="s">
        <v>159</v>
      </c>
      <c r="J40" s="127" t="s">
        <v>38</v>
      </c>
      <c r="K40" s="53" t="s">
        <v>161</v>
      </c>
      <c r="L40" s="53">
        <v>3</v>
      </c>
      <c r="N40" s="53">
        <v>5</v>
      </c>
      <c r="O40" s="34">
        <v>0.9</v>
      </c>
      <c r="P40" s="53">
        <v>1.1499999999999999</v>
      </c>
      <c r="Q40" s="75">
        <f t="shared" si="0"/>
        <v>1.0249999999999999</v>
      </c>
      <c r="R40" s="53">
        <v>13.4</v>
      </c>
      <c r="S40" s="53">
        <v>81</v>
      </c>
      <c r="T40" s="16">
        <f t="shared" si="1"/>
        <v>39</v>
      </c>
      <c r="U40" s="53">
        <v>321</v>
      </c>
      <c r="V40" s="129">
        <f t="shared" si="2"/>
        <v>2503.8000000000002</v>
      </c>
      <c r="W40" s="53">
        <v>6</v>
      </c>
      <c r="X40" s="127" t="s">
        <v>39</v>
      </c>
      <c r="Y40" s="53" t="s">
        <v>97</v>
      </c>
      <c r="Z40" s="53" t="s">
        <v>88</v>
      </c>
      <c r="AA40" s="53" t="s">
        <v>47</v>
      </c>
      <c r="AB40" s="127" t="s">
        <v>236</v>
      </c>
    </row>
    <row r="41" spans="1:29" x14ac:dyDescent="0.15">
      <c r="A41" s="127" t="s">
        <v>61</v>
      </c>
      <c r="B41" s="127" t="s">
        <v>232</v>
      </c>
      <c r="C41" s="127">
        <v>2022</v>
      </c>
      <c r="D41" s="128" t="s">
        <v>283</v>
      </c>
      <c r="E41" s="127" t="s">
        <v>296</v>
      </c>
      <c r="F41" s="127" t="s">
        <v>297</v>
      </c>
      <c r="G41" s="127" t="s">
        <v>42</v>
      </c>
      <c r="H41" s="53" t="s">
        <v>160</v>
      </c>
      <c r="I41" s="53" t="s">
        <v>159</v>
      </c>
      <c r="J41" s="127" t="s">
        <v>38</v>
      </c>
      <c r="K41" s="53" t="s">
        <v>161</v>
      </c>
      <c r="L41" s="53">
        <v>1</v>
      </c>
      <c r="N41" s="53">
        <v>1</v>
      </c>
      <c r="O41" s="34">
        <v>0.8</v>
      </c>
      <c r="P41" s="53">
        <v>0.85</v>
      </c>
      <c r="Q41" s="75">
        <f t="shared" si="0"/>
        <v>0.82499999999999996</v>
      </c>
      <c r="R41" s="53">
        <v>15.7</v>
      </c>
      <c r="S41" s="53">
        <v>148</v>
      </c>
      <c r="T41" s="16">
        <f t="shared" si="1"/>
        <v>22</v>
      </c>
      <c r="U41" s="53">
        <v>138</v>
      </c>
      <c r="V41" s="129">
        <f t="shared" si="2"/>
        <v>3036</v>
      </c>
      <c r="W41" s="53">
        <v>6</v>
      </c>
      <c r="X41" s="127" t="s">
        <v>39</v>
      </c>
      <c r="Y41" s="53" t="s">
        <v>97</v>
      </c>
      <c r="Z41" s="53" t="s">
        <v>88</v>
      </c>
      <c r="AA41" s="53" t="s">
        <v>47</v>
      </c>
      <c r="AB41" s="127" t="s">
        <v>236</v>
      </c>
      <c r="AC41" s="34"/>
    </row>
    <row r="42" spans="1:29" x14ac:dyDescent="0.15">
      <c r="A42" s="127" t="s">
        <v>61</v>
      </c>
      <c r="B42" s="127" t="s">
        <v>232</v>
      </c>
      <c r="C42" s="127">
        <v>2023</v>
      </c>
      <c r="D42" s="128" t="s">
        <v>283</v>
      </c>
      <c r="E42" s="127" t="s">
        <v>296</v>
      </c>
      <c r="F42" s="127" t="s">
        <v>297</v>
      </c>
      <c r="G42" s="127" t="s">
        <v>42</v>
      </c>
      <c r="H42" s="53" t="s">
        <v>160</v>
      </c>
      <c r="I42" s="53" t="s">
        <v>159</v>
      </c>
      <c r="J42" s="127" t="s">
        <v>38</v>
      </c>
      <c r="K42" s="53" t="s">
        <v>161</v>
      </c>
      <c r="L42" s="53">
        <v>2</v>
      </c>
      <c r="N42" s="53">
        <v>1</v>
      </c>
      <c r="O42" s="34">
        <v>0.7</v>
      </c>
      <c r="P42" s="53">
        <v>0.5</v>
      </c>
      <c r="Q42" s="75">
        <f t="shared" si="0"/>
        <v>0.6</v>
      </c>
      <c r="R42" s="53">
        <v>15.9</v>
      </c>
      <c r="S42" s="53">
        <v>141</v>
      </c>
      <c r="T42" s="16">
        <f t="shared" si="1"/>
        <v>22</v>
      </c>
      <c r="U42" s="53">
        <v>138</v>
      </c>
      <c r="V42" s="129">
        <f t="shared" si="2"/>
        <v>3036</v>
      </c>
      <c r="W42" s="53">
        <v>6</v>
      </c>
      <c r="X42" s="127" t="s">
        <v>39</v>
      </c>
      <c r="Y42" s="53" t="s">
        <v>97</v>
      </c>
      <c r="Z42" s="53" t="s">
        <v>88</v>
      </c>
      <c r="AA42" s="53" t="s">
        <v>47</v>
      </c>
      <c r="AB42" s="127" t="s">
        <v>236</v>
      </c>
      <c r="AC42" s="34"/>
    </row>
    <row r="43" spans="1:29" x14ac:dyDescent="0.15">
      <c r="A43" s="127" t="s">
        <v>61</v>
      </c>
      <c r="B43" s="127" t="s">
        <v>232</v>
      </c>
      <c r="C43" s="127">
        <v>2024</v>
      </c>
      <c r="D43" s="128" t="s">
        <v>283</v>
      </c>
      <c r="E43" s="127" t="s">
        <v>296</v>
      </c>
      <c r="F43" s="127" t="s">
        <v>297</v>
      </c>
      <c r="G43" s="127" t="s">
        <v>42</v>
      </c>
      <c r="H43" s="53" t="s">
        <v>160</v>
      </c>
      <c r="I43" s="53" t="s">
        <v>159</v>
      </c>
      <c r="J43" s="127" t="s">
        <v>38</v>
      </c>
      <c r="K43" s="53" t="s">
        <v>161</v>
      </c>
      <c r="L43" s="53">
        <v>3</v>
      </c>
      <c r="N43" s="53">
        <v>1</v>
      </c>
      <c r="O43" s="34">
        <v>0.8</v>
      </c>
      <c r="P43" s="53">
        <v>0.6</v>
      </c>
      <c r="Q43" s="75">
        <f t="shared" si="0"/>
        <v>0.7</v>
      </c>
      <c r="R43" s="34">
        <v>16.600000000000001</v>
      </c>
      <c r="S43" s="53">
        <v>149</v>
      </c>
      <c r="T43" s="16">
        <f t="shared" si="1"/>
        <v>22</v>
      </c>
      <c r="U43" s="53">
        <v>138</v>
      </c>
      <c r="V43" s="129">
        <f t="shared" si="2"/>
        <v>3036</v>
      </c>
      <c r="W43" s="53">
        <v>6</v>
      </c>
      <c r="X43" s="127" t="s">
        <v>39</v>
      </c>
      <c r="Y43" s="53" t="s">
        <v>97</v>
      </c>
      <c r="Z43" s="53" t="s">
        <v>88</v>
      </c>
      <c r="AA43" s="53" t="s">
        <v>47</v>
      </c>
      <c r="AB43" s="127" t="s">
        <v>236</v>
      </c>
      <c r="AC43" s="34"/>
    </row>
    <row r="44" spans="1:29" x14ac:dyDescent="0.15">
      <c r="A44" s="127" t="s">
        <v>61</v>
      </c>
      <c r="B44" s="127" t="s">
        <v>232</v>
      </c>
      <c r="C44" s="127">
        <v>2019</v>
      </c>
      <c r="D44" s="128" t="s">
        <v>283</v>
      </c>
      <c r="E44" s="127" t="s">
        <v>133</v>
      </c>
      <c r="F44" s="127" t="s">
        <v>298</v>
      </c>
      <c r="G44" s="127" t="s">
        <v>42</v>
      </c>
      <c r="H44" s="53" t="s">
        <v>164</v>
      </c>
      <c r="I44" s="53" t="s">
        <v>159</v>
      </c>
      <c r="J44" s="127" t="s">
        <v>38</v>
      </c>
      <c r="K44" s="53" t="s">
        <v>161</v>
      </c>
      <c r="L44" s="53">
        <v>1</v>
      </c>
      <c r="N44" s="53">
        <v>1</v>
      </c>
      <c r="O44" s="53">
        <v>0.5</v>
      </c>
      <c r="P44" s="53">
        <v>0.5</v>
      </c>
      <c r="Q44" s="75">
        <f t="shared" si="0"/>
        <v>0.5</v>
      </c>
      <c r="R44" s="53">
        <v>18.2</v>
      </c>
      <c r="S44" s="53">
        <v>119</v>
      </c>
      <c r="T44" s="16">
        <f t="shared" si="1"/>
        <v>30</v>
      </c>
      <c r="U44" s="53">
        <v>98</v>
      </c>
      <c r="V44" s="129">
        <f t="shared" si="2"/>
        <v>2940</v>
      </c>
      <c r="W44" s="53">
        <v>12</v>
      </c>
      <c r="X44" s="127" t="s">
        <v>46</v>
      </c>
      <c r="Y44" s="53" t="s">
        <v>88</v>
      </c>
      <c r="Z44" s="53" t="s">
        <v>97</v>
      </c>
      <c r="AA44" s="53" t="s">
        <v>78</v>
      </c>
      <c r="AB44" s="127" t="s">
        <v>236</v>
      </c>
      <c r="AC44" s="34"/>
    </row>
    <row r="45" spans="1:29" x14ac:dyDescent="0.15">
      <c r="A45" s="127" t="s">
        <v>61</v>
      </c>
      <c r="B45" s="127" t="s">
        <v>232</v>
      </c>
      <c r="C45" s="127">
        <v>2019</v>
      </c>
      <c r="D45" s="128" t="s">
        <v>283</v>
      </c>
      <c r="E45" s="127" t="s">
        <v>133</v>
      </c>
      <c r="F45" s="127" t="s">
        <v>298</v>
      </c>
      <c r="G45" s="127" t="s">
        <v>42</v>
      </c>
      <c r="H45" s="53" t="s">
        <v>164</v>
      </c>
      <c r="I45" s="53" t="s">
        <v>159</v>
      </c>
      <c r="J45" s="127" t="s">
        <v>38</v>
      </c>
      <c r="K45" s="53" t="s">
        <v>161</v>
      </c>
      <c r="L45" s="53">
        <v>2</v>
      </c>
      <c r="N45" s="53">
        <v>1</v>
      </c>
      <c r="O45" s="53">
        <v>0.7</v>
      </c>
      <c r="P45" s="53">
        <v>0.7</v>
      </c>
      <c r="Q45" s="75">
        <f t="shared" si="0"/>
        <v>0.7</v>
      </c>
      <c r="R45" s="53">
        <v>18.399999999999999</v>
      </c>
      <c r="S45" s="53">
        <v>122</v>
      </c>
      <c r="T45" s="16">
        <f t="shared" si="1"/>
        <v>27</v>
      </c>
      <c r="U45" s="53">
        <v>98</v>
      </c>
      <c r="V45" s="129">
        <f t="shared" si="2"/>
        <v>2646</v>
      </c>
      <c r="W45" s="53">
        <v>12</v>
      </c>
      <c r="X45" s="127" t="s">
        <v>46</v>
      </c>
      <c r="Y45" s="53" t="s">
        <v>88</v>
      </c>
      <c r="Z45" s="53" t="s">
        <v>97</v>
      </c>
      <c r="AA45" s="53" t="s">
        <v>78</v>
      </c>
      <c r="AB45" s="127" t="s">
        <v>236</v>
      </c>
      <c r="AC45" s="34"/>
    </row>
    <row r="46" spans="1:29" x14ac:dyDescent="0.15">
      <c r="A46" s="127" t="s">
        <v>61</v>
      </c>
      <c r="B46" s="127" t="s">
        <v>232</v>
      </c>
      <c r="C46" s="127">
        <v>2019</v>
      </c>
      <c r="D46" s="128" t="s">
        <v>283</v>
      </c>
      <c r="E46" s="127" t="s">
        <v>133</v>
      </c>
      <c r="F46" s="127" t="s">
        <v>298</v>
      </c>
      <c r="G46" s="127" t="s">
        <v>42</v>
      </c>
      <c r="H46" s="53" t="s">
        <v>164</v>
      </c>
      <c r="I46" s="53" t="s">
        <v>159</v>
      </c>
      <c r="J46" s="127" t="s">
        <v>38</v>
      </c>
      <c r="K46" s="53" t="s">
        <v>161</v>
      </c>
      <c r="L46" s="53">
        <v>3</v>
      </c>
      <c r="N46" s="53">
        <v>1</v>
      </c>
      <c r="O46" s="53">
        <v>0.75</v>
      </c>
      <c r="P46" s="53">
        <v>0.9</v>
      </c>
      <c r="Q46" s="75">
        <f t="shared" si="0"/>
        <v>0.82499999999999996</v>
      </c>
      <c r="R46" s="53">
        <v>17.2</v>
      </c>
      <c r="S46" s="53">
        <v>106</v>
      </c>
      <c r="T46" s="16">
        <f t="shared" si="1"/>
        <v>33</v>
      </c>
      <c r="U46" s="53">
        <v>98</v>
      </c>
      <c r="V46" s="129">
        <f t="shared" si="2"/>
        <v>3234</v>
      </c>
      <c r="W46" s="53">
        <v>12</v>
      </c>
      <c r="X46" s="127" t="s">
        <v>46</v>
      </c>
      <c r="Y46" s="53" t="s">
        <v>88</v>
      </c>
      <c r="Z46" s="53" t="s">
        <v>97</v>
      </c>
      <c r="AA46" s="53" t="s">
        <v>78</v>
      </c>
      <c r="AB46" s="127" t="s">
        <v>236</v>
      </c>
      <c r="AC46" s="34"/>
    </row>
    <row r="47" spans="1:29" x14ac:dyDescent="0.15">
      <c r="A47" s="127" t="s">
        <v>61</v>
      </c>
      <c r="B47" s="127" t="s">
        <v>232</v>
      </c>
      <c r="C47" s="127">
        <v>2019</v>
      </c>
      <c r="D47" s="128" t="s">
        <v>283</v>
      </c>
      <c r="E47" s="127" t="s">
        <v>133</v>
      </c>
      <c r="F47" s="127" t="s">
        <v>298</v>
      </c>
      <c r="G47" s="127" t="s">
        <v>42</v>
      </c>
      <c r="H47" s="53" t="s">
        <v>160</v>
      </c>
      <c r="I47" s="53" t="s">
        <v>159</v>
      </c>
      <c r="J47" s="127" t="s">
        <v>38</v>
      </c>
      <c r="K47" s="53" t="s">
        <v>161</v>
      </c>
      <c r="L47" s="53">
        <v>1</v>
      </c>
      <c r="N47" s="53">
        <v>1</v>
      </c>
      <c r="O47" s="53">
        <v>0.8</v>
      </c>
      <c r="P47" s="53">
        <v>0.6</v>
      </c>
      <c r="Q47" s="75">
        <f t="shared" si="0"/>
        <v>0.7</v>
      </c>
      <c r="R47" s="53">
        <v>17.600000000000001</v>
      </c>
      <c r="S47" s="53">
        <v>135</v>
      </c>
      <c r="T47" s="16">
        <f t="shared" si="1"/>
        <v>25</v>
      </c>
      <c r="U47" s="53">
        <v>138</v>
      </c>
      <c r="V47" s="129">
        <f t="shared" si="2"/>
        <v>3450</v>
      </c>
      <c r="W47" s="53">
        <v>12</v>
      </c>
      <c r="X47" s="127" t="s">
        <v>46</v>
      </c>
      <c r="Y47" s="53" t="s">
        <v>88</v>
      </c>
      <c r="Z47" s="53" t="s">
        <v>97</v>
      </c>
      <c r="AA47" s="53" t="s">
        <v>78</v>
      </c>
      <c r="AB47" s="127" t="s">
        <v>236</v>
      </c>
      <c r="AC47" s="34"/>
    </row>
    <row r="48" spans="1:29" x14ac:dyDescent="0.15">
      <c r="A48" s="127" t="s">
        <v>61</v>
      </c>
      <c r="B48" s="127" t="s">
        <v>232</v>
      </c>
      <c r="C48" s="127">
        <v>2019</v>
      </c>
      <c r="D48" s="128" t="s">
        <v>283</v>
      </c>
      <c r="E48" s="127" t="s">
        <v>133</v>
      </c>
      <c r="F48" s="127" t="s">
        <v>298</v>
      </c>
      <c r="G48" s="127" t="s">
        <v>42</v>
      </c>
      <c r="H48" s="53" t="s">
        <v>160</v>
      </c>
      <c r="I48" s="53" t="s">
        <v>159</v>
      </c>
      <c r="J48" s="127" t="s">
        <v>38</v>
      </c>
      <c r="K48" s="53" t="s">
        <v>161</v>
      </c>
      <c r="L48" s="53">
        <v>2</v>
      </c>
      <c r="N48" s="53">
        <v>1</v>
      </c>
      <c r="O48" s="53">
        <v>0.5</v>
      </c>
      <c r="P48" s="53">
        <v>0.5</v>
      </c>
      <c r="Q48" s="75">
        <f t="shared" si="0"/>
        <v>0.5</v>
      </c>
      <c r="R48" s="53">
        <v>18</v>
      </c>
      <c r="S48" s="53">
        <v>140</v>
      </c>
      <c r="T48" s="16">
        <f t="shared" si="1"/>
        <v>22</v>
      </c>
      <c r="U48" s="53">
        <v>138</v>
      </c>
      <c r="V48" s="129">
        <f t="shared" si="2"/>
        <v>3036</v>
      </c>
      <c r="W48" s="53">
        <v>12</v>
      </c>
      <c r="X48" s="127" t="s">
        <v>46</v>
      </c>
      <c r="Y48" s="53" t="s">
        <v>88</v>
      </c>
      <c r="Z48" s="53" t="s">
        <v>97</v>
      </c>
      <c r="AA48" s="53" t="s">
        <v>78</v>
      </c>
      <c r="AB48" s="127" t="s">
        <v>236</v>
      </c>
      <c r="AC48" s="34"/>
    </row>
    <row r="49" spans="1:29" x14ac:dyDescent="0.15">
      <c r="A49" s="127" t="s">
        <v>61</v>
      </c>
      <c r="B49" s="127" t="s">
        <v>232</v>
      </c>
      <c r="C49" s="127">
        <v>2019</v>
      </c>
      <c r="D49" s="128" t="s">
        <v>283</v>
      </c>
      <c r="E49" s="127" t="s">
        <v>133</v>
      </c>
      <c r="F49" s="127" t="s">
        <v>298</v>
      </c>
      <c r="G49" s="127" t="s">
        <v>42</v>
      </c>
      <c r="H49" s="53" t="s">
        <v>160</v>
      </c>
      <c r="I49" s="53" t="s">
        <v>159</v>
      </c>
      <c r="J49" s="127" t="s">
        <v>38</v>
      </c>
      <c r="K49" s="53" t="s">
        <v>161</v>
      </c>
      <c r="L49" s="53">
        <v>3</v>
      </c>
      <c r="N49" s="53">
        <v>1</v>
      </c>
      <c r="O49" s="53">
        <v>0.6</v>
      </c>
      <c r="P49" s="53">
        <v>0.65</v>
      </c>
      <c r="Q49" s="75">
        <f t="shared" si="0"/>
        <v>0.625</v>
      </c>
      <c r="R49" s="53">
        <v>16.5</v>
      </c>
      <c r="S49" s="53">
        <v>147</v>
      </c>
      <c r="T49" s="16">
        <f t="shared" si="1"/>
        <v>22</v>
      </c>
      <c r="U49" s="53">
        <v>138</v>
      </c>
      <c r="V49" s="129">
        <f t="shared" si="2"/>
        <v>3036</v>
      </c>
      <c r="W49" s="53">
        <v>12</v>
      </c>
      <c r="X49" s="127" t="s">
        <v>46</v>
      </c>
      <c r="Y49" s="53" t="s">
        <v>88</v>
      </c>
      <c r="Z49" s="53" t="s">
        <v>97</v>
      </c>
      <c r="AA49" s="53" t="s">
        <v>78</v>
      </c>
      <c r="AB49" s="127" t="s">
        <v>236</v>
      </c>
      <c r="AC49" s="34"/>
    </row>
    <row r="50" spans="1:29" x14ac:dyDescent="0.15">
      <c r="A50" s="127" t="s">
        <v>61</v>
      </c>
      <c r="B50" s="127" t="s">
        <v>232</v>
      </c>
      <c r="C50" s="127">
        <v>2019</v>
      </c>
      <c r="D50" s="128" t="s">
        <v>283</v>
      </c>
      <c r="E50" s="127" t="s">
        <v>299</v>
      </c>
      <c r="F50" s="127" t="s">
        <v>300</v>
      </c>
      <c r="G50" s="127" t="s">
        <v>42</v>
      </c>
      <c r="H50" s="53" t="s">
        <v>164</v>
      </c>
      <c r="I50" s="53" t="s">
        <v>159</v>
      </c>
      <c r="J50" s="127" t="s">
        <v>38</v>
      </c>
      <c r="K50" s="53" t="s">
        <v>161</v>
      </c>
      <c r="L50" s="53">
        <v>1</v>
      </c>
      <c r="N50" s="53">
        <v>4</v>
      </c>
      <c r="O50" s="53">
        <v>0.9</v>
      </c>
      <c r="P50" s="53">
        <v>1</v>
      </c>
      <c r="Q50" s="75">
        <f t="shared" si="0"/>
        <v>0.95</v>
      </c>
      <c r="R50" s="53">
        <v>13.2</v>
      </c>
      <c r="S50" s="53">
        <v>98</v>
      </c>
      <c r="T50" s="16">
        <f t="shared" si="1"/>
        <v>36</v>
      </c>
      <c r="U50" s="53">
        <v>298</v>
      </c>
      <c r="V50" s="129">
        <f t="shared" si="2"/>
        <v>2682</v>
      </c>
      <c r="W50" s="53">
        <v>12</v>
      </c>
      <c r="X50" s="127" t="s">
        <v>46</v>
      </c>
      <c r="Y50" s="53" t="s">
        <v>78</v>
      </c>
      <c r="Z50" s="53" t="s">
        <v>88</v>
      </c>
      <c r="AA50" s="53" t="s">
        <v>97</v>
      </c>
      <c r="AB50" s="127" t="s">
        <v>236</v>
      </c>
      <c r="AC50" s="34"/>
    </row>
    <row r="51" spans="1:29" x14ac:dyDescent="0.15">
      <c r="A51" s="127" t="s">
        <v>61</v>
      </c>
      <c r="B51" s="127" t="s">
        <v>232</v>
      </c>
      <c r="C51" s="127">
        <v>2019</v>
      </c>
      <c r="D51" s="128" t="s">
        <v>283</v>
      </c>
      <c r="E51" s="127" t="s">
        <v>299</v>
      </c>
      <c r="F51" s="127" t="s">
        <v>300</v>
      </c>
      <c r="G51" s="127" t="s">
        <v>42</v>
      </c>
      <c r="H51" s="53" t="s">
        <v>164</v>
      </c>
      <c r="I51" s="53" t="s">
        <v>159</v>
      </c>
      <c r="J51" s="127" t="s">
        <v>38</v>
      </c>
      <c r="K51" s="53" t="s">
        <v>161</v>
      </c>
      <c r="L51" s="53">
        <v>2</v>
      </c>
      <c r="N51" s="53">
        <v>4</v>
      </c>
      <c r="O51" s="53">
        <v>0.95</v>
      </c>
      <c r="P51" s="53">
        <v>0.75</v>
      </c>
      <c r="Q51" s="75">
        <f t="shared" si="0"/>
        <v>0.85</v>
      </c>
      <c r="R51" s="53">
        <v>12.2</v>
      </c>
      <c r="S51" s="53">
        <v>99</v>
      </c>
      <c r="T51" s="16">
        <f t="shared" si="1"/>
        <v>33</v>
      </c>
      <c r="U51" s="53">
        <v>298</v>
      </c>
      <c r="V51" s="129">
        <f t="shared" si="2"/>
        <v>2458.5</v>
      </c>
      <c r="W51" s="53">
        <v>12</v>
      </c>
      <c r="X51" s="127" t="s">
        <v>46</v>
      </c>
      <c r="Y51" s="53" t="s">
        <v>78</v>
      </c>
      <c r="Z51" s="53" t="s">
        <v>311</v>
      </c>
      <c r="AA51" s="53" t="s">
        <v>97</v>
      </c>
      <c r="AB51" s="127" t="s">
        <v>236</v>
      </c>
      <c r="AC51" s="34"/>
    </row>
    <row r="52" spans="1:29" x14ac:dyDescent="0.15">
      <c r="A52" s="127" t="s">
        <v>61</v>
      </c>
      <c r="B52" s="127" t="s">
        <v>232</v>
      </c>
      <c r="C52" s="127">
        <v>2019</v>
      </c>
      <c r="D52" s="128" t="s">
        <v>283</v>
      </c>
      <c r="E52" s="127" t="s">
        <v>299</v>
      </c>
      <c r="F52" s="127" t="s">
        <v>300</v>
      </c>
      <c r="G52" s="127" t="s">
        <v>42</v>
      </c>
      <c r="H52" s="53" t="s">
        <v>164</v>
      </c>
      <c r="I52" s="53" t="s">
        <v>159</v>
      </c>
      <c r="J52" s="127" t="s">
        <v>38</v>
      </c>
      <c r="K52" s="53" t="s">
        <v>161</v>
      </c>
      <c r="L52" s="53">
        <v>3</v>
      </c>
      <c r="N52" s="53">
        <v>4</v>
      </c>
      <c r="O52" s="53">
        <v>0.5</v>
      </c>
      <c r="P52" s="53">
        <v>0.5</v>
      </c>
      <c r="Q52" s="75">
        <f t="shared" si="0"/>
        <v>0.5</v>
      </c>
      <c r="R52" s="53">
        <v>15.7</v>
      </c>
      <c r="S52" s="53">
        <v>98</v>
      </c>
      <c r="T52" s="16">
        <f t="shared" si="1"/>
        <v>36</v>
      </c>
      <c r="U52" s="53">
        <v>298</v>
      </c>
      <c r="V52" s="129">
        <f t="shared" si="2"/>
        <v>2682</v>
      </c>
      <c r="W52" s="53">
        <v>12</v>
      </c>
      <c r="X52" s="127" t="s">
        <v>46</v>
      </c>
      <c r="Y52" s="53" t="s">
        <v>78</v>
      </c>
      <c r="Z52" s="53" t="s">
        <v>88</v>
      </c>
      <c r="AA52" s="53" t="s">
        <v>97</v>
      </c>
      <c r="AB52" s="127" t="s">
        <v>236</v>
      </c>
      <c r="AC52" s="34"/>
    </row>
    <row r="53" spans="1:29" x14ac:dyDescent="0.15">
      <c r="A53" s="127" t="s">
        <v>61</v>
      </c>
      <c r="B53" s="127" t="s">
        <v>232</v>
      </c>
      <c r="C53" s="127">
        <v>2019</v>
      </c>
      <c r="D53" s="128" t="s">
        <v>283</v>
      </c>
      <c r="E53" s="127" t="s">
        <v>299</v>
      </c>
      <c r="F53" s="127" t="s">
        <v>300</v>
      </c>
      <c r="G53" s="127" t="s">
        <v>42</v>
      </c>
      <c r="H53" s="53" t="s">
        <v>160</v>
      </c>
      <c r="I53" s="53" t="s">
        <v>159</v>
      </c>
      <c r="J53" s="127" t="s">
        <v>38</v>
      </c>
      <c r="K53" s="53" t="s">
        <v>161</v>
      </c>
      <c r="L53" s="53">
        <v>1</v>
      </c>
      <c r="N53" s="53">
        <v>1</v>
      </c>
      <c r="O53" s="53">
        <v>1.1000000000000001</v>
      </c>
      <c r="P53" s="53">
        <v>1.1499999999999999</v>
      </c>
      <c r="Q53" s="75">
        <f t="shared" si="0"/>
        <v>1.125</v>
      </c>
      <c r="R53" s="53">
        <v>17.399999999999999</v>
      </c>
      <c r="S53" s="53">
        <v>143</v>
      </c>
      <c r="T53" s="16">
        <f t="shared" si="1"/>
        <v>22</v>
      </c>
      <c r="U53" s="53">
        <v>138</v>
      </c>
      <c r="V53" s="129">
        <f t="shared" si="2"/>
        <v>3036</v>
      </c>
      <c r="W53" s="53">
        <v>12</v>
      </c>
      <c r="X53" s="127" t="s">
        <v>46</v>
      </c>
      <c r="Y53" s="53" t="s">
        <v>78</v>
      </c>
      <c r="Z53" s="53" t="s">
        <v>88</v>
      </c>
      <c r="AA53" s="53" t="s">
        <v>97</v>
      </c>
      <c r="AB53" s="127" t="s">
        <v>236</v>
      </c>
      <c r="AC53" s="34"/>
    </row>
    <row r="54" spans="1:29" x14ac:dyDescent="0.15">
      <c r="A54" s="127" t="s">
        <v>61</v>
      </c>
      <c r="B54" s="127" t="s">
        <v>232</v>
      </c>
      <c r="C54" s="127">
        <v>2019</v>
      </c>
      <c r="D54" s="128" t="s">
        <v>283</v>
      </c>
      <c r="E54" s="127" t="s">
        <v>299</v>
      </c>
      <c r="F54" s="127" t="s">
        <v>300</v>
      </c>
      <c r="G54" s="127" t="s">
        <v>42</v>
      </c>
      <c r="H54" s="53" t="s">
        <v>160</v>
      </c>
      <c r="I54" s="53" t="s">
        <v>159</v>
      </c>
      <c r="J54" s="127" t="s">
        <v>38</v>
      </c>
      <c r="K54" s="53" t="s">
        <v>161</v>
      </c>
      <c r="L54" s="53">
        <v>2</v>
      </c>
      <c r="N54" s="53">
        <v>1</v>
      </c>
      <c r="O54" s="53">
        <v>0.9</v>
      </c>
      <c r="P54" s="53">
        <v>1.2</v>
      </c>
      <c r="Q54" s="75">
        <f t="shared" si="0"/>
        <v>1.05</v>
      </c>
      <c r="R54" s="53">
        <v>16.3</v>
      </c>
      <c r="S54" s="53">
        <v>138</v>
      </c>
      <c r="T54" s="16">
        <f t="shared" si="1"/>
        <v>22</v>
      </c>
      <c r="U54" s="53">
        <v>138</v>
      </c>
      <c r="V54" s="129">
        <f t="shared" si="2"/>
        <v>3036</v>
      </c>
      <c r="W54" s="53">
        <v>12</v>
      </c>
      <c r="X54" s="127" t="s">
        <v>46</v>
      </c>
      <c r="Y54" s="53" t="s">
        <v>78</v>
      </c>
      <c r="Z54" s="53" t="s">
        <v>311</v>
      </c>
      <c r="AA54" s="53" t="s">
        <v>97</v>
      </c>
      <c r="AB54" s="127" t="s">
        <v>236</v>
      </c>
      <c r="AC54" s="34"/>
    </row>
    <row r="55" spans="1:29" x14ac:dyDescent="0.15">
      <c r="A55" s="127" t="s">
        <v>61</v>
      </c>
      <c r="B55" s="127" t="s">
        <v>232</v>
      </c>
      <c r="C55" s="127">
        <v>2019</v>
      </c>
      <c r="D55" s="128" t="s">
        <v>283</v>
      </c>
      <c r="E55" s="127" t="s">
        <v>299</v>
      </c>
      <c r="F55" s="127" t="s">
        <v>300</v>
      </c>
      <c r="G55" s="127" t="s">
        <v>42</v>
      </c>
      <c r="H55" s="53" t="s">
        <v>160</v>
      </c>
      <c r="I55" s="53" t="s">
        <v>159</v>
      </c>
      <c r="J55" s="127" t="s">
        <v>38</v>
      </c>
      <c r="K55" s="53" t="s">
        <v>161</v>
      </c>
      <c r="L55" s="53">
        <v>3</v>
      </c>
      <c r="N55" s="53">
        <v>1</v>
      </c>
      <c r="O55" s="53">
        <v>1.1000000000000001</v>
      </c>
      <c r="P55" s="53">
        <v>1</v>
      </c>
      <c r="Q55" s="75">
        <f t="shared" si="0"/>
        <v>1.05</v>
      </c>
      <c r="R55" s="53">
        <v>15.8</v>
      </c>
      <c r="S55" s="53">
        <v>143</v>
      </c>
      <c r="T55" s="16">
        <f t="shared" si="1"/>
        <v>22</v>
      </c>
      <c r="U55" s="53">
        <v>138</v>
      </c>
      <c r="V55" s="129">
        <f t="shared" si="2"/>
        <v>3036</v>
      </c>
      <c r="W55" s="53">
        <v>12</v>
      </c>
      <c r="X55" s="127" t="s">
        <v>46</v>
      </c>
      <c r="Y55" s="53" t="s">
        <v>78</v>
      </c>
      <c r="Z55" s="53" t="s">
        <v>88</v>
      </c>
      <c r="AA55" s="53" t="s">
        <v>97</v>
      </c>
      <c r="AB55" s="127" t="s">
        <v>236</v>
      </c>
      <c r="AC55" s="34"/>
    </row>
    <row r="56" spans="1:29" x14ac:dyDescent="0.15">
      <c r="A56" s="127" t="s">
        <v>61</v>
      </c>
      <c r="B56" s="127" t="s">
        <v>232</v>
      </c>
      <c r="C56" s="127">
        <v>2019</v>
      </c>
      <c r="D56" s="128" t="s">
        <v>283</v>
      </c>
      <c r="E56" s="127" t="s">
        <v>301</v>
      </c>
      <c r="F56" s="127" t="s">
        <v>300</v>
      </c>
      <c r="G56" s="127" t="s">
        <v>42</v>
      </c>
      <c r="H56" s="53" t="s">
        <v>164</v>
      </c>
      <c r="I56" s="53" t="s">
        <v>159</v>
      </c>
      <c r="J56" s="127" t="s">
        <v>38</v>
      </c>
      <c r="K56" s="53" t="s">
        <v>161</v>
      </c>
      <c r="L56" s="53">
        <v>1</v>
      </c>
      <c r="N56" s="53">
        <v>1</v>
      </c>
      <c r="O56" s="53">
        <v>0.95</v>
      </c>
      <c r="P56" s="53">
        <v>0.9</v>
      </c>
      <c r="Q56" s="75">
        <f t="shared" si="0"/>
        <v>0.92500000000000004</v>
      </c>
      <c r="R56" s="53">
        <v>17.3</v>
      </c>
      <c r="S56" s="53">
        <v>145</v>
      </c>
      <c r="T56" s="16">
        <f t="shared" si="1"/>
        <v>22</v>
      </c>
      <c r="U56" s="53">
        <v>138</v>
      </c>
      <c r="V56" s="129">
        <f t="shared" si="2"/>
        <v>3036</v>
      </c>
      <c r="W56" s="53">
        <v>16</v>
      </c>
      <c r="X56" s="127" t="s">
        <v>46</v>
      </c>
      <c r="Y56" s="53" t="s">
        <v>97</v>
      </c>
      <c r="Z56" s="53" t="s">
        <v>78</v>
      </c>
      <c r="AA56" s="53" t="s">
        <v>88</v>
      </c>
      <c r="AB56" s="127" t="s">
        <v>236</v>
      </c>
      <c r="AC56" s="34"/>
    </row>
    <row r="57" spans="1:29" x14ac:dyDescent="0.15">
      <c r="A57" s="127" t="s">
        <v>61</v>
      </c>
      <c r="B57" s="127" t="s">
        <v>232</v>
      </c>
      <c r="C57" s="127">
        <v>2019</v>
      </c>
      <c r="D57" s="128" t="s">
        <v>283</v>
      </c>
      <c r="E57" s="127" t="s">
        <v>301</v>
      </c>
      <c r="F57" s="127" t="s">
        <v>300</v>
      </c>
      <c r="G57" s="127" t="s">
        <v>42</v>
      </c>
      <c r="H57" s="53" t="s">
        <v>164</v>
      </c>
      <c r="I57" s="53" t="s">
        <v>159</v>
      </c>
      <c r="J57" s="127" t="s">
        <v>38</v>
      </c>
      <c r="K57" s="53" t="s">
        <v>161</v>
      </c>
      <c r="L57" s="53">
        <v>2</v>
      </c>
      <c r="N57" s="53">
        <v>1</v>
      </c>
      <c r="O57" s="53">
        <v>0.95</v>
      </c>
      <c r="P57" s="53">
        <v>1.1000000000000001</v>
      </c>
      <c r="Q57" s="75">
        <f t="shared" si="0"/>
        <v>1.0249999999999999</v>
      </c>
      <c r="R57" s="53">
        <v>17.600000000000001</v>
      </c>
      <c r="S57" s="53">
        <v>134</v>
      </c>
      <c r="T57" s="16">
        <f t="shared" si="1"/>
        <v>25</v>
      </c>
      <c r="U57" s="53">
        <v>138</v>
      </c>
      <c r="V57" s="129">
        <f t="shared" si="2"/>
        <v>3450</v>
      </c>
      <c r="W57" s="53">
        <v>16</v>
      </c>
      <c r="X57" s="127" t="s">
        <v>46</v>
      </c>
      <c r="Y57" s="53" t="s">
        <v>97</v>
      </c>
      <c r="Z57" s="53" t="s">
        <v>78</v>
      </c>
      <c r="AA57" s="53" t="s">
        <v>88</v>
      </c>
      <c r="AB57" s="127" t="s">
        <v>236</v>
      </c>
      <c r="AC57" s="34"/>
    </row>
    <row r="58" spans="1:29" x14ac:dyDescent="0.15">
      <c r="A58" s="127" t="s">
        <v>61</v>
      </c>
      <c r="B58" s="127" t="s">
        <v>232</v>
      </c>
      <c r="C58" s="127">
        <v>2019</v>
      </c>
      <c r="D58" s="128" t="s">
        <v>283</v>
      </c>
      <c r="E58" s="127" t="s">
        <v>301</v>
      </c>
      <c r="F58" s="127" t="s">
        <v>300</v>
      </c>
      <c r="G58" s="127" t="s">
        <v>42</v>
      </c>
      <c r="H58" s="53" t="s">
        <v>164</v>
      </c>
      <c r="I58" s="53" t="s">
        <v>159</v>
      </c>
      <c r="J58" s="127" t="s">
        <v>38</v>
      </c>
      <c r="K58" s="53" t="s">
        <v>161</v>
      </c>
      <c r="L58" s="53">
        <v>3</v>
      </c>
      <c r="N58" s="53">
        <v>1</v>
      </c>
      <c r="O58" s="53">
        <v>1.1499999999999999</v>
      </c>
      <c r="P58" s="53">
        <v>1.1000000000000001</v>
      </c>
      <c r="Q58" s="75">
        <f t="shared" si="0"/>
        <v>1.125</v>
      </c>
      <c r="R58" s="53">
        <v>17.2</v>
      </c>
      <c r="S58" s="53">
        <v>139</v>
      </c>
      <c r="T58" s="16">
        <f t="shared" si="1"/>
        <v>22</v>
      </c>
      <c r="U58" s="53">
        <v>138</v>
      </c>
      <c r="V58" s="129">
        <f t="shared" si="2"/>
        <v>3036</v>
      </c>
      <c r="W58" s="53">
        <v>16</v>
      </c>
      <c r="X58" s="127" t="s">
        <v>46</v>
      </c>
      <c r="Y58" s="53" t="s">
        <v>97</v>
      </c>
      <c r="Z58" s="53" t="s">
        <v>78</v>
      </c>
      <c r="AA58" s="53" t="s">
        <v>88</v>
      </c>
      <c r="AB58" s="127" t="s">
        <v>236</v>
      </c>
      <c r="AC58" s="34"/>
    </row>
    <row r="59" spans="1:29" x14ac:dyDescent="0.15">
      <c r="A59" s="127" t="s">
        <v>61</v>
      </c>
      <c r="B59" s="127" t="s">
        <v>232</v>
      </c>
      <c r="C59" s="127">
        <v>2019</v>
      </c>
      <c r="D59" s="128" t="s">
        <v>283</v>
      </c>
      <c r="E59" s="127" t="s">
        <v>301</v>
      </c>
      <c r="F59" s="127" t="s">
        <v>300</v>
      </c>
      <c r="G59" s="127" t="s">
        <v>42</v>
      </c>
      <c r="H59" s="53" t="s">
        <v>160</v>
      </c>
      <c r="I59" s="53" t="s">
        <v>159</v>
      </c>
      <c r="J59" s="127" t="s">
        <v>38</v>
      </c>
      <c r="K59" s="53" t="s">
        <v>161</v>
      </c>
      <c r="L59" s="53">
        <v>1</v>
      </c>
      <c r="N59" s="53">
        <v>1</v>
      </c>
      <c r="O59" s="53">
        <v>0.75</v>
      </c>
      <c r="P59" s="53">
        <v>0.6</v>
      </c>
      <c r="Q59" s="75">
        <f t="shared" si="0"/>
        <v>0.67500000000000004</v>
      </c>
      <c r="R59" s="53">
        <v>16.8</v>
      </c>
      <c r="S59" s="53">
        <v>110</v>
      </c>
      <c r="T59" s="16">
        <f t="shared" si="1"/>
        <v>33</v>
      </c>
      <c r="U59" s="53">
        <v>138</v>
      </c>
      <c r="V59" s="129">
        <f t="shared" si="2"/>
        <v>4554</v>
      </c>
      <c r="W59" s="53">
        <v>16</v>
      </c>
      <c r="X59" s="127" t="s">
        <v>46</v>
      </c>
      <c r="Y59" s="53" t="s">
        <v>97</v>
      </c>
      <c r="Z59" s="53" t="s">
        <v>78</v>
      </c>
      <c r="AA59" s="53" t="s">
        <v>88</v>
      </c>
      <c r="AB59" s="127" t="s">
        <v>236</v>
      </c>
    </row>
    <row r="60" spans="1:29" x14ac:dyDescent="0.15">
      <c r="A60" s="127" t="s">
        <v>61</v>
      </c>
      <c r="B60" s="127" t="s">
        <v>232</v>
      </c>
      <c r="C60" s="127">
        <v>2019</v>
      </c>
      <c r="D60" s="128" t="s">
        <v>283</v>
      </c>
      <c r="E60" s="127" t="s">
        <v>301</v>
      </c>
      <c r="F60" s="127" t="s">
        <v>300</v>
      </c>
      <c r="G60" s="127" t="s">
        <v>42</v>
      </c>
      <c r="H60" s="53" t="s">
        <v>160</v>
      </c>
      <c r="I60" s="53" t="s">
        <v>159</v>
      </c>
      <c r="J60" s="127" t="s">
        <v>38</v>
      </c>
      <c r="K60" s="53" t="s">
        <v>161</v>
      </c>
      <c r="L60" s="53">
        <v>2</v>
      </c>
      <c r="N60" s="53">
        <v>1</v>
      </c>
      <c r="O60" s="53">
        <v>0.6</v>
      </c>
      <c r="P60" s="53">
        <v>0.6</v>
      </c>
      <c r="Q60" s="75">
        <f t="shared" si="0"/>
        <v>0.6</v>
      </c>
      <c r="R60" s="53">
        <v>16.2</v>
      </c>
      <c r="S60" s="53">
        <v>142</v>
      </c>
      <c r="T60" s="16">
        <f t="shared" si="1"/>
        <v>22</v>
      </c>
      <c r="U60" s="53">
        <v>138</v>
      </c>
      <c r="V60" s="129">
        <f t="shared" si="2"/>
        <v>3036</v>
      </c>
      <c r="W60" s="53">
        <v>16</v>
      </c>
      <c r="X60" s="127" t="s">
        <v>46</v>
      </c>
      <c r="Y60" s="53" t="s">
        <v>97</v>
      </c>
      <c r="Z60" s="53" t="s">
        <v>78</v>
      </c>
      <c r="AA60" s="53" t="s">
        <v>88</v>
      </c>
      <c r="AB60" s="127" t="s">
        <v>236</v>
      </c>
    </row>
    <row r="61" spans="1:29" x14ac:dyDescent="0.15">
      <c r="A61" s="127" t="s">
        <v>61</v>
      </c>
      <c r="B61" s="127" t="s">
        <v>232</v>
      </c>
      <c r="C61" s="127">
        <v>2019</v>
      </c>
      <c r="D61" s="128" t="s">
        <v>283</v>
      </c>
      <c r="E61" s="127" t="s">
        <v>301</v>
      </c>
      <c r="F61" s="127" t="s">
        <v>300</v>
      </c>
      <c r="G61" s="127" t="s">
        <v>42</v>
      </c>
      <c r="H61" s="53" t="s">
        <v>160</v>
      </c>
      <c r="I61" s="53" t="s">
        <v>159</v>
      </c>
      <c r="J61" s="127" t="s">
        <v>38</v>
      </c>
      <c r="K61" s="53" t="s">
        <v>161</v>
      </c>
      <c r="L61" s="53">
        <v>3</v>
      </c>
      <c r="N61" s="53">
        <v>1</v>
      </c>
      <c r="O61" s="53">
        <v>0.7</v>
      </c>
      <c r="P61" s="53">
        <v>0.75</v>
      </c>
      <c r="Q61" s="75">
        <f t="shared" si="0"/>
        <v>0.72499999999999998</v>
      </c>
      <c r="R61" s="53">
        <v>15.6</v>
      </c>
      <c r="S61" s="53">
        <v>142</v>
      </c>
      <c r="T61" s="16">
        <f t="shared" si="1"/>
        <v>22</v>
      </c>
      <c r="U61" s="53">
        <v>138</v>
      </c>
      <c r="V61" s="129">
        <f t="shared" si="2"/>
        <v>3036</v>
      </c>
      <c r="W61" s="53">
        <v>16</v>
      </c>
      <c r="X61" s="127" t="s">
        <v>46</v>
      </c>
      <c r="Y61" s="53" t="s">
        <v>97</v>
      </c>
      <c r="Z61" s="53" t="s">
        <v>78</v>
      </c>
      <c r="AA61" s="53" t="s">
        <v>88</v>
      </c>
      <c r="AB61" s="127" t="s">
        <v>236</v>
      </c>
    </row>
    <row r="62" spans="1:29" x14ac:dyDescent="0.15">
      <c r="A62" s="127"/>
      <c r="B62" s="127"/>
      <c r="C62" s="127"/>
      <c r="D62" s="128"/>
      <c r="E62" s="127"/>
      <c r="F62" s="127"/>
      <c r="G62" s="127"/>
      <c r="J62" s="127"/>
      <c r="Q62" s="75" t="str">
        <f t="shared" si="0"/>
        <v/>
      </c>
      <c r="T62" s="16" t="str">
        <f t="shared" si="1"/>
        <v/>
      </c>
      <c r="V62" s="129" t="str">
        <f t="shared" si="2"/>
        <v/>
      </c>
      <c r="X62" s="127"/>
      <c r="AB62" s="127"/>
      <c r="AC62" s="34"/>
    </row>
    <row r="63" spans="1:29" x14ac:dyDescent="0.15">
      <c r="A63" s="127"/>
      <c r="B63" s="127"/>
      <c r="C63" s="127"/>
      <c r="D63" s="128"/>
      <c r="E63" s="127"/>
      <c r="F63" s="127"/>
      <c r="G63" s="127"/>
      <c r="J63" s="127"/>
      <c r="Q63" s="75" t="str">
        <f t="shared" si="0"/>
        <v/>
      </c>
      <c r="R63" s="34"/>
      <c r="T63" s="16" t="str">
        <f t="shared" si="1"/>
        <v/>
      </c>
      <c r="V63" s="129" t="str">
        <f t="shared" si="2"/>
        <v/>
      </c>
      <c r="X63" s="127"/>
      <c r="AB63" s="127"/>
      <c r="AC63" s="34"/>
    </row>
    <row r="64" spans="1:29" x14ac:dyDescent="0.15">
      <c r="A64" s="127"/>
      <c r="B64" s="127"/>
      <c r="C64" s="127"/>
      <c r="D64" s="128"/>
      <c r="F64" s="127"/>
      <c r="G64" s="127"/>
      <c r="J64" s="127"/>
      <c r="Q64" s="75" t="str">
        <f t="shared" si="0"/>
        <v/>
      </c>
      <c r="R64" s="34"/>
      <c r="T64" s="16" t="str">
        <f t="shared" si="1"/>
        <v/>
      </c>
      <c r="V64" s="129" t="str">
        <f t="shared" si="2"/>
        <v/>
      </c>
      <c r="X64" s="127"/>
      <c r="AB64" s="127"/>
      <c r="AC64" s="34"/>
    </row>
    <row r="65" spans="1:29" x14ac:dyDescent="0.15">
      <c r="A65" s="127"/>
      <c r="B65" s="127"/>
      <c r="C65" s="127"/>
      <c r="D65" s="128"/>
      <c r="F65" s="127"/>
      <c r="G65" s="127"/>
      <c r="J65" s="127"/>
      <c r="Q65" s="75" t="str">
        <f t="shared" si="0"/>
        <v/>
      </c>
      <c r="T65" s="16" t="str">
        <f t="shared" si="1"/>
        <v/>
      </c>
      <c r="V65" s="129" t="str">
        <f t="shared" si="2"/>
        <v/>
      </c>
      <c r="X65" s="127"/>
      <c r="AB65" s="127"/>
      <c r="AC65" s="34"/>
    </row>
    <row r="66" spans="1:29" x14ac:dyDescent="0.15">
      <c r="A66" s="127"/>
      <c r="B66" s="127"/>
      <c r="C66" s="127"/>
      <c r="D66" s="128"/>
      <c r="F66" s="127"/>
      <c r="G66" s="127"/>
      <c r="J66" s="127"/>
      <c r="Q66" s="75" t="str">
        <f t="shared" ref="Q66:Q67" si="3">IF(OR(O66="",P66=""),"",AVERAGE(O66,P66))</f>
        <v/>
      </c>
      <c r="T66" s="16" t="str">
        <f t="shared" ref="T66:T67" si="4">IF(H66="","",IF(OR(H66="GREEN",H66="GK"),IF(S66&gt;=$AX$2,VLOOKUP(S66,$AX$2:$AY$15,2,1),""),IF(S66&gt;=$AZ$2,VLOOKUP(S66,$AZ$2:$BA$15,2,1),"")))</f>
        <v/>
      </c>
      <c r="V66" s="129" t="str">
        <f t="shared" ref="V66:V67" si="5">IF(OR(N66="",U66="",T66=""),"",U66/N66*T66)</f>
        <v/>
      </c>
      <c r="X66" s="127"/>
      <c r="AB66" s="127"/>
      <c r="AC66" s="34"/>
    </row>
    <row r="67" spans="1:29" x14ac:dyDescent="0.15">
      <c r="A67" s="127"/>
      <c r="B67" s="127"/>
      <c r="C67" s="127"/>
      <c r="D67" s="128"/>
      <c r="G67" s="127"/>
      <c r="J67" s="127"/>
      <c r="Q67" s="75" t="str">
        <f t="shared" si="3"/>
        <v/>
      </c>
      <c r="T67" s="16" t="str">
        <f t="shared" si="4"/>
        <v/>
      </c>
      <c r="V67" s="129" t="str">
        <f t="shared" si="5"/>
        <v/>
      </c>
      <c r="X67" s="127"/>
      <c r="AB67" s="127"/>
      <c r="AC67" s="34"/>
    </row>
    <row r="68" spans="1:29" x14ac:dyDescent="0.15">
      <c r="A68" s="127"/>
      <c r="B68" s="127"/>
      <c r="C68" s="127"/>
      <c r="D68" s="128"/>
      <c r="G68" s="127"/>
      <c r="J68" s="127"/>
      <c r="Q68" s="75"/>
      <c r="V68" s="129"/>
      <c r="X68" s="127"/>
      <c r="AB68" s="127"/>
    </row>
    <row r="69" spans="1:29" x14ac:dyDescent="0.15">
      <c r="A69" s="127"/>
      <c r="B69" s="127"/>
      <c r="C69" s="127"/>
      <c r="D69" s="128"/>
      <c r="G69" s="127"/>
      <c r="J69" s="127"/>
      <c r="Q69" s="75"/>
      <c r="V69" s="129"/>
      <c r="X69" s="127"/>
      <c r="AB69" s="127"/>
    </row>
    <row r="70" spans="1:29" x14ac:dyDescent="0.15">
      <c r="A70" s="127"/>
      <c r="B70" s="127"/>
      <c r="C70" s="127"/>
      <c r="D70" s="128"/>
      <c r="G70" s="127"/>
      <c r="J70" s="127"/>
      <c r="Q70" s="75"/>
      <c r="V70" s="129"/>
      <c r="X70" s="127"/>
      <c r="AB70" s="127"/>
    </row>
    <row r="71" spans="1:29" x14ac:dyDescent="0.15">
      <c r="A71" s="127"/>
      <c r="B71" s="127"/>
      <c r="C71" s="127"/>
      <c r="D71" s="128"/>
      <c r="G71" s="127"/>
      <c r="J71" s="127"/>
      <c r="Q71" s="75" t="str">
        <f t="shared" ref="Q71:Q73" si="6">IF(OR(O71="",P71=""),"",AVERAGE(O71,P71))</f>
        <v/>
      </c>
      <c r="T71" s="16" t="str">
        <f>IF(H71="","",IF(OR(H71="GREEN",H71="GK"),IF(S71&gt;=$AX$2,VLOOKUP(S71,$AX$2:$AY$15,2,1),""),IF(S71&gt;=$AZ$2,VLOOKUP(S71,$AZ$2:$BA$15,2,1),"")))</f>
        <v/>
      </c>
      <c r="V71" s="129" t="str">
        <f t="shared" ref="V71:V73" si="7">IF(OR(N71="",U71="",T71=""),"",U71/N71*T71)</f>
        <v/>
      </c>
      <c r="X71" s="127"/>
      <c r="AB71" s="127"/>
    </row>
    <row r="72" spans="1:29" x14ac:dyDescent="0.15">
      <c r="A72" s="127"/>
      <c r="B72" s="127"/>
      <c r="C72" s="127"/>
      <c r="D72" s="128"/>
      <c r="G72" s="127"/>
      <c r="J72" s="127"/>
      <c r="Q72" s="75" t="str">
        <f t="shared" si="6"/>
        <v/>
      </c>
      <c r="T72" s="16" t="str">
        <f>IF(H72="","",IF(OR(H72="GREEN",H72="GK"),IF(S72&gt;=$AX$2,VLOOKUP(S72,$AX$2:$AY$15,2,1),""),IF(S72&gt;=$AZ$2,VLOOKUP(S72,$AZ$2:$BA$15,2,1),"")))</f>
        <v/>
      </c>
      <c r="V72" s="129" t="str">
        <f t="shared" si="7"/>
        <v/>
      </c>
      <c r="X72" s="127"/>
      <c r="AB72" s="127"/>
    </row>
    <row r="73" spans="1:29" x14ac:dyDescent="0.15">
      <c r="A73" s="127"/>
      <c r="B73" s="127"/>
      <c r="C73" s="127"/>
      <c r="D73" s="128"/>
      <c r="G73" s="127"/>
      <c r="J73" s="127"/>
      <c r="Q73" s="75" t="str">
        <f t="shared" si="6"/>
        <v/>
      </c>
      <c r="T73" s="16" t="str">
        <f>IF(H73="","",IF(OR(H73="GREEN",H73="GK"),IF(S73&gt;=$AX$2,VLOOKUP(S73,$AX$2:$AY$15,2,1),""),IF(S73&gt;=$AZ$2,VLOOKUP(S73,$AZ$2:$BA$15,2,1),"")))</f>
        <v/>
      </c>
      <c r="V73" s="129" t="str">
        <f t="shared" si="7"/>
        <v/>
      </c>
      <c r="X73" s="127"/>
      <c r="AB73" s="127"/>
    </row>
    <row r="74" spans="1:29" x14ac:dyDescent="0.15">
      <c r="A74" s="127"/>
      <c r="B74" s="127"/>
      <c r="C74" s="127"/>
      <c r="D74" s="128"/>
      <c r="G74" s="127"/>
      <c r="J74" s="127"/>
      <c r="Q74" s="75"/>
      <c r="V74" s="129"/>
      <c r="X74" s="127"/>
      <c r="AB74" s="127"/>
    </row>
    <row r="75" spans="1:29" x14ac:dyDescent="0.15">
      <c r="A75" s="127"/>
      <c r="B75" s="127"/>
      <c r="C75" s="127"/>
      <c r="D75" s="128"/>
      <c r="G75" s="127"/>
      <c r="J75" s="127"/>
      <c r="Q75" s="75"/>
      <c r="V75" s="129"/>
      <c r="X75" s="127"/>
      <c r="AB75" s="127"/>
    </row>
    <row r="76" spans="1:29" x14ac:dyDescent="0.15">
      <c r="A76" s="127"/>
      <c r="B76" s="127"/>
      <c r="C76" s="127"/>
      <c r="D76" s="128"/>
      <c r="G76" s="127"/>
      <c r="J76" s="127"/>
      <c r="Q76" s="75"/>
      <c r="V76" s="129"/>
      <c r="X76" s="127"/>
      <c r="AB76" s="127"/>
    </row>
    <row r="77" spans="1:29" x14ac:dyDescent="0.15">
      <c r="A77" s="127"/>
      <c r="B77" s="127"/>
      <c r="C77" s="127"/>
      <c r="D77" s="128"/>
      <c r="G77" s="127"/>
      <c r="J77" s="127"/>
      <c r="Q77" s="75"/>
      <c r="V77" s="129"/>
      <c r="X77" s="127"/>
      <c r="AB77" s="127"/>
    </row>
    <row r="78" spans="1:29" x14ac:dyDescent="0.15">
      <c r="A78" s="127"/>
      <c r="B78" s="127"/>
      <c r="C78" s="127"/>
      <c r="D78" s="128"/>
      <c r="G78" s="127"/>
      <c r="J78" s="127"/>
      <c r="Q78" s="75"/>
      <c r="V78" s="129"/>
      <c r="X78" s="127"/>
      <c r="AB78" s="127"/>
    </row>
    <row r="79" spans="1:29" x14ac:dyDescent="0.15">
      <c r="A79" s="127"/>
      <c r="B79" s="127"/>
      <c r="C79" s="127"/>
      <c r="D79" s="128"/>
      <c r="G79" s="127"/>
      <c r="J79" s="127"/>
      <c r="Q79" s="75"/>
      <c r="V79" s="129"/>
      <c r="X79" s="127"/>
      <c r="AB79" s="127"/>
    </row>
    <row r="80" spans="1:29" x14ac:dyDescent="0.15">
      <c r="A80" s="127"/>
      <c r="B80" s="127"/>
      <c r="C80" s="127"/>
      <c r="D80" s="128"/>
      <c r="G80" s="127"/>
      <c r="J80" s="127"/>
      <c r="Q80" s="75"/>
      <c r="V80" s="129"/>
      <c r="X80" s="127"/>
      <c r="AB80" s="127"/>
    </row>
    <row r="81" spans="1:28" x14ac:dyDescent="0.15">
      <c r="A81" s="127"/>
      <c r="B81" s="127"/>
      <c r="C81" s="127"/>
      <c r="D81" s="128"/>
      <c r="G81" s="127"/>
      <c r="J81" s="127"/>
      <c r="Q81" s="75"/>
      <c r="V81" s="129"/>
      <c r="X81" s="127"/>
      <c r="AB81" s="127"/>
    </row>
    <row r="82" spans="1:28" x14ac:dyDescent="0.15">
      <c r="A82" s="127"/>
      <c r="B82" s="127"/>
      <c r="C82" s="127"/>
      <c r="D82" s="128"/>
      <c r="G82" s="127"/>
      <c r="J82" s="127"/>
      <c r="Q82" s="75"/>
      <c r="V82" s="129"/>
      <c r="X82" s="127"/>
      <c r="AB82" s="127"/>
    </row>
    <row r="83" spans="1:28" x14ac:dyDescent="0.15">
      <c r="A83" s="127"/>
      <c r="B83" s="127"/>
      <c r="C83" s="127"/>
      <c r="D83" s="128"/>
      <c r="G83" s="127"/>
      <c r="J83" s="127"/>
      <c r="Q83" s="75"/>
      <c r="V83" s="129"/>
      <c r="X83" s="127"/>
      <c r="AB83" s="127"/>
    </row>
    <row r="84" spans="1:28" x14ac:dyDescent="0.15">
      <c r="A84" s="127"/>
      <c r="B84" s="127"/>
      <c r="C84" s="127"/>
      <c r="D84" s="128"/>
      <c r="G84" s="127"/>
      <c r="J84" s="127"/>
      <c r="Q84" s="75"/>
      <c r="V84" s="129"/>
      <c r="X84" s="127"/>
      <c r="AB84" s="127"/>
    </row>
    <row r="85" spans="1:28" x14ac:dyDescent="0.15">
      <c r="A85" s="127"/>
      <c r="B85" s="127"/>
      <c r="C85" s="127"/>
      <c r="D85" s="128"/>
      <c r="G85" s="127"/>
      <c r="J85" s="127"/>
      <c r="Q85" s="75"/>
      <c r="V85" s="129"/>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D89" s="128"/>
    </row>
    <row r="90" spans="1:28" x14ac:dyDescent="0.15">
      <c r="A90" s="127"/>
      <c r="B90" s="127"/>
      <c r="C90" s="127"/>
      <c r="D90" s="128"/>
      <c r="G90" s="127"/>
      <c r="J90" s="127"/>
      <c r="Q90" s="75"/>
      <c r="V90" s="129"/>
      <c r="X90" s="127"/>
      <c r="AB90" s="127"/>
    </row>
    <row r="91" spans="1:28" x14ac:dyDescent="0.15">
      <c r="A91" s="127"/>
      <c r="B91" s="127"/>
      <c r="C91" s="127"/>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A98" s="127"/>
      <c r="B98" s="127"/>
      <c r="C98" s="127"/>
      <c r="D98" s="128"/>
      <c r="G98" s="127"/>
      <c r="J98" s="127"/>
      <c r="Q98" s="75"/>
      <c r="V98" s="129"/>
      <c r="X98" s="127"/>
      <c r="AB98" s="127"/>
    </row>
    <row r="99" spans="1:28" x14ac:dyDescent="0.15">
      <c r="A99" s="127"/>
      <c r="B99" s="127"/>
      <c r="C99" s="127"/>
      <c r="D99" s="128"/>
      <c r="G99" s="127"/>
      <c r="J99" s="127"/>
      <c r="Q99" s="75"/>
      <c r="V99" s="129"/>
      <c r="X99" s="127"/>
      <c r="AB99" s="127"/>
    </row>
    <row r="100" spans="1:28" x14ac:dyDescent="0.15">
      <c r="A100" s="127"/>
      <c r="B100" s="127"/>
      <c r="C100" s="127"/>
      <c r="D100" s="128"/>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D107" s="128"/>
    </row>
    <row r="108" spans="1:28" x14ac:dyDescent="0.15">
      <c r="D108" s="128"/>
    </row>
  </sheetData>
  <autoFilter ref="A1:BA1" xr:uid="{00000000-0009-0000-0000-000004000000}"/>
  <phoneticPr fontId="3"/>
  <dataValidations count="20">
    <dataValidation type="list" allowBlank="1" showInputMessage="1" showErrorMessage="1" sqref="K2:K494" xr:uid="{F2B43F33-3D85-4E10-B405-D76CEBCFB2DC}">
      <formula1>$AR$2:$AR$25</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xr:uid="{082E4DE6-676D-4AE1-8130-503E7BD570E3}">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xr:uid="{997E0232-BE3D-4F04-B13D-98D91020DCB3}">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WVR2:WVR67 WLV2:WLV67 WBZ2:WBZ67 VSD2:VSD67 VIH2:VIH67 UYL2:UYL67 UOP2:UOP67 UET2:UET67 TUX2:TUX67 TLB2:TLB67 TBF2:TBF67 SRJ2:SRJ67 SHN2:SHN67 RXR2:RXR67 RNV2:RNV67 RDZ2:RDZ67 QUD2:QUD67 QKH2:QKH67 QAL2:QAL67 PQP2:PQP67 PGT2:PGT67 OWX2:OWX67 ONB2:ONB67 ODF2:ODF67 NTJ2:NTJ67 NJN2:NJN67 MZR2:MZR67 MPV2:MPV67 MFZ2:MFZ67 LWD2:LWD67 LMH2:LMH67 LCL2:LCL67 KSP2:KSP67 KIT2:KIT67 JYX2:JYX67 JPB2:JPB67 JFF2:JFF67 IVJ2:IVJ67 ILN2:ILN67 IBR2:IBR67 HRV2:HRV67 HHZ2:HHZ67 GYD2:GYD67 GOH2:GOH67 GEL2:GEL67 FUP2:FUP67 FKT2:FKT67 FAX2:FAX67 ERB2:ERB67 EHF2:EHF67 DXJ2:DXJ67 DNN2:DNN67 DDR2:DDR67 CTV2:CTV67 CJZ2:CJZ67 CAD2:CAD67 BQH2:BQH67 BGL2:BGL67 AWP2:AWP67 AMT2:AMT67 ACX2:ACX67 TB2:TB67 JF2:JF67" xr:uid="{4E306EBE-0998-4CC0-8887-D04724BC7434}">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10:F981899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4:F916363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8:F850827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2:F785291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6:F719755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30:F654219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4:F588683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8:F523147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2:F457611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6:F392075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50:F326539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4:F261003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8:F195467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2:F129931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6:F64395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xr:uid="{B112B95E-CA4B-4CB6-B783-3717F1830A03}">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10:E981899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4:E916363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8:E850827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2:E785291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6:E719755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30:E654219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4:E588683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8:E523147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2:E457611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6:E392075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50:E326539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4:E261003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8:E195467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2:E129931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6:E64395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xr:uid="{54DB7075-8C8A-4293-A5A8-124B1922960A}">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xr:uid="{8A4FA552-BCE6-49EE-9EB5-92635EF6A040}">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B2:B88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IX2:IX67" xr:uid="{082337CF-4B9A-462C-B24B-09F72AF36653}"/>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WVI2:WVI67 WLM2:WLM67 WBQ2:WBQ67 VRU2:VRU67 VHY2:VHY67 UYC2:UYC67 UOG2:UOG67 UEK2:UEK67 TUO2:TUO67 TKS2:TKS67 TAW2:TAW67 SRA2:SRA67 SHE2:SHE67 RXI2:RXI67 RNM2:RNM67 RDQ2:RDQ67 QTU2:QTU67 QJY2:QJY67 QAC2:QAC67 PQG2:PQG67 PGK2:PGK67 OWO2:OWO67 OMS2:OMS67 OCW2:OCW67 NTA2:NTA67 NJE2:NJE67 MZI2:MZI67 MPM2:MPM67 MFQ2:MFQ67 LVU2:LVU67 LLY2:LLY67 LCC2:LCC67 KSG2:KSG67 KIK2:KIK67 JYO2:JYO67 JOS2:JOS67 JEW2:JEW67 IVA2:IVA67 ILE2:ILE67 IBI2:IBI67 HRM2:HRM67 HHQ2:HHQ67 GXU2:GXU67 GNY2:GNY67 GEC2:GEC67 FUG2:FUG67 FKK2:FKK67 FAO2:FAO67 EQS2:EQS67 EGW2:EGW67 DXA2:DXA67 DNE2:DNE67 DDI2:DDI67 CTM2:CTM67 CJQ2:CJQ67 BZU2:BZU67 BPY2:BPY67 BGC2:BGC67 AWG2:AWG67 AMK2:AMK67 ACO2:ACO67 SS2:SS67 IW2:IW67" xr:uid="{1B715D6B-FB09-4406-8C21-289E98EE4A06}">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G2:G88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JC2:JC67" xr:uid="{FE5D6007-5FBA-4CDB-B9D1-172426CDD457}">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xr:uid="{86CA5867-E7BA-45E3-9D6B-6F4A5A931E2E}">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I2:I88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JE2:JE67" xr:uid="{31B8ADA1-FA97-43ED-8538-8012AEF3F2EB}">
      <formula1>$AN$5:$AN$6</formula1>
    </dataValidation>
    <dataValidation type="list" allowBlank="1" showInputMessage="1" showErrorMessage="1" sqref="WWG981799:WWI981882 WCO981799:WCQ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JU2:JW67 TQ2:TS67 ADM2:ADO67 ANI2:ANK67 AXE2:AXG67 BHA2:BHC67 BQW2:BQY67 CAS2:CAU67 CKO2:CKQ67 CUK2:CUM67 DEG2:DEI67 DOC2:DOE67 DXY2:DYA67 EHU2:EHW67 ERQ2:ERS67 FBM2:FBO67 FLI2:FLK67 FVE2:FVG67 GFA2:GFC67 GOW2:GOY67 GYS2:GYU67 HIO2:HIQ67 HSK2:HSM67 ICG2:ICI67 IMC2:IME67 IVY2:IWA67 JFU2:JFW67 JPQ2:JPS67 JZM2:JZO67 KJI2:KJK67 KTE2:KTG67 LDA2:LDC67 LMW2:LMY67 LWS2:LWU67 MGO2:MGQ67 MQK2:MQM67 NAG2:NAI67 NKC2:NKE67 NTY2:NUA67 ODU2:ODW67 ONQ2:ONS67 OXM2:OXO67 PHI2:PHK67 PRE2:PRG67 QBA2:QBC67 QKW2:QKY67 QUS2:QUU67 REO2:REQ67 ROK2:ROM67 RYG2:RYI67 SIC2:SIE67 SRY2:SSA67 TBU2:TBW67 TLQ2:TLS67 TVM2:TVO67 UFI2:UFK67 UPE2:UPG67 UZA2:UZC67 VIW2:VIY67 VSS2:VSU67 WCO2:WCQ67 WMK2:WMM67 WWG2:WWI67" xr:uid="{73574366-E235-4FD2-9E1D-7A94C6DDD757}">
      <formula1>$AV$2:$AV$22</formula1>
    </dataValidation>
    <dataValidation type="list" allowBlank="1" showInputMessage="1" showErrorMessage="1" sqref="J90:J494 J2:J88" xr:uid="{14BBDAE6-2250-4777-B21A-158EA05A4E0B}">
      <formula1>$AP$2:$AP$25</formula1>
    </dataValidation>
    <dataValidation type="list" allowBlank="1" showInputMessage="1" showErrorMessage="1" sqref="F92:F496 F2:F90" xr:uid="{82F15DEE-E5E1-4C54-B4D7-992857B4C014}">
      <formula1>$AH$2:$AH$10</formula1>
    </dataValidation>
    <dataValidation type="list" allowBlank="1" showInputMessage="1" showErrorMessage="1" sqref="E92:E496 E2:E90" xr:uid="{3015E793-381E-4FC8-BA6A-F6696F4AF8E1}">
      <formula1>$AG$2:$AG$11</formula1>
    </dataValidation>
    <dataValidation type="list" allowBlank="1" showInputMessage="1" showErrorMessage="1" sqref="A90:A494 A2:A88" xr:uid="{050508E2-56A6-409F-A549-4A627AB4B3E6}">
      <formula1>$AE$2:$AE$19</formula1>
    </dataValidation>
    <dataValidation type="list" allowBlank="1" showInputMessage="1" showErrorMessage="1" sqref="H90:H494 H2:H88" xr:uid="{C770DC20-7E24-4817-9F8A-9D965C968F16}">
      <formula1>$AL$2:$AL$8</formula1>
    </dataValidation>
    <dataValidation type="list" allowBlank="1" showInputMessage="1" showErrorMessage="1" sqref="Y90:AA494 Y2:AA88" xr:uid="{7B5F0FD0-4C6A-4A18-BDD0-43B1C737F521}">
      <formula1>$AV$2:$AV$21</formula1>
    </dataValidation>
    <dataValidation type="decimal" allowBlank="1" showInputMessage="1" showErrorMessage="1" error="硬度を正しく入力して下さい。" sqref="O90:P494 O18:P19 P15 P13 O62:P88 O23:P43" xr:uid="{9F0A7705-C345-4544-B20C-F75FA3A504EB}">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A42D0-6F26-41DB-BE9F-EC404CE429D1}">
  <dimension ref="A1:BA443"/>
  <sheetViews>
    <sheetView zoomScale="70" zoomScaleNormal="70" zoomScaleSheetLayoutView="100" workbookViewId="0">
      <selection activeCell="AE38" sqref="AE38"/>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312</v>
      </c>
      <c r="G1" s="45" t="s">
        <v>6</v>
      </c>
      <c r="H1" s="45" t="s">
        <v>7</v>
      </c>
      <c r="I1" s="45" t="s">
        <v>8</v>
      </c>
      <c r="J1" s="45" t="s">
        <v>9</v>
      </c>
      <c r="K1" s="137"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38"/>
      <c r="AJ1" s="139" t="s">
        <v>6</v>
      </c>
      <c r="AK1" s="138"/>
      <c r="AL1" s="140" t="s">
        <v>7</v>
      </c>
      <c r="AM1" s="138"/>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1" t="s">
        <v>34</v>
      </c>
      <c r="B2" s="141" t="s">
        <v>232</v>
      </c>
      <c r="C2" s="141">
        <v>2019</v>
      </c>
      <c r="D2" s="142" t="s">
        <v>313</v>
      </c>
      <c r="E2" s="141" t="s">
        <v>314</v>
      </c>
      <c r="F2" s="141" t="s">
        <v>315</v>
      </c>
      <c r="G2" s="143" t="s">
        <v>36</v>
      </c>
      <c r="H2" s="144" t="s">
        <v>164</v>
      </c>
      <c r="I2" s="127" t="s">
        <v>159</v>
      </c>
      <c r="J2" s="145" t="s">
        <v>38</v>
      </c>
      <c r="K2" s="127" t="s">
        <v>161</v>
      </c>
      <c r="L2" s="146">
        <v>1</v>
      </c>
      <c r="M2" s="147"/>
      <c r="N2" s="147">
        <v>4</v>
      </c>
      <c r="O2" s="147">
        <v>0.95</v>
      </c>
      <c r="P2" s="147">
        <v>0.8</v>
      </c>
      <c r="Q2" s="148">
        <f>IF(OR(O2="",P2=""),"",AVERAGE(O2,P2))</f>
        <v>0.875</v>
      </c>
      <c r="R2" s="149">
        <v>14.1</v>
      </c>
      <c r="S2" s="144">
        <v>90</v>
      </c>
      <c r="T2" s="150">
        <f t="shared" ref="T2:T65" si="0">IF(H2="","",IF(OR(H2="GREEN",H2="GK"),IF(S2&gt;=$AX$2,VLOOKUP(S2,$AX$2:$AY$7,2,1),""),IF(S2&gt;=$AZ$2,VLOOKUP(S2,$AZ$2:$BA$7,2,1),"")))</f>
        <v>36</v>
      </c>
      <c r="U2" s="127">
        <v>398</v>
      </c>
      <c r="V2" s="150">
        <f t="shared" ref="V2:V65" si="1">IF(OR(N2="",U2="",T2=""),"",U2/N2*T2)</f>
        <v>3582</v>
      </c>
      <c r="W2" s="151">
        <v>6</v>
      </c>
      <c r="X2" s="152" t="s">
        <v>46</v>
      </c>
      <c r="Y2" s="152" t="s">
        <v>88</v>
      </c>
      <c r="Z2" s="152" t="s">
        <v>102</v>
      </c>
      <c r="AA2" s="152" t="s">
        <v>97</v>
      </c>
      <c r="AB2" s="53" t="s">
        <v>236</v>
      </c>
      <c r="AE2" s="64" t="s">
        <v>35</v>
      </c>
      <c r="AG2" s="67" t="s">
        <v>314</v>
      </c>
      <c r="AH2" s="67" t="s">
        <v>315</v>
      </c>
      <c r="AJ2" s="130" t="s">
        <v>36</v>
      </c>
      <c r="AL2" s="67" t="s">
        <v>127</v>
      </c>
      <c r="AN2" s="67" t="s">
        <v>37</v>
      </c>
      <c r="AP2" s="67" t="s">
        <v>38</v>
      </c>
      <c r="AR2" s="67" t="s">
        <v>120</v>
      </c>
      <c r="AT2" s="67" t="s">
        <v>39</v>
      </c>
      <c r="AV2" s="67" t="s">
        <v>40</v>
      </c>
      <c r="AX2" s="68">
        <v>1</v>
      </c>
      <c r="AY2" s="69">
        <v>50</v>
      </c>
      <c r="AZ2" s="69">
        <v>1</v>
      </c>
      <c r="BA2" s="70">
        <v>50</v>
      </c>
    </row>
    <row r="3" spans="1:53" x14ac:dyDescent="0.15">
      <c r="A3" s="153" t="s">
        <v>34</v>
      </c>
      <c r="B3" s="153" t="s">
        <v>157</v>
      </c>
      <c r="C3" s="154">
        <v>2019</v>
      </c>
      <c r="D3" s="155" t="s">
        <v>316</v>
      </c>
      <c r="E3" s="153" t="s">
        <v>314</v>
      </c>
      <c r="F3" s="153" t="s">
        <v>315</v>
      </c>
      <c r="G3" s="156" t="s">
        <v>36</v>
      </c>
      <c r="H3" s="127" t="s">
        <v>164</v>
      </c>
      <c r="I3" s="127" t="s">
        <v>159</v>
      </c>
      <c r="J3" s="127" t="s">
        <v>38</v>
      </c>
      <c r="K3" s="127" t="s">
        <v>161</v>
      </c>
      <c r="L3" s="53">
        <v>2</v>
      </c>
      <c r="N3" s="53">
        <v>4</v>
      </c>
      <c r="O3" s="53">
        <v>1</v>
      </c>
      <c r="P3" s="34">
        <v>0.9</v>
      </c>
      <c r="Q3" s="157">
        <f t="shared" ref="Q3:Q66" si="2">IF(OR(O3="",P3=""),"",AVERAGE(O3,P3))</f>
        <v>0.95</v>
      </c>
      <c r="R3" s="158">
        <v>13</v>
      </c>
      <c r="S3" s="158">
        <v>91</v>
      </c>
      <c r="T3" s="16">
        <f t="shared" si="0"/>
        <v>36</v>
      </c>
      <c r="U3" s="159">
        <v>398</v>
      </c>
      <c r="V3" s="38">
        <f t="shared" si="1"/>
        <v>3582</v>
      </c>
      <c r="W3" s="160">
        <v>6</v>
      </c>
      <c r="X3" s="161" t="s">
        <v>46</v>
      </c>
      <c r="Y3" s="161" t="s">
        <v>88</v>
      </c>
      <c r="Z3" s="161" t="s">
        <v>102</v>
      </c>
      <c r="AA3" s="152" t="s">
        <v>97</v>
      </c>
      <c r="AB3" s="53" t="s">
        <v>158</v>
      </c>
      <c r="AE3" s="22" t="s">
        <v>41</v>
      </c>
      <c r="AG3" s="67" t="s">
        <v>317</v>
      </c>
      <c r="AH3" s="67" t="s">
        <v>318</v>
      </c>
      <c r="AJ3" s="162" t="s">
        <v>42</v>
      </c>
      <c r="AL3" s="23" t="s">
        <v>128</v>
      </c>
      <c r="AN3" s="23" t="s">
        <v>43</v>
      </c>
      <c r="AP3" s="23" t="s">
        <v>44</v>
      </c>
      <c r="AR3" s="23" t="s">
        <v>45</v>
      </c>
      <c r="AT3" s="23" t="s">
        <v>46</v>
      </c>
      <c r="AV3" s="23" t="s">
        <v>47</v>
      </c>
      <c r="AX3" s="24">
        <v>72</v>
      </c>
      <c r="AY3" s="25">
        <v>46</v>
      </c>
      <c r="AZ3" s="25">
        <v>71</v>
      </c>
      <c r="BA3" s="26">
        <v>42</v>
      </c>
    </row>
    <row r="4" spans="1:53" x14ac:dyDescent="0.15">
      <c r="A4" s="153" t="s">
        <v>34</v>
      </c>
      <c r="B4" s="153" t="s">
        <v>157</v>
      </c>
      <c r="C4" s="153">
        <v>2019</v>
      </c>
      <c r="D4" s="155" t="s">
        <v>316</v>
      </c>
      <c r="E4" s="153" t="s">
        <v>314</v>
      </c>
      <c r="F4" s="153" t="s">
        <v>315</v>
      </c>
      <c r="G4" s="156" t="s">
        <v>36</v>
      </c>
      <c r="H4" s="127" t="s">
        <v>164</v>
      </c>
      <c r="I4" s="127" t="s">
        <v>159</v>
      </c>
      <c r="J4" s="127" t="s">
        <v>38</v>
      </c>
      <c r="K4" s="127" t="s">
        <v>161</v>
      </c>
      <c r="L4" s="53">
        <v>3</v>
      </c>
      <c r="N4" s="53">
        <v>4</v>
      </c>
      <c r="O4" s="53">
        <v>0.85</v>
      </c>
      <c r="P4" s="34">
        <v>0.9</v>
      </c>
      <c r="Q4" s="75">
        <f t="shared" si="2"/>
        <v>0.875</v>
      </c>
      <c r="R4" s="163">
        <v>13.6</v>
      </c>
      <c r="S4" s="163">
        <v>90</v>
      </c>
      <c r="T4" s="16">
        <f t="shared" si="0"/>
        <v>36</v>
      </c>
      <c r="U4" s="164">
        <v>398</v>
      </c>
      <c r="V4" s="38">
        <f t="shared" si="1"/>
        <v>3582</v>
      </c>
      <c r="W4" s="160">
        <v>6</v>
      </c>
      <c r="X4" s="161" t="s">
        <v>46</v>
      </c>
      <c r="Y4" s="161" t="s">
        <v>88</v>
      </c>
      <c r="Z4" s="161" t="s">
        <v>102</v>
      </c>
      <c r="AA4" s="152" t="s">
        <v>97</v>
      </c>
      <c r="AB4" s="53" t="s">
        <v>158</v>
      </c>
      <c r="AE4" s="22" t="s">
        <v>34</v>
      </c>
      <c r="AG4" s="67" t="s">
        <v>319</v>
      </c>
      <c r="AH4" s="67" t="s">
        <v>318</v>
      </c>
      <c r="AJ4" s="165" t="s">
        <v>48</v>
      </c>
      <c r="AL4" s="27" t="s">
        <v>129</v>
      </c>
      <c r="AN4" s="28" t="s">
        <v>49</v>
      </c>
      <c r="AP4" s="23" t="s">
        <v>93</v>
      </c>
      <c r="AR4" s="23" t="s">
        <v>121</v>
      </c>
      <c r="AT4" s="28"/>
      <c r="AV4" s="23" t="s">
        <v>50</v>
      </c>
      <c r="AX4" s="24">
        <v>75</v>
      </c>
      <c r="AY4" s="25">
        <v>42</v>
      </c>
      <c r="AZ4" s="25">
        <v>76</v>
      </c>
      <c r="BA4" s="26">
        <v>39</v>
      </c>
    </row>
    <row r="5" spans="1:53" x14ac:dyDescent="0.15">
      <c r="A5" s="153" t="s">
        <v>34</v>
      </c>
      <c r="B5" s="153" t="s">
        <v>157</v>
      </c>
      <c r="C5" s="154">
        <v>2019</v>
      </c>
      <c r="D5" s="155" t="s">
        <v>316</v>
      </c>
      <c r="E5" s="153" t="s">
        <v>314</v>
      </c>
      <c r="F5" s="153" t="s">
        <v>315</v>
      </c>
      <c r="G5" s="156" t="s">
        <v>36</v>
      </c>
      <c r="H5" s="127" t="s">
        <v>160</v>
      </c>
      <c r="I5" s="127" t="s">
        <v>159</v>
      </c>
      <c r="J5" s="127" t="s">
        <v>38</v>
      </c>
      <c r="K5" s="127" t="s">
        <v>161</v>
      </c>
      <c r="L5" s="53">
        <v>1</v>
      </c>
      <c r="N5" s="53">
        <v>1</v>
      </c>
      <c r="O5" s="53">
        <v>0.55000000000000004</v>
      </c>
      <c r="P5" s="53">
        <v>0.6</v>
      </c>
      <c r="Q5" s="75">
        <f t="shared" si="2"/>
        <v>0.57499999999999996</v>
      </c>
      <c r="R5" s="163">
        <v>17.100000000000001</v>
      </c>
      <c r="S5" s="163">
        <v>111</v>
      </c>
      <c r="T5" s="16">
        <f t="shared" si="0"/>
        <v>33</v>
      </c>
      <c r="U5" s="164">
        <v>138</v>
      </c>
      <c r="V5" s="38">
        <f t="shared" si="1"/>
        <v>4554</v>
      </c>
      <c r="W5" s="160">
        <v>6</v>
      </c>
      <c r="X5" s="161" t="s">
        <v>46</v>
      </c>
      <c r="Y5" s="161" t="s">
        <v>88</v>
      </c>
      <c r="Z5" s="161" t="s">
        <v>102</v>
      </c>
      <c r="AA5" s="152" t="s">
        <v>97</v>
      </c>
      <c r="AB5" s="53" t="s">
        <v>158</v>
      </c>
      <c r="AE5" s="22" t="s">
        <v>51</v>
      </c>
      <c r="AG5" s="67" t="s">
        <v>314</v>
      </c>
      <c r="AH5" s="67" t="s">
        <v>320</v>
      </c>
      <c r="AJ5" s="166"/>
      <c r="AL5" s="73" t="s">
        <v>66</v>
      </c>
      <c r="AN5" s="73" t="s">
        <v>52</v>
      </c>
      <c r="AP5" s="23" t="s">
        <v>119</v>
      </c>
      <c r="AR5" s="23" t="s">
        <v>54</v>
      </c>
      <c r="AV5" s="23" t="s">
        <v>55</v>
      </c>
      <c r="AX5" s="24">
        <v>84</v>
      </c>
      <c r="AY5" s="25">
        <v>39</v>
      </c>
      <c r="AZ5" s="25">
        <v>84</v>
      </c>
      <c r="BA5" s="26">
        <v>36</v>
      </c>
    </row>
    <row r="6" spans="1:53" x14ac:dyDescent="0.15">
      <c r="A6" s="153" t="s">
        <v>34</v>
      </c>
      <c r="B6" s="153" t="s">
        <v>157</v>
      </c>
      <c r="C6" s="153">
        <v>2019</v>
      </c>
      <c r="D6" s="155" t="s">
        <v>316</v>
      </c>
      <c r="E6" s="153" t="s">
        <v>314</v>
      </c>
      <c r="F6" s="153" t="s">
        <v>315</v>
      </c>
      <c r="G6" s="156" t="s">
        <v>36</v>
      </c>
      <c r="H6" s="127" t="s">
        <v>160</v>
      </c>
      <c r="I6" s="127" t="s">
        <v>159</v>
      </c>
      <c r="J6" s="127" t="s">
        <v>38</v>
      </c>
      <c r="K6" s="127" t="s">
        <v>161</v>
      </c>
      <c r="L6" s="53">
        <v>2</v>
      </c>
      <c r="N6" s="53">
        <v>1</v>
      </c>
      <c r="O6" s="53">
        <v>0.7</v>
      </c>
      <c r="P6" s="53">
        <v>0.55000000000000004</v>
      </c>
      <c r="Q6" s="75">
        <f t="shared" si="2"/>
        <v>0.625</v>
      </c>
      <c r="R6" s="163">
        <v>16.5</v>
      </c>
      <c r="S6" s="163">
        <v>108</v>
      </c>
      <c r="T6" s="16">
        <f t="shared" si="0"/>
        <v>33</v>
      </c>
      <c r="U6" s="164">
        <v>138</v>
      </c>
      <c r="V6" s="38">
        <f t="shared" si="1"/>
        <v>4554</v>
      </c>
      <c r="W6" s="160">
        <v>6</v>
      </c>
      <c r="X6" s="161" t="s">
        <v>46</v>
      </c>
      <c r="Y6" s="161" t="s">
        <v>88</v>
      </c>
      <c r="Z6" s="161" t="s">
        <v>102</v>
      </c>
      <c r="AA6" s="152" t="s">
        <v>97</v>
      </c>
      <c r="AB6" s="53" t="s">
        <v>158</v>
      </c>
      <c r="AE6" s="22" t="s">
        <v>56</v>
      </c>
      <c r="AG6" s="67" t="s">
        <v>210</v>
      </c>
      <c r="AH6" s="67" t="s">
        <v>321</v>
      </c>
      <c r="AL6" s="73" t="s">
        <v>99</v>
      </c>
      <c r="AN6" s="73" t="s">
        <v>57</v>
      </c>
      <c r="AP6" s="23" t="s">
        <v>53</v>
      </c>
      <c r="AR6" s="23" t="s">
        <v>59</v>
      </c>
      <c r="AV6" s="23" t="s">
        <v>60</v>
      </c>
      <c r="AX6" s="24">
        <v>97</v>
      </c>
      <c r="AY6" s="25">
        <v>36</v>
      </c>
      <c r="AZ6" s="25">
        <v>99</v>
      </c>
      <c r="BA6" s="26">
        <v>33</v>
      </c>
    </row>
    <row r="7" spans="1:53" x14ac:dyDescent="0.15">
      <c r="A7" s="153" t="s">
        <v>34</v>
      </c>
      <c r="B7" s="153" t="s">
        <v>157</v>
      </c>
      <c r="C7" s="154">
        <v>2019</v>
      </c>
      <c r="D7" s="155" t="s">
        <v>316</v>
      </c>
      <c r="E7" s="153" t="s">
        <v>314</v>
      </c>
      <c r="F7" s="153" t="s">
        <v>315</v>
      </c>
      <c r="G7" s="156" t="s">
        <v>36</v>
      </c>
      <c r="H7" s="127" t="s">
        <v>160</v>
      </c>
      <c r="I7" s="127" t="s">
        <v>159</v>
      </c>
      <c r="J7" s="127" t="s">
        <v>38</v>
      </c>
      <c r="K7" s="127" t="s">
        <v>161</v>
      </c>
      <c r="L7" s="53">
        <v>3</v>
      </c>
      <c r="N7" s="53">
        <v>1</v>
      </c>
      <c r="O7" s="53">
        <v>0.6</v>
      </c>
      <c r="P7" s="53">
        <v>0.6</v>
      </c>
      <c r="Q7" s="75">
        <f t="shared" si="2"/>
        <v>0.6</v>
      </c>
      <c r="R7" s="163">
        <v>16.8</v>
      </c>
      <c r="S7" s="163">
        <v>110</v>
      </c>
      <c r="T7" s="16">
        <f t="shared" si="0"/>
        <v>33</v>
      </c>
      <c r="U7" s="164">
        <v>138</v>
      </c>
      <c r="V7" s="38">
        <f t="shared" si="1"/>
        <v>4554</v>
      </c>
      <c r="W7" s="160">
        <v>6</v>
      </c>
      <c r="X7" s="161" t="s">
        <v>46</v>
      </c>
      <c r="Y7" s="161" t="s">
        <v>88</v>
      </c>
      <c r="Z7" s="161" t="s">
        <v>102</v>
      </c>
      <c r="AA7" s="152" t="s">
        <v>97</v>
      </c>
      <c r="AB7" s="53" t="s">
        <v>158</v>
      </c>
      <c r="AE7" s="22" t="s">
        <v>61</v>
      </c>
      <c r="AG7" s="67" t="s">
        <v>322</v>
      </c>
      <c r="AH7" s="67" t="s">
        <v>321</v>
      </c>
      <c r="AL7" s="34" t="s">
        <v>109</v>
      </c>
      <c r="AP7" s="23" t="s">
        <v>58</v>
      </c>
      <c r="AR7" s="23" t="s">
        <v>122</v>
      </c>
      <c r="AV7" s="23" t="s">
        <v>64</v>
      </c>
      <c r="AX7" s="24">
        <v>109</v>
      </c>
      <c r="AY7" s="25">
        <v>33</v>
      </c>
      <c r="AZ7" s="25">
        <v>113</v>
      </c>
      <c r="BA7" s="26">
        <v>30</v>
      </c>
    </row>
    <row r="8" spans="1:53" x14ac:dyDescent="0.15">
      <c r="A8" s="153" t="s">
        <v>34</v>
      </c>
      <c r="B8" s="153" t="s">
        <v>157</v>
      </c>
      <c r="C8" s="153">
        <v>2019</v>
      </c>
      <c r="D8" s="155" t="s">
        <v>316</v>
      </c>
      <c r="E8" s="154" t="s">
        <v>317</v>
      </c>
      <c r="F8" s="153" t="s">
        <v>318</v>
      </c>
      <c r="G8" s="156" t="s">
        <v>36</v>
      </c>
      <c r="H8" s="127" t="s">
        <v>164</v>
      </c>
      <c r="I8" s="127" t="s">
        <v>159</v>
      </c>
      <c r="J8" s="127" t="s">
        <v>38</v>
      </c>
      <c r="K8" s="127" t="s">
        <v>161</v>
      </c>
      <c r="L8" s="53">
        <v>1</v>
      </c>
      <c r="N8" s="53">
        <v>4</v>
      </c>
      <c r="O8" s="53">
        <v>0.45</v>
      </c>
      <c r="P8" s="53">
        <v>0.5</v>
      </c>
      <c r="Q8" s="75">
        <f t="shared" si="2"/>
        <v>0.47499999999999998</v>
      </c>
      <c r="R8" s="163">
        <v>14.2</v>
      </c>
      <c r="S8" s="163">
        <v>91</v>
      </c>
      <c r="T8" s="16">
        <f t="shared" si="0"/>
        <v>36</v>
      </c>
      <c r="U8" s="159">
        <v>398</v>
      </c>
      <c r="V8" s="38">
        <f t="shared" si="1"/>
        <v>3582</v>
      </c>
      <c r="W8" s="160">
        <v>4</v>
      </c>
      <c r="X8" s="161" t="s">
        <v>46</v>
      </c>
      <c r="Y8" s="167" t="s">
        <v>88</v>
      </c>
      <c r="Z8" s="161" t="s">
        <v>78</v>
      </c>
      <c r="AA8" s="152" t="s">
        <v>86</v>
      </c>
      <c r="AB8" s="53" t="s">
        <v>158</v>
      </c>
      <c r="AE8" s="22" t="s">
        <v>59</v>
      </c>
      <c r="AG8" s="67" t="s">
        <v>210</v>
      </c>
      <c r="AH8" s="67" t="s">
        <v>323</v>
      </c>
      <c r="AL8" s="34" t="s">
        <v>134</v>
      </c>
      <c r="AP8" s="23" t="s">
        <v>62</v>
      </c>
      <c r="AR8" s="23" t="s">
        <v>81</v>
      </c>
      <c r="AV8" s="23" t="s">
        <v>97</v>
      </c>
      <c r="AX8" s="24">
        <v>151</v>
      </c>
      <c r="AY8" s="25">
        <v>22</v>
      </c>
      <c r="AZ8" s="25">
        <v>152</v>
      </c>
      <c r="BA8" s="26">
        <v>18</v>
      </c>
    </row>
    <row r="9" spans="1:53" x14ac:dyDescent="0.15">
      <c r="A9" s="153" t="s">
        <v>34</v>
      </c>
      <c r="B9" s="153" t="s">
        <v>157</v>
      </c>
      <c r="C9" s="154">
        <v>2019</v>
      </c>
      <c r="D9" s="155" t="s">
        <v>316</v>
      </c>
      <c r="E9" s="154" t="s">
        <v>317</v>
      </c>
      <c r="F9" s="153" t="s">
        <v>318</v>
      </c>
      <c r="G9" s="156" t="s">
        <v>36</v>
      </c>
      <c r="H9" s="127" t="s">
        <v>324</v>
      </c>
      <c r="I9" s="127" t="s">
        <v>159</v>
      </c>
      <c r="J9" s="127" t="s">
        <v>38</v>
      </c>
      <c r="K9" s="127" t="s">
        <v>161</v>
      </c>
      <c r="L9" s="53">
        <v>2</v>
      </c>
      <c r="N9" s="53">
        <v>4</v>
      </c>
      <c r="O9" s="53">
        <v>0.5</v>
      </c>
      <c r="P9" s="53">
        <v>0.55000000000000004</v>
      </c>
      <c r="Q9" s="75">
        <f t="shared" si="2"/>
        <v>0.52500000000000002</v>
      </c>
      <c r="R9" s="163">
        <v>13.8</v>
      </c>
      <c r="S9" s="163">
        <v>93</v>
      </c>
      <c r="T9" s="16">
        <f t="shared" si="0"/>
        <v>36</v>
      </c>
      <c r="U9" s="159">
        <v>398</v>
      </c>
      <c r="V9" s="38">
        <f t="shared" si="1"/>
        <v>3582</v>
      </c>
      <c r="W9" s="160">
        <v>4</v>
      </c>
      <c r="X9" s="161" t="s">
        <v>46</v>
      </c>
      <c r="Y9" s="167" t="s">
        <v>88</v>
      </c>
      <c r="Z9" s="161" t="s">
        <v>78</v>
      </c>
      <c r="AA9" s="152" t="s">
        <v>86</v>
      </c>
      <c r="AB9" s="53" t="s">
        <v>158</v>
      </c>
      <c r="AE9" s="22" t="s">
        <v>98</v>
      </c>
      <c r="AG9" s="67" t="s">
        <v>139</v>
      </c>
      <c r="AH9" s="67" t="s">
        <v>323</v>
      </c>
      <c r="AL9" s="73"/>
      <c r="AP9" s="23" t="s">
        <v>95</v>
      </c>
      <c r="AR9" s="23" t="s">
        <v>89</v>
      </c>
      <c r="AV9" s="23" t="s">
        <v>102</v>
      </c>
      <c r="AX9" s="31">
        <v>180</v>
      </c>
      <c r="AY9" s="32">
        <v>18</v>
      </c>
      <c r="AZ9" s="32">
        <v>181</v>
      </c>
      <c r="BA9" s="33">
        <v>16</v>
      </c>
    </row>
    <row r="10" spans="1:53" x14ac:dyDescent="0.15">
      <c r="A10" s="153" t="s">
        <v>34</v>
      </c>
      <c r="B10" s="153" t="s">
        <v>157</v>
      </c>
      <c r="C10" s="153">
        <v>2019</v>
      </c>
      <c r="D10" s="155" t="s">
        <v>316</v>
      </c>
      <c r="E10" s="154" t="s">
        <v>317</v>
      </c>
      <c r="F10" s="153" t="s">
        <v>318</v>
      </c>
      <c r="G10" s="156" t="s">
        <v>36</v>
      </c>
      <c r="H10" s="127" t="s">
        <v>164</v>
      </c>
      <c r="I10" s="127" t="s">
        <v>159</v>
      </c>
      <c r="J10" s="127" t="s">
        <v>38</v>
      </c>
      <c r="K10" s="127" t="s">
        <v>161</v>
      </c>
      <c r="L10" s="53">
        <v>3</v>
      </c>
      <c r="N10" s="53">
        <v>4</v>
      </c>
      <c r="O10" s="53">
        <v>0.5</v>
      </c>
      <c r="P10" s="53">
        <v>0.45</v>
      </c>
      <c r="Q10" s="75">
        <f t="shared" si="2"/>
        <v>0.47499999999999998</v>
      </c>
      <c r="R10" s="163">
        <v>13.9</v>
      </c>
      <c r="S10" s="163">
        <v>90</v>
      </c>
      <c r="T10" s="16">
        <f t="shared" si="0"/>
        <v>36</v>
      </c>
      <c r="U10" s="159">
        <v>398</v>
      </c>
      <c r="V10" s="38">
        <f t="shared" si="1"/>
        <v>3582</v>
      </c>
      <c r="W10" s="160">
        <v>4</v>
      </c>
      <c r="X10" s="161" t="s">
        <v>46</v>
      </c>
      <c r="Y10" s="167" t="s">
        <v>88</v>
      </c>
      <c r="Z10" s="161" t="s">
        <v>78</v>
      </c>
      <c r="AA10" s="152" t="s">
        <v>86</v>
      </c>
      <c r="AB10" s="53" t="s">
        <v>158</v>
      </c>
      <c r="AE10" s="22" t="s">
        <v>103</v>
      </c>
      <c r="AG10" s="67" t="s">
        <v>133</v>
      </c>
      <c r="AH10" s="67" t="s">
        <v>325</v>
      </c>
      <c r="AL10" s="34"/>
      <c r="AP10" s="23" t="s">
        <v>100</v>
      </c>
      <c r="AR10" s="23" t="s">
        <v>123</v>
      </c>
      <c r="AV10" s="23" t="s">
        <v>106</v>
      </c>
    </row>
    <row r="11" spans="1:53" x14ac:dyDescent="0.15">
      <c r="A11" s="153" t="s">
        <v>34</v>
      </c>
      <c r="B11" s="153" t="s">
        <v>157</v>
      </c>
      <c r="C11" s="154">
        <v>2019</v>
      </c>
      <c r="D11" s="155" t="s">
        <v>316</v>
      </c>
      <c r="E11" s="154" t="s">
        <v>317</v>
      </c>
      <c r="F11" s="153" t="s">
        <v>318</v>
      </c>
      <c r="G11" s="156" t="s">
        <v>36</v>
      </c>
      <c r="H11" s="127" t="s">
        <v>160</v>
      </c>
      <c r="I11" s="127" t="s">
        <v>159</v>
      </c>
      <c r="J11" s="127" t="s">
        <v>38</v>
      </c>
      <c r="K11" s="127" t="s">
        <v>161</v>
      </c>
      <c r="L11" s="53">
        <v>1</v>
      </c>
      <c r="N11" s="53">
        <v>4</v>
      </c>
      <c r="O11" s="53">
        <v>0.7</v>
      </c>
      <c r="P11" s="53">
        <v>0.7</v>
      </c>
      <c r="Q11" s="75">
        <f t="shared" si="2"/>
        <v>0.7</v>
      </c>
      <c r="R11" s="163">
        <v>15.8</v>
      </c>
      <c r="S11" s="163">
        <v>99</v>
      </c>
      <c r="T11" s="16">
        <f t="shared" si="0"/>
        <v>33</v>
      </c>
      <c r="U11" s="159">
        <v>498</v>
      </c>
      <c r="V11" s="38">
        <f t="shared" si="1"/>
        <v>4108.5</v>
      </c>
      <c r="W11" s="160">
        <v>4</v>
      </c>
      <c r="X11" s="161" t="s">
        <v>46</v>
      </c>
      <c r="Y11" s="167" t="s">
        <v>88</v>
      </c>
      <c r="Z11" s="161" t="s">
        <v>78</v>
      </c>
      <c r="AA11" s="167" t="s">
        <v>86</v>
      </c>
      <c r="AB11" s="53" t="s">
        <v>158</v>
      </c>
      <c r="AE11" s="22" t="s">
        <v>65</v>
      </c>
      <c r="AG11" s="23" t="s">
        <v>269</v>
      </c>
      <c r="AH11" s="23" t="s">
        <v>326</v>
      </c>
      <c r="AL11" s="34"/>
      <c r="AP11" s="23" t="s">
        <v>104</v>
      </c>
      <c r="AR11" s="23" t="s">
        <v>87</v>
      </c>
      <c r="AV11" s="23" t="s">
        <v>69</v>
      </c>
    </row>
    <row r="12" spans="1:53" x14ac:dyDescent="0.15">
      <c r="A12" s="153" t="s">
        <v>34</v>
      </c>
      <c r="B12" s="153" t="s">
        <v>157</v>
      </c>
      <c r="C12" s="153">
        <v>2019</v>
      </c>
      <c r="D12" s="155" t="s">
        <v>316</v>
      </c>
      <c r="E12" s="154" t="s">
        <v>317</v>
      </c>
      <c r="F12" s="153" t="s">
        <v>318</v>
      </c>
      <c r="G12" s="156" t="s">
        <v>36</v>
      </c>
      <c r="H12" s="127" t="s">
        <v>160</v>
      </c>
      <c r="I12" s="127" t="s">
        <v>159</v>
      </c>
      <c r="J12" s="127" t="s">
        <v>38</v>
      </c>
      <c r="K12" s="127" t="s">
        <v>161</v>
      </c>
      <c r="L12" s="53">
        <v>2</v>
      </c>
      <c r="N12" s="53">
        <v>4</v>
      </c>
      <c r="O12" s="53">
        <v>0.55000000000000004</v>
      </c>
      <c r="P12" s="53">
        <v>0.6</v>
      </c>
      <c r="Q12" s="75">
        <f t="shared" si="2"/>
        <v>0.57499999999999996</v>
      </c>
      <c r="R12" s="163">
        <v>16.7</v>
      </c>
      <c r="S12" s="163">
        <v>93</v>
      </c>
      <c r="T12" s="16">
        <f t="shared" si="0"/>
        <v>36</v>
      </c>
      <c r="U12" s="159">
        <v>498</v>
      </c>
      <c r="V12" s="38">
        <f t="shared" si="1"/>
        <v>4482</v>
      </c>
      <c r="W12" s="160">
        <v>4</v>
      </c>
      <c r="X12" s="161" t="s">
        <v>46</v>
      </c>
      <c r="Y12" s="167" t="s">
        <v>88</v>
      </c>
      <c r="Z12" s="161" t="s">
        <v>78</v>
      </c>
      <c r="AA12" s="167" t="s">
        <v>86</v>
      </c>
      <c r="AB12" s="53" t="s">
        <v>158</v>
      </c>
      <c r="AE12" s="22" t="s">
        <v>70</v>
      </c>
      <c r="AG12" s="23"/>
      <c r="AH12" s="23"/>
      <c r="AL12" s="34"/>
      <c r="AP12" s="23" t="s">
        <v>67</v>
      </c>
      <c r="AR12" s="23" t="s">
        <v>124</v>
      </c>
      <c r="AV12" s="23" t="s">
        <v>72</v>
      </c>
    </row>
    <row r="13" spans="1:53" x14ac:dyDescent="0.15">
      <c r="A13" s="153" t="s">
        <v>34</v>
      </c>
      <c r="B13" s="153" t="s">
        <v>157</v>
      </c>
      <c r="C13" s="154">
        <v>2019</v>
      </c>
      <c r="D13" s="155" t="s">
        <v>316</v>
      </c>
      <c r="E13" s="154" t="s">
        <v>317</v>
      </c>
      <c r="F13" s="153" t="s">
        <v>318</v>
      </c>
      <c r="G13" s="156" t="s">
        <v>36</v>
      </c>
      <c r="H13" s="127" t="s">
        <v>160</v>
      </c>
      <c r="I13" s="127" t="s">
        <v>159</v>
      </c>
      <c r="J13" s="127" t="s">
        <v>38</v>
      </c>
      <c r="K13" s="127" t="s">
        <v>161</v>
      </c>
      <c r="L13" s="53">
        <v>3</v>
      </c>
      <c r="N13" s="53">
        <v>4</v>
      </c>
      <c r="O13" s="53">
        <v>0.6</v>
      </c>
      <c r="P13" s="53">
        <v>0.55000000000000004</v>
      </c>
      <c r="Q13" s="75">
        <f t="shared" si="2"/>
        <v>0.57499999999999996</v>
      </c>
      <c r="R13" s="163">
        <v>16.899999999999999</v>
      </c>
      <c r="S13" s="163">
        <v>101</v>
      </c>
      <c r="T13" s="16">
        <f t="shared" si="0"/>
        <v>33</v>
      </c>
      <c r="U13" s="159">
        <v>498</v>
      </c>
      <c r="V13" s="38">
        <f t="shared" si="1"/>
        <v>4108.5</v>
      </c>
      <c r="W13" s="160">
        <v>4</v>
      </c>
      <c r="X13" s="161" t="s">
        <v>46</v>
      </c>
      <c r="Y13" s="167" t="s">
        <v>88</v>
      </c>
      <c r="Z13" s="161" t="s">
        <v>78</v>
      </c>
      <c r="AA13" s="167" t="s">
        <v>86</v>
      </c>
      <c r="AB13" s="53" t="s">
        <v>158</v>
      </c>
      <c r="AE13" s="22" t="s">
        <v>73</v>
      </c>
      <c r="AG13" s="28"/>
      <c r="AH13" s="28"/>
      <c r="AP13" s="23" t="s">
        <v>71</v>
      </c>
      <c r="AR13" s="23" t="s">
        <v>103</v>
      </c>
      <c r="AV13" s="23" t="s">
        <v>75</v>
      </c>
    </row>
    <row r="14" spans="1:53" x14ac:dyDescent="0.15">
      <c r="A14" s="153" t="s">
        <v>34</v>
      </c>
      <c r="B14" s="153" t="s">
        <v>157</v>
      </c>
      <c r="C14" s="153">
        <v>2019</v>
      </c>
      <c r="D14" s="155" t="s">
        <v>316</v>
      </c>
      <c r="E14" s="154" t="s">
        <v>319</v>
      </c>
      <c r="F14" s="153" t="s">
        <v>318</v>
      </c>
      <c r="G14" s="156" t="s">
        <v>36</v>
      </c>
      <c r="H14" s="127" t="s">
        <v>164</v>
      </c>
      <c r="I14" s="127" t="s">
        <v>159</v>
      </c>
      <c r="J14" s="127" t="s">
        <v>38</v>
      </c>
      <c r="K14" s="127" t="s">
        <v>161</v>
      </c>
      <c r="L14" s="53">
        <v>1</v>
      </c>
      <c r="N14" s="53">
        <v>1</v>
      </c>
      <c r="O14" s="53">
        <v>0.55000000000000004</v>
      </c>
      <c r="P14" s="53">
        <v>0.5</v>
      </c>
      <c r="Q14" s="75">
        <f t="shared" si="2"/>
        <v>0.52500000000000002</v>
      </c>
      <c r="R14" s="163">
        <v>15.6</v>
      </c>
      <c r="S14" s="163">
        <v>131</v>
      </c>
      <c r="T14" s="16">
        <f t="shared" si="0"/>
        <v>30</v>
      </c>
      <c r="U14" s="159">
        <v>98</v>
      </c>
      <c r="V14" s="38">
        <f t="shared" si="1"/>
        <v>2940</v>
      </c>
      <c r="W14" s="160">
        <v>2</v>
      </c>
      <c r="X14" s="161" t="s">
        <v>46</v>
      </c>
      <c r="Y14" s="167" t="s">
        <v>97</v>
      </c>
      <c r="Z14" s="167" t="s">
        <v>88</v>
      </c>
      <c r="AA14" s="167" t="s">
        <v>102</v>
      </c>
      <c r="AB14" s="53" t="s">
        <v>158</v>
      </c>
      <c r="AC14" s="34"/>
      <c r="AE14" s="22" t="s">
        <v>76</v>
      </c>
      <c r="AP14" s="23" t="s">
        <v>74</v>
      </c>
      <c r="AR14" s="23" t="s">
        <v>125</v>
      </c>
      <c r="AV14" s="23" t="s">
        <v>78</v>
      </c>
    </row>
    <row r="15" spans="1:53" x14ac:dyDescent="0.15">
      <c r="A15" s="153" t="s">
        <v>34</v>
      </c>
      <c r="B15" s="153" t="s">
        <v>157</v>
      </c>
      <c r="C15" s="154">
        <v>2019</v>
      </c>
      <c r="D15" s="155" t="s">
        <v>316</v>
      </c>
      <c r="E15" s="154" t="s">
        <v>319</v>
      </c>
      <c r="F15" s="153" t="s">
        <v>318</v>
      </c>
      <c r="G15" s="156" t="s">
        <v>36</v>
      </c>
      <c r="H15" s="127" t="s">
        <v>164</v>
      </c>
      <c r="I15" s="127" t="s">
        <v>159</v>
      </c>
      <c r="J15" s="127" t="s">
        <v>38</v>
      </c>
      <c r="K15" s="127" t="s">
        <v>161</v>
      </c>
      <c r="L15" s="53">
        <v>2</v>
      </c>
      <c r="N15" s="53">
        <v>1</v>
      </c>
      <c r="O15" s="53">
        <v>0.6</v>
      </c>
      <c r="P15" s="53">
        <v>0.55000000000000004</v>
      </c>
      <c r="Q15" s="75">
        <f t="shared" si="2"/>
        <v>0.57499999999999996</v>
      </c>
      <c r="R15" s="163">
        <v>14.7</v>
      </c>
      <c r="S15" s="163">
        <v>129</v>
      </c>
      <c r="T15" s="16">
        <f t="shared" si="0"/>
        <v>30</v>
      </c>
      <c r="U15" s="159">
        <v>98</v>
      </c>
      <c r="V15" s="38">
        <f t="shared" si="1"/>
        <v>2940</v>
      </c>
      <c r="W15" s="160">
        <v>2</v>
      </c>
      <c r="X15" s="161" t="s">
        <v>46</v>
      </c>
      <c r="Y15" s="167" t="s">
        <v>97</v>
      </c>
      <c r="Z15" s="167" t="s">
        <v>88</v>
      </c>
      <c r="AA15" s="167" t="s">
        <v>102</v>
      </c>
      <c r="AB15" s="53" t="s">
        <v>158</v>
      </c>
      <c r="AC15" s="34"/>
      <c r="AE15" s="22" t="s">
        <v>79</v>
      </c>
      <c r="AP15" s="23" t="s">
        <v>77</v>
      </c>
      <c r="AR15" s="23" t="s">
        <v>94</v>
      </c>
      <c r="AV15" s="23" t="s">
        <v>107</v>
      </c>
    </row>
    <row r="16" spans="1:53" x14ac:dyDescent="0.15">
      <c r="A16" s="153" t="s">
        <v>34</v>
      </c>
      <c r="B16" s="153" t="s">
        <v>157</v>
      </c>
      <c r="C16" s="153">
        <v>2019</v>
      </c>
      <c r="D16" s="155" t="s">
        <v>316</v>
      </c>
      <c r="E16" s="154" t="s">
        <v>319</v>
      </c>
      <c r="F16" s="153" t="s">
        <v>318</v>
      </c>
      <c r="G16" s="156" t="s">
        <v>36</v>
      </c>
      <c r="H16" s="127" t="s">
        <v>164</v>
      </c>
      <c r="I16" s="127" t="s">
        <v>159</v>
      </c>
      <c r="J16" s="127" t="s">
        <v>38</v>
      </c>
      <c r="K16" s="127" t="s">
        <v>161</v>
      </c>
      <c r="L16" s="53">
        <v>3</v>
      </c>
      <c r="N16" s="53">
        <v>1</v>
      </c>
      <c r="O16" s="53">
        <v>0.55000000000000004</v>
      </c>
      <c r="P16" s="53">
        <v>0.6</v>
      </c>
      <c r="Q16" s="75">
        <f t="shared" si="2"/>
        <v>0.57499999999999996</v>
      </c>
      <c r="R16" s="163">
        <v>15.1</v>
      </c>
      <c r="S16" s="163">
        <v>125</v>
      </c>
      <c r="T16" s="16">
        <f t="shared" si="0"/>
        <v>30</v>
      </c>
      <c r="U16" s="159">
        <v>98</v>
      </c>
      <c r="V16" s="38">
        <f t="shared" si="1"/>
        <v>2940</v>
      </c>
      <c r="W16" s="160">
        <v>2</v>
      </c>
      <c r="X16" s="161" t="s">
        <v>46</v>
      </c>
      <c r="Y16" s="167" t="s">
        <v>97</v>
      </c>
      <c r="Z16" s="167" t="s">
        <v>88</v>
      </c>
      <c r="AA16" s="167" t="s">
        <v>102</v>
      </c>
      <c r="AB16" s="53" t="s">
        <v>158</v>
      </c>
      <c r="AC16" s="34"/>
      <c r="AE16" s="22" t="s">
        <v>82</v>
      </c>
      <c r="AP16" s="23" t="s">
        <v>80</v>
      </c>
      <c r="AR16" s="23" t="s">
        <v>63</v>
      </c>
      <c r="AV16" s="23" t="s">
        <v>84</v>
      </c>
    </row>
    <row r="17" spans="1:48" x14ac:dyDescent="0.15">
      <c r="A17" s="153" t="s">
        <v>34</v>
      </c>
      <c r="B17" s="153" t="s">
        <v>232</v>
      </c>
      <c r="C17" s="154">
        <v>2019</v>
      </c>
      <c r="D17" s="155" t="s">
        <v>316</v>
      </c>
      <c r="E17" s="154" t="s">
        <v>319</v>
      </c>
      <c r="F17" s="153" t="s">
        <v>318</v>
      </c>
      <c r="G17" s="156" t="s">
        <v>36</v>
      </c>
      <c r="H17" s="127" t="s">
        <v>160</v>
      </c>
      <c r="I17" s="127" t="s">
        <v>159</v>
      </c>
      <c r="J17" s="127" t="s">
        <v>38</v>
      </c>
      <c r="K17" s="127" t="s">
        <v>161</v>
      </c>
      <c r="L17" s="53">
        <v>1</v>
      </c>
      <c r="N17" s="53">
        <v>1</v>
      </c>
      <c r="O17" s="53">
        <v>0.35</v>
      </c>
      <c r="P17" s="53">
        <v>0.3</v>
      </c>
      <c r="Q17" s="75">
        <f t="shared" si="2"/>
        <v>0.32499999999999996</v>
      </c>
      <c r="R17" s="163">
        <v>18.2</v>
      </c>
      <c r="S17" s="163">
        <v>105</v>
      </c>
      <c r="T17" s="16">
        <f t="shared" si="0"/>
        <v>33</v>
      </c>
      <c r="U17" s="159">
        <v>98</v>
      </c>
      <c r="V17" s="38">
        <f t="shared" si="1"/>
        <v>3234</v>
      </c>
      <c r="W17" s="160">
        <v>2</v>
      </c>
      <c r="X17" s="161" t="s">
        <v>46</v>
      </c>
      <c r="Y17" s="167" t="s">
        <v>97</v>
      </c>
      <c r="Z17" s="167" t="s">
        <v>88</v>
      </c>
      <c r="AA17" s="167" t="s">
        <v>102</v>
      </c>
      <c r="AB17" s="53" t="s">
        <v>158</v>
      </c>
      <c r="AC17" s="34"/>
      <c r="AE17" s="22" t="s">
        <v>85</v>
      </c>
      <c r="AP17" s="27" t="s">
        <v>110</v>
      </c>
      <c r="AR17" s="23" t="s">
        <v>96</v>
      </c>
      <c r="AV17" s="23" t="s">
        <v>86</v>
      </c>
    </row>
    <row r="18" spans="1:48" x14ac:dyDescent="0.15">
      <c r="A18" s="153" t="s">
        <v>34</v>
      </c>
      <c r="B18" s="153" t="s">
        <v>157</v>
      </c>
      <c r="C18" s="153">
        <v>2019</v>
      </c>
      <c r="D18" s="155" t="s">
        <v>316</v>
      </c>
      <c r="E18" s="154" t="s">
        <v>319</v>
      </c>
      <c r="F18" s="153" t="s">
        <v>318</v>
      </c>
      <c r="G18" s="156" t="s">
        <v>36</v>
      </c>
      <c r="H18" s="127" t="s">
        <v>160</v>
      </c>
      <c r="I18" s="127" t="s">
        <v>159</v>
      </c>
      <c r="J18" s="127" t="s">
        <v>38</v>
      </c>
      <c r="K18" s="127" t="s">
        <v>161</v>
      </c>
      <c r="L18" s="53">
        <v>2</v>
      </c>
      <c r="N18" s="53">
        <v>1</v>
      </c>
      <c r="O18" s="53">
        <v>0.4</v>
      </c>
      <c r="P18" s="53">
        <v>0.35</v>
      </c>
      <c r="Q18" s="75">
        <f t="shared" si="2"/>
        <v>0.375</v>
      </c>
      <c r="R18" s="163">
        <v>17.100000000000001</v>
      </c>
      <c r="S18" s="163">
        <v>109</v>
      </c>
      <c r="T18" s="16">
        <f t="shared" si="0"/>
        <v>33</v>
      </c>
      <c r="U18" s="159">
        <v>98</v>
      </c>
      <c r="V18" s="38">
        <f t="shared" si="1"/>
        <v>3234</v>
      </c>
      <c r="W18" s="160">
        <v>2</v>
      </c>
      <c r="X18" s="161" t="s">
        <v>46</v>
      </c>
      <c r="Y18" s="167" t="s">
        <v>97</v>
      </c>
      <c r="Z18" s="167" t="s">
        <v>88</v>
      </c>
      <c r="AA18" s="167" t="s">
        <v>102</v>
      </c>
      <c r="AB18" s="53" t="s">
        <v>158</v>
      </c>
      <c r="AC18" s="34"/>
      <c r="AE18" s="22" t="s">
        <v>87</v>
      </c>
      <c r="AP18" s="27" t="s">
        <v>111</v>
      </c>
      <c r="AR18" s="23" t="s">
        <v>101</v>
      </c>
      <c r="AV18" s="23" t="s">
        <v>88</v>
      </c>
    </row>
    <row r="19" spans="1:48" x14ac:dyDescent="0.15">
      <c r="A19" s="153" t="s">
        <v>34</v>
      </c>
      <c r="B19" s="153" t="s">
        <v>157</v>
      </c>
      <c r="C19" s="154">
        <v>2019</v>
      </c>
      <c r="D19" s="155" t="s">
        <v>316</v>
      </c>
      <c r="E19" s="154" t="s">
        <v>319</v>
      </c>
      <c r="F19" s="153" t="s">
        <v>318</v>
      </c>
      <c r="G19" s="156" t="s">
        <v>36</v>
      </c>
      <c r="H19" s="127" t="s">
        <v>160</v>
      </c>
      <c r="I19" s="127" t="s">
        <v>159</v>
      </c>
      <c r="J19" s="127" t="s">
        <v>38</v>
      </c>
      <c r="K19" s="127" t="s">
        <v>161</v>
      </c>
      <c r="L19" s="53">
        <v>3</v>
      </c>
      <c r="N19" s="53">
        <v>1</v>
      </c>
      <c r="O19" s="53">
        <v>0.4</v>
      </c>
      <c r="P19" s="53">
        <v>0.4</v>
      </c>
      <c r="Q19" s="75">
        <f t="shared" si="2"/>
        <v>0.4</v>
      </c>
      <c r="R19" s="163">
        <v>17.600000000000001</v>
      </c>
      <c r="S19" s="163">
        <v>104</v>
      </c>
      <c r="T19" s="16">
        <f t="shared" si="0"/>
        <v>33</v>
      </c>
      <c r="U19" s="159">
        <v>98</v>
      </c>
      <c r="V19" s="38">
        <f t="shared" si="1"/>
        <v>3234</v>
      </c>
      <c r="W19" s="160">
        <v>2</v>
      </c>
      <c r="X19" s="161" t="s">
        <v>46</v>
      </c>
      <c r="Y19" s="167" t="s">
        <v>97</v>
      </c>
      <c r="Z19" s="167" t="s">
        <v>88</v>
      </c>
      <c r="AA19" s="167" t="s">
        <v>102</v>
      </c>
      <c r="AB19" s="53" t="s">
        <v>158</v>
      </c>
      <c r="AC19" s="34"/>
      <c r="AE19" s="35" t="s">
        <v>89</v>
      </c>
      <c r="AP19" s="27" t="s">
        <v>112</v>
      </c>
      <c r="AR19" s="23" t="s">
        <v>126</v>
      </c>
      <c r="AV19" s="23" t="s">
        <v>90</v>
      </c>
    </row>
    <row r="20" spans="1:48" x14ac:dyDescent="0.15">
      <c r="A20" s="153" t="s">
        <v>34</v>
      </c>
      <c r="B20" s="153" t="s">
        <v>157</v>
      </c>
      <c r="C20" s="153">
        <v>2019</v>
      </c>
      <c r="D20" s="155" t="s">
        <v>316</v>
      </c>
      <c r="E20" s="154" t="s">
        <v>314</v>
      </c>
      <c r="F20" s="153" t="s">
        <v>320</v>
      </c>
      <c r="G20" s="156" t="s">
        <v>36</v>
      </c>
      <c r="H20" s="127" t="s">
        <v>164</v>
      </c>
      <c r="I20" s="127" t="s">
        <v>159</v>
      </c>
      <c r="J20" s="127" t="s">
        <v>38</v>
      </c>
      <c r="K20" s="127" t="s">
        <v>161</v>
      </c>
      <c r="L20" s="53">
        <v>1</v>
      </c>
      <c r="N20" s="53">
        <v>1</v>
      </c>
      <c r="O20" s="53">
        <v>0.85</v>
      </c>
      <c r="P20" s="53">
        <v>0.9</v>
      </c>
      <c r="Q20" s="75">
        <f t="shared" si="2"/>
        <v>0.875</v>
      </c>
      <c r="R20" s="163">
        <v>14.2</v>
      </c>
      <c r="S20" s="163">
        <v>123</v>
      </c>
      <c r="T20" s="16">
        <f t="shared" si="0"/>
        <v>30</v>
      </c>
      <c r="U20" s="159">
        <v>128</v>
      </c>
      <c r="V20" s="38">
        <f t="shared" si="1"/>
        <v>3840</v>
      </c>
      <c r="W20" s="160">
        <v>4</v>
      </c>
      <c r="X20" s="161" t="s">
        <v>39</v>
      </c>
      <c r="Y20" s="167" t="s">
        <v>97</v>
      </c>
      <c r="Z20" s="167" t="s">
        <v>88</v>
      </c>
      <c r="AA20" s="167" t="s">
        <v>102</v>
      </c>
      <c r="AB20" s="53" t="s">
        <v>158</v>
      </c>
      <c r="AE20" s="35"/>
      <c r="AP20" s="27" t="s">
        <v>113</v>
      </c>
      <c r="AR20" s="23" t="s">
        <v>105</v>
      </c>
      <c r="AV20" s="27" t="s">
        <v>135</v>
      </c>
    </row>
    <row r="21" spans="1:48" x14ac:dyDescent="0.15">
      <c r="A21" s="153" t="s">
        <v>34</v>
      </c>
      <c r="B21" s="153" t="s">
        <v>157</v>
      </c>
      <c r="C21" s="154">
        <v>2019</v>
      </c>
      <c r="D21" s="155" t="s">
        <v>316</v>
      </c>
      <c r="E21" s="154" t="s">
        <v>314</v>
      </c>
      <c r="F21" s="153" t="s">
        <v>320</v>
      </c>
      <c r="G21" s="156" t="s">
        <v>36</v>
      </c>
      <c r="H21" s="127" t="s">
        <v>164</v>
      </c>
      <c r="I21" s="127" t="s">
        <v>159</v>
      </c>
      <c r="J21" s="127" t="s">
        <v>38</v>
      </c>
      <c r="K21" s="127" t="s">
        <v>161</v>
      </c>
      <c r="L21" s="53">
        <v>2</v>
      </c>
      <c r="N21" s="53">
        <v>1</v>
      </c>
      <c r="O21" s="53">
        <v>0.9</v>
      </c>
      <c r="P21" s="53">
        <v>0.95</v>
      </c>
      <c r="Q21" s="75">
        <f t="shared" si="2"/>
        <v>0.92500000000000004</v>
      </c>
      <c r="R21" s="163">
        <v>13.5</v>
      </c>
      <c r="S21" s="163">
        <v>117</v>
      </c>
      <c r="T21" s="16">
        <f t="shared" si="0"/>
        <v>30</v>
      </c>
      <c r="U21" s="159">
        <v>128</v>
      </c>
      <c r="V21" s="38">
        <f t="shared" si="1"/>
        <v>3840</v>
      </c>
      <c r="W21" s="160">
        <v>4</v>
      </c>
      <c r="X21" s="161" t="s">
        <v>39</v>
      </c>
      <c r="Y21" s="167" t="s">
        <v>97</v>
      </c>
      <c r="Z21" s="167" t="s">
        <v>88</v>
      </c>
      <c r="AA21" s="167" t="s">
        <v>102</v>
      </c>
      <c r="AB21" s="53" t="s">
        <v>158</v>
      </c>
      <c r="AE21" s="28"/>
      <c r="AP21" s="27" t="s">
        <v>114</v>
      </c>
      <c r="AR21" s="23" t="s">
        <v>68</v>
      </c>
      <c r="AV21" s="27" t="s">
        <v>136</v>
      </c>
    </row>
    <row r="22" spans="1:48" x14ac:dyDescent="0.15">
      <c r="A22" s="153" t="s">
        <v>34</v>
      </c>
      <c r="B22" s="153" t="s">
        <v>157</v>
      </c>
      <c r="C22" s="153">
        <v>2019</v>
      </c>
      <c r="D22" s="155" t="s">
        <v>316</v>
      </c>
      <c r="E22" s="154" t="s">
        <v>314</v>
      </c>
      <c r="F22" s="153" t="s">
        <v>320</v>
      </c>
      <c r="G22" s="156" t="s">
        <v>36</v>
      </c>
      <c r="H22" s="127" t="s">
        <v>164</v>
      </c>
      <c r="I22" s="127" t="s">
        <v>159</v>
      </c>
      <c r="J22" s="127" t="s">
        <v>38</v>
      </c>
      <c r="K22" s="127" t="s">
        <v>161</v>
      </c>
      <c r="L22" s="53">
        <v>3</v>
      </c>
      <c r="N22" s="53">
        <v>1</v>
      </c>
      <c r="O22" s="53">
        <v>0.75</v>
      </c>
      <c r="P22" s="34">
        <v>0.8</v>
      </c>
      <c r="Q22" s="75">
        <f t="shared" si="2"/>
        <v>0.77500000000000002</v>
      </c>
      <c r="R22" s="163">
        <v>13.9</v>
      </c>
      <c r="S22" s="163">
        <v>117</v>
      </c>
      <c r="T22" s="16">
        <f t="shared" si="0"/>
        <v>30</v>
      </c>
      <c r="U22" s="159">
        <v>128</v>
      </c>
      <c r="V22" s="38">
        <f t="shared" si="1"/>
        <v>3840</v>
      </c>
      <c r="W22" s="160">
        <v>4</v>
      </c>
      <c r="X22" s="161" t="s">
        <v>39</v>
      </c>
      <c r="Y22" s="167" t="s">
        <v>97</v>
      </c>
      <c r="Z22" s="167" t="s">
        <v>88</v>
      </c>
      <c r="AA22" s="167" t="s">
        <v>102</v>
      </c>
      <c r="AB22" s="53" t="s">
        <v>158</v>
      </c>
      <c r="AP22" s="27" t="s">
        <v>115</v>
      </c>
      <c r="AR22" s="23" t="s">
        <v>83</v>
      </c>
      <c r="AV22" s="23"/>
    </row>
    <row r="23" spans="1:48" x14ac:dyDescent="0.15">
      <c r="A23" s="153" t="s">
        <v>34</v>
      </c>
      <c r="B23" s="153" t="s">
        <v>157</v>
      </c>
      <c r="C23" s="154">
        <v>2019</v>
      </c>
      <c r="D23" s="155" t="s">
        <v>316</v>
      </c>
      <c r="E23" s="154" t="s">
        <v>314</v>
      </c>
      <c r="F23" s="153" t="s">
        <v>320</v>
      </c>
      <c r="G23" s="156" t="s">
        <v>36</v>
      </c>
      <c r="H23" s="127" t="s">
        <v>160</v>
      </c>
      <c r="I23" s="127" t="s">
        <v>159</v>
      </c>
      <c r="J23" s="127" t="s">
        <v>38</v>
      </c>
      <c r="K23" s="127" t="s">
        <v>161</v>
      </c>
      <c r="L23" s="53">
        <v>1</v>
      </c>
      <c r="N23" s="53">
        <v>1</v>
      </c>
      <c r="O23" s="53">
        <v>0.5</v>
      </c>
      <c r="P23" s="34">
        <v>0.55000000000000004</v>
      </c>
      <c r="Q23" s="75">
        <f t="shared" si="2"/>
        <v>0.52500000000000002</v>
      </c>
      <c r="R23" s="163">
        <v>17.5</v>
      </c>
      <c r="S23" s="163">
        <v>113</v>
      </c>
      <c r="T23" s="16">
        <f t="shared" si="0"/>
        <v>30</v>
      </c>
      <c r="U23" s="159">
        <v>138</v>
      </c>
      <c r="V23" s="38">
        <f t="shared" si="1"/>
        <v>4140</v>
      </c>
      <c r="W23" s="160">
        <v>4</v>
      </c>
      <c r="X23" s="161" t="s">
        <v>39</v>
      </c>
      <c r="Y23" s="167" t="s">
        <v>97</v>
      </c>
      <c r="Z23" s="167" t="s">
        <v>88</v>
      </c>
      <c r="AA23" s="167" t="s">
        <v>102</v>
      </c>
      <c r="AB23" s="53" t="s">
        <v>158</v>
      </c>
      <c r="AP23" s="27" t="s">
        <v>137</v>
      </c>
      <c r="AR23" s="23" t="s">
        <v>61</v>
      </c>
      <c r="AV23" s="23"/>
    </row>
    <row r="24" spans="1:48" x14ac:dyDescent="0.15">
      <c r="A24" s="153" t="s">
        <v>34</v>
      </c>
      <c r="B24" s="153" t="s">
        <v>157</v>
      </c>
      <c r="C24" s="153">
        <v>2019</v>
      </c>
      <c r="D24" s="155" t="s">
        <v>316</v>
      </c>
      <c r="E24" s="154" t="s">
        <v>314</v>
      </c>
      <c r="F24" s="153" t="s">
        <v>320</v>
      </c>
      <c r="G24" s="156" t="s">
        <v>36</v>
      </c>
      <c r="H24" s="127" t="s">
        <v>160</v>
      </c>
      <c r="I24" s="127" t="s">
        <v>159</v>
      </c>
      <c r="J24" s="127" t="s">
        <v>38</v>
      </c>
      <c r="K24" s="127" t="s">
        <v>161</v>
      </c>
      <c r="L24" s="53">
        <v>2</v>
      </c>
      <c r="N24" s="53">
        <v>1</v>
      </c>
      <c r="O24" s="53">
        <v>0.6</v>
      </c>
      <c r="P24" s="34">
        <v>0.5</v>
      </c>
      <c r="Q24" s="75">
        <f t="shared" si="2"/>
        <v>0.55000000000000004</v>
      </c>
      <c r="R24" s="163">
        <v>16.399999999999999</v>
      </c>
      <c r="S24" s="163">
        <v>110</v>
      </c>
      <c r="T24" s="16">
        <f t="shared" si="0"/>
        <v>33</v>
      </c>
      <c r="U24" s="159">
        <v>138</v>
      </c>
      <c r="V24" s="38">
        <f t="shared" si="1"/>
        <v>4554</v>
      </c>
      <c r="W24" s="160">
        <v>4</v>
      </c>
      <c r="X24" s="161" t="s">
        <v>39</v>
      </c>
      <c r="Y24" s="167" t="s">
        <v>97</v>
      </c>
      <c r="Z24" s="167" t="s">
        <v>88</v>
      </c>
      <c r="AA24" s="167" t="s">
        <v>102</v>
      </c>
      <c r="AB24" s="53" t="s">
        <v>158</v>
      </c>
      <c r="AP24" s="27" t="s">
        <v>138</v>
      </c>
      <c r="AR24" s="23" t="s">
        <v>91</v>
      </c>
      <c r="AV24" s="23"/>
    </row>
    <row r="25" spans="1:48" x14ac:dyDescent="0.15">
      <c r="A25" s="153" t="s">
        <v>34</v>
      </c>
      <c r="B25" s="153" t="s">
        <v>157</v>
      </c>
      <c r="C25" s="154">
        <v>2019</v>
      </c>
      <c r="D25" s="155" t="s">
        <v>316</v>
      </c>
      <c r="E25" s="154" t="s">
        <v>314</v>
      </c>
      <c r="F25" s="153" t="s">
        <v>320</v>
      </c>
      <c r="G25" s="156" t="s">
        <v>36</v>
      </c>
      <c r="H25" s="127" t="s">
        <v>160</v>
      </c>
      <c r="I25" s="127" t="s">
        <v>159</v>
      </c>
      <c r="J25" s="127" t="s">
        <v>38</v>
      </c>
      <c r="K25" s="127" t="s">
        <v>161</v>
      </c>
      <c r="L25" s="53">
        <v>3</v>
      </c>
      <c r="N25" s="53">
        <v>1</v>
      </c>
      <c r="O25" s="53">
        <v>0.65</v>
      </c>
      <c r="P25" s="34">
        <v>0.7</v>
      </c>
      <c r="Q25" s="75">
        <f t="shared" si="2"/>
        <v>0.67500000000000004</v>
      </c>
      <c r="R25" s="163">
        <v>16</v>
      </c>
      <c r="S25" s="163">
        <v>111</v>
      </c>
      <c r="T25" s="16">
        <f t="shared" si="0"/>
        <v>33</v>
      </c>
      <c r="U25" s="159">
        <v>138</v>
      </c>
      <c r="V25" s="38">
        <f t="shared" si="1"/>
        <v>4554</v>
      </c>
      <c r="W25" s="160">
        <v>4</v>
      </c>
      <c r="X25" s="161" t="s">
        <v>39</v>
      </c>
      <c r="Y25" s="167" t="s">
        <v>97</v>
      </c>
      <c r="Z25" s="167" t="s">
        <v>88</v>
      </c>
      <c r="AA25" s="167" t="s">
        <v>102</v>
      </c>
      <c r="AB25" s="53" t="s">
        <v>158</v>
      </c>
      <c r="AP25" s="27" t="s">
        <v>116</v>
      </c>
      <c r="AR25" s="27" t="s">
        <v>92</v>
      </c>
      <c r="AV25" s="23"/>
    </row>
    <row r="26" spans="1:48" x14ac:dyDescent="0.15">
      <c r="A26" s="153" t="s">
        <v>34</v>
      </c>
      <c r="B26" s="153" t="s">
        <v>157</v>
      </c>
      <c r="C26" s="153">
        <v>2019</v>
      </c>
      <c r="D26" s="155" t="s">
        <v>316</v>
      </c>
      <c r="E26" s="154" t="s">
        <v>210</v>
      </c>
      <c r="F26" s="153" t="s">
        <v>321</v>
      </c>
      <c r="G26" s="156" t="s">
        <v>42</v>
      </c>
      <c r="H26" s="127" t="s">
        <v>164</v>
      </c>
      <c r="I26" s="127" t="s">
        <v>159</v>
      </c>
      <c r="J26" s="127" t="s">
        <v>38</v>
      </c>
      <c r="K26" s="127" t="s">
        <v>161</v>
      </c>
      <c r="L26" s="53">
        <v>1</v>
      </c>
      <c r="N26" s="53">
        <v>4</v>
      </c>
      <c r="O26" s="53">
        <v>0.6</v>
      </c>
      <c r="P26" s="53">
        <v>0.5</v>
      </c>
      <c r="Q26" s="75">
        <f t="shared" si="2"/>
        <v>0.55000000000000004</v>
      </c>
      <c r="R26" s="163">
        <v>13.4</v>
      </c>
      <c r="S26" s="163">
        <v>89</v>
      </c>
      <c r="T26" s="16">
        <f t="shared" si="0"/>
        <v>36</v>
      </c>
      <c r="U26" s="159">
        <v>377</v>
      </c>
      <c r="V26" s="38">
        <f t="shared" si="1"/>
        <v>3393</v>
      </c>
      <c r="W26" s="160">
        <v>10</v>
      </c>
      <c r="X26" s="161" t="s">
        <v>46</v>
      </c>
      <c r="Y26" s="167" t="s">
        <v>97</v>
      </c>
      <c r="Z26" s="167" t="s">
        <v>88</v>
      </c>
      <c r="AA26" s="167" t="s">
        <v>102</v>
      </c>
      <c r="AB26" s="53" t="s">
        <v>158</v>
      </c>
      <c r="AP26" s="27" t="s">
        <v>117</v>
      </c>
      <c r="AR26" s="23" t="s">
        <v>153</v>
      </c>
      <c r="AV26" s="27"/>
    </row>
    <row r="27" spans="1:48" x14ac:dyDescent="0.15">
      <c r="A27" s="153" t="s">
        <v>34</v>
      </c>
      <c r="B27" s="153" t="s">
        <v>157</v>
      </c>
      <c r="C27" s="154">
        <v>2019</v>
      </c>
      <c r="D27" s="155" t="s">
        <v>316</v>
      </c>
      <c r="E27" s="154" t="s">
        <v>210</v>
      </c>
      <c r="F27" s="153" t="s">
        <v>321</v>
      </c>
      <c r="G27" s="156" t="s">
        <v>42</v>
      </c>
      <c r="H27" s="127" t="s">
        <v>164</v>
      </c>
      <c r="I27" s="127" t="s">
        <v>159</v>
      </c>
      <c r="J27" s="127" t="s">
        <v>38</v>
      </c>
      <c r="K27" s="127" t="s">
        <v>161</v>
      </c>
      <c r="L27" s="53">
        <v>2</v>
      </c>
      <c r="N27" s="53">
        <v>4</v>
      </c>
      <c r="O27" s="34">
        <v>0.5</v>
      </c>
      <c r="P27" s="53">
        <v>0.55000000000000004</v>
      </c>
      <c r="Q27" s="75">
        <f t="shared" si="2"/>
        <v>0.52500000000000002</v>
      </c>
      <c r="R27" s="163">
        <v>14.1</v>
      </c>
      <c r="S27" s="163">
        <v>85</v>
      </c>
      <c r="T27" s="16">
        <f t="shared" si="0"/>
        <v>36</v>
      </c>
      <c r="U27" s="159">
        <v>377</v>
      </c>
      <c r="V27" s="38">
        <f t="shared" si="1"/>
        <v>3393</v>
      </c>
      <c r="W27" s="160">
        <v>10</v>
      </c>
      <c r="X27" s="161" t="s">
        <v>46</v>
      </c>
      <c r="Y27" s="167" t="s">
        <v>97</v>
      </c>
      <c r="Z27" s="167" t="s">
        <v>88</v>
      </c>
      <c r="AA27" s="167" t="s">
        <v>102</v>
      </c>
      <c r="AB27" s="53" t="s">
        <v>158</v>
      </c>
      <c r="AP27" s="27" t="s">
        <v>118</v>
      </c>
      <c r="AR27" s="23"/>
    </row>
    <row r="28" spans="1:48" x14ac:dyDescent="0.15">
      <c r="A28" s="153" t="s">
        <v>34</v>
      </c>
      <c r="B28" s="153" t="s">
        <v>157</v>
      </c>
      <c r="C28" s="153">
        <v>2019</v>
      </c>
      <c r="D28" s="155" t="s">
        <v>316</v>
      </c>
      <c r="E28" s="154" t="s">
        <v>210</v>
      </c>
      <c r="F28" s="153" t="s">
        <v>321</v>
      </c>
      <c r="G28" s="156" t="s">
        <v>42</v>
      </c>
      <c r="H28" s="127" t="s">
        <v>164</v>
      </c>
      <c r="I28" s="127" t="s">
        <v>159</v>
      </c>
      <c r="J28" s="127" t="s">
        <v>38</v>
      </c>
      <c r="K28" s="127" t="s">
        <v>161</v>
      </c>
      <c r="L28" s="53">
        <v>3</v>
      </c>
      <c r="N28" s="53">
        <v>4</v>
      </c>
      <c r="O28" s="34">
        <v>0.6</v>
      </c>
      <c r="P28" s="53">
        <v>0.6</v>
      </c>
      <c r="Q28" s="75">
        <f t="shared" si="2"/>
        <v>0.6</v>
      </c>
      <c r="R28" s="163">
        <v>13.2</v>
      </c>
      <c r="S28" s="163">
        <v>86</v>
      </c>
      <c r="T28" s="16">
        <f t="shared" si="0"/>
        <v>36</v>
      </c>
      <c r="U28" s="159">
        <v>377</v>
      </c>
      <c r="V28" s="38">
        <f t="shared" si="1"/>
        <v>3393</v>
      </c>
      <c r="W28" s="160">
        <v>10</v>
      </c>
      <c r="X28" s="161" t="s">
        <v>46</v>
      </c>
      <c r="Y28" s="167" t="s">
        <v>97</v>
      </c>
      <c r="Z28" s="167" t="s">
        <v>88</v>
      </c>
      <c r="AA28" s="167" t="s">
        <v>102</v>
      </c>
      <c r="AB28" s="53" t="s">
        <v>158</v>
      </c>
      <c r="AR28" s="23"/>
    </row>
    <row r="29" spans="1:48" x14ac:dyDescent="0.15">
      <c r="A29" s="153" t="s">
        <v>34</v>
      </c>
      <c r="B29" s="153" t="s">
        <v>157</v>
      </c>
      <c r="C29" s="153">
        <v>2019</v>
      </c>
      <c r="D29" s="155" t="s">
        <v>316</v>
      </c>
      <c r="E29" s="154" t="s">
        <v>210</v>
      </c>
      <c r="F29" s="153" t="s">
        <v>321</v>
      </c>
      <c r="G29" s="156" t="s">
        <v>42</v>
      </c>
      <c r="H29" s="127" t="s">
        <v>160</v>
      </c>
      <c r="I29" s="127" t="s">
        <v>159</v>
      </c>
      <c r="J29" s="127" t="s">
        <v>38</v>
      </c>
      <c r="K29" s="127" t="s">
        <v>161</v>
      </c>
      <c r="L29" s="53">
        <v>1</v>
      </c>
      <c r="N29" s="53">
        <v>1</v>
      </c>
      <c r="O29" s="53">
        <v>1.1000000000000001</v>
      </c>
      <c r="P29" s="53">
        <v>0.95</v>
      </c>
      <c r="Q29" s="75">
        <f t="shared" si="2"/>
        <v>1.0249999999999999</v>
      </c>
      <c r="R29" s="163">
        <v>15.5</v>
      </c>
      <c r="S29" s="163">
        <v>126</v>
      </c>
      <c r="T29" s="16">
        <f t="shared" si="0"/>
        <v>30</v>
      </c>
      <c r="U29" s="159">
        <v>97</v>
      </c>
      <c r="V29" s="38">
        <f t="shared" si="1"/>
        <v>2910</v>
      </c>
      <c r="W29" s="160">
        <v>10</v>
      </c>
      <c r="X29" s="161" t="s">
        <v>46</v>
      </c>
      <c r="Y29" s="167" t="s">
        <v>97</v>
      </c>
      <c r="Z29" s="167" t="s">
        <v>88</v>
      </c>
      <c r="AA29" s="167" t="s">
        <v>102</v>
      </c>
      <c r="AB29" s="53" t="s">
        <v>158</v>
      </c>
      <c r="AR29" s="28"/>
    </row>
    <row r="30" spans="1:48" x14ac:dyDescent="0.15">
      <c r="A30" s="153" t="s">
        <v>34</v>
      </c>
      <c r="B30" s="153" t="s">
        <v>157</v>
      </c>
      <c r="C30" s="154">
        <v>2019</v>
      </c>
      <c r="D30" s="155" t="s">
        <v>316</v>
      </c>
      <c r="E30" s="154" t="s">
        <v>210</v>
      </c>
      <c r="F30" s="153" t="s">
        <v>321</v>
      </c>
      <c r="G30" s="156" t="s">
        <v>42</v>
      </c>
      <c r="H30" s="127" t="s">
        <v>160</v>
      </c>
      <c r="I30" s="127" t="s">
        <v>159</v>
      </c>
      <c r="J30" s="127" t="s">
        <v>38</v>
      </c>
      <c r="K30" s="127" t="s">
        <v>161</v>
      </c>
      <c r="L30" s="53">
        <v>2</v>
      </c>
      <c r="N30" s="53">
        <v>1</v>
      </c>
      <c r="O30" s="53">
        <v>0.95</v>
      </c>
      <c r="P30" s="53">
        <v>0.9</v>
      </c>
      <c r="Q30" s="75">
        <f t="shared" si="2"/>
        <v>0.92500000000000004</v>
      </c>
      <c r="R30" s="163">
        <v>15.2</v>
      </c>
      <c r="S30" s="163">
        <v>123</v>
      </c>
      <c r="T30" s="16">
        <f t="shared" si="0"/>
        <v>30</v>
      </c>
      <c r="U30" s="159">
        <v>97</v>
      </c>
      <c r="V30" s="38">
        <f t="shared" si="1"/>
        <v>2910</v>
      </c>
      <c r="W30" s="160">
        <v>10</v>
      </c>
      <c r="X30" s="161" t="s">
        <v>46</v>
      </c>
      <c r="Y30" s="167" t="s">
        <v>97</v>
      </c>
      <c r="Z30" s="167" t="s">
        <v>88</v>
      </c>
      <c r="AA30" s="167" t="s">
        <v>102</v>
      </c>
      <c r="AB30" s="53" t="s">
        <v>158</v>
      </c>
    </row>
    <row r="31" spans="1:48" x14ac:dyDescent="0.15">
      <c r="A31" s="153" t="s">
        <v>34</v>
      </c>
      <c r="B31" s="153" t="s">
        <v>157</v>
      </c>
      <c r="C31" s="153">
        <v>2019</v>
      </c>
      <c r="D31" s="155" t="s">
        <v>316</v>
      </c>
      <c r="E31" s="154" t="s">
        <v>210</v>
      </c>
      <c r="F31" s="153" t="s">
        <v>321</v>
      </c>
      <c r="G31" s="156" t="s">
        <v>42</v>
      </c>
      <c r="H31" s="127" t="s">
        <v>160</v>
      </c>
      <c r="I31" s="127" t="s">
        <v>159</v>
      </c>
      <c r="J31" s="127" t="s">
        <v>38</v>
      </c>
      <c r="K31" s="127" t="s">
        <v>161</v>
      </c>
      <c r="L31" s="53">
        <v>3</v>
      </c>
      <c r="N31" s="53">
        <v>1</v>
      </c>
      <c r="O31" s="53">
        <v>1.05</v>
      </c>
      <c r="P31" s="53">
        <v>1</v>
      </c>
      <c r="Q31" s="75">
        <f t="shared" si="2"/>
        <v>1.0249999999999999</v>
      </c>
      <c r="R31" s="163">
        <v>15.5</v>
      </c>
      <c r="S31" s="163">
        <v>121</v>
      </c>
      <c r="T31" s="16">
        <f t="shared" si="0"/>
        <v>30</v>
      </c>
      <c r="U31" s="159">
        <v>97</v>
      </c>
      <c r="V31" s="38">
        <f t="shared" si="1"/>
        <v>2910</v>
      </c>
      <c r="W31" s="160">
        <v>10</v>
      </c>
      <c r="X31" s="161" t="s">
        <v>46</v>
      </c>
      <c r="Y31" s="167" t="s">
        <v>97</v>
      </c>
      <c r="Z31" s="167" t="s">
        <v>88</v>
      </c>
      <c r="AA31" s="167" t="s">
        <v>102</v>
      </c>
      <c r="AB31" s="53" t="s">
        <v>158</v>
      </c>
    </row>
    <row r="32" spans="1:48" ht="14.25" customHeight="1" x14ac:dyDescent="0.15">
      <c r="A32" s="153" t="s">
        <v>34</v>
      </c>
      <c r="B32" s="153" t="s">
        <v>157</v>
      </c>
      <c r="C32" s="154">
        <v>2019</v>
      </c>
      <c r="D32" s="155" t="s">
        <v>316</v>
      </c>
      <c r="E32" s="154" t="s">
        <v>269</v>
      </c>
      <c r="F32" s="153" t="s">
        <v>321</v>
      </c>
      <c r="G32" s="156" t="s">
        <v>42</v>
      </c>
      <c r="H32" s="127" t="s">
        <v>164</v>
      </c>
      <c r="I32" s="127" t="s">
        <v>159</v>
      </c>
      <c r="J32" s="127" t="s">
        <v>38</v>
      </c>
      <c r="K32" s="127" t="s">
        <v>161</v>
      </c>
      <c r="L32" s="53">
        <v>1</v>
      </c>
      <c r="N32" s="53">
        <v>7</v>
      </c>
      <c r="O32" s="53">
        <v>0.6</v>
      </c>
      <c r="P32" s="53">
        <v>0.55000000000000004</v>
      </c>
      <c r="Q32" s="75">
        <f t="shared" si="2"/>
        <v>0.57499999999999996</v>
      </c>
      <c r="R32" s="163">
        <v>15.8</v>
      </c>
      <c r="S32" s="163">
        <v>80</v>
      </c>
      <c r="T32" s="16">
        <f t="shared" si="0"/>
        <v>39</v>
      </c>
      <c r="U32" s="159">
        <v>298</v>
      </c>
      <c r="V32" s="38">
        <f t="shared" si="1"/>
        <v>1660.2857142857142</v>
      </c>
      <c r="W32" s="160">
        <v>4</v>
      </c>
      <c r="X32" s="161" t="s">
        <v>46</v>
      </c>
      <c r="Y32" s="167" t="s">
        <v>88</v>
      </c>
      <c r="Z32" s="167" t="s">
        <v>102</v>
      </c>
      <c r="AA32" s="167" t="s">
        <v>86</v>
      </c>
      <c r="AB32" s="53" t="s">
        <v>158</v>
      </c>
    </row>
    <row r="33" spans="1:28" x14ac:dyDescent="0.15">
      <c r="A33" s="153" t="s">
        <v>34</v>
      </c>
      <c r="B33" s="153" t="s">
        <v>157</v>
      </c>
      <c r="C33" s="153">
        <v>2019</v>
      </c>
      <c r="D33" s="155" t="s">
        <v>316</v>
      </c>
      <c r="E33" s="154" t="s">
        <v>269</v>
      </c>
      <c r="F33" s="153" t="s">
        <v>321</v>
      </c>
      <c r="G33" s="156" t="s">
        <v>42</v>
      </c>
      <c r="H33" s="127" t="s">
        <v>164</v>
      </c>
      <c r="I33" s="127" t="s">
        <v>159</v>
      </c>
      <c r="J33" s="127" t="s">
        <v>38</v>
      </c>
      <c r="K33" s="127" t="s">
        <v>161</v>
      </c>
      <c r="L33" s="53">
        <v>2</v>
      </c>
      <c r="N33" s="53">
        <v>7</v>
      </c>
      <c r="O33" s="53">
        <v>0.7</v>
      </c>
      <c r="P33" s="53">
        <v>0.75</v>
      </c>
      <c r="Q33" s="75">
        <f t="shared" si="2"/>
        <v>0.72499999999999998</v>
      </c>
      <c r="R33" s="163">
        <v>14.4</v>
      </c>
      <c r="S33" s="163">
        <v>77</v>
      </c>
      <c r="T33" s="16">
        <f t="shared" si="0"/>
        <v>39</v>
      </c>
      <c r="U33" s="159">
        <v>298</v>
      </c>
      <c r="V33" s="38">
        <f t="shared" si="1"/>
        <v>1660.2857142857142</v>
      </c>
      <c r="W33" s="160">
        <v>4</v>
      </c>
      <c r="X33" s="161" t="s">
        <v>46</v>
      </c>
      <c r="Y33" s="167" t="s">
        <v>88</v>
      </c>
      <c r="Z33" s="167" t="s">
        <v>102</v>
      </c>
      <c r="AA33" s="167" t="s">
        <v>86</v>
      </c>
      <c r="AB33" s="53" t="s">
        <v>158</v>
      </c>
    </row>
    <row r="34" spans="1:28" x14ac:dyDescent="0.15">
      <c r="A34" s="153" t="s">
        <v>34</v>
      </c>
      <c r="B34" s="153" t="s">
        <v>157</v>
      </c>
      <c r="C34" s="154">
        <v>2019</v>
      </c>
      <c r="D34" s="155" t="s">
        <v>316</v>
      </c>
      <c r="E34" s="154" t="s">
        <v>269</v>
      </c>
      <c r="F34" s="153" t="s">
        <v>321</v>
      </c>
      <c r="G34" s="156" t="s">
        <v>42</v>
      </c>
      <c r="H34" s="127" t="s">
        <v>164</v>
      </c>
      <c r="I34" s="127" t="s">
        <v>159</v>
      </c>
      <c r="J34" s="127" t="s">
        <v>38</v>
      </c>
      <c r="K34" s="127" t="s">
        <v>161</v>
      </c>
      <c r="L34" s="53">
        <v>3</v>
      </c>
      <c r="N34" s="53">
        <v>7</v>
      </c>
      <c r="O34" s="53">
        <v>0.6</v>
      </c>
      <c r="P34" s="34">
        <v>0.65</v>
      </c>
      <c r="Q34" s="75">
        <f t="shared" si="2"/>
        <v>0.625</v>
      </c>
      <c r="R34" s="163">
        <v>14.8</v>
      </c>
      <c r="S34" s="163">
        <v>81</v>
      </c>
      <c r="T34" s="16">
        <f t="shared" si="0"/>
        <v>39</v>
      </c>
      <c r="U34" s="159">
        <v>298</v>
      </c>
      <c r="V34" s="38">
        <f t="shared" si="1"/>
        <v>1660.2857142857142</v>
      </c>
      <c r="W34" s="160">
        <v>4</v>
      </c>
      <c r="X34" s="161" t="s">
        <v>46</v>
      </c>
      <c r="Y34" s="167" t="s">
        <v>88</v>
      </c>
      <c r="Z34" s="167" t="s">
        <v>102</v>
      </c>
      <c r="AA34" s="167" t="s">
        <v>86</v>
      </c>
      <c r="AB34" s="53" t="s">
        <v>158</v>
      </c>
    </row>
    <row r="35" spans="1:28" x14ac:dyDescent="0.15">
      <c r="A35" s="153" t="s">
        <v>34</v>
      </c>
      <c r="B35" s="153" t="s">
        <v>157</v>
      </c>
      <c r="C35" s="153">
        <v>2019</v>
      </c>
      <c r="D35" s="155" t="s">
        <v>316</v>
      </c>
      <c r="E35" s="154" t="s">
        <v>269</v>
      </c>
      <c r="F35" s="153" t="s">
        <v>321</v>
      </c>
      <c r="G35" s="156" t="s">
        <v>42</v>
      </c>
      <c r="H35" s="127" t="s">
        <v>160</v>
      </c>
      <c r="I35" s="127" t="s">
        <v>159</v>
      </c>
      <c r="J35" s="127" t="s">
        <v>38</v>
      </c>
      <c r="K35" s="127" t="s">
        <v>161</v>
      </c>
      <c r="L35" s="53">
        <v>1</v>
      </c>
      <c r="N35" s="53">
        <v>4</v>
      </c>
      <c r="O35" s="53">
        <v>0.8</v>
      </c>
      <c r="P35" s="53">
        <v>0.85</v>
      </c>
      <c r="Q35" s="75">
        <f t="shared" si="2"/>
        <v>0.82499999999999996</v>
      </c>
      <c r="R35" s="163">
        <v>16.3</v>
      </c>
      <c r="S35" s="163">
        <v>105</v>
      </c>
      <c r="T35" s="16">
        <f t="shared" si="0"/>
        <v>33</v>
      </c>
      <c r="U35" s="159">
        <v>388</v>
      </c>
      <c r="V35" s="38">
        <f t="shared" si="1"/>
        <v>3201</v>
      </c>
      <c r="W35" s="160">
        <v>4</v>
      </c>
      <c r="X35" s="161" t="s">
        <v>46</v>
      </c>
      <c r="Y35" s="167" t="s">
        <v>88</v>
      </c>
      <c r="Z35" s="167" t="s">
        <v>102</v>
      </c>
      <c r="AA35" s="167" t="s">
        <v>86</v>
      </c>
      <c r="AB35" s="53" t="s">
        <v>158</v>
      </c>
    </row>
    <row r="36" spans="1:28" x14ac:dyDescent="0.15">
      <c r="A36" s="153" t="s">
        <v>34</v>
      </c>
      <c r="B36" s="153" t="s">
        <v>157</v>
      </c>
      <c r="C36" s="154">
        <v>2019</v>
      </c>
      <c r="D36" s="155" t="s">
        <v>316</v>
      </c>
      <c r="E36" s="154" t="s">
        <v>269</v>
      </c>
      <c r="F36" s="153" t="s">
        <v>321</v>
      </c>
      <c r="G36" s="156" t="s">
        <v>42</v>
      </c>
      <c r="H36" s="127" t="s">
        <v>160</v>
      </c>
      <c r="I36" s="127" t="s">
        <v>159</v>
      </c>
      <c r="J36" s="127" t="s">
        <v>38</v>
      </c>
      <c r="K36" s="127" t="s">
        <v>161</v>
      </c>
      <c r="L36" s="53">
        <v>2</v>
      </c>
      <c r="N36" s="53">
        <v>4</v>
      </c>
      <c r="O36" s="53">
        <v>0.55000000000000004</v>
      </c>
      <c r="P36" s="53">
        <v>0.6</v>
      </c>
      <c r="Q36" s="75">
        <f t="shared" si="2"/>
        <v>0.57499999999999996</v>
      </c>
      <c r="R36" s="163">
        <v>17.2</v>
      </c>
      <c r="S36" s="163">
        <v>103</v>
      </c>
      <c r="T36" s="16">
        <f t="shared" si="0"/>
        <v>33</v>
      </c>
      <c r="U36" s="159">
        <v>388</v>
      </c>
      <c r="V36" s="38">
        <f t="shared" si="1"/>
        <v>3201</v>
      </c>
      <c r="W36" s="160">
        <v>4</v>
      </c>
      <c r="X36" s="161" t="s">
        <v>46</v>
      </c>
      <c r="Y36" s="167" t="s">
        <v>88</v>
      </c>
      <c r="Z36" s="167" t="s">
        <v>102</v>
      </c>
      <c r="AA36" s="167" t="s">
        <v>86</v>
      </c>
      <c r="AB36" s="53" t="s">
        <v>158</v>
      </c>
    </row>
    <row r="37" spans="1:28" x14ac:dyDescent="0.15">
      <c r="A37" s="153" t="s">
        <v>34</v>
      </c>
      <c r="B37" s="153" t="s">
        <v>157</v>
      </c>
      <c r="C37" s="153">
        <v>2019</v>
      </c>
      <c r="D37" s="155" t="s">
        <v>316</v>
      </c>
      <c r="E37" s="154" t="s">
        <v>269</v>
      </c>
      <c r="F37" s="153" t="s">
        <v>321</v>
      </c>
      <c r="G37" s="156" t="s">
        <v>42</v>
      </c>
      <c r="H37" s="127" t="s">
        <v>160</v>
      </c>
      <c r="I37" s="127" t="s">
        <v>159</v>
      </c>
      <c r="J37" s="127" t="s">
        <v>38</v>
      </c>
      <c r="K37" s="127" t="s">
        <v>161</v>
      </c>
      <c r="L37" s="53">
        <v>3</v>
      </c>
      <c r="N37" s="53">
        <v>4</v>
      </c>
      <c r="O37" s="53">
        <v>0.6</v>
      </c>
      <c r="P37" s="53">
        <v>0.65</v>
      </c>
      <c r="Q37" s="75">
        <f t="shared" si="2"/>
        <v>0.625</v>
      </c>
      <c r="R37" s="163">
        <v>16.5</v>
      </c>
      <c r="S37" s="163">
        <v>105</v>
      </c>
      <c r="T37" s="16">
        <f t="shared" si="0"/>
        <v>33</v>
      </c>
      <c r="U37" s="159">
        <v>388</v>
      </c>
      <c r="V37" s="38">
        <f t="shared" si="1"/>
        <v>3201</v>
      </c>
      <c r="W37" s="160">
        <v>4</v>
      </c>
      <c r="X37" s="161" t="s">
        <v>46</v>
      </c>
      <c r="Y37" s="167" t="s">
        <v>88</v>
      </c>
      <c r="Z37" s="167" t="s">
        <v>102</v>
      </c>
      <c r="AA37" s="167" t="s">
        <v>86</v>
      </c>
      <c r="AB37" s="53" t="s">
        <v>158</v>
      </c>
    </row>
    <row r="38" spans="1:28" x14ac:dyDescent="0.15">
      <c r="A38" s="153" t="s">
        <v>34</v>
      </c>
      <c r="B38" s="153" t="s">
        <v>157</v>
      </c>
      <c r="C38" s="154">
        <v>2019</v>
      </c>
      <c r="D38" s="155" t="s">
        <v>316</v>
      </c>
      <c r="E38" s="154" t="s">
        <v>210</v>
      </c>
      <c r="F38" s="153" t="s">
        <v>323</v>
      </c>
      <c r="G38" s="156" t="s">
        <v>42</v>
      </c>
      <c r="H38" s="127" t="s">
        <v>164</v>
      </c>
      <c r="I38" s="127" t="s">
        <v>159</v>
      </c>
      <c r="J38" s="127" t="s">
        <v>38</v>
      </c>
      <c r="K38" s="127" t="s">
        <v>161</v>
      </c>
      <c r="L38" s="53">
        <v>1</v>
      </c>
      <c r="N38" s="53">
        <v>4</v>
      </c>
      <c r="O38" s="53">
        <v>0.65</v>
      </c>
      <c r="P38" s="53">
        <v>0.7</v>
      </c>
      <c r="Q38" s="75">
        <f t="shared" si="2"/>
        <v>0.67500000000000004</v>
      </c>
      <c r="R38" s="163">
        <v>13.4</v>
      </c>
      <c r="S38" s="163">
        <v>77</v>
      </c>
      <c r="T38" s="16">
        <f t="shared" si="0"/>
        <v>39</v>
      </c>
      <c r="U38" s="159">
        <v>377</v>
      </c>
      <c r="V38" s="38">
        <f t="shared" si="1"/>
        <v>3675.75</v>
      </c>
      <c r="W38" s="160">
        <v>6</v>
      </c>
      <c r="X38" s="161" t="s">
        <v>39</v>
      </c>
      <c r="Y38" s="167" t="s">
        <v>102</v>
      </c>
      <c r="Z38" s="167" t="s">
        <v>78</v>
      </c>
      <c r="AA38" s="167" t="s">
        <v>97</v>
      </c>
      <c r="AB38" s="53" t="s">
        <v>158</v>
      </c>
    </row>
    <row r="39" spans="1:28" x14ac:dyDescent="0.15">
      <c r="A39" s="153" t="s">
        <v>34</v>
      </c>
      <c r="B39" s="153" t="s">
        <v>157</v>
      </c>
      <c r="C39" s="153">
        <v>2019</v>
      </c>
      <c r="D39" s="155" t="s">
        <v>316</v>
      </c>
      <c r="E39" s="154" t="s">
        <v>210</v>
      </c>
      <c r="F39" s="153" t="s">
        <v>323</v>
      </c>
      <c r="G39" s="156" t="s">
        <v>42</v>
      </c>
      <c r="H39" s="127" t="s">
        <v>164</v>
      </c>
      <c r="I39" s="127" t="s">
        <v>159</v>
      </c>
      <c r="J39" s="127" t="s">
        <v>38</v>
      </c>
      <c r="K39" s="127" t="s">
        <v>161</v>
      </c>
      <c r="L39" s="53">
        <v>2</v>
      </c>
      <c r="N39" s="53">
        <v>4</v>
      </c>
      <c r="O39" s="53">
        <v>0.55000000000000004</v>
      </c>
      <c r="P39" s="53">
        <v>0.5</v>
      </c>
      <c r="Q39" s="75">
        <f t="shared" si="2"/>
        <v>0.52500000000000002</v>
      </c>
      <c r="R39" s="163">
        <v>14.2</v>
      </c>
      <c r="S39" s="163">
        <v>80</v>
      </c>
      <c r="T39" s="16">
        <f t="shared" si="0"/>
        <v>39</v>
      </c>
      <c r="U39" s="159">
        <v>377</v>
      </c>
      <c r="V39" s="38">
        <f t="shared" si="1"/>
        <v>3675.75</v>
      </c>
      <c r="W39" s="160">
        <v>6</v>
      </c>
      <c r="X39" s="161" t="s">
        <v>39</v>
      </c>
      <c r="Y39" s="167" t="s">
        <v>102</v>
      </c>
      <c r="Z39" s="167" t="s">
        <v>78</v>
      </c>
      <c r="AA39" s="167" t="s">
        <v>97</v>
      </c>
      <c r="AB39" s="53" t="s">
        <v>158</v>
      </c>
    </row>
    <row r="40" spans="1:28" ht="12.75" customHeight="1" x14ac:dyDescent="0.15">
      <c r="A40" s="153" t="s">
        <v>34</v>
      </c>
      <c r="B40" s="153" t="s">
        <v>157</v>
      </c>
      <c r="C40" s="154">
        <v>2019</v>
      </c>
      <c r="D40" s="155" t="s">
        <v>316</v>
      </c>
      <c r="E40" s="154" t="s">
        <v>210</v>
      </c>
      <c r="F40" s="153" t="s">
        <v>323</v>
      </c>
      <c r="G40" s="156" t="s">
        <v>42</v>
      </c>
      <c r="H40" s="127" t="s">
        <v>164</v>
      </c>
      <c r="I40" s="127" t="s">
        <v>159</v>
      </c>
      <c r="J40" s="127" t="s">
        <v>38</v>
      </c>
      <c r="K40" s="127" t="s">
        <v>161</v>
      </c>
      <c r="L40" s="53">
        <v>3</v>
      </c>
      <c r="N40" s="53">
        <v>4</v>
      </c>
      <c r="O40" s="53">
        <v>0.6</v>
      </c>
      <c r="P40" s="53">
        <v>0.5</v>
      </c>
      <c r="Q40" s="75">
        <f t="shared" si="2"/>
        <v>0.55000000000000004</v>
      </c>
      <c r="R40" s="163">
        <v>13.5</v>
      </c>
      <c r="S40" s="163">
        <v>81</v>
      </c>
      <c r="T40" s="16">
        <f t="shared" si="0"/>
        <v>39</v>
      </c>
      <c r="U40" s="159">
        <v>377</v>
      </c>
      <c r="V40" s="38">
        <f t="shared" si="1"/>
        <v>3675.75</v>
      </c>
      <c r="W40" s="160">
        <v>6</v>
      </c>
      <c r="X40" s="161" t="s">
        <v>39</v>
      </c>
      <c r="Y40" s="167" t="s">
        <v>102</v>
      </c>
      <c r="Z40" s="167" t="s">
        <v>78</v>
      </c>
      <c r="AA40" s="167" t="s">
        <v>97</v>
      </c>
      <c r="AB40" s="53" t="s">
        <v>158</v>
      </c>
    </row>
    <row r="41" spans="1:28" ht="12.75" customHeight="1" x14ac:dyDescent="0.15">
      <c r="A41" s="127" t="s">
        <v>34</v>
      </c>
      <c r="B41" s="153" t="s">
        <v>157</v>
      </c>
      <c r="C41" s="154">
        <v>2019</v>
      </c>
      <c r="D41" s="155" t="s">
        <v>316</v>
      </c>
      <c r="E41" s="154" t="s">
        <v>210</v>
      </c>
      <c r="F41" s="153" t="s">
        <v>323</v>
      </c>
      <c r="G41" s="156" t="s">
        <v>42</v>
      </c>
      <c r="H41" s="127" t="s">
        <v>160</v>
      </c>
      <c r="I41" s="127" t="s">
        <v>159</v>
      </c>
      <c r="J41" s="127" t="s">
        <v>38</v>
      </c>
      <c r="K41" s="127" t="s">
        <v>161</v>
      </c>
      <c r="L41" s="53">
        <v>1</v>
      </c>
      <c r="N41" s="53">
        <v>1</v>
      </c>
      <c r="O41" s="53">
        <v>0.95</v>
      </c>
      <c r="P41" s="53">
        <v>0.9</v>
      </c>
      <c r="Q41" s="75">
        <f t="shared" si="2"/>
        <v>0.92500000000000004</v>
      </c>
      <c r="R41" s="163">
        <v>15</v>
      </c>
      <c r="S41" s="163">
        <v>116</v>
      </c>
      <c r="T41" s="16">
        <f t="shared" si="0"/>
        <v>30</v>
      </c>
      <c r="U41" s="159">
        <v>97</v>
      </c>
      <c r="V41" s="38">
        <f t="shared" si="1"/>
        <v>2910</v>
      </c>
      <c r="W41" s="53">
        <v>6</v>
      </c>
      <c r="X41" s="161" t="s">
        <v>39</v>
      </c>
      <c r="Y41" s="168" t="s">
        <v>102</v>
      </c>
      <c r="Z41" s="168" t="s">
        <v>78</v>
      </c>
      <c r="AA41" s="168" t="s">
        <v>97</v>
      </c>
      <c r="AB41" s="53" t="s">
        <v>158</v>
      </c>
    </row>
    <row r="42" spans="1:28" ht="12.75" customHeight="1" x14ac:dyDescent="0.15">
      <c r="A42" s="127" t="s">
        <v>34</v>
      </c>
      <c r="B42" s="153" t="s">
        <v>157</v>
      </c>
      <c r="C42" s="154">
        <v>2019</v>
      </c>
      <c r="D42" s="155" t="s">
        <v>316</v>
      </c>
      <c r="E42" s="154" t="s">
        <v>210</v>
      </c>
      <c r="F42" s="153" t="s">
        <v>323</v>
      </c>
      <c r="G42" s="156" t="s">
        <v>42</v>
      </c>
      <c r="H42" s="127" t="s">
        <v>160</v>
      </c>
      <c r="I42" s="127" t="s">
        <v>159</v>
      </c>
      <c r="J42" s="127" t="s">
        <v>38</v>
      </c>
      <c r="K42" s="127" t="s">
        <v>161</v>
      </c>
      <c r="L42" s="53">
        <v>2</v>
      </c>
      <c r="N42" s="53">
        <v>1</v>
      </c>
      <c r="O42" s="53">
        <v>0.8</v>
      </c>
      <c r="P42" s="53">
        <v>0.75</v>
      </c>
      <c r="Q42" s="75">
        <f t="shared" si="2"/>
        <v>0.77500000000000002</v>
      </c>
      <c r="R42" s="163">
        <v>16.100000000000001</v>
      </c>
      <c r="S42" s="163">
        <v>122</v>
      </c>
      <c r="T42" s="16">
        <f t="shared" si="0"/>
        <v>30</v>
      </c>
      <c r="U42" s="159">
        <v>97</v>
      </c>
      <c r="V42" s="38">
        <f t="shared" si="1"/>
        <v>2910</v>
      </c>
      <c r="W42" s="53">
        <v>6</v>
      </c>
      <c r="X42" s="161" t="s">
        <v>39</v>
      </c>
      <c r="Y42" s="168" t="s">
        <v>102</v>
      </c>
      <c r="Z42" s="168" t="s">
        <v>78</v>
      </c>
      <c r="AA42" s="168" t="s">
        <v>97</v>
      </c>
      <c r="AB42" s="53" t="s">
        <v>158</v>
      </c>
    </row>
    <row r="43" spans="1:28" ht="12.75" customHeight="1" x14ac:dyDescent="0.15">
      <c r="A43" s="127" t="s">
        <v>34</v>
      </c>
      <c r="B43" s="153" t="s">
        <v>157</v>
      </c>
      <c r="C43" s="154">
        <v>2019</v>
      </c>
      <c r="D43" s="155" t="s">
        <v>316</v>
      </c>
      <c r="E43" s="154" t="s">
        <v>210</v>
      </c>
      <c r="F43" s="153" t="s">
        <v>323</v>
      </c>
      <c r="G43" s="156" t="s">
        <v>42</v>
      </c>
      <c r="H43" s="127" t="s">
        <v>160</v>
      </c>
      <c r="I43" s="127" t="s">
        <v>159</v>
      </c>
      <c r="J43" s="127" t="s">
        <v>38</v>
      </c>
      <c r="K43" s="127" t="s">
        <v>161</v>
      </c>
      <c r="L43" s="53">
        <v>3</v>
      </c>
      <c r="N43" s="53">
        <v>1</v>
      </c>
      <c r="O43" s="53">
        <v>1</v>
      </c>
      <c r="P43" s="53">
        <v>0.9</v>
      </c>
      <c r="Q43" s="75">
        <f t="shared" si="2"/>
        <v>0.95</v>
      </c>
      <c r="R43" s="163">
        <v>15.4</v>
      </c>
      <c r="S43" s="163">
        <v>122</v>
      </c>
      <c r="T43" s="16">
        <f t="shared" si="0"/>
        <v>30</v>
      </c>
      <c r="U43" s="159">
        <v>97</v>
      </c>
      <c r="V43" s="38">
        <f t="shared" si="1"/>
        <v>2910</v>
      </c>
      <c r="W43" s="53">
        <v>6</v>
      </c>
      <c r="X43" s="161" t="s">
        <v>39</v>
      </c>
      <c r="Y43" s="168" t="s">
        <v>102</v>
      </c>
      <c r="Z43" s="168" t="s">
        <v>78</v>
      </c>
      <c r="AA43" s="168" t="s">
        <v>97</v>
      </c>
      <c r="AB43" s="53" t="s">
        <v>158</v>
      </c>
    </row>
    <row r="44" spans="1:28" x14ac:dyDescent="0.15">
      <c r="A44" s="53" t="s">
        <v>34</v>
      </c>
      <c r="B44" s="153" t="s">
        <v>157</v>
      </c>
      <c r="C44" s="154">
        <v>2019</v>
      </c>
      <c r="D44" s="155" t="s">
        <v>316</v>
      </c>
      <c r="E44" s="154" t="s">
        <v>139</v>
      </c>
      <c r="F44" s="153" t="s">
        <v>323</v>
      </c>
      <c r="G44" s="156" t="s">
        <v>36</v>
      </c>
      <c r="H44" s="127" t="s">
        <v>164</v>
      </c>
      <c r="I44" s="127" t="s">
        <v>159</v>
      </c>
      <c r="J44" s="53" t="s">
        <v>38</v>
      </c>
      <c r="K44" s="127" t="s">
        <v>161</v>
      </c>
      <c r="L44" s="53">
        <v>1</v>
      </c>
      <c r="N44" s="53">
        <v>1</v>
      </c>
      <c r="O44" s="53">
        <v>0.75</v>
      </c>
      <c r="P44" s="53">
        <v>0.65</v>
      </c>
      <c r="Q44" s="75">
        <f t="shared" si="2"/>
        <v>0.7</v>
      </c>
      <c r="R44" s="163">
        <v>14.8</v>
      </c>
      <c r="S44" s="163">
        <v>103</v>
      </c>
      <c r="T44" s="16">
        <f t="shared" si="0"/>
        <v>33</v>
      </c>
      <c r="U44" s="159">
        <v>62</v>
      </c>
      <c r="V44" s="16">
        <f t="shared" si="1"/>
        <v>2046</v>
      </c>
      <c r="W44" s="53">
        <v>8</v>
      </c>
      <c r="X44" s="161" t="s">
        <v>46</v>
      </c>
      <c r="Y44" s="168" t="s">
        <v>88</v>
      </c>
      <c r="Z44" s="168" t="s">
        <v>97</v>
      </c>
      <c r="AA44" s="168" t="s">
        <v>102</v>
      </c>
      <c r="AB44" s="53" t="s">
        <v>158</v>
      </c>
    </row>
    <row r="45" spans="1:28" x14ac:dyDescent="0.15">
      <c r="A45" s="53" t="s">
        <v>34</v>
      </c>
      <c r="B45" s="153" t="s">
        <v>157</v>
      </c>
      <c r="C45" s="153">
        <v>2019</v>
      </c>
      <c r="D45" s="155" t="s">
        <v>316</v>
      </c>
      <c r="E45" s="154" t="s">
        <v>139</v>
      </c>
      <c r="F45" s="153" t="s">
        <v>323</v>
      </c>
      <c r="G45" s="156" t="s">
        <v>36</v>
      </c>
      <c r="H45" s="127" t="s">
        <v>164</v>
      </c>
      <c r="I45" s="127" t="s">
        <v>159</v>
      </c>
      <c r="J45" s="53" t="s">
        <v>38</v>
      </c>
      <c r="K45" s="127" t="s">
        <v>161</v>
      </c>
      <c r="L45" s="53">
        <v>2</v>
      </c>
      <c r="N45" s="53">
        <v>1</v>
      </c>
      <c r="O45" s="53">
        <v>0.9</v>
      </c>
      <c r="P45" s="53">
        <v>0.8</v>
      </c>
      <c r="Q45" s="75">
        <f t="shared" si="2"/>
        <v>0.85000000000000009</v>
      </c>
      <c r="R45" s="163">
        <v>14.6</v>
      </c>
      <c r="S45" s="163">
        <v>103</v>
      </c>
      <c r="T45" s="16">
        <f t="shared" si="0"/>
        <v>33</v>
      </c>
      <c r="U45" s="159">
        <v>62</v>
      </c>
      <c r="V45" s="16">
        <f t="shared" si="1"/>
        <v>2046</v>
      </c>
      <c r="W45" s="53">
        <v>8</v>
      </c>
      <c r="X45" s="161" t="s">
        <v>46</v>
      </c>
      <c r="Y45" s="168" t="s">
        <v>88</v>
      </c>
      <c r="Z45" s="168" t="s">
        <v>97</v>
      </c>
      <c r="AA45" s="168" t="s">
        <v>102</v>
      </c>
      <c r="AB45" s="53" t="s">
        <v>158</v>
      </c>
    </row>
    <row r="46" spans="1:28" x14ac:dyDescent="0.15">
      <c r="A46" s="53" t="s">
        <v>34</v>
      </c>
      <c r="B46" s="153" t="s">
        <v>157</v>
      </c>
      <c r="C46" s="154">
        <v>2019</v>
      </c>
      <c r="D46" s="155" t="s">
        <v>316</v>
      </c>
      <c r="E46" s="154" t="s">
        <v>139</v>
      </c>
      <c r="F46" s="153" t="s">
        <v>323</v>
      </c>
      <c r="G46" s="156" t="s">
        <v>36</v>
      </c>
      <c r="H46" s="127" t="s">
        <v>164</v>
      </c>
      <c r="I46" s="127" t="s">
        <v>159</v>
      </c>
      <c r="J46" s="53" t="s">
        <v>38</v>
      </c>
      <c r="K46" s="127" t="s">
        <v>161</v>
      </c>
      <c r="L46" s="53">
        <v>3</v>
      </c>
      <c r="N46" s="53">
        <v>1</v>
      </c>
      <c r="O46" s="53">
        <v>0.7</v>
      </c>
      <c r="P46" s="53">
        <v>0.75</v>
      </c>
      <c r="Q46" s="75">
        <f t="shared" si="2"/>
        <v>0.72499999999999998</v>
      </c>
      <c r="R46" s="163">
        <v>15.1</v>
      </c>
      <c r="S46" s="163">
        <v>100</v>
      </c>
      <c r="T46" s="16">
        <f t="shared" si="0"/>
        <v>33</v>
      </c>
      <c r="U46" s="159">
        <v>62</v>
      </c>
      <c r="V46" s="16">
        <f t="shared" si="1"/>
        <v>2046</v>
      </c>
      <c r="W46" s="53">
        <v>8</v>
      </c>
      <c r="X46" s="161" t="s">
        <v>46</v>
      </c>
      <c r="Y46" s="168" t="s">
        <v>88</v>
      </c>
      <c r="Z46" s="168" t="s">
        <v>97</v>
      </c>
      <c r="AA46" s="168" t="s">
        <v>102</v>
      </c>
      <c r="AB46" s="53" t="s">
        <v>158</v>
      </c>
    </row>
    <row r="47" spans="1:28" x14ac:dyDescent="0.15">
      <c r="A47" s="53" t="s">
        <v>34</v>
      </c>
      <c r="B47" s="34" t="s">
        <v>157</v>
      </c>
      <c r="C47" s="53">
        <v>2019</v>
      </c>
      <c r="D47" s="169" t="s">
        <v>316</v>
      </c>
      <c r="E47" s="53" t="s">
        <v>139</v>
      </c>
      <c r="F47" s="153" t="s">
        <v>323</v>
      </c>
      <c r="G47" s="156" t="s">
        <v>36</v>
      </c>
      <c r="H47" s="127" t="s">
        <v>160</v>
      </c>
      <c r="I47" s="127" t="s">
        <v>159</v>
      </c>
      <c r="J47" s="53" t="s">
        <v>38</v>
      </c>
      <c r="K47" s="127" t="s">
        <v>161</v>
      </c>
      <c r="L47" s="53">
        <v>1</v>
      </c>
      <c r="N47" s="53">
        <v>1</v>
      </c>
      <c r="O47" s="53">
        <v>0.95</v>
      </c>
      <c r="P47" s="53">
        <v>0.8</v>
      </c>
      <c r="Q47" s="75">
        <f t="shared" si="2"/>
        <v>0.875</v>
      </c>
      <c r="R47" s="163">
        <v>16.2</v>
      </c>
      <c r="S47" s="163">
        <v>111</v>
      </c>
      <c r="T47" s="16">
        <f t="shared" si="0"/>
        <v>33</v>
      </c>
      <c r="U47" s="53">
        <v>139</v>
      </c>
      <c r="V47" s="16">
        <f t="shared" si="1"/>
        <v>4587</v>
      </c>
      <c r="W47" s="53">
        <v>8</v>
      </c>
      <c r="X47" s="161" t="s">
        <v>46</v>
      </c>
      <c r="Y47" s="53" t="s">
        <v>88</v>
      </c>
      <c r="Z47" s="53" t="s">
        <v>97</v>
      </c>
      <c r="AA47" s="53" t="s">
        <v>102</v>
      </c>
      <c r="AB47" s="53" t="s">
        <v>158</v>
      </c>
    </row>
    <row r="48" spans="1:28" x14ac:dyDescent="0.15">
      <c r="A48" s="53" t="s">
        <v>34</v>
      </c>
      <c r="B48" s="34" t="s">
        <v>157</v>
      </c>
      <c r="C48" s="53">
        <v>2019</v>
      </c>
      <c r="D48" s="169" t="s">
        <v>316</v>
      </c>
      <c r="E48" s="53" t="s">
        <v>139</v>
      </c>
      <c r="F48" s="153" t="s">
        <v>323</v>
      </c>
      <c r="G48" s="156" t="s">
        <v>36</v>
      </c>
      <c r="H48" s="127" t="s">
        <v>160</v>
      </c>
      <c r="I48" s="127" t="s">
        <v>159</v>
      </c>
      <c r="J48" s="53" t="s">
        <v>38</v>
      </c>
      <c r="K48" s="127" t="s">
        <v>161</v>
      </c>
      <c r="L48" s="53">
        <v>2</v>
      </c>
      <c r="N48" s="53">
        <v>1</v>
      </c>
      <c r="O48" s="53">
        <v>1</v>
      </c>
      <c r="P48" s="53">
        <v>0.95</v>
      </c>
      <c r="Q48" s="75">
        <f t="shared" si="2"/>
        <v>0.97499999999999998</v>
      </c>
      <c r="R48" s="163">
        <v>15.8</v>
      </c>
      <c r="S48" s="163">
        <v>113</v>
      </c>
      <c r="T48" s="16">
        <f t="shared" si="0"/>
        <v>30</v>
      </c>
      <c r="U48" s="53">
        <v>139</v>
      </c>
      <c r="V48" s="16">
        <f t="shared" si="1"/>
        <v>4170</v>
      </c>
      <c r="W48" s="53">
        <v>8</v>
      </c>
      <c r="X48" s="161" t="s">
        <v>46</v>
      </c>
      <c r="Y48" s="53" t="s">
        <v>88</v>
      </c>
      <c r="Z48" s="53" t="s">
        <v>97</v>
      </c>
      <c r="AA48" s="53" t="s">
        <v>102</v>
      </c>
      <c r="AB48" s="53" t="s">
        <v>158</v>
      </c>
    </row>
    <row r="49" spans="1:28" x14ac:dyDescent="0.15">
      <c r="A49" s="53" t="s">
        <v>34</v>
      </c>
      <c r="B49" s="34" t="s">
        <v>157</v>
      </c>
      <c r="C49" s="53">
        <v>2019</v>
      </c>
      <c r="D49" s="169" t="s">
        <v>316</v>
      </c>
      <c r="E49" s="53" t="s">
        <v>139</v>
      </c>
      <c r="F49" s="153" t="s">
        <v>323</v>
      </c>
      <c r="G49" s="156" t="s">
        <v>36</v>
      </c>
      <c r="H49" s="127" t="s">
        <v>160</v>
      </c>
      <c r="I49" s="127" t="s">
        <v>159</v>
      </c>
      <c r="J49" s="53" t="s">
        <v>38</v>
      </c>
      <c r="K49" s="127" t="s">
        <v>161</v>
      </c>
      <c r="L49" s="53">
        <v>3</v>
      </c>
      <c r="N49" s="53">
        <v>1</v>
      </c>
      <c r="O49" s="53">
        <v>0.85</v>
      </c>
      <c r="P49" s="53">
        <v>0.9</v>
      </c>
      <c r="Q49" s="75">
        <f t="shared" si="2"/>
        <v>0.875</v>
      </c>
      <c r="R49" s="163">
        <v>15.8</v>
      </c>
      <c r="S49" s="163">
        <v>105</v>
      </c>
      <c r="T49" s="16">
        <f t="shared" si="0"/>
        <v>33</v>
      </c>
      <c r="U49" s="53">
        <v>139</v>
      </c>
      <c r="V49" s="16">
        <f t="shared" si="1"/>
        <v>4587</v>
      </c>
      <c r="W49" s="53">
        <v>8</v>
      </c>
      <c r="X49" s="161" t="s">
        <v>46</v>
      </c>
      <c r="Y49" s="53" t="s">
        <v>88</v>
      </c>
      <c r="Z49" s="53" t="s">
        <v>97</v>
      </c>
      <c r="AA49" s="53" t="s">
        <v>102</v>
      </c>
      <c r="AB49" s="53" t="s">
        <v>158</v>
      </c>
    </row>
    <row r="50" spans="1:28" x14ac:dyDescent="0.15">
      <c r="A50" s="53" t="s">
        <v>34</v>
      </c>
      <c r="B50" s="53" t="s">
        <v>157</v>
      </c>
      <c r="C50" s="53">
        <v>2019</v>
      </c>
      <c r="D50" s="169" t="s">
        <v>316</v>
      </c>
      <c r="E50" s="53" t="s">
        <v>133</v>
      </c>
      <c r="F50" s="153" t="s">
        <v>325</v>
      </c>
      <c r="G50" s="156" t="s">
        <v>36</v>
      </c>
      <c r="H50" s="53" t="s">
        <v>164</v>
      </c>
      <c r="I50" s="53" t="s">
        <v>159</v>
      </c>
      <c r="J50" s="53" t="s">
        <v>38</v>
      </c>
      <c r="K50" s="127" t="s">
        <v>161</v>
      </c>
      <c r="L50" s="53">
        <v>1</v>
      </c>
      <c r="N50" s="53">
        <v>1</v>
      </c>
      <c r="O50" s="53">
        <v>1.25</v>
      </c>
      <c r="P50" s="53">
        <v>1.05</v>
      </c>
      <c r="Q50" s="75">
        <f t="shared" si="2"/>
        <v>1.1499999999999999</v>
      </c>
      <c r="R50" s="53">
        <v>14.5</v>
      </c>
      <c r="S50" s="53">
        <v>113</v>
      </c>
      <c r="T50" s="16">
        <f t="shared" si="0"/>
        <v>30</v>
      </c>
      <c r="U50" s="53">
        <v>78</v>
      </c>
      <c r="V50" s="16">
        <f t="shared" si="1"/>
        <v>2340</v>
      </c>
      <c r="W50" s="53">
        <v>18</v>
      </c>
      <c r="X50" s="161" t="s">
        <v>46</v>
      </c>
      <c r="Y50" s="53" t="s">
        <v>97</v>
      </c>
      <c r="Z50" s="53" t="s">
        <v>102</v>
      </c>
      <c r="AA50" s="53" t="s">
        <v>86</v>
      </c>
      <c r="AB50" s="53" t="s">
        <v>158</v>
      </c>
    </row>
    <row r="51" spans="1:28" x14ac:dyDescent="0.15">
      <c r="A51" s="53" t="s">
        <v>34</v>
      </c>
      <c r="B51" s="53" t="s">
        <v>157</v>
      </c>
      <c r="C51" s="53">
        <v>2019</v>
      </c>
      <c r="D51" s="169" t="s">
        <v>316</v>
      </c>
      <c r="E51" s="53" t="s">
        <v>133</v>
      </c>
      <c r="F51" s="153" t="s">
        <v>325</v>
      </c>
      <c r="G51" s="156" t="s">
        <v>36</v>
      </c>
      <c r="H51" s="53" t="s">
        <v>164</v>
      </c>
      <c r="I51" s="53" t="s">
        <v>159</v>
      </c>
      <c r="J51" s="53" t="s">
        <v>38</v>
      </c>
      <c r="K51" s="127" t="s">
        <v>161</v>
      </c>
      <c r="L51" s="53">
        <v>2</v>
      </c>
      <c r="N51" s="53">
        <v>1</v>
      </c>
      <c r="O51" s="53">
        <v>0.95</v>
      </c>
      <c r="P51" s="53">
        <v>1</v>
      </c>
      <c r="Q51" s="75">
        <f t="shared" si="2"/>
        <v>0.97499999999999998</v>
      </c>
      <c r="R51" s="53">
        <v>14.8</v>
      </c>
      <c r="S51" s="53">
        <v>114</v>
      </c>
      <c r="T51" s="16">
        <f t="shared" si="0"/>
        <v>30</v>
      </c>
      <c r="U51" s="53">
        <v>78</v>
      </c>
      <c r="V51" s="16">
        <f t="shared" si="1"/>
        <v>2340</v>
      </c>
      <c r="W51" s="53">
        <v>18</v>
      </c>
      <c r="X51" s="161" t="s">
        <v>46</v>
      </c>
      <c r="Y51" s="53" t="s">
        <v>97</v>
      </c>
      <c r="Z51" s="53" t="s">
        <v>102</v>
      </c>
      <c r="AA51" s="53" t="s">
        <v>86</v>
      </c>
      <c r="AB51" s="53" t="s">
        <v>158</v>
      </c>
    </row>
    <row r="52" spans="1:28" x14ac:dyDescent="0.15">
      <c r="A52" s="53" t="s">
        <v>34</v>
      </c>
      <c r="B52" s="53" t="s">
        <v>157</v>
      </c>
      <c r="C52" s="53">
        <v>2019</v>
      </c>
      <c r="D52" s="169" t="s">
        <v>316</v>
      </c>
      <c r="E52" s="53" t="s">
        <v>133</v>
      </c>
      <c r="F52" s="153" t="s">
        <v>325</v>
      </c>
      <c r="G52" s="156" t="s">
        <v>36</v>
      </c>
      <c r="H52" s="53" t="s">
        <v>164</v>
      </c>
      <c r="I52" s="53" t="s">
        <v>159</v>
      </c>
      <c r="J52" s="53" t="s">
        <v>38</v>
      </c>
      <c r="K52" s="127" t="s">
        <v>161</v>
      </c>
      <c r="L52" s="53">
        <v>3</v>
      </c>
      <c r="N52" s="53">
        <v>1</v>
      </c>
      <c r="O52" s="53">
        <v>1.1000000000000001</v>
      </c>
      <c r="P52" s="53">
        <v>0.95</v>
      </c>
      <c r="Q52" s="75">
        <f t="shared" si="2"/>
        <v>1.0249999999999999</v>
      </c>
      <c r="R52" s="53">
        <v>14.2</v>
      </c>
      <c r="S52" s="53">
        <v>110</v>
      </c>
      <c r="T52" s="16">
        <f t="shared" si="0"/>
        <v>33</v>
      </c>
      <c r="U52" s="53">
        <v>78</v>
      </c>
      <c r="V52" s="16">
        <f t="shared" si="1"/>
        <v>2574</v>
      </c>
      <c r="W52" s="53">
        <v>18</v>
      </c>
      <c r="X52" s="161" t="s">
        <v>46</v>
      </c>
      <c r="Y52" s="53" t="s">
        <v>97</v>
      </c>
      <c r="Z52" s="53" t="s">
        <v>102</v>
      </c>
      <c r="AA52" s="53" t="s">
        <v>86</v>
      </c>
      <c r="AB52" s="53" t="s">
        <v>158</v>
      </c>
    </row>
    <row r="53" spans="1:28" x14ac:dyDescent="0.15">
      <c r="A53" s="53" t="s">
        <v>34</v>
      </c>
      <c r="B53" s="53" t="s">
        <v>157</v>
      </c>
      <c r="C53" s="53">
        <v>2019</v>
      </c>
      <c r="D53" s="169" t="s">
        <v>316</v>
      </c>
      <c r="E53" s="53" t="s">
        <v>133</v>
      </c>
      <c r="F53" s="153" t="s">
        <v>325</v>
      </c>
      <c r="G53" s="156" t="s">
        <v>36</v>
      </c>
      <c r="H53" s="53" t="s">
        <v>160</v>
      </c>
      <c r="I53" s="53" t="s">
        <v>159</v>
      </c>
      <c r="J53" s="53" t="s">
        <v>38</v>
      </c>
      <c r="K53" s="127" t="s">
        <v>161</v>
      </c>
      <c r="L53" s="53">
        <v>1</v>
      </c>
      <c r="N53" s="53">
        <v>1</v>
      </c>
      <c r="O53" s="53">
        <v>0.55000000000000004</v>
      </c>
      <c r="P53" s="53">
        <v>0.6</v>
      </c>
      <c r="Q53" s="75">
        <f t="shared" si="2"/>
        <v>0.57499999999999996</v>
      </c>
      <c r="R53" s="53">
        <v>17.8</v>
      </c>
      <c r="S53" s="53">
        <v>97</v>
      </c>
      <c r="T53" s="16">
        <f t="shared" si="0"/>
        <v>36</v>
      </c>
      <c r="U53" s="53">
        <v>98</v>
      </c>
      <c r="V53" s="16">
        <f t="shared" si="1"/>
        <v>3528</v>
      </c>
      <c r="W53" s="53">
        <v>18</v>
      </c>
      <c r="X53" s="161" t="s">
        <v>46</v>
      </c>
      <c r="Y53" s="53" t="s">
        <v>97</v>
      </c>
      <c r="Z53" s="53" t="s">
        <v>102</v>
      </c>
      <c r="AA53" s="53" t="s">
        <v>86</v>
      </c>
      <c r="AB53" s="53" t="s">
        <v>158</v>
      </c>
    </row>
    <row r="54" spans="1:28" x14ac:dyDescent="0.15">
      <c r="A54" s="53" t="s">
        <v>34</v>
      </c>
      <c r="B54" s="53" t="s">
        <v>157</v>
      </c>
      <c r="C54" s="53">
        <v>2019</v>
      </c>
      <c r="D54" s="169" t="s">
        <v>316</v>
      </c>
      <c r="E54" s="53" t="s">
        <v>133</v>
      </c>
      <c r="F54" s="153" t="s">
        <v>325</v>
      </c>
      <c r="G54" s="156" t="s">
        <v>36</v>
      </c>
      <c r="H54" s="53" t="s">
        <v>160</v>
      </c>
      <c r="I54" s="53" t="s">
        <v>159</v>
      </c>
      <c r="J54" s="53" t="s">
        <v>38</v>
      </c>
      <c r="K54" s="127" t="s">
        <v>161</v>
      </c>
      <c r="L54" s="53">
        <v>2</v>
      </c>
      <c r="N54" s="53">
        <v>1</v>
      </c>
      <c r="O54" s="53">
        <v>0.6</v>
      </c>
      <c r="P54" s="53">
        <v>0.55000000000000004</v>
      </c>
      <c r="Q54" s="75">
        <f t="shared" si="2"/>
        <v>0.57499999999999996</v>
      </c>
      <c r="R54" s="53">
        <v>18.100000000000001</v>
      </c>
      <c r="S54" s="53">
        <v>101</v>
      </c>
      <c r="T54" s="16">
        <f t="shared" si="0"/>
        <v>33</v>
      </c>
      <c r="U54" s="53">
        <v>98</v>
      </c>
      <c r="V54" s="16">
        <f t="shared" si="1"/>
        <v>3234</v>
      </c>
      <c r="W54" s="53">
        <v>18</v>
      </c>
      <c r="X54" s="161" t="s">
        <v>46</v>
      </c>
      <c r="Y54" s="53" t="s">
        <v>97</v>
      </c>
      <c r="Z54" s="53" t="s">
        <v>102</v>
      </c>
      <c r="AA54" s="53" t="s">
        <v>86</v>
      </c>
      <c r="AB54" s="53" t="s">
        <v>158</v>
      </c>
    </row>
    <row r="55" spans="1:28" x14ac:dyDescent="0.15">
      <c r="A55" s="53" t="s">
        <v>34</v>
      </c>
      <c r="B55" s="53" t="s">
        <v>157</v>
      </c>
      <c r="C55" s="53">
        <v>2019</v>
      </c>
      <c r="D55" s="169" t="s">
        <v>316</v>
      </c>
      <c r="E55" s="53" t="s">
        <v>133</v>
      </c>
      <c r="F55" s="153" t="s">
        <v>325</v>
      </c>
      <c r="G55" s="156" t="s">
        <v>36</v>
      </c>
      <c r="H55" s="53" t="s">
        <v>160</v>
      </c>
      <c r="I55" s="53" t="s">
        <v>159</v>
      </c>
      <c r="J55" s="53" t="s">
        <v>38</v>
      </c>
      <c r="K55" s="127" t="s">
        <v>161</v>
      </c>
      <c r="L55" s="53">
        <v>3</v>
      </c>
      <c r="N55" s="53">
        <v>1</v>
      </c>
      <c r="O55" s="53">
        <v>0.6</v>
      </c>
      <c r="P55" s="53">
        <v>0.55000000000000004</v>
      </c>
      <c r="Q55" s="75">
        <f t="shared" si="2"/>
        <v>0.57499999999999996</v>
      </c>
      <c r="R55" s="53">
        <v>17.5</v>
      </c>
      <c r="S55" s="53">
        <v>95</v>
      </c>
      <c r="T55" s="16">
        <f t="shared" si="0"/>
        <v>36</v>
      </c>
      <c r="U55" s="53">
        <v>98</v>
      </c>
      <c r="V55" s="16">
        <f t="shared" si="1"/>
        <v>3528</v>
      </c>
      <c r="W55" s="53">
        <v>18</v>
      </c>
      <c r="X55" s="161" t="s">
        <v>46</v>
      </c>
      <c r="Y55" s="53" t="s">
        <v>97</v>
      </c>
      <c r="Z55" s="53" t="s">
        <v>102</v>
      </c>
      <c r="AA55" s="53" t="s">
        <v>86</v>
      </c>
      <c r="AB55" s="53" t="s">
        <v>158</v>
      </c>
    </row>
    <row r="56" spans="1:28" x14ac:dyDescent="0.15">
      <c r="A56" s="53" t="s">
        <v>34</v>
      </c>
      <c r="B56" s="53" t="s">
        <v>157</v>
      </c>
      <c r="C56" s="53">
        <v>2019</v>
      </c>
      <c r="D56" s="169" t="s">
        <v>316</v>
      </c>
      <c r="E56" s="53" t="s">
        <v>269</v>
      </c>
      <c r="F56" s="153" t="s">
        <v>326</v>
      </c>
      <c r="G56" s="156" t="s">
        <v>36</v>
      </c>
      <c r="H56" s="53" t="s">
        <v>164</v>
      </c>
      <c r="I56" s="53" t="s">
        <v>159</v>
      </c>
      <c r="J56" s="53" t="s">
        <v>38</v>
      </c>
      <c r="K56" s="127" t="s">
        <v>161</v>
      </c>
      <c r="L56" s="53">
        <v>1</v>
      </c>
      <c r="N56" s="53">
        <v>7</v>
      </c>
      <c r="O56" s="53">
        <v>0.7</v>
      </c>
      <c r="P56" s="53">
        <v>0.6</v>
      </c>
      <c r="Q56" s="75">
        <f t="shared" si="2"/>
        <v>0.64999999999999991</v>
      </c>
      <c r="R56" s="53">
        <v>15.6</v>
      </c>
      <c r="S56" s="53">
        <v>90</v>
      </c>
      <c r="T56" s="16">
        <f t="shared" si="0"/>
        <v>36</v>
      </c>
      <c r="U56" s="53">
        <v>398</v>
      </c>
      <c r="V56" s="16">
        <f t="shared" si="1"/>
        <v>2046.8571428571427</v>
      </c>
      <c r="W56" s="53">
        <v>4</v>
      </c>
      <c r="X56" s="161" t="s">
        <v>46</v>
      </c>
      <c r="Y56" s="53" t="s">
        <v>102</v>
      </c>
      <c r="Z56" s="53" t="s">
        <v>97</v>
      </c>
      <c r="AA56" s="53" t="s">
        <v>88</v>
      </c>
      <c r="AB56" s="53" t="s">
        <v>158</v>
      </c>
    </row>
    <row r="57" spans="1:28" x14ac:dyDescent="0.15">
      <c r="A57" s="53" t="s">
        <v>34</v>
      </c>
      <c r="B57" s="53" t="s">
        <v>157</v>
      </c>
      <c r="C57" s="53">
        <v>2019</v>
      </c>
      <c r="D57" s="169" t="s">
        <v>316</v>
      </c>
      <c r="E57" s="53" t="s">
        <v>269</v>
      </c>
      <c r="F57" s="153" t="s">
        <v>326</v>
      </c>
      <c r="G57" s="156" t="s">
        <v>36</v>
      </c>
      <c r="H57" s="53" t="s">
        <v>164</v>
      </c>
      <c r="I57" s="53" t="s">
        <v>159</v>
      </c>
      <c r="J57" s="53" t="s">
        <v>38</v>
      </c>
      <c r="K57" s="127" t="s">
        <v>161</v>
      </c>
      <c r="L57" s="53">
        <v>2</v>
      </c>
      <c r="N57" s="53">
        <v>7</v>
      </c>
      <c r="O57" s="53">
        <v>0.85</v>
      </c>
      <c r="P57" s="53">
        <v>0.65</v>
      </c>
      <c r="Q57" s="75">
        <f t="shared" si="2"/>
        <v>0.75</v>
      </c>
      <c r="R57" s="53">
        <v>14.9</v>
      </c>
      <c r="S57" s="53">
        <v>93</v>
      </c>
      <c r="T57" s="16">
        <f t="shared" si="0"/>
        <v>36</v>
      </c>
      <c r="U57" s="53">
        <v>398</v>
      </c>
      <c r="V57" s="16">
        <f t="shared" si="1"/>
        <v>2046.8571428571427</v>
      </c>
      <c r="W57" s="53">
        <v>4</v>
      </c>
      <c r="X57" s="161" t="s">
        <v>46</v>
      </c>
      <c r="Y57" s="53" t="s">
        <v>102</v>
      </c>
      <c r="Z57" s="53" t="s">
        <v>97</v>
      </c>
      <c r="AA57" s="53" t="s">
        <v>88</v>
      </c>
      <c r="AB57" s="53" t="s">
        <v>158</v>
      </c>
    </row>
    <row r="58" spans="1:28" x14ac:dyDescent="0.15">
      <c r="A58" s="53" t="s">
        <v>34</v>
      </c>
      <c r="B58" s="53" t="s">
        <v>157</v>
      </c>
      <c r="C58" s="53">
        <v>2019</v>
      </c>
      <c r="D58" s="169" t="s">
        <v>316</v>
      </c>
      <c r="E58" s="53" t="s">
        <v>269</v>
      </c>
      <c r="F58" s="153" t="s">
        <v>326</v>
      </c>
      <c r="G58" s="156" t="s">
        <v>36</v>
      </c>
      <c r="H58" s="53" t="s">
        <v>164</v>
      </c>
      <c r="I58" s="53" t="s">
        <v>159</v>
      </c>
      <c r="J58" s="53" t="s">
        <v>38</v>
      </c>
      <c r="K58" s="127" t="s">
        <v>161</v>
      </c>
      <c r="L58" s="53">
        <v>3</v>
      </c>
      <c r="N58" s="53">
        <v>7</v>
      </c>
      <c r="O58" s="53">
        <v>0.6</v>
      </c>
      <c r="P58" s="53">
        <v>0.7</v>
      </c>
      <c r="Q58" s="75">
        <f t="shared" si="2"/>
        <v>0.64999999999999991</v>
      </c>
      <c r="R58" s="53">
        <v>15.2</v>
      </c>
      <c r="S58" s="53">
        <v>95</v>
      </c>
      <c r="T58" s="16">
        <f t="shared" si="0"/>
        <v>36</v>
      </c>
      <c r="U58" s="53">
        <v>398</v>
      </c>
      <c r="V58" s="16">
        <f t="shared" si="1"/>
        <v>2046.8571428571427</v>
      </c>
      <c r="W58" s="53">
        <v>4</v>
      </c>
      <c r="X58" s="161" t="s">
        <v>46</v>
      </c>
      <c r="Y58" s="53" t="s">
        <v>102</v>
      </c>
      <c r="Z58" s="53" t="s">
        <v>97</v>
      </c>
      <c r="AA58" s="53" t="s">
        <v>88</v>
      </c>
      <c r="AB58" s="53" t="s">
        <v>158</v>
      </c>
    </row>
    <row r="59" spans="1:28" x14ac:dyDescent="0.15">
      <c r="A59" s="53" t="s">
        <v>34</v>
      </c>
      <c r="B59" s="53" t="s">
        <v>157</v>
      </c>
      <c r="C59" s="53">
        <v>2019</v>
      </c>
      <c r="D59" s="169" t="s">
        <v>316</v>
      </c>
      <c r="E59" s="53" t="s">
        <v>269</v>
      </c>
      <c r="F59" s="153" t="s">
        <v>326</v>
      </c>
      <c r="G59" s="156" t="s">
        <v>36</v>
      </c>
      <c r="H59" s="53" t="s">
        <v>160</v>
      </c>
      <c r="I59" s="53" t="s">
        <v>159</v>
      </c>
      <c r="J59" s="53" t="s">
        <v>38</v>
      </c>
      <c r="K59" s="127" t="s">
        <v>161</v>
      </c>
      <c r="L59" s="53">
        <v>1</v>
      </c>
      <c r="N59" s="53">
        <v>4</v>
      </c>
      <c r="O59" s="53">
        <v>0.65</v>
      </c>
      <c r="P59" s="53">
        <v>0.6</v>
      </c>
      <c r="Q59" s="75">
        <f t="shared" si="2"/>
        <v>0.625</v>
      </c>
      <c r="R59" s="53">
        <v>16.600000000000001</v>
      </c>
      <c r="S59" s="53">
        <v>103</v>
      </c>
      <c r="T59" s="16">
        <f t="shared" si="0"/>
        <v>33</v>
      </c>
      <c r="U59" s="53">
        <v>498</v>
      </c>
      <c r="V59" s="16">
        <f t="shared" si="1"/>
        <v>4108.5</v>
      </c>
      <c r="W59" s="53">
        <v>4</v>
      </c>
      <c r="X59" s="161" t="s">
        <v>46</v>
      </c>
      <c r="Y59" s="53" t="s">
        <v>102</v>
      </c>
      <c r="Z59" s="53" t="s">
        <v>97</v>
      </c>
      <c r="AA59" s="53" t="s">
        <v>88</v>
      </c>
      <c r="AB59" s="53" t="s">
        <v>158</v>
      </c>
    </row>
    <row r="60" spans="1:28" x14ac:dyDescent="0.15">
      <c r="A60" s="53" t="s">
        <v>34</v>
      </c>
      <c r="B60" s="53" t="s">
        <v>157</v>
      </c>
      <c r="C60" s="53">
        <v>2019</v>
      </c>
      <c r="D60" s="169" t="s">
        <v>316</v>
      </c>
      <c r="E60" s="53" t="s">
        <v>269</v>
      </c>
      <c r="F60" s="153" t="s">
        <v>326</v>
      </c>
      <c r="G60" s="156" t="s">
        <v>36</v>
      </c>
      <c r="H60" s="53" t="s">
        <v>160</v>
      </c>
      <c r="I60" s="53" t="s">
        <v>159</v>
      </c>
      <c r="J60" s="53" t="s">
        <v>38</v>
      </c>
      <c r="K60" s="127" t="s">
        <v>161</v>
      </c>
      <c r="L60" s="53">
        <v>2</v>
      </c>
      <c r="N60" s="53">
        <v>4</v>
      </c>
      <c r="O60" s="53">
        <v>0.5</v>
      </c>
      <c r="P60" s="53">
        <v>0.45</v>
      </c>
      <c r="Q60" s="75">
        <f t="shared" si="2"/>
        <v>0.47499999999999998</v>
      </c>
      <c r="R60" s="53">
        <v>17.100000000000001</v>
      </c>
      <c r="S60" s="53">
        <v>101</v>
      </c>
      <c r="T60" s="16">
        <f t="shared" si="0"/>
        <v>33</v>
      </c>
      <c r="U60" s="53">
        <v>498</v>
      </c>
      <c r="V60" s="16">
        <f t="shared" si="1"/>
        <v>4108.5</v>
      </c>
      <c r="W60" s="53">
        <v>4</v>
      </c>
      <c r="X60" s="161" t="s">
        <v>46</v>
      </c>
      <c r="Y60" s="53" t="s">
        <v>102</v>
      </c>
      <c r="Z60" s="53" t="s">
        <v>97</v>
      </c>
      <c r="AA60" s="53" t="s">
        <v>88</v>
      </c>
      <c r="AB60" s="53" t="s">
        <v>158</v>
      </c>
    </row>
    <row r="61" spans="1:28" x14ac:dyDescent="0.15">
      <c r="A61" s="53" t="s">
        <v>34</v>
      </c>
      <c r="B61" s="53" t="s">
        <v>157</v>
      </c>
      <c r="C61" s="53">
        <v>2019</v>
      </c>
      <c r="D61" s="169" t="s">
        <v>316</v>
      </c>
      <c r="E61" s="53" t="s">
        <v>269</v>
      </c>
      <c r="F61" s="153" t="s">
        <v>326</v>
      </c>
      <c r="G61" s="156" t="s">
        <v>36</v>
      </c>
      <c r="H61" s="53" t="s">
        <v>160</v>
      </c>
      <c r="I61" s="53" t="s">
        <v>159</v>
      </c>
      <c r="J61" s="53" t="s">
        <v>38</v>
      </c>
      <c r="K61" s="127" t="s">
        <v>161</v>
      </c>
      <c r="L61" s="53">
        <v>3</v>
      </c>
      <c r="N61" s="53">
        <v>4</v>
      </c>
      <c r="O61" s="53">
        <v>0.65</v>
      </c>
      <c r="P61" s="53">
        <v>0.55000000000000004</v>
      </c>
      <c r="Q61" s="75">
        <f t="shared" si="2"/>
        <v>0.60000000000000009</v>
      </c>
      <c r="R61" s="53">
        <v>16.5</v>
      </c>
      <c r="S61" s="53">
        <v>95</v>
      </c>
      <c r="T61" s="16">
        <f t="shared" si="0"/>
        <v>36</v>
      </c>
      <c r="U61" s="53">
        <v>498</v>
      </c>
      <c r="V61" s="16">
        <f t="shared" si="1"/>
        <v>4482</v>
      </c>
      <c r="W61" s="53">
        <v>4</v>
      </c>
      <c r="X61" s="161" t="s">
        <v>46</v>
      </c>
      <c r="Y61" s="53" t="s">
        <v>102</v>
      </c>
      <c r="Z61" s="53" t="s">
        <v>97</v>
      </c>
      <c r="AA61" s="53" t="s">
        <v>88</v>
      </c>
      <c r="AB61" s="53" t="s">
        <v>158</v>
      </c>
    </row>
    <row r="62" spans="1:28" x14ac:dyDescent="0.15">
      <c r="D62" s="169"/>
      <c r="F62" s="153"/>
      <c r="G62" s="156"/>
      <c r="K62" s="127"/>
      <c r="Q62" s="75" t="str">
        <f t="shared" si="2"/>
        <v/>
      </c>
      <c r="T62" s="16" t="str">
        <f t="shared" si="0"/>
        <v/>
      </c>
      <c r="V62" s="16" t="str">
        <f t="shared" si="1"/>
        <v/>
      </c>
      <c r="X62" s="161"/>
    </row>
    <row r="63" spans="1:28" x14ac:dyDescent="0.15">
      <c r="D63" s="169"/>
      <c r="F63" s="153"/>
      <c r="G63" s="156"/>
      <c r="K63" s="127"/>
      <c r="Q63" s="75" t="str">
        <f t="shared" si="2"/>
        <v/>
      </c>
      <c r="T63" s="16" t="str">
        <f t="shared" si="0"/>
        <v/>
      </c>
      <c r="V63" s="16" t="str">
        <f t="shared" si="1"/>
        <v/>
      </c>
      <c r="X63" s="161"/>
    </row>
    <row r="64" spans="1:28" x14ac:dyDescent="0.15">
      <c r="D64" s="169"/>
      <c r="F64" s="153"/>
      <c r="G64" s="156"/>
      <c r="K64" s="127"/>
      <c r="Q64" s="75" t="str">
        <f t="shared" si="2"/>
        <v/>
      </c>
      <c r="T64" s="16" t="str">
        <f t="shared" si="0"/>
        <v/>
      </c>
      <c r="V64" s="16" t="str">
        <f t="shared" si="1"/>
        <v/>
      </c>
      <c r="X64" s="161"/>
    </row>
    <row r="65" spans="4:24" x14ac:dyDescent="0.15">
      <c r="D65" s="169"/>
      <c r="F65" s="153"/>
      <c r="G65" s="156"/>
      <c r="K65" s="127"/>
      <c r="Q65" s="75" t="str">
        <f t="shared" si="2"/>
        <v/>
      </c>
      <c r="T65" s="16" t="str">
        <f t="shared" si="0"/>
        <v/>
      </c>
      <c r="V65" s="16" t="str">
        <f t="shared" si="1"/>
        <v/>
      </c>
      <c r="X65" s="161"/>
    </row>
    <row r="66" spans="4:24" x14ac:dyDescent="0.15">
      <c r="D66" s="169"/>
      <c r="F66" s="153"/>
      <c r="G66" s="156"/>
      <c r="K66" s="127"/>
      <c r="Q66" s="75" t="str">
        <f t="shared" si="2"/>
        <v/>
      </c>
      <c r="T66" s="16" t="str">
        <f t="shared" ref="T66:T91" si="3">IF(H66="","",IF(OR(H66="GREEN",H66="GK"),IF(S66&gt;=$AX$2,VLOOKUP(S66,$AX$2:$AY$7,2,1),""),IF(S66&gt;=$AZ$2,VLOOKUP(S66,$AZ$2:$BA$7,2,1),"")))</f>
        <v/>
      </c>
      <c r="V66" s="16" t="str">
        <f t="shared" ref="V66:V91" si="4">IF(OR(N66="",U66="",T66=""),"",U66/N66*T66)</f>
        <v/>
      </c>
      <c r="X66" s="161"/>
    </row>
    <row r="67" spans="4:24" x14ac:dyDescent="0.15">
      <c r="D67" s="169"/>
      <c r="F67" s="153"/>
      <c r="G67" s="156"/>
      <c r="K67" s="127"/>
      <c r="Q67" s="75" t="str">
        <f t="shared" ref="Q67:Q91" si="5">IF(OR(O67="",P67=""),"",AVERAGE(O67,P67))</f>
        <v/>
      </c>
      <c r="T67" s="16" t="str">
        <f t="shared" si="3"/>
        <v/>
      </c>
      <c r="V67" s="16" t="str">
        <f t="shared" si="4"/>
        <v/>
      </c>
      <c r="X67" s="161"/>
    </row>
    <row r="68" spans="4:24" x14ac:dyDescent="0.15">
      <c r="D68" s="169"/>
      <c r="F68" s="153"/>
      <c r="G68" s="156"/>
      <c r="K68" s="127"/>
      <c r="Q68" s="75" t="str">
        <f t="shared" si="5"/>
        <v/>
      </c>
      <c r="T68" s="16" t="str">
        <f t="shared" si="3"/>
        <v/>
      </c>
      <c r="V68" s="16" t="str">
        <f t="shared" si="4"/>
        <v/>
      </c>
      <c r="X68" s="161"/>
    </row>
    <row r="69" spans="4:24" x14ac:dyDescent="0.15">
      <c r="D69" s="169"/>
      <c r="F69" s="153"/>
      <c r="G69" s="156"/>
      <c r="K69" s="127"/>
      <c r="Q69" s="75" t="str">
        <f t="shared" si="5"/>
        <v/>
      </c>
      <c r="T69" s="16" t="str">
        <f t="shared" si="3"/>
        <v/>
      </c>
      <c r="V69" s="16" t="str">
        <f t="shared" si="4"/>
        <v/>
      </c>
      <c r="X69" s="161"/>
    </row>
    <row r="70" spans="4:24" x14ac:dyDescent="0.15">
      <c r="D70" s="169"/>
      <c r="F70" s="153"/>
      <c r="G70" s="156"/>
      <c r="K70" s="127"/>
      <c r="Q70" s="75" t="str">
        <f t="shared" si="5"/>
        <v/>
      </c>
      <c r="T70" s="16" t="str">
        <f t="shared" si="3"/>
        <v/>
      </c>
      <c r="V70" s="16" t="str">
        <f t="shared" si="4"/>
        <v/>
      </c>
      <c r="X70" s="161"/>
    </row>
    <row r="71" spans="4:24" x14ac:dyDescent="0.15">
      <c r="D71" s="169"/>
      <c r="F71" s="153"/>
      <c r="G71" s="156"/>
      <c r="K71" s="127"/>
      <c r="Q71" s="75" t="str">
        <f t="shared" si="5"/>
        <v/>
      </c>
      <c r="T71" s="16" t="str">
        <f t="shared" si="3"/>
        <v/>
      </c>
      <c r="V71" s="16" t="str">
        <f t="shared" si="4"/>
        <v/>
      </c>
      <c r="X71" s="161"/>
    </row>
    <row r="72" spans="4:24" x14ac:dyDescent="0.15">
      <c r="D72" s="169"/>
      <c r="F72" s="153"/>
      <c r="G72" s="156"/>
      <c r="K72" s="127"/>
      <c r="Q72" s="75" t="str">
        <f t="shared" si="5"/>
        <v/>
      </c>
      <c r="T72" s="16" t="str">
        <f t="shared" si="3"/>
        <v/>
      </c>
      <c r="V72" s="16" t="str">
        <f t="shared" si="4"/>
        <v/>
      </c>
      <c r="X72" s="161"/>
    </row>
    <row r="73" spans="4:24" x14ac:dyDescent="0.15">
      <c r="D73" s="169"/>
      <c r="F73" s="153"/>
      <c r="G73" s="156"/>
      <c r="K73" s="127"/>
      <c r="Q73" s="75" t="str">
        <f t="shared" si="5"/>
        <v/>
      </c>
      <c r="T73" s="16" t="str">
        <f t="shared" si="3"/>
        <v/>
      </c>
      <c r="V73" s="16" t="str">
        <f t="shared" si="4"/>
        <v/>
      </c>
      <c r="X73" s="161"/>
    </row>
    <row r="74" spans="4:24" x14ac:dyDescent="0.15">
      <c r="D74" s="169"/>
      <c r="F74" s="153"/>
      <c r="G74" s="156"/>
      <c r="K74" s="127"/>
      <c r="Q74" s="75" t="str">
        <f t="shared" si="5"/>
        <v/>
      </c>
      <c r="T74" s="16" t="str">
        <f t="shared" si="3"/>
        <v/>
      </c>
      <c r="V74" s="16" t="str">
        <f t="shared" si="4"/>
        <v/>
      </c>
      <c r="X74" s="161"/>
    </row>
    <row r="75" spans="4:24" x14ac:dyDescent="0.15">
      <c r="D75" s="169"/>
      <c r="F75" s="153"/>
      <c r="G75" s="156"/>
      <c r="K75" s="127"/>
      <c r="Q75" s="75" t="str">
        <f t="shared" si="5"/>
        <v/>
      </c>
      <c r="T75" s="16" t="str">
        <f t="shared" si="3"/>
        <v/>
      </c>
      <c r="V75" s="16" t="str">
        <f t="shared" si="4"/>
        <v/>
      </c>
      <c r="X75" s="161"/>
    </row>
    <row r="76" spans="4:24" x14ac:dyDescent="0.15">
      <c r="D76" s="169"/>
      <c r="F76" s="153"/>
      <c r="G76" s="156"/>
      <c r="K76" s="127"/>
      <c r="Q76" s="75" t="str">
        <f t="shared" si="5"/>
        <v/>
      </c>
      <c r="T76" s="16" t="str">
        <f t="shared" si="3"/>
        <v/>
      </c>
      <c r="V76" s="16" t="str">
        <f t="shared" si="4"/>
        <v/>
      </c>
      <c r="X76" s="161"/>
    </row>
    <row r="77" spans="4:24" x14ac:dyDescent="0.15">
      <c r="D77" s="169"/>
      <c r="F77" s="153"/>
      <c r="G77" s="156"/>
      <c r="K77" s="127"/>
      <c r="Q77" s="75" t="str">
        <f t="shared" si="5"/>
        <v/>
      </c>
      <c r="T77" s="16" t="str">
        <f t="shared" si="3"/>
        <v/>
      </c>
      <c r="V77" s="16" t="str">
        <f t="shared" si="4"/>
        <v/>
      </c>
      <c r="X77" s="161"/>
    </row>
    <row r="78" spans="4:24" x14ac:dyDescent="0.15">
      <c r="D78" s="169"/>
      <c r="F78" s="153"/>
      <c r="G78" s="156"/>
      <c r="K78" s="127"/>
      <c r="Q78" s="75" t="str">
        <f t="shared" si="5"/>
        <v/>
      </c>
      <c r="T78" s="16" t="str">
        <f t="shared" si="3"/>
        <v/>
      </c>
      <c r="V78" s="16" t="str">
        <f t="shared" si="4"/>
        <v/>
      </c>
      <c r="X78" s="161"/>
    </row>
    <row r="79" spans="4:24" x14ac:dyDescent="0.15">
      <c r="D79" s="169"/>
      <c r="F79" s="153"/>
      <c r="G79" s="156"/>
      <c r="K79" s="127"/>
      <c r="Q79" s="75" t="str">
        <f t="shared" si="5"/>
        <v/>
      </c>
      <c r="T79" s="16" t="str">
        <f t="shared" si="3"/>
        <v/>
      </c>
      <c r="V79" s="16" t="str">
        <f t="shared" si="4"/>
        <v/>
      </c>
      <c r="X79" s="161"/>
    </row>
    <row r="80" spans="4:24" x14ac:dyDescent="0.15">
      <c r="K80" s="127"/>
      <c r="Q80" s="75" t="str">
        <f t="shared" si="5"/>
        <v/>
      </c>
      <c r="T80" s="16" t="str">
        <f t="shared" si="3"/>
        <v/>
      </c>
      <c r="V80" s="16" t="str">
        <f t="shared" si="4"/>
        <v/>
      </c>
    </row>
    <row r="81" spans="11:22" x14ac:dyDescent="0.15">
      <c r="K81" s="127"/>
      <c r="Q81" s="75" t="str">
        <f t="shared" si="5"/>
        <v/>
      </c>
      <c r="T81" s="16" t="str">
        <f t="shared" si="3"/>
        <v/>
      </c>
      <c r="V81" s="16" t="str">
        <f t="shared" si="4"/>
        <v/>
      </c>
    </row>
    <row r="82" spans="11:22" x14ac:dyDescent="0.15">
      <c r="K82" s="127"/>
      <c r="Q82" s="75" t="str">
        <f t="shared" si="5"/>
        <v/>
      </c>
      <c r="T82" s="16" t="str">
        <f t="shared" si="3"/>
        <v/>
      </c>
      <c r="V82" s="16" t="str">
        <f t="shared" si="4"/>
        <v/>
      </c>
    </row>
    <row r="83" spans="11:22" x14ac:dyDescent="0.15">
      <c r="K83" s="127"/>
      <c r="Q83" s="75" t="str">
        <f t="shared" si="5"/>
        <v/>
      </c>
      <c r="T83" s="16" t="str">
        <f t="shared" si="3"/>
        <v/>
      </c>
      <c r="V83" s="16" t="str">
        <f t="shared" si="4"/>
        <v/>
      </c>
    </row>
    <row r="84" spans="11:22" x14ac:dyDescent="0.15">
      <c r="K84" s="127"/>
      <c r="Q84" s="75" t="str">
        <f t="shared" si="5"/>
        <v/>
      </c>
      <c r="T84" s="16" t="str">
        <f t="shared" si="3"/>
        <v/>
      </c>
      <c r="V84" s="16" t="str">
        <f t="shared" si="4"/>
        <v/>
      </c>
    </row>
    <row r="85" spans="11:22" x14ac:dyDescent="0.15">
      <c r="K85" s="127"/>
      <c r="Q85" s="75" t="str">
        <f t="shared" si="5"/>
        <v/>
      </c>
      <c r="T85" s="16" t="str">
        <f t="shared" si="3"/>
        <v/>
      </c>
      <c r="V85" s="16" t="str">
        <f t="shared" si="4"/>
        <v/>
      </c>
    </row>
    <row r="86" spans="11:22" x14ac:dyDescent="0.15">
      <c r="K86" s="127"/>
      <c r="Q86" s="75" t="str">
        <f t="shared" si="5"/>
        <v/>
      </c>
      <c r="T86" s="16" t="str">
        <f t="shared" si="3"/>
        <v/>
      </c>
      <c r="V86" s="16" t="str">
        <f t="shared" si="4"/>
        <v/>
      </c>
    </row>
    <row r="87" spans="11:22" x14ac:dyDescent="0.15">
      <c r="K87" s="127"/>
      <c r="Q87" s="75" t="str">
        <f t="shared" si="5"/>
        <v/>
      </c>
      <c r="T87" s="16" t="str">
        <f t="shared" si="3"/>
        <v/>
      </c>
      <c r="V87" s="16" t="str">
        <f t="shared" si="4"/>
        <v/>
      </c>
    </row>
    <row r="88" spans="11:22" x14ac:dyDescent="0.15">
      <c r="K88" s="127"/>
      <c r="Q88" s="75" t="str">
        <f t="shared" si="5"/>
        <v/>
      </c>
      <c r="T88" s="16" t="str">
        <f t="shared" si="3"/>
        <v/>
      </c>
      <c r="V88" s="16" t="str">
        <f t="shared" si="4"/>
        <v/>
      </c>
    </row>
    <row r="89" spans="11:22" x14ac:dyDescent="0.15">
      <c r="K89" s="127"/>
      <c r="Q89" s="75" t="str">
        <f t="shared" si="5"/>
        <v/>
      </c>
      <c r="T89" s="16" t="str">
        <f t="shared" si="3"/>
        <v/>
      </c>
      <c r="V89" s="16" t="str">
        <f t="shared" si="4"/>
        <v/>
      </c>
    </row>
    <row r="90" spans="11:22" x14ac:dyDescent="0.15">
      <c r="K90" s="127"/>
      <c r="Q90" s="75" t="str">
        <f t="shared" si="5"/>
        <v/>
      </c>
      <c r="T90" s="16" t="str">
        <f t="shared" si="3"/>
        <v/>
      </c>
      <c r="V90" s="16" t="str">
        <f t="shared" si="4"/>
        <v/>
      </c>
    </row>
    <row r="91" spans="11:22" x14ac:dyDescent="0.15">
      <c r="K91" s="127"/>
      <c r="Q91" s="75" t="str">
        <f t="shared" si="5"/>
        <v/>
      </c>
      <c r="T91" s="16" t="str">
        <f t="shared" si="3"/>
        <v/>
      </c>
      <c r="V91" s="16" t="str">
        <f t="shared" si="4"/>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DED519CB-A567-46CC-BBEE-C24AE5DE8F18}">
      <formula1>$AH$2:$AH$11</formula1>
    </dataValidation>
    <dataValidation type="list" allowBlank="1" showInputMessage="1" showErrorMessage="1" sqref="E2:E491" xr:uid="{F15B251D-14DF-4389-8493-CC21ADA83DEF}">
      <formula1>$AG$2:$AG$11</formula1>
    </dataValidation>
    <dataValidation type="decimal" allowBlank="1" showInputMessage="1" showErrorMessage="1" error="硬度を正しく入力して下さい。" sqref="O2:P491" xr:uid="{5F0E50B0-823E-4C54-91A9-0359D5E14559}">
      <formula1>0</formula1>
      <formula2>7</formula2>
    </dataValidation>
    <dataValidation type="list" allowBlank="1" showInputMessage="1" showErrorMessage="1" sqref="Y2:AA491" xr:uid="{64D3A8C5-8265-44EA-8F44-1DD86F145B32}">
      <formula1>$AV$2:$AV$21</formula1>
    </dataValidation>
    <dataValidation type="list" allowBlank="1" showInputMessage="1" showErrorMessage="1" sqref="K444:K491" xr:uid="{08ADC7F7-610D-453E-A370-271FD24E8D0B}">
      <formula1>$AR$2:$AR$25</formula1>
    </dataValidation>
    <dataValidation type="list" allowBlank="1" showInputMessage="1" showErrorMessage="1" sqref="I2:I491" xr:uid="{D9724BEB-97F4-4C56-9249-EC05FBB6879D}">
      <formula1>$AN$5:$AN$6</formula1>
    </dataValidation>
    <dataValidation type="list" allowBlank="1" showInputMessage="1" showErrorMessage="1" sqref="H2:H491" xr:uid="{40003143-E5B7-4F1F-B75E-B2B521B34FF1}">
      <formula1>$AL$2:$AL$8</formula1>
    </dataValidation>
    <dataValidation type="list" allowBlank="1" showInputMessage="1" showErrorMessage="1" sqref="A2:A491" xr:uid="{AE970781-6CEF-46D3-86B3-81D39B4F79DC}">
      <formula1>$AE$2:$AE$19</formula1>
    </dataValidation>
    <dataValidation type="list" allowBlank="1" showInputMessage="1" showErrorMessage="1" sqref="X2:X491" xr:uid="{85A15145-8E0A-459A-97C6-A38B69E76503}">
      <formula1>$AT$2:$AT$3</formula1>
    </dataValidation>
    <dataValidation type="list" allowBlank="1" showInputMessage="1" showErrorMessage="1" sqref="G2:G491" xr:uid="{49AC6FA1-ECFE-450C-9C7C-B7F414D8C300}">
      <formula1>$AJ$2:$AJ$4</formula1>
    </dataValidation>
    <dataValidation type="list" allowBlank="1" showInputMessage="1" showErrorMessage="1" sqref="J2:J491" xr:uid="{33189983-8975-41AB-8B35-5166AD21F950}">
      <formula1>$AP$2:$AP$27</formula1>
    </dataValidation>
    <dataValidation operator="equal" allowBlank="1" showInputMessage="1" showErrorMessage="1" sqref="B2:B46" xr:uid="{147143F8-1FDB-4BF6-86AB-EE192047D80A}"/>
    <dataValidation type="list" allowBlank="1" showInputMessage="1" showErrorMessage="1" sqref="F492:F64242" xr:uid="{19829DDF-5EF6-4C11-B4E2-4FDB476344AE}">
      <formula1>$AH$2:$AH$8</formula1>
    </dataValidation>
    <dataValidation type="list" allowBlank="1" showInputMessage="1" showErrorMessage="1" sqref="E492:E64242" xr:uid="{9CB5E877-7604-4522-A421-A1A3BA78A8A7}">
      <formula1>$AG$2:$AG$9</formula1>
    </dataValidation>
    <dataValidation type="list" allowBlank="1" showInputMessage="1" showErrorMessage="1" sqref="H492:H64242" xr:uid="{BF53061E-33A0-409E-B6BD-B22DCB2716C7}">
      <formula1>$AL$2:$AL$10</formula1>
    </dataValidation>
    <dataValidation type="list" allowBlank="1" showInputMessage="1" showErrorMessage="1" sqref="K492:K64242" xr:uid="{0B5E4F1E-694B-43A3-984F-D4D6564DFC57}">
      <formula1>$AR$2:$AR$28</formula1>
    </dataValidation>
    <dataValidation type="list" allowBlank="1" showInputMessage="1" showErrorMessage="1" sqref="Y492:AA64242" xr:uid="{E1576526-FC03-4570-B19C-D08C470AB888}">
      <formula1>$AV$2:$AV$26</formula1>
    </dataValidation>
    <dataValidation type="list" allowBlank="1" showInputMessage="1" showErrorMessage="1" sqref="I492:I64242" xr:uid="{4D8EF148-6BFC-4744-BC4B-AD9BD57FEA22}">
      <formula1>$AN$2:$AN$6</formula1>
    </dataValidation>
    <dataValidation type="list" allowBlank="1" showInputMessage="1" showErrorMessage="1" sqref="J492:J64242" xr:uid="{68D32E23-6670-4618-B33C-415DB86A94F9}">
      <formula1>$AP$2:$AP$16</formula1>
    </dataValidation>
    <dataValidation type="list" allowBlank="1" showInputMessage="1" showErrorMessage="1" sqref="K2:K443" xr:uid="{3A812E28-2111-4261-B9B5-9788F18EFD1E}">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24576-5293-4632-BC41-24786DBF720C}">
  <dimension ref="A1:BA111"/>
  <sheetViews>
    <sheetView zoomScale="70" zoomScaleNormal="70" workbookViewId="0">
      <pane ySplit="1" topLeftCell="A2" activePane="bottomLeft" state="frozen"/>
      <selection pane="bottomLeft" activeCell="AF58" sqref="AF58"/>
    </sheetView>
  </sheetViews>
  <sheetFormatPr defaultRowHeight="13.5" x14ac:dyDescent="0.15"/>
  <cols>
    <col min="1" max="1" width="9" style="53"/>
    <col min="2" max="2" width="9.375" style="53" bestFit="1" customWidth="1"/>
    <col min="3" max="3" width="9.25" style="53" bestFit="1" customWidth="1"/>
    <col min="4" max="4" width="10.5" style="53" bestFit="1" customWidth="1"/>
    <col min="5" max="5" width="23.75" style="53" bestFit="1" customWidth="1"/>
    <col min="6" max="6" width="17.25" style="53" bestFit="1" customWidth="1"/>
    <col min="7" max="8" width="9" style="53"/>
    <col min="9" max="9" width="7" style="53" bestFit="1" customWidth="1"/>
    <col min="10" max="10" width="6.375" style="53" customWidth="1"/>
    <col min="11" max="11" width="9" style="53"/>
    <col min="12" max="12" width="8.5" style="53" bestFit="1" customWidth="1"/>
    <col min="13" max="13" width="10" style="53" bestFit="1" customWidth="1"/>
    <col min="14" max="14" width="7.625" style="53" bestFit="1" customWidth="1"/>
    <col min="15" max="15" width="8.5" style="53" bestFit="1" customWidth="1"/>
    <col min="16" max="16" width="9" style="53"/>
    <col min="17" max="17" width="9" style="16"/>
    <col min="18" max="19" width="9" style="53"/>
    <col min="20" max="20" width="9" style="16"/>
    <col min="21" max="21" width="9" style="53"/>
    <col min="22" max="22" width="14.25" style="16" customWidth="1"/>
    <col min="23" max="23" width="12.75" style="53" bestFit="1" customWidth="1"/>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50.25" customHeight="1"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327</v>
      </c>
      <c r="V1" s="5" t="s">
        <v>20</v>
      </c>
      <c r="W1" s="56" t="s">
        <v>21</v>
      </c>
      <c r="X1" s="45" t="s">
        <v>22</v>
      </c>
      <c r="Y1" s="45" t="s">
        <v>23</v>
      </c>
      <c r="Z1" s="45" t="s">
        <v>328</v>
      </c>
      <c r="AA1" s="46" t="s">
        <v>25</v>
      </c>
      <c r="AB1" s="80" t="s">
        <v>26</v>
      </c>
      <c r="AE1" s="60" t="s">
        <v>0</v>
      </c>
      <c r="AF1" s="61"/>
      <c r="AG1" s="17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232</v>
      </c>
      <c r="C2" s="53">
        <v>2019</v>
      </c>
      <c r="D2" s="171" t="s">
        <v>166</v>
      </c>
      <c r="E2" s="53" t="s">
        <v>329</v>
      </c>
      <c r="F2" s="53" t="s">
        <v>330</v>
      </c>
      <c r="G2" s="53" t="s">
        <v>36</v>
      </c>
      <c r="H2" s="53" t="s">
        <v>164</v>
      </c>
      <c r="I2" s="53" t="s">
        <v>159</v>
      </c>
      <c r="J2" s="53" t="s">
        <v>38</v>
      </c>
      <c r="K2" s="53" t="s">
        <v>161</v>
      </c>
      <c r="L2" s="53">
        <v>1</v>
      </c>
      <c r="N2" s="53">
        <v>1</v>
      </c>
      <c r="O2" s="53">
        <v>0.6</v>
      </c>
      <c r="P2" s="53">
        <v>0.5</v>
      </c>
      <c r="Q2" s="75">
        <f t="shared" ref="Q2:Q82" si="0">IF(OR(O2="",P2=""),"",AVERAGE(O2,P2))</f>
        <v>0.55000000000000004</v>
      </c>
      <c r="R2" s="53">
        <v>17.2</v>
      </c>
      <c r="S2" s="53">
        <v>116</v>
      </c>
      <c r="T2" s="16">
        <f t="shared" ref="T2:T103" si="1">IF(H2="","",IF(OR(H2="GREEN",H2="GK"),IF(S2&gt;=$AX$2,VLOOKUP(S2,$AX$2:$AY$9,2,1),""),IF(S2&gt;=$AZ$2,VLOOKUP(S2,$AZ$2:$BA$9,2,1),"")))</f>
        <v>30</v>
      </c>
      <c r="U2" s="53">
        <v>113</v>
      </c>
      <c r="V2" s="16">
        <f t="shared" ref="V2:V103" si="2">IF(OR(N2="",U2="",T2=""),"",U2/N2*T2)</f>
        <v>3390</v>
      </c>
      <c r="W2" s="53">
        <v>2</v>
      </c>
      <c r="X2" s="53" t="s">
        <v>46</v>
      </c>
      <c r="Y2" s="53" t="s">
        <v>88</v>
      </c>
      <c r="Z2" s="53" t="s">
        <v>78</v>
      </c>
      <c r="AA2" s="53" t="s">
        <v>102</v>
      </c>
      <c r="AB2" s="53" t="s">
        <v>236</v>
      </c>
      <c r="AE2" s="64" t="s">
        <v>35</v>
      </c>
      <c r="AG2" s="172" t="s">
        <v>319</v>
      </c>
      <c r="AH2" s="67" t="s">
        <v>331</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232</v>
      </c>
      <c r="C3" s="53">
        <v>2019</v>
      </c>
      <c r="D3" s="171" t="s">
        <v>166</v>
      </c>
      <c r="E3" s="53" t="s">
        <v>329</v>
      </c>
      <c r="F3" s="53" t="s">
        <v>330</v>
      </c>
      <c r="G3" s="53" t="s">
        <v>36</v>
      </c>
      <c r="H3" s="53" t="s">
        <v>164</v>
      </c>
      <c r="I3" s="53" t="s">
        <v>159</v>
      </c>
      <c r="J3" s="53" t="s">
        <v>38</v>
      </c>
      <c r="K3" s="53" t="s">
        <v>161</v>
      </c>
      <c r="L3" s="53">
        <v>2</v>
      </c>
      <c r="N3" s="53">
        <v>1</v>
      </c>
      <c r="O3" s="53">
        <v>0.75</v>
      </c>
      <c r="P3" s="53">
        <v>1</v>
      </c>
      <c r="Q3" s="75">
        <f t="shared" si="0"/>
        <v>0.875</v>
      </c>
      <c r="R3" s="53">
        <v>17.5</v>
      </c>
      <c r="S3" s="53">
        <v>134</v>
      </c>
      <c r="T3" s="16">
        <f t="shared" si="1"/>
        <v>30</v>
      </c>
      <c r="U3" s="53">
        <v>113</v>
      </c>
      <c r="V3" s="16">
        <f t="shared" si="2"/>
        <v>3390</v>
      </c>
      <c r="W3" s="53">
        <v>2</v>
      </c>
      <c r="X3" s="53" t="s">
        <v>46</v>
      </c>
      <c r="Y3" s="53" t="s">
        <v>88</v>
      </c>
      <c r="Z3" s="53" t="s">
        <v>78</v>
      </c>
      <c r="AA3" s="53" t="s">
        <v>102</v>
      </c>
      <c r="AB3" s="53" t="s">
        <v>236</v>
      </c>
      <c r="AE3" s="22" t="s">
        <v>41</v>
      </c>
      <c r="AG3" s="173" t="s">
        <v>329</v>
      </c>
      <c r="AH3" s="67" t="s">
        <v>330</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232</v>
      </c>
      <c r="C4" s="53">
        <v>2019</v>
      </c>
      <c r="D4" s="171" t="s">
        <v>166</v>
      </c>
      <c r="E4" s="53" t="s">
        <v>329</v>
      </c>
      <c r="F4" s="53" t="s">
        <v>330</v>
      </c>
      <c r="G4" s="53" t="s">
        <v>36</v>
      </c>
      <c r="H4" s="53" t="s">
        <v>164</v>
      </c>
      <c r="I4" s="53" t="s">
        <v>159</v>
      </c>
      <c r="J4" s="53" t="s">
        <v>38</v>
      </c>
      <c r="K4" s="53" t="s">
        <v>161</v>
      </c>
      <c r="L4" s="53">
        <v>3</v>
      </c>
      <c r="N4" s="53">
        <v>1</v>
      </c>
      <c r="O4" s="53">
        <v>0.65</v>
      </c>
      <c r="P4" s="53">
        <v>0.65</v>
      </c>
      <c r="Q4" s="75">
        <f t="shared" si="0"/>
        <v>0.65</v>
      </c>
      <c r="R4" s="53">
        <v>17.3</v>
      </c>
      <c r="S4" s="53">
        <v>124</v>
      </c>
      <c r="T4" s="16">
        <f t="shared" si="1"/>
        <v>30</v>
      </c>
      <c r="U4" s="53">
        <v>113</v>
      </c>
      <c r="V4" s="16">
        <f t="shared" si="2"/>
        <v>3390</v>
      </c>
      <c r="W4" s="53">
        <v>2</v>
      </c>
      <c r="X4" s="53" t="s">
        <v>46</v>
      </c>
      <c r="Y4" s="53" t="s">
        <v>88</v>
      </c>
      <c r="Z4" s="53" t="s">
        <v>78</v>
      </c>
      <c r="AA4" s="53" t="s">
        <v>102</v>
      </c>
      <c r="AB4" s="53" t="s">
        <v>236</v>
      </c>
      <c r="AE4" s="22" t="s">
        <v>34</v>
      </c>
      <c r="AG4" s="173" t="s">
        <v>332</v>
      </c>
      <c r="AH4" s="67" t="s">
        <v>333</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232</v>
      </c>
      <c r="C5" s="53">
        <v>2019</v>
      </c>
      <c r="D5" s="171" t="s">
        <v>166</v>
      </c>
      <c r="E5" s="53" t="s">
        <v>329</v>
      </c>
      <c r="F5" s="53" t="s">
        <v>330</v>
      </c>
      <c r="G5" s="53" t="s">
        <v>36</v>
      </c>
      <c r="H5" s="53" t="s">
        <v>164</v>
      </c>
      <c r="I5" s="53" t="s">
        <v>159</v>
      </c>
      <c r="J5" s="53" t="s">
        <v>38</v>
      </c>
      <c r="K5" s="53" t="s">
        <v>161</v>
      </c>
      <c r="L5" s="53">
        <v>1</v>
      </c>
      <c r="N5" s="53">
        <v>4</v>
      </c>
      <c r="O5" s="53">
        <v>0.55000000000000004</v>
      </c>
      <c r="P5" s="53">
        <v>0.55000000000000004</v>
      </c>
      <c r="Q5" s="75">
        <f t="shared" si="0"/>
        <v>0.55000000000000004</v>
      </c>
      <c r="R5" s="53">
        <v>17.8</v>
      </c>
      <c r="S5" s="53">
        <v>87</v>
      </c>
      <c r="T5" s="16">
        <f t="shared" si="1"/>
        <v>36</v>
      </c>
      <c r="U5" s="53">
        <v>463</v>
      </c>
      <c r="V5" s="16">
        <f t="shared" si="2"/>
        <v>4167</v>
      </c>
      <c r="W5" s="53">
        <v>2</v>
      </c>
      <c r="X5" s="53" t="s">
        <v>46</v>
      </c>
      <c r="Y5" s="53" t="s">
        <v>88</v>
      </c>
      <c r="Z5" s="53" t="s">
        <v>78</v>
      </c>
      <c r="AA5" s="53" t="s">
        <v>102</v>
      </c>
      <c r="AB5" s="53" t="s">
        <v>236</v>
      </c>
      <c r="AE5" s="22" t="s">
        <v>51</v>
      </c>
      <c r="AG5" s="173" t="s">
        <v>334</v>
      </c>
      <c r="AH5" s="67" t="s">
        <v>335</v>
      </c>
      <c r="AJ5" s="28"/>
      <c r="AL5" s="73" t="s">
        <v>66</v>
      </c>
      <c r="AN5" s="73" t="s">
        <v>52</v>
      </c>
      <c r="AP5" s="23" t="s">
        <v>119</v>
      </c>
      <c r="AR5" s="23" t="s">
        <v>54</v>
      </c>
      <c r="AV5" s="23" t="s">
        <v>55</v>
      </c>
      <c r="AX5" s="24">
        <v>84</v>
      </c>
      <c r="AY5" s="25">
        <v>39</v>
      </c>
      <c r="AZ5" s="25">
        <v>84</v>
      </c>
      <c r="BA5" s="26">
        <v>36</v>
      </c>
    </row>
    <row r="6" spans="1:53" x14ac:dyDescent="0.15">
      <c r="A6" s="53" t="s">
        <v>34</v>
      </c>
      <c r="B6" s="53" t="s">
        <v>232</v>
      </c>
      <c r="C6" s="53">
        <v>2019</v>
      </c>
      <c r="D6" s="171" t="s">
        <v>166</v>
      </c>
      <c r="E6" s="53" t="s">
        <v>329</v>
      </c>
      <c r="F6" s="53" t="s">
        <v>330</v>
      </c>
      <c r="G6" s="53" t="s">
        <v>36</v>
      </c>
      <c r="H6" s="53" t="s">
        <v>164</v>
      </c>
      <c r="I6" s="53" t="s">
        <v>159</v>
      </c>
      <c r="J6" s="53" t="s">
        <v>38</v>
      </c>
      <c r="K6" s="53" t="s">
        <v>161</v>
      </c>
      <c r="L6" s="53">
        <v>2</v>
      </c>
      <c r="N6" s="53">
        <v>4</v>
      </c>
      <c r="O6" s="53">
        <v>0.55000000000000004</v>
      </c>
      <c r="P6" s="53">
        <v>0.5</v>
      </c>
      <c r="Q6" s="75">
        <f t="shared" si="0"/>
        <v>0.52500000000000002</v>
      </c>
      <c r="R6" s="53">
        <v>17</v>
      </c>
      <c r="S6" s="53">
        <v>98</v>
      </c>
      <c r="T6" s="16">
        <f t="shared" si="1"/>
        <v>36</v>
      </c>
      <c r="U6" s="53">
        <v>463</v>
      </c>
      <c r="V6" s="16">
        <f t="shared" si="2"/>
        <v>4167</v>
      </c>
      <c r="W6" s="53">
        <v>2</v>
      </c>
      <c r="X6" s="53" t="s">
        <v>46</v>
      </c>
      <c r="Y6" s="53" t="s">
        <v>88</v>
      </c>
      <c r="Z6" s="53" t="s">
        <v>78</v>
      </c>
      <c r="AA6" s="53" t="s">
        <v>102</v>
      </c>
      <c r="AB6" s="53" t="s">
        <v>236</v>
      </c>
      <c r="AE6" s="22" t="s">
        <v>56</v>
      </c>
      <c r="AG6" s="173" t="s">
        <v>336</v>
      </c>
      <c r="AH6" s="67" t="s">
        <v>337</v>
      </c>
      <c r="AL6" s="73" t="s">
        <v>99</v>
      </c>
      <c r="AN6" s="73" t="s">
        <v>57</v>
      </c>
      <c r="AP6" s="23" t="s">
        <v>53</v>
      </c>
      <c r="AR6" s="23" t="s">
        <v>59</v>
      </c>
      <c r="AV6" s="23" t="s">
        <v>60</v>
      </c>
      <c r="AX6" s="24">
        <v>97</v>
      </c>
      <c r="AY6" s="25">
        <v>36</v>
      </c>
      <c r="AZ6" s="25">
        <v>99</v>
      </c>
      <c r="BA6" s="26">
        <v>33</v>
      </c>
    </row>
    <row r="7" spans="1:53" x14ac:dyDescent="0.15">
      <c r="A7" s="53" t="s">
        <v>34</v>
      </c>
      <c r="B7" s="53" t="s">
        <v>232</v>
      </c>
      <c r="C7" s="53">
        <v>2019</v>
      </c>
      <c r="D7" s="171" t="s">
        <v>166</v>
      </c>
      <c r="E7" s="53" t="s">
        <v>329</v>
      </c>
      <c r="F7" s="53" t="s">
        <v>330</v>
      </c>
      <c r="G7" s="53" t="s">
        <v>36</v>
      </c>
      <c r="H7" s="53" t="s">
        <v>164</v>
      </c>
      <c r="I7" s="53" t="s">
        <v>159</v>
      </c>
      <c r="J7" s="53" t="s">
        <v>38</v>
      </c>
      <c r="K7" s="53" t="s">
        <v>161</v>
      </c>
      <c r="L7" s="53">
        <v>3</v>
      </c>
      <c r="N7" s="53">
        <v>4</v>
      </c>
      <c r="O7" s="53">
        <v>0.45</v>
      </c>
      <c r="P7" s="53">
        <v>0.45</v>
      </c>
      <c r="Q7" s="75">
        <f t="shared" si="0"/>
        <v>0.45</v>
      </c>
      <c r="R7" s="53">
        <v>17.100000000000001</v>
      </c>
      <c r="S7" s="53">
        <v>102</v>
      </c>
      <c r="T7" s="16">
        <f t="shared" si="1"/>
        <v>33</v>
      </c>
      <c r="U7" s="53">
        <v>463</v>
      </c>
      <c r="V7" s="16">
        <f t="shared" si="2"/>
        <v>3819.75</v>
      </c>
      <c r="W7" s="53">
        <v>2</v>
      </c>
      <c r="X7" s="53" t="s">
        <v>46</v>
      </c>
      <c r="Y7" s="53" t="s">
        <v>88</v>
      </c>
      <c r="Z7" s="53" t="s">
        <v>78</v>
      </c>
      <c r="AA7" s="53" t="s">
        <v>102</v>
      </c>
      <c r="AB7" s="53" t="s">
        <v>236</v>
      </c>
      <c r="AE7" s="22" t="s">
        <v>61</v>
      </c>
      <c r="AG7" s="173" t="s">
        <v>269</v>
      </c>
      <c r="AH7" s="67" t="s">
        <v>338</v>
      </c>
      <c r="AL7" s="34" t="s">
        <v>109</v>
      </c>
      <c r="AP7" s="23" t="s">
        <v>58</v>
      </c>
      <c r="AR7" s="23" t="s">
        <v>122</v>
      </c>
      <c r="AV7" s="23" t="s">
        <v>64</v>
      </c>
      <c r="AX7" s="24">
        <v>109</v>
      </c>
      <c r="AY7" s="25">
        <v>33</v>
      </c>
      <c r="AZ7" s="25">
        <v>113</v>
      </c>
      <c r="BA7" s="26">
        <v>30</v>
      </c>
    </row>
    <row r="8" spans="1:53" x14ac:dyDescent="0.15">
      <c r="A8" s="53" t="s">
        <v>34</v>
      </c>
      <c r="B8" s="53" t="s">
        <v>232</v>
      </c>
      <c r="C8" s="53">
        <v>2019</v>
      </c>
      <c r="D8" s="171" t="s">
        <v>166</v>
      </c>
      <c r="E8" s="53" t="s">
        <v>329</v>
      </c>
      <c r="F8" s="53" t="s">
        <v>330</v>
      </c>
      <c r="G8" s="53" t="s">
        <v>36</v>
      </c>
      <c r="H8" s="53" t="s">
        <v>160</v>
      </c>
      <c r="I8" s="53" t="s">
        <v>159</v>
      </c>
      <c r="J8" s="53" t="s">
        <v>38</v>
      </c>
      <c r="K8" s="53" t="s">
        <v>161</v>
      </c>
      <c r="L8" s="53">
        <v>1</v>
      </c>
      <c r="N8" s="53">
        <v>1</v>
      </c>
      <c r="O8" s="53">
        <v>0.6</v>
      </c>
      <c r="P8" s="53">
        <v>0.6</v>
      </c>
      <c r="Q8" s="75">
        <f t="shared" si="0"/>
        <v>0.6</v>
      </c>
      <c r="R8" s="53">
        <v>17.3</v>
      </c>
      <c r="S8" s="53">
        <v>118</v>
      </c>
      <c r="T8" s="16">
        <f t="shared" si="1"/>
        <v>30</v>
      </c>
      <c r="U8" s="53">
        <v>113</v>
      </c>
      <c r="V8" s="16">
        <f t="shared" si="2"/>
        <v>3390</v>
      </c>
      <c r="W8" s="53">
        <v>3</v>
      </c>
      <c r="X8" s="53" t="s">
        <v>46</v>
      </c>
      <c r="Y8" s="53" t="s">
        <v>88</v>
      </c>
      <c r="Z8" s="53" t="s">
        <v>78</v>
      </c>
      <c r="AA8" s="53" t="s">
        <v>102</v>
      </c>
      <c r="AB8" s="53" t="s">
        <v>236</v>
      </c>
      <c r="AE8" s="22" t="s">
        <v>59</v>
      </c>
      <c r="AG8" s="173" t="s">
        <v>339</v>
      </c>
      <c r="AH8" s="67" t="s">
        <v>340</v>
      </c>
      <c r="AL8" s="34" t="s">
        <v>134</v>
      </c>
      <c r="AP8" s="23" t="s">
        <v>62</v>
      </c>
      <c r="AR8" s="23" t="s">
        <v>81</v>
      </c>
      <c r="AV8" s="23" t="s">
        <v>97</v>
      </c>
      <c r="AX8" s="24">
        <v>151</v>
      </c>
      <c r="AY8" s="25">
        <v>22</v>
      </c>
      <c r="AZ8" s="25">
        <v>152</v>
      </c>
      <c r="BA8" s="26">
        <v>18</v>
      </c>
    </row>
    <row r="9" spans="1:53" x14ac:dyDescent="0.15">
      <c r="A9" s="53" t="s">
        <v>34</v>
      </c>
      <c r="B9" s="53" t="s">
        <v>232</v>
      </c>
      <c r="C9" s="53">
        <v>2019</v>
      </c>
      <c r="D9" s="171" t="s">
        <v>166</v>
      </c>
      <c r="E9" s="53" t="s">
        <v>329</v>
      </c>
      <c r="F9" s="53" t="s">
        <v>330</v>
      </c>
      <c r="G9" s="53" t="s">
        <v>36</v>
      </c>
      <c r="H9" s="53" t="s">
        <v>160</v>
      </c>
      <c r="I9" s="53" t="s">
        <v>159</v>
      </c>
      <c r="J9" s="53" t="s">
        <v>38</v>
      </c>
      <c r="K9" s="53" t="s">
        <v>161</v>
      </c>
      <c r="L9" s="53">
        <v>2</v>
      </c>
      <c r="N9" s="53">
        <v>1</v>
      </c>
      <c r="O9" s="53">
        <v>0.55000000000000004</v>
      </c>
      <c r="P9" s="53">
        <v>0.5</v>
      </c>
      <c r="Q9" s="75">
        <f t="shared" si="0"/>
        <v>0.52500000000000002</v>
      </c>
      <c r="R9" s="53">
        <v>17.600000000000001</v>
      </c>
      <c r="S9" s="53">
        <v>118</v>
      </c>
      <c r="T9" s="16">
        <f t="shared" si="1"/>
        <v>30</v>
      </c>
      <c r="U9" s="53">
        <v>113</v>
      </c>
      <c r="V9" s="16">
        <f t="shared" si="2"/>
        <v>3390</v>
      </c>
      <c r="W9" s="53">
        <v>3</v>
      </c>
      <c r="X9" s="53" t="s">
        <v>46</v>
      </c>
      <c r="Y9" s="53" t="s">
        <v>88</v>
      </c>
      <c r="Z9" s="53" t="s">
        <v>78</v>
      </c>
      <c r="AA9" s="53" t="s">
        <v>102</v>
      </c>
      <c r="AB9" s="53" t="s">
        <v>236</v>
      </c>
      <c r="AE9" s="22" t="s">
        <v>98</v>
      </c>
      <c r="AG9" s="173" t="s">
        <v>341</v>
      </c>
      <c r="AH9" s="67" t="s">
        <v>342</v>
      </c>
      <c r="AL9" s="73"/>
      <c r="AP9" s="23" t="s">
        <v>95</v>
      </c>
      <c r="AR9" s="23" t="s">
        <v>89</v>
      </c>
      <c r="AV9" s="23" t="s">
        <v>102</v>
      </c>
      <c r="AX9" s="31">
        <v>180</v>
      </c>
      <c r="AY9" s="32">
        <v>18</v>
      </c>
      <c r="AZ9" s="32">
        <v>181</v>
      </c>
      <c r="BA9" s="33">
        <v>16</v>
      </c>
    </row>
    <row r="10" spans="1:53" x14ac:dyDescent="0.15">
      <c r="A10" s="53" t="s">
        <v>34</v>
      </c>
      <c r="B10" s="53" t="s">
        <v>232</v>
      </c>
      <c r="C10" s="53">
        <v>2019</v>
      </c>
      <c r="D10" s="171" t="s">
        <v>166</v>
      </c>
      <c r="E10" s="53" t="s">
        <v>329</v>
      </c>
      <c r="F10" s="53" t="s">
        <v>330</v>
      </c>
      <c r="G10" s="53" t="s">
        <v>36</v>
      </c>
      <c r="H10" s="53" t="s">
        <v>160</v>
      </c>
      <c r="I10" s="53" t="s">
        <v>159</v>
      </c>
      <c r="J10" s="53" t="s">
        <v>38</v>
      </c>
      <c r="K10" s="53" t="s">
        <v>161</v>
      </c>
      <c r="L10" s="53">
        <v>3</v>
      </c>
      <c r="N10" s="53">
        <v>1</v>
      </c>
      <c r="O10" s="53">
        <v>0.5</v>
      </c>
      <c r="P10" s="53">
        <v>0.5</v>
      </c>
      <c r="Q10" s="75">
        <f t="shared" si="0"/>
        <v>0.5</v>
      </c>
      <c r="R10" s="53">
        <v>17.3</v>
      </c>
      <c r="S10" s="53">
        <v>126</v>
      </c>
      <c r="T10" s="16">
        <f t="shared" si="1"/>
        <v>30</v>
      </c>
      <c r="U10" s="53">
        <v>113</v>
      </c>
      <c r="V10" s="16">
        <f t="shared" si="2"/>
        <v>3390</v>
      </c>
      <c r="W10" s="53">
        <v>3</v>
      </c>
      <c r="X10" s="53" t="s">
        <v>46</v>
      </c>
      <c r="Y10" s="53" t="s">
        <v>88</v>
      </c>
      <c r="Z10" s="53" t="s">
        <v>78</v>
      </c>
      <c r="AA10" s="53" t="s">
        <v>102</v>
      </c>
      <c r="AB10" s="53" t="s">
        <v>236</v>
      </c>
      <c r="AE10" s="22" t="s">
        <v>103</v>
      </c>
      <c r="AG10" s="173" t="s">
        <v>343</v>
      </c>
      <c r="AH10" s="67" t="s">
        <v>344</v>
      </c>
      <c r="AL10" s="34"/>
      <c r="AP10" s="23" t="s">
        <v>100</v>
      </c>
      <c r="AR10" s="23" t="s">
        <v>123</v>
      </c>
      <c r="AV10" s="23" t="s">
        <v>106</v>
      </c>
    </row>
    <row r="11" spans="1:53" x14ac:dyDescent="0.15">
      <c r="A11" s="53" t="s">
        <v>34</v>
      </c>
      <c r="B11" s="53" t="s">
        <v>232</v>
      </c>
      <c r="C11" s="53">
        <v>2019</v>
      </c>
      <c r="D11" s="171" t="s">
        <v>166</v>
      </c>
      <c r="E11" s="53" t="s">
        <v>329</v>
      </c>
      <c r="F11" s="53" t="s">
        <v>330</v>
      </c>
      <c r="G11" s="53" t="s">
        <v>36</v>
      </c>
      <c r="H11" s="53" t="s">
        <v>160</v>
      </c>
      <c r="I11" s="53" t="s">
        <v>159</v>
      </c>
      <c r="J11" s="53" t="s">
        <v>38</v>
      </c>
      <c r="K11" s="53" t="s">
        <v>161</v>
      </c>
      <c r="L11" s="53">
        <v>1</v>
      </c>
      <c r="N11" s="53">
        <v>4</v>
      </c>
      <c r="O11" s="53">
        <v>0.55000000000000004</v>
      </c>
      <c r="P11" s="53">
        <v>0.7</v>
      </c>
      <c r="Q11" s="75">
        <f t="shared" si="0"/>
        <v>0.625</v>
      </c>
      <c r="R11" s="53">
        <v>18.3</v>
      </c>
      <c r="S11" s="53">
        <v>114</v>
      </c>
      <c r="T11" s="16">
        <f t="shared" si="1"/>
        <v>30</v>
      </c>
      <c r="U11" s="53">
        <v>463</v>
      </c>
      <c r="V11" s="16">
        <f t="shared" si="2"/>
        <v>3472.5</v>
      </c>
      <c r="W11" s="53">
        <v>3</v>
      </c>
      <c r="X11" s="53" t="s">
        <v>46</v>
      </c>
      <c r="Y11" s="53" t="s">
        <v>88</v>
      </c>
      <c r="Z11" s="53" t="s">
        <v>78</v>
      </c>
      <c r="AA11" s="53" t="s">
        <v>102</v>
      </c>
      <c r="AB11" s="53" t="s">
        <v>236</v>
      </c>
      <c r="AE11" s="22" t="s">
        <v>65</v>
      </c>
      <c r="AG11" s="173" t="s">
        <v>210</v>
      </c>
      <c r="AH11" s="67" t="s">
        <v>345</v>
      </c>
      <c r="AL11" s="34"/>
      <c r="AP11" s="23" t="s">
        <v>104</v>
      </c>
      <c r="AR11" s="23" t="s">
        <v>87</v>
      </c>
      <c r="AV11" s="23" t="s">
        <v>69</v>
      </c>
    </row>
    <row r="12" spans="1:53" x14ac:dyDescent="0.15">
      <c r="A12" s="53" t="s">
        <v>34</v>
      </c>
      <c r="B12" s="53" t="s">
        <v>232</v>
      </c>
      <c r="C12" s="53">
        <v>2019</v>
      </c>
      <c r="D12" s="171" t="s">
        <v>166</v>
      </c>
      <c r="E12" s="53" t="s">
        <v>329</v>
      </c>
      <c r="F12" s="53" t="s">
        <v>330</v>
      </c>
      <c r="G12" s="53" t="s">
        <v>36</v>
      </c>
      <c r="H12" s="53" t="s">
        <v>160</v>
      </c>
      <c r="I12" s="53" t="s">
        <v>159</v>
      </c>
      <c r="J12" s="53" t="s">
        <v>38</v>
      </c>
      <c r="K12" s="53" t="s">
        <v>161</v>
      </c>
      <c r="L12" s="53">
        <v>2</v>
      </c>
      <c r="N12" s="53">
        <v>4</v>
      </c>
      <c r="O12" s="53">
        <v>0.2</v>
      </c>
      <c r="P12" s="53">
        <v>0.2</v>
      </c>
      <c r="Q12" s="75">
        <f t="shared" si="0"/>
        <v>0.2</v>
      </c>
      <c r="R12" s="53">
        <v>18.399999999999999</v>
      </c>
      <c r="S12" s="53">
        <v>112</v>
      </c>
      <c r="T12" s="16">
        <f t="shared" si="1"/>
        <v>33</v>
      </c>
      <c r="U12" s="53">
        <v>463</v>
      </c>
      <c r="V12" s="16">
        <f t="shared" si="2"/>
        <v>3819.75</v>
      </c>
      <c r="W12" s="53">
        <v>3</v>
      </c>
      <c r="X12" s="53" t="s">
        <v>46</v>
      </c>
      <c r="Y12" s="53" t="s">
        <v>88</v>
      </c>
      <c r="Z12" s="53" t="s">
        <v>78</v>
      </c>
      <c r="AA12" s="53" t="s">
        <v>102</v>
      </c>
      <c r="AB12" s="53" t="s">
        <v>236</v>
      </c>
      <c r="AE12" s="22" t="s">
        <v>70</v>
      </c>
      <c r="AG12" s="28"/>
      <c r="AH12" s="23"/>
      <c r="AL12" s="34"/>
      <c r="AP12" s="23" t="s">
        <v>67</v>
      </c>
      <c r="AR12" s="23" t="s">
        <v>124</v>
      </c>
      <c r="AV12" s="23" t="s">
        <v>72</v>
      </c>
    </row>
    <row r="13" spans="1:53" x14ac:dyDescent="0.15">
      <c r="A13" s="53" t="s">
        <v>34</v>
      </c>
      <c r="B13" s="53" t="s">
        <v>232</v>
      </c>
      <c r="C13" s="53">
        <v>2019</v>
      </c>
      <c r="D13" s="171" t="s">
        <v>166</v>
      </c>
      <c r="E13" s="53" t="s">
        <v>329</v>
      </c>
      <c r="F13" s="53" t="s">
        <v>330</v>
      </c>
      <c r="G13" s="53" t="s">
        <v>36</v>
      </c>
      <c r="H13" s="53" t="s">
        <v>160</v>
      </c>
      <c r="I13" s="53" t="s">
        <v>159</v>
      </c>
      <c r="J13" s="53" t="s">
        <v>38</v>
      </c>
      <c r="K13" s="53" t="s">
        <v>161</v>
      </c>
      <c r="L13" s="53">
        <v>3</v>
      </c>
      <c r="N13" s="53">
        <v>4</v>
      </c>
      <c r="O13" s="53">
        <v>0.45</v>
      </c>
      <c r="P13" s="53">
        <v>0.45</v>
      </c>
      <c r="Q13" s="75">
        <f t="shared" si="0"/>
        <v>0.45</v>
      </c>
      <c r="R13" s="53">
        <v>18.399999999999999</v>
      </c>
      <c r="S13" s="53">
        <v>114</v>
      </c>
      <c r="T13" s="16">
        <f t="shared" si="1"/>
        <v>30</v>
      </c>
      <c r="U13" s="53">
        <v>463</v>
      </c>
      <c r="V13" s="16">
        <f t="shared" si="2"/>
        <v>3472.5</v>
      </c>
      <c r="W13" s="53">
        <v>3</v>
      </c>
      <c r="X13" s="53" t="s">
        <v>46</v>
      </c>
      <c r="Y13" s="53" t="s">
        <v>88</v>
      </c>
      <c r="Z13" s="53" t="s">
        <v>78</v>
      </c>
      <c r="AA13" s="53" t="s">
        <v>102</v>
      </c>
      <c r="AB13" s="53" t="s">
        <v>236</v>
      </c>
      <c r="AE13" s="22" t="s">
        <v>73</v>
      </c>
      <c r="AH13" s="28"/>
      <c r="AP13" s="23" t="s">
        <v>71</v>
      </c>
      <c r="AR13" s="23" t="s">
        <v>103</v>
      </c>
      <c r="AV13" s="23" t="s">
        <v>75</v>
      </c>
    </row>
    <row r="14" spans="1:53" x14ac:dyDescent="0.15">
      <c r="A14" s="53" t="s">
        <v>34</v>
      </c>
      <c r="B14" s="53" t="s">
        <v>232</v>
      </c>
      <c r="C14" s="53">
        <v>2019</v>
      </c>
      <c r="D14" s="171" t="s">
        <v>166</v>
      </c>
      <c r="E14" s="53" t="s">
        <v>269</v>
      </c>
      <c r="F14" s="53" t="s">
        <v>338</v>
      </c>
      <c r="G14" s="53" t="s">
        <v>36</v>
      </c>
      <c r="H14" s="53" t="s">
        <v>164</v>
      </c>
      <c r="I14" s="53" t="s">
        <v>159</v>
      </c>
      <c r="J14" s="53" t="s">
        <v>38</v>
      </c>
      <c r="K14" s="53" t="s">
        <v>161</v>
      </c>
      <c r="L14" s="53">
        <v>1</v>
      </c>
      <c r="N14" s="53">
        <v>1</v>
      </c>
      <c r="O14" s="53">
        <v>0.55000000000000004</v>
      </c>
      <c r="P14" s="53">
        <v>0.55000000000000004</v>
      </c>
      <c r="Q14" s="75">
        <f t="shared" si="0"/>
        <v>0.55000000000000004</v>
      </c>
      <c r="R14" s="53">
        <v>19.5</v>
      </c>
      <c r="S14" s="53">
        <v>122</v>
      </c>
      <c r="T14" s="16">
        <f t="shared" si="1"/>
        <v>30</v>
      </c>
      <c r="U14" s="53">
        <v>138</v>
      </c>
      <c r="V14" s="16">
        <f t="shared" si="2"/>
        <v>4140</v>
      </c>
      <c r="W14" s="53">
        <v>2</v>
      </c>
      <c r="X14" s="53" t="s">
        <v>46</v>
      </c>
      <c r="Y14" s="53" t="s">
        <v>102</v>
      </c>
      <c r="Z14" s="53" t="s">
        <v>88</v>
      </c>
      <c r="AA14" s="53" t="s">
        <v>69</v>
      </c>
      <c r="AB14" s="53" t="s">
        <v>236</v>
      </c>
      <c r="AE14" s="22" t="s">
        <v>76</v>
      </c>
      <c r="AG14" s="174"/>
      <c r="AP14" s="23" t="s">
        <v>74</v>
      </c>
      <c r="AR14" s="23" t="s">
        <v>125</v>
      </c>
      <c r="AV14" s="23" t="s">
        <v>78</v>
      </c>
    </row>
    <row r="15" spans="1:53" x14ac:dyDescent="0.15">
      <c r="A15" s="53" t="s">
        <v>34</v>
      </c>
      <c r="B15" s="53" t="s">
        <v>232</v>
      </c>
      <c r="C15" s="53">
        <v>2019</v>
      </c>
      <c r="D15" s="171" t="s">
        <v>166</v>
      </c>
      <c r="E15" s="53" t="s">
        <v>269</v>
      </c>
      <c r="F15" s="53" t="s">
        <v>338</v>
      </c>
      <c r="G15" s="53" t="s">
        <v>36</v>
      </c>
      <c r="H15" s="53" t="s">
        <v>164</v>
      </c>
      <c r="I15" s="53" t="s">
        <v>159</v>
      </c>
      <c r="J15" s="53" t="s">
        <v>38</v>
      </c>
      <c r="K15" s="53" t="s">
        <v>161</v>
      </c>
      <c r="L15" s="53">
        <v>2</v>
      </c>
      <c r="N15" s="53">
        <v>1</v>
      </c>
      <c r="O15" s="53">
        <v>0.45</v>
      </c>
      <c r="P15" s="53">
        <v>0.5</v>
      </c>
      <c r="Q15" s="75">
        <f t="shared" si="0"/>
        <v>0.47499999999999998</v>
      </c>
      <c r="R15" s="53">
        <v>18</v>
      </c>
      <c r="S15" s="53">
        <v>118</v>
      </c>
      <c r="T15" s="16">
        <f t="shared" si="1"/>
        <v>30</v>
      </c>
      <c r="U15" s="53">
        <v>138</v>
      </c>
      <c r="V15" s="16">
        <f t="shared" si="2"/>
        <v>4140</v>
      </c>
      <c r="W15" s="53">
        <v>2</v>
      </c>
      <c r="X15" s="53" t="s">
        <v>46</v>
      </c>
      <c r="Y15" s="53" t="s">
        <v>102</v>
      </c>
      <c r="Z15" s="53" t="s">
        <v>88</v>
      </c>
      <c r="AA15" s="53" t="s">
        <v>69</v>
      </c>
      <c r="AB15" s="53" t="s">
        <v>236</v>
      </c>
      <c r="AE15" s="22" t="s">
        <v>79</v>
      </c>
      <c r="AP15" s="23" t="s">
        <v>77</v>
      </c>
      <c r="AR15" s="23" t="s">
        <v>94</v>
      </c>
      <c r="AV15" s="23" t="s">
        <v>107</v>
      </c>
    </row>
    <row r="16" spans="1:53" x14ac:dyDescent="0.15">
      <c r="A16" s="53" t="s">
        <v>34</v>
      </c>
      <c r="B16" s="53" t="s">
        <v>232</v>
      </c>
      <c r="C16" s="53">
        <v>2019</v>
      </c>
      <c r="D16" s="171" t="s">
        <v>166</v>
      </c>
      <c r="E16" s="53" t="s">
        <v>269</v>
      </c>
      <c r="F16" s="53" t="s">
        <v>338</v>
      </c>
      <c r="G16" s="53" t="s">
        <v>36</v>
      </c>
      <c r="H16" s="53" t="s">
        <v>164</v>
      </c>
      <c r="I16" s="53" t="s">
        <v>159</v>
      </c>
      <c r="J16" s="53" t="s">
        <v>38</v>
      </c>
      <c r="K16" s="53" t="s">
        <v>161</v>
      </c>
      <c r="L16" s="53">
        <v>3</v>
      </c>
      <c r="N16" s="53">
        <v>1</v>
      </c>
      <c r="O16" s="53">
        <v>0.5</v>
      </c>
      <c r="P16" s="53">
        <v>0.55000000000000004</v>
      </c>
      <c r="Q16" s="75">
        <f t="shared" si="0"/>
        <v>0.52500000000000002</v>
      </c>
      <c r="R16" s="53">
        <v>17.600000000000001</v>
      </c>
      <c r="S16" s="53">
        <v>120</v>
      </c>
      <c r="T16" s="16">
        <f t="shared" si="1"/>
        <v>30</v>
      </c>
      <c r="U16" s="53">
        <v>138</v>
      </c>
      <c r="V16" s="16">
        <f t="shared" si="2"/>
        <v>4140</v>
      </c>
      <c r="W16" s="53">
        <v>2</v>
      </c>
      <c r="X16" s="53" t="s">
        <v>46</v>
      </c>
      <c r="Y16" s="53" t="s">
        <v>102</v>
      </c>
      <c r="Z16" s="53" t="s">
        <v>88</v>
      </c>
      <c r="AA16" s="53" t="s">
        <v>69</v>
      </c>
      <c r="AB16" s="53" t="s">
        <v>236</v>
      </c>
      <c r="AE16" s="22" t="s">
        <v>82</v>
      </c>
      <c r="AP16" s="23" t="s">
        <v>80</v>
      </c>
      <c r="AR16" s="23" t="s">
        <v>63</v>
      </c>
      <c r="AV16" s="23" t="s">
        <v>84</v>
      </c>
    </row>
    <row r="17" spans="1:48" x14ac:dyDescent="0.15">
      <c r="A17" s="53" t="s">
        <v>34</v>
      </c>
      <c r="B17" s="53" t="s">
        <v>232</v>
      </c>
      <c r="C17" s="53">
        <v>2019</v>
      </c>
      <c r="D17" s="171" t="s">
        <v>166</v>
      </c>
      <c r="E17" s="53" t="s">
        <v>269</v>
      </c>
      <c r="F17" s="53" t="s">
        <v>338</v>
      </c>
      <c r="G17" s="53" t="s">
        <v>36</v>
      </c>
      <c r="H17" s="53" t="s">
        <v>160</v>
      </c>
      <c r="I17" s="53" t="s">
        <v>159</v>
      </c>
      <c r="J17" s="53" t="s">
        <v>38</v>
      </c>
      <c r="K17" s="53" t="s">
        <v>161</v>
      </c>
      <c r="L17" s="53">
        <v>1</v>
      </c>
      <c r="N17" s="53">
        <v>1</v>
      </c>
      <c r="O17" s="53">
        <v>0.25</v>
      </c>
      <c r="P17" s="53">
        <v>0.2</v>
      </c>
      <c r="Q17" s="75">
        <f t="shared" si="0"/>
        <v>0.22500000000000001</v>
      </c>
      <c r="R17" s="53">
        <v>17.399999999999999</v>
      </c>
      <c r="S17" s="53">
        <v>132</v>
      </c>
      <c r="T17" s="16">
        <f t="shared" si="1"/>
        <v>30</v>
      </c>
      <c r="U17" s="53">
        <v>149</v>
      </c>
      <c r="V17" s="16">
        <f t="shared" si="2"/>
        <v>4470</v>
      </c>
      <c r="W17" s="53">
        <v>2</v>
      </c>
      <c r="X17" s="53" t="s">
        <v>46</v>
      </c>
      <c r="Y17" s="53" t="s">
        <v>102</v>
      </c>
      <c r="Z17" s="53" t="s">
        <v>88</v>
      </c>
      <c r="AA17" s="53" t="s">
        <v>69</v>
      </c>
      <c r="AB17" s="53" t="s">
        <v>236</v>
      </c>
      <c r="AE17" s="22" t="s">
        <v>85</v>
      </c>
      <c r="AP17" s="27" t="s">
        <v>110</v>
      </c>
      <c r="AR17" s="23" t="s">
        <v>96</v>
      </c>
      <c r="AV17" s="23" t="s">
        <v>86</v>
      </c>
    </row>
    <row r="18" spans="1:48" x14ac:dyDescent="0.15">
      <c r="A18" s="53" t="s">
        <v>34</v>
      </c>
      <c r="B18" s="53" t="s">
        <v>232</v>
      </c>
      <c r="C18" s="53">
        <v>2019</v>
      </c>
      <c r="D18" s="171" t="s">
        <v>166</v>
      </c>
      <c r="E18" s="53" t="s">
        <v>269</v>
      </c>
      <c r="F18" s="53" t="s">
        <v>338</v>
      </c>
      <c r="G18" s="53" t="s">
        <v>36</v>
      </c>
      <c r="H18" s="53" t="s">
        <v>160</v>
      </c>
      <c r="I18" s="53" t="s">
        <v>159</v>
      </c>
      <c r="J18" s="53" t="s">
        <v>38</v>
      </c>
      <c r="K18" s="53" t="s">
        <v>161</v>
      </c>
      <c r="L18" s="53">
        <v>2</v>
      </c>
      <c r="N18" s="53">
        <v>1</v>
      </c>
      <c r="O18" s="53">
        <v>0.25</v>
      </c>
      <c r="P18" s="53">
        <v>0.2</v>
      </c>
      <c r="Q18" s="75">
        <f t="shared" si="0"/>
        <v>0.22500000000000001</v>
      </c>
      <c r="R18" s="53">
        <v>17.899999999999999</v>
      </c>
      <c r="S18" s="53">
        <v>130</v>
      </c>
      <c r="T18" s="16">
        <f t="shared" si="1"/>
        <v>30</v>
      </c>
      <c r="U18" s="53">
        <v>149</v>
      </c>
      <c r="V18" s="16">
        <f t="shared" si="2"/>
        <v>4470</v>
      </c>
      <c r="W18" s="53">
        <v>2</v>
      </c>
      <c r="X18" s="53" t="s">
        <v>46</v>
      </c>
      <c r="Y18" s="53" t="s">
        <v>102</v>
      </c>
      <c r="Z18" s="53" t="s">
        <v>88</v>
      </c>
      <c r="AA18" s="53" t="s">
        <v>69</v>
      </c>
      <c r="AB18" s="53" t="s">
        <v>236</v>
      </c>
      <c r="AE18" s="22" t="s">
        <v>87</v>
      </c>
      <c r="AP18" s="27" t="s">
        <v>111</v>
      </c>
      <c r="AR18" s="23" t="s">
        <v>101</v>
      </c>
      <c r="AV18" s="23" t="s">
        <v>88</v>
      </c>
    </row>
    <row r="19" spans="1:48" x14ac:dyDescent="0.15">
      <c r="A19" s="53" t="s">
        <v>34</v>
      </c>
      <c r="B19" s="53" t="s">
        <v>232</v>
      </c>
      <c r="C19" s="53">
        <v>2019</v>
      </c>
      <c r="D19" s="171" t="s">
        <v>166</v>
      </c>
      <c r="E19" s="53" t="s">
        <v>269</v>
      </c>
      <c r="F19" s="53" t="s">
        <v>338</v>
      </c>
      <c r="G19" s="53" t="s">
        <v>36</v>
      </c>
      <c r="H19" s="53" t="s">
        <v>160</v>
      </c>
      <c r="I19" s="53" t="s">
        <v>159</v>
      </c>
      <c r="J19" s="53" t="s">
        <v>38</v>
      </c>
      <c r="K19" s="53" t="s">
        <v>161</v>
      </c>
      <c r="L19" s="53">
        <v>3</v>
      </c>
      <c r="N19" s="53">
        <v>1</v>
      </c>
      <c r="O19" s="53">
        <v>0.2</v>
      </c>
      <c r="P19" s="53">
        <v>0.2</v>
      </c>
      <c r="Q19" s="75">
        <f t="shared" si="0"/>
        <v>0.2</v>
      </c>
      <c r="R19" s="53">
        <v>18.3</v>
      </c>
      <c r="S19" s="53">
        <v>128</v>
      </c>
      <c r="T19" s="16">
        <f t="shared" si="1"/>
        <v>30</v>
      </c>
      <c r="U19" s="53">
        <v>149</v>
      </c>
      <c r="V19" s="16">
        <f t="shared" si="2"/>
        <v>4470</v>
      </c>
      <c r="W19" s="53">
        <v>2</v>
      </c>
      <c r="X19" s="53" t="s">
        <v>46</v>
      </c>
      <c r="Y19" s="53" t="s">
        <v>102</v>
      </c>
      <c r="Z19" s="53" t="s">
        <v>88</v>
      </c>
      <c r="AA19" s="53" t="s">
        <v>69</v>
      </c>
      <c r="AB19" s="53" t="s">
        <v>236</v>
      </c>
      <c r="AE19" s="35" t="s">
        <v>89</v>
      </c>
      <c r="AP19" s="27" t="s">
        <v>112</v>
      </c>
      <c r="AR19" s="23" t="s">
        <v>126</v>
      </c>
      <c r="AV19" s="23" t="s">
        <v>90</v>
      </c>
    </row>
    <row r="20" spans="1:48" x14ac:dyDescent="0.15">
      <c r="A20" s="53" t="s">
        <v>34</v>
      </c>
      <c r="B20" s="53" t="s">
        <v>232</v>
      </c>
      <c r="C20" s="53">
        <v>2019</v>
      </c>
      <c r="D20" s="171" t="s">
        <v>166</v>
      </c>
      <c r="E20" s="53" t="s">
        <v>269</v>
      </c>
      <c r="F20" s="53" t="s">
        <v>338</v>
      </c>
      <c r="G20" s="53" t="s">
        <v>36</v>
      </c>
      <c r="H20" s="53" t="s">
        <v>160</v>
      </c>
      <c r="I20" s="53" t="s">
        <v>159</v>
      </c>
      <c r="J20" s="53" t="s">
        <v>38</v>
      </c>
      <c r="K20" s="53" t="s">
        <v>161</v>
      </c>
      <c r="L20" s="53">
        <v>1</v>
      </c>
      <c r="N20" s="53">
        <v>4</v>
      </c>
      <c r="O20" s="53">
        <v>0.2</v>
      </c>
      <c r="P20" s="53">
        <v>0.2</v>
      </c>
      <c r="Q20" s="75">
        <f t="shared" si="0"/>
        <v>0.2</v>
      </c>
      <c r="R20" s="53">
        <v>17.7</v>
      </c>
      <c r="S20" s="53">
        <v>87</v>
      </c>
      <c r="T20" s="16">
        <f t="shared" si="1"/>
        <v>36</v>
      </c>
      <c r="U20" s="53">
        <v>463</v>
      </c>
      <c r="V20" s="16">
        <f t="shared" si="2"/>
        <v>4167</v>
      </c>
      <c r="W20" s="53">
        <v>2</v>
      </c>
      <c r="X20" s="53" t="s">
        <v>46</v>
      </c>
      <c r="Y20" s="53" t="s">
        <v>102</v>
      </c>
      <c r="Z20" s="53" t="s">
        <v>88</v>
      </c>
      <c r="AA20" s="53" t="s">
        <v>69</v>
      </c>
      <c r="AB20" s="53" t="s">
        <v>236</v>
      </c>
      <c r="AP20" s="27" t="s">
        <v>113</v>
      </c>
      <c r="AR20" s="23" t="s">
        <v>105</v>
      </c>
      <c r="AV20" s="27" t="s">
        <v>135</v>
      </c>
    </row>
    <row r="21" spans="1:48" x14ac:dyDescent="0.15">
      <c r="A21" s="53" t="s">
        <v>34</v>
      </c>
      <c r="B21" s="53" t="s">
        <v>232</v>
      </c>
      <c r="C21" s="53">
        <v>2019</v>
      </c>
      <c r="D21" s="171" t="s">
        <v>166</v>
      </c>
      <c r="E21" s="53" t="s">
        <v>269</v>
      </c>
      <c r="F21" s="53" t="s">
        <v>338</v>
      </c>
      <c r="G21" s="53" t="s">
        <v>36</v>
      </c>
      <c r="H21" s="53" t="s">
        <v>160</v>
      </c>
      <c r="I21" s="53" t="s">
        <v>159</v>
      </c>
      <c r="J21" s="53" t="s">
        <v>38</v>
      </c>
      <c r="K21" s="53" t="s">
        <v>161</v>
      </c>
      <c r="L21" s="53">
        <v>2</v>
      </c>
      <c r="N21" s="53">
        <v>4</v>
      </c>
      <c r="O21" s="53">
        <v>0.3</v>
      </c>
      <c r="P21" s="53">
        <v>0.2</v>
      </c>
      <c r="Q21" s="75">
        <f t="shared" si="0"/>
        <v>0.25</v>
      </c>
      <c r="R21" s="53">
        <v>17.3</v>
      </c>
      <c r="S21" s="53">
        <v>86</v>
      </c>
      <c r="T21" s="16">
        <f t="shared" si="1"/>
        <v>36</v>
      </c>
      <c r="U21" s="53">
        <v>463</v>
      </c>
      <c r="V21" s="16">
        <f t="shared" si="2"/>
        <v>4167</v>
      </c>
      <c r="W21" s="53">
        <v>2</v>
      </c>
      <c r="X21" s="53" t="s">
        <v>46</v>
      </c>
      <c r="Y21" s="53" t="s">
        <v>102</v>
      </c>
      <c r="Z21" s="53" t="s">
        <v>88</v>
      </c>
      <c r="AA21" s="53" t="s">
        <v>69</v>
      </c>
      <c r="AB21" s="53" t="s">
        <v>236</v>
      </c>
      <c r="AP21" s="27" t="s">
        <v>114</v>
      </c>
      <c r="AR21" s="23" t="s">
        <v>68</v>
      </c>
      <c r="AV21" s="27" t="s">
        <v>136</v>
      </c>
    </row>
    <row r="22" spans="1:48" x14ac:dyDescent="0.15">
      <c r="A22" s="53" t="s">
        <v>34</v>
      </c>
      <c r="B22" s="53" t="s">
        <v>232</v>
      </c>
      <c r="C22" s="53">
        <v>2019</v>
      </c>
      <c r="D22" s="171" t="s">
        <v>166</v>
      </c>
      <c r="E22" s="53" t="s">
        <v>269</v>
      </c>
      <c r="F22" s="53" t="s">
        <v>338</v>
      </c>
      <c r="G22" s="53" t="s">
        <v>36</v>
      </c>
      <c r="H22" s="53" t="s">
        <v>160</v>
      </c>
      <c r="I22" s="53" t="s">
        <v>159</v>
      </c>
      <c r="J22" s="53" t="s">
        <v>38</v>
      </c>
      <c r="K22" s="53" t="s">
        <v>161</v>
      </c>
      <c r="L22" s="53">
        <v>3</v>
      </c>
      <c r="N22" s="53">
        <v>4</v>
      </c>
      <c r="O22" s="53">
        <v>0.2</v>
      </c>
      <c r="P22" s="53">
        <v>0.2</v>
      </c>
      <c r="Q22" s="75">
        <f t="shared" si="0"/>
        <v>0.2</v>
      </c>
      <c r="R22" s="53">
        <v>17.3</v>
      </c>
      <c r="S22" s="53">
        <v>88</v>
      </c>
      <c r="T22" s="16">
        <f t="shared" si="1"/>
        <v>36</v>
      </c>
      <c r="U22" s="53">
        <v>463</v>
      </c>
      <c r="V22" s="16">
        <f t="shared" si="2"/>
        <v>4167</v>
      </c>
      <c r="W22" s="53">
        <v>2</v>
      </c>
      <c r="X22" s="53" t="s">
        <v>46</v>
      </c>
      <c r="Y22" s="53" t="s">
        <v>102</v>
      </c>
      <c r="Z22" s="53" t="s">
        <v>88</v>
      </c>
      <c r="AA22" s="53" t="s">
        <v>69</v>
      </c>
      <c r="AB22" s="53" t="s">
        <v>236</v>
      </c>
      <c r="AP22" s="27" t="s">
        <v>115</v>
      </c>
      <c r="AR22" s="23" t="s">
        <v>83</v>
      </c>
      <c r="AV22" s="27"/>
    </row>
    <row r="23" spans="1:48" x14ac:dyDescent="0.15">
      <c r="A23" s="53" t="s">
        <v>34</v>
      </c>
      <c r="B23" s="53" t="s">
        <v>232</v>
      </c>
      <c r="C23" s="53">
        <v>2019</v>
      </c>
      <c r="D23" s="171" t="s">
        <v>166</v>
      </c>
      <c r="E23" s="53" t="s">
        <v>341</v>
      </c>
      <c r="F23" s="53" t="s">
        <v>342</v>
      </c>
      <c r="G23" s="53" t="s">
        <v>36</v>
      </c>
      <c r="H23" s="53" t="s">
        <v>164</v>
      </c>
      <c r="I23" s="53" t="s">
        <v>159</v>
      </c>
      <c r="J23" s="53" t="s">
        <v>38</v>
      </c>
      <c r="K23" s="53" t="s">
        <v>161</v>
      </c>
      <c r="L23" s="53">
        <v>1</v>
      </c>
      <c r="N23" s="53">
        <v>1</v>
      </c>
      <c r="O23" s="53">
        <v>0.75</v>
      </c>
      <c r="P23" s="53">
        <v>0.75</v>
      </c>
      <c r="Q23" s="75">
        <f t="shared" si="0"/>
        <v>0.75</v>
      </c>
      <c r="R23" s="53">
        <v>15.4</v>
      </c>
      <c r="S23" s="53">
        <v>122</v>
      </c>
      <c r="T23" s="16">
        <f t="shared" si="1"/>
        <v>30</v>
      </c>
      <c r="U23" s="53">
        <v>138</v>
      </c>
      <c r="V23" s="16">
        <f t="shared" si="2"/>
        <v>4140</v>
      </c>
      <c r="W23" s="53">
        <v>4</v>
      </c>
      <c r="X23" s="53" t="s">
        <v>46</v>
      </c>
      <c r="Y23" s="53" t="s">
        <v>88</v>
      </c>
      <c r="Z23" s="53" t="s">
        <v>102</v>
      </c>
      <c r="AA23" s="53" t="s">
        <v>55</v>
      </c>
      <c r="AB23" s="53" t="s">
        <v>236</v>
      </c>
      <c r="AP23" s="27" t="s">
        <v>117</v>
      </c>
      <c r="AR23" s="23" t="s">
        <v>153</v>
      </c>
    </row>
    <row r="24" spans="1:48" x14ac:dyDescent="0.15">
      <c r="A24" s="53" t="s">
        <v>34</v>
      </c>
      <c r="B24" s="53" t="s">
        <v>232</v>
      </c>
      <c r="C24" s="53">
        <v>2019</v>
      </c>
      <c r="D24" s="171" t="s">
        <v>166</v>
      </c>
      <c r="E24" s="53" t="s">
        <v>341</v>
      </c>
      <c r="F24" s="53" t="s">
        <v>342</v>
      </c>
      <c r="G24" s="53" t="s">
        <v>36</v>
      </c>
      <c r="H24" s="53" t="s">
        <v>164</v>
      </c>
      <c r="I24" s="53" t="s">
        <v>159</v>
      </c>
      <c r="J24" s="53" t="s">
        <v>38</v>
      </c>
      <c r="K24" s="53" t="s">
        <v>161</v>
      </c>
      <c r="L24" s="53">
        <v>2</v>
      </c>
      <c r="N24" s="53">
        <v>1</v>
      </c>
      <c r="O24" s="53">
        <v>0.8</v>
      </c>
      <c r="P24" s="53">
        <v>0.75</v>
      </c>
      <c r="Q24" s="75">
        <f t="shared" si="0"/>
        <v>0.77500000000000002</v>
      </c>
      <c r="R24" s="53">
        <v>14</v>
      </c>
      <c r="S24" s="53">
        <v>118</v>
      </c>
      <c r="T24" s="16">
        <f t="shared" si="1"/>
        <v>30</v>
      </c>
      <c r="U24" s="53">
        <v>138</v>
      </c>
      <c r="V24" s="16">
        <f t="shared" si="2"/>
        <v>4140</v>
      </c>
      <c r="W24" s="53">
        <v>4</v>
      </c>
      <c r="X24" s="53" t="s">
        <v>46</v>
      </c>
      <c r="Y24" s="53" t="s">
        <v>88</v>
      </c>
      <c r="Z24" s="53" t="s">
        <v>102</v>
      </c>
      <c r="AA24" s="53" t="s">
        <v>55</v>
      </c>
      <c r="AB24" s="53" t="s">
        <v>236</v>
      </c>
      <c r="AP24" s="27" t="s">
        <v>118</v>
      </c>
    </row>
    <row r="25" spans="1:48" x14ac:dyDescent="0.15">
      <c r="A25" s="53" t="s">
        <v>34</v>
      </c>
      <c r="B25" s="53" t="s">
        <v>232</v>
      </c>
      <c r="C25" s="53">
        <v>2019</v>
      </c>
      <c r="D25" s="171" t="s">
        <v>166</v>
      </c>
      <c r="E25" s="53" t="s">
        <v>341</v>
      </c>
      <c r="F25" s="53" t="s">
        <v>342</v>
      </c>
      <c r="G25" s="53" t="s">
        <v>36</v>
      </c>
      <c r="H25" s="53" t="s">
        <v>164</v>
      </c>
      <c r="I25" s="53" t="s">
        <v>159</v>
      </c>
      <c r="J25" s="53" t="s">
        <v>38</v>
      </c>
      <c r="K25" s="53" t="s">
        <v>161</v>
      </c>
      <c r="L25" s="53">
        <v>3</v>
      </c>
      <c r="N25" s="53">
        <v>1</v>
      </c>
      <c r="O25" s="53">
        <v>0.6</v>
      </c>
      <c r="P25" s="53">
        <v>0.7</v>
      </c>
      <c r="Q25" s="75">
        <f t="shared" si="0"/>
        <v>0.64999999999999991</v>
      </c>
      <c r="R25" s="53">
        <v>15.4</v>
      </c>
      <c r="S25" s="53">
        <v>122</v>
      </c>
      <c r="T25" s="16">
        <f t="shared" si="1"/>
        <v>30</v>
      </c>
      <c r="U25" s="53">
        <v>138</v>
      </c>
      <c r="V25" s="16">
        <f t="shared" si="2"/>
        <v>4140</v>
      </c>
      <c r="W25" s="53">
        <v>4</v>
      </c>
      <c r="X25" s="53" t="s">
        <v>46</v>
      </c>
      <c r="Y25" s="53" t="s">
        <v>88</v>
      </c>
      <c r="Z25" s="53" t="s">
        <v>102</v>
      </c>
      <c r="AA25" s="53" t="s">
        <v>55</v>
      </c>
      <c r="AB25" s="53" t="s">
        <v>236</v>
      </c>
    </row>
    <row r="26" spans="1:48" x14ac:dyDescent="0.15">
      <c r="A26" s="53" t="s">
        <v>34</v>
      </c>
      <c r="B26" s="53" t="s">
        <v>232</v>
      </c>
      <c r="C26" s="53">
        <v>2019</v>
      </c>
      <c r="D26" s="171" t="s">
        <v>166</v>
      </c>
      <c r="E26" s="53" t="s">
        <v>341</v>
      </c>
      <c r="F26" s="53" t="s">
        <v>342</v>
      </c>
      <c r="G26" s="53" t="s">
        <v>36</v>
      </c>
      <c r="H26" s="53" t="s">
        <v>164</v>
      </c>
      <c r="I26" s="53" t="s">
        <v>159</v>
      </c>
      <c r="J26" s="53" t="s">
        <v>38</v>
      </c>
      <c r="K26" s="53" t="s">
        <v>161</v>
      </c>
      <c r="L26" s="53">
        <v>1</v>
      </c>
      <c r="N26" s="53">
        <v>8</v>
      </c>
      <c r="O26" s="53">
        <v>0.7</v>
      </c>
      <c r="P26" s="53">
        <v>0.6</v>
      </c>
      <c r="Q26" s="75">
        <f t="shared" si="0"/>
        <v>0.64999999999999991</v>
      </c>
      <c r="R26" s="53">
        <v>15</v>
      </c>
      <c r="S26" s="53">
        <v>79</v>
      </c>
      <c r="T26" s="16">
        <f t="shared" si="1"/>
        <v>39</v>
      </c>
      <c r="U26" s="53">
        <v>754</v>
      </c>
      <c r="V26" s="16">
        <f t="shared" si="2"/>
        <v>3675.75</v>
      </c>
      <c r="W26" s="53">
        <v>4</v>
      </c>
      <c r="X26" s="53" t="s">
        <v>46</v>
      </c>
      <c r="Y26" s="53" t="s">
        <v>88</v>
      </c>
      <c r="Z26" s="53" t="s">
        <v>102</v>
      </c>
      <c r="AA26" s="53" t="s">
        <v>55</v>
      </c>
      <c r="AB26" s="53" t="s">
        <v>236</v>
      </c>
    </row>
    <row r="27" spans="1:48" x14ac:dyDescent="0.15">
      <c r="A27" s="53" t="s">
        <v>34</v>
      </c>
      <c r="B27" s="53" t="s">
        <v>232</v>
      </c>
      <c r="C27" s="53">
        <v>2019</v>
      </c>
      <c r="D27" s="171" t="s">
        <v>166</v>
      </c>
      <c r="E27" s="53" t="s">
        <v>341</v>
      </c>
      <c r="F27" s="53" t="s">
        <v>342</v>
      </c>
      <c r="G27" s="53" t="s">
        <v>36</v>
      </c>
      <c r="H27" s="53" t="s">
        <v>164</v>
      </c>
      <c r="I27" s="53" t="s">
        <v>159</v>
      </c>
      <c r="J27" s="53" t="s">
        <v>38</v>
      </c>
      <c r="K27" s="53" t="s">
        <v>161</v>
      </c>
      <c r="L27" s="53">
        <v>2</v>
      </c>
      <c r="N27" s="53">
        <v>8</v>
      </c>
      <c r="O27" s="53">
        <v>0.7</v>
      </c>
      <c r="P27" s="53">
        <v>0.75</v>
      </c>
      <c r="Q27" s="75">
        <f t="shared" si="0"/>
        <v>0.72499999999999998</v>
      </c>
      <c r="R27" s="53">
        <v>14.2</v>
      </c>
      <c r="S27" s="53">
        <v>79</v>
      </c>
      <c r="T27" s="16">
        <f t="shared" si="1"/>
        <v>39</v>
      </c>
      <c r="U27" s="53">
        <v>754</v>
      </c>
      <c r="V27" s="16">
        <f t="shared" si="2"/>
        <v>3675.75</v>
      </c>
      <c r="W27" s="53">
        <v>4</v>
      </c>
      <c r="X27" s="53" t="s">
        <v>46</v>
      </c>
      <c r="Y27" s="53" t="s">
        <v>88</v>
      </c>
      <c r="Z27" s="53" t="s">
        <v>102</v>
      </c>
      <c r="AA27" s="53" t="s">
        <v>55</v>
      </c>
      <c r="AB27" s="53" t="s">
        <v>236</v>
      </c>
    </row>
    <row r="28" spans="1:48" x14ac:dyDescent="0.15">
      <c r="A28" s="53" t="s">
        <v>34</v>
      </c>
      <c r="B28" s="53" t="s">
        <v>232</v>
      </c>
      <c r="C28" s="53">
        <v>2019</v>
      </c>
      <c r="D28" s="171" t="s">
        <v>166</v>
      </c>
      <c r="E28" s="53" t="s">
        <v>341</v>
      </c>
      <c r="F28" s="53" t="s">
        <v>342</v>
      </c>
      <c r="G28" s="53" t="s">
        <v>36</v>
      </c>
      <c r="H28" s="53" t="s">
        <v>164</v>
      </c>
      <c r="I28" s="53" t="s">
        <v>159</v>
      </c>
      <c r="J28" s="53" t="s">
        <v>38</v>
      </c>
      <c r="K28" s="53" t="s">
        <v>161</v>
      </c>
      <c r="L28" s="53">
        <v>3</v>
      </c>
      <c r="N28" s="53">
        <v>8</v>
      </c>
      <c r="O28" s="53">
        <v>0.75</v>
      </c>
      <c r="P28" s="53">
        <v>0.7</v>
      </c>
      <c r="Q28" s="75">
        <f>IF(OR(O28="",P28=""),"",AVERAGE(O28,P28))</f>
        <v>0.72499999999999998</v>
      </c>
      <c r="R28" s="53">
        <v>14.7</v>
      </c>
      <c r="S28" s="53">
        <v>85</v>
      </c>
      <c r="T28" s="16">
        <f t="shared" si="1"/>
        <v>36</v>
      </c>
      <c r="U28" s="53">
        <v>754</v>
      </c>
      <c r="V28" s="16">
        <f t="shared" si="2"/>
        <v>3393</v>
      </c>
      <c r="W28" s="53">
        <v>4</v>
      </c>
      <c r="X28" s="53" t="s">
        <v>46</v>
      </c>
      <c r="Y28" s="53" t="s">
        <v>88</v>
      </c>
      <c r="Z28" s="53" t="s">
        <v>102</v>
      </c>
      <c r="AA28" s="53" t="s">
        <v>55</v>
      </c>
      <c r="AB28" s="53" t="s">
        <v>236</v>
      </c>
    </row>
    <row r="29" spans="1:48" x14ac:dyDescent="0.15">
      <c r="A29" s="53" t="s">
        <v>34</v>
      </c>
      <c r="B29" s="53" t="s">
        <v>232</v>
      </c>
      <c r="C29" s="53">
        <v>2019</v>
      </c>
      <c r="D29" s="171" t="s">
        <v>166</v>
      </c>
      <c r="E29" s="53" t="s">
        <v>341</v>
      </c>
      <c r="F29" s="53" t="s">
        <v>342</v>
      </c>
      <c r="G29" s="53" t="s">
        <v>36</v>
      </c>
      <c r="H29" s="53" t="s">
        <v>164</v>
      </c>
      <c r="I29" s="53" t="s">
        <v>159</v>
      </c>
      <c r="J29" s="53" t="s">
        <v>38</v>
      </c>
      <c r="K29" s="53" t="s">
        <v>161</v>
      </c>
      <c r="L29" s="53">
        <v>1</v>
      </c>
      <c r="N29" s="53">
        <v>4</v>
      </c>
      <c r="O29" s="53">
        <v>0.2</v>
      </c>
      <c r="P29" s="53">
        <v>0.45</v>
      </c>
      <c r="Q29" s="75">
        <f t="shared" si="0"/>
        <v>0.32500000000000001</v>
      </c>
      <c r="R29" s="53">
        <v>151</v>
      </c>
      <c r="S29" s="53">
        <v>91</v>
      </c>
      <c r="T29" s="16">
        <f t="shared" si="1"/>
        <v>36</v>
      </c>
      <c r="U29" s="53">
        <v>429</v>
      </c>
      <c r="V29" s="16">
        <f t="shared" si="2"/>
        <v>3861</v>
      </c>
      <c r="W29" s="53">
        <v>4</v>
      </c>
      <c r="X29" s="53" t="s">
        <v>46</v>
      </c>
      <c r="Y29" s="53" t="s">
        <v>88</v>
      </c>
      <c r="Z29" s="53" t="s">
        <v>102</v>
      </c>
      <c r="AA29" s="53" t="s">
        <v>55</v>
      </c>
      <c r="AB29" s="53" t="s">
        <v>236</v>
      </c>
    </row>
    <row r="30" spans="1:48" x14ac:dyDescent="0.15">
      <c r="A30" s="53" t="s">
        <v>34</v>
      </c>
      <c r="B30" s="53" t="s">
        <v>232</v>
      </c>
      <c r="C30" s="53">
        <v>2019</v>
      </c>
      <c r="D30" s="171" t="s">
        <v>166</v>
      </c>
      <c r="E30" s="53" t="s">
        <v>341</v>
      </c>
      <c r="F30" s="53" t="s">
        <v>342</v>
      </c>
      <c r="G30" s="53" t="s">
        <v>36</v>
      </c>
      <c r="H30" s="53" t="s">
        <v>164</v>
      </c>
      <c r="I30" s="53" t="s">
        <v>159</v>
      </c>
      <c r="J30" s="53" t="s">
        <v>38</v>
      </c>
      <c r="K30" s="53" t="s">
        <v>161</v>
      </c>
      <c r="L30" s="53">
        <v>2</v>
      </c>
      <c r="N30" s="53">
        <v>4</v>
      </c>
      <c r="O30" s="53">
        <v>0.2</v>
      </c>
      <c r="P30" s="53">
        <v>0.2</v>
      </c>
      <c r="Q30" s="75">
        <f t="shared" si="0"/>
        <v>0.2</v>
      </c>
      <c r="R30" s="53">
        <v>15.5</v>
      </c>
      <c r="S30" s="53">
        <v>83</v>
      </c>
      <c r="T30" s="16">
        <f t="shared" si="1"/>
        <v>39</v>
      </c>
      <c r="U30" s="53">
        <v>429</v>
      </c>
      <c r="V30" s="16">
        <f t="shared" si="2"/>
        <v>4182.75</v>
      </c>
      <c r="W30" s="53">
        <v>4</v>
      </c>
      <c r="X30" s="53" t="s">
        <v>46</v>
      </c>
      <c r="Y30" s="53" t="s">
        <v>88</v>
      </c>
      <c r="Z30" s="53" t="s">
        <v>102</v>
      </c>
      <c r="AA30" s="53" t="s">
        <v>55</v>
      </c>
      <c r="AB30" s="53" t="s">
        <v>236</v>
      </c>
    </row>
    <row r="31" spans="1:48" x14ac:dyDescent="0.15">
      <c r="A31" s="53" t="s">
        <v>34</v>
      </c>
      <c r="B31" s="53" t="s">
        <v>232</v>
      </c>
      <c r="C31" s="53">
        <v>2019</v>
      </c>
      <c r="D31" s="171" t="s">
        <v>166</v>
      </c>
      <c r="E31" s="53" t="s">
        <v>341</v>
      </c>
      <c r="F31" s="53" t="s">
        <v>342</v>
      </c>
      <c r="G31" s="53" t="s">
        <v>36</v>
      </c>
      <c r="H31" s="53" t="s">
        <v>164</v>
      </c>
      <c r="I31" s="53" t="s">
        <v>159</v>
      </c>
      <c r="J31" s="53" t="s">
        <v>38</v>
      </c>
      <c r="K31" s="53" t="s">
        <v>161</v>
      </c>
      <c r="L31" s="53">
        <v>3</v>
      </c>
      <c r="N31" s="53">
        <v>4</v>
      </c>
      <c r="O31" s="53">
        <v>0.75</v>
      </c>
      <c r="P31" s="53">
        <v>0.65</v>
      </c>
      <c r="Q31" s="75">
        <f t="shared" si="0"/>
        <v>0.7</v>
      </c>
      <c r="R31" s="53">
        <v>14.5</v>
      </c>
      <c r="S31" s="53">
        <v>85</v>
      </c>
      <c r="T31" s="16">
        <f t="shared" si="1"/>
        <v>36</v>
      </c>
      <c r="U31" s="53">
        <v>429</v>
      </c>
      <c r="V31" s="16">
        <f t="shared" si="2"/>
        <v>3861</v>
      </c>
      <c r="W31" s="53">
        <v>4</v>
      </c>
      <c r="X31" s="53" t="s">
        <v>46</v>
      </c>
      <c r="Y31" s="53" t="s">
        <v>88</v>
      </c>
      <c r="Z31" s="53" t="s">
        <v>102</v>
      </c>
      <c r="AA31" s="53" t="s">
        <v>55</v>
      </c>
      <c r="AB31" s="53" t="s">
        <v>236</v>
      </c>
    </row>
    <row r="32" spans="1:48" x14ac:dyDescent="0.15">
      <c r="A32" s="53" t="s">
        <v>34</v>
      </c>
      <c r="B32" s="53" t="s">
        <v>232</v>
      </c>
      <c r="C32" s="53">
        <v>2019</v>
      </c>
      <c r="D32" s="171" t="s">
        <v>166</v>
      </c>
      <c r="E32" s="53" t="s">
        <v>341</v>
      </c>
      <c r="F32" s="53" t="s">
        <v>342</v>
      </c>
      <c r="G32" s="53" t="s">
        <v>36</v>
      </c>
      <c r="H32" s="53" t="s">
        <v>160</v>
      </c>
      <c r="I32" s="53" t="s">
        <v>159</v>
      </c>
      <c r="J32" s="53" t="s">
        <v>38</v>
      </c>
      <c r="K32" s="53" t="s">
        <v>161</v>
      </c>
      <c r="L32" s="53">
        <v>1</v>
      </c>
      <c r="N32" s="53">
        <v>1</v>
      </c>
      <c r="O32" s="53">
        <v>0.45</v>
      </c>
      <c r="P32" s="53">
        <v>0.45</v>
      </c>
      <c r="Q32" s="75">
        <f t="shared" si="0"/>
        <v>0.45</v>
      </c>
      <c r="R32" s="53">
        <v>14.9</v>
      </c>
      <c r="S32" s="53">
        <v>110</v>
      </c>
      <c r="T32" s="16">
        <f t="shared" si="1"/>
        <v>33</v>
      </c>
      <c r="U32" s="53">
        <v>149</v>
      </c>
      <c r="V32" s="16">
        <f t="shared" si="2"/>
        <v>4917</v>
      </c>
      <c r="W32" s="53">
        <v>4</v>
      </c>
      <c r="X32" s="53" t="s">
        <v>46</v>
      </c>
      <c r="Y32" s="53" t="s">
        <v>88</v>
      </c>
      <c r="Z32" s="53" t="s">
        <v>102</v>
      </c>
      <c r="AA32" s="53" t="s">
        <v>55</v>
      </c>
      <c r="AB32" s="53" t="s">
        <v>236</v>
      </c>
    </row>
    <row r="33" spans="1:28" x14ac:dyDescent="0.15">
      <c r="A33" s="53" t="s">
        <v>34</v>
      </c>
      <c r="B33" s="53" t="s">
        <v>232</v>
      </c>
      <c r="C33" s="53">
        <v>2019</v>
      </c>
      <c r="D33" s="171" t="s">
        <v>166</v>
      </c>
      <c r="E33" s="53" t="s">
        <v>341</v>
      </c>
      <c r="F33" s="53" t="s">
        <v>342</v>
      </c>
      <c r="G33" s="53" t="s">
        <v>36</v>
      </c>
      <c r="H33" s="53" t="s">
        <v>160</v>
      </c>
      <c r="I33" s="53" t="s">
        <v>159</v>
      </c>
      <c r="J33" s="53" t="s">
        <v>38</v>
      </c>
      <c r="K33" s="53" t="s">
        <v>161</v>
      </c>
      <c r="L33" s="53">
        <v>2</v>
      </c>
      <c r="N33" s="53">
        <v>1</v>
      </c>
      <c r="O33" s="53">
        <v>0.2</v>
      </c>
      <c r="P33" s="53">
        <v>0.2</v>
      </c>
      <c r="Q33" s="75">
        <f t="shared" si="0"/>
        <v>0.2</v>
      </c>
      <c r="R33" s="53">
        <v>16.5</v>
      </c>
      <c r="S33" s="53">
        <v>112</v>
      </c>
      <c r="T33" s="16">
        <f t="shared" si="1"/>
        <v>33</v>
      </c>
      <c r="U33" s="53">
        <v>149</v>
      </c>
      <c r="V33" s="16">
        <f t="shared" si="2"/>
        <v>4917</v>
      </c>
      <c r="W33" s="53">
        <v>4</v>
      </c>
      <c r="X33" s="53" t="s">
        <v>46</v>
      </c>
      <c r="Y33" s="53" t="s">
        <v>88</v>
      </c>
      <c r="Z33" s="53" t="s">
        <v>102</v>
      </c>
      <c r="AA33" s="53" t="s">
        <v>55</v>
      </c>
      <c r="AB33" s="53" t="s">
        <v>236</v>
      </c>
    </row>
    <row r="34" spans="1:28" x14ac:dyDescent="0.15">
      <c r="A34" s="53" t="s">
        <v>34</v>
      </c>
      <c r="B34" s="53" t="s">
        <v>232</v>
      </c>
      <c r="C34" s="53">
        <v>2019</v>
      </c>
      <c r="D34" s="171" t="s">
        <v>166</v>
      </c>
      <c r="E34" s="53" t="s">
        <v>341</v>
      </c>
      <c r="F34" s="53" t="s">
        <v>342</v>
      </c>
      <c r="G34" s="53" t="s">
        <v>36</v>
      </c>
      <c r="H34" s="53" t="s">
        <v>160</v>
      </c>
      <c r="I34" s="53" t="s">
        <v>159</v>
      </c>
      <c r="J34" s="53" t="s">
        <v>38</v>
      </c>
      <c r="K34" s="53" t="s">
        <v>161</v>
      </c>
      <c r="L34" s="53">
        <v>3</v>
      </c>
      <c r="N34" s="53">
        <v>1</v>
      </c>
      <c r="O34" s="53">
        <v>0.5</v>
      </c>
      <c r="P34" s="53">
        <v>0.5</v>
      </c>
      <c r="Q34" s="75">
        <f>IF(OR(O34="",P34=""),"",AVERAGE(O34,P34))</f>
        <v>0.5</v>
      </c>
      <c r="R34" s="53">
        <v>14.9</v>
      </c>
      <c r="S34" s="53">
        <v>116</v>
      </c>
      <c r="T34" s="16">
        <f t="shared" si="1"/>
        <v>30</v>
      </c>
      <c r="U34" s="53">
        <v>149</v>
      </c>
      <c r="V34" s="16">
        <f t="shared" si="2"/>
        <v>4470</v>
      </c>
      <c r="W34" s="53">
        <v>4</v>
      </c>
      <c r="X34" s="53" t="s">
        <v>46</v>
      </c>
      <c r="Y34" s="53" t="s">
        <v>88</v>
      </c>
      <c r="Z34" s="53" t="s">
        <v>102</v>
      </c>
      <c r="AA34" s="53" t="s">
        <v>55</v>
      </c>
      <c r="AB34" s="53" t="s">
        <v>236</v>
      </c>
    </row>
    <row r="35" spans="1:28" x14ac:dyDescent="0.15">
      <c r="A35" s="53" t="s">
        <v>34</v>
      </c>
      <c r="B35" s="53" t="s">
        <v>232</v>
      </c>
      <c r="C35" s="53">
        <v>2019</v>
      </c>
      <c r="D35" s="171" t="s">
        <v>166</v>
      </c>
      <c r="E35" s="53" t="s">
        <v>341</v>
      </c>
      <c r="F35" s="53" t="s">
        <v>342</v>
      </c>
      <c r="G35" s="53" t="s">
        <v>36</v>
      </c>
      <c r="H35" s="53" t="s">
        <v>160</v>
      </c>
      <c r="I35" s="53" t="s">
        <v>159</v>
      </c>
      <c r="J35" s="53" t="s">
        <v>38</v>
      </c>
      <c r="K35" s="53" t="s">
        <v>161</v>
      </c>
      <c r="L35" s="53">
        <v>1</v>
      </c>
      <c r="N35" s="53">
        <v>8</v>
      </c>
      <c r="O35" s="53">
        <v>0.65</v>
      </c>
      <c r="P35" s="53">
        <v>0.45</v>
      </c>
      <c r="Q35" s="75">
        <f t="shared" ref="Q35:Q36" si="3">IF(OR(O35="",P35=""),"",AVERAGE(O35,P35))</f>
        <v>0.55000000000000004</v>
      </c>
      <c r="R35" s="53">
        <v>14.4</v>
      </c>
      <c r="S35" s="53">
        <v>100</v>
      </c>
      <c r="T35" s="16">
        <f t="shared" si="1"/>
        <v>33</v>
      </c>
      <c r="U35" s="53">
        <v>862</v>
      </c>
      <c r="V35" s="16">
        <f t="shared" si="2"/>
        <v>3555.75</v>
      </c>
      <c r="W35" s="53">
        <v>4</v>
      </c>
      <c r="X35" s="53" t="s">
        <v>46</v>
      </c>
      <c r="Y35" s="53" t="s">
        <v>88</v>
      </c>
      <c r="Z35" s="53" t="s">
        <v>102</v>
      </c>
      <c r="AA35" s="53" t="s">
        <v>55</v>
      </c>
      <c r="AB35" s="53" t="s">
        <v>236</v>
      </c>
    </row>
    <row r="36" spans="1:28" x14ac:dyDescent="0.15">
      <c r="A36" s="53" t="s">
        <v>34</v>
      </c>
      <c r="B36" s="53" t="s">
        <v>232</v>
      </c>
      <c r="C36" s="53">
        <v>2019</v>
      </c>
      <c r="D36" s="171" t="s">
        <v>166</v>
      </c>
      <c r="E36" s="53" t="s">
        <v>341</v>
      </c>
      <c r="F36" s="53" t="s">
        <v>342</v>
      </c>
      <c r="G36" s="53" t="s">
        <v>36</v>
      </c>
      <c r="H36" s="53" t="s">
        <v>160</v>
      </c>
      <c r="I36" s="53" t="s">
        <v>159</v>
      </c>
      <c r="J36" s="53" t="s">
        <v>38</v>
      </c>
      <c r="K36" s="53" t="s">
        <v>161</v>
      </c>
      <c r="L36" s="53">
        <v>2</v>
      </c>
      <c r="N36" s="53">
        <v>8</v>
      </c>
      <c r="O36" s="53">
        <v>0.2</v>
      </c>
      <c r="P36" s="53">
        <v>0.2</v>
      </c>
      <c r="Q36" s="75">
        <f t="shared" si="3"/>
        <v>0.2</v>
      </c>
      <c r="R36" s="53">
        <v>15.8</v>
      </c>
      <c r="S36" s="53">
        <v>97</v>
      </c>
      <c r="T36" s="16">
        <f t="shared" si="1"/>
        <v>36</v>
      </c>
      <c r="U36" s="53">
        <v>862</v>
      </c>
      <c r="V36" s="16">
        <f t="shared" si="2"/>
        <v>3879</v>
      </c>
      <c r="W36" s="53">
        <v>4</v>
      </c>
      <c r="X36" s="53" t="s">
        <v>46</v>
      </c>
      <c r="Y36" s="53" t="s">
        <v>88</v>
      </c>
      <c r="Z36" s="53" t="s">
        <v>102</v>
      </c>
      <c r="AA36" s="53" t="s">
        <v>55</v>
      </c>
      <c r="AB36" s="53" t="s">
        <v>236</v>
      </c>
    </row>
    <row r="37" spans="1:28" x14ac:dyDescent="0.15">
      <c r="A37" s="53" t="s">
        <v>34</v>
      </c>
      <c r="B37" s="53" t="s">
        <v>232</v>
      </c>
      <c r="C37" s="53">
        <v>2019</v>
      </c>
      <c r="D37" s="171" t="s">
        <v>166</v>
      </c>
      <c r="E37" s="53" t="s">
        <v>341</v>
      </c>
      <c r="F37" s="53" t="s">
        <v>342</v>
      </c>
      <c r="G37" s="53" t="s">
        <v>36</v>
      </c>
      <c r="H37" s="53" t="s">
        <v>160</v>
      </c>
      <c r="I37" s="53" t="s">
        <v>159</v>
      </c>
      <c r="J37" s="53" t="s">
        <v>38</v>
      </c>
      <c r="K37" s="53" t="s">
        <v>161</v>
      </c>
      <c r="L37" s="53">
        <v>3</v>
      </c>
      <c r="N37" s="53">
        <v>8</v>
      </c>
      <c r="O37" s="53">
        <v>0.55000000000000004</v>
      </c>
      <c r="P37" s="53">
        <v>0.55000000000000004</v>
      </c>
      <c r="Q37" s="75">
        <f>IF(OR(O37="",P37=""),"",AVERAGE(O37,P37))</f>
        <v>0.55000000000000004</v>
      </c>
      <c r="R37" s="53">
        <v>16.100000000000001</v>
      </c>
      <c r="S37" s="53">
        <v>104</v>
      </c>
      <c r="T37" s="16">
        <f t="shared" si="1"/>
        <v>33</v>
      </c>
      <c r="U37" s="53">
        <v>862</v>
      </c>
      <c r="V37" s="16">
        <f t="shared" si="2"/>
        <v>3555.75</v>
      </c>
      <c r="W37" s="53">
        <v>4</v>
      </c>
      <c r="X37" s="53" t="s">
        <v>46</v>
      </c>
      <c r="Y37" s="53" t="s">
        <v>88</v>
      </c>
      <c r="Z37" s="53" t="s">
        <v>102</v>
      </c>
      <c r="AA37" s="53" t="s">
        <v>55</v>
      </c>
      <c r="AB37" s="53" t="s">
        <v>236</v>
      </c>
    </row>
    <row r="38" spans="1:28" x14ac:dyDescent="0.15">
      <c r="A38" s="53" t="s">
        <v>34</v>
      </c>
      <c r="B38" s="53" t="s">
        <v>232</v>
      </c>
      <c r="C38" s="53">
        <v>2019</v>
      </c>
      <c r="D38" s="171" t="s">
        <v>166</v>
      </c>
      <c r="E38" s="53" t="s">
        <v>341</v>
      </c>
      <c r="F38" s="53" t="s">
        <v>342</v>
      </c>
      <c r="G38" s="53" t="s">
        <v>36</v>
      </c>
      <c r="H38" s="53" t="s">
        <v>160</v>
      </c>
      <c r="I38" s="53" t="s">
        <v>159</v>
      </c>
      <c r="J38" s="53" t="s">
        <v>38</v>
      </c>
      <c r="K38" s="53" t="s">
        <v>161</v>
      </c>
      <c r="L38" s="53">
        <v>1</v>
      </c>
      <c r="N38" s="53">
        <v>4</v>
      </c>
      <c r="O38" s="53">
        <v>0.55000000000000004</v>
      </c>
      <c r="P38" s="53">
        <v>0.2</v>
      </c>
      <c r="Q38" s="75">
        <f t="shared" ref="Q38:Q39" si="4">IF(OR(O38="",P38=""),"",AVERAGE(O38,P38))</f>
        <v>0.375</v>
      </c>
      <c r="R38" s="53">
        <v>15.9</v>
      </c>
      <c r="S38" s="53">
        <v>104</v>
      </c>
      <c r="T38" s="16">
        <f t="shared" si="1"/>
        <v>33</v>
      </c>
      <c r="U38" s="53">
        <v>538</v>
      </c>
      <c r="V38" s="16">
        <f t="shared" si="2"/>
        <v>4438.5</v>
      </c>
      <c r="W38" s="53">
        <v>4</v>
      </c>
      <c r="X38" s="53" t="s">
        <v>46</v>
      </c>
      <c r="Y38" s="53" t="s">
        <v>88</v>
      </c>
      <c r="Z38" s="53" t="s">
        <v>102</v>
      </c>
      <c r="AA38" s="53" t="s">
        <v>55</v>
      </c>
      <c r="AB38" s="53" t="s">
        <v>236</v>
      </c>
    </row>
    <row r="39" spans="1:28" x14ac:dyDescent="0.15">
      <c r="A39" s="53" t="s">
        <v>34</v>
      </c>
      <c r="B39" s="53" t="s">
        <v>232</v>
      </c>
      <c r="C39" s="53">
        <v>2019</v>
      </c>
      <c r="D39" s="171" t="s">
        <v>166</v>
      </c>
      <c r="E39" s="53" t="s">
        <v>341</v>
      </c>
      <c r="F39" s="53" t="s">
        <v>342</v>
      </c>
      <c r="G39" s="53" t="s">
        <v>36</v>
      </c>
      <c r="H39" s="53" t="s">
        <v>160</v>
      </c>
      <c r="I39" s="53" t="s">
        <v>159</v>
      </c>
      <c r="J39" s="53" t="s">
        <v>38</v>
      </c>
      <c r="K39" s="53" t="s">
        <v>161</v>
      </c>
      <c r="L39" s="53">
        <v>2</v>
      </c>
      <c r="N39" s="53">
        <v>4</v>
      </c>
      <c r="O39" s="53">
        <v>0.7</v>
      </c>
      <c r="P39" s="53">
        <v>0.5</v>
      </c>
      <c r="Q39" s="75">
        <f t="shared" si="4"/>
        <v>0.6</v>
      </c>
      <c r="R39" s="53">
        <v>14.8</v>
      </c>
      <c r="S39" s="53">
        <v>98</v>
      </c>
      <c r="T39" s="16">
        <f t="shared" si="1"/>
        <v>36</v>
      </c>
      <c r="U39" s="53">
        <v>538</v>
      </c>
      <c r="V39" s="16">
        <f t="shared" si="2"/>
        <v>4842</v>
      </c>
      <c r="W39" s="53">
        <v>4</v>
      </c>
      <c r="X39" s="53" t="s">
        <v>46</v>
      </c>
      <c r="Y39" s="53" t="s">
        <v>88</v>
      </c>
      <c r="Z39" s="53" t="s">
        <v>102</v>
      </c>
      <c r="AA39" s="53" t="s">
        <v>55</v>
      </c>
      <c r="AB39" s="53" t="s">
        <v>236</v>
      </c>
    </row>
    <row r="40" spans="1:28" x14ac:dyDescent="0.15">
      <c r="A40" s="53" t="s">
        <v>34</v>
      </c>
      <c r="B40" s="53" t="s">
        <v>232</v>
      </c>
      <c r="C40" s="53">
        <v>2019</v>
      </c>
      <c r="D40" s="171" t="s">
        <v>166</v>
      </c>
      <c r="E40" s="53" t="s">
        <v>341</v>
      </c>
      <c r="F40" s="53" t="s">
        <v>342</v>
      </c>
      <c r="G40" s="53" t="s">
        <v>36</v>
      </c>
      <c r="H40" s="53" t="s">
        <v>160</v>
      </c>
      <c r="I40" s="53" t="s">
        <v>159</v>
      </c>
      <c r="J40" s="53" t="s">
        <v>38</v>
      </c>
      <c r="K40" s="53" t="s">
        <v>161</v>
      </c>
      <c r="L40" s="53">
        <v>3</v>
      </c>
      <c r="N40" s="53">
        <v>4</v>
      </c>
      <c r="O40" s="53">
        <v>0.7</v>
      </c>
      <c r="P40" s="53">
        <v>0.75</v>
      </c>
      <c r="Q40" s="75">
        <f>IF(OR(O40="",P40=""),"",AVERAGE(O40,P40))</f>
        <v>0.72499999999999998</v>
      </c>
      <c r="R40" s="53">
        <v>14.8</v>
      </c>
      <c r="S40" s="53">
        <v>95</v>
      </c>
      <c r="T40" s="16">
        <f t="shared" si="1"/>
        <v>36</v>
      </c>
      <c r="U40" s="53">
        <v>538</v>
      </c>
      <c r="V40" s="16">
        <f t="shared" si="2"/>
        <v>4842</v>
      </c>
      <c r="W40" s="53">
        <v>4</v>
      </c>
      <c r="X40" s="53" t="s">
        <v>46</v>
      </c>
      <c r="Y40" s="53" t="s">
        <v>88</v>
      </c>
      <c r="Z40" s="53" t="s">
        <v>102</v>
      </c>
      <c r="AA40" s="53" t="s">
        <v>55</v>
      </c>
      <c r="AB40" s="53" t="s">
        <v>236</v>
      </c>
    </row>
    <row r="41" spans="1:28" x14ac:dyDescent="0.15">
      <c r="A41" s="53" t="s">
        <v>34</v>
      </c>
      <c r="B41" s="53" t="s">
        <v>232</v>
      </c>
      <c r="C41" s="53">
        <v>2019</v>
      </c>
      <c r="D41" s="171" t="s">
        <v>166</v>
      </c>
      <c r="E41" s="53" t="s">
        <v>341</v>
      </c>
      <c r="F41" s="53" t="s">
        <v>342</v>
      </c>
      <c r="G41" s="53" t="s">
        <v>36</v>
      </c>
      <c r="H41" s="53" t="s">
        <v>164</v>
      </c>
      <c r="I41" s="53" t="s">
        <v>197</v>
      </c>
      <c r="J41" s="53" t="s">
        <v>38</v>
      </c>
      <c r="K41" s="53" t="s">
        <v>161</v>
      </c>
      <c r="L41" s="53">
        <v>1</v>
      </c>
      <c r="N41" s="53">
        <v>4</v>
      </c>
      <c r="O41" s="53">
        <v>0.2</v>
      </c>
      <c r="P41" s="53">
        <v>0.2</v>
      </c>
      <c r="Q41" s="75">
        <f t="shared" si="0"/>
        <v>0.2</v>
      </c>
      <c r="R41" s="53">
        <v>18.2</v>
      </c>
      <c r="S41" s="53">
        <v>106</v>
      </c>
      <c r="T41" s="16">
        <f t="shared" si="1"/>
        <v>33</v>
      </c>
      <c r="U41" s="53">
        <v>538</v>
      </c>
      <c r="V41" s="16">
        <f t="shared" si="2"/>
        <v>4438.5</v>
      </c>
      <c r="W41" s="53">
        <v>4</v>
      </c>
      <c r="X41" s="53" t="s">
        <v>46</v>
      </c>
      <c r="Y41" s="53" t="s">
        <v>88</v>
      </c>
      <c r="Z41" s="53" t="s">
        <v>102</v>
      </c>
      <c r="AA41" s="53" t="s">
        <v>55</v>
      </c>
      <c r="AB41" s="53" t="s">
        <v>236</v>
      </c>
    </row>
    <row r="42" spans="1:28" x14ac:dyDescent="0.15">
      <c r="A42" s="53" t="s">
        <v>34</v>
      </c>
      <c r="B42" s="53" t="s">
        <v>232</v>
      </c>
      <c r="C42" s="53">
        <v>2019</v>
      </c>
      <c r="D42" s="171" t="s">
        <v>166</v>
      </c>
      <c r="E42" s="53" t="s">
        <v>341</v>
      </c>
      <c r="F42" s="53" t="s">
        <v>342</v>
      </c>
      <c r="G42" s="53" t="s">
        <v>36</v>
      </c>
      <c r="H42" s="53" t="s">
        <v>164</v>
      </c>
      <c r="I42" s="53" t="s">
        <v>197</v>
      </c>
      <c r="J42" s="53" t="s">
        <v>38</v>
      </c>
      <c r="K42" s="53" t="s">
        <v>161</v>
      </c>
      <c r="L42" s="53">
        <v>2</v>
      </c>
      <c r="N42" s="53">
        <v>4</v>
      </c>
      <c r="O42" s="53">
        <v>0.2</v>
      </c>
      <c r="P42" s="53">
        <v>0.2</v>
      </c>
      <c r="Q42" s="75">
        <f t="shared" si="0"/>
        <v>0.2</v>
      </c>
      <c r="R42" s="53">
        <v>18.100000000000001</v>
      </c>
      <c r="S42" s="53">
        <v>108</v>
      </c>
      <c r="T42" s="16">
        <f t="shared" si="1"/>
        <v>33</v>
      </c>
      <c r="U42" s="53">
        <v>538</v>
      </c>
      <c r="V42" s="16">
        <f t="shared" si="2"/>
        <v>4438.5</v>
      </c>
      <c r="W42" s="53">
        <v>4</v>
      </c>
      <c r="X42" s="53" t="s">
        <v>46</v>
      </c>
      <c r="Y42" s="53" t="s">
        <v>88</v>
      </c>
      <c r="Z42" s="53" t="s">
        <v>102</v>
      </c>
      <c r="AA42" s="53" t="s">
        <v>55</v>
      </c>
      <c r="AB42" s="53" t="s">
        <v>236</v>
      </c>
    </row>
    <row r="43" spans="1:28" x14ac:dyDescent="0.15">
      <c r="A43" s="53" t="s">
        <v>34</v>
      </c>
      <c r="B43" s="53" t="s">
        <v>232</v>
      </c>
      <c r="C43" s="53">
        <v>2019</v>
      </c>
      <c r="D43" s="171" t="s">
        <v>166</v>
      </c>
      <c r="E43" s="53" t="s">
        <v>341</v>
      </c>
      <c r="F43" s="53" t="s">
        <v>342</v>
      </c>
      <c r="G43" s="53" t="s">
        <v>36</v>
      </c>
      <c r="H43" s="53" t="s">
        <v>164</v>
      </c>
      <c r="I43" s="53" t="s">
        <v>197</v>
      </c>
      <c r="J43" s="53" t="s">
        <v>38</v>
      </c>
      <c r="K43" s="53" t="s">
        <v>161</v>
      </c>
      <c r="L43" s="53">
        <v>3</v>
      </c>
      <c r="N43" s="53">
        <v>4</v>
      </c>
      <c r="O43" s="53">
        <v>0.2</v>
      </c>
      <c r="P43" s="53">
        <v>0.2</v>
      </c>
      <c r="Q43" s="75">
        <f t="shared" si="0"/>
        <v>0.2</v>
      </c>
      <c r="R43" s="53">
        <v>18.399999999999999</v>
      </c>
      <c r="S43" s="53">
        <v>112</v>
      </c>
      <c r="T43" s="16">
        <f t="shared" si="1"/>
        <v>33</v>
      </c>
      <c r="U43" s="53">
        <v>538</v>
      </c>
      <c r="V43" s="16">
        <f t="shared" si="2"/>
        <v>4438.5</v>
      </c>
      <c r="W43" s="53">
        <v>4</v>
      </c>
      <c r="X43" s="53" t="s">
        <v>46</v>
      </c>
      <c r="Y43" s="53" t="s">
        <v>88</v>
      </c>
      <c r="Z43" s="53" t="s">
        <v>102</v>
      </c>
      <c r="AA43" s="53" t="s">
        <v>55</v>
      </c>
      <c r="AB43" s="53" t="s">
        <v>236</v>
      </c>
    </row>
    <row r="44" spans="1:28" x14ac:dyDescent="0.15">
      <c r="A44" s="53" t="s">
        <v>34</v>
      </c>
      <c r="B44" s="53" t="s">
        <v>232</v>
      </c>
      <c r="C44" s="53">
        <v>2019</v>
      </c>
      <c r="D44" s="171" t="s">
        <v>166</v>
      </c>
      <c r="E44" s="53" t="s">
        <v>341</v>
      </c>
      <c r="F44" s="53" t="s">
        <v>342</v>
      </c>
      <c r="G44" s="53" t="s">
        <v>36</v>
      </c>
      <c r="H44" s="53" t="s">
        <v>160</v>
      </c>
      <c r="I44" s="53" t="s">
        <v>197</v>
      </c>
      <c r="J44" s="53" t="s">
        <v>38</v>
      </c>
      <c r="K44" s="53" t="s">
        <v>161</v>
      </c>
      <c r="L44" s="53">
        <v>1</v>
      </c>
      <c r="N44" s="53">
        <v>4</v>
      </c>
      <c r="O44" s="53">
        <v>0.3</v>
      </c>
      <c r="P44" s="53">
        <v>0.3</v>
      </c>
      <c r="Q44" s="75">
        <f t="shared" si="0"/>
        <v>0.3</v>
      </c>
      <c r="R44" s="53">
        <v>15.4</v>
      </c>
      <c r="S44" s="53">
        <v>104</v>
      </c>
      <c r="T44" s="16">
        <f t="shared" si="1"/>
        <v>33</v>
      </c>
      <c r="U44" s="53">
        <v>429</v>
      </c>
      <c r="V44" s="16">
        <f t="shared" si="2"/>
        <v>3539.25</v>
      </c>
      <c r="W44" s="53">
        <v>4</v>
      </c>
      <c r="X44" s="53" t="s">
        <v>46</v>
      </c>
      <c r="Y44" s="53" t="s">
        <v>88</v>
      </c>
      <c r="Z44" s="53" t="s">
        <v>102</v>
      </c>
      <c r="AA44" s="53" t="s">
        <v>55</v>
      </c>
      <c r="AB44" s="53" t="s">
        <v>236</v>
      </c>
    </row>
    <row r="45" spans="1:28" x14ac:dyDescent="0.15">
      <c r="A45" s="53" t="s">
        <v>34</v>
      </c>
      <c r="B45" s="53" t="s">
        <v>232</v>
      </c>
      <c r="C45" s="53">
        <v>2019</v>
      </c>
      <c r="D45" s="171" t="s">
        <v>166</v>
      </c>
      <c r="E45" s="53" t="s">
        <v>341</v>
      </c>
      <c r="F45" s="53" t="s">
        <v>342</v>
      </c>
      <c r="G45" s="53" t="s">
        <v>36</v>
      </c>
      <c r="H45" s="53" t="s">
        <v>160</v>
      </c>
      <c r="I45" s="53" t="s">
        <v>197</v>
      </c>
      <c r="J45" s="53" t="s">
        <v>38</v>
      </c>
      <c r="K45" s="53" t="s">
        <v>161</v>
      </c>
      <c r="L45" s="53">
        <v>2</v>
      </c>
      <c r="N45" s="53">
        <v>4</v>
      </c>
      <c r="O45" s="53">
        <v>0.3</v>
      </c>
      <c r="P45" s="53">
        <v>0.3</v>
      </c>
      <c r="Q45" s="75">
        <f t="shared" si="0"/>
        <v>0.3</v>
      </c>
      <c r="R45" s="53">
        <v>14.8</v>
      </c>
      <c r="S45" s="53">
        <v>102</v>
      </c>
      <c r="T45" s="16">
        <f t="shared" si="1"/>
        <v>33</v>
      </c>
      <c r="U45" s="53">
        <v>429</v>
      </c>
      <c r="V45" s="16">
        <f t="shared" si="2"/>
        <v>3539.25</v>
      </c>
      <c r="W45" s="53">
        <v>4</v>
      </c>
      <c r="X45" s="53" t="s">
        <v>46</v>
      </c>
      <c r="Y45" s="53" t="s">
        <v>88</v>
      </c>
      <c r="Z45" s="53" t="s">
        <v>102</v>
      </c>
      <c r="AA45" s="53" t="s">
        <v>55</v>
      </c>
      <c r="AB45" s="53" t="s">
        <v>236</v>
      </c>
    </row>
    <row r="46" spans="1:28" x14ac:dyDescent="0.15">
      <c r="A46" s="53" t="s">
        <v>34</v>
      </c>
      <c r="B46" s="53" t="s">
        <v>232</v>
      </c>
      <c r="C46" s="53">
        <v>2019</v>
      </c>
      <c r="D46" s="171" t="s">
        <v>166</v>
      </c>
      <c r="E46" s="53" t="s">
        <v>341</v>
      </c>
      <c r="F46" s="53" t="s">
        <v>342</v>
      </c>
      <c r="G46" s="53" t="s">
        <v>36</v>
      </c>
      <c r="H46" s="53" t="s">
        <v>160</v>
      </c>
      <c r="I46" s="53" t="s">
        <v>197</v>
      </c>
      <c r="J46" s="53" t="s">
        <v>38</v>
      </c>
      <c r="K46" s="53" t="s">
        <v>161</v>
      </c>
      <c r="L46" s="53">
        <v>3</v>
      </c>
      <c r="N46" s="53">
        <v>4</v>
      </c>
      <c r="O46" s="53">
        <v>0.3</v>
      </c>
      <c r="P46" s="53">
        <v>0.3</v>
      </c>
      <c r="Q46" s="75">
        <f t="shared" si="0"/>
        <v>0.3</v>
      </c>
      <c r="R46" s="53">
        <v>14.4</v>
      </c>
      <c r="S46" s="53">
        <v>102</v>
      </c>
      <c r="T46" s="16">
        <f t="shared" si="1"/>
        <v>33</v>
      </c>
      <c r="U46" s="53">
        <v>429</v>
      </c>
      <c r="V46" s="16">
        <f t="shared" si="2"/>
        <v>3539.25</v>
      </c>
      <c r="W46" s="53">
        <v>4</v>
      </c>
      <c r="X46" s="53" t="s">
        <v>46</v>
      </c>
      <c r="Y46" s="53" t="s">
        <v>88</v>
      </c>
      <c r="Z46" s="53" t="s">
        <v>102</v>
      </c>
      <c r="AA46" s="53" t="s">
        <v>55</v>
      </c>
      <c r="AB46" s="53" t="s">
        <v>236</v>
      </c>
    </row>
    <row r="47" spans="1:28" x14ac:dyDescent="0.15">
      <c r="A47" s="53" t="s">
        <v>34</v>
      </c>
      <c r="B47" s="53" t="s">
        <v>232</v>
      </c>
      <c r="C47" s="53">
        <v>2019</v>
      </c>
      <c r="D47" s="171" t="s">
        <v>166</v>
      </c>
      <c r="E47" s="53" t="s">
        <v>334</v>
      </c>
      <c r="F47" s="53" t="s">
        <v>335</v>
      </c>
      <c r="G47" s="53" t="s">
        <v>36</v>
      </c>
      <c r="H47" s="53" t="s">
        <v>164</v>
      </c>
      <c r="I47" s="53" t="s">
        <v>159</v>
      </c>
      <c r="J47" s="53" t="s">
        <v>38</v>
      </c>
      <c r="K47" s="53" t="s">
        <v>161</v>
      </c>
      <c r="L47" s="53">
        <v>1</v>
      </c>
      <c r="N47" s="53">
        <v>1</v>
      </c>
      <c r="O47" s="53">
        <v>0.7</v>
      </c>
      <c r="P47" s="53">
        <v>0.6</v>
      </c>
      <c r="Q47" s="75">
        <f t="shared" si="0"/>
        <v>0.64999999999999991</v>
      </c>
      <c r="R47" s="53">
        <v>14.2</v>
      </c>
      <c r="S47" s="53">
        <v>144</v>
      </c>
      <c r="T47" s="16">
        <f t="shared" si="1"/>
        <v>30</v>
      </c>
      <c r="U47" s="53">
        <v>127</v>
      </c>
      <c r="V47" s="16">
        <f t="shared" si="2"/>
        <v>3810</v>
      </c>
      <c r="W47" s="53">
        <v>2</v>
      </c>
      <c r="X47" s="53" t="s">
        <v>46</v>
      </c>
      <c r="Y47" s="53" t="s">
        <v>97</v>
      </c>
      <c r="Z47" s="53" t="s">
        <v>88</v>
      </c>
      <c r="AA47" s="53" t="s">
        <v>78</v>
      </c>
      <c r="AB47" s="53" t="s">
        <v>236</v>
      </c>
    </row>
    <row r="48" spans="1:28" x14ac:dyDescent="0.15">
      <c r="A48" s="53" t="s">
        <v>34</v>
      </c>
      <c r="B48" s="53" t="s">
        <v>232</v>
      </c>
      <c r="C48" s="53">
        <v>2019</v>
      </c>
      <c r="D48" s="171" t="s">
        <v>166</v>
      </c>
      <c r="E48" s="53" t="s">
        <v>334</v>
      </c>
      <c r="F48" s="53" t="s">
        <v>335</v>
      </c>
      <c r="G48" s="53" t="s">
        <v>36</v>
      </c>
      <c r="H48" s="53" t="s">
        <v>164</v>
      </c>
      <c r="I48" s="53" t="s">
        <v>159</v>
      </c>
      <c r="J48" s="53" t="s">
        <v>38</v>
      </c>
      <c r="K48" s="53" t="s">
        <v>161</v>
      </c>
      <c r="L48" s="53">
        <v>2</v>
      </c>
      <c r="N48" s="53">
        <v>1</v>
      </c>
      <c r="O48" s="53">
        <v>0.75</v>
      </c>
      <c r="P48" s="53">
        <v>0.9</v>
      </c>
      <c r="Q48" s="75">
        <f t="shared" si="0"/>
        <v>0.82499999999999996</v>
      </c>
      <c r="R48" s="53">
        <v>13.9</v>
      </c>
      <c r="S48" s="53">
        <v>138</v>
      </c>
      <c r="T48" s="16">
        <f t="shared" si="1"/>
        <v>30</v>
      </c>
      <c r="U48" s="53">
        <v>127</v>
      </c>
      <c r="V48" s="16">
        <f t="shared" si="2"/>
        <v>3810</v>
      </c>
      <c r="W48" s="53">
        <v>2</v>
      </c>
      <c r="X48" s="53" t="s">
        <v>46</v>
      </c>
      <c r="Y48" s="53" t="s">
        <v>97</v>
      </c>
      <c r="Z48" s="53" t="s">
        <v>88</v>
      </c>
      <c r="AA48" s="53" t="s">
        <v>78</v>
      </c>
      <c r="AB48" s="53" t="s">
        <v>236</v>
      </c>
    </row>
    <row r="49" spans="1:28" x14ac:dyDescent="0.15">
      <c r="A49" s="53" t="s">
        <v>34</v>
      </c>
      <c r="B49" s="53" t="s">
        <v>232</v>
      </c>
      <c r="C49" s="53">
        <v>2019</v>
      </c>
      <c r="D49" s="171" t="s">
        <v>166</v>
      </c>
      <c r="E49" s="53" t="s">
        <v>334</v>
      </c>
      <c r="F49" s="53" t="s">
        <v>335</v>
      </c>
      <c r="G49" s="53" t="s">
        <v>36</v>
      </c>
      <c r="H49" s="53" t="s">
        <v>164</v>
      </c>
      <c r="I49" s="53" t="s">
        <v>159</v>
      </c>
      <c r="J49" s="53" t="s">
        <v>38</v>
      </c>
      <c r="K49" s="53" t="s">
        <v>161</v>
      </c>
      <c r="L49" s="53">
        <v>3</v>
      </c>
      <c r="N49" s="53">
        <v>1</v>
      </c>
      <c r="O49" s="53">
        <v>0.2</v>
      </c>
      <c r="P49" s="53">
        <v>0.5</v>
      </c>
      <c r="Q49" s="75">
        <f t="shared" si="0"/>
        <v>0.35</v>
      </c>
      <c r="R49" s="53">
        <v>15.4</v>
      </c>
      <c r="S49" s="53">
        <v>128</v>
      </c>
      <c r="T49" s="16">
        <f t="shared" si="1"/>
        <v>30</v>
      </c>
      <c r="U49" s="53">
        <v>127</v>
      </c>
      <c r="V49" s="16">
        <f t="shared" si="2"/>
        <v>3810</v>
      </c>
      <c r="W49" s="53">
        <v>2</v>
      </c>
      <c r="X49" s="53" t="s">
        <v>46</v>
      </c>
      <c r="Y49" s="53" t="s">
        <v>97</v>
      </c>
      <c r="Z49" s="53" t="s">
        <v>88</v>
      </c>
      <c r="AA49" s="53" t="s">
        <v>78</v>
      </c>
      <c r="AB49" s="53" t="s">
        <v>236</v>
      </c>
    </row>
    <row r="50" spans="1:28" x14ac:dyDescent="0.15">
      <c r="A50" s="53" t="s">
        <v>34</v>
      </c>
      <c r="B50" s="53" t="s">
        <v>232</v>
      </c>
      <c r="C50" s="53">
        <v>2019</v>
      </c>
      <c r="D50" s="171" t="s">
        <v>166</v>
      </c>
      <c r="E50" s="53" t="s">
        <v>334</v>
      </c>
      <c r="F50" s="53" t="s">
        <v>335</v>
      </c>
      <c r="G50" s="53" t="s">
        <v>36</v>
      </c>
      <c r="H50" s="53" t="s">
        <v>160</v>
      </c>
      <c r="I50" s="53" t="s">
        <v>159</v>
      </c>
      <c r="J50" s="53" t="s">
        <v>38</v>
      </c>
      <c r="K50" s="53" t="s">
        <v>161</v>
      </c>
      <c r="L50" s="53">
        <v>1</v>
      </c>
      <c r="N50" s="53">
        <v>1</v>
      </c>
      <c r="O50" s="53">
        <v>0.2</v>
      </c>
      <c r="P50" s="53">
        <v>0.2</v>
      </c>
      <c r="Q50" s="75">
        <f t="shared" si="0"/>
        <v>0.2</v>
      </c>
      <c r="R50" s="53">
        <v>18.5</v>
      </c>
      <c r="S50" s="53">
        <v>140</v>
      </c>
      <c r="T50" s="16">
        <f t="shared" si="1"/>
        <v>30</v>
      </c>
      <c r="U50" s="53">
        <v>138</v>
      </c>
      <c r="V50" s="16">
        <f t="shared" si="2"/>
        <v>4140</v>
      </c>
      <c r="W50" s="53">
        <v>5</v>
      </c>
      <c r="X50" s="53" t="s">
        <v>46</v>
      </c>
      <c r="Y50" s="53" t="s">
        <v>97</v>
      </c>
      <c r="Z50" s="53" t="s">
        <v>88</v>
      </c>
      <c r="AA50" s="53" t="s">
        <v>78</v>
      </c>
      <c r="AB50" s="53" t="s">
        <v>236</v>
      </c>
    </row>
    <row r="51" spans="1:28" x14ac:dyDescent="0.15">
      <c r="A51" s="53" t="s">
        <v>34</v>
      </c>
      <c r="B51" s="53" t="s">
        <v>232</v>
      </c>
      <c r="C51" s="53">
        <v>2019</v>
      </c>
      <c r="D51" s="171" t="s">
        <v>166</v>
      </c>
      <c r="E51" s="53" t="s">
        <v>334</v>
      </c>
      <c r="F51" s="53" t="s">
        <v>335</v>
      </c>
      <c r="G51" s="53" t="s">
        <v>36</v>
      </c>
      <c r="H51" s="53" t="s">
        <v>160</v>
      </c>
      <c r="I51" s="53" t="s">
        <v>159</v>
      </c>
      <c r="J51" s="53" t="s">
        <v>38</v>
      </c>
      <c r="K51" s="53" t="s">
        <v>161</v>
      </c>
      <c r="L51" s="53">
        <v>2</v>
      </c>
      <c r="N51" s="53">
        <v>1</v>
      </c>
      <c r="O51" s="53">
        <v>0.2</v>
      </c>
      <c r="P51" s="53">
        <v>0.2</v>
      </c>
      <c r="Q51" s="75">
        <f t="shared" si="0"/>
        <v>0.2</v>
      </c>
      <c r="R51" s="53">
        <v>18.2</v>
      </c>
      <c r="S51" s="53">
        <v>148</v>
      </c>
      <c r="T51" s="16">
        <f t="shared" si="1"/>
        <v>30</v>
      </c>
      <c r="U51" s="53">
        <v>138</v>
      </c>
      <c r="V51" s="16">
        <f t="shared" si="2"/>
        <v>4140</v>
      </c>
      <c r="W51" s="53">
        <v>5</v>
      </c>
      <c r="X51" s="53" t="s">
        <v>46</v>
      </c>
      <c r="Y51" s="53" t="s">
        <v>97</v>
      </c>
      <c r="Z51" s="53" t="s">
        <v>88</v>
      </c>
      <c r="AA51" s="53" t="s">
        <v>78</v>
      </c>
      <c r="AB51" s="53" t="s">
        <v>236</v>
      </c>
    </row>
    <row r="52" spans="1:28" x14ac:dyDescent="0.15">
      <c r="A52" s="53" t="s">
        <v>34</v>
      </c>
      <c r="B52" s="53" t="s">
        <v>232</v>
      </c>
      <c r="C52" s="53">
        <v>2019</v>
      </c>
      <c r="D52" s="171" t="s">
        <v>166</v>
      </c>
      <c r="E52" s="53" t="s">
        <v>334</v>
      </c>
      <c r="F52" s="53" t="s">
        <v>335</v>
      </c>
      <c r="G52" s="53" t="s">
        <v>36</v>
      </c>
      <c r="H52" s="53" t="s">
        <v>160</v>
      </c>
      <c r="I52" s="53" t="s">
        <v>159</v>
      </c>
      <c r="J52" s="53" t="s">
        <v>38</v>
      </c>
      <c r="K52" s="53" t="s">
        <v>161</v>
      </c>
      <c r="L52" s="53">
        <v>3</v>
      </c>
      <c r="N52" s="53">
        <v>1</v>
      </c>
      <c r="O52" s="53">
        <v>0.45</v>
      </c>
      <c r="P52" s="53">
        <v>0.2</v>
      </c>
      <c r="Q52" s="75">
        <f t="shared" si="0"/>
        <v>0.32500000000000001</v>
      </c>
      <c r="R52" s="53">
        <v>21.9</v>
      </c>
      <c r="S52" s="53">
        <v>148</v>
      </c>
      <c r="T52" s="16">
        <f t="shared" si="1"/>
        <v>30</v>
      </c>
      <c r="U52" s="53">
        <v>138</v>
      </c>
      <c r="V52" s="16">
        <f t="shared" si="2"/>
        <v>4140</v>
      </c>
      <c r="W52" s="53">
        <v>5</v>
      </c>
      <c r="X52" s="53" t="s">
        <v>46</v>
      </c>
      <c r="Y52" s="53" t="s">
        <v>97</v>
      </c>
      <c r="Z52" s="53" t="s">
        <v>88</v>
      </c>
      <c r="AA52" s="53" t="s">
        <v>78</v>
      </c>
      <c r="AB52" s="53" t="s">
        <v>236</v>
      </c>
    </row>
    <row r="53" spans="1:28" x14ac:dyDescent="0.15">
      <c r="A53" s="53" t="s">
        <v>34</v>
      </c>
      <c r="B53" s="53" t="s">
        <v>232</v>
      </c>
      <c r="C53" s="53">
        <v>2019</v>
      </c>
      <c r="D53" s="171" t="s">
        <v>166</v>
      </c>
      <c r="E53" s="53" t="s">
        <v>334</v>
      </c>
      <c r="F53" s="53" t="s">
        <v>335</v>
      </c>
      <c r="G53" s="53" t="s">
        <v>36</v>
      </c>
      <c r="H53" s="53" t="s">
        <v>160</v>
      </c>
      <c r="I53" s="53" t="s">
        <v>159</v>
      </c>
      <c r="J53" s="53" t="s">
        <v>38</v>
      </c>
      <c r="K53" s="53" t="s">
        <v>161</v>
      </c>
      <c r="L53" s="53">
        <v>1</v>
      </c>
      <c r="N53" s="53">
        <v>4</v>
      </c>
      <c r="O53" s="53">
        <v>0.45</v>
      </c>
      <c r="P53" s="53">
        <v>0.55000000000000004</v>
      </c>
      <c r="Q53" s="75">
        <f t="shared" si="0"/>
        <v>0.5</v>
      </c>
      <c r="R53" s="53">
        <v>19.2</v>
      </c>
      <c r="S53" s="53">
        <v>124</v>
      </c>
      <c r="T53" s="16">
        <f t="shared" si="1"/>
        <v>30</v>
      </c>
      <c r="U53" s="53">
        <v>538</v>
      </c>
      <c r="V53" s="16">
        <f t="shared" si="2"/>
        <v>4035</v>
      </c>
      <c r="W53" s="53">
        <v>5</v>
      </c>
      <c r="X53" s="53" t="s">
        <v>46</v>
      </c>
      <c r="Y53" s="53" t="s">
        <v>97</v>
      </c>
      <c r="Z53" s="53" t="s">
        <v>88</v>
      </c>
      <c r="AA53" s="53" t="s">
        <v>78</v>
      </c>
      <c r="AB53" s="53" t="s">
        <v>236</v>
      </c>
    </row>
    <row r="54" spans="1:28" x14ac:dyDescent="0.15">
      <c r="A54" s="53" t="s">
        <v>34</v>
      </c>
      <c r="B54" s="53" t="s">
        <v>232</v>
      </c>
      <c r="C54" s="53">
        <v>2019</v>
      </c>
      <c r="D54" s="171" t="s">
        <v>166</v>
      </c>
      <c r="E54" s="53" t="s">
        <v>334</v>
      </c>
      <c r="F54" s="53" t="s">
        <v>335</v>
      </c>
      <c r="G54" s="53" t="s">
        <v>36</v>
      </c>
      <c r="H54" s="53" t="s">
        <v>160</v>
      </c>
      <c r="I54" s="53" t="s">
        <v>159</v>
      </c>
      <c r="J54" s="53" t="s">
        <v>38</v>
      </c>
      <c r="K54" s="53" t="s">
        <v>161</v>
      </c>
      <c r="L54" s="53">
        <v>2</v>
      </c>
      <c r="N54" s="53">
        <v>4</v>
      </c>
      <c r="O54" s="53">
        <v>0.5</v>
      </c>
      <c r="P54" s="53">
        <v>0.45</v>
      </c>
      <c r="Q54" s="75">
        <f t="shared" si="0"/>
        <v>0.47499999999999998</v>
      </c>
      <c r="R54" s="53">
        <v>19.5</v>
      </c>
      <c r="S54" s="53">
        <v>124</v>
      </c>
      <c r="T54" s="16">
        <f t="shared" si="1"/>
        <v>30</v>
      </c>
      <c r="U54" s="53">
        <v>538</v>
      </c>
      <c r="V54" s="16">
        <f t="shared" si="2"/>
        <v>4035</v>
      </c>
      <c r="W54" s="53">
        <v>5</v>
      </c>
      <c r="X54" s="53" t="s">
        <v>46</v>
      </c>
      <c r="Y54" s="53" t="s">
        <v>97</v>
      </c>
      <c r="Z54" s="53" t="s">
        <v>88</v>
      </c>
      <c r="AA54" s="53" t="s">
        <v>78</v>
      </c>
      <c r="AB54" s="53" t="s">
        <v>236</v>
      </c>
    </row>
    <row r="55" spans="1:28" x14ac:dyDescent="0.15">
      <c r="A55" s="53" t="s">
        <v>34</v>
      </c>
      <c r="B55" s="53" t="s">
        <v>232</v>
      </c>
      <c r="C55" s="53">
        <v>2019</v>
      </c>
      <c r="D55" s="171" t="s">
        <v>166</v>
      </c>
      <c r="E55" s="53" t="s">
        <v>334</v>
      </c>
      <c r="F55" s="53" t="s">
        <v>335</v>
      </c>
      <c r="G55" s="53" t="s">
        <v>36</v>
      </c>
      <c r="H55" s="53" t="s">
        <v>160</v>
      </c>
      <c r="I55" s="53" t="s">
        <v>159</v>
      </c>
      <c r="J55" s="53" t="s">
        <v>38</v>
      </c>
      <c r="K55" s="53" t="s">
        <v>161</v>
      </c>
      <c r="L55" s="53">
        <v>3</v>
      </c>
      <c r="N55" s="53">
        <v>4</v>
      </c>
      <c r="O55" s="53">
        <v>0.6</v>
      </c>
      <c r="P55" s="53">
        <v>0.45</v>
      </c>
      <c r="Q55" s="75">
        <f t="shared" si="0"/>
        <v>0.52500000000000002</v>
      </c>
      <c r="R55" s="53">
        <v>18</v>
      </c>
      <c r="S55" s="53">
        <v>134</v>
      </c>
      <c r="T55" s="16">
        <f t="shared" si="1"/>
        <v>30</v>
      </c>
      <c r="U55" s="53">
        <v>538</v>
      </c>
      <c r="V55" s="16">
        <f t="shared" si="2"/>
        <v>4035</v>
      </c>
      <c r="W55" s="53">
        <v>5</v>
      </c>
      <c r="X55" s="53" t="s">
        <v>46</v>
      </c>
      <c r="Y55" s="53" t="s">
        <v>97</v>
      </c>
      <c r="Z55" s="53" t="s">
        <v>88</v>
      </c>
      <c r="AA55" s="53" t="s">
        <v>78</v>
      </c>
      <c r="AB55" s="53" t="s">
        <v>236</v>
      </c>
    </row>
    <row r="56" spans="1:28" x14ac:dyDescent="0.15">
      <c r="A56" s="53" t="s">
        <v>34</v>
      </c>
      <c r="B56" s="53" t="s">
        <v>232</v>
      </c>
      <c r="C56" s="53">
        <v>2019</v>
      </c>
      <c r="D56" s="171" t="s">
        <v>166</v>
      </c>
      <c r="E56" s="53" t="s">
        <v>336</v>
      </c>
      <c r="F56" s="53" t="s">
        <v>337</v>
      </c>
      <c r="G56" s="53" t="s">
        <v>36</v>
      </c>
      <c r="H56" s="53" t="s">
        <v>164</v>
      </c>
      <c r="I56" s="53" t="s">
        <v>159</v>
      </c>
      <c r="J56" s="53" t="s">
        <v>38</v>
      </c>
      <c r="K56" s="53" t="s">
        <v>161</v>
      </c>
      <c r="L56" s="53">
        <v>1</v>
      </c>
      <c r="N56" s="53">
        <v>1</v>
      </c>
      <c r="O56" s="53">
        <v>0.45</v>
      </c>
      <c r="P56" s="53">
        <v>0.2</v>
      </c>
      <c r="Q56" s="75">
        <f t="shared" si="0"/>
        <v>0.32500000000000001</v>
      </c>
      <c r="R56" s="53">
        <v>15.3</v>
      </c>
      <c r="S56" s="53">
        <v>128</v>
      </c>
      <c r="T56" s="16">
        <f t="shared" si="1"/>
        <v>30</v>
      </c>
      <c r="U56" s="53">
        <v>138</v>
      </c>
      <c r="V56" s="16">
        <f t="shared" si="2"/>
        <v>4140</v>
      </c>
      <c r="W56" s="53">
        <v>2</v>
      </c>
      <c r="X56" s="53" t="s">
        <v>46</v>
      </c>
      <c r="Y56" s="53" t="s">
        <v>102</v>
      </c>
      <c r="Z56" s="53" t="s">
        <v>88</v>
      </c>
      <c r="AA56" s="53" t="s">
        <v>78</v>
      </c>
      <c r="AB56" s="53" t="s">
        <v>236</v>
      </c>
    </row>
    <row r="57" spans="1:28" x14ac:dyDescent="0.15">
      <c r="A57" s="53" t="s">
        <v>34</v>
      </c>
      <c r="B57" s="53" t="s">
        <v>232</v>
      </c>
      <c r="C57" s="53">
        <v>2019</v>
      </c>
      <c r="D57" s="171" t="s">
        <v>166</v>
      </c>
      <c r="E57" s="53" t="s">
        <v>336</v>
      </c>
      <c r="F57" s="53" t="s">
        <v>337</v>
      </c>
      <c r="G57" s="53" t="s">
        <v>36</v>
      </c>
      <c r="H57" s="53" t="s">
        <v>164</v>
      </c>
      <c r="I57" s="53" t="s">
        <v>159</v>
      </c>
      <c r="J57" s="53" t="s">
        <v>38</v>
      </c>
      <c r="K57" s="53" t="s">
        <v>161</v>
      </c>
      <c r="L57" s="53">
        <v>2</v>
      </c>
      <c r="N57" s="53">
        <v>1</v>
      </c>
      <c r="O57" s="53">
        <v>0.55000000000000004</v>
      </c>
      <c r="P57" s="53">
        <v>0.2</v>
      </c>
      <c r="Q57" s="75">
        <f t="shared" si="0"/>
        <v>0.375</v>
      </c>
      <c r="R57" s="53">
        <v>15.1</v>
      </c>
      <c r="S57" s="53">
        <v>130</v>
      </c>
      <c r="T57" s="16">
        <f t="shared" si="1"/>
        <v>30</v>
      </c>
      <c r="U57" s="53">
        <v>138</v>
      </c>
      <c r="V57" s="16">
        <f t="shared" si="2"/>
        <v>4140</v>
      </c>
      <c r="W57" s="53">
        <v>2</v>
      </c>
      <c r="X57" s="53" t="s">
        <v>46</v>
      </c>
      <c r="Y57" s="53" t="s">
        <v>102</v>
      </c>
      <c r="Z57" s="53" t="s">
        <v>88</v>
      </c>
      <c r="AA57" s="53" t="s">
        <v>78</v>
      </c>
      <c r="AB57" s="53" t="s">
        <v>236</v>
      </c>
    </row>
    <row r="58" spans="1:28" x14ac:dyDescent="0.15">
      <c r="A58" s="53" t="s">
        <v>34</v>
      </c>
      <c r="B58" s="53" t="s">
        <v>232</v>
      </c>
      <c r="C58" s="53">
        <v>2019</v>
      </c>
      <c r="D58" s="171" t="s">
        <v>166</v>
      </c>
      <c r="E58" s="53" t="s">
        <v>336</v>
      </c>
      <c r="F58" s="53" t="s">
        <v>337</v>
      </c>
      <c r="G58" s="53" t="s">
        <v>36</v>
      </c>
      <c r="H58" s="53" t="s">
        <v>164</v>
      </c>
      <c r="I58" s="53" t="s">
        <v>159</v>
      </c>
      <c r="J58" s="53" t="s">
        <v>38</v>
      </c>
      <c r="K58" s="53" t="s">
        <v>161</v>
      </c>
      <c r="L58" s="53">
        <v>3</v>
      </c>
      <c r="N58" s="53">
        <v>1</v>
      </c>
      <c r="O58" s="53">
        <v>0.6</v>
      </c>
      <c r="P58" s="53">
        <v>0.5</v>
      </c>
      <c r="Q58" s="75">
        <f t="shared" si="0"/>
        <v>0.55000000000000004</v>
      </c>
      <c r="R58" s="53">
        <v>17.2</v>
      </c>
      <c r="S58" s="53">
        <v>128</v>
      </c>
      <c r="T58" s="16">
        <f t="shared" si="1"/>
        <v>30</v>
      </c>
      <c r="U58" s="53">
        <v>138</v>
      </c>
      <c r="V58" s="16">
        <f t="shared" si="2"/>
        <v>4140</v>
      </c>
      <c r="W58" s="53">
        <v>2</v>
      </c>
      <c r="X58" s="53" t="s">
        <v>46</v>
      </c>
      <c r="Y58" s="53" t="s">
        <v>102</v>
      </c>
      <c r="Z58" s="53" t="s">
        <v>88</v>
      </c>
      <c r="AA58" s="53" t="s">
        <v>78</v>
      </c>
      <c r="AB58" s="53" t="s">
        <v>236</v>
      </c>
    </row>
    <row r="59" spans="1:28" x14ac:dyDescent="0.15">
      <c r="A59" s="53" t="s">
        <v>34</v>
      </c>
      <c r="B59" s="53" t="s">
        <v>232</v>
      </c>
      <c r="C59" s="53">
        <v>2019</v>
      </c>
      <c r="D59" s="171" t="s">
        <v>166</v>
      </c>
      <c r="E59" s="53" t="s">
        <v>336</v>
      </c>
      <c r="F59" s="53" t="s">
        <v>337</v>
      </c>
      <c r="G59" s="53" t="s">
        <v>36</v>
      </c>
      <c r="H59" s="53" t="s">
        <v>160</v>
      </c>
      <c r="I59" s="53" t="s">
        <v>159</v>
      </c>
      <c r="J59" s="53" t="s">
        <v>38</v>
      </c>
      <c r="K59" s="53" t="s">
        <v>161</v>
      </c>
      <c r="L59" s="53">
        <v>1</v>
      </c>
      <c r="N59" s="53">
        <v>1</v>
      </c>
      <c r="O59" s="53">
        <v>0.55000000000000004</v>
      </c>
      <c r="P59" s="53">
        <v>0.6</v>
      </c>
      <c r="Q59" s="75">
        <f t="shared" si="0"/>
        <v>0.57499999999999996</v>
      </c>
      <c r="R59" s="53">
        <v>12.6</v>
      </c>
      <c r="S59" s="53">
        <v>110</v>
      </c>
      <c r="T59" s="16">
        <f t="shared" si="1"/>
        <v>33</v>
      </c>
      <c r="U59" s="53">
        <v>138</v>
      </c>
      <c r="V59" s="16">
        <f t="shared" si="2"/>
        <v>4554</v>
      </c>
      <c r="W59" s="53">
        <v>3</v>
      </c>
      <c r="X59" s="53" t="s">
        <v>46</v>
      </c>
      <c r="Y59" s="53" t="s">
        <v>102</v>
      </c>
      <c r="Z59" s="53" t="s">
        <v>88</v>
      </c>
      <c r="AA59" s="53" t="s">
        <v>78</v>
      </c>
      <c r="AB59" s="53" t="s">
        <v>236</v>
      </c>
    </row>
    <row r="60" spans="1:28" x14ac:dyDescent="0.15">
      <c r="A60" s="53" t="s">
        <v>34</v>
      </c>
      <c r="B60" s="53" t="s">
        <v>232</v>
      </c>
      <c r="C60" s="53">
        <v>2019</v>
      </c>
      <c r="D60" s="171" t="s">
        <v>166</v>
      </c>
      <c r="E60" s="53" t="s">
        <v>336</v>
      </c>
      <c r="F60" s="53" t="s">
        <v>337</v>
      </c>
      <c r="G60" s="53" t="s">
        <v>36</v>
      </c>
      <c r="H60" s="53" t="s">
        <v>160</v>
      </c>
      <c r="I60" s="53" t="s">
        <v>159</v>
      </c>
      <c r="J60" s="53" t="s">
        <v>38</v>
      </c>
      <c r="K60" s="53" t="s">
        <v>161</v>
      </c>
      <c r="L60" s="53">
        <v>2</v>
      </c>
      <c r="N60" s="53">
        <v>1</v>
      </c>
      <c r="O60" s="53">
        <v>0.5</v>
      </c>
      <c r="P60" s="53">
        <v>0.2</v>
      </c>
      <c r="Q60" s="75">
        <f t="shared" si="0"/>
        <v>0.35</v>
      </c>
      <c r="R60" s="53">
        <v>15.7</v>
      </c>
      <c r="S60" s="53">
        <v>114</v>
      </c>
      <c r="T60" s="16">
        <f t="shared" si="1"/>
        <v>30</v>
      </c>
      <c r="U60" s="53">
        <v>138</v>
      </c>
      <c r="V60" s="16">
        <f t="shared" si="2"/>
        <v>4140</v>
      </c>
      <c r="W60" s="53">
        <v>3</v>
      </c>
      <c r="X60" s="53" t="s">
        <v>46</v>
      </c>
      <c r="Y60" s="53" t="s">
        <v>102</v>
      </c>
      <c r="Z60" s="53" t="s">
        <v>88</v>
      </c>
      <c r="AA60" s="53" t="s">
        <v>78</v>
      </c>
      <c r="AB60" s="53" t="s">
        <v>236</v>
      </c>
    </row>
    <row r="61" spans="1:28" x14ac:dyDescent="0.15">
      <c r="A61" s="53" t="s">
        <v>34</v>
      </c>
      <c r="B61" s="53" t="s">
        <v>232</v>
      </c>
      <c r="C61" s="53">
        <v>2019</v>
      </c>
      <c r="D61" s="171" t="s">
        <v>166</v>
      </c>
      <c r="E61" s="53" t="s">
        <v>336</v>
      </c>
      <c r="F61" s="53" t="s">
        <v>337</v>
      </c>
      <c r="G61" s="53" t="s">
        <v>36</v>
      </c>
      <c r="H61" s="53" t="s">
        <v>160</v>
      </c>
      <c r="I61" s="53" t="s">
        <v>159</v>
      </c>
      <c r="J61" s="53" t="s">
        <v>38</v>
      </c>
      <c r="K61" s="53" t="s">
        <v>161</v>
      </c>
      <c r="L61" s="53">
        <v>3</v>
      </c>
      <c r="N61" s="53">
        <v>1</v>
      </c>
      <c r="O61" s="53">
        <v>0.9</v>
      </c>
      <c r="P61" s="53">
        <v>0.65</v>
      </c>
      <c r="Q61" s="75">
        <f t="shared" si="0"/>
        <v>0.77500000000000002</v>
      </c>
      <c r="R61" s="53">
        <v>14.2</v>
      </c>
      <c r="S61" s="53">
        <v>104</v>
      </c>
      <c r="T61" s="16">
        <f t="shared" si="1"/>
        <v>33</v>
      </c>
      <c r="U61" s="53">
        <v>138</v>
      </c>
      <c r="V61" s="16">
        <f t="shared" si="2"/>
        <v>4554</v>
      </c>
      <c r="W61" s="53">
        <v>3</v>
      </c>
      <c r="X61" s="53" t="s">
        <v>46</v>
      </c>
      <c r="Y61" s="53" t="s">
        <v>102</v>
      </c>
      <c r="Z61" s="53" t="s">
        <v>88</v>
      </c>
      <c r="AA61" s="53" t="s">
        <v>78</v>
      </c>
      <c r="AB61" s="53" t="s">
        <v>236</v>
      </c>
    </row>
    <row r="62" spans="1:28" x14ac:dyDescent="0.15">
      <c r="A62" s="53" t="s">
        <v>34</v>
      </c>
      <c r="B62" s="53" t="s">
        <v>232</v>
      </c>
      <c r="C62" s="53">
        <v>2019</v>
      </c>
      <c r="D62" s="171" t="s">
        <v>166</v>
      </c>
      <c r="E62" s="53" t="s">
        <v>319</v>
      </c>
      <c r="F62" s="53" t="s">
        <v>331</v>
      </c>
      <c r="G62" s="53" t="s">
        <v>36</v>
      </c>
      <c r="H62" s="53" t="s">
        <v>164</v>
      </c>
      <c r="I62" s="53" t="s">
        <v>159</v>
      </c>
      <c r="J62" s="53" t="s">
        <v>38</v>
      </c>
      <c r="K62" s="53" t="s">
        <v>161</v>
      </c>
      <c r="L62" s="53">
        <v>1</v>
      </c>
      <c r="N62" s="53">
        <v>1</v>
      </c>
      <c r="O62" s="53">
        <v>0.5</v>
      </c>
      <c r="P62" s="53">
        <v>0.2</v>
      </c>
      <c r="Q62" s="75">
        <f t="shared" si="0"/>
        <v>0.35</v>
      </c>
      <c r="R62" s="53">
        <v>14.4</v>
      </c>
      <c r="S62" s="53">
        <v>132</v>
      </c>
      <c r="T62" s="16">
        <f t="shared" si="1"/>
        <v>30</v>
      </c>
      <c r="U62" s="53">
        <v>105</v>
      </c>
      <c r="V62" s="16">
        <f t="shared" si="2"/>
        <v>3150</v>
      </c>
      <c r="W62" s="53">
        <v>2</v>
      </c>
      <c r="X62" s="53" t="s">
        <v>46</v>
      </c>
      <c r="Y62" s="53" t="s">
        <v>102</v>
      </c>
      <c r="Z62" s="53" t="s">
        <v>88</v>
      </c>
      <c r="AA62" s="53" t="s">
        <v>78</v>
      </c>
      <c r="AB62" s="53" t="s">
        <v>236</v>
      </c>
    </row>
    <row r="63" spans="1:28" x14ac:dyDescent="0.15">
      <c r="A63" s="53" t="s">
        <v>34</v>
      </c>
      <c r="B63" s="53" t="s">
        <v>232</v>
      </c>
      <c r="C63" s="53">
        <v>2019</v>
      </c>
      <c r="D63" s="171" t="s">
        <v>166</v>
      </c>
      <c r="E63" s="53" t="s">
        <v>319</v>
      </c>
      <c r="F63" s="53" t="s">
        <v>331</v>
      </c>
      <c r="G63" s="53" t="s">
        <v>36</v>
      </c>
      <c r="H63" s="53" t="s">
        <v>164</v>
      </c>
      <c r="I63" s="53" t="s">
        <v>159</v>
      </c>
      <c r="J63" s="53" t="s">
        <v>38</v>
      </c>
      <c r="K63" s="53" t="s">
        <v>161</v>
      </c>
      <c r="L63" s="53">
        <v>2</v>
      </c>
      <c r="N63" s="53">
        <v>1</v>
      </c>
      <c r="O63" s="53">
        <v>0.75</v>
      </c>
      <c r="P63" s="53">
        <v>0.7</v>
      </c>
      <c r="Q63" s="75">
        <f t="shared" si="0"/>
        <v>0.72499999999999998</v>
      </c>
      <c r="R63" s="53">
        <v>15</v>
      </c>
      <c r="S63" s="53">
        <v>126</v>
      </c>
      <c r="T63" s="16">
        <f t="shared" si="1"/>
        <v>30</v>
      </c>
      <c r="U63" s="53">
        <v>105</v>
      </c>
      <c r="V63" s="16">
        <f t="shared" si="2"/>
        <v>3150</v>
      </c>
      <c r="W63" s="53">
        <v>2</v>
      </c>
      <c r="X63" s="53" t="s">
        <v>46</v>
      </c>
      <c r="Y63" s="53" t="s">
        <v>102</v>
      </c>
      <c r="Z63" s="53" t="s">
        <v>88</v>
      </c>
      <c r="AA63" s="53" t="s">
        <v>78</v>
      </c>
      <c r="AB63" s="53" t="s">
        <v>236</v>
      </c>
    </row>
    <row r="64" spans="1:28" x14ac:dyDescent="0.15">
      <c r="A64" s="53" t="s">
        <v>34</v>
      </c>
      <c r="B64" s="53" t="s">
        <v>232</v>
      </c>
      <c r="C64" s="53">
        <v>2019</v>
      </c>
      <c r="D64" s="171" t="s">
        <v>166</v>
      </c>
      <c r="E64" s="53" t="s">
        <v>319</v>
      </c>
      <c r="F64" s="53" t="s">
        <v>331</v>
      </c>
      <c r="G64" s="53" t="s">
        <v>36</v>
      </c>
      <c r="H64" s="53" t="s">
        <v>164</v>
      </c>
      <c r="I64" s="53" t="s">
        <v>159</v>
      </c>
      <c r="J64" s="53" t="s">
        <v>38</v>
      </c>
      <c r="K64" s="53" t="s">
        <v>161</v>
      </c>
      <c r="L64" s="53">
        <v>3</v>
      </c>
      <c r="N64" s="53">
        <v>1</v>
      </c>
      <c r="O64" s="53">
        <v>0.65</v>
      </c>
      <c r="P64" s="53">
        <v>0.75</v>
      </c>
      <c r="Q64" s="75">
        <f t="shared" si="0"/>
        <v>0.7</v>
      </c>
      <c r="R64" s="53">
        <v>13.8</v>
      </c>
      <c r="S64" s="53">
        <v>130</v>
      </c>
      <c r="T64" s="16">
        <f t="shared" si="1"/>
        <v>30</v>
      </c>
      <c r="U64" s="53">
        <v>105</v>
      </c>
      <c r="V64" s="16">
        <f t="shared" si="2"/>
        <v>3150</v>
      </c>
      <c r="W64" s="53">
        <v>2</v>
      </c>
      <c r="X64" s="53" t="s">
        <v>46</v>
      </c>
      <c r="Y64" s="53" t="s">
        <v>102</v>
      </c>
      <c r="Z64" s="53" t="s">
        <v>88</v>
      </c>
      <c r="AA64" s="53" t="s">
        <v>78</v>
      </c>
      <c r="AB64" s="53" t="s">
        <v>236</v>
      </c>
    </row>
    <row r="65" spans="1:28" x14ac:dyDescent="0.15">
      <c r="A65" s="53" t="s">
        <v>34</v>
      </c>
      <c r="B65" s="53" t="s">
        <v>232</v>
      </c>
      <c r="C65" s="53">
        <v>2019</v>
      </c>
      <c r="D65" s="171" t="s">
        <v>166</v>
      </c>
      <c r="E65" s="53" t="s">
        <v>319</v>
      </c>
      <c r="F65" s="53" t="s">
        <v>331</v>
      </c>
      <c r="G65" s="53" t="s">
        <v>36</v>
      </c>
      <c r="H65" s="53" t="s">
        <v>160</v>
      </c>
      <c r="I65" s="53" t="s">
        <v>159</v>
      </c>
      <c r="J65" s="53" t="s">
        <v>38</v>
      </c>
      <c r="K65" s="53" t="s">
        <v>161</v>
      </c>
      <c r="L65" s="53">
        <v>1</v>
      </c>
      <c r="N65" s="53">
        <v>1</v>
      </c>
      <c r="O65" s="53">
        <v>0.5</v>
      </c>
      <c r="P65" s="53">
        <v>0.2</v>
      </c>
      <c r="Q65" s="75">
        <f t="shared" si="0"/>
        <v>0.35</v>
      </c>
      <c r="R65" s="53">
        <v>14.6</v>
      </c>
      <c r="S65" s="53">
        <v>108</v>
      </c>
      <c r="T65" s="16">
        <f t="shared" si="1"/>
        <v>33</v>
      </c>
      <c r="U65" s="53">
        <v>105</v>
      </c>
      <c r="V65" s="16">
        <f t="shared" si="2"/>
        <v>3465</v>
      </c>
      <c r="W65" s="53">
        <v>2</v>
      </c>
      <c r="X65" s="53" t="s">
        <v>46</v>
      </c>
      <c r="Y65" s="53" t="s">
        <v>102</v>
      </c>
      <c r="Z65" s="53" t="s">
        <v>88</v>
      </c>
      <c r="AA65" s="53" t="s">
        <v>78</v>
      </c>
      <c r="AB65" s="53" t="s">
        <v>236</v>
      </c>
    </row>
    <row r="66" spans="1:28" x14ac:dyDescent="0.15">
      <c r="A66" s="53" t="s">
        <v>34</v>
      </c>
      <c r="B66" s="53" t="s">
        <v>232</v>
      </c>
      <c r="C66" s="53">
        <v>2019</v>
      </c>
      <c r="D66" s="171" t="s">
        <v>166</v>
      </c>
      <c r="E66" s="53" t="s">
        <v>319</v>
      </c>
      <c r="F66" s="53" t="s">
        <v>331</v>
      </c>
      <c r="G66" s="53" t="s">
        <v>36</v>
      </c>
      <c r="H66" s="53" t="s">
        <v>160</v>
      </c>
      <c r="I66" s="53" t="s">
        <v>159</v>
      </c>
      <c r="J66" s="53" t="s">
        <v>38</v>
      </c>
      <c r="K66" s="53" t="s">
        <v>161</v>
      </c>
      <c r="L66" s="53">
        <v>2</v>
      </c>
      <c r="N66" s="53">
        <v>1</v>
      </c>
      <c r="O66" s="53">
        <v>0.55000000000000004</v>
      </c>
      <c r="P66" s="53">
        <v>0.2</v>
      </c>
      <c r="Q66" s="75">
        <f t="shared" si="0"/>
        <v>0.375</v>
      </c>
      <c r="R66" s="53">
        <v>14</v>
      </c>
      <c r="S66" s="53">
        <v>114</v>
      </c>
      <c r="T66" s="16">
        <f t="shared" si="1"/>
        <v>30</v>
      </c>
      <c r="U66" s="53">
        <v>105</v>
      </c>
      <c r="V66" s="16">
        <f t="shared" si="2"/>
        <v>3150</v>
      </c>
      <c r="W66" s="53">
        <v>2</v>
      </c>
      <c r="X66" s="53" t="s">
        <v>46</v>
      </c>
      <c r="Y66" s="53" t="s">
        <v>102</v>
      </c>
      <c r="Z66" s="53" t="s">
        <v>88</v>
      </c>
      <c r="AA66" s="53" t="s">
        <v>78</v>
      </c>
      <c r="AB66" s="53" t="s">
        <v>236</v>
      </c>
    </row>
    <row r="67" spans="1:28" x14ac:dyDescent="0.15">
      <c r="A67" s="53" t="s">
        <v>34</v>
      </c>
      <c r="B67" s="53" t="s">
        <v>232</v>
      </c>
      <c r="C67" s="53">
        <v>2019</v>
      </c>
      <c r="D67" s="171" t="s">
        <v>166</v>
      </c>
      <c r="E67" s="53" t="s">
        <v>319</v>
      </c>
      <c r="F67" s="53" t="s">
        <v>331</v>
      </c>
      <c r="G67" s="53" t="s">
        <v>36</v>
      </c>
      <c r="H67" s="53" t="s">
        <v>160</v>
      </c>
      <c r="I67" s="53" t="s">
        <v>159</v>
      </c>
      <c r="J67" s="53" t="s">
        <v>38</v>
      </c>
      <c r="K67" s="53" t="s">
        <v>161</v>
      </c>
      <c r="L67" s="53">
        <v>3</v>
      </c>
      <c r="N67" s="53">
        <v>1</v>
      </c>
      <c r="O67" s="53">
        <v>0.55000000000000004</v>
      </c>
      <c r="P67" s="53">
        <v>0.2</v>
      </c>
      <c r="Q67" s="75">
        <f t="shared" si="0"/>
        <v>0.375</v>
      </c>
      <c r="R67" s="53">
        <v>10.7</v>
      </c>
      <c r="S67" s="53">
        <v>106</v>
      </c>
      <c r="T67" s="16">
        <f t="shared" si="1"/>
        <v>33</v>
      </c>
      <c r="U67" s="53">
        <v>105</v>
      </c>
      <c r="V67" s="16">
        <f t="shared" si="2"/>
        <v>3465</v>
      </c>
      <c r="W67" s="53">
        <v>2</v>
      </c>
      <c r="X67" s="53" t="s">
        <v>46</v>
      </c>
      <c r="Y67" s="53" t="s">
        <v>102</v>
      </c>
      <c r="Z67" s="53" t="s">
        <v>88</v>
      </c>
      <c r="AA67" s="53" t="s">
        <v>78</v>
      </c>
      <c r="AB67" s="53" t="s">
        <v>236</v>
      </c>
    </row>
    <row r="68" spans="1:28" x14ac:dyDescent="0.15">
      <c r="A68" s="53" t="s">
        <v>34</v>
      </c>
      <c r="B68" s="53" t="s">
        <v>232</v>
      </c>
      <c r="C68" s="53">
        <v>2019</v>
      </c>
      <c r="D68" s="171" t="s">
        <v>166</v>
      </c>
      <c r="E68" s="53" t="s">
        <v>332</v>
      </c>
      <c r="F68" s="53" t="s">
        <v>333</v>
      </c>
      <c r="G68" s="53" t="s">
        <v>36</v>
      </c>
      <c r="H68" s="53" t="s">
        <v>164</v>
      </c>
      <c r="I68" s="53" t="s">
        <v>159</v>
      </c>
      <c r="J68" s="53" t="s">
        <v>38</v>
      </c>
      <c r="K68" s="53" t="s">
        <v>161</v>
      </c>
      <c r="L68" s="53">
        <v>1</v>
      </c>
      <c r="N68" s="53">
        <v>1</v>
      </c>
      <c r="O68" s="53">
        <v>0.2</v>
      </c>
      <c r="P68" s="53">
        <v>0.2</v>
      </c>
      <c r="Q68" s="75">
        <f t="shared" si="0"/>
        <v>0.2</v>
      </c>
      <c r="R68" s="53">
        <v>14.6</v>
      </c>
      <c r="S68" s="53">
        <v>138</v>
      </c>
      <c r="T68" s="16">
        <f t="shared" si="1"/>
        <v>30</v>
      </c>
      <c r="U68" s="53">
        <v>108</v>
      </c>
      <c r="V68" s="16">
        <f t="shared" si="2"/>
        <v>3240</v>
      </c>
      <c r="W68" s="53">
        <v>2</v>
      </c>
      <c r="X68" s="53" t="s">
        <v>39</v>
      </c>
      <c r="Y68" s="53" t="s">
        <v>88</v>
      </c>
      <c r="Z68" s="53" t="s">
        <v>102</v>
      </c>
      <c r="AA68" s="53" t="s">
        <v>55</v>
      </c>
      <c r="AB68" s="53" t="s">
        <v>236</v>
      </c>
    </row>
    <row r="69" spans="1:28" x14ac:dyDescent="0.15">
      <c r="A69" s="53" t="s">
        <v>34</v>
      </c>
      <c r="B69" s="53" t="s">
        <v>232</v>
      </c>
      <c r="C69" s="53">
        <v>2019</v>
      </c>
      <c r="D69" s="171" t="s">
        <v>166</v>
      </c>
      <c r="E69" s="53" t="s">
        <v>332</v>
      </c>
      <c r="F69" s="53" t="s">
        <v>333</v>
      </c>
      <c r="G69" s="53" t="s">
        <v>36</v>
      </c>
      <c r="H69" s="53" t="s">
        <v>164</v>
      </c>
      <c r="I69" s="53" t="s">
        <v>159</v>
      </c>
      <c r="J69" s="53" t="s">
        <v>38</v>
      </c>
      <c r="K69" s="53" t="s">
        <v>161</v>
      </c>
      <c r="L69" s="53">
        <v>2</v>
      </c>
      <c r="N69" s="53">
        <v>1</v>
      </c>
      <c r="O69" s="53">
        <v>0.65</v>
      </c>
      <c r="P69" s="53">
        <v>0.5</v>
      </c>
      <c r="Q69" s="75">
        <f t="shared" si="0"/>
        <v>0.57499999999999996</v>
      </c>
      <c r="R69" s="53">
        <v>15.3</v>
      </c>
      <c r="S69" s="53">
        <v>140</v>
      </c>
      <c r="T69" s="16">
        <f t="shared" si="1"/>
        <v>30</v>
      </c>
      <c r="U69" s="53">
        <v>108</v>
      </c>
      <c r="V69" s="16">
        <f t="shared" si="2"/>
        <v>3240</v>
      </c>
      <c r="W69" s="53">
        <v>2</v>
      </c>
      <c r="X69" s="53" t="s">
        <v>39</v>
      </c>
      <c r="Y69" s="53" t="s">
        <v>88</v>
      </c>
      <c r="Z69" s="53" t="s">
        <v>102</v>
      </c>
      <c r="AA69" s="53" t="s">
        <v>55</v>
      </c>
      <c r="AB69" s="53" t="s">
        <v>236</v>
      </c>
    </row>
    <row r="70" spans="1:28" x14ac:dyDescent="0.15">
      <c r="A70" s="53" t="s">
        <v>34</v>
      </c>
      <c r="B70" s="53" t="s">
        <v>232</v>
      </c>
      <c r="C70" s="53">
        <v>2019</v>
      </c>
      <c r="D70" s="171" t="s">
        <v>166</v>
      </c>
      <c r="E70" s="53" t="s">
        <v>332</v>
      </c>
      <c r="F70" s="53" t="s">
        <v>333</v>
      </c>
      <c r="G70" s="53" t="s">
        <v>36</v>
      </c>
      <c r="H70" s="53" t="s">
        <v>164</v>
      </c>
      <c r="I70" s="53" t="s">
        <v>159</v>
      </c>
      <c r="J70" s="53" t="s">
        <v>38</v>
      </c>
      <c r="K70" s="53" t="s">
        <v>161</v>
      </c>
      <c r="L70" s="53">
        <v>3</v>
      </c>
      <c r="N70" s="53">
        <v>1</v>
      </c>
      <c r="O70" s="53">
        <v>0.2</v>
      </c>
      <c r="P70" s="53">
        <v>0.2</v>
      </c>
      <c r="Q70" s="75">
        <f t="shared" si="0"/>
        <v>0.2</v>
      </c>
      <c r="R70" s="53">
        <v>15.9</v>
      </c>
      <c r="S70" s="53">
        <v>134</v>
      </c>
      <c r="T70" s="16">
        <f t="shared" si="1"/>
        <v>30</v>
      </c>
      <c r="U70" s="53">
        <v>108</v>
      </c>
      <c r="V70" s="16">
        <f t="shared" si="2"/>
        <v>3240</v>
      </c>
      <c r="W70" s="53">
        <v>2</v>
      </c>
      <c r="X70" s="53" t="s">
        <v>39</v>
      </c>
      <c r="Y70" s="53" t="s">
        <v>88</v>
      </c>
      <c r="Z70" s="53" t="s">
        <v>102</v>
      </c>
      <c r="AA70" s="53" t="s">
        <v>55</v>
      </c>
      <c r="AB70" s="53" t="s">
        <v>236</v>
      </c>
    </row>
    <row r="71" spans="1:28" x14ac:dyDescent="0.15">
      <c r="A71" s="53" t="s">
        <v>34</v>
      </c>
      <c r="B71" s="53" t="s">
        <v>232</v>
      </c>
      <c r="C71" s="53">
        <v>2019</v>
      </c>
      <c r="D71" s="171" t="s">
        <v>166</v>
      </c>
      <c r="E71" s="53" t="s">
        <v>332</v>
      </c>
      <c r="F71" s="53" t="s">
        <v>333</v>
      </c>
      <c r="G71" s="53" t="s">
        <v>36</v>
      </c>
      <c r="H71" s="53" t="s">
        <v>160</v>
      </c>
      <c r="I71" s="53" t="s">
        <v>159</v>
      </c>
      <c r="J71" s="53" t="s">
        <v>38</v>
      </c>
      <c r="K71" s="53" t="s">
        <v>161</v>
      </c>
      <c r="L71" s="53">
        <v>1</v>
      </c>
      <c r="N71" s="53">
        <v>1</v>
      </c>
      <c r="O71" s="53">
        <v>0.2</v>
      </c>
      <c r="P71" s="53">
        <v>0.5</v>
      </c>
      <c r="Q71" s="75">
        <f t="shared" si="0"/>
        <v>0.35</v>
      </c>
      <c r="R71" s="53">
        <v>15.4</v>
      </c>
      <c r="S71" s="53">
        <v>138</v>
      </c>
      <c r="T71" s="16">
        <f t="shared" si="1"/>
        <v>30</v>
      </c>
      <c r="U71" s="53">
        <v>138</v>
      </c>
      <c r="V71" s="16">
        <f t="shared" si="2"/>
        <v>4140</v>
      </c>
      <c r="W71" s="53">
        <v>2</v>
      </c>
      <c r="X71" s="53" t="s">
        <v>39</v>
      </c>
      <c r="Y71" s="53" t="s">
        <v>88</v>
      </c>
      <c r="Z71" s="53" t="s">
        <v>102</v>
      </c>
      <c r="AA71" s="53" t="s">
        <v>55</v>
      </c>
      <c r="AB71" s="53" t="s">
        <v>236</v>
      </c>
    </row>
    <row r="72" spans="1:28" x14ac:dyDescent="0.15">
      <c r="A72" s="53" t="s">
        <v>34</v>
      </c>
      <c r="B72" s="53" t="s">
        <v>232</v>
      </c>
      <c r="C72" s="53">
        <v>2019</v>
      </c>
      <c r="D72" s="171" t="s">
        <v>166</v>
      </c>
      <c r="E72" s="53" t="s">
        <v>332</v>
      </c>
      <c r="F72" s="53" t="s">
        <v>333</v>
      </c>
      <c r="G72" s="53" t="s">
        <v>36</v>
      </c>
      <c r="H72" s="53" t="s">
        <v>160</v>
      </c>
      <c r="I72" s="53" t="s">
        <v>159</v>
      </c>
      <c r="J72" s="53" t="s">
        <v>38</v>
      </c>
      <c r="K72" s="53" t="s">
        <v>161</v>
      </c>
      <c r="L72" s="53">
        <v>2</v>
      </c>
      <c r="N72" s="53">
        <v>1</v>
      </c>
      <c r="O72" s="53">
        <v>0.2</v>
      </c>
      <c r="P72" s="53">
        <v>0.2</v>
      </c>
      <c r="Q72" s="75">
        <f t="shared" si="0"/>
        <v>0.2</v>
      </c>
      <c r="R72" s="53">
        <v>14.4</v>
      </c>
      <c r="S72" s="53">
        <v>138</v>
      </c>
      <c r="T72" s="16">
        <f t="shared" si="1"/>
        <v>30</v>
      </c>
      <c r="U72" s="53">
        <v>138</v>
      </c>
      <c r="V72" s="16">
        <f t="shared" si="2"/>
        <v>4140</v>
      </c>
      <c r="W72" s="53">
        <v>2</v>
      </c>
      <c r="X72" s="53" t="s">
        <v>39</v>
      </c>
      <c r="Y72" s="53" t="s">
        <v>88</v>
      </c>
      <c r="Z72" s="53" t="s">
        <v>102</v>
      </c>
      <c r="AA72" s="53" t="s">
        <v>55</v>
      </c>
      <c r="AB72" s="53" t="s">
        <v>236</v>
      </c>
    </row>
    <row r="73" spans="1:28" x14ac:dyDescent="0.15">
      <c r="A73" s="53" t="s">
        <v>34</v>
      </c>
      <c r="B73" s="53" t="s">
        <v>232</v>
      </c>
      <c r="C73" s="53">
        <v>2019</v>
      </c>
      <c r="D73" s="171" t="s">
        <v>166</v>
      </c>
      <c r="E73" s="53" t="s">
        <v>332</v>
      </c>
      <c r="F73" s="53" t="s">
        <v>333</v>
      </c>
      <c r="G73" s="53" t="s">
        <v>36</v>
      </c>
      <c r="H73" s="53" t="s">
        <v>160</v>
      </c>
      <c r="I73" s="53" t="s">
        <v>159</v>
      </c>
      <c r="J73" s="53" t="s">
        <v>38</v>
      </c>
      <c r="K73" s="53" t="s">
        <v>161</v>
      </c>
      <c r="L73" s="53">
        <v>3</v>
      </c>
      <c r="N73" s="53">
        <v>1</v>
      </c>
      <c r="O73" s="53">
        <v>0.45</v>
      </c>
      <c r="P73" s="53">
        <v>0.2</v>
      </c>
      <c r="Q73" s="75">
        <f t="shared" si="0"/>
        <v>0.32500000000000001</v>
      </c>
      <c r="R73" s="53">
        <v>16.2</v>
      </c>
      <c r="S73" s="53">
        <v>136</v>
      </c>
      <c r="T73" s="16">
        <f t="shared" si="1"/>
        <v>30</v>
      </c>
      <c r="U73" s="53">
        <v>138</v>
      </c>
      <c r="V73" s="16">
        <f t="shared" si="2"/>
        <v>4140</v>
      </c>
      <c r="W73" s="53">
        <v>2</v>
      </c>
      <c r="X73" s="53" t="s">
        <v>39</v>
      </c>
      <c r="Y73" s="53" t="s">
        <v>88</v>
      </c>
      <c r="Z73" s="53" t="s">
        <v>102</v>
      </c>
      <c r="AA73" s="53" t="s">
        <v>55</v>
      </c>
      <c r="AB73" s="53" t="s">
        <v>236</v>
      </c>
    </row>
    <row r="74" spans="1:28" x14ac:dyDescent="0.15">
      <c r="A74" s="53" t="s">
        <v>34</v>
      </c>
      <c r="B74" s="53" t="s">
        <v>232</v>
      </c>
      <c r="C74" s="53">
        <v>2019</v>
      </c>
      <c r="D74" s="171" t="s">
        <v>166</v>
      </c>
      <c r="E74" s="53" t="s">
        <v>343</v>
      </c>
      <c r="F74" s="53" t="s">
        <v>344</v>
      </c>
      <c r="G74" s="53" t="s">
        <v>36</v>
      </c>
      <c r="H74" s="53" t="s">
        <v>164</v>
      </c>
      <c r="I74" s="53" t="s">
        <v>159</v>
      </c>
      <c r="J74" s="53" t="s">
        <v>38</v>
      </c>
      <c r="K74" s="53" t="s">
        <v>161</v>
      </c>
      <c r="L74" s="53">
        <v>1</v>
      </c>
      <c r="N74" s="53">
        <v>5</v>
      </c>
      <c r="O74" s="53">
        <v>0.75</v>
      </c>
      <c r="P74" s="53">
        <v>1.2</v>
      </c>
      <c r="Q74" s="75">
        <f t="shared" si="0"/>
        <v>0.97499999999999998</v>
      </c>
      <c r="R74" s="53">
        <v>14.1</v>
      </c>
      <c r="S74" s="53">
        <v>75</v>
      </c>
      <c r="T74" s="16">
        <f t="shared" si="1"/>
        <v>42</v>
      </c>
      <c r="U74" s="53">
        <v>319</v>
      </c>
      <c r="V74" s="16">
        <f t="shared" si="2"/>
        <v>2679.6</v>
      </c>
      <c r="W74" s="53">
        <v>1</v>
      </c>
      <c r="X74" s="53" t="s">
        <v>46</v>
      </c>
      <c r="Y74" s="53" t="s">
        <v>88</v>
      </c>
      <c r="Z74" s="53" t="s">
        <v>78</v>
      </c>
      <c r="AA74" s="53" t="s">
        <v>102</v>
      </c>
      <c r="AB74" s="53" t="s">
        <v>236</v>
      </c>
    </row>
    <row r="75" spans="1:28" x14ac:dyDescent="0.15">
      <c r="A75" s="53" t="s">
        <v>34</v>
      </c>
      <c r="B75" s="53" t="s">
        <v>232</v>
      </c>
      <c r="C75" s="53">
        <v>2019</v>
      </c>
      <c r="D75" s="171" t="s">
        <v>166</v>
      </c>
      <c r="E75" s="53" t="s">
        <v>343</v>
      </c>
      <c r="F75" s="53" t="s">
        <v>344</v>
      </c>
      <c r="G75" s="53" t="s">
        <v>36</v>
      </c>
      <c r="H75" s="53" t="s">
        <v>164</v>
      </c>
      <c r="I75" s="53" t="s">
        <v>159</v>
      </c>
      <c r="J75" s="53" t="s">
        <v>38</v>
      </c>
      <c r="K75" s="53" t="s">
        <v>161</v>
      </c>
      <c r="L75" s="53">
        <v>2</v>
      </c>
      <c r="N75" s="53">
        <v>5</v>
      </c>
      <c r="O75" s="53">
        <v>0.9</v>
      </c>
      <c r="P75" s="53">
        <v>0.5</v>
      </c>
      <c r="Q75" s="75">
        <f t="shared" si="0"/>
        <v>0.7</v>
      </c>
      <c r="R75" s="53">
        <v>10.9</v>
      </c>
      <c r="S75" s="53">
        <v>73</v>
      </c>
      <c r="T75" s="16">
        <f t="shared" si="1"/>
        <v>42</v>
      </c>
      <c r="U75" s="53">
        <v>319</v>
      </c>
      <c r="V75" s="16">
        <f t="shared" si="2"/>
        <v>2679.6</v>
      </c>
      <c r="W75" s="53">
        <v>1</v>
      </c>
      <c r="X75" s="53" t="s">
        <v>46</v>
      </c>
      <c r="Y75" s="53" t="s">
        <v>88</v>
      </c>
      <c r="Z75" s="53" t="s">
        <v>78</v>
      </c>
      <c r="AA75" s="53" t="s">
        <v>102</v>
      </c>
      <c r="AB75" s="53" t="s">
        <v>236</v>
      </c>
    </row>
    <row r="76" spans="1:28" x14ac:dyDescent="0.15">
      <c r="A76" s="53" t="s">
        <v>34</v>
      </c>
      <c r="B76" s="53" t="s">
        <v>232</v>
      </c>
      <c r="C76" s="53">
        <v>2019</v>
      </c>
      <c r="D76" s="171" t="s">
        <v>166</v>
      </c>
      <c r="E76" s="53" t="s">
        <v>343</v>
      </c>
      <c r="F76" s="53" t="s">
        <v>344</v>
      </c>
      <c r="G76" s="53" t="s">
        <v>36</v>
      </c>
      <c r="H76" s="53" t="s">
        <v>164</v>
      </c>
      <c r="I76" s="53" t="s">
        <v>159</v>
      </c>
      <c r="J76" s="53" t="s">
        <v>38</v>
      </c>
      <c r="K76" s="53" t="s">
        <v>161</v>
      </c>
      <c r="L76" s="53">
        <v>3</v>
      </c>
      <c r="N76" s="53">
        <v>5</v>
      </c>
      <c r="O76" s="53">
        <v>1</v>
      </c>
      <c r="P76" s="53">
        <v>1.2</v>
      </c>
      <c r="Q76" s="75">
        <f t="shared" si="0"/>
        <v>1.1000000000000001</v>
      </c>
      <c r="R76" s="53">
        <v>14.3</v>
      </c>
      <c r="S76" s="53">
        <v>77</v>
      </c>
      <c r="T76" s="16">
        <f t="shared" si="1"/>
        <v>39</v>
      </c>
      <c r="U76" s="53">
        <v>319</v>
      </c>
      <c r="V76" s="16">
        <f t="shared" si="2"/>
        <v>2488.1999999999998</v>
      </c>
      <c r="W76" s="53">
        <v>1</v>
      </c>
      <c r="X76" s="53" t="s">
        <v>46</v>
      </c>
      <c r="Y76" s="53" t="s">
        <v>88</v>
      </c>
      <c r="Z76" s="53" t="s">
        <v>78</v>
      </c>
      <c r="AA76" s="53" t="s">
        <v>102</v>
      </c>
      <c r="AB76" s="53" t="s">
        <v>236</v>
      </c>
    </row>
    <row r="77" spans="1:28" x14ac:dyDescent="0.15">
      <c r="A77" s="53" t="s">
        <v>34</v>
      </c>
      <c r="B77" s="53" t="s">
        <v>232</v>
      </c>
      <c r="C77" s="53">
        <v>2019</v>
      </c>
      <c r="D77" s="171" t="s">
        <v>166</v>
      </c>
      <c r="E77" s="53" t="s">
        <v>343</v>
      </c>
      <c r="F77" s="53" t="s">
        <v>344</v>
      </c>
      <c r="G77" s="53" t="s">
        <v>36</v>
      </c>
      <c r="H77" s="53" t="s">
        <v>160</v>
      </c>
      <c r="I77" s="53" t="s">
        <v>159</v>
      </c>
      <c r="J77" s="53" t="s">
        <v>38</v>
      </c>
      <c r="K77" s="53" t="s">
        <v>161</v>
      </c>
      <c r="L77" s="53">
        <v>1</v>
      </c>
      <c r="N77" s="53">
        <v>1</v>
      </c>
      <c r="O77" s="53">
        <v>0.65</v>
      </c>
      <c r="P77" s="53">
        <v>0.7</v>
      </c>
      <c r="Q77" s="75">
        <f t="shared" si="0"/>
        <v>0.67500000000000004</v>
      </c>
      <c r="R77" s="53">
        <v>15</v>
      </c>
      <c r="S77" s="53">
        <v>126</v>
      </c>
      <c r="T77" s="16">
        <f t="shared" si="1"/>
        <v>30</v>
      </c>
      <c r="U77" s="53">
        <v>100</v>
      </c>
      <c r="V77" s="16">
        <f t="shared" si="2"/>
        <v>3000</v>
      </c>
      <c r="W77" s="53">
        <v>1</v>
      </c>
      <c r="X77" s="53" t="s">
        <v>46</v>
      </c>
      <c r="Y77" s="53" t="s">
        <v>88</v>
      </c>
      <c r="Z77" s="53" t="s">
        <v>78</v>
      </c>
      <c r="AA77" s="53" t="s">
        <v>102</v>
      </c>
      <c r="AB77" s="53" t="s">
        <v>236</v>
      </c>
    </row>
    <row r="78" spans="1:28" x14ac:dyDescent="0.15">
      <c r="A78" s="53" t="s">
        <v>34</v>
      </c>
      <c r="B78" s="53" t="s">
        <v>232</v>
      </c>
      <c r="C78" s="53">
        <v>2019</v>
      </c>
      <c r="D78" s="171" t="s">
        <v>166</v>
      </c>
      <c r="E78" s="53" t="s">
        <v>343</v>
      </c>
      <c r="F78" s="53" t="s">
        <v>344</v>
      </c>
      <c r="G78" s="53" t="s">
        <v>36</v>
      </c>
      <c r="H78" s="53" t="s">
        <v>160</v>
      </c>
      <c r="I78" s="53" t="s">
        <v>159</v>
      </c>
      <c r="J78" s="53" t="s">
        <v>38</v>
      </c>
      <c r="K78" s="53" t="s">
        <v>161</v>
      </c>
      <c r="L78" s="53">
        <v>2</v>
      </c>
      <c r="N78" s="53">
        <v>1</v>
      </c>
      <c r="O78" s="53">
        <v>0.7</v>
      </c>
      <c r="P78" s="53">
        <v>0.2</v>
      </c>
      <c r="Q78" s="75">
        <f t="shared" si="0"/>
        <v>0.44999999999999996</v>
      </c>
      <c r="R78" s="53">
        <v>14.4</v>
      </c>
      <c r="S78" s="53">
        <v>124</v>
      </c>
      <c r="T78" s="16">
        <f t="shared" si="1"/>
        <v>30</v>
      </c>
      <c r="U78" s="53">
        <v>100</v>
      </c>
      <c r="V78" s="16">
        <f t="shared" si="2"/>
        <v>3000</v>
      </c>
      <c r="W78" s="53">
        <v>1</v>
      </c>
      <c r="X78" s="53" t="s">
        <v>46</v>
      </c>
      <c r="Y78" s="53" t="s">
        <v>88</v>
      </c>
      <c r="Z78" s="53" t="s">
        <v>78</v>
      </c>
      <c r="AA78" s="53" t="s">
        <v>102</v>
      </c>
      <c r="AB78" s="53" t="s">
        <v>236</v>
      </c>
    </row>
    <row r="79" spans="1:28" x14ac:dyDescent="0.15">
      <c r="A79" s="53" t="s">
        <v>34</v>
      </c>
      <c r="B79" s="53" t="s">
        <v>232</v>
      </c>
      <c r="C79" s="53">
        <v>2019</v>
      </c>
      <c r="D79" s="171" t="s">
        <v>166</v>
      </c>
      <c r="E79" s="53" t="s">
        <v>343</v>
      </c>
      <c r="F79" s="53" t="s">
        <v>344</v>
      </c>
      <c r="G79" s="53" t="s">
        <v>36</v>
      </c>
      <c r="H79" s="53" t="s">
        <v>160</v>
      </c>
      <c r="I79" s="53" t="s">
        <v>159</v>
      </c>
      <c r="J79" s="53" t="s">
        <v>38</v>
      </c>
      <c r="K79" s="53" t="s">
        <v>161</v>
      </c>
      <c r="L79" s="53">
        <v>3</v>
      </c>
      <c r="N79" s="53">
        <v>1</v>
      </c>
      <c r="O79" s="53">
        <v>0.7</v>
      </c>
      <c r="P79" s="53">
        <v>0.75</v>
      </c>
      <c r="Q79" s="75">
        <f t="shared" si="0"/>
        <v>0.72499999999999998</v>
      </c>
      <c r="R79" s="53">
        <v>14.5</v>
      </c>
      <c r="S79" s="53">
        <v>120</v>
      </c>
      <c r="T79" s="16">
        <f t="shared" si="1"/>
        <v>30</v>
      </c>
      <c r="U79" s="53">
        <v>100</v>
      </c>
      <c r="V79" s="16">
        <f t="shared" si="2"/>
        <v>3000</v>
      </c>
      <c r="W79" s="53">
        <v>1</v>
      </c>
      <c r="X79" s="53" t="s">
        <v>46</v>
      </c>
      <c r="Y79" s="53" t="s">
        <v>88</v>
      </c>
      <c r="Z79" s="53" t="s">
        <v>78</v>
      </c>
      <c r="AA79" s="53" t="s">
        <v>102</v>
      </c>
      <c r="AB79" s="53" t="s">
        <v>236</v>
      </c>
    </row>
    <row r="80" spans="1:28" x14ac:dyDescent="0.15">
      <c r="A80" s="53" t="s">
        <v>34</v>
      </c>
      <c r="B80" s="53" t="s">
        <v>232</v>
      </c>
      <c r="C80" s="53">
        <v>2019</v>
      </c>
      <c r="D80" s="171" t="s">
        <v>166</v>
      </c>
      <c r="E80" s="53" t="s">
        <v>339</v>
      </c>
      <c r="F80" s="53" t="s">
        <v>340</v>
      </c>
      <c r="G80" s="53" t="s">
        <v>36</v>
      </c>
      <c r="H80" s="53" t="s">
        <v>164</v>
      </c>
      <c r="I80" s="53" t="s">
        <v>159</v>
      </c>
      <c r="J80" s="53" t="s">
        <v>38</v>
      </c>
      <c r="K80" s="53" t="s">
        <v>161</v>
      </c>
      <c r="L80" s="53">
        <v>1</v>
      </c>
      <c r="N80" s="53">
        <v>1</v>
      </c>
      <c r="O80" s="53">
        <v>0.45</v>
      </c>
      <c r="P80" s="53">
        <v>0.45</v>
      </c>
      <c r="Q80" s="75">
        <f t="shared" si="0"/>
        <v>0.45</v>
      </c>
      <c r="R80" s="53">
        <v>15.3</v>
      </c>
      <c r="S80" s="53">
        <v>130</v>
      </c>
      <c r="T80" s="16">
        <f t="shared" si="1"/>
        <v>30</v>
      </c>
      <c r="U80" s="53">
        <v>84</v>
      </c>
      <c r="V80" s="16">
        <f t="shared" si="2"/>
        <v>2520</v>
      </c>
      <c r="W80" s="53">
        <v>3</v>
      </c>
      <c r="X80" s="53" t="s">
        <v>46</v>
      </c>
      <c r="Y80" s="53" t="s">
        <v>55</v>
      </c>
      <c r="Z80" s="53" t="s">
        <v>69</v>
      </c>
      <c r="AA80" s="53" t="s">
        <v>88</v>
      </c>
      <c r="AB80" s="53" t="s">
        <v>236</v>
      </c>
    </row>
    <row r="81" spans="1:28" x14ac:dyDescent="0.15">
      <c r="A81" s="53" t="s">
        <v>34</v>
      </c>
      <c r="B81" s="53" t="s">
        <v>232</v>
      </c>
      <c r="C81" s="53">
        <v>2019</v>
      </c>
      <c r="D81" s="171" t="s">
        <v>166</v>
      </c>
      <c r="E81" s="53" t="s">
        <v>339</v>
      </c>
      <c r="F81" s="53" t="s">
        <v>340</v>
      </c>
      <c r="G81" s="53" t="s">
        <v>36</v>
      </c>
      <c r="H81" s="53" t="s">
        <v>164</v>
      </c>
      <c r="I81" s="53" t="s">
        <v>159</v>
      </c>
      <c r="J81" s="53" t="s">
        <v>38</v>
      </c>
      <c r="K81" s="53" t="s">
        <v>161</v>
      </c>
      <c r="L81" s="53">
        <v>2</v>
      </c>
      <c r="N81" s="53">
        <v>1</v>
      </c>
      <c r="O81" s="53">
        <v>0.6</v>
      </c>
      <c r="P81" s="53">
        <v>0.55000000000000004</v>
      </c>
      <c r="Q81" s="75">
        <f t="shared" si="0"/>
        <v>0.57499999999999996</v>
      </c>
      <c r="R81" s="53">
        <v>14.9</v>
      </c>
      <c r="S81" s="53">
        <v>128</v>
      </c>
      <c r="T81" s="16">
        <f t="shared" si="1"/>
        <v>30</v>
      </c>
      <c r="U81" s="53">
        <v>84</v>
      </c>
      <c r="V81" s="16">
        <f t="shared" si="2"/>
        <v>2520</v>
      </c>
      <c r="W81" s="53">
        <v>3</v>
      </c>
      <c r="X81" s="53" t="s">
        <v>46</v>
      </c>
      <c r="Y81" s="53" t="s">
        <v>55</v>
      </c>
      <c r="Z81" s="53" t="s">
        <v>69</v>
      </c>
      <c r="AA81" s="53" t="s">
        <v>88</v>
      </c>
      <c r="AB81" s="53" t="s">
        <v>236</v>
      </c>
    </row>
    <row r="82" spans="1:28" x14ac:dyDescent="0.15">
      <c r="A82" s="53" t="s">
        <v>34</v>
      </c>
      <c r="B82" s="53" t="s">
        <v>232</v>
      </c>
      <c r="C82" s="53">
        <v>2019</v>
      </c>
      <c r="D82" s="171" t="s">
        <v>166</v>
      </c>
      <c r="E82" s="53" t="s">
        <v>339</v>
      </c>
      <c r="F82" s="53" t="s">
        <v>340</v>
      </c>
      <c r="G82" s="53" t="s">
        <v>36</v>
      </c>
      <c r="H82" s="53" t="s">
        <v>164</v>
      </c>
      <c r="I82" s="53" t="s">
        <v>159</v>
      </c>
      <c r="J82" s="53" t="s">
        <v>38</v>
      </c>
      <c r="K82" s="53" t="s">
        <v>161</v>
      </c>
      <c r="L82" s="53">
        <v>3</v>
      </c>
      <c r="N82" s="53">
        <v>1</v>
      </c>
      <c r="O82" s="53">
        <v>0.75</v>
      </c>
      <c r="P82" s="53">
        <v>0.8</v>
      </c>
      <c r="Q82" s="75">
        <f t="shared" si="0"/>
        <v>0.77500000000000002</v>
      </c>
      <c r="R82" s="53">
        <v>15</v>
      </c>
      <c r="S82" s="53">
        <v>136</v>
      </c>
      <c r="T82" s="16">
        <f t="shared" si="1"/>
        <v>30</v>
      </c>
      <c r="U82" s="53">
        <v>84</v>
      </c>
      <c r="V82" s="16">
        <f t="shared" si="2"/>
        <v>2520</v>
      </c>
      <c r="W82" s="53">
        <v>3</v>
      </c>
      <c r="X82" s="53" t="s">
        <v>46</v>
      </c>
      <c r="Y82" s="53" t="s">
        <v>55</v>
      </c>
      <c r="Z82" s="53" t="s">
        <v>69</v>
      </c>
      <c r="AA82" s="53" t="s">
        <v>88</v>
      </c>
      <c r="AB82" s="53" t="s">
        <v>236</v>
      </c>
    </row>
    <row r="83" spans="1:28" x14ac:dyDescent="0.15">
      <c r="A83" s="53" t="s">
        <v>34</v>
      </c>
      <c r="B83" s="53" t="s">
        <v>232</v>
      </c>
      <c r="C83" s="53">
        <v>2019</v>
      </c>
      <c r="D83" s="171" t="s">
        <v>166</v>
      </c>
      <c r="E83" s="53" t="s">
        <v>339</v>
      </c>
      <c r="F83" s="53" t="s">
        <v>340</v>
      </c>
      <c r="G83" s="53" t="s">
        <v>36</v>
      </c>
      <c r="H83" s="53" t="s">
        <v>164</v>
      </c>
      <c r="I83" s="53" t="s">
        <v>159</v>
      </c>
      <c r="J83" s="53" t="s">
        <v>38</v>
      </c>
      <c r="K83" s="53" t="s">
        <v>161</v>
      </c>
      <c r="L83" s="53">
        <v>1</v>
      </c>
      <c r="N83" s="53">
        <v>8</v>
      </c>
      <c r="O83" s="53">
        <v>0.2</v>
      </c>
      <c r="P83" s="53">
        <v>0.2</v>
      </c>
      <c r="Q83" s="75">
        <f t="shared" ref="Q83:Q103" si="5">IF(OR(O83="",P83=""),"",AVERAGE(O83,P83))</f>
        <v>0.2</v>
      </c>
      <c r="R83" s="53">
        <v>14.3</v>
      </c>
      <c r="S83" s="53">
        <v>94</v>
      </c>
      <c r="T83" s="16">
        <f t="shared" si="1"/>
        <v>36</v>
      </c>
      <c r="U83" s="53">
        <v>410</v>
      </c>
      <c r="V83" s="16">
        <f t="shared" si="2"/>
        <v>1845</v>
      </c>
      <c r="W83" s="53">
        <v>3</v>
      </c>
      <c r="X83" s="53" t="s">
        <v>46</v>
      </c>
      <c r="Y83" s="53" t="s">
        <v>55</v>
      </c>
      <c r="Z83" s="53" t="s">
        <v>69</v>
      </c>
      <c r="AA83" s="53" t="s">
        <v>88</v>
      </c>
      <c r="AB83" s="53" t="s">
        <v>236</v>
      </c>
    </row>
    <row r="84" spans="1:28" x14ac:dyDescent="0.15">
      <c r="A84" s="53" t="s">
        <v>34</v>
      </c>
      <c r="B84" s="53" t="s">
        <v>232</v>
      </c>
      <c r="C84" s="53">
        <v>2019</v>
      </c>
      <c r="D84" s="171" t="s">
        <v>166</v>
      </c>
      <c r="E84" s="53" t="s">
        <v>339</v>
      </c>
      <c r="F84" s="53" t="s">
        <v>340</v>
      </c>
      <c r="G84" s="53" t="s">
        <v>36</v>
      </c>
      <c r="H84" s="53" t="s">
        <v>164</v>
      </c>
      <c r="I84" s="53" t="s">
        <v>159</v>
      </c>
      <c r="J84" s="53" t="s">
        <v>38</v>
      </c>
      <c r="K84" s="53" t="s">
        <v>161</v>
      </c>
      <c r="L84" s="53">
        <v>2</v>
      </c>
      <c r="N84" s="53">
        <v>8</v>
      </c>
      <c r="O84" s="53">
        <v>0.45</v>
      </c>
      <c r="P84" s="53">
        <v>0.5</v>
      </c>
      <c r="Q84" s="75">
        <f t="shared" si="5"/>
        <v>0.47499999999999998</v>
      </c>
      <c r="R84" s="53">
        <v>13.7</v>
      </c>
      <c r="S84" s="53">
        <v>84</v>
      </c>
      <c r="T84" s="16">
        <f t="shared" si="1"/>
        <v>36</v>
      </c>
      <c r="U84" s="53">
        <v>410</v>
      </c>
      <c r="V84" s="16">
        <f t="shared" si="2"/>
        <v>1845</v>
      </c>
      <c r="W84" s="53">
        <v>3</v>
      </c>
      <c r="X84" s="53" t="s">
        <v>46</v>
      </c>
      <c r="Y84" s="53" t="s">
        <v>55</v>
      </c>
      <c r="Z84" s="53" t="s">
        <v>69</v>
      </c>
      <c r="AA84" s="53" t="s">
        <v>88</v>
      </c>
      <c r="AB84" s="53" t="s">
        <v>236</v>
      </c>
    </row>
    <row r="85" spans="1:28" x14ac:dyDescent="0.15">
      <c r="A85" s="53" t="s">
        <v>34</v>
      </c>
      <c r="B85" s="53" t="s">
        <v>232</v>
      </c>
      <c r="C85" s="53">
        <v>2019</v>
      </c>
      <c r="D85" s="171" t="s">
        <v>166</v>
      </c>
      <c r="E85" s="53" t="s">
        <v>339</v>
      </c>
      <c r="F85" s="53" t="s">
        <v>340</v>
      </c>
      <c r="G85" s="53" t="s">
        <v>36</v>
      </c>
      <c r="H85" s="53" t="s">
        <v>164</v>
      </c>
      <c r="I85" s="53" t="s">
        <v>159</v>
      </c>
      <c r="J85" s="53" t="s">
        <v>38</v>
      </c>
      <c r="K85" s="53" t="s">
        <v>161</v>
      </c>
      <c r="L85" s="53">
        <v>3</v>
      </c>
      <c r="N85" s="53">
        <v>8</v>
      </c>
      <c r="O85" s="53">
        <v>0.2</v>
      </c>
      <c r="P85" s="53">
        <v>0.2</v>
      </c>
      <c r="Q85" s="16">
        <f t="shared" si="5"/>
        <v>0.2</v>
      </c>
      <c r="R85" s="53">
        <v>13.7</v>
      </c>
      <c r="S85" s="53">
        <v>93</v>
      </c>
      <c r="T85" s="16">
        <f t="shared" si="1"/>
        <v>36</v>
      </c>
      <c r="U85" s="53">
        <v>410</v>
      </c>
      <c r="V85" s="16">
        <f t="shared" si="2"/>
        <v>1845</v>
      </c>
      <c r="W85" s="53">
        <v>3</v>
      </c>
      <c r="X85" s="53" t="s">
        <v>46</v>
      </c>
      <c r="Y85" s="53" t="s">
        <v>55</v>
      </c>
      <c r="Z85" s="53" t="s">
        <v>69</v>
      </c>
      <c r="AA85" s="53" t="s">
        <v>88</v>
      </c>
      <c r="AB85" s="53" t="s">
        <v>236</v>
      </c>
    </row>
    <row r="86" spans="1:28" x14ac:dyDescent="0.15">
      <c r="A86" s="53" t="s">
        <v>34</v>
      </c>
      <c r="B86" s="53" t="s">
        <v>232</v>
      </c>
      <c r="C86" s="53">
        <v>2019</v>
      </c>
      <c r="D86" s="171" t="s">
        <v>166</v>
      </c>
      <c r="E86" s="53" t="s">
        <v>339</v>
      </c>
      <c r="F86" s="53" t="s">
        <v>340</v>
      </c>
      <c r="G86" s="53" t="s">
        <v>36</v>
      </c>
      <c r="H86" s="53" t="s">
        <v>160</v>
      </c>
      <c r="I86" s="53" t="s">
        <v>159</v>
      </c>
      <c r="J86" s="53" t="s">
        <v>38</v>
      </c>
      <c r="K86" s="53" t="s">
        <v>161</v>
      </c>
      <c r="L86" s="53">
        <v>1</v>
      </c>
      <c r="N86" s="53">
        <v>1</v>
      </c>
      <c r="O86" s="53">
        <v>0.55000000000000004</v>
      </c>
      <c r="P86" s="53">
        <v>0.2</v>
      </c>
      <c r="Q86" s="16">
        <f t="shared" si="5"/>
        <v>0.375</v>
      </c>
      <c r="R86" s="53">
        <v>15.2</v>
      </c>
      <c r="S86" s="53">
        <v>102</v>
      </c>
      <c r="T86" s="16">
        <f t="shared" si="1"/>
        <v>33</v>
      </c>
      <c r="U86" s="53">
        <v>84</v>
      </c>
      <c r="V86" s="16">
        <f t="shared" si="2"/>
        <v>2772</v>
      </c>
      <c r="W86" s="53">
        <v>6</v>
      </c>
      <c r="X86" s="53" t="s">
        <v>46</v>
      </c>
      <c r="Y86" s="53" t="s">
        <v>55</v>
      </c>
      <c r="Z86" s="53" t="s">
        <v>69</v>
      </c>
      <c r="AA86" s="53" t="s">
        <v>88</v>
      </c>
      <c r="AB86" s="53" t="s">
        <v>236</v>
      </c>
    </row>
    <row r="87" spans="1:28" x14ac:dyDescent="0.15">
      <c r="A87" s="53" t="s">
        <v>34</v>
      </c>
      <c r="B87" s="53" t="s">
        <v>232</v>
      </c>
      <c r="C87" s="53">
        <v>2019</v>
      </c>
      <c r="D87" s="171" t="s">
        <v>166</v>
      </c>
      <c r="E87" s="53" t="s">
        <v>339</v>
      </c>
      <c r="F87" s="53" t="s">
        <v>340</v>
      </c>
      <c r="G87" s="53" t="s">
        <v>36</v>
      </c>
      <c r="H87" s="53" t="s">
        <v>160</v>
      </c>
      <c r="I87" s="53" t="s">
        <v>159</v>
      </c>
      <c r="J87" s="53" t="s">
        <v>38</v>
      </c>
      <c r="K87" s="53" t="s">
        <v>161</v>
      </c>
      <c r="L87" s="53">
        <v>2</v>
      </c>
      <c r="N87" s="53">
        <v>1</v>
      </c>
      <c r="O87" s="53">
        <v>0.2</v>
      </c>
      <c r="P87" s="53">
        <v>0.2</v>
      </c>
      <c r="Q87" s="16">
        <f t="shared" si="5"/>
        <v>0.2</v>
      </c>
      <c r="R87" s="53">
        <v>16.399999999999999</v>
      </c>
      <c r="S87" s="53">
        <v>104</v>
      </c>
      <c r="T87" s="16">
        <f t="shared" si="1"/>
        <v>33</v>
      </c>
      <c r="U87" s="53">
        <v>84</v>
      </c>
      <c r="V87" s="16">
        <f t="shared" si="2"/>
        <v>2772</v>
      </c>
      <c r="W87" s="53">
        <v>6</v>
      </c>
      <c r="X87" s="53" t="s">
        <v>46</v>
      </c>
      <c r="Y87" s="53" t="s">
        <v>55</v>
      </c>
      <c r="Z87" s="53" t="s">
        <v>69</v>
      </c>
      <c r="AA87" s="53" t="s">
        <v>88</v>
      </c>
      <c r="AB87" s="53" t="s">
        <v>236</v>
      </c>
    </row>
    <row r="88" spans="1:28" x14ac:dyDescent="0.15">
      <c r="A88" s="53" t="s">
        <v>34</v>
      </c>
      <c r="B88" s="53" t="s">
        <v>232</v>
      </c>
      <c r="C88" s="53">
        <v>2019</v>
      </c>
      <c r="D88" s="171" t="s">
        <v>166</v>
      </c>
      <c r="E88" s="53" t="s">
        <v>339</v>
      </c>
      <c r="F88" s="53" t="s">
        <v>340</v>
      </c>
      <c r="G88" s="53" t="s">
        <v>36</v>
      </c>
      <c r="H88" s="53" t="s">
        <v>160</v>
      </c>
      <c r="I88" s="53" t="s">
        <v>159</v>
      </c>
      <c r="J88" s="53" t="s">
        <v>38</v>
      </c>
      <c r="K88" s="53" t="s">
        <v>161</v>
      </c>
      <c r="L88" s="53">
        <v>3</v>
      </c>
      <c r="N88" s="53">
        <v>1</v>
      </c>
      <c r="O88" s="53">
        <v>0.75</v>
      </c>
      <c r="P88" s="53">
        <v>0.55000000000000004</v>
      </c>
      <c r="Q88" s="16">
        <f t="shared" si="5"/>
        <v>0.65</v>
      </c>
      <c r="R88" s="53">
        <v>14.3</v>
      </c>
      <c r="S88" s="53">
        <v>107</v>
      </c>
      <c r="T88" s="16">
        <f t="shared" si="1"/>
        <v>33</v>
      </c>
      <c r="U88" s="53">
        <v>84</v>
      </c>
      <c r="V88" s="16">
        <f t="shared" si="2"/>
        <v>2772</v>
      </c>
      <c r="W88" s="53">
        <v>6</v>
      </c>
      <c r="X88" s="53" t="s">
        <v>46</v>
      </c>
      <c r="Y88" s="53" t="s">
        <v>55</v>
      </c>
      <c r="Z88" s="53" t="s">
        <v>69</v>
      </c>
      <c r="AA88" s="53" t="s">
        <v>88</v>
      </c>
      <c r="AB88" s="53" t="s">
        <v>236</v>
      </c>
    </row>
    <row r="89" spans="1:28" x14ac:dyDescent="0.15">
      <c r="A89" s="53" t="s">
        <v>34</v>
      </c>
      <c r="B89" s="53" t="s">
        <v>232</v>
      </c>
      <c r="C89" s="53">
        <v>2019</v>
      </c>
      <c r="D89" s="171" t="s">
        <v>166</v>
      </c>
      <c r="E89" s="53" t="s">
        <v>339</v>
      </c>
      <c r="F89" s="53" t="s">
        <v>340</v>
      </c>
      <c r="G89" s="53" t="s">
        <v>36</v>
      </c>
      <c r="H89" s="53" t="s">
        <v>160</v>
      </c>
      <c r="I89" s="53" t="s">
        <v>159</v>
      </c>
      <c r="J89" s="53" t="s">
        <v>38</v>
      </c>
      <c r="K89" s="53" t="s">
        <v>161</v>
      </c>
      <c r="L89" s="53">
        <v>1</v>
      </c>
      <c r="N89" s="53">
        <v>8</v>
      </c>
      <c r="O89" s="53">
        <v>0.7</v>
      </c>
      <c r="P89" s="53">
        <v>0.55000000000000004</v>
      </c>
      <c r="Q89" s="16">
        <f t="shared" si="5"/>
        <v>0.625</v>
      </c>
      <c r="R89" s="53">
        <v>14.8</v>
      </c>
      <c r="S89" s="53">
        <v>106</v>
      </c>
      <c r="T89" s="16">
        <f t="shared" si="1"/>
        <v>33</v>
      </c>
      <c r="U89" s="53">
        <v>626</v>
      </c>
      <c r="V89" s="16">
        <f t="shared" si="2"/>
        <v>2582.25</v>
      </c>
      <c r="W89" s="53">
        <v>6</v>
      </c>
      <c r="X89" s="53" t="s">
        <v>46</v>
      </c>
      <c r="Y89" s="53" t="s">
        <v>55</v>
      </c>
      <c r="Z89" s="53" t="s">
        <v>69</v>
      </c>
      <c r="AA89" s="53" t="s">
        <v>88</v>
      </c>
      <c r="AB89" s="53" t="s">
        <v>236</v>
      </c>
    </row>
    <row r="90" spans="1:28" x14ac:dyDescent="0.15">
      <c r="A90" s="53" t="s">
        <v>34</v>
      </c>
      <c r="B90" s="53" t="s">
        <v>232</v>
      </c>
      <c r="C90" s="53">
        <v>2019</v>
      </c>
      <c r="D90" s="171" t="s">
        <v>166</v>
      </c>
      <c r="E90" s="53" t="s">
        <v>339</v>
      </c>
      <c r="F90" s="53" t="s">
        <v>340</v>
      </c>
      <c r="G90" s="53" t="s">
        <v>36</v>
      </c>
      <c r="H90" s="53" t="s">
        <v>160</v>
      </c>
      <c r="I90" s="53" t="s">
        <v>159</v>
      </c>
      <c r="J90" s="53" t="s">
        <v>38</v>
      </c>
      <c r="K90" s="53" t="s">
        <v>161</v>
      </c>
      <c r="L90" s="53">
        <v>2</v>
      </c>
      <c r="N90" s="53">
        <v>8</v>
      </c>
      <c r="O90" s="53">
        <v>0.7</v>
      </c>
      <c r="P90" s="53">
        <v>0.55000000000000004</v>
      </c>
      <c r="Q90" s="16">
        <f t="shared" si="5"/>
        <v>0.625</v>
      </c>
      <c r="R90" s="53">
        <v>14.6</v>
      </c>
      <c r="S90" s="53">
        <v>104</v>
      </c>
      <c r="T90" s="16">
        <f t="shared" si="1"/>
        <v>33</v>
      </c>
      <c r="U90" s="53">
        <v>626</v>
      </c>
      <c r="V90" s="16">
        <f t="shared" si="2"/>
        <v>2582.25</v>
      </c>
      <c r="W90" s="53">
        <v>6</v>
      </c>
      <c r="X90" s="53" t="s">
        <v>46</v>
      </c>
      <c r="Y90" s="53" t="s">
        <v>55</v>
      </c>
      <c r="Z90" s="53" t="s">
        <v>69</v>
      </c>
      <c r="AA90" s="53" t="s">
        <v>88</v>
      </c>
      <c r="AB90" s="53" t="s">
        <v>236</v>
      </c>
    </row>
    <row r="91" spans="1:28" x14ac:dyDescent="0.15">
      <c r="A91" s="53" t="s">
        <v>34</v>
      </c>
      <c r="B91" s="53" t="s">
        <v>232</v>
      </c>
      <c r="C91" s="53">
        <v>2019</v>
      </c>
      <c r="D91" s="171" t="s">
        <v>166</v>
      </c>
      <c r="E91" s="53" t="s">
        <v>339</v>
      </c>
      <c r="F91" s="53" t="s">
        <v>340</v>
      </c>
      <c r="G91" s="53" t="s">
        <v>36</v>
      </c>
      <c r="H91" s="53" t="s">
        <v>160</v>
      </c>
      <c r="I91" s="53" t="s">
        <v>159</v>
      </c>
      <c r="J91" s="53" t="s">
        <v>38</v>
      </c>
      <c r="K91" s="53" t="s">
        <v>161</v>
      </c>
      <c r="L91" s="53">
        <v>3</v>
      </c>
      <c r="N91" s="53">
        <v>8</v>
      </c>
      <c r="O91" s="53">
        <v>0.5</v>
      </c>
      <c r="P91" s="53">
        <v>0.5</v>
      </c>
      <c r="Q91" s="16">
        <f t="shared" si="5"/>
        <v>0.5</v>
      </c>
      <c r="R91" s="53">
        <v>13.9</v>
      </c>
      <c r="S91" s="53">
        <v>95</v>
      </c>
      <c r="T91" s="16">
        <f t="shared" si="1"/>
        <v>36</v>
      </c>
      <c r="U91" s="53">
        <v>626</v>
      </c>
      <c r="V91" s="16">
        <f t="shared" si="2"/>
        <v>2817</v>
      </c>
      <c r="W91" s="53">
        <v>6</v>
      </c>
      <c r="X91" s="53" t="s">
        <v>46</v>
      </c>
      <c r="Y91" s="53" t="s">
        <v>55</v>
      </c>
      <c r="Z91" s="53" t="s">
        <v>69</v>
      </c>
      <c r="AA91" s="53" t="s">
        <v>88</v>
      </c>
      <c r="AB91" s="53" t="s">
        <v>236</v>
      </c>
    </row>
    <row r="92" spans="1:28" x14ac:dyDescent="0.15">
      <c r="A92" s="53" t="s">
        <v>34</v>
      </c>
      <c r="B92" s="53" t="s">
        <v>232</v>
      </c>
      <c r="C92" s="53">
        <v>2019</v>
      </c>
      <c r="D92" s="171" t="s">
        <v>166</v>
      </c>
      <c r="E92" s="53" t="s">
        <v>210</v>
      </c>
      <c r="F92" s="53" t="s">
        <v>345</v>
      </c>
      <c r="G92" s="53" t="s">
        <v>36</v>
      </c>
      <c r="H92" s="53" t="s">
        <v>164</v>
      </c>
      <c r="I92" s="53" t="s">
        <v>159</v>
      </c>
      <c r="J92" s="53" t="s">
        <v>38</v>
      </c>
      <c r="K92" s="53" t="s">
        <v>161</v>
      </c>
      <c r="L92" s="53">
        <v>1</v>
      </c>
      <c r="N92" s="53">
        <v>1</v>
      </c>
      <c r="O92" s="53">
        <v>0.25</v>
      </c>
      <c r="P92" s="53">
        <v>0.25</v>
      </c>
      <c r="Q92" s="16">
        <f t="shared" si="5"/>
        <v>0.25</v>
      </c>
      <c r="R92" s="53">
        <v>14.5</v>
      </c>
      <c r="S92" s="53">
        <v>114</v>
      </c>
      <c r="T92" s="16">
        <f t="shared" si="1"/>
        <v>30</v>
      </c>
      <c r="U92" s="53">
        <v>104</v>
      </c>
      <c r="V92" s="16">
        <f t="shared" si="2"/>
        <v>3120</v>
      </c>
      <c r="W92" s="53">
        <v>3</v>
      </c>
      <c r="X92" s="53" t="s">
        <v>46</v>
      </c>
      <c r="Y92" s="53" t="s">
        <v>88</v>
      </c>
      <c r="Z92" s="53" t="s">
        <v>84</v>
      </c>
      <c r="AA92" s="53" t="s">
        <v>102</v>
      </c>
      <c r="AB92" s="53" t="s">
        <v>236</v>
      </c>
    </row>
    <row r="93" spans="1:28" x14ac:dyDescent="0.15">
      <c r="A93" s="53" t="s">
        <v>34</v>
      </c>
      <c r="B93" s="53" t="s">
        <v>232</v>
      </c>
      <c r="C93" s="53">
        <v>2019</v>
      </c>
      <c r="D93" s="171" t="s">
        <v>166</v>
      </c>
      <c r="E93" s="53" t="s">
        <v>210</v>
      </c>
      <c r="F93" s="53" t="s">
        <v>345</v>
      </c>
      <c r="G93" s="53" t="s">
        <v>36</v>
      </c>
      <c r="H93" s="53" t="s">
        <v>164</v>
      </c>
      <c r="I93" s="53" t="s">
        <v>159</v>
      </c>
      <c r="J93" s="53" t="s">
        <v>38</v>
      </c>
      <c r="K93" s="53" t="s">
        <v>161</v>
      </c>
      <c r="L93" s="53">
        <v>2</v>
      </c>
      <c r="N93" s="53">
        <v>1</v>
      </c>
      <c r="O93" s="53">
        <v>0.25</v>
      </c>
      <c r="P93" s="53">
        <v>0.3</v>
      </c>
      <c r="Q93" s="16">
        <f t="shared" si="5"/>
        <v>0.27500000000000002</v>
      </c>
      <c r="R93" s="53">
        <v>13.9</v>
      </c>
      <c r="S93" s="53">
        <v>114</v>
      </c>
      <c r="T93" s="16">
        <f t="shared" si="1"/>
        <v>30</v>
      </c>
      <c r="U93" s="53">
        <v>104</v>
      </c>
      <c r="V93" s="16">
        <f t="shared" si="2"/>
        <v>3120</v>
      </c>
      <c r="W93" s="53">
        <v>3</v>
      </c>
      <c r="X93" s="53" t="s">
        <v>46</v>
      </c>
      <c r="Y93" s="53" t="s">
        <v>88</v>
      </c>
      <c r="Z93" s="53" t="s">
        <v>84</v>
      </c>
      <c r="AA93" s="53" t="s">
        <v>102</v>
      </c>
      <c r="AB93" s="53" t="s">
        <v>236</v>
      </c>
    </row>
    <row r="94" spans="1:28" x14ac:dyDescent="0.15">
      <c r="A94" s="53" t="s">
        <v>34</v>
      </c>
      <c r="B94" s="53" t="s">
        <v>232</v>
      </c>
      <c r="C94" s="53">
        <v>2019</v>
      </c>
      <c r="D94" s="171" t="s">
        <v>166</v>
      </c>
      <c r="E94" s="53" t="s">
        <v>210</v>
      </c>
      <c r="F94" s="53" t="s">
        <v>345</v>
      </c>
      <c r="G94" s="53" t="s">
        <v>36</v>
      </c>
      <c r="H94" s="53" t="s">
        <v>164</v>
      </c>
      <c r="I94" s="53" t="s">
        <v>159</v>
      </c>
      <c r="J94" s="53" t="s">
        <v>38</v>
      </c>
      <c r="K94" s="53" t="s">
        <v>161</v>
      </c>
      <c r="L94" s="53">
        <v>3</v>
      </c>
      <c r="N94" s="53">
        <v>1</v>
      </c>
      <c r="O94" s="53">
        <v>0.2</v>
      </c>
      <c r="P94" s="53">
        <v>0.2</v>
      </c>
      <c r="Q94" s="16">
        <f t="shared" si="5"/>
        <v>0.2</v>
      </c>
      <c r="R94" s="53">
        <v>14.2</v>
      </c>
      <c r="S94" s="53">
        <v>108</v>
      </c>
      <c r="T94" s="16">
        <f t="shared" si="1"/>
        <v>33</v>
      </c>
      <c r="U94" s="53">
        <v>104</v>
      </c>
      <c r="V94" s="16">
        <f t="shared" si="2"/>
        <v>3432</v>
      </c>
      <c r="W94" s="53">
        <v>3</v>
      </c>
      <c r="X94" s="53" t="s">
        <v>46</v>
      </c>
      <c r="Y94" s="53" t="s">
        <v>88</v>
      </c>
      <c r="Z94" s="53" t="s">
        <v>84</v>
      </c>
      <c r="AA94" s="53" t="s">
        <v>102</v>
      </c>
      <c r="AB94" s="53" t="s">
        <v>236</v>
      </c>
    </row>
    <row r="95" spans="1:28" x14ac:dyDescent="0.15">
      <c r="A95" s="53" t="s">
        <v>34</v>
      </c>
      <c r="B95" s="53" t="s">
        <v>232</v>
      </c>
      <c r="C95" s="53">
        <v>2019</v>
      </c>
      <c r="D95" s="171" t="s">
        <v>166</v>
      </c>
      <c r="E95" s="53" t="s">
        <v>210</v>
      </c>
      <c r="F95" s="53" t="s">
        <v>345</v>
      </c>
      <c r="G95" s="53" t="s">
        <v>36</v>
      </c>
      <c r="H95" s="53" t="s">
        <v>164</v>
      </c>
      <c r="I95" s="53" t="s">
        <v>159</v>
      </c>
      <c r="J95" s="53" t="s">
        <v>38</v>
      </c>
      <c r="K95" s="53" t="s">
        <v>161</v>
      </c>
      <c r="L95" s="53">
        <v>1</v>
      </c>
      <c r="N95" s="53">
        <v>4</v>
      </c>
      <c r="O95" s="53">
        <v>0.2</v>
      </c>
      <c r="P95" s="53">
        <v>0.2</v>
      </c>
      <c r="Q95" s="16">
        <f t="shared" si="5"/>
        <v>0.2</v>
      </c>
      <c r="R95" s="53">
        <v>14.5</v>
      </c>
      <c r="S95" s="53">
        <v>70</v>
      </c>
      <c r="T95" s="16">
        <f t="shared" si="1"/>
        <v>50</v>
      </c>
      <c r="U95" s="53">
        <v>407</v>
      </c>
      <c r="V95" s="16">
        <f t="shared" si="2"/>
        <v>5087.5</v>
      </c>
      <c r="W95" s="53">
        <v>3</v>
      </c>
      <c r="X95" s="53" t="s">
        <v>46</v>
      </c>
      <c r="Y95" s="53" t="s">
        <v>88</v>
      </c>
      <c r="Z95" s="53" t="s">
        <v>84</v>
      </c>
      <c r="AA95" s="53" t="s">
        <v>102</v>
      </c>
      <c r="AB95" s="53" t="s">
        <v>236</v>
      </c>
    </row>
    <row r="96" spans="1:28" x14ac:dyDescent="0.15">
      <c r="A96" s="53" t="s">
        <v>34</v>
      </c>
      <c r="B96" s="53" t="s">
        <v>232</v>
      </c>
      <c r="C96" s="53">
        <v>2019</v>
      </c>
      <c r="D96" s="171" t="s">
        <v>166</v>
      </c>
      <c r="E96" s="53" t="s">
        <v>210</v>
      </c>
      <c r="F96" s="53" t="s">
        <v>345</v>
      </c>
      <c r="G96" s="53" t="s">
        <v>36</v>
      </c>
      <c r="H96" s="53" t="s">
        <v>164</v>
      </c>
      <c r="I96" s="53" t="s">
        <v>159</v>
      </c>
      <c r="J96" s="53" t="s">
        <v>38</v>
      </c>
      <c r="K96" s="53" t="s">
        <v>161</v>
      </c>
      <c r="L96" s="53">
        <v>2</v>
      </c>
      <c r="N96" s="53">
        <v>4</v>
      </c>
      <c r="O96" s="53">
        <v>0.2</v>
      </c>
      <c r="P96" s="53">
        <v>0.2</v>
      </c>
      <c r="Q96" s="16">
        <f t="shared" si="5"/>
        <v>0.2</v>
      </c>
      <c r="R96" s="53">
        <v>14.1</v>
      </c>
      <c r="S96" s="53">
        <v>79</v>
      </c>
      <c r="T96" s="16">
        <f t="shared" si="1"/>
        <v>39</v>
      </c>
      <c r="U96" s="53">
        <v>407</v>
      </c>
      <c r="V96" s="16">
        <f t="shared" si="2"/>
        <v>3968.25</v>
      </c>
      <c r="W96" s="53">
        <v>3</v>
      </c>
      <c r="X96" s="53" t="s">
        <v>46</v>
      </c>
      <c r="Y96" s="53" t="s">
        <v>88</v>
      </c>
      <c r="Z96" s="53" t="s">
        <v>84</v>
      </c>
      <c r="AA96" s="53" t="s">
        <v>102</v>
      </c>
      <c r="AB96" s="53" t="s">
        <v>236</v>
      </c>
    </row>
    <row r="97" spans="1:28" x14ac:dyDescent="0.15">
      <c r="A97" s="53" t="s">
        <v>34</v>
      </c>
      <c r="B97" s="53" t="s">
        <v>232</v>
      </c>
      <c r="C97" s="53">
        <v>2019</v>
      </c>
      <c r="D97" s="171" t="s">
        <v>166</v>
      </c>
      <c r="E97" s="53" t="s">
        <v>210</v>
      </c>
      <c r="F97" s="53" t="s">
        <v>345</v>
      </c>
      <c r="G97" s="53" t="s">
        <v>36</v>
      </c>
      <c r="H97" s="53" t="s">
        <v>164</v>
      </c>
      <c r="I97" s="53" t="s">
        <v>159</v>
      </c>
      <c r="J97" s="53" t="s">
        <v>38</v>
      </c>
      <c r="K97" s="53" t="s">
        <v>161</v>
      </c>
      <c r="L97" s="53">
        <v>3</v>
      </c>
      <c r="N97" s="53">
        <v>4</v>
      </c>
      <c r="O97" s="53">
        <v>0.3</v>
      </c>
      <c r="P97" s="53">
        <v>0.3</v>
      </c>
      <c r="Q97" s="16">
        <f t="shared" si="5"/>
        <v>0.3</v>
      </c>
      <c r="R97" s="53">
        <v>14.6</v>
      </c>
      <c r="S97" s="53">
        <v>77</v>
      </c>
      <c r="T97" s="16">
        <f t="shared" si="1"/>
        <v>39</v>
      </c>
      <c r="U97" s="53">
        <v>407</v>
      </c>
      <c r="V97" s="16">
        <f t="shared" si="2"/>
        <v>3968.25</v>
      </c>
      <c r="W97" s="53">
        <v>3</v>
      </c>
      <c r="X97" s="53" t="s">
        <v>46</v>
      </c>
      <c r="Y97" s="53" t="s">
        <v>88</v>
      </c>
      <c r="Z97" s="53" t="s">
        <v>84</v>
      </c>
      <c r="AA97" s="53" t="s">
        <v>102</v>
      </c>
      <c r="AB97" s="53" t="s">
        <v>236</v>
      </c>
    </row>
    <row r="98" spans="1:28" x14ac:dyDescent="0.15">
      <c r="A98" s="53" t="s">
        <v>34</v>
      </c>
      <c r="B98" s="53" t="s">
        <v>232</v>
      </c>
      <c r="C98" s="53">
        <v>2019</v>
      </c>
      <c r="D98" s="171" t="s">
        <v>166</v>
      </c>
      <c r="E98" s="53" t="s">
        <v>210</v>
      </c>
      <c r="F98" s="53" t="s">
        <v>345</v>
      </c>
      <c r="G98" s="53" t="s">
        <v>36</v>
      </c>
      <c r="H98" s="53" t="s">
        <v>160</v>
      </c>
      <c r="I98" s="53" t="s">
        <v>159</v>
      </c>
      <c r="J98" s="53" t="s">
        <v>38</v>
      </c>
      <c r="K98" s="53" t="s">
        <v>161</v>
      </c>
      <c r="L98" s="53">
        <v>1</v>
      </c>
      <c r="N98" s="53">
        <v>1</v>
      </c>
      <c r="O98" s="53">
        <v>0.2</v>
      </c>
      <c r="P98" s="53">
        <v>0.2</v>
      </c>
      <c r="Q98" s="16">
        <f t="shared" si="5"/>
        <v>0.2</v>
      </c>
      <c r="R98" s="53">
        <v>152</v>
      </c>
      <c r="S98" s="53">
        <v>118</v>
      </c>
      <c r="T98" s="16">
        <f t="shared" si="1"/>
        <v>30</v>
      </c>
      <c r="U98" s="53">
        <v>104</v>
      </c>
      <c r="V98" s="16">
        <f t="shared" si="2"/>
        <v>3120</v>
      </c>
      <c r="W98" s="53">
        <v>4</v>
      </c>
      <c r="X98" s="53" t="s">
        <v>46</v>
      </c>
      <c r="Y98" s="53" t="s">
        <v>88</v>
      </c>
      <c r="Z98" s="53" t="s">
        <v>84</v>
      </c>
      <c r="AA98" s="53" t="s">
        <v>102</v>
      </c>
      <c r="AB98" s="53" t="s">
        <v>236</v>
      </c>
    </row>
    <row r="99" spans="1:28" x14ac:dyDescent="0.15">
      <c r="A99" s="53" t="s">
        <v>34</v>
      </c>
      <c r="B99" s="53" t="s">
        <v>232</v>
      </c>
      <c r="C99" s="53">
        <v>2019</v>
      </c>
      <c r="D99" s="171" t="s">
        <v>166</v>
      </c>
      <c r="E99" s="53" t="s">
        <v>210</v>
      </c>
      <c r="F99" s="53" t="s">
        <v>345</v>
      </c>
      <c r="G99" s="53" t="s">
        <v>36</v>
      </c>
      <c r="H99" s="53" t="s">
        <v>160</v>
      </c>
      <c r="I99" s="53" t="s">
        <v>159</v>
      </c>
      <c r="J99" s="53" t="s">
        <v>38</v>
      </c>
      <c r="K99" s="53" t="s">
        <v>161</v>
      </c>
      <c r="L99" s="53">
        <v>2</v>
      </c>
      <c r="N99" s="53">
        <v>1</v>
      </c>
      <c r="O99" s="53">
        <v>0.55000000000000004</v>
      </c>
      <c r="P99" s="53">
        <v>0.55000000000000004</v>
      </c>
      <c r="Q99" s="16">
        <f t="shared" si="5"/>
        <v>0.55000000000000004</v>
      </c>
      <c r="R99" s="53">
        <v>15.4</v>
      </c>
      <c r="S99" s="53">
        <v>114</v>
      </c>
      <c r="T99" s="16">
        <f t="shared" si="1"/>
        <v>30</v>
      </c>
      <c r="U99" s="53">
        <v>104</v>
      </c>
      <c r="V99" s="16">
        <f t="shared" si="2"/>
        <v>3120</v>
      </c>
      <c r="W99" s="53">
        <v>4</v>
      </c>
      <c r="X99" s="53" t="s">
        <v>46</v>
      </c>
      <c r="Y99" s="53" t="s">
        <v>88</v>
      </c>
      <c r="Z99" s="53" t="s">
        <v>84</v>
      </c>
      <c r="AA99" s="53" t="s">
        <v>102</v>
      </c>
      <c r="AB99" s="53" t="s">
        <v>236</v>
      </c>
    </row>
    <row r="100" spans="1:28" x14ac:dyDescent="0.15">
      <c r="A100" s="53" t="s">
        <v>34</v>
      </c>
      <c r="B100" s="53" t="s">
        <v>232</v>
      </c>
      <c r="C100" s="53">
        <v>2019</v>
      </c>
      <c r="D100" s="171" t="s">
        <v>166</v>
      </c>
      <c r="E100" s="53" t="s">
        <v>210</v>
      </c>
      <c r="F100" s="53" t="s">
        <v>345</v>
      </c>
      <c r="G100" s="53" t="s">
        <v>36</v>
      </c>
      <c r="H100" s="53" t="s">
        <v>160</v>
      </c>
      <c r="I100" s="53" t="s">
        <v>159</v>
      </c>
      <c r="J100" s="53" t="s">
        <v>38</v>
      </c>
      <c r="K100" s="53" t="s">
        <v>161</v>
      </c>
      <c r="L100" s="53">
        <v>3</v>
      </c>
      <c r="N100" s="53">
        <v>1</v>
      </c>
      <c r="O100" s="53">
        <v>0.2</v>
      </c>
      <c r="P100" s="53">
        <v>0.45</v>
      </c>
      <c r="Q100" s="16">
        <f t="shared" si="5"/>
        <v>0.32500000000000001</v>
      </c>
      <c r="R100" s="53">
        <v>15.8</v>
      </c>
      <c r="S100" s="53">
        <v>118</v>
      </c>
      <c r="T100" s="16">
        <f t="shared" si="1"/>
        <v>30</v>
      </c>
      <c r="U100" s="53">
        <v>104</v>
      </c>
      <c r="V100" s="16">
        <f t="shared" si="2"/>
        <v>3120</v>
      </c>
      <c r="W100" s="53">
        <v>4</v>
      </c>
      <c r="X100" s="53" t="s">
        <v>46</v>
      </c>
      <c r="Y100" s="53" t="s">
        <v>88</v>
      </c>
      <c r="Z100" s="53" t="s">
        <v>84</v>
      </c>
      <c r="AA100" s="53" t="s">
        <v>102</v>
      </c>
      <c r="AB100" s="53" t="s">
        <v>236</v>
      </c>
    </row>
    <row r="101" spans="1:28" x14ac:dyDescent="0.15">
      <c r="A101" s="53" t="s">
        <v>34</v>
      </c>
      <c r="B101" s="53" t="s">
        <v>232</v>
      </c>
      <c r="C101" s="53">
        <v>2019</v>
      </c>
      <c r="D101" s="171" t="s">
        <v>166</v>
      </c>
      <c r="E101" s="53" t="s">
        <v>210</v>
      </c>
      <c r="F101" s="53" t="s">
        <v>345</v>
      </c>
      <c r="G101" s="53" t="s">
        <v>36</v>
      </c>
      <c r="H101" s="53" t="s">
        <v>160</v>
      </c>
      <c r="I101" s="53" t="s">
        <v>159</v>
      </c>
      <c r="J101" s="53" t="s">
        <v>38</v>
      </c>
      <c r="K101" s="53" t="s">
        <v>161</v>
      </c>
      <c r="L101" s="53">
        <v>1</v>
      </c>
      <c r="N101" s="53">
        <v>3</v>
      </c>
      <c r="O101" s="53">
        <v>0.6</v>
      </c>
      <c r="P101" s="53">
        <v>0.45</v>
      </c>
      <c r="Q101" s="16">
        <f t="shared" si="5"/>
        <v>0.52500000000000002</v>
      </c>
      <c r="R101" s="53">
        <v>14.8</v>
      </c>
      <c r="S101" s="53">
        <v>106</v>
      </c>
      <c r="T101" s="16">
        <f t="shared" si="1"/>
        <v>33</v>
      </c>
      <c r="U101" s="53">
        <v>407</v>
      </c>
      <c r="V101" s="16">
        <f t="shared" si="2"/>
        <v>4477</v>
      </c>
      <c r="W101" s="53">
        <v>4</v>
      </c>
      <c r="X101" s="53" t="s">
        <v>46</v>
      </c>
      <c r="Y101" s="53" t="s">
        <v>88</v>
      </c>
      <c r="Z101" s="53" t="s">
        <v>84</v>
      </c>
      <c r="AA101" s="53" t="s">
        <v>102</v>
      </c>
      <c r="AB101" s="53" t="s">
        <v>236</v>
      </c>
    </row>
    <row r="102" spans="1:28" x14ac:dyDescent="0.15">
      <c r="A102" s="53" t="s">
        <v>34</v>
      </c>
      <c r="B102" s="53" t="s">
        <v>232</v>
      </c>
      <c r="C102" s="53">
        <v>2019</v>
      </c>
      <c r="D102" s="171" t="s">
        <v>166</v>
      </c>
      <c r="E102" s="53" t="s">
        <v>210</v>
      </c>
      <c r="F102" s="53" t="s">
        <v>345</v>
      </c>
      <c r="G102" s="53" t="s">
        <v>36</v>
      </c>
      <c r="H102" s="53" t="s">
        <v>160</v>
      </c>
      <c r="I102" s="53" t="s">
        <v>159</v>
      </c>
      <c r="J102" s="53" t="s">
        <v>38</v>
      </c>
      <c r="K102" s="53" t="s">
        <v>161</v>
      </c>
      <c r="L102" s="53">
        <v>2</v>
      </c>
      <c r="N102" s="53">
        <v>3</v>
      </c>
      <c r="O102" s="53">
        <v>0.6</v>
      </c>
      <c r="P102" s="53">
        <v>0.5</v>
      </c>
      <c r="Q102" s="16">
        <f t="shared" si="5"/>
        <v>0.55000000000000004</v>
      </c>
      <c r="R102" s="53">
        <v>13</v>
      </c>
      <c r="S102" s="53">
        <v>106</v>
      </c>
      <c r="T102" s="16">
        <f t="shared" si="1"/>
        <v>33</v>
      </c>
      <c r="U102" s="53">
        <v>407</v>
      </c>
      <c r="V102" s="16">
        <f t="shared" si="2"/>
        <v>4477</v>
      </c>
      <c r="W102" s="53">
        <v>4</v>
      </c>
      <c r="X102" s="53" t="s">
        <v>46</v>
      </c>
      <c r="Y102" s="53" t="s">
        <v>88</v>
      </c>
      <c r="Z102" s="53" t="s">
        <v>84</v>
      </c>
      <c r="AA102" s="53" t="s">
        <v>102</v>
      </c>
      <c r="AB102" s="53" t="s">
        <v>236</v>
      </c>
    </row>
    <row r="103" spans="1:28" x14ac:dyDescent="0.15">
      <c r="A103" s="53" t="s">
        <v>34</v>
      </c>
      <c r="B103" s="53" t="s">
        <v>232</v>
      </c>
      <c r="C103" s="53">
        <v>2019</v>
      </c>
      <c r="D103" s="171" t="s">
        <v>166</v>
      </c>
      <c r="E103" s="53" t="s">
        <v>210</v>
      </c>
      <c r="F103" s="53" t="s">
        <v>345</v>
      </c>
      <c r="G103" s="53" t="s">
        <v>36</v>
      </c>
      <c r="H103" s="53" t="s">
        <v>160</v>
      </c>
      <c r="I103" s="53" t="s">
        <v>159</v>
      </c>
      <c r="J103" s="53" t="s">
        <v>38</v>
      </c>
      <c r="K103" s="53" t="s">
        <v>161</v>
      </c>
      <c r="L103" s="53">
        <v>3</v>
      </c>
      <c r="N103" s="53">
        <v>3</v>
      </c>
      <c r="O103" s="53">
        <v>0.45</v>
      </c>
      <c r="P103" s="53">
        <v>0.45</v>
      </c>
      <c r="Q103" s="16">
        <f t="shared" si="5"/>
        <v>0.45</v>
      </c>
      <c r="R103" s="53">
        <v>14.7</v>
      </c>
      <c r="S103" s="53">
        <v>102</v>
      </c>
      <c r="T103" s="16">
        <f t="shared" si="1"/>
        <v>33</v>
      </c>
      <c r="U103" s="53">
        <v>407</v>
      </c>
      <c r="V103" s="16">
        <f t="shared" si="2"/>
        <v>4477</v>
      </c>
      <c r="W103" s="53">
        <v>4</v>
      </c>
      <c r="X103" s="53" t="s">
        <v>46</v>
      </c>
      <c r="Y103" s="53" t="s">
        <v>88</v>
      </c>
      <c r="Z103" s="53" t="s">
        <v>84</v>
      </c>
      <c r="AA103" s="53" t="s">
        <v>102</v>
      </c>
      <c r="AB103" s="53" t="s">
        <v>236</v>
      </c>
    </row>
    <row r="104" spans="1:28" x14ac:dyDescent="0.15">
      <c r="D104" s="171"/>
    </row>
    <row r="105" spans="1:28" x14ac:dyDescent="0.15">
      <c r="D105" s="171"/>
    </row>
    <row r="106" spans="1:28" x14ac:dyDescent="0.15">
      <c r="D106" s="171"/>
    </row>
    <row r="107" spans="1:28" x14ac:dyDescent="0.15">
      <c r="D107" s="171"/>
    </row>
    <row r="108" spans="1:28" x14ac:dyDescent="0.15">
      <c r="D108" s="171"/>
    </row>
    <row r="109" spans="1:28" x14ac:dyDescent="0.15">
      <c r="D109" s="171"/>
    </row>
    <row r="110" spans="1:28" x14ac:dyDescent="0.15">
      <c r="D110" s="171"/>
    </row>
    <row r="111" spans="1:28" x14ac:dyDescent="0.15">
      <c r="D111" s="171"/>
    </row>
  </sheetData>
  <autoFilter ref="A1:BA84" xr:uid="{00000000-0009-0000-0000-000000000000}"/>
  <phoneticPr fontId="3"/>
  <dataValidations count="12">
    <dataValidation type="list" allowBlank="1" showInputMessage="1" showErrorMessage="1" sqref="K2:K782" xr:uid="{034E0D90-4254-40BA-8534-3D936A02415F}">
      <formula1>$AR$2:$AR$23</formula1>
    </dataValidation>
    <dataValidation type="decimal" allowBlank="1" showInputMessage="1" showErrorMessage="1" error="硬度を正しく入力して下さい。" sqref="O59:P470 O2:P49" xr:uid="{A4DA4C1F-2BA0-4354-864F-269BAD7A92D6}">
      <formula1>0</formula1>
      <formula2>7</formula2>
    </dataValidation>
    <dataValidation operator="equal" allowBlank="1" showInputMessage="1" showErrorMessage="1" sqref="B2:B111" xr:uid="{AA98942D-8173-4965-A086-FE4AACBECD86}"/>
    <dataValidation type="list" allowBlank="1" showInputMessage="1" showErrorMessage="1" sqref="A2:A469" xr:uid="{48BB666C-0199-4353-AF75-484199B54B53}">
      <formula1>$AE$2:$AE$19</formula1>
    </dataValidation>
    <dataValidation type="list" allowBlank="1" showInputMessage="1" showErrorMessage="1" sqref="Y2:AA470" xr:uid="{60FA06AE-F65B-4030-B674-32E7395CE465}">
      <formula1>$AV$2:$AV$21</formula1>
    </dataValidation>
    <dataValidation type="list" allowBlank="1" showInputMessage="1" showErrorMessage="1" sqref="H2:H470" xr:uid="{79F514E8-4BCF-43C2-AB0A-BFD7BF21A5BA}">
      <formula1>$AL$2:$AL$8</formula1>
    </dataValidation>
    <dataValidation type="list" allowBlank="1" showInputMessage="1" showErrorMessage="1" sqref="X2:X470" xr:uid="{361E9792-6ABC-46A1-A523-8D95BA81AD42}">
      <formula1>$AT$2:$AT$3</formula1>
    </dataValidation>
    <dataValidation type="list" allowBlank="1" showInputMessage="1" showErrorMessage="1" sqref="G2:G470" xr:uid="{F5759890-A21F-447A-968F-829C2AF92F42}">
      <formula1>$AJ$2:$AJ$4</formula1>
    </dataValidation>
    <dataValidation type="list" allowBlank="1" showInputMessage="1" showErrorMessage="1" sqref="I2:I470" xr:uid="{EE6CB19F-5004-49E3-B42C-9080F40A66B0}">
      <formula1>$AN$5:$AN$6</formula1>
    </dataValidation>
    <dataValidation type="list" allowBlank="1" showInputMessage="1" showErrorMessage="1" sqref="J2:J470" xr:uid="{57D1EB0F-D3D1-4487-9BB6-FDD5E09C589A}">
      <formula1>$AP$2:$AP$24</formula1>
    </dataValidation>
    <dataValidation type="list" allowBlank="1" showInputMessage="1" showErrorMessage="1" sqref="F2:F470" xr:uid="{18B0A0B7-B83F-40D8-848C-BB601E34974F}">
      <formula1>$AH$2:$AH$11</formula1>
    </dataValidation>
    <dataValidation type="list" allowBlank="1" showInputMessage="1" showErrorMessage="1" sqref="E2:E470" xr:uid="{A8412D36-219A-4E6D-8504-8C0E170B21D7}">
      <formula1>$AG$2:$AG$11</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335CCEA-911F-4CA3-9B04-9D043C5D95CA}"/>
</file>

<file path=customXml/itemProps2.xml><?xml version="1.0" encoding="utf-8"?>
<ds:datastoreItem xmlns:ds="http://schemas.openxmlformats.org/officeDocument/2006/customXml" ds:itemID="{1669C9EB-9468-4363-A706-F4A93C43E5D4}"/>
</file>

<file path=customXml/itemProps3.xml><?xml version="1.0" encoding="utf-8"?>
<ds:datastoreItem xmlns:ds="http://schemas.openxmlformats.org/officeDocument/2006/customXml" ds:itemID="{99A00BC7-2D88-427B-AC43-10DAFFD27E7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sapporo</vt:lpstr>
      <vt:lpstr>miyagi</vt:lpstr>
      <vt:lpstr>nagoya</vt:lpstr>
      <vt:lpstr>osaka</vt:lpstr>
      <vt:lpstr>hiroshima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2019-08-23T08:49:13Z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