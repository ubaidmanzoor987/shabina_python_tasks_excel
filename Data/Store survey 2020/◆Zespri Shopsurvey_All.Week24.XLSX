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24226"/>
  <mc:AlternateContent xmlns:mc="http://schemas.openxmlformats.org/markup-compatibility/2006">
    <mc:Choice Requires="x15">
      <x15ac:absPath xmlns:x15ac="http://schemas.microsoft.com/office/spreadsheetml/2010/11/ac" url="\\192.168.11.200\000_全国共有\2-Zespri\品質調査\2020品質調査\24週\"/>
    </mc:Choice>
  </mc:AlternateContent>
  <xr:revisionPtr revIDLastSave="0" documentId="13_ncr:1_{226F6DB0-267C-43F7-857C-F369A07CB78B}" xr6:coauthVersionLast="45" xr6:coauthVersionMax="45" xr10:uidLastSave="{00000000-0000-0000-0000-000000000000}"/>
  <bookViews>
    <workbookView xWindow="-120" yWindow="-120" windowWidth="29040" windowHeight="15840" activeTab="7" xr2:uid="{00000000-000D-0000-FFFF-FFFF00000000}"/>
  </bookViews>
  <sheets>
    <sheet name="sapporo" sheetId="24" r:id="rId1"/>
    <sheet name="miyagi" sheetId="25" r:id="rId2"/>
    <sheet name="nagoya" sheetId="26" r:id="rId3"/>
    <sheet name="osaka" sheetId="27" r:id="rId4"/>
    <sheet name="hiroshima" sheetId="30" r:id="rId5"/>
    <sheet name="fukuoka" sheetId="28" r:id="rId6"/>
    <sheet name="tokyo-east(konishi)" sheetId="29" r:id="rId7"/>
    <sheet name="tokyo-west(ota)" sheetId="23" r:id="rId8"/>
  </sheets>
  <definedNames>
    <definedName name="_xlnm._FilterDatabase" localSheetId="5" hidden="1">fukuoka!$A$1:$BA$152</definedName>
    <definedName name="_xlnm._FilterDatabase" localSheetId="4" hidden="1">hiroshima!$A$1:$BA$154</definedName>
    <definedName name="_xlnm._FilterDatabase" localSheetId="1" hidden="1">miyagi!$A$1:$BA$154</definedName>
    <definedName name="_xlnm._FilterDatabase" localSheetId="2" hidden="1">nagoya!$A$1:$BA$142</definedName>
    <definedName name="_xlnm._FilterDatabase" localSheetId="3" hidden="1">osaka!$A$1:$BA$178</definedName>
    <definedName name="_xlnm._FilterDatabase" localSheetId="0" hidden="1">sapporo!$A$1:$BA$120</definedName>
    <definedName name="_xlnm._FilterDatabase" localSheetId="6" hidden="1">'tokyo-east(konishi)'!$A$1:$BA$157</definedName>
    <definedName name="_xlnm._FilterDatabase" localSheetId="7" hidden="1">'tokyo-west(ota)'!$A$1:$BA$142</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6">#REF!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6">#REF!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7">'tokyo-west(ota)'!$A$1:$AH$49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2">nagoya!$AN$1:$AN$6</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54" i="30" l="1"/>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57" i="29" l="1"/>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V152" i="28" l="1"/>
  <c r="T152" i="28"/>
  <c r="Q152" i="28"/>
  <c r="V151" i="28"/>
  <c r="T151" i="28"/>
  <c r="Q151" i="28"/>
  <c r="V150" i="28"/>
  <c r="T150" i="28"/>
  <c r="Q150" i="28"/>
  <c r="V149" i="28"/>
  <c r="T149" i="28"/>
  <c r="Q149" i="28"/>
  <c r="V148" i="28"/>
  <c r="T148" i="28"/>
  <c r="Q148" i="28"/>
  <c r="V147" i="28"/>
  <c r="T147" i="28"/>
  <c r="Q147" i="28"/>
  <c r="V146" i="28"/>
  <c r="T146" i="28"/>
  <c r="Q146" i="28"/>
  <c r="V145" i="28"/>
  <c r="T145" i="28"/>
  <c r="Q145" i="28"/>
  <c r="V144" i="28"/>
  <c r="T144" i="28"/>
  <c r="Q144" i="28"/>
  <c r="V143" i="28"/>
  <c r="T143" i="28"/>
  <c r="Q143" i="28"/>
  <c r="V142" i="28"/>
  <c r="T142" i="28"/>
  <c r="Q142" i="28"/>
  <c r="V141" i="28"/>
  <c r="T141" i="28"/>
  <c r="Q141" i="28"/>
  <c r="V140" i="28"/>
  <c r="T140" i="28"/>
  <c r="Q140" i="28"/>
  <c r="V139" i="28"/>
  <c r="T139" i="28"/>
  <c r="Q139" i="28"/>
  <c r="V138" i="28"/>
  <c r="T138" i="28"/>
  <c r="Q138" i="28"/>
  <c r="V137" i="28"/>
  <c r="T137" i="28"/>
  <c r="Q137" i="28"/>
  <c r="V136" i="28"/>
  <c r="T136" i="28"/>
  <c r="Q136" i="28"/>
  <c r="V135" i="28"/>
  <c r="T135" i="28"/>
  <c r="Q135" i="28"/>
  <c r="V134" i="28"/>
  <c r="T134" i="28"/>
  <c r="Q134" i="28"/>
  <c r="V133" i="28"/>
  <c r="T133" i="28"/>
  <c r="Q133" i="28"/>
  <c r="V132" i="28"/>
  <c r="T132" i="28"/>
  <c r="Q132" i="28"/>
  <c r="V131" i="28"/>
  <c r="T131" i="28"/>
  <c r="Q131" i="28"/>
  <c r="V130" i="28"/>
  <c r="T130" i="28"/>
  <c r="Q130" i="28"/>
  <c r="V129" i="28"/>
  <c r="T129" i="28"/>
  <c r="Q129" i="28"/>
  <c r="V128" i="28"/>
  <c r="T128" i="28"/>
  <c r="Q128" i="28"/>
  <c r="V127" i="28"/>
  <c r="T127" i="28"/>
  <c r="Q127" i="28"/>
  <c r="V126" i="28"/>
  <c r="T126" i="28"/>
  <c r="Q126" i="28"/>
  <c r="V125" i="28"/>
  <c r="T125" i="28"/>
  <c r="Q125" i="28"/>
  <c r="V124" i="28"/>
  <c r="T124" i="28"/>
  <c r="Q124" i="28"/>
  <c r="V123" i="28"/>
  <c r="T123" i="28"/>
  <c r="Q123" i="28"/>
  <c r="V122" i="28"/>
  <c r="T122" i="28"/>
  <c r="Q122" i="28"/>
  <c r="V121" i="28"/>
  <c r="T121" i="28"/>
  <c r="Q121" i="28"/>
  <c r="V120" i="28"/>
  <c r="T120" i="28"/>
  <c r="Q120" i="28"/>
  <c r="V119" i="28"/>
  <c r="T119" i="28"/>
  <c r="Q119" i="28"/>
  <c r="V118" i="28"/>
  <c r="T118" i="28"/>
  <c r="Q118" i="28"/>
  <c r="V117" i="28"/>
  <c r="T117" i="28"/>
  <c r="Q117" i="28"/>
  <c r="V116" i="28"/>
  <c r="T116" i="28"/>
  <c r="Q116" i="28"/>
  <c r="V115" i="28"/>
  <c r="T115" i="28"/>
  <c r="Q115" i="28"/>
  <c r="V114" i="28"/>
  <c r="T114" i="28"/>
  <c r="Q114" i="28"/>
  <c r="V113" i="28"/>
  <c r="T113" i="28"/>
  <c r="Q113" i="28"/>
  <c r="V112" i="28"/>
  <c r="T112" i="28"/>
  <c r="Q112" i="28"/>
  <c r="V111" i="28"/>
  <c r="T111" i="28"/>
  <c r="Q111" i="28"/>
  <c r="V110" i="28"/>
  <c r="T110" i="28"/>
  <c r="Q110" i="28"/>
  <c r="V109" i="28"/>
  <c r="T109" i="28"/>
  <c r="Q109" i="28"/>
  <c r="V108" i="28"/>
  <c r="T108" i="28"/>
  <c r="Q108" i="28"/>
  <c r="V107" i="28"/>
  <c r="T107" i="28"/>
  <c r="Q107" i="28"/>
  <c r="V106" i="28"/>
  <c r="T106" i="28"/>
  <c r="Q106" i="28"/>
  <c r="V105" i="28"/>
  <c r="T105" i="28"/>
  <c r="Q105" i="28"/>
  <c r="V104" i="28"/>
  <c r="T104" i="28"/>
  <c r="Q104" i="28"/>
  <c r="V103" i="28"/>
  <c r="T103" i="28"/>
  <c r="Q103" i="28"/>
  <c r="V102" i="28"/>
  <c r="T102" i="28"/>
  <c r="Q102" i="28"/>
  <c r="V101" i="28"/>
  <c r="T101" i="28"/>
  <c r="Q101" i="28"/>
  <c r="V100" i="28"/>
  <c r="T100" i="28"/>
  <c r="Q100" i="28"/>
  <c r="V99" i="28"/>
  <c r="T99" i="28"/>
  <c r="Q99" i="28"/>
  <c r="V98" i="28"/>
  <c r="T98" i="28"/>
  <c r="Q98" i="28"/>
  <c r="V97" i="28"/>
  <c r="T97" i="28"/>
  <c r="Q97" i="28"/>
  <c r="V96" i="28"/>
  <c r="T96" i="28"/>
  <c r="Q96" i="28"/>
  <c r="V95" i="28"/>
  <c r="T95" i="28"/>
  <c r="Q95" i="28"/>
  <c r="V94" i="28"/>
  <c r="T94" i="28"/>
  <c r="Q94" i="28"/>
  <c r="V93" i="28"/>
  <c r="T93" i="28"/>
  <c r="Q93" i="28"/>
  <c r="V92" i="28"/>
  <c r="T92" i="28"/>
  <c r="Q92" i="28"/>
  <c r="V91" i="28"/>
  <c r="T91" i="28"/>
  <c r="Q91" i="28"/>
  <c r="V90" i="28"/>
  <c r="T90" i="28"/>
  <c r="Q90" i="28"/>
  <c r="V89" i="28"/>
  <c r="T89" i="28"/>
  <c r="Q89" i="28"/>
  <c r="V88" i="28"/>
  <c r="T88" i="28"/>
  <c r="Q88" i="28"/>
  <c r="V87" i="28"/>
  <c r="T87" i="28"/>
  <c r="Q87" i="28"/>
  <c r="V86" i="28"/>
  <c r="T86" i="28"/>
  <c r="Q86" i="28"/>
  <c r="V85" i="28"/>
  <c r="T85" i="28"/>
  <c r="Q85" i="28"/>
  <c r="V84" i="28"/>
  <c r="T84" i="28"/>
  <c r="Q84" i="28"/>
  <c r="V83" i="28"/>
  <c r="T83" i="28"/>
  <c r="Q83" i="28"/>
  <c r="V82" i="28"/>
  <c r="T82" i="28"/>
  <c r="Q82" i="28"/>
  <c r="V81" i="28"/>
  <c r="T81" i="28"/>
  <c r="Q81" i="28"/>
  <c r="V80" i="28"/>
  <c r="T80" i="28"/>
  <c r="Q80" i="28"/>
  <c r="V79" i="28"/>
  <c r="T79" i="28"/>
  <c r="Q79" i="28"/>
  <c r="V78" i="28"/>
  <c r="T78" i="28"/>
  <c r="Q78" i="28"/>
  <c r="V77" i="28"/>
  <c r="T77" i="28"/>
  <c r="Q77" i="28"/>
  <c r="V76" i="28"/>
  <c r="T76" i="28"/>
  <c r="Q76" i="28"/>
  <c r="V75" i="28"/>
  <c r="T75" i="28"/>
  <c r="Q75" i="28"/>
  <c r="V74" i="28"/>
  <c r="T74" i="28"/>
  <c r="Q74" i="28"/>
  <c r="V73" i="28"/>
  <c r="T73" i="28"/>
  <c r="Q73" i="28"/>
  <c r="V72" i="28"/>
  <c r="T72" i="28"/>
  <c r="Q72" i="28"/>
  <c r="V71" i="28"/>
  <c r="T71" i="28"/>
  <c r="Q71" i="28"/>
  <c r="V70" i="28"/>
  <c r="T70" i="28"/>
  <c r="Q70" i="28"/>
  <c r="V69" i="28"/>
  <c r="T69" i="28"/>
  <c r="Q69" i="28"/>
  <c r="V68" i="28"/>
  <c r="T68" i="28"/>
  <c r="Q68" i="28"/>
  <c r="V67" i="28"/>
  <c r="T67" i="28"/>
  <c r="Q67" i="28"/>
  <c r="V66" i="28"/>
  <c r="T66" i="28"/>
  <c r="Q66" i="28"/>
  <c r="V65" i="28"/>
  <c r="T65" i="28"/>
  <c r="Q65" i="28"/>
  <c r="V64" i="28"/>
  <c r="T64" i="28"/>
  <c r="Q64" i="28"/>
  <c r="V63" i="28"/>
  <c r="T63" i="28"/>
  <c r="Q63" i="28"/>
  <c r="V62" i="28"/>
  <c r="T62" i="28"/>
  <c r="Q62" i="28"/>
  <c r="V61" i="28"/>
  <c r="T61" i="28"/>
  <c r="Q61" i="28"/>
  <c r="V60" i="28"/>
  <c r="T60" i="28"/>
  <c r="Q60" i="28"/>
  <c r="V59" i="28"/>
  <c r="T59" i="28"/>
  <c r="Q59" i="28"/>
  <c r="V58" i="28"/>
  <c r="T58" i="28"/>
  <c r="Q58" i="28"/>
  <c r="V57" i="28"/>
  <c r="T57" i="28"/>
  <c r="Q57" i="28"/>
  <c r="V56" i="28"/>
  <c r="T56" i="28"/>
  <c r="Q56" i="28"/>
  <c r="V55" i="28"/>
  <c r="T55" i="28"/>
  <c r="Q55" i="28"/>
  <c r="V54" i="28"/>
  <c r="T54" i="28"/>
  <c r="Q54" i="28"/>
  <c r="V53" i="28"/>
  <c r="T53" i="28"/>
  <c r="Q53" i="28"/>
  <c r="V52" i="28"/>
  <c r="T52" i="28"/>
  <c r="Q52" i="28"/>
  <c r="V51" i="28"/>
  <c r="T51" i="28"/>
  <c r="Q51" i="28"/>
  <c r="V50" i="28"/>
  <c r="T50" i="28"/>
  <c r="Q50" i="28"/>
  <c r="V49" i="28"/>
  <c r="T49" i="28"/>
  <c r="Q49" i="28"/>
  <c r="V48" i="28"/>
  <c r="T48" i="28"/>
  <c r="Q48" i="28"/>
  <c r="V47" i="28"/>
  <c r="T47" i="28"/>
  <c r="Q47" i="28"/>
  <c r="V46" i="28"/>
  <c r="T46" i="28"/>
  <c r="Q46" i="28"/>
  <c r="V45" i="28"/>
  <c r="T45" i="28"/>
  <c r="Q45" i="28"/>
  <c r="V44" i="28"/>
  <c r="T44" i="28"/>
  <c r="Q44" i="28"/>
  <c r="V43" i="28"/>
  <c r="T43" i="28"/>
  <c r="Q43" i="28"/>
  <c r="V42" i="28"/>
  <c r="T42" i="28"/>
  <c r="Q42" i="28"/>
  <c r="V41" i="28"/>
  <c r="T41" i="28"/>
  <c r="Q41" i="28"/>
  <c r="V40" i="28"/>
  <c r="T40" i="28"/>
  <c r="Q40" i="28"/>
  <c r="V39" i="28"/>
  <c r="T39" i="28"/>
  <c r="Q39" i="28"/>
  <c r="V38" i="28"/>
  <c r="T38" i="28"/>
  <c r="Q38" i="28"/>
  <c r="V37" i="28"/>
  <c r="T37" i="28"/>
  <c r="Q37" i="28"/>
  <c r="V36" i="28"/>
  <c r="T36" i="28"/>
  <c r="Q36" i="28"/>
  <c r="V35" i="28"/>
  <c r="T35" i="28"/>
  <c r="Q35" i="28"/>
  <c r="V34" i="28"/>
  <c r="T34" i="28"/>
  <c r="Q34" i="28"/>
  <c r="V33" i="28"/>
  <c r="T33" i="28"/>
  <c r="Q33" i="28"/>
  <c r="V32" i="28"/>
  <c r="T32" i="28"/>
  <c r="Q32" i="28"/>
  <c r="V31" i="28"/>
  <c r="T31" i="28"/>
  <c r="Q31" i="28"/>
  <c r="V30" i="28"/>
  <c r="T30" i="28"/>
  <c r="Q30" i="28"/>
  <c r="V29" i="28"/>
  <c r="T29" i="28"/>
  <c r="Q29" i="28"/>
  <c r="V28" i="28"/>
  <c r="T28" i="28"/>
  <c r="Q28" i="28"/>
  <c r="V27" i="28"/>
  <c r="T27" i="28"/>
  <c r="Q27" i="28"/>
  <c r="V26" i="28"/>
  <c r="T26" i="28"/>
  <c r="Q26" i="28"/>
  <c r="V25" i="28"/>
  <c r="T25" i="28"/>
  <c r="Q25" i="28"/>
  <c r="V24" i="28"/>
  <c r="T24" i="28"/>
  <c r="Q24" i="28"/>
  <c r="V23" i="28"/>
  <c r="T23" i="28"/>
  <c r="Q23" i="28"/>
  <c r="V22" i="28"/>
  <c r="T22" i="28"/>
  <c r="Q22" i="28"/>
  <c r="V21" i="28"/>
  <c r="T21" i="28"/>
  <c r="Q21" i="28"/>
  <c r="V20" i="28"/>
  <c r="T20" i="28"/>
  <c r="Q20" i="28"/>
  <c r="V19" i="28"/>
  <c r="T19" i="28"/>
  <c r="Q19" i="28"/>
  <c r="V18" i="28"/>
  <c r="T18" i="28"/>
  <c r="Q18" i="28"/>
  <c r="V17" i="28"/>
  <c r="T17" i="28"/>
  <c r="Q17" i="28"/>
  <c r="V16" i="28"/>
  <c r="T16" i="28"/>
  <c r="Q16" i="28"/>
  <c r="V15" i="28"/>
  <c r="T15" i="28"/>
  <c r="Q15" i="28"/>
  <c r="V14" i="28"/>
  <c r="T14" i="28"/>
  <c r="Q14" i="28"/>
  <c r="V13" i="28"/>
  <c r="T13" i="28"/>
  <c r="Q13" i="28"/>
  <c r="V12" i="28"/>
  <c r="T12" i="28"/>
  <c r="Q12" i="28"/>
  <c r="V11" i="28"/>
  <c r="T11" i="28"/>
  <c r="Q11" i="28"/>
  <c r="V10" i="28"/>
  <c r="T10" i="28"/>
  <c r="Q10" i="28"/>
  <c r="V9" i="28"/>
  <c r="T9" i="28"/>
  <c r="Q9" i="28"/>
  <c r="V8" i="28"/>
  <c r="T8" i="28"/>
  <c r="Q8" i="28"/>
  <c r="V7" i="28"/>
  <c r="T7" i="28"/>
  <c r="Q7" i="28"/>
  <c r="V6" i="28"/>
  <c r="T6" i="28"/>
  <c r="Q6" i="28"/>
  <c r="V5" i="28"/>
  <c r="T5" i="28"/>
  <c r="Q5" i="28"/>
  <c r="V4" i="28"/>
  <c r="T4" i="28"/>
  <c r="Q4" i="28"/>
  <c r="V3" i="28"/>
  <c r="T3" i="28"/>
  <c r="Q3" i="28"/>
  <c r="V2" i="28"/>
  <c r="T2" i="28"/>
  <c r="Q2" i="28"/>
  <c r="T178" i="27" l="1"/>
  <c r="V178" i="27" s="1"/>
  <c r="Q178" i="27"/>
  <c r="T177" i="27"/>
  <c r="V177" i="27" s="1"/>
  <c r="Q177" i="27"/>
  <c r="T176" i="27"/>
  <c r="V176" i="27" s="1"/>
  <c r="Q176" i="27"/>
  <c r="T175" i="27"/>
  <c r="V175" i="27" s="1"/>
  <c r="Q175" i="27"/>
  <c r="T174" i="27"/>
  <c r="V174" i="27" s="1"/>
  <c r="Q174" i="27"/>
  <c r="T173" i="27"/>
  <c r="V173" i="27" s="1"/>
  <c r="Q173" i="27"/>
  <c r="T172" i="27"/>
  <c r="V172" i="27" s="1"/>
  <c r="Q172" i="27"/>
  <c r="T171" i="27"/>
  <c r="V171" i="27" s="1"/>
  <c r="Q171" i="27"/>
  <c r="T170" i="27"/>
  <c r="V170" i="27" s="1"/>
  <c r="Q170" i="27"/>
  <c r="T169" i="27"/>
  <c r="V169" i="27" s="1"/>
  <c r="Q169" i="27"/>
  <c r="T168" i="27"/>
  <c r="V168" i="27" s="1"/>
  <c r="Q168" i="27"/>
  <c r="T167" i="27"/>
  <c r="V167" i="27" s="1"/>
  <c r="Q167" i="27"/>
  <c r="T166" i="27"/>
  <c r="V166" i="27" s="1"/>
  <c r="Q166" i="27"/>
  <c r="T165" i="27"/>
  <c r="V165" i="27" s="1"/>
  <c r="Q165" i="27"/>
  <c r="T164" i="27"/>
  <c r="V164" i="27" s="1"/>
  <c r="Q164" i="27"/>
  <c r="T163" i="27"/>
  <c r="V163" i="27" s="1"/>
  <c r="Q163" i="27"/>
  <c r="T162" i="27"/>
  <c r="V162" i="27" s="1"/>
  <c r="Q162" i="27"/>
  <c r="T161" i="27"/>
  <c r="V161" i="27" s="1"/>
  <c r="Q161" i="27"/>
  <c r="T160" i="27"/>
  <c r="V160" i="27" s="1"/>
  <c r="Q160" i="27"/>
  <c r="T159" i="27"/>
  <c r="V159" i="27" s="1"/>
  <c r="Q159" i="27"/>
  <c r="T158" i="27"/>
  <c r="V158" i="27" s="1"/>
  <c r="Q158" i="27"/>
  <c r="T157" i="27"/>
  <c r="V157" i="27" s="1"/>
  <c r="Q157" i="27"/>
  <c r="T156" i="27"/>
  <c r="V156" i="27" s="1"/>
  <c r="Q156" i="27"/>
  <c r="T155" i="27"/>
  <c r="V155" i="27" s="1"/>
  <c r="Q155" i="27"/>
  <c r="T154" i="27"/>
  <c r="V154" i="27" s="1"/>
  <c r="Q154" i="27"/>
  <c r="T153" i="27"/>
  <c r="V153" i="27" s="1"/>
  <c r="Q153" i="27"/>
  <c r="T152" i="27"/>
  <c r="V152" i="27" s="1"/>
  <c r="Q152" i="27"/>
  <c r="T151" i="27"/>
  <c r="V151" i="27" s="1"/>
  <c r="Q151" i="27"/>
  <c r="T150" i="27"/>
  <c r="V150" i="27" s="1"/>
  <c r="Q150" i="27"/>
  <c r="T149" i="27"/>
  <c r="V149" i="27" s="1"/>
  <c r="Q149" i="27"/>
  <c r="T148" i="27"/>
  <c r="V148" i="27" s="1"/>
  <c r="Q148" i="27"/>
  <c r="T147" i="27"/>
  <c r="V147" i="27" s="1"/>
  <c r="Q147" i="27"/>
  <c r="T146" i="27"/>
  <c r="V146" i="27" s="1"/>
  <c r="Q146" i="27"/>
  <c r="T145" i="27"/>
  <c r="V145" i="27" s="1"/>
  <c r="Q145" i="27"/>
  <c r="T144" i="27"/>
  <c r="V144" i="27" s="1"/>
  <c r="Q144" i="27"/>
  <c r="T143" i="27"/>
  <c r="V143" i="27" s="1"/>
  <c r="Q143" i="27"/>
  <c r="T142" i="27"/>
  <c r="V142" i="27" s="1"/>
  <c r="Q142" i="27"/>
  <c r="T141" i="27"/>
  <c r="V141" i="27" s="1"/>
  <c r="Q141" i="27"/>
  <c r="T140" i="27"/>
  <c r="V140" i="27" s="1"/>
  <c r="Q140" i="27"/>
  <c r="T139" i="27"/>
  <c r="V139" i="27" s="1"/>
  <c r="Q139" i="27"/>
  <c r="T138" i="27"/>
  <c r="V138" i="27" s="1"/>
  <c r="Q138" i="27"/>
  <c r="T137" i="27"/>
  <c r="V137" i="27" s="1"/>
  <c r="Q137" i="27"/>
  <c r="T136" i="27"/>
  <c r="V136" i="27" s="1"/>
  <c r="Q136" i="27"/>
  <c r="T135" i="27"/>
  <c r="V135" i="27" s="1"/>
  <c r="Q135" i="27"/>
  <c r="V134" i="27"/>
  <c r="Q134" i="27"/>
  <c r="V133" i="27"/>
  <c r="T133" i="27"/>
  <c r="Q133" i="27"/>
  <c r="V132" i="27"/>
  <c r="T132" i="27"/>
  <c r="Q132" i="27"/>
  <c r="V131" i="27"/>
  <c r="T131" i="27"/>
  <c r="Q131" i="27"/>
  <c r="V130" i="27"/>
  <c r="T130" i="27"/>
  <c r="Q130" i="27"/>
  <c r="V129" i="27"/>
  <c r="T129" i="27"/>
  <c r="Q129" i="27"/>
  <c r="V128" i="27"/>
  <c r="T128" i="27"/>
  <c r="Q128" i="27"/>
  <c r="T127" i="27"/>
  <c r="V127" i="27" s="1"/>
  <c r="Q127" i="27"/>
  <c r="V126" i="27"/>
  <c r="T126" i="27"/>
  <c r="Q126" i="27"/>
  <c r="T125" i="27"/>
  <c r="V125" i="27" s="1"/>
  <c r="Q125" i="27"/>
  <c r="V124" i="27"/>
  <c r="T124" i="27"/>
  <c r="Q124" i="27"/>
  <c r="T123" i="27"/>
  <c r="V123" i="27" s="1"/>
  <c r="Q123" i="27"/>
  <c r="V122" i="27"/>
  <c r="T122" i="27"/>
  <c r="Q122" i="27"/>
  <c r="T121" i="27"/>
  <c r="V121" i="27" s="1"/>
  <c r="Q121" i="27"/>
  <c r="T120" i="27"/>
  <c r="V120" i="27" s="1"/>
  <c r="Q120" i="27"/>
  <c r="T119" i="27"/>
  <c r="V119" i="27" s="1"/>
  <c r="Q119" i="27"/>
  <c r="V118" i="27"/>
  <c r="T118" i="27"/>
  <c r="Q118" i="27"/>
  <c r="T117" i="27"/>
  <c r="V117" i="27" s="1"/>
  <c r="Q117" i="27"/>
  <c r="T116" i="27"/>
  <c r="V116" i="27" s="1"/>
  <c r="Q116" i="27"/>
  <c r="T115" i="27"/>
  <c r="V115" i="27" s="1"/>
  <c r="Q115" i="27"/>
  <c r="V114" i="27"/>
  <c r="T114" i="27"/>
  <c r="Q114" i="27"/>
  <c r="T113" i="27"/>
  <c r="V113" i="27" s="1"/>
  <c r="Q113" i="27"/>
  <c r="T112" i="27"/>
  <c r="V112" i="27" s="1"/>
  <c r="Q112" i="27"/>
  <c r="T111" i="27"/>
  <c r="V111" i="27" s="1"/>
  <c r="Q111" i="27"/>
  <c r="V110" i="27"/>
  <c r="T110" i="27"/>
  <c r="Q110" i="27"/>
  <c r="T109" i="27"/>
  <c r="V109" i="27" s="1"/>
  <c r="Q109" i="27"/>
  <c r="T108" i="27"/>
  <c r="V108" i="27" s="1"/>
  <c r="Q108" i="27"/>
  <c r="T107" i="27"/>
  <c r="V107" i="27" s="1"/>
  <c r="Q107" i="27"/>
  <c r="V106" i="27"/>
  <c r="T106" i="27"/>
  <c r="Q106" i="27"/>
  <c r="T105" i="27"/>
  <c r="V105" i="27" s="1"/>
  <c r="Q105" i="27"/>
  <c r="T104" i="27"/>
  <c r="V104" i="27" s="1"/>
  <c r="Q104" i="27"/>
  <c r="T103" i="27"/>
  <c r="V103" i="27" s="1"/>
  <c r="Q103" i="27"/>
  <c r="V102" i="27"/>
  <c r="T102" i="27"/>
  <c r="Q102" i="27"/>
  <c r="T101" i="27"/>
  <c r="V101" i="27" s="1"/>
  <c r="Q101" i="27"/>
  <c r="T100" i="27"/>
  <c r="V100" i="27" s="1"/>
  <c r="Q100" i="27"/>
  <c r="T99" i="27"/>
  <c r="V99" i="27" s="1"/>
  <c r="Q99" i="27"/>
  <c r="V98" i="27"/>
  <c r="T98" i="27"/>
  <c r="Q98" i="27"/>
  <c r="T97" i="27"/>
  <c r="V97" i="27" s="1"/>
  <c r="Q97" i="27"/>
  <c r="T96" i="27"/>
  <c r="V96" i="27" s="1"/>
  <c r="Q96" i="27"/>
  <c r="T95" i="27"/>
  <c r="V95" i="27" s="1"/>
  <c r="Q95" i="27"/>
  <c r="V94" i="27"/>
  <c r="T94" i="27"/>
  <c r="Q94" i="27"/>
  <c r="T93" i="27"/>
  <c r="V93" i="27" s="1"/>
  <c r="Q93" i="27"/>
  <c r="T92" i="27"/>
  <c r="V92" i="27" s="1"/>
  <c r="Q92" i="27"/>
  <c r="T91" i="27"/>
  <c r="V91" i="27" s="1"/>
  <c r="Q91" i="27"/>
  <c r="V90" i="27"/>
  <c r="T90" i="27"/>
  <c r="Q90" i="27"/>
  <c r="T89" i="27"/>
  <c r="V89" i="27" s="1"/>
  <c r="Q89" i="27"/>
  <c r="T88" i="27"/>
  <c r="V88" i="27" s="1"/>
  <c r="Q88" i="27"/>
  <c r="T87" i="27"/>
  <c r="V87" i="27" s="1"/>
  <c r="Q87" i="27"/>
  <c r="V86" i="27"/>
  <c r="T86" i="27"/>
  <c r="Q86" i="27"/>
  <c r="T85" i="27"/>
  <c r="V85" i="27" s="1"/>
  <c r="Q85" i="27"/>
  <c r="T84" i="27"/>
  <c r="V84" i="27" s="1"/>
  <c r="Q84" i="27"/>
  <c r="T83" i="27"/>
  <c r="V83" i="27" s="1"/>
  <c r="Q83" i="27"/>
  <c r="V82" i="27"/>
  <c r="T82" i="27"/>
  <c r="Q82" i="27"/>
  <c r="T81" i="27"/>
  <c r="V81" i="27" s="1"/>
  <c r="Q81" i="27"/>
  <c r="T80" i="27"/>
  <c r="V80" i="27" s="1"/>
  <c r="Q80" i="27"/>
  <c r="T79" i="27"/>
  <c r="V79" i="27" s="1"/>
  <c r="Q79" i="27"/>
  <c r="V78" i="27"/>
  <c r="T78" i="27"/>
  <c r="Q78" i="27"/>
  <c r="T77" i="27"/>
  <c r="V77" i="27" s="1"/>
  <c r="Q77" i="27"/>
  <c r="T76" i="27"/>
  <c r="V76" i="27" s="1"/>
  <c r="Q76" i="27"/>
  <c r="T75" i="27"/>
  <c r="V75" i="27" s="1"/>
  <c r="Q75" i="27"/>
  <c r="V74" i="27"/>
  <c r="T74" i="27"/>
  <c r="Q74" i="27"/>
  <c r="T73" i="27"/>
  <c r="V73" i="27" s="1"/>
  <c r="Q73" i="27"/>
  <c r="T72" i="27"/>
  <c r="V72" i="27" s="1"/>
  <c r="Q72" i="27"/>
  <c r="T71" i="27"/>
  <c r="V71" i="27" s="1"/>
  <c r="Q71" i="27"/>
  <c r="V70" i="27"/>
  <c r="T70" i="27"/>
  <c r="Q70" i="27"/>
  <c r="T69" i="27"/>
  <c r="V69" i="27" s="1"/>
  <c r="Q69" i="27"/>
  <c r="T68" i="27"/>
  <c r="V68" i="27" s="1"/>
  <c r="Q68" i="27"/>
  <c r="T67" i="27"/>
  <c r="V67" i="27" s="1"/>
  <c r="Q67" i="27"/>
  <c r="V66" i="27"/>
  <c r="T66" i="27"/>
  <c r="Q66" i="27"/>
  <c r="T65" i="27"/>
  <c r="V65" i="27" s="1"/>
  <c r="Q65" i="27"/>
  <c r="T64" i="27"/>
  <c r="V64" i="27" s="1"/>
  <c r="Q64" i="27"/>
  <c r="T63" i="27"/>
  <c r="V63" i="27" s="1"/>
  <c r="Q63" i="27"/>
  <c r="V62" i="27"/>
  <c r="T62" i="27"/>
  <c r="Q62" i="27"/>
  <c r="T61" i="27"/>
  <c r="V61" i="27" s="1"/>
  <c r="Q61" i="27"/>
  <c r="T60" i="27"/>
  <c r="V60" i="27" s="1"/>
  <c r="Q60" i="27"/>
  <c r="T59" i="27"/>
  <c r="V59" i="27" s="1"/>
  <c r="Q59" i="27"/>
  <c r="V58" i="27"/>
  <c r="T58" i="27"/>
  <c r="Q58" i="27"/>
  <c r="T57" i="27"/>
  <c r="V57" i="27" s="1"/>
  <c r="Q57" i="27"/>
  <c r="T56" i="27"/>
  <c r="V56" i="27" s="1"/>
  <c r="Q56" i="27"/>
  <c r="T55" i="27"/>
  <c r="V55" i="27" s="1"/>
  <c r="Q55" i="27"/>
  <c r="V54" i="27"/>
  <c r="T54" i="27"/>
  <c r="Q54" i="27"/>
  <c r="T53" i="27"/>
  <c r="V53" i="27" s="1"/>
  <c r="Q53" i="27"/>
  <c r="T52" i="27"/>
  <c r="V52" i="27" s="1"/>
  <c r="Q52" i="27"/>
  <c r="T51" i="27"/>
  <c r="V51" i="27" s="1"/>
  <c r="Q51" i="27"/>
  <c r="V50" i="27"/>
  <c r="T50" i="27"/>
  <c r="Q50" i="27"/>
  <c r="T49" i="27"/>
  <c r="V49" i="27" s="1"/>
  <c r="Q49" i="27"/>
  <c r="T48" i="27"/>
  <c r="V48" i="27" s="1"/>
  <c r="Q48" i="27"/>
  <c r="T47" i="27"/>
  <c r="V47" i="27" s="1"/>
  <c r="Q47" i="27"/>
  <c r="V46" i="27"/>
  <c r="T46" i="27"/>
  <c r="Q46" i="27"/>
  <c r="T45" i="27"/>
  <c r="V45" i="27" s="1"/>
  <c r="Q45" i="27"/>
  <c r="T44" i="27"/>
  <c r="V44" i="27" s="1"/>
  <c r="Q44" i="27"/>
  <c r="T43" i="27"/>
  <c r="V43" i="27" s="1"/>
  <c r="Q43" i="27"/>
  <c r="V42" i="27"/>
  <c r="T42" i="27"/>
  <c r="Q42" i="27"/>
  <c r="T41" i="27"/>
  <c r="V41" i="27" s="1"/>
  <c r="Q41" i="27"/>
  <c r="T40" i="27"/>
  <c r="V40" i="27" s="1"/>
  <c r="Q40" i="27"/>
  <c r="T39" i="27"/>
  <c r="V39" i="27" s="1"/>
  <c r="Q39" i="27"/>
  <c r="V38" i="27"/>
  <c r="T38" i="27"/>
  <c r="Q38" i="27"/>
  <c r="T37" i="27"/>
  <c r="V37" i="27" s="1"/>
  <c r="Q37" i="27"/>
  <c r="T36" i="27"/>
  <c r="V36" i="27" s="1"/>
  <c r="Q36" i="27"/>
  <c r="T35" i="27"/>
  <c r="V35" i="27" s="1"/>
  <c r="Q35" i="27"/>
  <c r="V34" i="27"/>
  <c r="T34" i="27"/>
  <c r="Q34" i="27"/>
  <c r="T33" i="27"/>
  <c r="V33" i="27" s="1"/>
  <c r="Q33" i="27"/>
  <c r="T32" i="27"/>
  <c r="V32" i="27" s="1"/>
  <c r="Q32" i="27"/>
  <c r="T31" i="27"/>
  <c r="V31" i="27" s="1"/>
  <c r="Q31" i="27"/>
  <c r="V30" i="27"/>
  <c r="T30" i="27"/>
  <c r="Q30" i="27"/>
  <c r="T29" i="27"/>
  <c r="V29" i="27" s="1"/>
  <c r="Q29" i="27"/>
  <c r="T28" i="27"/>
  <c r="V28" i="27" s="1"/>
  <c r="Q28" i="27"/>
  <c r="T27" i="27"/>
  <c r="V27" i="27" s="1"/>
  <c r="Q27" i="27"/>
  <c r="V26" i="27"/>
  <c r="T26" i="27"/>
  <c r="Q26" i="27"/>
  <c r="T25" i="27"/>
  <c r="V25" i="27" s="1"/>
  <c r="Q25" i="27"/>
  <c r="T24" i="27"/>
  <c r="V24" i="27" s="1"/>
  <c r="Q24" i="27"/>
  <c r="T23" i="27"/>
  <c r="V23" i="27" s="1"/>
  <c r="Q23" i="27"/>
  <c r="V22" i="27"/>
  <c r="T22" i="27"/>
  <c r="Q22" i="27"/>
  <c r="T21" i="27"/>
  <c r="V21" i="27" s="1"/>
  <c r="Q21" i="27"/>
  <c r="T20" i="27"/>
  <c r="V20" i="27" s="1"/>
  <c r="Q20" i="27"/>
  <c r="T19" i="27"/>
  <c r="V19" i="27" s="1"/>
  <c r="Q19" i="27"/>
  <c r="V18" i="27"/>
  <c r="T18" i="27"/>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33" i="26" l="1"/>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V160" i="24" l="1"/>
  <c r="T160" i="24"/>
  <c r="Q160" i="24"/>
  <c r="T159" i="24"/>
  <c r="V159" i="24" s="1"/>
  <c r="Q159" i="24"/>
  <c r="T158" i="24"/>
  <c r="V158" i="24" s="1"/>
  <c r="Q158" i="24"/>
  <c r="T157" i="24"/>
  <c r="V157" i="24" s="1"/>
  <c r="Q157" i="24"/>
  <c r="V156" i="24"/>
  <c r="T156" i="24"/>
  <c r="Q156" i="24"/>
  <c r="T155" i="24"/>
  <c r="V155" i="24" s="1"/>
  <c r="Q155" i="24"/>
  <c r="T154" i="24"/>
  <c r="V154" i="24" s="1"/>
  <c r="Q154" i="24"/>
  <c r="T153" i="24"/>
  <c r="V153" i="24" s="1"/>
  <c r="Q153" i="24"/>
  <c r="V152" i="24"/>
  <c r="T152" i="24"/>
  <c r="Q152" i="24"/>
  <c r="T151" i="24"/>
  <c r="V151" i="24" s="1"/>
  <c r="Q151" i="24"/>
  <c r="T150" i="24"/>
  <c r="V150" i="24" s="1"/>
  <c r="Q150" i="24"/>
  <c r="T149" i="24"/>
  <c r="V149" i="24" s="1"/>
  <c r="Q149" i="24"/>
  <c r="V148" i="24"/>
  <c r="T148" i="24"/>
  <c r="Q148" i="24"/>
  <c r="T147" i="24"/>
  <c r="V147" i="24" s="1"/>
  <c r="Q147" i="24"/>
  <c r="T146" i="24"/>
  <c r="V146" i="24" s="1"/>
  <c r="Q146" i="24"/>
  <c r="T145" i="24"/>
  <c r="V145" i="24" s="1"/>
  <c r="Q145" i="24"/>
  <c r="V144" i="24"/>
  <c r="T144" i="24"/>
  <c r="Q144" i="24"/>
  <c r="T143" i="24"/>
  <c r="V143" i="24" s="1"/>
  <c r="Q143" i="24"/>
  <c r="T142" i="24"/>
  <c r="V142" i="24" s="1"/>
  <c r="Q142" i="24"/>
  <c r="T141" i="24"/>
  <c r="V141" i="24" s="1"/>
  <c r="Q141" i="24"/>
  <c r="V140" i="24"/>
  <c r="T140" i="24"/>
  <c r="Q140" i="24"/>
  <c r="T139" i="24"/>
  <c r="V139" i="24" s="1"/>
  <c r="Q139" i="24"/>
  <c r="T138" i="24"/>
  <c r="V138" i="24" s="1"/>
  <c r="Q138" i="24"/>
  <c r="T137" i="24"/>
  <c r="V137" i="24" s="1"/>
  <c r="Q137" i="24"/>
  <c r="V136" i="24"/>
  <c r="T136" i="24"/>
  <c r="Q136" i="24"/>
  <c r="T135" i="24"/>
  <c r="V135" i="24" s="1"/>
  <c r="Q135" i="24"/>
  <c r="T134" i="24"/>
  <c r="V134" i="24" s="1"/>
  <c r="Q134" i="24"/>
  <c r="T133" i="24"/>
  <c r="V133" i="24" s="1"/>
  <c r="Q133" i="24"/>
  <c r="V132" i="24"/>
  <c r="T132" i="24"/>
  <c r="Q132" i="24"/>
  <c r="T131" i="24"/>
  <c r="V131" i="24" s="1"/>
  <c r="Q131" i="24"/>
  <c r="T130" i="24"/>
  <c r="V130" i="24" s="1"/>
  <c r="Q130" i="24"/>
  <c r="T129" i="24"/>
  <c r="V129" i="24" s="1"/>
  <c r="Q129" i="24"/>
  <c r="V128" i="24"/>
  <c r="T128" i="24"/>
  <c r="Q128" i="24"/>
  <c r="T127" i="24"/>
  <c r="V127" i="24" s="1"/>
  <c r="Q127" i="24"/>
  <c r="T126" i="24"/>
  <c r="V126" i="24" s="1"/>
  <c r="Q126" i="24"/>
  <c r="T125" i="24"/>
  <c r="V125" i="24" s="1"/>
  <c r="Q125" i="24"/>
  <c r="V124" i="24"/>
  <c r="T124" i="24"/>
  <c r="Q124" i="24"/>
  <c r="T123" i="24"/>
  <c r="V123" i="24" s="1"/>
  <c r="Q123" i="24"/>
  <c r="T122" i="24"/>
  <c r="V122" i="24" s="1"/>
  <c r="Q122" i="24"/>
  <c r="T121" i="24"/>
  <c r="V121" i="24" s="1"/>
  <c r="Q121" i="24"/>
  <c r="V120" i="24"/>
  <c r="T120" i="24"/>
  <c r="Q120" i="24"/>
  <c r="T119" i="24"/>
  <c r="V119" i="24" s="1"/>
  <c r="Q119" i="24"/>
  <c r="T118" i="24"/>
  <c r="V118" i="24" s="1"/>
  <c r="Q118" i="24"/>
  <c r="T117" i="24"/>
  <c r="V117" i="24" s="1"/>
  <c r="Q117" i="24"/>
  <c r="V116" i="24"/>
  <c r="T116" i="24"/>
  <c r="Q116" i="24"/>
  <c r="T115" i="24"/>
  <c r="V115" i="24" s="1"/>
  <c r="Q115" i="24"/>
  <c r="T114" i="24"/>
  <c r="V114" i="24" s="1"/>
  <c r="Q114" i="24"/>
  <c r="T113" i="24"/>
  <c r="V113" i="24" s="1"/>
  <c r="Q113" i="24"/>
  <c r="V112" i="24"/>
  <c r="T112" i="24"/>
  <c r="Q112" i="24"/>
  <c r="T111" i="24"/>
  <c r="V111" i="24" s="1"/>
  <c r="Q111" i="24"/>
  <c r="T110" i="24"/>
  <c r="V110" i="24" s="1"/>
  <c r="Q110" i="24"/>
  <c r="T109" i="24"/>
  <c r="V109" i="24" s="1"/>
  <c r="Q109" i="24"/>
  <c r="V108" i="24"/>
  <c r="T108" i="24"/>
  <c r="Q108" i="24"/>
  <c r="T107" i="24"/>
  <c r="V107" i="24" s="1"/>
  <c r="Q107" i="24"/>
  <c r="T106" i="24"/>
  <c r="V106" i="24" s="1"/>
  <c r="Q106" i="24"/>
  <c r="T105" i="24"/>
  <c r="V105" i="24" s="1"/>
  <c r="Q105" i="24"/>
  <c r="V104" i="24"/>
  <c r="T104" i="24"/>
  <c r="Q104" i="24"/>
  <c r="T103" i="24"/>
  <c r="V103" i="24" s="1"/>
  <c r="Q103" i="24"/>
  <c r="T102" i="24"/>
  <c r="V102" i="24" s="1"/>
  <c r="Q102" i="24"/>
  <c r="T101" i="24"/>
  <c r="V101" i="24" s="1"/>
  <c r="Q101" i="24"/>
  <c r="V100" i="24"/>
  <c r="T100" i="24"/>
  <c r="Q100" i="24"/>
  <c r="T99" i="24"/>
  <c r="V99" i="24" s="1"/>
  <c r="Q99" i="24"/>
  <c r="T98" i="24"/>
  <c r="V98" i="24" s="1"/>
  <c r="Q98" i="24"/>
  <c r="T97" i="24"/>
  <c r="V97" i="24" s="1"/>
  <c r="Q97" i="24"/>
  <c r="V96" i="24"/>
  <c r="T96" i="24"/>
  <c r="Q96" i="24"/>
  <c r="T95" i="24"/>
  <c r="V95" i="24" s="1"/>
  <c r="Q95" i="24"/>
  <c r="T94" i="24"/>
  <c r="V94" i="24" s="1"/>
  <c r="Q94" i="24"/>
  <c r="T93" i="24"/>
  <c r="V93" i="24" s="1"/>
  <c r="Q93" i="24"/>
  <c r="V92" i="24"/>
  <c r="T92" i="24"/>
  <c r="Q92" i="24"/>
  <c r="T91" i="24"/>
  <c r="V91" i="24" s="1"/>
  <c r="Q91" i="24"/>
  <c r="T90" i="24"/>
  <c r="V90" i="24" s="1"/>
  <c r="Q90" i="24"/>
  <c r="T89" i="24"/>
  <c r="V89" i="24" s="1"/>
  <c r="Q89" i="24"/>
  <c r="V88" i="24"/>
  <c r="T88" i="24"/>
  <c r="Q88" i="24"/>
  <c r="T87" i="24"/>
  <c r="V87" i="24" s="1"/>
  <c r="Q87" i="24"/>
  <c r="T86" i="24"/>
  <c r="V86" i="24" s="1"/>
  <c r="Q86" i="24"/>
  <c r="T85" i="24"/>
  <c r="V85" i="24" s="1"/>
  <c r="Q85" i="24"/>
  <c r="V84" i="24"/>
  <c r="T84" i="24"/>
  <c r="Q84" i="24"/>
  <c r="T83" i="24"/>
  <c r="V83" i="24" s="1"/>
  <c r="Q83" i="24"/>
  <c r="T82" i="24"/>
  <c r="V82" i="24" s="1"/>
  <c r="Q82" i="24"/>
  <c r="T81" i="24"/>
  <c r="V81" i="24" s="1"/>
  <c r="Q81" i="24"/>
  <c r="V80" i="24"/>
  <c r="T80" i="24"/>
  <c r="Q80" i="24"/>
  <c r="T79" i="24"/>
  <c r="V79" i="24" s="1"/>
  <c r="Q79" i="24"/>
  <c r="T78" i="24"/>
  <c r="V78" i="24" s="1"/>
  <c r="Q78" i="24"/>
  <c r="T77" i="24"/>
  <c r="V77" i="24" s="1"/>
  <c r="Q77" i="24"/>
  <c r="V76" i="24"/>
  <c r="T76" i="24"/>
  <c r="Q76" i="24"/>
  <c r="T75" i="24"/>
  <c r="V75" i="24" s="1"/>
  <c r="Q75" i="24"/>
  <c r="T74" i="24"/>
  <c r="V74" i="24" s="1"/>
  <c r="Q74" i="24"/>
  <c r="T73" i="24"/>
  <c r="V73" i="24" s="1"/>
  <c r="Q73" i="24"/>
  <c r="V72" i="24"/>
  <c r="T72" i="24"/>
  <c r="Q72" i="24"/>
  <c r="T71" i="24"/>
  <c r="V71" i="24" s="1"/>
  <c r="Q71" i="24"/>
  <c r="T70" i="24"/>
  <c r="V70" i="24" s="1"/>
  <c r="Q70" i="24"/>
  <c r="T69" i="24"/>
  <c r="V69" i="24" s="1"/>
  <c r="Q69" i="24"/>
  <c r="V68" i="24"/>
  <c r="T68" i="24"/>
  <c r="Q68" i="24"/>
  <c r="T67" i="24"/>
  <c r="V67" i="24" s="1"/>
  <c r="Q67" i="24"/>
  <c r="T66" i="24"/>
  <c r="V66" i="24" s="1"/>
  <c r="Q66" i="24"/>
  <c r="T65" i="24"/>
  <c r="V65" i="24" s="1"/>
  <c r="Q65" i="24"/>
  <c r="V64" i="24"/>
  <c r="T64" i="24"/>
  <c r="Q64" i="24"/>
  <c r="T63" i="24"/>
  <c r="V63" i="24" s="1"/>
  <c r="Q63" i="24"/>
  <c r="T62" i="24"/>
  <c r="V62" i="24" s="1"/>
  <c r="Q62" i="24"/>
  <c r="T61" i="24"/>
  <c r="V61" i="24" s="1"/>
  <c r="Q61" i="24"/>
  <c r="V60" i="24"/>
  <c r="T60" i="24"/>
  <c r="Q60" i="24"/>
  <c r="T59" i="24"/>
  <c r="V59" i="24" s="1"/>
  <c r="Q59" i="24"/>
  <c r="T58" i="24"/>
  <c r="V58" i="24" s="1"/>
  <c r="Q58" i="24"/>
  <c r="T57" i="24"/>
  <c r="V57" i="24" s="1"/>
  <c r="Q57" i="24"/>
  <c r="V56" i="24"/>
  <c r="T56" i="24"/>
  <c r="Q56" i="24"/>
  <c r="T55" i="24"/>
  <c r="V55" i="24" s="1"/>
  <c r="Q55" i="24"/>
  <c r="T54" i="24"/>
  <c r="V54" i="24" s="1"/>
  <c r="Q54" i="24"/>
  <c r="T53" i="24"/>
  <c r="V53" i="24" s="1"/>
  <c r="Q53" i="24"/>
  <c r="V52" i="24"/>
  <c r="T52" i="24"/>
  <c r="Q52" i="24"/>
  <c r="T51" i="24"/>
  <c r="V51" i="24" s="1"/>
  <c r="Q51" i="24"/>
  <c r="T50" i="24"/>
  <c r="V50" i="24" s="1"/>
  <c r="Q50" i="24"/>
  <c r="T49" i="24"/>
  <c r="V49" i="24" s="1"/>
  <c r="Q49" i="24"/>
  <c r="V48" i="24"/>
  <c r="T48" i="24"/>
  <c r="Q48" i="24"/>
  <c r="T47" i="24"/>
  <c r="V47" i="24" s="1"/>
  <c r="Q47" i="24"/>
  <c r="T46" i="24"/>
  <c r="V46" i="24" s="1"/>
  <c r="Q46" i="24"/>
  <c r="T45" i="24"/>
  <c r="V45" i="24" s="1"/>
  <c r="Q45" i="24"/>
  <c r="V44" i="24"/>
  <c r="T44" i="24"/>
  <c r="Q44" i="24"/>
  <c r="T43" i="24"/>
  <c r="V43" i="24" s="1"/>
  <c r="Q43" i="24"/>
  <c r="T42" i="24"/>
  <c r="V42" i="24" s="1"/>
  <c r="Q42" i="24"/>
  <c r="T41" i="24"/>
  <c r="V41" i="24" s="1"/>
  <c r="Q41" i="24"/>
  <c r="V40" i="24"/>
  <c r="T40" i="24"/>
  <c r="Q40" i="24"/>
  <c r="T39" i="24"/>
  <c r="V39" i="24" s="1"/>
  <c r="Q39" i="24"/>
  <c r="T38" i="24"/>
  <c r="V38" i="24" s="1"/>
  <c r="Q38" i="24"/>
  <c r="T37" i="24"/>
  <c r="V37" i="24" s="1"/>
  <c r="Q37" i="24"/>
  <c r="V36" i="24"/>
  <c r="T36" i="24"/>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114" i="23" l="1"/>
  <c r="Q111" i="23"/>
  <c r="T102" i="23"/>
  <c r="T82" i="23"/>
  <c r="Q71" i="23"/>
  <c r="Q52" i="23"/>
  <c r="Q35" i="23"/>
  <c r="Q30" i="23"/>
  <c r="T16" i="23"/>
  <c r="T6" i="23" l="1"/>
  <c r="T7" i="23"/>
  <c r="T8" i="23"/>
  <c r="T9" i="23"/>
  <c r="T10" i="23"/>
  <c r="T11" i="23"/>
  <c r="T12" i="23"/>
  <c r="T13" i="23"/>
  <c r="T14" i="23"/>
  <c r="V14" i="23" s="1"/>
  <c r="T15" i="23"/>
  <c r="V15" i="23" s="1"/>
  <c r="V16" i="23"/>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V82" i="23"/>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V102" i="23"/>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V114" i="23"/>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Q16" i="23"/>
  <c r="Q17" i="23"/>
  <c r="Q18" i="23"/>
  <c r="Q19" i="23"/>
  <c r="Q20" i="23"/>
  <c r="Q21" i="23"/>
  <c r="Q22" i="23"/>
  <c r="Q23" i="23"/>
  <c r="Q24" i="23"/>
  <c r="Q25" i="23"/>
  <c r="Q26" i="23"/>
  <c r="Q27" i="23"/>
  <c r="Q28" i="23"/>
  <c r="Q29" i="23"/>
  <c r="Q31" i="23"/>
  <c r="Q32" i="23"/>
  <c r="Q33" i="23"/>
  <c r="Q34" i="23"/>
  <c r="Q36" i="23"/>
  <c r="Q37" i="23"/>
  <c r="Q38" i="23"/>
  <c r="Q39" i="23"/>
  <c r="Q40" i="23"/>
  <c r="Q41" i="23"/>
  <c r="Q42" i="23"/>
  <c r="Q43" i="23"/>
  <c r="Q44" i="23"/>
  <c r="Q45" i="23"/>
  <c r="Q46" i="23"/>
  <c r="Q47" i="23"/>
  <c r="Q48" i="23"/>
  <c r="Q49" i="23"/>
  <c r="Q50" i="23"/>
  <c r="Q51" i="23"/>
  <c r="Q53" i="23"/>
  <c r="Q54" i="23"/>
  <c r="Q55" i="23"/>
  <c r="Q56" i="23"/>
  <c r="Q57" i="23"/>
  <c r="Q58" i="23"/>
  <c r="Q59" i="23"/>
  <c r="Q60" i="23"/>
  <c r="Q61" i="23"/>
  <c r="Q62" i="23"/>
  <c r="Q63" i="23"/>
  <c r="Q64" i="23"/>
  <c r="Q65" i="23"/>
  <c r="Q66" i="23"/>
  <c r="Q67" i="23"/>
  <c r="Q68" i="23"/>
  <c r="Q69" i="23"/>
  <c r="Q70"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<sst xmlns="http://schemas.openxmlformats.org/spreadsheetml/2006/main" count="18878" uniqueCount="419">
  <si>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</si>
  <si>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</si>
  <si>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</si>
  <si>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</si>
  <si>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</si>
  <si>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</si>
  <si>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</si>
  <si>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</si>
  <si>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</si>
  <si>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</si>
  <si>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</si>
  <si>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</si>
  <si>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</si>
  <si>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</si>
  <si>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</si>
  <si>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</si>
  <si>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</si>
  <si>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</si>
  <si>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</si>
  <si>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</si>
  <si>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</si>
  <si>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</si>
  <si>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</si>
  <si>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</si>
  <si>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</si>
  <si>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</si>
  <si>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</si>
  <si>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</si>
  <si>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</si>
  <si>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</si>
  <si>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</si>
  <si>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</si>
  <si>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</si>
  <si>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</si>
  <si>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</si>
  <si>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</si>
  <si>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</si>
  <si>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</si>
  <si>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</si>
  <si>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</si>
  <si>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</si>
  <si>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</si>
  <si>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</si>
  <si>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</si>
  <si>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</si>
  <si>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</si>
  <si>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</si>
  <si>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</si>
  <si>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</si>
  <si>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</si>
  <si>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</si>
  <si>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</si>
  <si>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</si>
  <si>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</si>
  <si>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</si>
  <si>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</si>
  <si>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</si>
  <si>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</si>
  <si>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</si>
  <si>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</si>
  <si>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</si>
  <si>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</si>
  <si>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</si>
  <si>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</si>
  <si>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</si>
  <si>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</si>
  <si>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</si>
  <si>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</si>
  <si>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</si>
  <si>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</si>
  <si>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</si>
  <si>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</si>
  <si>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</si>
  <si>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</si>
  <si>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</si>
  <si>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</si>
  <si>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</si>
  <si>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</si>
  <si>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</si>
  <si>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</si>
  <si>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</si>
  <si>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</si>
  <si>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</si>
  <si>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</si>
  <si>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</si>
  <si>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</si>
  <si>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</si>
  <si>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</si>
  <si>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</si>
  <si>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</si>
  <si>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</si>
  <si>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</si>
  <si>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</si>
  <si>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</si>
  <si>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</si>
  <si>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</si>
  <si>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</si>
  <si>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</si>
  <si>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</si>
  <si>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</si>
  <si>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</si>
  <si>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</si>
  <si>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</si>
  <si>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</si>
  <si>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</si>
  <si>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</si>
  <si>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</si>
  <si>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</si>
  <si>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</si>
  <si>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</si>
  <si>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</si>
  <si>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</si>
  <si>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</si>
  <si>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</si>
  <si>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</si>
  <si>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</si>
  <si>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</si>
  <si>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</si>
  <si>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</si>
  <si>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</si>
  <si>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</si>
  <si>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</si>
  <si>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</si>
  <si>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</si>
  <si>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</si>
  <si>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</si>
  <si>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</si>
  <si>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</si>
  <si>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</si>
  <si>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</si>
  <si>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</si>
  <si>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</si>
  <si>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</si>
  <si>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</si>
  <si>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</si>
  <si>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</si>
  <si>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</si>
  <si>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</si>
  <si>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</si>
  <si>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</si>
  <si>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</si>
  <si>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</si>
  <si>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</si>
  <si>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</si>
  <si>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</si>
  <si>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</si>
  <si>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</si>
  <si>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</si>
  <si>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</si>
  <si>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</si>
  <si>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</si>
  <si>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</si>
  <si>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</si>
  <si>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</si>
  <si>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</si>
  <si>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</si>
  <si>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</si>
  <si>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</si>
  <si>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</si>
  <si>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</si>
  <si>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</si>
  <si>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</si>
  <si>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</si>
  <si>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11.06.2020</t>
    <phoneticPr fontId="3"/>
  </si>
  <si>
    <t>店の種類</t>
    <phoneticPr fontId="3"/>
  </si>
  <si>
    <t>HE</t>
  </si>
  <si>
    <t>OB</t>
  </si>
  <si>
    <t>GA</t>
  </si>
  <si>
    <t>オオゼキ</t>
  </si>
  <si>
    <t>ＩＹ</t>
  </si>
  <si>
    <t>サミット</t>
  </si>
  <si>
    <t>ライフ</t>
  </si>
  <si>
    <t>マルエツ</t>
  </si>
  <si>
    <t>品種</t>
    <phoneticPr fontId="3"/>
  </si>
  <si>
    <t>JP</t>
  </si>
  <si>
    <t>08.06.2020</t>
    <phoneticPr fontId="3"/>
  </si>
  <si>
    <t>西友</t>
    <rPh sb="0" eb="2">
      <t>セイユウ</t>
    </rPh>
    <phoneticPr fontId="3"/>
  </si>
  <si>
    <t>宮の沢店</t>
    <rPh sb="0" eb="1">
      <t>ミヤ</t>
    </rPh>
    <rPh sb="2" eb="3">
      <t>サワ</t>
    </rPh>
    <rPh sb="3" eb="4">
      <t>テン</t>
    </rPh>
    <phoneticPr fontId="3"/>
  </si>
  <si>
    <t>JPY</t>
  </si>
  <si>
    <t>コープさっぽろ</t>
  </si>
  <si>
    <t>西宮の沢店</t>
    <rPh sb="0" eb="2">
      <t>ニシミヤ</t>
    </rPh>
    <rPh sb="3" eb="4">
      <t>サワ</t>
    </rPh>
    <rPh sb="4" eb="5">
      <t>テン</t>
    </rPh>
    <phoneticPr fontId="3"/>
  </si>
  <si>
    <t>08.06.2020</t>
  </si>
  <si>
    <t>イトーヨーカドー</t>
  </si>
  <si>
    <t>琴似店</t>
    <rPh sb="0" eb="2">
      <t>コトニ</t>
    </rPh>
    <rPh sb="2" eb="3">
      <t>テン</t>
    </rPh>
    <phoneticPr fontId="3"/>
  </si>
  <si>
    <t>マックスバリュ</t>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</si>
  <si>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</si>
  <si>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</si>
  <si>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</si>
  <si>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</si>
  <si>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</si>
  <si>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</si>
  <si>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</si>
  <si>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イオン</t>
  </si>
  <si>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</si>
  <si>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</si>
  <si>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</si>
  <si>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</si>
  <si>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マックスバリュ</t>
  </si>
  <si>
    <t>ダイイチ</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</si>
  <si>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</si>
  <si>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</si>
  <si>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</si>
  <si>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</si>
  <si>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</si>
  <si>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</si>
  <si>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</si>
  <si>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</si>
  <si>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</si>
  <si>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</si>
  <si>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</si>
  <si>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</si>
  <si>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</si>
  <si>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</si>
  <si>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</si>
  <si>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</si>
  <si>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</si>
  <si>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</si>
  <si>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</si>
  <si>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</si>
  <si>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</si>
  <si>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</si>
  <si>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</si>
  <si>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</si>
  <si>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</si>
  <si>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</si>
  <si>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</si>
  <si>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</si>
  <si>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</si>
  <si>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</si>
  <si>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</si>
  <si>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</si>
  <si>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</si>
  <si>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</si>
  <si>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</si>
  <si>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</si>
  <si>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</si>
  <si>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</si>
  <si>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</si>
  <si>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</si>
  <si>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</si>
  <si>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</si>
  <si>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</si>
  <si>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</si>
  <si>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</si>
  <si>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</si>
  <si>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</si>
  <si>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</si>
  <si>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</si>
  <si>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</si>
  <si>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</si>
  <si>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</si>
  <si>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</si>
  <si>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</si>
  <si>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</si>
  <si>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</si>
  <si>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</si>
  <si>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</si>
  <si>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</si>
  <si>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</si>
  <si>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</si>
  <si>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</si>
  <si>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</si>
  <si>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</si>
  <si>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</si>
  <si>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</si>
  <si>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</si>
  <si>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</si>
  <si>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</si>
  <si>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</si>
  <si>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</si>
  <si>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</si>
  <si>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</si>
  <si>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</si>
  <si>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</si>
  <si>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</si>
  <si>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</si>
  <si>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</si>
  <si>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</si>
  <si>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</si>
  <si>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</si>
  <si>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</si>
  <si>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</si>
  <si>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</si>
  <si>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</si>
  <si>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</si>
  <si>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</si>
  <si>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</si>
  <si>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</si>
  <si>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</si>
  <si>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</si>
  <si>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</si>
  <si>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</si>
  <si>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</si>
  <si>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</si>
  <si>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</si>
  <si>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栃木</t>
  </si>
  <si>
    <t>ＪＡ栃木</t>
  </si>
  <si>
    <t>愛知</t>
  </si>
  <si>
    <t>ＪＡ愛知</t>
  </si>
  <si>
    <t>販売
ユニット
個数</t>
    <phoneticPr fontId="4"/>
  </si>
  <si>
    <t>U/P JPY</t>
    <phoneticPr fontId="4"/>
  </si>
  <si>
    <t>10.06.2020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</si>
  <si>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</si>
  <si>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</si>
  <si>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</si>
  <si>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</si>
  <si>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</si>
  <si>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</si>
  <si>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</si>
  <si>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</si>
  <si>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</si>
  <si>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</si>
  <si>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</si>
  <si>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</si>
  <si>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</si>
  <si>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</si>
  <si>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</si>
  <si>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</si>
  <si>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</si>
  <si>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</si>
  <si>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</si>
  <si>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</si>
  <si>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</si>
  <si>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</si>
  <si>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</si>
  <si>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</si>
  <si>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</si>
  <si>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</si>
  <si>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</si>
  <si>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</si>
  <si>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</si>
  <si>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</si>
  <si>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</si>
  <si>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</si>
  <si>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</si>
  <si>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</si>
  <si>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</si>
  <si>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</si>
  <si>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</si>
  <si>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</si>
  <si>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</si>
  <si>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</si>
  <si>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</si>
  <si>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</si>
  <si>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</si>
  <si>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</si>
  <si>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</si>
  <si>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</si>
  <si>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</si>
  <si>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</si>
  <si>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</si>
  <si>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</si>
  <si>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</si>
  <si>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</si>
  <si>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</si>
  <si>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</si>
  <si>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</si>
  <si>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</si>
  <si>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</si>
  <si>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</si>
  <si>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</si>
  <si>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</si>
  <si>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</si>
  <si>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</si>
  <si>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</si>
  <si>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</si>
  <si>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</si>
  <si>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</si>
  <si>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</si>
  <si>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</si>
  <si>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</si>
  <si>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</si>
  <si>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</si>
  <si>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09.06.2020</t>
    <phoneticPr fontId="3"/>
  </si>
  <si>
    <t>マルショク</t>
    <phoneticPr fontId="3"/>
  </si>
  <si>
    <t>県名</t>
    <phoneticPr fontId="3"/>
  </si>
  <si>
    <t>チェーン名</t>
    <phoneticPr fontId="3"/>
  </si>
  <si>
    <t>JP</t>
    <phoneticPr fontId="4"/>
  </si>
  <si>
    <t>09.06.2020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</si>
  <si>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</si>
  <si>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</si>
  <si>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</si>
  <si>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</si>
  <si>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</si>
  <si>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</si>
  <si>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</si>
  <si>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</si>
  <si>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</si>
  <si>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</si>
  <si>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</si>
  <si>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</si>
  <si>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山陽マルナカ</t>
  </si>
  <si>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</si>
  <si>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</si>
  <si>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</si>
  <si>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</si>
  <si>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</si>
  <si>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</si>
  <si>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</si>
  <si>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</si>
  <si>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</si>
  <si>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</si>
  <si>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</si>
  <si>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</si>
  <si>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</si>
  <si>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</si>
  <si>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</si>
  <si>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</si>
  <si>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</si>
  <si>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</si>
  <si>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</si>
  <si>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</si>
  <si>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</si>
  <si>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</si>
  <si>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</si>
  <si>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GA</t>
    <phoneticPr fontId="3"/>
  </si>
  <si>
    <t>Zespri</t>
    <phoneticPr fontId="3"/>
  </si>
  <si>
    <t>12.06.2020</t>
    <phoneticPr fontId="3"/>
  </si>
  <si>
    <t>11.06.2020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</si>
</sst>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56" fontId="1" fillId="0" borderId="0" xfId="1" applyNumberFormat="1"/>
    <xf numFmtId="178" fontId="1" fillId="3" borderId="0" xfId="1" applyNumberFormat="1" applyFill="1" applyAlignment="1">
      <alignment horizontal="right"/>
    </xf>
    <xf numFmtId="0" fontId="1" fillId="3" borderId="0" xfId="1" applyFill="1"/>
    <xf numFmtId="0" fontId="10" fillId="0" borderId="7" xfId="1" applyFont="1" applyBorder="1"/>
    <xf numFmtId="0" fontId="0" fillId="0" borderId="12" xfId="0" applyBorder="1" applyAlignment="1">
      <alignment horizont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14" fontId="0" fillId="0" borderId="0" xfId="1" applyNumberFormat="1" applyFont="1"/>
    <xf numFmtId="178" fontId="1" fillId="2" borderId="0" xfId="1" applyNumberFormat="1" applyFill="1" applyAlignment="1">
      <alignment horizontal="right"/>
    </xf>
    <xf numFmtId="0" fontId="1" fillId="0" borderId="18" xfId="1" applyBorder="1"/>
    <xf numFmtId="0" fontId="1" fillId="2" borderId="0" xfId="1" applyFill="1" applyAlignment="1">
      <alignment horizontal="right"/>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177" fontId="1" fillId="3" borderId="0" xfId="1" applyNumberFormat="1" applyFill="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0" fillId="0" borderId="12" xfId="2" applyFont="1" applyBorder="1" applyAlignment="1">
      <alignment horizontal="center" vertical="center"/>
    </xf>
    <xf numFmtId="0" fontId="1"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0" fontId="15"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7" fillId="0" borderId="6" xfId="0" applyFont="1" applyBorder="1">
      <alignment vertical="center"/>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1" fontId="1" fillId="2" borderId="0" xfId="1" applyNumberFormat="1" applyFill="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8108-C2FE-4977-8A66-D18F8B42E02B}">
  <dimension ref="A1:BA160"/>
  <sheetViews>
    <sheetView zoomScale="85" zoomScaleNormal="85" workbookViewId="0">
      <pane ySplit="1" topLeftCell="A2" activePane="bottomLeft" state="frozen"/>
      <selection pane="bottomLeft" activeCell="A2" sqref="A2"/>
    </sheetView>
  </sheetViews>
  <sheetFormatPr defaultRowHeight="13.5" x14ac:dyDescent="0.15"/>
  <cols>
    <col min="1" max="3" width="9" style="78"/>
    <col min="4" max="4" width="10.5" style="78" bestFit="1" customWidth="1"/>
    <col min="5" max="5" width="10.875" style="78" bestFit="1" customWidth="1"/>
    <col min="6" max="13" width="9" style="78"/>
    <col min="14" max="14" width="9.5" style="78" bestFit="1" customWidth="1"/>
    <col min="15" max="16" width="9" style="78"/>
    <col min="17" max="17" width="9" style="111"/>
    <col min="18" max="18" width="9" style="78"/>
    <col min="19" max="19" width="12.75" style="78" bestFit="1" customWidth="1"/>
    <col min="20" max="20" width="9" style="16"/>
    <col min="21" max="21" width="9.5" style="78" bestFit="1" customWidth="1"/>
    <col min="22" max="22" width="9" style="16"/>
    <col min="23" max="32" width="9" style="78"/>
    <col min="33" max="33" width="13.875" style="78" bestFit="1" customWidth="1"/>
    <col min="34" max="259" width="9" style="78"/>
    <col min="260" max="260" width="10.5" style="78" bestFit="1" customWidth="1"/>
    <col min="261" max="261" width="10.875" style="78" bestFit="1" customWidth="1"/>
    <col min="262" max="276" width="9" style="78"/>
    <col min="277" max="277" width="9.5" style="78" bestFit="1" customWidth="1"/>
    <col min="278" max="288" width="9" style="78"/>
    <col min="289" max="289" width="12.375" style="78" bestFit="1" customWidth="1"/>
    <col min="290" max="515" width="9" style="78"/>
    <col min="516" max="516" width="10.5" style="78" bestFit="1" customWidth="1"/>
    <col min="517" max="517" width="10.875" style="78" bestFit="1" customWidth="1"/>
    <col min="518" max="532" width="9" style="78"/>
    <col min="533" max="533" width="9.5" style="78" bestFit="1" customWidth="1"/>
    <col min="534" max="544" width="9" style="78"/>
    <col min="545" max="545" width="12.375" style="78" bestFit="1" customWidth="1"/>
    <col min="546" max="771" width="9" style="78"/>
    <col min="772" max="772" width="10.5" style="78" bestFit="1" customWidth="1"/>
    <col min="773" max="773" width="10.875" style="78" bestFit="1" customWidth="1"/>
    <col min="774" max="788" width="9" style="78"/>
    <col min="789" max="789" width="9.5" style="78" bestFit="1" customWidth="1"/>
    <col min="790" max="800" width="9" style="78"/>
    <col min="801" max="801" width="12.375" style="78" bestFit="1" customWidth="1"/>
    <col min="802" max="1027" width="9" style="78"/>
    <col min="1028" max="1028" width="10.5" style="78" bestFit="1" customWidth="1"/>
    <col min="1029" max="1029" width="10.875" style="78" bestFit="1" customWidth="1"/>
    <col min="1030" max="1044" width="9" style="78"/>
    <col min="1045" max="1045" width="9.5" style="78" bestFit="1" customWidth="1"/>
    <col min="1046" max="1056" width="9" style="78"/>
    <col min="1057" max="1057" width="12.375" style="78" bestFit="1" customWidth="1"/>
    <col min="1058" max="1283" width="9" style="78"/>
    <col min="1284" max="1284" width="10.5" style="78" bestFit="1" customWidth="1"/>
    <col min="1285" max="1285" width="10.875" style="78" bestFit="1" customWidth="1"/>
    <col min="1286" max="1300" width="9" style="78"/>
    <col min="1301" max="1301" width="9.5" style="78" bestFit="1" customWidth="1"/>
    <col min="1302" max="1312" width="9" style="78"/>
    <col min="1313" max="1313" width="12.375" style="78" bestFit="1" customWidth="1"/>
    <col min="1314" max="1539" width="9" style="78"/>
    <col min="1540" max="1540" width="10.5" style="78" bestFit="1" customWidth="1"/>
    <col min="1541" max="1541" width="10.875" style="78" bestFit="1" customWidth="1"/>
    <col min="1542" max="1556" width="9" style="78"/>
    <col min="1557" max="1557" width="9.5" style="78" bestFit="1" customWidth="1"/>
    <col min="1558" max="1568" width="9" style="78"/>
    <col min="1569" max="1569" width="12.375" style="78" bestFit="1" customWidth="1"/>
    <col min="1570" max="1795" width="9" style="78"/>
    <col min="1796" max="1796" width="10.5" style="78" bestFit="1" customWidth="1"/>
    <col min="1797" max="1797" width="10.875" style="78" bestFit="1" customWidth="1"/>
    <col min="1798" max="1812" width="9" style="78"/>
    <col min="1813" max="1813" width="9.5" style="78" bestFit="1" customWidth="1"/>
    <col min="1814" max="1824" width="9" style="78"/>
    <col min="1825" max="1825" width="12.375" style="78" bestFit="1" customWidth="1"/>
    <col min="1826" max="2051" width="9" style="78"/>
    <col min="2052" max="2052" width="10.5" style="78" bestFit="1" customWidth="1"/>
    <col min="2053" max="2053" width="10.875" style="78" bestFit="1" customWidth="1"/>
    <col min="2054" max="2068" width="9" style="78"/>
    <col min="2069" max="2069" width="9.5" style="78" bestFit="1" customWidth="1"/>
    <col min="2070" max="2080" width="9" style="78"/>
    <col min="2081" max="2081" width="12.375" style="78" bestFit="1" customWidth="1"/>
    <col min="2082" max="2307" width="9" style="78"/>
    <col min="2308" max="2308" width="10.5" style="78" bestFit="1" customWidth="1"/>
    <col min="2309" max="2309" width="10.875" style="78" bestFit="1" customWidth="1"/>
    <col min="2310" max="2324" width="9" style="78"/>
    <col min="2325" max="2325" width="9.5" style="78" bestFit="1" customWidth="1"/>
    <col min="2326" max="2336" width="9" style="78"/>
    <col min="2337" max="2337" width="12.375" style="78" bestFit="1" customWidth="1"/>
    <col min="2338" max="2563" width="9" style="78"/>
    <col min="2564" max="2564" width="10.5" style="78" bestFit="1" customWidth="1"/>
    <col min="2565" max="2565" width="10.875" style="78" bestFit="1" customWidth="1"/>
    <col min="2566" max="2580" width="9" style="78"/>
    <col min="2581" max="2581" width="9.5" style="78" bestFit="1" customWidth="1"/>
    <col min="2582" max="2592" width="9" style="78"/>
    <col min="2593" max="2593" width="12.375" style="78" bestFit="1" customWidth="1"/>
    <col min="2594" max="2819" width="9" style="78"/>
    <col min="2820" max="2820" width="10.5" style="78" bestFit="1" customWidth="1"/>
    <col min="2821" max="2821" width="10.875" style="78" bestFit="1" customWidth="1"/>
    <col min="2822" max="2836" width="9" style="78"/>
    <col min="2837" max="2837" width="9.5" style="78" bestFit="1" customWidth="1"/>
    <col min="2838" max="2848" width="9" style="78"/>
    <col min="2849" max="2849" width="12.375" style="78" bestFit="1" customWidth="1"/>
    <col min="2850" max="3075" width="9" style="78"/>
    <col min="3076" max="3076" width="10.5" style="78" bestFit="1" customWidth="1"/>
    <col min="3077" max="3077" width="10.875" style="78" bestFit="1" customWidth="1"/>
    <col min="3078" max="3092" width="9" style="78"/>
    <col min="3093" max="3093" width="9.5" style="78" bestFit="1" customWidth="1"/>
    <col min="3094" max="3104" width="9" style="78"/>
    <col min="3105" max="3105" width="12.375" style="78" bestFit="1" customWidth="1"/>
    <col min="3106" max="3331" width="9" style="78"/>
    <col min="3332" max="3332" width="10.5" style="78" bestFit="1" customWidth="1"/>
    <col min="3333" max="3333" width="10.875" style="78" bestFit="1" customWidth="1"/>
    <col min="3334" max="3348" width="9" style="78"/>
    <col min="3349" max="3349" width="9.5" style="78" bestFit="1" customWidth="1"/>
    <col min="3350" max="3360" width="9" style="78"/>
    <col min="3361" max="3361" width="12.375" style="78" bestFit="1" customWidth="1"/>
    <col min="3362" max="3587" width="9" style="78"/>
    <col min="3588" max="3588" width="10.5" style="78" bestFit="1" customWidth="1"/>
    <col min="3589" max="3589" width="10.875" style="78" bestFit="1" customWidth="1"/>
    <col min="3590" max="3604" width="9" style="78"/>
    <col min="3605" max="3605" width="9.5" style="78" bestFit="1" customWidth="1"/>
    <col min="3606" max="3616" width="9" style="78"/>
    <col min="3617" max="3617" width="12.375" style="78" bestFit="1" customWidth="1"/>
    <col min="3618" max="3843" width="9" style="78"/>
    <col min="3844" max="3844" width="10.5" style="78" bestFit="1" customWidth="1"/>
    <col min="3845" max="3845" width="10.875" style="78" bestFit="1" customWidth="1"/>
    <col min="3846" max="3860" width="9" style="78"/>
    <col min="3861" max="3861" width="9.5" style="78" bestFit="1" customWidth="1"/>
    <col min="3862" max="3872" width="9" style="78"/>
    <col min="3873" max="3873" width="12.375" style="78" bestFit="1" customWidth="1"/>
    <col min="3874" max="4099" width="9" style="78"/>
    <col min="4100" max="4100" width="10.5" style="78" bestFit="1" customWidth="1"/>
    <col min="4101" max="4101" width="10.875" style="78" bestFit="1" customWidth="1"/>
    <col min="4102" max="4116" width="9" style="78"/>
    <col min="4117" max="4117" width="9.5" style="78" bestFit="1" customWidth="1"/>
    <col min="4118" max="4128" width="9" style="78"/>
    <col min="4129" max="4129" width="12.375" style="78" bestFit="1" customWidth="1"/>
    <col min="4130" max="4355" width="9" style="78"/>
    <col min="4356" max="4356" width="10.5" style="78" bestFit="1" customWidth="1"/>
    <col min="4357" max="4357" width="10.875" style="78" bestFit="1" customWidth="1"/>
    <col min="4358" max="4372" width="9" style="78"/>
    <col min="4373" max="4373" width="9.5" style="78" bestFit="1" customWidth="1"/>
    <col min="4374" max="4384" width="9" style="78"/>
    <col min="4385" max="4385" width="12.375" style="78" bestFit="1" customWidth="1"/>
    <col min="4386" max="4611" width="9" style="78"/>
    <col min="4612" max="4612" width="10.5" style="78" bestFit="1" customWidth="1"/>
    <col min="4613" max="4613" width="10.875" style="78" bestFit="1" customWidth="1"/>
    <col min="4614" max="4628" width="9" style="78"/>
    <col min="4629" max="4629" width="9.5" style="78" bestFit="1" customWidth="1"/>
    <col min="4630" max="4640" width="9" style="78"/>
    <col min="4641" max="4641" width="12.375" style="78" bestFit="1" customWidth="1"/>
    <col min="4642" max="4867" width="9" style="78"/>
    <col min="4868" max="4868" width="10.5" style="78" bestFit="1" customWidth="1"/>
    <col min="4869" max="4869" width="10.875" style="78" bestFit="1" customWidth="1"/>
    <col min="4870" max="4884" width="9" style="78"/>
    <col min="4885" max="4885" width="9.5" style="78" bestFit="1" customWidth="1"/>
    <col min="4886" max="4896" width="9" style="78"/>
    <col min="4897" max="4897" width="12.375" style="78" bestFit="1" customWidth="1"/>
    <col min="4898" max="5123" width="9" style="78"/>
    <col min="5124" max="5124" width="10.5" style="78" bestFit="1" customWidth="1"/>
    <col min="5125" max="5125" width="10.875" style="78" bestFit="1" customWidth="1"/>
    <col min="5126" max="5140" width="9" style="78"/>
    <col min="5141" max="5141" width="9.5" style="78" bestFit="1" customWidth="1"/>
    <col min="5142" max="5152" width="9" style="78"/>
    <col min="5153" max="5153" width="12.375" style="78" bestFit="1" customWidth="1"/>
    <col min="5154" max="5379" width="9" style="78"/>
    <col min="5380" max="5380" width="10.5" style="78" bestFit="1" customWidth="1"/>
    <col min="5381" max="5381" width="10.875" style="78" bestFit="1" customWidth="1"/>
    <col min="5382" max="5396" width="9" style="78"/>
    <col min="5397" max="5397" width="9.5" style="78" bestFit="1" customWidth="1"/>
    <col min="5398" max="5408" width="9" style="78"/>
    <col min="5409" max="5409" width="12.375" style="78" bestFit="1" customWidth="1"/>
    <col min="5410" max="5635" width="9" style="78"/>
    <col min="5636" max="5636" width="10.5" style="78" bestFit="1" customWidth="1"/>
    <col min="5637" max="5637" width="10.875" style="78" bestFit="1" customWidth="1"/>
    <col min="5638" max="5652" width="9" style="78"/>
    <col min="5653" max="5653" width="9.5" style="78" bestFit="1" customWidth="1"/>
    <col min="5654" max="5664" width="9" style="78"/>
    <col min="5665" max="5665" width="12.375" style="78" bestFit="1" customWidth="1"/>
    <col min="5666" max="5891" width="9" style="78"/>
    <col min="5892" max="5892" width="10.5" style="78" bestFit="1" customWidth="1"/>
    <col min="5893" max="5893" width="10.875" style="78" bestFit="1" customWidth="1"/>
    <col min="5894" max="5908" width="9" style="78"/>
    <col min="5909" max="5909" width="9.5" style="78" bestFit="1" customWidth="1"/>
    <col min="5910" max="5920" width="9" style="78"/>
    <col min="5921" max="5921" width="12.375" style="78" bestFit="1" customWidth="1"/>
    <col min="5922" max="6147" width="9" style="78"/>
    <col min="6148" max="6148" width="10.5" style="78" bestFit="1" customWidth="1"/>
    <col min="6149" max="6149" width="10.875" style="78" bestFit="1" customWidth="1"/>
    <col min="6150" max="6164" width="9" style="78"/>
    <col min="6165" max="6165" width="9.5" style="78" bestFit="1" customWidth="1"/>
    <col min="6166" max="6176" width="9" style="78"/>
    <col min="6177" max="6177" width="12.375" style="78" bestFit="1" customWidth="1"/>
    <col min="6178" max="6403" width="9" style="78"/>
    <col min="6404" max="6404" width="10.5" style="78" bestFit="1" customWidth="1"/>
    <col min="6405" max="6405" width="10.875" style="78" bestFit="1" customWidth="1"/>
    <col min="6406" max="6420" width="9" style="78"/>
    <col min="6421" max="6421" width="9.5" style="78" bestFit="1" customWidth="1"/>
    <col min="6422" max="6432" width="9" style="78"/>
    <col min="6433" max="6433" width="12.375" style="78" bestFit="1" customWidth="1"/>
    <col min="6434" max="6659" width="9" style="78"/>
    <col min="6660" max="6660" width="10.5" style="78" bestFit="1" customWidth="1"/>
    <col min="6661" max="6661" width="10.875" style="78" bestFit="1" customWidth="1"/>
    <col min="6662" max="6676" width="9" style="78"/>
    <col min="6677" max="6677" width="9.5" style="78" bestFit="1" customWidth="1"/>
    <col min="6678" max="6688" width="9" style="78"/>
    <col min="6689" max="6689" width="12.375" style="78" bestFit="1" customWidth="1"/>
    <col min="6690" max="6915" width="9" style="78"/>
    <col min="6916" max="6916" width="10.5" style="78" bestFit="1" customWidth="1"/>
    <col min="6917" max="6917" width="10.875" style="78" bestFit="1" customWidth="1"/>
    <col min="6918" max="6932" width="9" style="78"/>
    <col min="6933" max="6933" width="9.5" style="78" bestFit="1" customWidth="1"/>
    <col min="6934" max="6944" width="9" style="78"/>
    <col min="6945" max="6945" width="12.375" style="78" bestFit="1" customWidth="1"/>
    <col min="6946" max="7171" width="9" style="78"/>
    <col min="7172" max="7172" width="10.5" style="78" bestFit="1" customWidth="1"/>
    <col min="7173" max="7173" width="10.875" style="78" bestFit="1" customWidth="1"/>
    <col min="7174" max="7188" width="9" style="78"/>
    <col min="7189" max="7189" width="9.5" style="78" bestFit="1" customWidth="1"/>
    <col min="7190" max="7200" width="9" style="78"/>
    <col min="7201" max="7201" width="12.375" style="78" bestFit="1" customWidth="1"/>
    <col min="7202" max="7427" width="9" style="78"/>
    <col min="7428" max="7428" width="10.5" style="78" bestFit="1" customWidth="1"/>
    <col min="7429" max="7429" width="10.875" style="78" bestFit="1" customWidth="1"/>
    <col min="7430" max="7444" width="9" style="78"/>
    <col min="7445" max="7445" width="9.5" style="78" bestFit="1" customWidth="1"/>
    <col min="7446" max="7456" width="9" style="78"/>
    <col min="7457" max="7457" width="12.375" style="78" bestFit="1" customWidth="1"/>
    <col min="7458" max="7683" width="9" style="78"/>
    <col min="7684" max="7684" width="10.5" style="78" bestFit="1" customWidth="1"/>
    <col min="7685" max="7685" width="10.875" style="78" bestFit="1" customWidth="1"/>
    <col min="7686" max="7700" width="9" style="78"/>
    <col min="7701" max="7701" width="9.5" style="78" bestFit="1" customWidth="1"/>
    <col min="7702" max="7712" width="9" style="78"/>
    <col min="7713" max="7713" width="12.375" style="78" bestFit="1" customWidth="1"/>
    <col min="7714" max="7939" width="9" style="78"/>
    <col min="7940" max="7940" width="10.5" style="78" bestFit="1" customWidth="1"/>
    <col min="7941" max="7941" width="10.875" style="78" bestFit="1" customWidth="1"/>
    <col min="7942" max="7956" width="9" style="78"/>
    <col min="7957" max="7957" width="9.5" style="78" bestFit="1" customWidth="1"/>
    <col min="7958" max="7968" width="9" style="78"/>
    <col min="7969" max="7969" width="12.375" style="78" bestFit="1" customWidth="1"/>
    <col min="7970" max="8195" width="9" style="78"/>
    <col min="8196" max="8196" width="10.5" style="78" bestFit="1" customWidth="1"/>
    <col min="8197" max="8197" width="10.875" style="78" bestFit="1" customWidth="1"/>
    <col min="8198" max="8212" width="9" style="78"/>
    <col min="8213" max="8213" width="9.5" style="78" bestFit="1" customWidth="1"/>
    <col min="8214" max="8224" width="9" style="78"/>
    <col min="8225" max="8225" width="12.375" style="78" bestFit="1" customWidth="1"/>
    <col min="8226" max="8451" width="9" style="78"/>
    <col min="8452" max="8452" width="10.5" style="78" bestFit="1" customWidth="1"/>
    <col min="8453" max="8453" width="10.875" style="78" bestFit="1" customWidth="1"/>
    <col min="8454" max="8468" width="9" style="78"/>
    <col min="8469" max="8469" width="9.5" style="78" bestFit="1" customWidth="1"/>
    <col min="8470" max="8480" width="9" style="78"/>
    <col min="8481" max="8481" width="12.375" style="78" bestFit="1" customWidth="1"/>
    <col min="8482" max="8707" width="9" style="78"/>
    <col min="8708" max="8708" width="10.5" style="78" bestFit="1" customWidth="1"/>
    <col min="8709" max="8709" width="10.875" style="78" bestFit="1" customWidth="1"/>
    <col min="8710" max="8724" width="9" style="78"/>
    <col min="8725" max="8725" width="9.5" style="78" bestFit="1" customWidth="1"/>
    <col min="8726" max="8736" width="9" style="78"/>
    <col min="8737" max="8737" width="12.375" style="78" bestFit="1" customWidth="1"/>
    <col min="8738" max="8963" width="9" style="78"/>
    <col min="8964" max="8964" width="10.5" style="78" bestFit="1" customWidth="1"/>
    <col min="8965" max="8965" width="10.875" style="78" bestFit="1" customWidth="1"/>
    <col min="8966" max="8980" width="9" style="78"/>
    <col min="8981" max="8981" width="9.5" style="78" bestFit="1" customWidth="1"/>
    <col min="8982" max="8992" width="9" style="78"/>
    <col min="8993" max="8993" width="12.375" style="78" bestFit="1" customWidth="1"/>
    <col min="8994" max="9219" width="9" style="78"/>
    <col min="9220" max="9220" width="10.5" style="78" bestFit="1" customWidth="1"/>
    <col min="9221" max="9221" width="10.875" style="78" bestFit="1" customWidth="1"/>
    <col min="9222" max="9236" width="9" style="78"/>
    <col min="9237" max="9237" width="9.5" style="78" bestFit="1" customWidth="1"/>
    <col min="9238" max="9248" width="9" style="78"/>
    <col min="9249" max="9249" width="12.375" style="78" bestFit="1" customWidth="1"/>
    <col min="9250" max="9475" width="9" style="78"/>
    <col min="9476" max="9476" width="10.5" style="78" bestFit="1" customWidth="1"/>
    <col min="9477" max="9477" width="10.875" style="78" bestFit="1" customWidth="1"/>
    <col min="9478" max="9492" width="9" style="78"/>
    <col min="9493" max="9493" width="9.5" style="78" bestFit="1" customWidth="1"/>
    <col min="9494" max="9504" width="9" style="78"/>
    <col min="9505" max="9505" width="12.375" style="78" bestFit="1" customWidth="1"/>
    <col min="9506" max="9731" width="9" style="78"/>
    <col min="9732" max="9732" width="10.5" style="78" bestFit="1" customWidth="1"/>
    <col min="9733" max="9733" width="10.875" style="78" bestFit="1" customWidth="1"/>
    <col min="9734" max="9748" width="9" style="78"/>
    <col min="9749" max="9749" width="9.5" style="78" bestFit="1" customWidth="1"/>
    <col min="9750" max="9760" width="9" style="78"/>
    <col min="9761" max="9761" width="12.375" style="78" bestFit="1" customWidth="1"/>
    <col min="9762" max="9987" width="9" style="78"/>
    <col min="9988" max="9988" width="10.5" style="78" bestFit="1" customWidth="1"/>
    <col min="9989" max="9989" width="10.875" style="78" bestFit="1" customWidth="1"/>
    <col min="9990" max="10004" width="9" style="78"/>
    <col min="10005" max="10005" width="9.5" style="78" bestFit="1" customWidth="1"/>
    <col min="10006" max="10016" width="9" style="78"/>
    <col min="10017" max="10017" width="12.375" style="78" bestFit="1" customWidth="1"/>
    <col min="10018" max="10243" width="9" style="78"/>
    <col min="10244" max="10244" width="10.5" style="78" bestFit="1" customWidth="1"/>
    <col min="10245" max="10245" width="10.875" style="78" bestFit="1" customWidth="1"/>
    <col min="10246" max="10260" width="9" style="78"/>
    <col min="10261" max="10261" width="9.5" style="78" bestFit="1" customWidth="1"/>
    <col min="10262" max="10272" width="9" style="78"/>
    <col min="10273" max="10273" width="12.375" style="78" bestFit="1" customWidth="1"/>
    <col min="10274" max="10499" width="9" style="78"/>
    <col min="10500" max="10500" width="10.5" style="78" bestFit="1" customWidth="1"/>
    <col min="10501" max="10501" width="10.875" style="78" bestFit="1" customWidth="1"/>
    <col min="10502" max="10516" width="9" style="78"/>
    <col min="10517" max="10517" width="9.5" style="78" bestFit="1" customWidth="1"/>
    <col min="10518" max="10528" width="9" style="78"/>
    <col min="10529" max="10529" width="12.375" style="78" bestFit="1" customWidth="1"/>
    <col min="10530" max="10755" width="9" style="78"/>
    <col min="10756" max="10756" width="10.5" style="78" bestFit="1" customWidth="1"/>
    <col min="10757" max="10757" width="10.875" style="78" bestFit="1" customWidth="1"/>
    <col min="10758" max="10772" width="9" style="78"/>
    <col min="10773" max="10773" width="9.5" style="78" bestFit="1" customWidth="1"/>
    <col min="10774" max="10784" width="9" style="78"/>
    <col min="10785" max="10785" width="12.375" style="78" bestFit="1" customWidth="1"/>
    <col min="10786" max="11011" width="9" style="78"/>
    <col min="11012" max="11012" width="10.5" style="78" bestFit="1" customWidth="1"/>
    <col min="11013" max="11013" width="10.875" style="78" bestFit="1" customWidth="1"/>
    <col min="11014" max="11028" width="9" style="78"/>
    <col min="11029" max="11029" width="9.5" style="78" bestFit="1" customWidth="1"/>
    <col min="11030" max="11040" width="9" style="78"/>
    <col min="11041" max="11041" width="12.375" style="78" bestFit="1" customWidth="1"/>
    <col min="11042" max="11267" width="9" style="78"/>
    <col min="11268" max="11268" width="10.5" style="78" bestFit="1" customWidth="1"/>
    <col min="11269" max="11269" width="10.875" style="78" bestFit="1" customWidth="1"/>
    <col min="11270" max="11284" width="9" style="78"/>
    <col min="11285" max="11285" width="9.5" style="78" bestFit="1" customWidth="1"/>
    <col min="11286" max="11296" width="9" style="78"/>
    <col min="11297" max="11297" width="12.375" style="78" bestFit="1" customWidth="1"/>
    <col min="11298" max="11523" width="9" style="78"/>
    <col min="11524" max="11524" width="10.5" style="78" bestFit="1" customWidth="1"/>
    <col min="11525" max="11525" width="10.875" style="78" bestFit="1" customWidth="1"/>
    <col min="11526" max="11540" width="9" style="78"/>
    <col min="11541" max="11541" width="9.5" style="78" bestFit="1" customWidth="1"/>
    <col min="11542" max="11552" width="9" style="78"/>
    <col min="11553" max="11553" width="12.375" style="78" bestFit="1" customWidth="1"/>
    <col min="11554" max="11779" width="9" style="78"/>
    <col min="11780" max="11780" width="10.5" style="78" bestFit="1" customWidth="1"/>
    <col min="11781" max="11781" width="10.875" style="78" bestFit="1" customWidth="1"/>
    <col min="11782" max="11796" width="9" style="78"/>
    <col min="11797" max="11797" width="9.5" style="78" bestFit="1" customWidth="1"/>
    <col min="11798" max="11808" width="9" style="78"/>
    <col min="11809" max="11809" width="12.375" style="78" bestFit="1" customWidth="1"/>
    <col min="11810" max="12035" width="9" style="78"/>
    <col min="12036" max="12036" width="10.5" style="78" bestFit="1" customWidth="1"/>
    <col min="12037" max="12037" width="10.875" style="78" bestFit="1" customWidth="1"/>
    <col min="12038" max="12052" width="9" style="78"/>
    <col min="12053" max="12053" width="9.5" style="78" bestFit="1" customWidth="1"/>
    <col min="12054" max="12064" width="9" style="78"/>
    <col min="12065" max="12065" width="12.375" style="78" bestFit="1" customWidth="1"/>
    <col min="12066" max="12291" width="9" style="78"/>
    <col min="12292" max="12292" width="10.5" style="78" bestFit="1" customWidth="1"/>
    <col min="12293" max="12293" width="10.875" style="78" bestFit="1" customWidth="1"/>
    <col min="12294" max="12308" width="9" style="78"/>
    <col min="12309" max="12309" width="9.5" style="78" bestFit="1" customWidth="1"/>
    <col min="12310" max="12320" width="9" style="78"/>
    <col min="12321" max="12321" width="12.375" style="78" bestFit="1" customWidth="1"/>
    <col min="12322" max="12547" width="9" style="78"/>
    <col min="12548" max="12548" width="10.5" style="78" bestFit="1" customWidth="1"/>
    <col min="12549" max="12549" width="10.875" style="78" bestFit="1" customWidth="1"/>
    <col min="12550" max="12564" width="9" style="78"/>
    <col min="12565" max="12565" width="9.5" style="78" bestFit="1" customWidth="1"/>
    <col min="12566" max="12576" width="9" style="78"/>
    <col min="12577" max="12577" width="12.375" style="78" bestFit="1" customWidth="1"/>
    <col min="12578" max="12803" width="9" style="78"/>
    <col min="12804" max="12804" width="10.5" style="78" bestFit="1" customWidth="1"/>
    <col min="12805" max="12805" width="10.875" style="78" bestFit="1" customWidth="1"/>
    <col min="12806" max="12820" width="9" style="78"/>
    <col min="12821" max="12821" width="9.5" style="78" bestFit="1" customWidth="1"/>
    <col min="12822" max="12832" width="9" style="78"/>
    <col min="12833" max="12833" width="12.375" style="78" bestFit="1" customWidth="1"/>
    <col min="12834" max="13059" width="9" style="78"/>
    <col min="13060" max="13060" width="10.5" style="78" bestFit="1" customWidth="1"/>
    <col min="13061" max="13061" width="10.875" style="78" bestFit="1" customWidth="1"/>
    <col min="13062" max="13076" width="9" style="78"/>
    <col min="13077" max="13077" width="9.5" style="78" bestFit="1" customWidth="1"/>
    <col min="13078" max="13088" width="9" style="78"/>
    <col min="13089" max="13089" width="12.375" style="78" bestFit="1" customWidth="1"/>
    <col min="13090" max="13315" width="9" style="78"/>
    <col min="13316" max="13316" width="10.5" style="78" bestFit="1" customWidth="1"/>
    <col min="13317" max="13317" width="10.875" style="78" bestFit="1" customWidth="1"/>
    <col min="13318" max="13332" width="9" style="78"/>
    <col min="13333" max="13333" width="9.5" style="78" bestFit="1" customWidth="1"/>
    <col min="13334" max="13344" width="9" style="78"/>
    <col min="13345" max="13345" width="12.375" style="78" bestFit="1" customWidth="1"/>
    <col min="13346" max="13571" width="9" style="78"/>
    <col min="13572" max="13572" width="10.5" style="78" bestFit="1" customWidth="1"/>
    <col min="13573" max="13573" width="10.875" style="78" bestFit="1" customWidth="1"/>
    <col min="13574" max="13588" width="9" style="78"/>
    <col min="13589" max="13589" width="9.5" style="78" bestFit="1" customWidth="1"/>
    <col min="13590" max="13600" width="9" style="78"/>
    <col min="13601" max="13601" width="12.375" style="78" bestFit="1" customWidth="1"/>
    <col min="13602" max="13827" width="9" style="78"/>
    <col min="13828" max="13828" width="10.5" style="78" bestFit="1" customWidth="1"/>
    <col min="13829" max="13829" width="10.875" style="78" bestFit="1" customWidth="1"/>
    <col min="13830" max="13844" width="9" style="78"/>
    <col min="13845" max="13845" width="9.5" style="78" bestFit="1" customWidth="1"/>
    <col min="13846" max="13856" width="9" style="78"/>
    <col min="13857" max="13857" width="12.375" style="78" bestFit="1" customWidth="1"/>
    <col min="13858" max="14083" width="9" style="78"/>
    <col min="14084" max="14084" width="10.5" style="78" bestFit="1" customWidth="1"/>
    <col min="14085" max="14085" width="10.875" style="78" bestFit="1" customWidth="1"/>
    <col min="14086" max="14100" width="9" style="78"/>
    <col min="14101" max="14101" width="9.5" style="78" bestFit="1" customWidth="1"/>
    <col min="14102" max="14112" width="9" style="78"/>
    <col min="14113" max="14113" width="12.375" style="78" bestFit="1" customWidth="1"/>
    <col min="14114" max="14339" width="9" style="78"/>
    <col min="14340" max="14340" width="10.5" style="78" bestFit="1" customWidth="1"/>
    <col min="14341" max="14341" width="10.875" style="78" bestFit="1" customWidth="1"/>
    <col min="14342" max="14356" width="9" style="78"/>
    <col min="14357" max="14357" width="9.5" style="78" bestFit="1" customWidth="1"/>
    <col min="14358" max="14368" width="9" style="78"/>
    <col min="14369" max="14369" width="12.375" style="78" bestFit="1" customWidth="1"/>
    <col min="14370" max="14595" width="9" style="78"/>
    <col min="14596" max="14596" width="10.5" style="78" bestFit="1" customWidth="1"/>
    <col min="14597" max="14597" width="10.875" style="78" bestFit="1" customWidth="1"/>
    <col min="14598" max="14612" width="9" style="78"/>
    <col min="14613" max="14613" width="9.5" style="78" bestFit="1" customWidth="1"/>
    <col min="14614" max="14624" width="9" style="78"/>
    <col min="14625" max="14625" width="12.375" style="78" bestFit="1" customWidth="1"/>
    <col min="14626" max="14851" width="9" style="78"/>
    <col min="14852" max="14852" width="10.5" style="78" bestFit="1" customWidth="1"/>
    <col min="14853" max="14853" width="10.875" style="78" bestFit="1" customWidth="1"/>
    <col min="14854" max="14868" width="9" style="78"/>
    <col min="14869" max="14869" width="9.5" style="78" bestFit="1" customWidth="1"/>
    <col min="14870" max="14880" width="9" style="78"/>
    <col min="14881" max="14881" width="12.375" style="78" bestFit="1" customWidth="1"/>
    <col min="14882" max="15107" width="9" style="78"/>
    <col min="15108" max="15108" width="10.5" style="78" bestFit="1" customWidth="1"/>
    <col min="15109" max="15109" width="10.875" style="78" bestFit="1" customWidth="1"/>
    <col min="15110" max="15124" width="9" style="78"/>
    <col min="15125" max="15125" width="9.5" style="78" bestFit="1" customWidth="1"/>
    <col min="15126" max="15136" width="9" style="78"/>
    <col min="15137" max="15137" width="12.375" style="78" bestFit="1" customWidth="1"/>
    <col min="15138" max="15363" width="9" style="78"/>
    <col min="15364" max="15364" width="10.5" style="78" bestFit="1" customWidth="1"/>
    <col min="15365" max="15365" width="10.875" style="78" bestFit="1" customWidth="1"/>
    <col min="15366" max="15380" width="9" style="78"/>
    <col min="15381" max="15381" width="9.5" style="78" bestFit="1" customWidth="1"/>
    <col min="15382" max="15392" width="9" style="78"/>
    <col min="15393" max="15393" width="12.375" style="78" bestFit="1" customWidth="1"/>
    <col min="15394" max="15619" width="9" style="78"/>
    <col min="15620" max="15620" width="10.5" style="78" bestFit="1" customWidth="1"/>
    <col min="15621" max="15621" width="10.875" style="78" bestFit="1" customWidth="1"/>
    <col min="15622" max="15636" width="9" style="78"/>
    <col min="15637" max="15637" width="9.5" style="78" bestFit="1" customWidth="1"/>
    <col min="15638" max="15648" width="9" style="78"/>
    <col min="15649" max="15649" width="12.375" style="78" bestFit="1" customWidth="1"/>
    <col min="15650" max="15875" width="9" style="78"/>
    <col min="15876" max="15876" width="10.5" style="78" bestFit="1" customWidth="1"/>
    <col min="15877" max="15877" width="10.875" style="78" bestFit="1" customWidth="1"/>
    <col min="15878" max="15892" width="9" style="78"/>
    <col min="15893" max="15893" width="9.5" style="78" bestFit="1" customWidth="1"/>
    <col min="15894" max="15904" width="9" style="78"/>
    <col min="15905" max="15905" width="12.375" style="78" bestFit="1" customWidth="1"/>
    <col min="15906" max="16131" width="9" style="78"/>
    <col min="16132" max="16132" width="10.5" style="78" bestFit="1" customWidth="1"/>
    <col min="16133" max="16133" width="10.875" style="78" bestFit="1" customWidth="1"/>
    <col min="16134" max="16148" width="9" style="78"/>
    <col min="16149" max="16149" width="9.5" style="78" bestFit="1" customWidth="1"/>
    <col min="16150" max="16160" width="9" style="78"/>
    <col min="16161" max="16161" width="12.375" style="78" bestFit="1" customWidth="1"/>
    <col min="16162" max="16384" width="9" style="78"/>
  </cols>
  <sheetData>
    <row r="1" spans="1:53" ht="4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11</v>
      </c>
      <c r="O1" s="94" t="s">
        <v>120</v>
      </c>
      <c r="P1" s="94" t="s">
        <v>121</v>
      </c>
      <c r="Q1" s="3" t="s">
        <v>12</v>
      </c>
      <c r="R1" s="94" t="s">
        <v>122</v>
      </c>
      <c r="S1" s="94" t="s">
        <v>123</v>
      </c>
      <c r="T1" s="3" t="s">
        <v>13</v>
      </c>
      <c r="U1" s="95" t="s">
        <v>92</v>
      </c>
      <c r="V1" s="5" t="s">
        <v>14</v>
      </c>
      <c r="W1" s="94" t="s">
        <v>15</v>
      </c>
      <c r="X1" s="84" t="s">
        <v>16</v>
      </c>
      <c r="Y1" s="84" t="s">
        <v>17</v>
      </c>
      <c r="Z1" s="84" t="s">
        <v>18</v>
      </c>
      <c r="AA1" s="42" t="s">
        <v>19</v>
      </c>
      <c r="AB1" s="96" t="s">
        <v>124</v>
      </c>
      <c r="AE1" s="97" t="s">
        <v>0</v>
      </c>
      <c r="AF1" s="98"/>
      <c r="AG1" s="97" t="s">
        <v>3</v>
      </c>
      <c r="AH1" s="97" t="s">
        <v>4</v>
      </c>
      <c r="AI1" s="98"/>
      <c r="AJ1" s="97" t="s">
        <v>5</v>
      </c>
      <c r="AK1" s="98"/>
      <c r="AL1" s="10" t="s">
        <v>173</v>
      </c>
      <c r="AM1" s="98"/>
      <c r="AN1" s="10" t="s">
        <v>7</v>
      </c>
      <c r="AO1" s="98"/>
      <c r="AP1" s="10" t="s">
        <v>20</v>
      </c>
      <c r="AQ1" s="98"/>
      <c r="AR1" s="10" t="s">
        <v>9</v>
      </c>
      <c r="AS1" s="98"/>
      <c r="AT1" s="11" t="s">
        <v>21</v>
      </c>
      <c r="AU1" s="98"/>
      <c r="AV1" s="10" t="s">
        <v>22</v>
      </c>
      <c r="AX1" s="12" t="s">
        <v>125</v>
      </c>
      <c r="AY1" s="13" t="s">
        <v>126</v>
      </c>
      <c r="AZ1" s="13" t="s">
        <v>127</v>
      </c>
      <c r="BA1" s="14" t="s">
        <v>128</v>
      </c>
    </row>
    <row r="2" spans="1:53" x14ac:dyDescent="0.15">
      <c r="A2" s="78" t="s">
        <v>24</v>
      </c>
      <c r="B2" s="78" t="s">
        <v>174</v>
      </c>
      <c r="C2" s="78">
        <v>2020</v>
      </c>
      <c r="D2" s="99" t="s">
        <v>175</v>
      </c>
      <c r="E2" s="78" t="s">
        <v>176</v>
      </c>
      <c r="F2" s="78" t="s">
        <v>177</v>
      </c>
      <c r="G2" s="78" t="s">
        <v>25</v>
      </c>
      <c r="H2" s="78" t="s">
        <v>113</v>
      </c>
      <c r="I2" s="78" t="s">
        <v>111</v>
      </c>
      <c r="J2" s="78" t="s">
        <v>27</v>
      </c>
      <c r="K2" s="78" t="s">
        <v>112</v>
      </c>
      <c r="L2" s="78">
        <v>1</v>
      </c>
      <c r="N2" s="34">
        <v>1</v>
      </c>
      <c r="O2" s="78">
        <v>0.5</v>
      </c>
      <c r="P2" s="78">
        <v>0.5</v>
      </c>
      <c r="Q2" s="100">
        <f t="shared" ref="Q2:Q65" si="0">IF(OR(O2="",P2=""),"",AVERAGE(O2,P2))</f>
        <v>0.5</v>
      </c>
      <c r="R2" s="78">
        <v>14.3</v>
      </c>
      <c r="S2" s="78">
        <v>118</v>
      </c>
      <c r="T2" s="101">
        <f t="shared" ref="T2:T65" si="1">IF(H2="","",IF(OR(H2="GREEN",H2="GK"),IF(S2&gt;=$AX$2,VLOOKUP(S2,$AX$2:$AY$12,2,1),""),IF(S2&gt;=$AZ$2,VLOOKUP(S2,$AZ$2:$BA$12,2,1),"")))</f>
        <v>30</v>
      </c>
      <c r="U2" s="78">
        <v>97</v>
      </c>
      <c r="V2" s="101">
        <f t="shared" ref="V2:V65" si="2">IF(OR(N2="",U2="",T2=""),"",U2/N2*T2)</f>
        <v>2910</v>
      </c>
      <c r="W2" s="78">
        <v>2</v>
      </c>
      <c r="X2" s="78" t="s">
        <v>35</v>
      </c>
      <c r="Y2" s="78" t="s">
        <v>43</v>
      </c>
      <c r="Z2" s="78" t="s">
        <v>72</v>
      </c>
      <c r="AA2" s="78" t="s">
        <v>55</v>
      </c>
      <c r="AB2" s="34" t="s">
        <v>178</v>
      </c>
      <c r="AE2" s="102" t="s">
        <v>24</v>
      </c>
      <c r="AG2" s="103" t="s">
        <v>179</v>
      </c>
      <c r="AH2" s="103" t="s">
        <v>180</v>
      </c>
      <c r="AJ2" s="50" t="s">
        <v>25</v>
      </c>
      <c r="AL2" s="104" t="s">
        <v>107</v>
      </c>
      <c r="AN2" s="50" t="s">
        <v>26</v>
      </c>
      <c r="AP2" s="50" t="s">
        <v>27</v>
      </c>
      <c r="AR2" s="50" t="s">
        <v>129</v>
      </c>
      <c r="AT2" s="50" t="s">
        <v>28</v>
      </c>
      <c r="AV2" s="50" t="s">
        <v>29</v>
      </c>
      <c r="AX2" s="105">
        <v>1</v>
      </c>
      <c r="AY2" s="106">
        <v>50</v>
      </c>
      <c r="AZ2" s="106">
        <v>1</v>
      </c>
      <c r="BA2" s="107">
        <v>50</v>
      </c>
    </row>
    <row r="3" spans="1:53" x14ac:dyDescent="0.15">
      <c r="A3" s="78" t="s">
        <v>24</v>
      </c>
      <c r="B3" s="78" t="s">
        <v>174</v>
      </c>
      <c r="C3" s="78">
        <v>2020</v>
      </c>
      <c r="D3" s="108" t="s">
        <v>181</v>
      </c>
      <c r="E3" s="78" t="s">
        <v>176</v>
      </c>
      <c r="F3" s="78" t="s">
        <v>177</v>
      </c>
      <c r="G3" s="78" t="s">
        <v>25</v>
      </c>
      <c r="H3" s="78" t="s">
        <v>113</v>
      </c>
      <c r="I3" s="78" t="s">
        <v>111</v>
      </c>
      <c r="J3" s="78" t="s">
        <v>27</v>
      </c>
      <c r="K3" s="78" t="s">
        <v>112</v>
      </c>
      <c r="L3" s="78">
        <v>2</v>
      </c>
      <c r="N3" s="78">
        <v>1</v>
      </c>
      <c r="O3" s="34">
        <v>0.5</v>
      </c>
      <c r="P3" s="78">
        <v>0.5</v>
      </c>
      <c r="Q3" s="109">
        <f t="shared" si="0"/>
        <v>0.5</v>
      </c>
      <c r="R3" s="78">
        <v>16.3</v>
      </c>
      <c r="S3" s="78">
        <v>121</v>
      </c>
      <c r="T3" s="16">
        <f t="shared" si="1"/>
        <v>27</v>
      </c>
      <c r="U3" s="78">
        <v>97</v>
      </c>
      <c r="V3" s="16">
        <f t="shared" si="2"/>
        <v>2619</v>
      </c>
      <c r="W3" s="78">
        <v>2</v>
      </c>
      <c r="X3" s="78" t="s">
        <v>35</v>
      </c>
      <c r="Y3" s="78" t="s">
        <v>43</v>
      </c>
      <c r="Z3" s="78" t="s">
        <v>72</v>
      </c>
      <c r="AA3" s="78" t="s">
        <v>55</v>
      </c>
      <c r="AB3" s="34" t="s">
        <v>178</v>
      </c>
      <c r="AE3" s="22" t="s">
        <v>30</v>
      </c>
      <c r="AG3" s="103" t="s">
        <v>182</v>
      </c>
      <c r="AH3" s="103" t="s">
        <v>183</v>
      </c>
      <c r="AJ3" s="81" t="s">
        <v>31</v>
      </c>
      <c r="AL3" s="81" t="s">
        <v>108</v>
      </c>
      <c r="AN3" s="81" t="s">
        <v>32</v>
      </c>
      <c r="AP3" s="81" t="s">
        <v>33</v>
      </c>
      <c r="AR3" s="81" t="s">
        <v>34</v>
      </c>
      <c r="AT3" s="81" t="s">
        <v>35</v>
      </c>
      <c r="AV3" s="81" t="s">
        <v>36</v>
      </c>
      <c r="AX3" s="24">
        <v>72</v>
      </c>
      <c r="AY3" s="25">
        <v>46</v>
      </c>
      <c r="AZ3" s="25">
        <v>71</v>
      </c>
      <c r="BA3" s="26">
        <v>42</v>
      </c>
    </row>
    <row r="4" spans="1:53" x14ac:dyDescent="0.15">
      <c r="A4" s="78" t="s">
        <v>24</v>
      </c>
      <c r="B4" s="78" t="s">
        <v>174</v>
      </c>
      <c r="C4" s="78">
        <v>2020</v>
      </c>
      <c r="D4" s="108" t="s">
        <v>181</v>
      </c>
      <c r="E4" s="78" t="s">
        <v>176</v>
      </c>
      <c r="F4" s="78" t="s">
        <v>177</v>
      </c>
      <c r="G4" s="78" t="s">
        <v>25</v>
      </c>
      <c r="H4" s="78" t="s">
        <v>113</v>
      </c>
      <c r="I4" s="78" t="s">
        <v>111</v>
      </c>
      <c r="J4" s="78" t="s">
        <v>27</v>
      </c>
      <c r="K4" s="78" t="s">
        <v>112</v>
      </c>
      <c r="L4" s="78">
        <v>3</v>
      </c>
      <c r="N4" s="78">
        <v>1</v>
      </c>
      <c r="O4" s="78">
        <v>0.5</v>
      </c>
      <c r="P4" s="78">
        <v>0.5</v>
      </c>
      <c r="Q4" s="109">
        <f t="shared" si="0"/>
        <v>0.5</v>
      </c>
      <c r="R4" s="78">
        <v>13.8</v>
      </c>
      <c r="S4" s="78">
        <v>122</v>
      </c>
      <c r="T4" s="16">
        <f t="shared" si="1"/>
        <v>27</v>
      </c>
      <c r="U4" s="78">
        <v>97</v>
      </c>
      <c r="V4" s="16">
        <f t="shared" si="2"/>
        <v>2619</v>
      </c>
      <c r="W4" s="78">
        <v>2</v>
      </c>
      <c r="X4" s="78" t="s">
        <v>35</v>
      </c>
      <c r="Y4" s="78" t="s">
        <v>43</v>
      </c>
      <c r="Z4" s="78" t="s">
        <v>72</v>
      </c>
      <c r="AA4" s="78" t="s">
        <v>55</v>
      </c>
      <c r="AB4" s="34" t="s">
        <v>178</v>
      </c>
      <c r="AE4" s="22" t="s">
        <v>23</v>
      </c>
      <c r="AG4" s="103" t="s">
        <v>184</v>
      </c>
      <c r="AH4" s="103" t="s">
        <v>185</v>
      </c>
      <c r="AJ4" s="27" t="s">
        <v>37</v>
      </c>
      <c r="AL4" s="81" t="s">
        <v>109</v>
      </c>
      <c r="AN4" s="28" t="s">
        <v>38</v>
      </c>
      <c r="AP4" s="81" t="s">
        <v>130</v>
      </c>
      <c r="AR4" s="81" t="s">
        <v>131</v>
      </c>
      <c r="AT4" s="28"/>
      <c r="AV4" s="81" t="s">
        <v>39</v>
      </c>
      <c r="AX4" s="24">
        <v>75</v>
      </c>
      <c r="AY4" s="25">
        <v>42</v>
      </c>
      <c r="AZ4" s="25">
        <v>76</v>
      </c>
      <c r="BA4" s="26">
        <v>39</v>
      </c>
    </row>
    <row r="5" spans="1:53" x14ac:dyDescent="0.15">
      <c r="A5" s="78" t="s">
        <v>24</v>
      </c>
      <c r="B5" s="78" t="s">
        <v>174</v>
      </c>
      <c r="C5" s="78">
        <v>2020</v>
      </c>
      <c r="D5" s="108" t="s">
        <v>181</v>
      </c>
      <c r="E5" s="78" t="s">
        <v>176</v>
      </c>
      <c r="F5" s="78" t="s">
        <v>177</v>
      </c>
      <c r="G5" s="78" t="s">
        <v>25</v>
      </c>
      <c r="H5" s="78" t="s">
        <v>113</v>
      </c>
      <c r="I5" s="78" t="s">
        <v>111</v>
      </c>
      <c r="J5" s="78" t="s">
        <v>27</v>
      </c>
      <c r="K5" s="78" t="s">
        <v>112</v>
      </c>
      <c r="L5" s="78">
        <v>1</v>
      </c>
      <c r="N5" s="78">
        <v>8</v>
      </c>
      <c r="O5" s="78">
        <v>0.5</v>
      </c>
      <c r="P5" s="78">
        <v>0.5</v>
      </c>
      <c r="Q5" s="109">
        <f t="shared" si="0"/>
        <v>0.5</v>
      </c>
      <c r="R5" s="78">
        <v>13.7</v>
      </c>
      <c r="S5" s="78">
        <v>76</v>
      </c>
      <c r="T5" s="16">
        <f t="shared" si="1"/>
        <v>39</v>
      </c>
      <c r="U5" s="78">
        <v>447</v>
      </c>
      <c r="V5" s="16">
        <f t="shared" si="2"/>
        <v>2179.125</v>
      </c>
      <c r="W5" s="78">
        <v>4</v>
      </c>
      <c r="X5" s="78" t="s">
        <v>35</v>
      </c>
      <c r="Y5" s="78" t="s">
        <v>43</v>
      </c>
      <c r="Z5" s="78" t="s">
        <v>72</v>
      </c>
      <c r="AA5" s="78" t="s">
        <v>55</v>
      </c>
      <c r="AB5" s="34" t="s">
        <v>178</v>
      </c>
      <c r="AE5" s="22" t="s">
        <v>40</v>
      </c>
      <c r="AG5" s="103" t="s">
        <v>186</v>
      </c>
      <c r="AH5" s="103" t="s">
        <v>187</v>
      </c>
      <c r="AJ5" s="28"/>
      <c r="AL5" s="81" t="s">
        <v>132</v>
      </c>
      <c r="AN5" s="110" t="s">
        <v>133</v>
      </c>
      <c r="AP5" s="81" t="s">
        <v>134</v>
      </c>
      <c r="AR5" s="81" t="s">
        <v>42</v>
      </c>
      <c r="AV5" s="81" t="s">
        <v>43</v>
      </c>
      <c r="AX5" s="24">
        <v>84</v>
      </c>
      <c r="AY5" s="25">
        <v>39</v>
      </c>
      <c r="AZ5" s="25">
        <v>84</v>
      </c>
      <c r="BA5" s="26">
        <v>36</v>
      </c>
    </row>
    <row r="6" spans="1:53" x14ac:dyDescent="0.15">
      <c r="A6" s="78" t="s">
        <v>24</v>
      </c>
      <c r="B6" s="78" t="s">
        <v>174</v>
      </c>
      <c r="C6" s="78">
        <v>2020</v>
      </c>
      <c r="D6" s="108" t="s">
        <v>181</v>
      </c>
      <c r="E6" s="78" t="s">
        <v>176</v>
      </c>
      <c r="F6" s="78" t="s">
        <v>177</v>
      </c>
      <c r="G6" s="78" t="s">
        <v>25</v>
      </c>
      <c r="H6" s="78" t="s">
        <v>113</v>
      </c>
      <c r="I6" s="78" t="s">
        <v>111</v>
      </c>
      <c r="J6" s="78" t="s">
        <v>27</v>
      </c>
      <c r="K6" s="78" t="s">
        <v>112</v>
      </c>
      <c r="L6" s="78">
        <v>2</v>
      </c>
      <c r="N6" s="78">
        <v>8</v>
      </c>
      <c r="O6" s="78">
        <v>0.5</v>
      </c>
      <c r="P6" s="78">
        <v>0.5</v>
      </c>
      <c r="Q6" s="109">
        <f t="shared" si="0"/>
        <v>0.5</v>
      </c>
      <c r="R6" s="78">
        <v>13.6</v>
      </c>
      <c r="S6" s="78">
        <v>76</v>
      </c>
      <c r="T6" s="16">
        <f t="shared" si="1"/>
        <v>39</v>
      </c>
      <c r="U6" s="78">
        <v>447</v>
      </c>
      <c r="V6" s="16">
        <f t="shared" si="2"/>
        <v>2179.125</v>
      </c>
      <c r="W6" s="78">
        <v>4</v>
      </c>
      <c r="X6" s="78" t="s">
        <v>35</v>
      </c>
      <c r="Y6" s="78" t="s">
        <v>43</v>
      </c>
      <c r="Z6" s="78" t="s">
        <v>72</v>
      </c>
      <c r="AA6" s="78" t="s">
        <v>55</v>
      </c>
      <c r="AB6" s="34" t="s">
        <v>178</v>
      </c>
      <c r="AE6" s="22" t="s">
        <v>44</v>
      </c>
      <c r="AG6" s="103" t="s">
        <v>188</v>
      </c>
      <c r="AH6" s="103" t="s">
        <v>189</v>
      </c>
      <c r="AL6" s="81" t="s">
        <v>135</v>
      </c>
      <c r="AN6" s="110" t="s">
        <v>136</v>
      </c>
      <c r="AP6" s="81" t="s">
        <v>41</v>
      </c>
      <c r="AR6" s="81" t="s">
        <v>46</v>
      </c>
      <c r="AV6" s="81" t="s">
        <v>47</v>
      </c>
      <c r="AX6" s="24">
        <v>97</v>
      </c>
      <c r="AY6" s="25">
        <v>36</v>
      </c>
      <c r="AZ6" s="25">
        <v>99</v>
      </c>
      <c r="BA6" s="26">
        <v>33</v>
      </c>
    </row>
    <row r="7" spans="1:53" ht="12" customHeight="1" x14ac:dyDescent="0.15">
      <c r="A7" s="78" t="s">
        <v>24</v>
      </c>
      <c r="B7" s="78" t="s">
        <v>174</v>
      </c>
      <c r="C7" s="78">
        <v>2020</v>
      </c>
      <c r="D7" s="108" t="s">
        <v>181</v>
      </c>
      <c r="E7" s="78" t="s">
        <v>176</v>
      </c>
      <c r="F7" s="78" t="s">
        <v>177</v>
      </c>
      <c r="G7" s="78" t="s">
        <v>25</v>
      </c>
      <c r="H7" s="78" t="s">
        <v>113</v>
      </c>
      <c r="I7" s="78" t="s">
        <v>111</v>
      </c>
      <c r="J7" s="78" t="s">
        <v>27</v>
      </c>
      <c r="K7" s="78" t="s">
        <v>112</v>
      </c>
      <c r="L7" s="78">
        <v>3</v>
      </c>
      <c r="N7" s="78">
        <v>8</v>
      </c>
      <c r="O7" s="78">
        <v>0.5</v>
      </c>
      <c r="P7" s="78">
        <v>0.5</v>
      </c>
      <c r="Q7" s="109">
        <f t="shared" si="0"/>
        <v>0.5</v>
      </c>
      <c r="R7" s="34">
        <v>14.6</v>
      </c>
      <c r="S7" s="78">
        <v>79</v>
      </c>
      <c r="T7" s="16">
        <f t="shared" si="1"/>
        <v>39</v>
      </c>
      <c r="U7" s="78">
        <v>447</v>
      </c>
      <c r="V7" s="16">
        <f t="shared" si="2"/>
        <v>2179.125</v>
      </c>
      <c r="W7" s="78">
        <v>4</v>
      </c>
      <c r="X7" s="78" t="s">
        <v>35</v>
      </c>
      <c r="Y7" s="78" t="s">
        <v>43</v>
      </c>
      <c r="Z7" s="78" t="s">
        <v>72</v>
      </c>
      <c r="AA7" s="78" t="s">
        <v>55</v>
      </c>
      <c r="AB7" s="34" t="s">
        <v>178</v>
      </c>
      <c r="AE7" s="22" t="s">
        <v>48</v>
      </c>
      <c r="AG7" s="103" t="s">
        <v>190</v>
      </c>
      <c r="AH7" s="103" t="s">
        <v>191</v>
      </c>
      <c r="AL7" s="87" t="s">
        <v>137</v>
      </c>
      <c r="AP7" s="81" t="s">
        <v>45</v>
      </c>
      <c r="AR7" s="81" t="s">
        <v>102</v>
      </c>
      <c r="AV7" s="81" t="s">
        <v>51</v>
      </c>
      <c r="AX7" s="24">
        <v>109</v>
      </c>
      <c r="AY7" s="25">
        <v>33</v>
      </c>
      <c r="AZ7" s="25">
        <v>113</v>
      </c>
      <c r="BA7" s="26">
        <v>30</v>
      </c>
    </row>
    <row r="8" spans="1:53" ht="12.75" customHeight="1" x14ac:dyDescent="0.15">
      <c r="A8" s="78" t="s">
        <v>24</v>
      </c>
      <c r="B8" s="78" t="s">
        <v>174</v>
      </c>
      <c r="C8" s="78">
        <v>2020</v>
      </c>
      <c r="D8" s="108" t="s">
        <v>181</v>
      </c>
      <c r="E8" s="78" t="s">
        <v>176</v>
      </c>
      <c r="F8" s="78" t="s">
        <v>177</v>
      </c>
      <c r="G8" s="78" t="s">
        <v>25</v>
      </c>
      <c r="H8" s="78" t="s">
        <v>167</v>
      </c>
      <c r="I8" s="78" t="s">
        <v>111</v>
      </c>
      <c r="J8" s="78" t="s">
        <v>27</v>
      </c>
      <c r="K8" s="78" t="s">
        <v>112</v>
      </c>
      <c r="L8" s="78">
        <v>1</v>
      </c>
      <c r="N8" s="78">
        <v>1</v>
      </c>
      <c r="O8" s="78">
        <v>0.7</v>
      </c>
      <c r="P8" s="78">
        <v>0.8</v>
      </c>
      <c r="Q8" s="109">
        <f t="shared" si="0"/>
        <v>0.75</v>
      </c>
      <c r="R8" s="34">
        <v>20</v>
      </c>
      <c r="S8" s="78">
        <v>145</v>
      </c>
      <c r="T8" s="16">
        <f t="shared" si="1"/>
        <v>22</v>
      </c>
      <c r="U8" s="78">
        <v>97</v>
      </c>
      <c r="V8" s="16">
        <f t="shared" si="2"/>
        <v>2134</v>
      </c>
      <c r="W8" s="78">
        <v>2</v>
      </c>
      <c r="X8" s="78" t="s">
        <v>35</v>
      </c>
      <c r="Y8" s="78" t="s">
        <v>43</v>
      </c>
      <c r="Z8" s="78" t="s">
        <v>72</v>
      </c>
      <c r="AA8" s="78" t="s">
        <v>55</v>
      </c>
      <c r="AB8" s="34" t="s">
        <v>178</v>
      </c>
      <c r="AE8" s="22" t="s">
        <v>46</v>
      </c>
      <c r="AG8" s="103" t="s">
        <v>176</v>
      </c>
      <c r="AH8" s="103" t="s">
        <v>177</v>
      </c>
      <c r="AL8" s="87" t="s">
        <v>110</v>
      </c>
      <c r="AP8" s="81" t="s">
        <v>49</v>
      </c>
      <c r="AR8" s="81" t="s">
        <v>67</v>
      </c>
      <c r="AV8" s="81" t="s">
        <v>82</v>
      </c>
      <c r="AX8" s="24">
        <v>119</v>
      </c>
      <c r="AY8" s="25">
        <v>30</v>
      </c>
      <c r="AZ8" s="25">
        <v>121</v>
      </c>
      <c r="BA8" s="26">
        <v>27</v>
      </c>
    </row>
    <row r="9" spans="1:53" x14ac:dyDescent="0.15">
      <c r="A9" s="78" t="s">
        <v>24</v>
      </c>
      <c r="B9" s="78" t="s">
        <v>174</v>
      </c>
      <c r="C9" s="78">
        <v>2020</v>
      </c>
      <c r="D9" s="108" t="s">
        <v>181</v>
      </c>
      <c r="E9" s="78" t="s">
        <v>176</v>
      </c>
      <c r="F9" s="78" t="s">
        <v>177</v>
      </c>
      <c r="G9" s="78" t="s">
        <v>25</v>
      </c>
      <c r="H9" s="78" t="s">
        <v>167</v>
      </c>
      <c r="I9" s="78" t="s">
        <v>111</v>
      </c>
      <c r="J9" s="78" t="s">
        <v>27</v>
      </c>
      <c r="K9" s="78" t="s">
        <v>112</v>
      </c>
      <c r="L9" s="78">
        <v>2</v>
      </c>
      <c r="N9" s="78">
        <v>1</v>
      </c>
      <c r="O9" s="78">
        <v>0.65</v>
      </c>
      <c r="P9" s="78">
        <v>0.8</v>
      </c>
      <c r="Q9" s="109">
        <f t="shared" si="0"/>
        <v>0.72500000000000009</v>
      </c>
      <c r="R9" s="78">
        <v>21</v>
      </c>
      <c r="S9" s="78">
        <v>142</v>
      </c>
      <c r="T9" s="16">
        <f t="shared" si="1"/>
        <v>22</v>
      </c>
      <c r="U9" s="78">
        <v>97</v>
      </c>
      <c r="V9" s="16">
        <f t="shared" si="2"/>
        <v>2134</v>
      </c>
      <c r="W9" s="78">
        <v>2</v>
      </c>
      <c r="X9" s="78" t="s">
        <v>35</v>
      </c>
      <c r="Y9" s="78" t="s">
        <v>43</v>
      </c>
      <c r="Z9" s="78" t="s">
        <v>72</v>
      </c>
      <c r="AA9" s="78" t="s">
        <v>55</v>
      </c>
      <c r="AB9" s="34" t="s">
        <v>178</v>
      </c>
      <c r="AE9" s="22" t="s">
        <v>83</v>
      </c>
      <c r="AG9" s="103" t="s">
        <v>192</v>
      </c>
      <c r="AH9" s="103" t="s">
        <v>193</v>
      </c>
      <c r="AL9" s="81" t="s">
        <v>139</v>
      </c>
      <c r="AP9" s="81" t="s">
        <v>80</v>
      </c>
      <c r="AR9" s="81" t="s">
        <v>75</v>
      </c>
      <c r="AV9" s="81" t="s">
        <v>86</v>
      </c>
      <c r="AX9" s="24">
        <v>128</v>
      </c>
      <c r="AY9" s="25">
        <v>27</v>
      </c>
      <c r="AZ9" s="25">
        <v>129</v>
      </c>
      <c r="BA9" s="26">
        <v>25</v>
      </c>
    </row>
    <row r="10" spans="1:53" x14ac:dyDescent="0.15">
      <c r="A10" s="78" t="s">
        <v>24</v>
      </c>
      <c r="B10" s="78" t="s">
        <v>174</v>
      </c>
      <c r="C10" s="78">
        <v>2020</v>
      </c>
      <c r="D10" s="108" t="s">
        <v>181</v>
      </c>
      <c r="E10" s="78" t="s">
        <v>176</v>
      </c>
      <c r="F10" s="78" t="s">
        <v>177</v>
      </c>
      <c r="G10" s="78" t="s">
        <v>25</v>
      </c>
      <c r="H10" s="78" t="s">
        <v>167</v>
      </c>
      <c r="I10" s="78" t="s">
        <v>111</v>
      </c>
      <c r="J10" s="78" t="s">
        <v>27</v>
      </c>
      <c r="K10" s="78" t="s">
        <v>112</v>
      </c>
      <c r="L10" s="78">
        <v>3</v>
      </c>
      <c r="N10" s="78">
        <v>1</v>
      </c>
      <c r="O10" s="78">
        <v>1.25</v>
      </c>
      <c r="P10" s="78">
        <v>1</v>
      </c>
      <c r="Q10" s="109">
        <f t="shared" si="0"/>
        <v>1.125</v>
      </c>
      <c r="R10" s="78">
        <v>19.5</v>
      </c>
      <c r="S10" s="78">
        <v>138</v>
      </c>
      <c r="T10" s="16">
        <f t="shared" si="1"/>
        <v>22</v>
      </c>
      <c r="U10" s="78">
        <v>97</v>
      </c>
      <c r="V10" s="16">
        <f t="shared" si="2"/>
        <v>2134</v>
      </c>
      <c r="W10" s="78">
        <v>2</v>
      </c>
      <c r="X10" s="78" t="s">
        <v>35</v>
      </c>
      <c r="Y10" s="78" t="s">
        <v>43</v>
      </c>
      <c r="Z10" s="78" t="s">
        <v>72</v>
      </c>
      <c r="AA10" s="78" t="s">
        <v>55</v>
      </c>
      <c r="AB10" s="34" t="s">
        <v>178</v>
      </c>
      <c r="AE10" s="22" t="s">
        <v>87</v>
      </c>
      <c r="AG10" s="103" t="s">
        <v>194</v>
      </c>
      <c r="AH10" s="103" t="s">
        <v>195</v>
      </c>
      <c r="AP10" s="81" t="s">
        <v>84</v>
      </c>
      <c r="AR10" s="81" t="s">
        <v>103</v>
      </c>
      <c r="AV10" s="81" t="s">
        <v>90</v>
      </c>
      <c r="AX10" s="24">
        <v>138</v>
      </c>
      <c r="AY10" s="25">
        <v>25</v>
      </c>
      <c r="AZ10" s="25">
        <v>138</v>
      </c>
      <c r="BA10" s="26">
        <v>22</v>
      </c>
    </row>
    <row r="11" spans="1:53" x14ac:dyDescent="0.15">
      <c r="A11" s="78" t="s">
        <v>24</v>
      </c>
      <c r="B11" s="78" t="s">
        <v>174</v>
      </c>
      <c r="C11" s="78">
        <v>2020</v>
      </c>
      <c r="D11" s="108" t="s">
        <v>181</v>
      </c>
      <c r="E11" s="78" t="s">
        <v>176</v>
      </c>
      <c r="F11" s="78" t="s">
        <v>177</v>
      </c>
      <c r="G11" s="78" t="s">
        <v>25</v>
      </c>
      <c r="H11" s="78" t="s">
        <v>167</v>
      </c>
      <c r="I11" s="78" t="s">
        <v>111</v>
      </c>
      <c r="J11" s="78" t="s">
        <v>27</v>
      </c>
      <c r="K11" s="78" t="s">
        <v>112</v>
      </c>
      <c r="L11" s="78">
        <v>1</v>
      </c>
      <c r="N11" s="78">
        <v>4</v>
      </c>
      <c r="O11" s="78">
        <v>1</v>
      </c>
      <c r="P11" s="78">
        <v>0.8</v>
      </c>
      <c r="Q11" s="109">
        <f t="shared" si="0"/>
        <v>0.9</v>
      </c>
      <c r="R11" s="78">
        <v>13.6</v>
      </c>
      <c r="S11" s="78">
        <v>93</v>
      </c>
      <c r="T11" s="16">
        <f t="shared" si="1"/>
        <v>36</v>
      </c>
      <c r="U11" s="78">
        <v>377</v>
      </c>
      <c r="V11" s="16">
        <f t="shared" si="2"/>
        <v>3393</v>
      </c>
      <c r="W11" s="78">
        <v>2</v>
      </c>
      <c r="X11" s="78" t="s">
        <v>35</v>
      </c>
      <c r="Y11" s="78" t="s">
        <v>43</v>
      </c>
      <c r="Z11" s="78" t="s">
        <v>72</v>
      </c>
      <c r="AA11" s="78" t="s">
        <v>55</v>
      </c>
      <c r="AB11" s="34" t="s">
        <v>178</v>
      </c>
      <c r="AE11" s="22" t="s">
        <v>52</v>
      </c>
      <c r="AG11" s="103" t="s">
        <v>196</v>
      </c>
      <c r="AH11" s="103" t="s">
        <v>189</v>
      </c>
      <c r="AP11" s="81" t="s">
        <v>88</v>
      </c>
      <c r="AR11" s="81" t="s">
        <v>73</v>
      </c>
      <c r="AV11" s="81" t="s">
        <v>55</v>
      </c>
      <c r="AX11" s="24">
        <v>151</v>
      </c>
      <c r="AY11" s="25">
        <v>22</v>
      </c>
      <c r="AZ11" s="25">
        <v>152</v>
      </c>
      <c r="BA11" s="26">
        <v>18</v>
      </c>
    </row>
    <row r="12" spans="1:53" x14ac:dyDescent="0.15">
      <c r="A12" s="78" t="s">
        <v>24</v>
      </c>
      <c r="B12" s="78" t="s">
        <v>174</v>
      </c>
      <c r="C12" s="78">
        <v>2020</v>
      </c>
      <c r="D12" s="108" t="s">
        <v>181</v>
      </c>
      <c r="E12" s="78" t="s">
        <v>176</v>
      </c>
      <c r="F12" s="78" t="s">
        <v>177</v>
      </c>
      <c r="G12" s="78" t="s">
        <v>25</v>
      </c>
      <c r="H12" s="78" t="s">
        <v>167</v>
      </c>
      <c r="I12" s="78" t="s">
        <v>111</v>
      </c>
      <c r="J12" s="78" t="s">
        <v>27</v>
      </c>
      <c r="K12" s="78" t="s">
        <v>112</v>
      </c>
      <c r="L12" s="78">
        <v>2</v>
      </c>
      <c r="N12" s="78">
        <v>4</v>
      </c>
      <c r="O12" s="78">
        <v>1.25</v>
      </c>
      <c r="P12" s="78">
        <v>1.4</v>
      </c>
      <c r="Q12" s="109">
        <f t="shared" si="0"/>
        <v>1.325</v>
      </c>
      <c r="R12" s="34">
        <v>13.3</v>
      </c>
      <c r="S12" s="78">
        <v>93</v>
      </c>
      <c r="T12" s="16">
        <f t="shared" si="1"/>
        <v>36</v>
      </c>
      <c r="U12" s="78">
        <v>377</v>
      </c>
      <c r="V12" s="16">
        <f t="shared" si="2"/>
        <v>3393</v>
      </c>
      <c r="W12" s="78">
        <v>2</v>
      </c>
      <c r="X12" s="78" t="s">
        <v>35</v>
      </c>
      <c r="Y12" s="78" t="s">
        <v>43</v>
      </c>
      <c r="Z12" s="78" t="s">
        <v>72</v>
      </c>
      <c r="AA12" s="78" t="s">
        <v>55</v>
      </c>
      <c r="AB12" s="34" t="s">
        <v>178</v>
      </c>
      <c r="AE12" s="22" t="s">
        <v>56</v>
      </c>
      <c r="AG12" s="66"/>
      <c r="AH12" s="66"/>
      <c r="AP12" s="81" t="s">
        <v>53</v>
      </c>
      <c r="AR12" s="81" t="s">
        <v>104</v>
      </c>
      <c r="AV12" s="81" t="s">
        <v>58</v>
      </c>
      <c r="AX12" s="31">
        <v>180</v>
      </c>
      <c r="AY12" s="32">
        <v>18</v>
      </c>
      <c r="AZ12" s="32">
        <v>181</v>
      </c>
      <c r="BA12" s="33">
        <v>16</v>
      </c>
    </row>
    <row r="13" spans="1:53" x14ac:dyDescent="0.15">
      <c r="A13" s="78" t="s">
        <v>24</v>
      </c>
      <c r="B13" s="78" t="s">
        <v>174</v>
      </c>
      <c r="C13" s="78">
        <v>2020</v>
      </c>
      <c r="D13" s="108" t="s">
        <v>181</v>
      </c>
      <c r="E13" s="78" t="s">
        <v>176</v>
      </c>
      <c r="F13" s="78" t="s">
        <v>177</v>
      </c>
      <c r="G13" s="78" t="s">
        <v>25</v>
      </c>
      <c r="H13" s="78" t="s">
        <v>167</v>
      </c>
      <c r="I13" s="78" t="s">
        <v>111</v>
      </c>
      <c r="J13" s="78" t="s">
        <v>27</v>
      </c>
      <c r="K13" s="78" t="s">
        <v>112</v>
      </c>
      <c r="L13" s="78">
        <v>3</v>
      </c>
      <c r="N13" s="78">
        <v>4</v>
      </c>
      <c r="O13" s="78">
        <v>1.7</v>
      </c>
      <c r="P13" s="78">
        <v>1.5</v>
      </c>
      <c r="Q13" s="109">
        <f t="shared" si="0"/>
        <v>1.6</v>
      </c>
      <c r="R13" s="78">
        <v>12.5</v>
      </c>
      <c r="S13" s="78">
        <v>87</v>
      </c>
      <c r="T13" s="16">
        <f t="shared" si="1"/>
        <v>36</v>
      </c>
      <c r="U13" s="78">
        <v>377</v>
      </c>
      <c r="V13" s="16">
        <f t="shared" si="2"/>
        <v>3393</v>
      </c>
      <c r="W13" s="78">
        <v>2</v>
      </c>
      <c r="X13" s="78" t="s">
        <v>35</v>
      </c>
      <c r="Y13" s="78" t="s">
        <v>43</v>
      </c>
      <c r="Z13" s="78" t="s">
        <v>72</v>
      </c>
      <c r="AA13" s="78" t="s">
        <v>55</v>
      </c>
      <c r="AB13" s="34" t="s">
        <v>178</v>
      </c>
      <c r="AE13" s="22" t="s">
        <v>59</v>
      </c>
      <c r="AG13" s="81"/>
      <c r="AH13" s="81"/>
      <c r="AP13" s="81" t="s">
        <v>57</v>
      </c>
      <c r="AR13" s="81" t="s">
        <v>87</v>
      </c>
      <c r="AV13" s="81" t="s">
        <v>61</v>
      </c>
    </row>
    <row r="14" spans="1:53" x14ac:dyDescent="0.15">
      <c r="A14" s="78" t="s">
        <v>24</v>
      </c>
      <c r="B14" s="78" t="s">
        <v>174</v>
      </c>
      <c r="C14" s="78">
        <v>2020</v>
      </c>
      <c r="D14" s="108" t="s">
        <v>181</v>
      </c>
      <c r="E14" s="78" t="s">
        <v>186</v>
      </c>
      <c r="F14" s="78" t="s">
        <v>187</v>
      </c>
      <c r="G14" s="78" t="s">
        <v>25</v>
      </c>
      <c r="H14" s="78" t="s">
        <v>113</v>
      </c>
      <c r="I14" s="78" t="s">
        <v>111</v>
      </c>
      <c r="J14" s="78" t="s">
        <v>27</v>
      </c>
      <c r="K14" s="78" t="s">
        <v>112</v>
      </c>
      <c r="L14" s="78">
        <v>1</v>
      </c>
      <c r="N14" s="78">
        <v>1</v>
      </c>
      <c r="O14" s="78">
        <v>0.9</v>
      </c>
      <c r="P14" s="78">
        <v>1</v>
      </c>
      <c r="Q14" s="109">
        <f t="shared" si="0"/>
        <v>0.95</v>
      </c>
      <c r="R14" s="78">
        <v>13.2</v>
      </c>
      <c r="S14" s="78">
        <v>132</v>
      </c>
      <c r="T14" s="16">
        <f t="shared" si="1"/>
        <v>25</v>
      </c>
      <c r="U14" s="78">
        <v>98</v>
      </c>
      <c r="V14" s="16">
        <f t="shared" si="2"/>
        <v>2450</v>
      </c>
      <c r="W14" s="78">
        <v>5</v>
      </c>
      <c r="X14" s="78" t="s">
        <v>35</v>
      </c>
      <c r="Y14" s="78" t="s">
        <v>43</v>
      </c>
      <c r="Z14" s="78" t="s">
        <v>72</v>
      </c>
      <c r="AA14" s="78" t="s">
        <v>55</v>
      </c>
      <c r="AB14" s="34" t="s">
        <v>178</v>
      </c>
      <c r="AE14" s="22" t="s">
        <v>62</v>
      </c>
      <c r="AG14" s="81"/>
      <c r="AH14" s="81"/>
      <c r="AP14" s="81" t="s">
        <v>60</v>
      </c>
      <c r="AR14" s="81" t="s">
        <v>105</v>
      </c>
      <c r="AV14" s="81" t="s">
        <v>64</v>
      </c>
    </row>
    <row r="15" spans="1:53" x14ac:dyDescent="0.15">
      <c r="A15" s="78" t="s">
        <v>24</v>
      </c>
      <c r="B15" s="78" t="s">
        <v>174</v>
      </c>
      <c r="C15" s="78">
        <v>2020</v>
      </c>
      <c r="D15" s="108" t="s">
        <v>181</v>
      </c>
      <c r="E15" s="78" t="s">
        <v>186</v>
      </c>
      <c r="F15" s="78" t="s">
        <v>187</v>
      </c>
      <c r="G15" s="78" t="s">
        <v>25</v>
      </c>
      <c r="H15" s="78" t="s">
        <v>113</v>
      </c>
      <c r="I15" s="78" t="s">
        <v>111</v>
      </c>
      <c r="J15" s="78" t="s">
        <v>27</v>
      </c>
      <c r="K15" s="78" t="s">
        <v>112</v>
      </c>
      <c r="L15" s="78">
        <v>2</v>
      </c>
      <c r="N15" s="78">
        <v>1</v>
      </c>
      <c r="O15" s="78">
        <v>0.5</v>
      </c>
      <c r="P15" s="78">
        <v>0.5</v>
      </c>
      <c r="Q15" s="109">
        <f t="shared" si="0"/>
        <v>0.5</v>
      </c>
      <c r="R15" s="78">
        <v>13.6</v>
      </c>
      <c r="S15" s="78">
        <v>114</v>
      </c>
      <c r="T15" s="16">
        <f t="shared" si="1"/>
        <v>30</v>
      </c>
      <c r="U15" s="78">
        <v>98</v>
      </c>
      <c r="V15" s="16">
        <f t="shared" si="2"/>
        <v>2940</v>
      </c>
      <c r="W15" s="78">
        <v>5</v>
      </c>
      <c r="X15" s="78" t="s">
        <v>35</v>
      </c>
      <c r="Y15" s="78" t="s">
        <v>43</v>
      </c>
      <c r="Z15" s="78" t="s">
        <v>72</v>
      </c>
      <c r="AA15" s="78" t="s">
        <v>55</v>
      </c>
      <c r="AB15" s="34" t="s">
        <v>178</v>
      </c>
      <c r="AE15" s="22" t="s">
        <v>65</v>
      </c>
      <c r="AG15" s="81"/>
      <c r="AH15" s="81"/>
      <c r="AP15" s="81" t="s">
        <v>63</v>
      </c>
      <c r="AR15" s="81" t="s">
        <v>79</v>
      </c>
      <c r="AV15" s="81" t="s">
        <v>91</v>
      </c>
    </row>
    <row r="16" spans="1:53" x14ac:dyDescent="0.15">
      <c r="A16" s="78" t="s">
        <v>24</v>
      </c>
      <c r="B16" s="78" t="s">
        <v>174</v>
      </c>
      <c r="C16" s="78">
        <v>2020</v>
      </c>
      <c r="D16" s="108" t="s">
        <v>181</v>
      </c>
      <c r="E16" s="78" t="s">
        <v>186</v>
      </c>
      <c r="F16" s="78" t="s">
        <v>187</v>
      </c>
      <c r="G16" s="78" t="s">
        <v>25</v>
      </c>
      <c r="H16" s="78" t="s">
        <v>113</v>
      </c>
      <c r="I16" s="78" t="s">
        <v>111</v>
      </c>
      <c r="J16" s="78" t="s">
        <v>27</v>
      </c>
      <c r="K16" s="78" t="s">
        <v>112</v>
      </c>
      <c r="L16" s="78">
        <v>3</v>
      </c>
      <c r="N16" s="78">
        <v>1</v>
      </c>
      <c r="O16" s="78">
        <v>0.6</v>
      </c>
      <c r="P16" s="78">
        <v>0.7</v>
      </c>
      <c r="Q16" s="109">
        <f t="shared" si="0"/>
        <v>0.64999999999999991</v>
      </c>
      <c r="R16" s="78">
        <v>14</v>
      </c>
      <c r="S16" s="78">
        <v>132</v>
      </c>
      <c r="T16" s="16">
        <f t="shared" si="1"/>
        <v>25</v>
      </c>
      <c r="U16" s="78">
        <v>98</v>
      </c>
      <c r="V16" s="16">
        <f t="shared" si="2"/>
        <v>2450</v>
      </c>
      <c r="W16" s="78">
        <v>5</v>
      </c>
      <c r="X16" s="78" t="s">
        <v>35</v>
      </c>
      <c r="Y16" s="78" t="s">
        <v>43</v>
      </c>
      <c r="Z16" s="78" t="s">
        <v>72</v>
      </c>
      <c r="AA16" s="78" t="s">
        <v>55</v>
      </c>
      <c r="AB16" s="34" t="s">
        <v>178</v>
      </c>
      <c r="AE16" s="22" t="s">
        <v>68</v>
      </c>
      <c r="AG16" s="28"/>
      <c r="AH16" s="28"/>
      <c r="AP16" s="81" t="s">
        <v>66</v>
      </c>
      <c r="AR16" s="81" t="s">
        <v>50</v>
      </c>
      <c r="AV16" s="81" t="s">
        <v>70</v>
      </c>
    </row>
    <row r="17" spans="1:48" x14ac:dyDescent="0.15">
      <c r="A17" s="78" t="s">
        <v>24</v>
      </c>
      <c r="B17" s="78" t="s">
        <v>174</v>
      </c>
      <c r="C17" s="78">
        <v>2020</v>
      </c>
      <c r="D17" s="108" t="s">
        <v>181</v>
      </c>
      <c r="E17" s="78" t="s">
        <v>186</v>
      </c>
      <c r="F17" s="78" t="s">
        <v>187</v>
      </c>
      <c r="G17" s="78" t="s">
        <v>25</v>
      </c>
      <c r="H17" s="78" t="s">
        <v>113</v>
      </c>
      <c r="I17" s="78" t="s">
        <v>111</v>
      </c>
      <c r="J17" s="78" t="s">
        <v>27</v>
      </c>
      <c r="K17" s="78" t="s">
        <v>112</v>
      </c>
      <c r="L17" s="78">
        <v>1</v>
      </c>
      <c r="N17" s="78">
        <v>8</v>
      </c>
      <c r="O17" s="78">
        <v>0.5</v>
      </c>
      <c r="P17" s="78">
        <v>0.5</v>
      </c>
      <c r="Q17" s="109">
        <f t="shared" si="0"/>
        <v>0.5</v>
      </c>
      <c r="R17" s="78">
        <v>14.2</v>
      </c>
      <c r="S17" s="78">
        <v>92</v>
      </c>
      <c r="T17" s="16">
        <f t="shared" si="1"/>
        <v>36</v>
      </c>
      <c r="U17" s="78">
        <v>580</v>
      </c>
      <c r="V17" s="16">
        <f t="shared" si="2"/>
        <v>2610</v>
      </c>
      <c r="W17" s="78">
        <v>2</v>
      </c>
      <c r="X17" s="78" t="s">
        <v>35</v>
      </c>
      <c r="Y17" s="78" t="s">
        <v>43</v>
      </c>
      <c r="Z17" s="78" t="s">
        <v>72</v>
      </c>
      <c r="AA17" s="78" t="s">
        <v>55</v>
      </c>
      <c r="AB17" s="34" t="s">
        <v>178</v>
      </c>
      <c r="AE17" s="22" t="s">
        <v>71</v>
      </c>
      <c r="AP17" s="27" t="s">
        <v>93</v>
      </c>
      <c r="AR17" s="81" t="s">
        <v>81</v>
      </c>
      <c r="AV17" s="81" t="s">
        <v>72</v>
      </c>
    </row>
    <row r="18" spans="1:48" x14ac:dyDescent="0.15">
      <c r="A18" s="78" t="s">
        <v>24</v>
      </c>
      <c r="B18" s="78" t="s">
        <v>174</v>
      </c>
      <c r="C18" s="78">
        <v>2020</v>
      </c>
      <c r="D18" s="108" t="s">
        <v>181</v>
      </c>
      <c r="E18" s="78" t="s">
        <v>186</v>
      </c>
      <c r="F18" s="78" t="s">
        <v>187</v>
      </c>
      <c r="G18" s="78" t="s">
        <v>25</v>
      </c>
      <c r="H18" s="78" t="s">
        <v>113</v>
      </c>
      <c r="I18" s="78" t="s">
        <v>111</v>
      </c>
      <c r="J18" s="78" t="s">
        <v>27</v>
      </c>
      <c r="K18" s="78" t="s">
        <v>112</v>
      </c>
      <c r="L18" s="78">
        <v>2</v>
      </c>
      <c r="N18" s="78">
        <v>8</v>
      </c>
      <c r="O18" s="78">
        <v>0.8</v>
      </c>
      <c r="P18" s="78">
        <v>0.75</v>
      </c>
      <c r="Q18" s="109">
        <f t="shared" si="0"/>
        <v>0.77500000000000002</v>
      </c>
      <c r="R18" s="78">
        <v>14.6</v>
      </c>
      <c r="S18" s="78">
        <v>89</v>
      </c>
      <c r="T18" s="16">
        <f t="shared" si="1"/>
        <v>36</v>
      </c>
      <c r="U18" s="78">
        <v>580</v>
      </c>
      <c r="V18" s="16">
        <f t="shared" si="2"/>
        <v>2610</v>
      </c>
      <c r="W18" s="78">
        <v>2</v>
      </c>
      <c r="X18" s="78" t="s">
        <v>35</v>
      </c>
      <c r="Y18" s="78" t="s">
        <v>43</v>
      </c>
      <c r="Z18" s="78" t="s">
        <v>72</v>
      </c>
      <c r="AA18" s="78" t="s">
        <v>55</v>
      </c>
      <c r="AB18" s="34" t="s">
        <v>178</v>
      </c>
      <c r="AE18" s="22" t="s">
        <v>73</v>
      </c>
      <c r="AP18" s="27" t="s">
        <v>94</v>
      </c>
      <c r="AR18" s="81" t="s">
        <v>85</v>
      </c>
      <c r="AV18" s="81" t="s">
        <v>74</v>
      </c>
    </row>
    <row r="19" spans="1:48" x14ac:dyDescent="0.15">
      <c r="A19" s="78" t="s">
        <v>24</v>
      </c>
      <c r="B19" s="78" t="s">
        <v>174</v>
      </c>
      <c r="C19" s="78">
        <v>2020</v>
      </c>
      <c r="D19" s="108" t="s">
        <v>181</v>
      </c>
      <c r="E19" s="78" t="s">
        <v>186</v>
      </c>
      <c r="F19" s="78" t="s">
        <v>187</v>
      </c>
      <c r="G19" s="78" t="s">
        <v>25</v>
      </c>
      <c r="H19" s="78" t="s">
        <v>113</v>
      </c>
      <c r="I19" s="78" t="s">
        <v>111</v>
      </c>
      <c r="J19" s="78" t="s">
        <v>27</v>
      </c>
      <c r="K19" s="78" t="s">
        <v>112</v>
      </c>
      <c r="L19" s="78">
        <v>3</v>
      </c>
      <c r="N19" s="78">
        <v>8</v>
      </c>
      <c r="O19" s="78">
        <v>1</v>
      </c>
      <c r="P19" s="78">
        <v>0.8</v>
      </c>
      <c r="Q19" s="109">
        <f t="shared" si="0"/>
        <v>0.9</v>
      </c>
      <c r="R19" s="78">
        <v>13.6</v>
      </c>
      <c r="S19" s="78">
        <v>89</v>
      </c>
      <c r="T19" s="16">
        <f t="shared" si="1"/>
        <v>36</v>
      </c>
      <c r="U19" s="78">
        <v>580</v>
      </c>
      <c r="V19" s="16">
        <f t="shared" si="2"/>
        <v>2610</v>
      </c>
      <c r="W19" s="78">
        <v>2</v>
      </c>
      <c r="X19" s="78" t="s">
        <v>35</v>
      </c>
      <c r="Y19" s="78" t="s">
        <v>43</v>
      </c>
      <c r="Z19" s="78" t="s">
        <v>72</v>
      </c>
      <c r="AA19" s="78" t="s">
        <v>55</v>
      </c>
      <c r="AB19" s="34" t="s">
        <v>178</v>
      </c>
      <c r="AE19" s="35" t="s">
        <v>75</v>
      </c>
      <c r="AP19" s="27" t="s">
        <v>95</v>
      </c>
      <c r="AR19" s="81" t="s">
        <v>106</v>
      </c>
      <c r="AV19" s="81" t="s">
        <v>76</v>
      </c>
    </row>
    <row r="20" spans="1:48" x14ac:dyDescent="0.15">
      <c r="A20" s="78" t="s">
        <v>24</v>
      </c>
      <c r="B20" s="78" t="s">
        <v>174</v>
      </c>
      <c r="C20" s="78">
        <v>2020</v>
      </c>
      <c r="D20" s="108" t="s">
        <v>181</v>
      </c>
      <c r="E20" s="78" t="s">
        <v>186</v>
      </c>
      <c r="F20" s="78" t="s">
        <v>187</v>
      </c>
      <c r="G20" s="78" t="s">
        <v>25</v>
      </c>
      <c r="H20" s="78" t="s">
        <v>167</v>
      </c>
      <c r="I20" s="78" t="s">
        <v>111</v>
      </c>
      <c r="J20" s="78" t="s">
        <v>27</v>
      </c>
      <c r="K20" s="78" t="s">
        <v>112</v>
      </c>
      <c r="L20" s="78">
        <v>1</v>
      </c>
      <c r="N20" s="78">
        <v>1</v>
      </c>
      <c r="O20" s="78">
        <v>0.8</v>
      </c>
      <c r="P20" s="34">
        <v>0.9</v>
      </c>
      <c r="Q20" s="109">
        <f t="shared" si="0"/>
        <v>0.85000000000000009</v>
      </c>
      <c r="R20" s="78">
        <v>21.1</v>
      </c>
      <c r="S20" s="78">
        <v>117</v>
      </c>
      <c r="T20" s="16">
        <f t="shared" si="1"/>
        <v>30</v>
      </c>
      <c r="U20" s="78">
        <v>125</v>
      </c>
      <c r="V20" s="16">
        <f t="shared" si="2"/>
        <v>3750</v>
      </c>
      <c r="W20" s="78">
        <v>6</v>
      </c>
      <c r="X20" s="78" t="s">
        <v>35</v>
      </c>
      <c r="Y20" s="78" t="s">
        <v>43</v>
      </c>
      <c r="Z20" s="78" t="s">
        <v>72</v>
      </c>
      <c r="AA20" s="78" t="s">
        <v>55</v>
      </c>
      <c r="AB20" s="34" t="s">
        <v>178</v>
      </c>
      <c r="AE20" s="22"/>
      <c r="AP20" s="27" t="s">
        <v>96</v>
      </c>
      <c r="AR20" s="81" t="s">
        <v>89</v>
      </c>
      <c r="AV20" s="27" t="s">
        <v>114</v>
      </c>
    </row>
    <row r="21" spans="1:48" x14ac:dyDescent="0.15">
      <c r="A21" s="78" t="s">
        <v>24</v>
      </c>
      <c r="B21" s="78" t="s">
        <v>174</v>
      </c>
      <c r="C21" s="78">
        <v>2020</v>
      </c>
      <c r="D21" s="108" t="s">
        <v>181</v>
      </c>
      <c r="E21" s="78" t="s">
        <v>186</v>
      </c>
      <c r="F21" s="78" t="s">
        <v>187</v>
      </c>
      <c r="G21" s="78" t="s">
        <v>25</v>
      </c>
      <c r="H21" s="78" t="s">
        <v>167</v>
      </c>
      <c r="I21" s="78" t="s">
        <v>111</v>
      </c>
      <c r="J21" s="78" t="s">
        <v>27</v>
      </c>
      <c r="K21" s="78" t="s">
        <v>112</v>
      </c>
      <c r="L21" s="78">
        <v>2</v>
      </c>
      <c r="N21" s="78">
        <v>1</v>
      </c>
      <c r="O21" s="78">
        <v>0.8</v>
      </c>
      <c r="P21" s="78">
        <v>0.8</v>
      </c>
      <c r="Q21" s="109">
        <f t="shared" si="0"/>
        <v>0.8</v>
      </c>
      <c r="R21" s="78">
        <v>16.899999999999999</v>
      </c>
      <c r="S21" s="78">
        <v>125</v>
      </c>
      <c r="T21" s="16">
        <f t="shared" si="1"/>
        <v>27</v>
      </c>
      <c r="U21" s="78">
        <v>125</v>
      </c>
      <c r="V21" s="16">
        <f t="shared" si="2"/>
        <v>3375</v>
      </c>
      <c r="W21" s="78">
        <v>6</v>
      </c>
      <c r="X21" s="78" t="s">
        <v>35</v>
      </c>
      <c r="Y21" s="78" t="s">
        <v>43</v>
      </c>
      <c r="Z21" s="78" t="s">
        <v>72</v>
      </c>
      <c r="AA21" s="78" t="s">
        <v>55</v>
      </c>
      <c r="AB21" s="34" t="s">
        <v>178</v>
      </c>
      <c r="AE21" s="22"/>
      <c r="AP21" s="27" t="s">
        <v>97</v>
      </c>
      <c r="AR21" s="81" t="s">
        <v>54</v>
      </c>
      <c r="AV21" s="27" t="s">
        <v>115</v>
      </c>
    </row>
    <row r="22" spans="1:48" x14ac:dyDescent="0.15">
      <c r="A22" s="78" t="s">
        <v>24</v>
      </c>
      <c r="B22" s="78" t="s">
        <v>174</v>
      </c>
      <c r="C22" s="78">
        <v>2020</v>
      </c>
      <c r="D22" s="108" t="s">
        <v>181</v>
      </c>
      <c r="E22" s="78" t="s">
        <v>186</v>
      </c>
      <c r="F22" s="78" t="s">
        <v>187</v>
      </c>
      <c r="G22" s="78" t="s">
        <v>25</v>
      </c>
      <c r="H22" s="78" t="s">
        <v>167</v>
      </c>
      <c r="I22" s="78" t="s">
        <v>111</v>
      </c>
      <c r="J22" s="78" t="s">
        <v>27</v>
      </c>
      <c r="K22" s="78" t="s">
        <v>112</v>
      </c>
      <c r="L22" s="78">
        <v>3</v>
      </c>
      <c r="N22" s="78">
        <v>1</v>
      </c>
      <c r="O22" s="34">
        <v>0.6</v>
      </c>
      <c r="P22" s="78">
        <v>0.5</v>
      </c>
      <c r="Q22" s="109">
        <f t="shared" si="0"/>
        <v>0.55000000000000004</v>
      </c>
      <c r="R22" s="78">
        <v>18</v>
      </c>
      <c r="S22" s="78">
        <v>123</v>
      </c>
      <c r="T22" s="16">
        <f t="shared" si="1"/>
        <v>27</v>
      </c>
      <c r="U22" s="78">
        <v>125</v>
      </c>
      <c r="V22" s="16">
        <f t="shared" si="2"/>
        <v>3375</v>
      </c>
      <c r="W22" s="78">
        <v>6</v>
      </c>
      <c r="X22" s="78" t="s">
        <v>35</v>
      </c>
      <c r="Y22" s="78" t="s">
        <v>43</v>
      </c>
      <c r="Z22" s="78" t="s">
        <v>72</v>
      </c>
      <c r="AA22" s="78" t="s">
        <v>55</v>
      </c>
      <c r="AB22" s="34" t="s">
        <v>178</v>
      </c>
      <c r="AE22" s="35"/>
      <c r="AP22" s="27" t="s">
        <v>98</v>
      </c>
      <c r="AR22" s="81" t="s">
        <v>69</v>
      </c>
      <c r="AV22" s="27"/>
    </row>
    <row r="23" spans="1:48" x14ac:dyDescent="0.15">
      <c r="A23" s="78" t="s">
        <v>24</v>
      </c>
      <c r="B23" s="78" t="s">
        <v>174</v>
      </c>
      <c r="C23" s="78">
        <v>2020</v>
      </c>
      <c r="D23" s="108" t="s">
        <v>181</v>
      </c>
      <c r="E23" s="78" t="s">
        <v>186</v>
      </c>
      <c r="F23" s="78" t="s">
        <v>187</v>
      </c>
      <c r="G23" s="78" t="s">
        <v>25</v>
      </c>
      <c r="H23" s="78" t="s">
        <v>167</v>
      </c>
      <c r="I23" s="78" t="s">
        <v>111</v>
      </c>
      <c r="J23" s="78" t="s">
        <v>27</v>
      </c>
      <c r="K23" s="78" t="s">
        <v>112</v>
      </c>
      <c r="L23" s="78">
        <v>1</v>
      </c>
      <c r="N23" s="78">
        <v>8</v>
      </c>
      <c r="O23" s="34">
        <v>0.75</v>
      </c>
      <c r="P23" s="78">
        <v>0.7</v>
      </c>
      <c r="Q23" s="109">
        <f t="shared" si="0"/>
        <v>0.72499999999999998</v>
      </c>
      <c r="R23" s="78">
        <v>19.5</v>
      </c>
      <c r="S23" s="78">
        <v>93</v>
      </c>
      <c r="T23" s="16">
        <f t="shared" si="1"/>
        <v>36</v>
      </c>
      <c r="U23" s="78">
        <v>780</v>
      </c>
      <c r="V23" s="16">
        <f t="shared" si="2"/>
        <v>3510</v>
      </c>
      <c r="W23" s="78">
        <v>2</v>
      </c>
      <c r="X23" s="78" t="s">
        <v>35</v>
      </c>
      <c r="Y23" s="78" t="s">
        <v>43</v>
      </c>
      <c r="Z23" s="78" t="s">
        <v>72</v>
      </c>
      <c r="AA23" s="78" t="s">
        <v>55</v>
      </c>
      <c r="AB23" s="34" t="s">
        <v>178</v>
      </c>
      <c r="AE23" s="22"/>
      <c r="AP23" s="27" t="s">
        <v>116</v>
      </c>
      <c r="AR23" s="81" t="s">
        <v>48</v>
      </c>
      <c r="AV23" s="27"/>
    </row>
    <row r="24" spans="1:48" x14ac:dyDescent="0.15">
      <c r="A24" s="78" t="s">
        <v>24</v>
      </c>
      <c r="B24" s="78" t="s">
        <v>174</v>
      </c>
      <c r="C24" s="78">
        <v>2020</v>
      </c>
      <c r="D24" s="108" t="s">
        <v>181</v>
      </c>
      <c r="E24" s="78" t="s">
        <v>186</v>
      </c>
      <c r="F24" s="78" t="s">
        <v>187</v>
      </c>
      <c r="G24" s="78" t="s">
        <v>25</v>
      </c>
      <c r="H24" s="78" t="s">
        <v>167</v>
      </c>
      <c r="I24" s="78" t="s">
        <v>111</v>
      </c>
      <c r="J24" s="78" t="s">
        <v>27</v>
      </c>
      <c r="K24" s="78" t="s">
        <v>112</v>
      </c>
      <c r="L24" s="78">
        <v>2</v>
      </c>
      <c r="N24" s="78">
        <v>8</v>
      </c>
      <c r="O24" s="78">
        <v>0.7</v>
      </c>
      <c r="P24" s="78">
        <v>0.8</v>
      </c>
      <c r="Q24" s="109">
        <f t="shared" si="0"/>
        <v>0.75</v>
      </c>
      <c r="R24" s="78">
        <v>17.8</v>
      </c>
      <c r="S24" s="78">
        <v>100</v>
      </c>
      <c r="T24" s="16">
        <f t="shared" si="1"/>
        <v>33</v>
      </c>
      <c r="U24" s="78">
        <v>780</v>
      </c>
      <c r="V24" s="16">
        <f t="shared" si="2"/>
        <v>3217.5</v>
      </c>
      <c r="W24" s="78">
        <v>2</v>
      </c>
      <c r="X24" s="78" t="s">
        <v>35</v>
      </c>
      <c r="Y24" s="78" t="s">
        <v>43</v>
      </c>
      <c r="Z24" s="78" t="s">
        <v>72</v>
      </c>
      <c r="AA24" s="78" t="s">
        <v>55</v>
      </c>
      <c r="AB24" s="34" t="s">
        <v>178</v>
      </c>
      <c r="AE24" s="22"/>
      <c r="AP24" s="27" t="s">
        <v>117</v>
      </c>
      <c r="AR24" s="81" t="s">
        <v>77</v>
      </c>
      <c r="AV24" s="27"/>
    </row>
    <row r="25" spans="1:48" x14ac:dyDescent="0.15">
      <c r="A25" s="78" t="s">
        <v>24</v>
      </c>
      <c r="B25" s="78" t="s">
        <v>174</v>
      </c>
      <c r="C25" s="78">
        <v>2020</v>
      </c>
      <c r="D25" s="108" t="s">
        <v>181</v>
      </c>
      <c r="E25" s="78" t="s">
        <v>186</v>
      </c>
      <c r="F25" s="78" t="s">
        <v>187</v>
      </c>
      <c r="G25" s="78" t="s">
        <v>25</v>
      </c>
      <c r="H25" s="78" t="s">
        <v>167</v>
      </c>
      <c r="I25" s="78" t="s">
        <v>111</v>
      </c>
      <c r="J25" s="78" t="s">
        <v>27</v>
      </c>
      <c r="K25" s="78" t="s">
        <v>112</v>
      </c>
      <c r="L25" s="78">
        <v>3</v>
      </c>
      <c r="N25" s="78">
        <v>8</v>
      </c>
      <c r="O25" s="78">
        <v>0.75</v>
      </c>
      <c r="P25" s="78">
        <v>0.75</v>
      </c>
      <c r="Q25" s="109">
        <f t="shared" si="0"/>
        <v>0.75</v>
      </c>
      <c r="R25" s="78">
        <v>16.600000000000001</v>
      </c>
      <c r="S25" s="78">
        <v>98</v>
      </c>
      <c r="T25" s="16">
        <f t="shared" si="1"/>
        <v>36</v>
      </c>
      <c r="U25" s="78">
        <v>780</v>
      </c>
      <c r="V25" s="16">
        <f t="shared" si="2"/>
        <v>3510</v>
      </c>
      <c r="W25" s="78">
        <v>2</v>
      </c>
      <c r="X25" s="78" t="s">
        <v>35</v>
      </c>
      <c r="Y25" s="78" t="s">
        <v>43</v>
      </c>
      <c r="Z25" s="78" t="s">
        <v>72</v>
      </c>
      <c r="AA25" s="78" t="s">
        <v>55</v>
      </c>
      <c r="AB25" s="34" t="s">
        <v>178</v>
      </c>
      <c r="AE25" s="35"/>
      <c r="AP25" s="27" t="s">
        <v>99</v>
      </c>
      <c r="AR25" s="27" t="s">
        <v>78</v>
      </c>
      <c r="AV25" s="27"/>
    </row>
    <row r="26" spans="1:48" x14ac:dyDescent="0.15">
      <c r="A26" s="78" t="s">
        <v>24</v>
      </c>
      <c r="B26" s="78" t="s">
        <v>174</v>
      </c>
      <c r="C26" s="78">
        <v>2020</v>
      </c>
      <c r="D26" s="108" t="s">
        <v>181</v>
      </c>
      <c r="E26" s="78" t="s">
        <v>179</v>
      </c>
      <c r="F26" s="78" t="s">
        <v>180</v>
      </c>
      <c r="G26" s="78" t="s">
        <v>25</v>
      </c>
      <c r="H26" s="78" t="s">
        <v>113</v>
      </c>
      <c r="I26" s="78" t="s">
        <v>111</v>
      </c>
      <c r="J26" s="78" t="s">
        <v>27</v>
      </c>
      <c r="K26" s="78" t="s">
        <v>112</v>
      </c>
      <c r="L26" s="78">
        <v>1</v>
      </c>
      <c r="N26" s="78">
        <v>1</v>
      </c>
      <c r="O26" s="78">
        <v>1.5</v>
      </c>
      <c r="P26" s="78">
        <v>1.25</v>
      </c>
      <c r="Q26" s="109">
        <f t="shared" si="0"/>
        <v>1.375</v>
      </c>
      <c r="R26" s="78">
        <v>16.3</v>
      </c>
      <c r="S26" s="78">
        <v>121</v>
      </c>
      <c r="T26" s="16">
        <f t="shared" si="1"/>
        <v>27</v>
      </c>
      <c r="U26" s="78">
        <v>128</v>
      </c>
      <c r="V26" s="16">
        <f t="shared" si="2"/>
        <v>3456</v>
      </c>
      <c r="W26" s="78">
        <v>3</v>
      </c>
      <c r="X26" s="78" t="s">
        <v>35</v>
      </c>
      <c r="Y26" s="78" t="s">
        <v>43</v>
      </c>
      <c r="Z26" s="78" t="s">
        <v>55</v>
      </c>
      <c r="AA26" s="78" t="s">
        <v>76</v>
      </c>
      <c r="AB26" s="34" t="s">
        <v>178</v>
      </c>
      <c r="AE26" s="35"/>
      <c r="AP26" s="27" t="s">
        <v>100</v>
      </c>
      <c r="AR26" s="81" t="s">
        <v>138</v>
      </c>
      <c r="AV26" s="28"/>
    </row>
    <row r="27" spans="1:48" x14ac:dyDescent="0.15">
      <c r="A27" s="78" t="s">
        <v>24</v>
      </c>
      <c r="B27" s="78" t="s">
        <v>174</v>
      </c>
      <c r="C27" s="78">
        <v>2020</v>
      </c>
      <c r="D27" s="108" t="s">
        <v>181</v>
      </c>
      <c r="E27" s="78" t="s">
        <v>179</v>
      </c>
      <c r="F27" s="78" t="s">
        <v>180</v>
      </c>
      <c r="G27" s="78" t="s">
        <v>25</v>
      </c>
      <c r="H27" s="78" t="s">
        <v>113</v>
      </c>
      <c r="I27" s="78" t="s">
        <v>111</v>
      </c>
      <c r="J27" s="78" t="s">
        <v>27</v>
      </c>
      <c r="K27" s="78" t="s">
        <v>112</v>
      </c>
      <c r="L27" s="78">
        <v>2</v>
      </c>
      <c r="N27" s="78">
        <v>1</v>
      </c>
      <c r="O27" s="78">
        <v>0.5</v>
      </c>
      <c r="P27" s="78">
        <v>0.6</v>
      </c>
      <c r="Q27" s="109">
        <f t="shared" si="0"/>
        <v>0.55000000000000004</v>
      </c>
      <c r="R27" s="78">
        <v>14.6</v>
      </c>
      <c r="S27" s="78">
        <v>127</v>
      </c>
      <c r="T27" s="16">
        <f t="shared" si="1"/>
        <v>27</v>
      </c>
      <c r="U27" s="78">
        <v>128</v>
      </c>
      <c r="V27" s="16">
        <f t="shared" si="2"/>
        <v>3456</v>
      </c>
      <c r="W27" s="78">
        <v>3</v>
      </c>
      <c r="X27" s="78" t="s">
        <v>35</v>
      </c>
      <c r="Y27" s="78" t="s">
        <v>43</v>
      </c>
      <c r="Z27" s="78" t="s">
        <v>55</v>
      </c>
      <c r="AA27" s="78" t="s">
        <v>76</v>
      </c>
      <c r="AB27" s="34" t="s">
        <v>178</v>
      </c>
      <c r="AE27" s="28"/>
      <c r="AP27" s="27" t="s">
        <v>101</v>
      </c>
      <c r="AR27" s="81" t="s">
        <v>159</v>
      </c>
    </row>
    <row r="28" spans="1:48" x14ac:dyDescent="0.15">
      <c r="A28" s="78" t="s">
        <v>24</v>
      </c>
      <c r="B28" s="78" t="s">
        <v>174</v>
      </c>
      <c r="C28" s="78">
        <v>2020</v>
      </c>
      <c r="D28" s="108" t="s">
        <v>181</v>
      </c>
      <c r="E28" s="78" t="s">
        <v>179</v>
      </c>
      <c r="F28" s="78" t="s">
        <v>180</v>
      </c>
      <c r="G28" s="78" t="s">
        <v>25</v>
      </c>
      <c r="H28" s="78" t="s">
        <v>113</v>
      </c>
      <c r="I28" s="78" t="s">
        <v>111</v>
      </c>
      <c r="J28" s="78" t="s">
        <v>27</v>
      </c>
      <c r="K28" s="78" t="s">
        <v>112</v>
      </c>
      <c r="L28" s="78">
        <v>3</v>
      </c>
      <c r="N28" s="78">
        <v>1</v>
      </c>
      <c r="O28" s="78">
        <v>0.75</v>
      </c>
      <c r="P28" s="78">
        <v>0.7</v>
      </c>
      <c r="Q28" s="109">
        <f t="shared" si="0"/>
        <v>0.72499999999999998</v>
      </c>
      <c r="R28" s="78">
        <v>15.2</v>
      </c>
      <c r="S28" s="78">
        <v>128</v>
      </c>
      <c r="T28" s="16">
        <f t="shared" si="1"/>
        <v>27</v>
      </c>
      <c r="U28" s="78">
        <v>128</v>
      </c>
      <c r="V28" s="16">
        <f t="shared" si="2"/>
        <v>3456</v>
      </c>
      <c r="W28" s="78">
        <v>3</v>
      </c>
      <c r="X28" s="78" t="s">
        <v>35</v>
      </c>
      <c r="Y28" s="78" t="s">
        <v>43</v>
      </c>
      <c r="Z28" s="78" t="s">
        <v>55</v>
      </c>
      <c r="AA28" s="78" t="s">
        <v>76</v>
      </c>
      <c r="AB28" s="34" t="s">
        <v>178</v>
      </c>
      <c r="AP28" s="27" t="s">
        <v>156</v>
      </c>
      <c r="AR28" s="81" t="s">
        <v>158</v>
      </c>
    </row>
    <row r="29" spans="1:48" x14ac:dyDescent="0.15">
      <c r="A29" s="78" t="s">
        <v>24</v>
      </c>
      <c r="B29" s="78" t="s">
        <v>174</v>
      </c>
      <c r="C29" s="78">
        <v>2020</v>
      </c>
      <c r="D29" s="108" t="s">
        <v>181</v>
      </c>
      <c r="E29" s="78" t="s">
        <v>179</v>
      </c>
      <c r="F29" s="78" t="s">
        <v>180</v>
      </c>
      <c r="G29" s="78" t="s">
        <v>25</v>
      </c>
      <c r="H29" s="78" t="s">
        <v>113</v>
      </c>
      <c r="I29" s="78" t="s">
        <v>166</v>
      </c>
      <c r="J29" s="78" t="s">
        <v>27</v>
      </c>
      <c r="K29" s="78" t="s">
        <v>112</v>
      </c>
      <c r="L29" s="78">
        <v>1</v>
      </c>
      <c r="N29" s="78">
        <v>5</v>
      </c>
      <c r="O29" s="78">
        <v>0.8</v>
      </c>
      <c r="P29" s="78">
        <v>1</v>
      </c>
      <c r="Q29" s="109">
        <f t="shared" si="0"/>
        <v>0.9</v>
      </c>
      <c r="R29" s="78">
        <v>15.4</v>
      </c>
      <c r="S29" s="78">
        <v>84</v>
      </c>
      <c r="T29" s="16">
        <f t="shared" si="1"/>
        <v>36</v>
      </c>
      <c r="U29" s="78">
        <v>398</v>
      </c>
      <c r="V29" s="16">
        <f t="shared" si="2"/>
        <v>2865.6</v>
      </c>
      <c r="W29" s="78">
        <v>1</v>
      </c>
      <c r="X29" s="78" t="s">
        <v>35</v>
      </c>
      <c r="Y29" s="78" t="s">
        <v>43</v>
      </c>
      <c r="Z29" s="78" t="s">
        <v>55</v>
      </c>
      <c r="AA29" s="78" t="s">
        <v>76</v>
      </c>
      <c r="AB29" s="34" t="s">
        <v>178</v>
      </c>
      <c r="AP29" s="27" t="s">
        <v>157</v>
      </c>
      <c r="AR29" s="28"/>
      <c r="AV29" s="28"/>
    </row>
    <row r="30" spans="1:48" x14ac:dyDescent="0.15">
      <c r="A30" s="78" t="s">
        <v>24</v>
      </c>
      <c r="B30" s="78" t="s">
        <v>174</v>
      </c>
      <c r="C30" s="78">
        <v>2020</v>
      </c>
      <c r="D30" s="108" t="s">
        <v>181</v>
      </c>
      <c r="E30" s="78" t="s">
        <v>179</v>
      </c>
      <c r="F30" s="78" t="s">
        <v>180</v>
      </c>
      <c r="G30" s="78" t="s">
        <v>25</v>
      </c>
      <c r="H30" s="78" t="s">
        <v>113</v>
      </c>
      <c r="I30" s="78" t="s">
        <v>166</v>
      </c>
      <c r="J30" s="78" t="s">
        <v>27</v>
      </c>
      <c r="K30" s="78" t="s">
        <v>112</v>
      </c>
      <c r="L30" s="78">
        <v>2</v>
      </c>
      <c r="N30" s="78">
        <v>5</v>
      </c>
      <c r="O30" s="78">
        <v>1.25</v>
      </c>
      <c r="P30" s="78">
        <v>1.3</v>
      </c>
      <c r="Q30" s="109">
        <f t="shared" si="0"/>
        <v>1.2749999999999999</v>
      </c>
      <c r="R30" s="78">
        <v>18.8</v>
      </c>
      <c r="S30" s="78">
        <v>84</v>
      </c>
      <c r="T30" s="16">
        <f t="shared" si="1"/>
        <v>36</v>
      </c>
      <c r="U30" s="78">
        <v>398</v>
      </c>
      <c r="V30" s="16">
        <f t="shared" si="2"/>
        <v>2865.6</v>
      </c>
      <c r="W30" s="78">
        <v>1</v>
      </c>
      <c r="X30" s="78" t="s">
        <v>35</v>
      </c>
      <c r="Y30" s="78" t="s">
        <v>43</v>
      </c>
      <c r="Z30" s="78" t="s">
        <v>55</v>
      </c>
      <c r="AA30" s="78" t="s">
        <v>76</v>
      </c>
      <c r="AB30" s="34" t="s">
        <v>178</v>
      </c>
      <c r="AP30" s="27"/>
      <c r="AR30" s="27"/>
    </row>
    <row r="31" spans="1:48" x14ac:dyDescent="0.15">
      <c r="A31" s="78" t="s">
        <v>24</v>
      </c>
      <c r="B31" s="78" t="s">
        <v>174</v>
      </c>
      <c r="C31" s="78">
        <v>2020</v>
      </c>
      <c r="D31" s="108" t="s">
        <v>181</v>
      </c>
      <c r="E31" s="78" t="s">
        <v>179</v>
      </c>
      <c r="F31" s="78" t="s">
        <v>180</v>
      </c>
      <c r="G31" s="78" t="s">
        <v>25</v>
      </c>
      <c r="H31" s="78" t="s">
        <v>113</v>
      </c>
      <c r="I31" s="78" t="s">
        <v>166</v>
      </c>
      <c r="J31" s="78" t="s">
        <v>27</v>
      </c>
      <c r="K31" s="78" t="s">
        <v>112</v>
      </c>
      <c r="L31" s="78">
        <v>3</v>
      </c>
      <c r="N31" s="78">
        <v>5</v>
      </c>
      <c r="O31" s="78">
        <v>1.2</v>
      </c>
      <c r="P31" s="78">
        <v>1.1000000000000001</v>
      </c>
      <c r="Q31" s="109">
        <f t="shared" si="0"/>
        <v>1.1499999999999999</v>
      </c>
      <c r="R31" s="78">
        <v>16.899999999999999</v>
      </c>
      <c r="S31" s="78">
        <v>85</v>
      </c>
      <c r="T31" s="16">
        <f t="shared" si="1"/>
        <v>36</v>
      </c>
      <c r="U31" s="78">
        <v>398</v>
      </c>
      <c r="V31" s="16">
        <f t="shared" si="2"/>
        <v>2865.6</v>
      </c>
      <c r="W31" s="78">
        <v>1</v>
      </c>
      <c r="X31" s="78" t="s">
        <v>35</v>
      </c>
      <c r="Y31" s="78" t="s">
        <v>43</v>
      </c>
      <c r="Z31" s="78" t="s">
        <v>55</v>
      </c>
      <c r="AA31" s="78" t="s">
        <v>76</v>
      </c>
      <c r="AB31" s="34" t="s">
        <v>178</v>
      </c>
      <c r="AP31" s="27"/>
      <c r="AR31" s="27"/>
    </row>
    <row r="32" spans="1:48" x14ac:dyDescent="0.15">
      <c r="A32" s="78" t="s">
        <v>24</v>
      </c>
      <c r="B32" s="78" t="s">
        <v>174</v>
      </c>
      <c r="C32" s="78">
        <v>2020</v>
      </c>
      <c r="D32" s="108" t="s">
        <v>181</v>
      </c>
      <c r="E32" s="78" t="s">
        <v>179</v>
      </c>
      <c r="F32" s="78" t="s">
        <v>180</v>
      </c>
      <c r="G32" s="78" t="s">
        <v>25</v>
      </c>
      <c r="H32" s="78" t="s">
        <v>167</v>
      </c>
      <c r="I32" s="78" t="s">
        <v>111</v>
      </c>
      <c r="J32" s="78" t="s">
        <v>27</v>
      </c>
      <c r="K32" s="78" t="s">
        <v>112</v>
      </c>
      <c r="L32" s="78">
        <v>1</v>
      </c>
      <c r="N32" s="78">
        <v>1</v>
      </c>
      <c r="O32" s="78">
        <v>1.2</v>
      </c>
      <c r="P32" s="78">
        <v>1.1000000000000001</v>
      </c>
      <c r="Q32" s="109">
        <f t="shared" si="0"/>
        <v>1.1499999999999999</v>
      </c>
      <c r="R32" s="78">
        <v>14.9</v>
      </c>
      <c r="S32" s="78">
        <v>125</v>
      </c>
      <c r="T32" s="16">
        <f t="shared" si="1"/>
        <v>27</v>
      </c>
      <c r="U32" s="78">
        <v>128</v>
      </c>
      <c r="V32" s="16">
        <f t="shared" si="2"/>
        <v>3456</v>
      </c>
      <c r="W32" s="78">
        <v>10</v>
      </c>
      <c r="X32" s="78" t="s">
        <v>35</v>
      </c>
      <c r="Y32" s="78" t="s">
        <v>43</v>
      </c>
      <c r="Z32" s="78" t="s">
        <v>55</v>
      </c>
      <c r="AA32" s="78" t="s">
        <v>76</v>
      </c>
      <c r="AB32" s="34" t="s">
        <v>178</v>
      </c>
      <c r="AP32" s="28"/>
      <c r="AR32" s="28"/>
    </row>
    <row r="33" spans="1:28" x14ac:dyDescent="0.15">
      <c r="A33" s="78" t="s">
        <v>24</v>
      </c>
      <c r="B33" s="78" t="s">
        <v>174</v>
      </c>
      <c r="C33" s="78">
        <v>2020</v>
      </c>
      <c r="D33" s="108" t="s">
        <v>181</v>
      </c>
      <c r="E33" s="78" t="s">
        <v>179</v>
      </c>
      <c r="F33" s="78" t="s">
        <v>180</v>
      </c>
      <c r="G33" s="78" t="s">
        <v>25</v>
      </c>
      <c r="H33" s="78" t="s">
        <v>167</v>
      </c>
      <c r="I33" s="78" t="s">
        <v>111</v>
      </c>
      <c r="J33" s="78" t="s">
        <v>27</v>
      </c>
      <c r="K33" s="78" t="s">
        <v>112</v>
      </c>
      <c r="L33" s="78">
        <v>2</v>
      </c>
      <c r="N33" s="78">
        <v>1</v>
      </c>
      <c r="O33" s="78">
        <v>1.1000000000000001</v>
      </c>
      <c r="P33" s="78">
        <v>1.2</v>
      </c>
      <c r="Q33" s="109">
        <f t="shared" si="0"/>
        <v>1.1499999999999999</v>
      </c>
      <c r="R33" s="78">
        <v>19</v>
      </c>
      <c r="S33" s="78">
        <v>119</v>
      </c>
      <c r="T33" s="16">
        <f t="shared" si="1"/>
        <v>30</v>
      </c>
      <c r="U33" s="78">
        <v>128</v>
      </c>
      <c r="V33" s="16">
        <f t="shared" si="2"/>
        <v>3840</v>
      </c>
      <c r="W33" s="78">
        <v>10</v>
      </c>
      <c r="X33" s="78" t="s">
        <v>35</v>
      </c>
      <c r="Y33" s="78" t="s">
        <v>43</v>
      </c>
      <c r="Z33" s="78" t="s">
        <v>55</v>
      </c>
      <c r="AA33" s="78" t="s">
        <v>76</v>
      </c>
      <c r="AB33" s="34" t="s">
        <v>178</v>
      </c>
    </row>
    <row r="34" spans="1:28" x14ac:dyDescent="0.15">
      <c r="A34" s="78" t="s">
        <v>24</v>
      </c>
      <c r="B34" s="78" t="s">
        <v>174</v>
      </c>
      <c r="C34" s="78">
        <v>2020</v>
      </c>
      <c r="D34" s="108" t="s">
        <v>181</v>
      </c>
      <c r="E34" s="78" t="s">
        <v>179</v>
      </c>
      <c r="F34" s="78" t="s">
        <v>180</v>
      </c>
      <c r="G34" s="78" t="s">
        <v>25</v>
      </c>
      <c r="H34" s="78" t="s">
        <v>167</v>
      </c>
      <c r="I34" s="78" t="s">
        <v>111</v>
      </c>
      <c r="J34" s="78" t="s">
        <v>27</v>
      </c>
      <c r="K34" s="78" t="s">
        <v>112</v>
      </c>
      <c r="L34" s="78">
        <v>3</v>
      </c>
      <c r="N34" s="78">
        <v>1</v>
      </c>
      <c r="O34" s="78">
        <v>1.3</v>
      </c>
      <c r="P34" s="78">
        <v>1.4</v>
      </c>
      <c r="Q34" s="109">
        <f t="shared" si="0"/>
        <v>1.35</v>
      </c>
      <c r="R34" s="78">
        <v>15</v>
      </c>
      <c r="S34" s="78">
        <v>128</v>
      </c>
      <c r="T34" s="16">
        <f t="shared" si="1"/>
        <v>27</v>
      </c>
      <c r="U34" s="78">
        <v>128</v>
      </c>
      <c r="V34" s="16">
        <f t="shared" si="2"/>
        <v>3456</v>
      </c>
      <c r="W34" s="78">
        <v>10</v>
      </c>
      <c r="X34" s="78" t="s">
        <v>35</v>
      </c>
      <c r="Y34" s="78" t="s">
        <v>43</v>
      </c>
      <c r="Z34" s="78" t="s">
        <v>55</v>
      </c>
      <c r="AA34" s="78" t="s">
        <v>76</v>
      </c>
      <c r="AB34" s="34" t="s">
        <v>178</v>
      </c>
    </row>
    <row r="35" spans="1:28" x14ac:dyDescent="0.15">
      <c r="A35" s="78" t="s">
        <v>24</v>
      </c>
      <c r="B35" s="78" t="s">
        <v>174</v>
      </c>
      <c r="C35" s="78">
        <v>2020</v>
      </c>
      <c r="D35" s="108" t="s">
        <v>181</v>
      </c>
      <c r="E35" s="78" t="s">
        <v>179</v>
      </c>
      <c r="F35" s="78" t="s">
        <v>180</v>
      </c>
      <c r="G35" s="78" t="s">
        <v>25</v>
      </c>
      <c r="H35" s="78" t="s">
        <v>167</v>
      </c>
      <c r="I35" s="78" t="s">
        <v>166</v>
      </c>
      <c r="J35" s="78" t="s">
        <v>27</v>
      </c>
      <c r="K35" s="78" t="s">
        <v>112</v>
      </c>
      <c r="L35" s="78">
        <v>1</v>
      </c>
      <c r="N35" s="78">
        <v>4</v>
      </c>
      <c r="O35" s="78">
        <v>0.9</v>
      </c>
      <c r="P35" s="78">
        <v>1.1000000000000001</v>
      </c>
      <c r="Q35" s="109">
        <f t="shared" si="0"/>
        <v>1</v>
      </c>
      <c r="R35" s="78">
        <v>18</v>
      </c>
      <c r="S35" s="78">
        <v>107</v>
      </c>
      <c r="T35" s="16">
        <f t="shared" si="1"/>
        <v>33</v>
      </c>
      <c r="U35" s="78">
        <v>498</v>
      </c>
      <c r="V35" s="16">
        <f t="shared" si="2"/>
        <v>4108.5</v>
      </c>
      <c r="W35" s="78">
        <v>1</v>
      </c>
      <c r="X35" s="78" t="s">
        <v>35</v>
      </c>
      <c r="Y35" s="78" t="s">
        <v>43</v>
      </c>
      <c r="Z35" s="78" t="s">
        <v>55</v>
      </c>
      <c r="AA35" s="78" t="s">
        <v>76</v>
      </c>
      <c r="AB35" s="34" t="s">
        <v>178</v>
      </c>
    </row>
    <row r="36" spans="1:28" x14ac:dyDescent="0.15">
      <c r="A36" s="78" t="s">
        <v>24</v>
      </c>
      <c r="B36" s="78" t="s">
        <v>174</v>
      </c>
      <c r="C36" s="78">
        <v>2020</v>
      </c>
      <c r="D36" s="108" t="s">
        <v>181</v>
      </c>
      <c r="E36" s="78" t="s">
        <v>179</v>
      </c>
      <c r="F36" s="78" t="s">
        <v>180</v>
      </c>
      <c r="G36" s="78" t="s">
        <v>25</v>
      </c>
      <c r="H36" s="78" t="s">
        <v>167</v>
      </c>
      <c r="I36" s="78" t="s">
        <v>166</v>
      </c>
      <c r="J36" s="78" t="s">
        <v>27</v>
      </c>
      <c r="K36" s="78" t="s">
        <v>112</v>
      </c>
      <c r="L36" s="78">
        <v>2</v>
      </c>
      <c r="N36" s="78">
        <v>4</v>
      </c>
      <c r="O36" s="78">
        <v>1.1000000000000001</v>
      </c>
      <c r="P36" s="78">
        <v>1.2</v>
      </c>
      <c r="Q36" s="109">
        <f t="shared" si="0"/>
        <v>1.1499999999999999</v>
      </c>
      <c r="R36" s="78">
        <v>13.8</v>
      </c>
      <c r="S36" s="78">
        <v>101</v>
      </c>
      <c r="T36" s="16">
        <f t="shared" si="1"/>
        <v>33</v>
      </c>
      <c r="U36" s="78">
        <v>498</v>
      </c>
      <c r="V36" s="16">
        <f t="shared" si="2"/>
        <v>4108.5</v>
      </c>
      <c r="W36" s="78">
        <v>1</v>
      </c>
      <c r="X36" s="78" t="s">
        <v>35</v>
      </c>
      <c r="Y36" s="78" t="s">
        <v>43</v>
      </c>
      <c r="Z36" s="78" t="s">
        <v>55</v>
      </c>
      <c r="AA36" s="78" t="s">
        <v>76</v>
      </c>
      <c r="AB36" s="34" t="s">
        <v>178</v>
      </c>
    </row>
    <row r="37" spans="1:28" x14ac:dyDescent="0.15">
      <c r="A37" s="78" t="s">
        <v>24</v>
      </c>
      <c r="B37" s="78" t="s">
        <v>174</v>
      </c>
      <c r="C37" s="78">
        <v>2020</v>
      </c>
      <c r="D37" s="108" t="s">
        <v>181</v>
      </c>
      <c r="E37" s="78" t="s">
        <v>179</v>
      </c>
      <c r="F37" s="78" t="s">
        <v>180</v>
      </c>
      <c r="G37" s="78" t="s">
        <v>25</v>
      </c>
      <c r="H37" s="78" t="s">
        <v>167</v>
      </c>
      <c r="I37" s="78" t="s">
        <v>166</v>
      </c>
      <c r="J37" s="78" t="s">
        <v>27</v>
      </c>
      <c r="K37" s="78" t="s">
        <v>112</v>
      </c>
      <c r="L37" s="78">
        <v>3</v>
      </c>
      <c r="N37" s="78">
        <v>4</v>
      </c>
      <c r="O37" s="34">
        <v>1.2</v>
      </c>
      <c r="P37" s="34">
        <v>1.1000000000000001</v>
      </c>
      <c r="Q37" s="109">
        <f t="shared" si="0"/>
        <v>1.1499999999999999</v>
      </c>
      <c r="R37" s="78">
        <v>13.8</v>
      </c>
      <c r="S37" s="78">
        <v>107</v>
      </c>
      <c r="T37" s="16">
        <f t="shared" si="1"/>
        <v>33</v>
      </c>
      <c r="U37" s="78">
        <v>498</v>
      </c>
      <c r="V37" s="16">
        <f t="shared" si="2"/>
        <v>4108.5</v>
      </c>
      <c r="W37" s="78">
        <v>1</v>
      </c>
      <c r="X37" s="78" t="s">
        <v>35</v>
      </c>
      <c r="Y37" s="78" t="s">
        <v>43</v>
      </c>
      <c r="Z37" s="78" t="s">
        <v>55</v>
      </c>
      <c r="AA37" s="78" t="s">
        <v>76</v>
      </c>
      <c r="AB37" s="34" t="s">
        <v>178</v>
      </c>
    </row>
    <row r="38" spans="1:28" x14ac:dyDescent="0.15">
      <c r="A38" s="78" t="s">
        <v>24</v>
      </c>
      <c r="B38" s="78" t="s">
        <v>174</v>
      </c>
      <c r="C38" s="78">
        <v>2020</v>
      </c>
      <c r="D38" s="108" t="s">
        <v>181</v>
      </c>
      <c r="E38" s="78" t="s">
        <v>192</v>
      </c>
      <c r="F38" s="78" t="s">
        <v>193</v>
      </c>
      <c r="G38" s="78" t="s">
        <v>25</v>
      </c>
      <c r="H38" s="78" t="s">
        <v>113</v>
      </c>
      <c r="I38" s="78" t="s">
        <v>111</v>
      </c>
      <c r="J38" s="78" t="s">
        <v>27</v>
      </c>
      <c r="K38" s="78" t="s">
        <v>112</v>
      </c>
      <c r="L38" s="78">
        <v>1</v>
      </c>
      <c r="N38" s="78">
        <v>1</v>
      </c>
      <c r="O38" s="34">
        <v>0.5</v>
      </c>
      <c r="P38" s="34">
        <v>0.5</v>
      </c>
      <c r="Q38" s="109">
        <f t="shared" si="0"/>
        <v>0.5</v>
      </c>
      <c r="R38" s="78">
        <v>14.6</v>
      </c>
      <c r="S38" s="78">
        <v>112</v>
      </c>
      <c r="T38" s="16">
        <f t="shared" si="1"/>
        <v>33</v>
      </c>
      <c r="U38" s="78">
        <v>78</v>
      </c>
      <c r="V38" s="16">
        <f t="shared" si="2"/>
        <v>2574</v>
      </c>
      <c r="W38" s="78">
        <v>6</v>
      </c>
      <c r="X38" s="78" t="s">
        <v>35</v>
      </c>
      <c r="Y38" s="78" t="s">
        <v>43</v>
      </c>
      <c r="Z38" s="78" t="s">
        <v>72</v>
      </c>
      <c r="AA38" s="78" t="s">
        <v>36</v>
      </c>
      <c r="AB38" s="34" t="s">
        <v>178</v>
      </c>
    </row>
    <row r="39" spans="1:28" x14ac:dyDescent="0.15">
      <c r="A39" s="78" t="s">
        <v>24</v>
      </c>
      <c r="B39" s="78" t="s">
        <v>174</v>
      </c>
      <c r="C39" s="78">
        <v>2020</v>
      </c>
      <c r="D39" s="108" t="s">
        <v>181</v>
      </c>
      <c r="E39" s="78" t="s">
        <v>192</v>
      </c>
      <c r="F39" s="78" t="s">
        <v>193</v>
      </c>
      <c r="G39" s="78" t="s">
        <v>25</v>
      </c>
      <c r="H39" s="78" t="s">
        <v>113</v>
      </c>
      <c r="I39" s="78" t="s">
        <v>111</v>
      </c>
      <c r="J39" s="78" t="s">
        <v>27</v>
      </c>
      <c r="K39" s="78" t="s">
        <v>112</v>
      </c>
      <c r="L39" s="78">
        <v>2</v>
      </c>
      <c r="N39" s="78">
        <v>1</v>
      </c>
      <c r="O39" s="78">
        <v>0.6</v>
      </c>
      <c r="P39" s="78">
        <v>0.75</v>
      </c>
      <c r="Q39" s="109">
        <f t="shared" si="0"/>
        <v>0.67500000000000004</v>
      </c>
      <c r="R39" s="34">
        <v>15.7</v>
      </c>
      <c r="S39" s="78">
        <v>119</v>
      </c>
      <c r="T39" s="16">
        <f t="shared" si="1"/>
        <v>30</v>
      </c>
      <c r="U39" s="78">
        <v>78</v>
      </c>
      <c r="V39" s="16">
        <f t="shared" si="2"/>
        <v>2340</v>
      </c>
      <c r="W39" s="78">
        <v>6</v>
      </c>
      <c r="X39" s="78" t="s">
        <v>35</v>
      </c>
      <c r="Y39" s="78" t="s">
        <v>43</v>
      </c>
      <c r="Z39" s="78" t="s">
        <v>72</v>
      </c>
      <c r="AA39" s="78" t="s">
        <v>36</v>
      </c>
      <c r="AB39" s="34" t="s">
        <v>178</v>
      </c>
    </row>
    <row r="40" spans="1:28" x14ac:dyDescent="0.15">
      <c r="A40" s="78" t="s">
        <v>24</v>
      </c>
      <c r="B40" s="78" t="s">
        <v>174</v>
      </c>
      <c r="C40" s="78">
        <v>2020</v>
      </c>
      <c r="D40" s="108" t="s">
        <v>181</v>
      </c>
      <c r="E40" s="78" t="s">
        <v>192</v>
      </c>
      <c r="F40" s="78" t="s">
        <v>193</v>
      </c>
      <c r="G40" s="78" t="s">
        <v>25</v>
      </c>
      <c r="H40" s="78" t="s">
        <v>113</v>
      </c>
      <c r="I40" s="78" t="s">
        <v>111</v>
      </c>
      <c r="J40" s="78" t="s">
        <v>27</v>
      </c>
      <c r="K40" s="78" t="s">
        <v>112</v>
      </c>
      <c r="L40" s="78">
        <v>3</v>
      </c>
      <c r="N40" s="78">
        <v>1</v>
      </c>
      <c r="O40" s="78">
        <v>0.5</v>
      </c>
      <c r="P40" s="78">
        <v>0.5</v>
      </c>
      <c r="Q40" s="109">
        <f t="shared" si="0"/>
        <v>0.5</v>
      </c>
      <c r="R40" s="78">
        <v>14.7</v>
      </c>
      <c r="S40" s="78">
        <v>113</v>
      </c>
      <c r="T40" s="16">
        <f t="shared" si="1"/>
        <v>30</v>
      </c>
      <c r="U40" s="78">
        <v>78</v>
      </c>
      <c r="V40" s="16">
        <f t="shared" si="2"/>
        <v>2340</v>
      </c>
      <c r="W40" s="78">
        <v>6</v>
      </c>
      <c r="X40" s="78" t="s">
        <v>35</v>
      </c>
      <c r="Y40" s="78" t="s">
        <v>43</v>
      </c>
      <c r="Z40" s="78" t="s">
        <v>72</v>
      </c>
      <c r="AA40" s="78" t="s">
        <v>36</v>
      </c>
      <c r="AB40" s="34" t="s">
        <v>178</v>
      </c>
    </row>
    <row r="41" spans="1:28" ht="12.75" customHeight="1" x14ac:dyDescent="0.15">
      <c r="A41" s="78" t="s">
        <v>24</v>
      </c>
      <c r="B41" s="78" t="s">
        <v>174</v>
      </c>
      <c r="C41" s="78">
        <v>2020</v>
      </c>
      <c r="D41" s="108" t="s">
        <v>181</v>
      </c>
      <c r="E41" s="78" t="s">
        <v>192</v>
      </c>
      <c r="F41" s="78" t="s">
        <v>193</v>
      </c>
      <c r="G41" s="78" t="s">
        <v>25</v>
      </c>
      <c r="H41" s="78" t="s">
        <v>113</v>
      </c>
      <c r="I41" s="78" t="s">
        <v>111</v>
      </c>
      <c r="J41" s="78" t="s">
        <v>27</v>
      </c>
      <c r="K41" s="78" t="s">
        <v>112</v>
      </c>
      <c r="L41" s="78">
        <v>1</v>
      </c>
      <c r="N41" s="78">
        <v>8</v>
      </c>
      <c r="O41" s="78">
        <v>0.5</v>
      </c>
      <c r="P41" s="78">
        <v>0.5</v>
      </c>
      <c r="Q41" s="109">
        <f t="shared" si="0"/>
        <v>0.5</v>
      </c>
      <c r="R41" s="78">
        <v>14.6</v>
      </c>
      <c r="S41" s="78">
        <v>90</v>
      </c>
      <c r="T41" s="16">
        <f t="shared" si="1"/>
        <v>36</v>
      </c>
      <c r="U41" s="78">
        <v>498</v>
      </c>
      <c r="V41" s="16">
        <f t="shared" si="2"/>
        <v>2241</v>
      </c>
      <c r="W41" s="78">
        <v>4</v>
      </c>
      <c r="X41" s="78" t="s">
        <v>35</v>
      </c>
      <c r="Y41" s="78" t="s">
        <v>43</v>
      </c>
      <c r="Z41" s="78" t="s">
        <v>72</v>
      </c>
      <c r="AA41" s="78" t="s">
        <v>36</v>
      </c>
      <c r="AB41" s="34" t="s">
        <v>178</v>
      </c>
    </row>
    <row r="42" spans="1:28" x14ac:dyDescent="0.15">
      <c r="A42" s="78" t="s">
        <v>24</v>
      </c>
      <c r="B42" s="78" t="s">
        <v>174</v>
      </c>
      <c r="C42" s="78">
        <v>2020</v>
      </c>
      <c r="D42" s="108" t="s">
        <v>181</v>
      </c>
      <c r="E42" s="78" t="s">
        <v>192</v>
      </c>
      <c r="F42" s="78" t="s">
        <v>193</v>
      </c>
      <c r="G42" s="78" t="s">
        <v>25</v>
      </c>
      <c r="H42" s="78" t="s">
        <v>113</v>
      </c>
      <c r="I42" s="78" t="s">
        <v>111</v>
      </c>
      <c r="J42" s="78" t="s">
        <v>27</v>
      </c>
      <c r="K42" s="78" t="s">
        <v>112</v>
      </c>
      <c r="L42" s="78">
        <v>2</v>
      </c>
      <c r="N42" s="78">
        <v>8</v>
      </c>
      <c r="O42" s="78">
        <v>0.5</v>
      </c>
      <c r="P42" s="78">
        <v>0.7</v>
      </c>
      <c r="Q42" s="109">
        <f t="shared" si="0"/>
        <v>0.6</v>
      </c>
      <c r="R42" s="78">
        <v>14.1</v>
      </c>
      <c r="S42" s="78">
        <v>93</v>
      </c>
      <c r="T42" s="16">
        <f t="shared" si="1"/>
        <v>36</v>
      </c>
      <c r="U42" s="78">
        <v>498</v>
      </c>
      <c r="V42" s="16">
        <f t="shared" si="2"/>
        <v>2241</v>
      </c>
      <c r="W42" s="78">
        <v>4</v>
      </c>
      <c r="X42" s="78" t="s">
        <v>35</v>
      </c>
      <c r="Y42" s="78" t="s">
        <v>43</v>
      </c>
      <c r="Z42" s="78" t="s">
        <v>72</v>
      </c>
      <c r="AA42" s="78" t="s">
        <v>36</v>
      </c>
      <c r="AB42" s="34" t="s">
        <v>178</v>
      </c>
    </row>
    <row r="43" spans="1:28" x14ac:dyDescent="0.15">
      <c r="A43" s="78" t="s">
        <v>24</v>
      </c>
      <c r="B43" s="78" t="s">
        <v>174</v>
      </c>
      <c r="C43" s="78">
        <v>2020</v>
      </c>
      <c r="D43" s="108" t="s">
        <v>181</v>
      </c>
      <c r="E43" s="78" t="s">
        <v>192</v>
      </c>
      <c r="F43" s="78" t="s">
        <v>193</v>
      </c>
      <c r="G43" s="78" t="s">
        <v>25</v>
      </c>
      <c r="H43" s="78" t="s">
        <v>113</v>
      </c>
      <c r="I43" s="78" t="s">
        <v>111</v>
      </c>
      <c r="J43" s="78" t="s">
        <v>27</v>
      </c>
      <c r="K43" s="78" t="s">
        <v>112</v>
      </c>
      <c r="L43" s="78">
        <v>3</v>
      </c>
      <c r="N43" s="78">
        <v>8</v>
      </c>
      <c r="O43" s="78">
        <v>0.8</v>
      </c>
      <c r="P43" s="78">
        <v>0.75</v>
      </c>
      <c r="Q43" s="109">
        <f t="shared" si="0"/>
        <v>0.77500000000000002</v>
      </c>
      <c r="R43" s="78">
        <v>14.3</v>
      </c>
      <c r="S43" s="78">
        <v>85</v>
      </c>
      <c r="T43" s="16">
        <f t="shared" si="1"/>
        <v>36</v>
      </c>
      <c r="U43" s="78">
        <v>498</v>
      </c>
      <c r="V43" s="16">
        <f t="shared" si="2"/>
        <v>2241</v>
      </c>
      <c r="W43" s="78">
        <v>4</v>
      </c>
      <c r="X43" s="78" t="s">
        <v>35</v>
      </c>
      <c r="Y43" s="78" t="s">
        <v>43</v>
      </c>
      <c r="Z43" s="78" t="s">
        <v>72</v>
      </c>
      <c r="AA43" s="78" t="s">
        <v>36</v>
      </c>
      <c r="AB43" s="34" t="s">
        <v>178</v>
      </c>
    </row>
    <row r="44" spans="1:28" x14ac:dyDescent="0.15">
      <c r="A44" s="78" t="s">
        <v>24</v>
      </c>
      <c r="B44" s="78" t="s">
        <v>174</v>
      </c>
      <c r="C44" s="78">
        <v>2020</v>
      </c>
      <c r="D44" s="108" t="s">
        <v>181</v>
      </c>
      <c r="E44" s="78" t="s">
        <v>192</v>
      </c>
      <c r="F44" s="78" t="s">
        <v>193</v>
      </c>
      <c r="G44" s="78" t="s">
        <v>25</v>
      </c>
      <c r="H44" s="78" t="s">
        <v>113</v>
      </c>
      <c r="I44" s="78" t="s">
        <v>166</v>
      </c>
      <c r="J44" s="78" t="s">
        <v>27</v>
      </c>
      <c r="K44" s="78" t="s">
        <v>112</v>
      </c>
      <c r="L44" s="78">
        <v>1</v>
      </c>
      <c r="N44" s="78">
        <v>4</v>
      </c>
      <c r="O44" s="78">
        <v>0.8</v>
      </c>
      <c r="P44" s="78">
        <v>1.1000000000000001</v>
      </c>
      <c r="Q44" s="109">
        <f t="shared" si="0"/>
        <v>0.95000000000000007</v>
      </c>
      <c r="R44" s="78">
        <v>15.1</v>
      </c>
      <c r="S44" s="78">
        <v>92</v>
      </c>
      <c r="T44" s="16">
        <f t="shared" si="1"/>
        <v>36</v>
      </c>
      <c r="U44" s="78">
        <v>398</v>
      </c>
      <c r="V44" s="16">
        <f t="shared" si="2"/>
        <v>3582</v>
      </c>
      <c r="W44" s="78">
        <v>1</v>
      </c>
      <c r="X44" s="78" t="s">
        <v>35</v>
      </c>
      <c r="Y44" s="78" t="s">
        <v>43</v>
      </c>
      <c r="Z44" s="78" t="s">
        <v>72</v>
      </c>
      <c r="AA44" s="78" t="s">
        <v>36</v>
      </c>
      <c r="AB44" s="34" t="s">
        <v>178</v>
      </c>
    </row>
    <row r="45" spans="1:28" x14ac:dyDescent="0.15">
      <c r="A45" s="78" t="s">
        <v>24</v>
      </c>
      <c r="B45" s="78" t="s">
        <v>174</v>
      </c>
      <c r="C45" s="78">
        <v>2020</v>
      </c>
      <c r="D45" s="108" t="s">
        <v>181</v>
      </c>
      <c r="E45" s="78" t="s">
        <v>192</v>
      </c>
      <c r="F45" s="78" t="s">
        <v>193</v>
      </c>
      <c r="G45" s="78" t="s">
        <v>25</v>
      </c>
      <c r="H45" s="78" t="s">
        <v>113</v>
      </c>
      <c r="I45" s="78" t="s">
        <v>166</v>
      </c>
      <c r="J45" s="78" t="s">
        <v>27</v>
      </c>
      <c r="K45" s="78" t="s">
        <v>112</v>
      </c>
      <c r="L45" s="78">
        <v>2</v>
      </c>
      <c r="N45" s="78">
        <v>4</v>
      </c>
      <c r="O45" s="78">
        <v>0.95</v>
      </c>
      <c r="P45" s="78">
        <v>0.95</v>
      </c>
      <c r="Q45" s="109">
        <f t="shared" si="0"/>
        <v>0.95</v>
      </c>
      <c r="R45" s="78">
        <v>14.3</v>
      </c>
      <c r="S45" s="78">
        <v>90</v>
      </c>
      <c r="T45" s="16">
        <f t="shared" si="1"/>
        <v>36</v>
      </c>
      <c r="U45" s="78">
        <v>398</v>
      </c>
      <c r="V45" s="16">
        <f t="shared" si="2"/>
        <v>3582</v>
      </c>
      <c r="W45" s="78">
        <v>1</v>
      </c>
      <c r="X45" s="78" t="s">
        <v>35</v>
      </c>
      <c r="Y45" s="78" t="s">
        <v>43</v>
      </c>
      <c r="Z45" s="78" t="s">
        <v>72</v>
      </c>
      <c r="AA45" s="78" t="s">
        <v>36</v>
      </c>
      <c r="AB45" s="34" t="s">
        <v>178</v>
      </c>
    </row>
    <row r="46" spans="1:28" x14ac:dyDescent="0.15">
      <c r="A46" s="78" t="s">
        <v>24</v>
      </c>
      <c r="B46" s="78" t="s">
        <v>174</v>
      </c>
      <c r="C46" s="78">
        <v>2020</v>
      </c>
      <c r="D46" s="108" t="s">
        <v>181</v>
      </c>
      <c r="E46" s="78" t="s">
        <v>192</v>
      </c>
      <c r="F46" s="78" t="s">
        <v>193</v>
      </c>
      <c r="G46" s="78" t="s">
        <v>25</v>
      </c>
      <c r="H46" s="78" t="s">
        <v>113</v>
      </c>
      <c r="I46" s="78" t="s">
        <v>166</v>
      </c>
      <c r="J46" s="78" t="s">
        <v>27</v>
      </c>
      <c r="K46" s="78" t="s">
        <v>112</v>
      </c>
      <c r="L46" s="78">
        <v>3</v>
      </c>
      <c r="N46" s="78">
        <v>4</v>
      </c>
      <c r="O46" s="78">
        <v>1.3</v>
      </c>
      <c r="P46" s="34">
        <v>1.25</v>
      </c>
      <c r="Q46" s="109">
        <f t="shared" si="0"/>
        <v>1.2749999999999999</v>
      </c>
      <c r="R46" s="78">
        <v>14.3</v>
      </c>
      <c r="S46" s="78">
        <v>84</v>
      </c>
      <c r="T46" s="16">
        <f t="shared" si="1"/>
        <v>36</v>
      </c>
      <c r="U46" s="78">
        <v>398</v>
      </c>
      <c r="V46" s="16">
        <f t="shared" si="2"/>
        <v>3582</v>
      </c>
      <c r="W46" s="78">
        <v>1</v>
      </c>
      <c r="X46" s="78" t="s">
        <v>35</v>
      </c>
      <c r="Y46" s="78" t="s">
        <v>43</v>
      </c>
      <c r="Z46" s="78" t="s">
        <v>72</v>
      </c>
      <c r="AA46" s="78" t="s">
        <v>36</v>
      </c>
      <c r="AB46" s="34" t="s">
        <v>178</v>
      </c>
    </row>
    <row r="47" spans="1:28" x14ac:dyDescent="0.15">
      <c r="A47" s="78" t="s">
        <v>24</v>
      </c>
      <c r="B47" s="78" t="s">
        <v>174</v>
      </c>
      <c r="C47" s="78">
        <v>2020</v>
      </c>
      <c r="D47" s="108" t="s">
        <v>181</v>
      </c>
      <c r="E47" s="78" t="s">
        <v>192</v>
      </c>
      <c r="F47" s="78" t="s">
        <v>193</v>
      </c>
      <c r="G47" s="78" t="s">
        <v>25</v>
      </c>
      <c r="H47" s="78" t="s">
        <v>167</v>
      </c>
      <c r="I47" s="78" t="s">
        <v>111</v>
      </c>
      <c r="J47" s="78" t="s">
        <v>27</v>
      </c>
      <c r="K47" s="78" t="s">
        <v>112</v>
      </c>
      <c r="L47" s="78">
        <v>1</v>
      </c>
      <c r="N47" s="78">
        <v>1</v>
      </c>
      <c r="O47" s="78">
        <v>0.8</v>
      </c>
      <c r="P47" s="78">
        <v>0.85</v>
      </c>
      <c r="Q47" s="109">
        <f t="shared" si="0"/>
        <v>0.82499999999999996</v>
      </c>
      <c r="R47" s="78">
        <v>19.5</v>
      </c>
      <c r="S47" s="78">
        <v>136</v>
      </c>
      <c r="T47" s="16">
        <f t="shared" si="1"/>
        <v>25</v>
      </c>
      <c r="U47" s="78">
        <v>98</v>
      </c>
      <c r="V47" s="16">
        <f t="shared" si="2"/>
        <v>2450</v>
      </c>
      <c r="W47" s="78">
        <v>17</v>
      </c>
      <c r="X47" s="78" t="s">
        <v>35</v>
      </c>
      <c r="Y47" s="78" t="s">
        <v>43</v>
      </c>
      <c r="Z47" s="78" t="s">
        <v>72</v>
      </c>
      <c r="AA47" s="78" t="s">
        <v>36</v>
      </c>
      <c r="AB47" s="34" t="s">
        <v>178</v>
      </c>
    </row>
    <row r="48" spans="1:28" x14ac:dyDescent="0.15">
      <c r="A48" s="78" t="s">
        <v>24</v>
      </c>
      <c r="B48" s="78" t="s">
        <v>174</v>
      </c>
      <c r="C48" s="78">
        <v>2020</v>
      </c>
      <c r="D48" s="108" t="s">
        <v>181</v>
      </c>
      <c r="E48" s="78" t="s">
        <v>192</v>
      </c>
      <c r="F48" s="78" t="s">
        <v>193</v>
      </c>
      <c r="G48" s="78" t="s">
        <v>25</v>
      </c>
      <c r="H48" s="78" t="s">
        <v>167</v>
      </c>
      <c r="I48" s="78" t="s">
        <v>111</v>
      </c>
      <c r="J48" s="78" t="s">
        <v>27</v>
      </c>
      <c r="K48" s="78" t="s">
        <v>112</v>
      </c>
      <c r="L48" s="78">
        <v>2</v>
      </c>
      <c r="N48" s="78">
        <v>1</v>
      </c>
      <c r="O48" s="78">
        <v>0.8</v>
      </c>
      <c r="P48" s="78">
        <v>0.75</v>
      </c>
      <c r="Q48" s="109">
        <f t="shared" si="0"/>
        <v>0.77500000000000002</v>
      </c>
      <c r="R48" s="78">
        <v>19.7</v>
      </c>
      <c r="S48" s="78">
        <v>136</v>
      </c>
      <c r="T48" s="16">
        <f t="shared" si="1"/>
        <v>25</v>
      </c>
      <c r="U48" s="78">
        <v>98</v>
      </c>
      <c r="V48" s="16">
        <f t="shared" si="2"/>
        <v>2450</v>
      </c>
      <c r="W48" s="78">
        <v>17</v>
      </c>
      <c r="X48" s="78" t="s">
        <v>35</v>
      </c>
      <c r="Y48" s="78" t="s">
        <v>43</v>
      </c>
      <c r="Z48" s="78" t="s">
        <v>72</v>
      </c>
      <c r="AA48" s="78" t="s">
        <v>36</v>
      </c>
      <c r="AB48" s="34" t="s">
        <v>178</v>
      </c>
    </row>
    <row r="49" spans="1:28" x14ac:dyDescent="0.15">
      <c r="A49" s="78" t="s">
        <v>24</v>
      </c>
      <c r="B49" s="78" t="s">
        <v>174</v>
      </c>
      <c r="C49" s="78">
        <v>2020</v>
      </c>
      <c r="D49" s="108" t="s">
        <v>181</v>
      </c>
      <c r="E49" s="78" t="s">
        <v>192</v>
      </c>
      <c r="F49" s="78" t="s">
        <v>193</v>
      </c>
      <c r="G49" s="78" t="s">
        <v>25</v>
      </c>
      <c r="H49" s="78" t="s">
        <v>167</v>
      </c>
      <c r="I49" s="78" t="s">
        <v>111</v>
      </c>
      <c r="J49" s="78" t="s">
        <v>27</v>
      </c>
      <c r="K49" s="78" t="s">
        <v>112</v>
      </c>
      <c r="L49" s="78">
        <v>3</v>
      </c>
      <c r="N49" s="78">
        <v>1</v>
      </c>
      <c r="O49" s="78">
        <v>0.8</v>
      </c>
      <c r="P49" s="34">
        <v>0.95</v>
      </c>
      <c r="Q49" s="109">
        <f t="shared" si="0"/>
        <v>0.875</v>
      </c>
      <c r="R49" s="78">
        <v>18.8</v>
      </c>
      <c r="S49" s="78">
        <v>137</v>
      </c>
      <c r="T49" s="16">
        <f t="shared" si="1"/>
        <v>25</v>
      </c>
      <c r="U49" s="78">
        <v>98</v>
      </c>
      <c r="V49" s="16">
        <f t="shared" si="2"/>
        <v>2450</v>
      </c>
      <c r="W49" s="78">
        <v>17</v>
      </c>
      <c r="X49" s="78" t="s">
        <v>35</v>
      </c>
      <c r="Y49" s="78" t="s">
        <v>43</v>
      </c>
      <c r="Z49" s="78" t="s">
        <v>72</v>
      </c>
      <c r="AA49" s="78" t="s">
        <v>36</v>
      </c>
      <c r="AB49" s="34" t="s">
        <v>178</v>
      </c>
    </row>
    <row r="50" spans="1:28" x14ac:dyDescent="0.15">
      <c r="A50" s="78" t="s">
        <v>24</v>
      </c>
      <c r="B50" s="78" t="s">
        <v>174</v>
      </c>
      <c r="C50" s="78">
        <v>2020</v>
      </c>
      <c r="D50" s="108" t="s">
        <v>181</v>
      </c>
      <c r="E50" s="78" t="s">
        <v>192</v>
      </c>
      <c r="F50" s="78" t="s">
        <v>193</v>
      </c>
      <c r="G50" s="78" t="s">
        <v>25</v>
      </c>
      <c r="H50" s="78" t="s">
        <v>167</v>
      </c>
      <c r="I50" s="78" t="s">
        <v>111</v>
      </c>
      <c r="J50" s="78" t="s">
        <v>27</v>
      </c>
      <c r="K50" s="78" t="s">
        <v>112</v>
      </c>
      <c r="L50" s="78">
        <v>1</v>
      </c>
      <c r="N50" s="78">
        <v>4</v>
      </c>
      <c r="O50" s="78">
        <v>0.7</v>
      </c>
      <c r="P50" s="78">
        <v>0.75</v>
      </c>
      <c r="Q50" s="109">
        <f t="shared" si="0"/>
        <v>0.72499999999999998</v>
      </c>
      <c r="R50" s="78">
        <v>16</v>
      </c>
      <c r="S50" s="78">
        <v>94</v>
      </c>
      <c r="T50" s="16">
        <f t="shared" si="1"/>
        <v>36</v>
      </c>
      <c r="U50" s="78">
        <v>398</v>
      </c>
      <c r="V50" s="16">
        <f t="shared" si="2"/>
        <v>3582</v>
      </c>
      <c r="W50" s="78">
        <v>2</v>
      </c>
      <c r="X50" s="78" t="s">
        <v>35</v>
      </c>
      <c r="Y50" s="78" t="s">
        <v>43</v>
      </c>
      <c r="Z50" s="78" t="s">
        <v>72</v>
      </c>
      <c r="AA50" s="78" t="s">
        <v>36</v>
      </c>
      <c r="AB50" s="34" t="s">
        <v>178</v>
      </c>
    </row>
    <row r="51" spans="1:28" x14ac:dyDescent="0.15">
      <c r="A51" s="78" t="s">
        <v>24</v>
      </c>
      <c r="B51" s="78" t="s">
        <v>174</v>
      </c>
      <c r="C51" s="78">
        <v>2020</v>
      </c>
      <c r="D51" s="108" t="s">
        <v>181</v>
      </c>
      <c r="E51" s="78" t="s">
        <v>192</v>
      </c>
      <c r="F51" s="78" t="s">
        <v>193</v>
      </c>
      <c r="G51" s="78" t="s">
        <v>25</v>
      </c>
      <c r="H51" s="78" t="s">
        <v>167</v>
      </c>
      <c r="I51" s="78" t="s">
        <v>111</v>
      </c>
      <c r="J51" s="78" t="s">
        <v>27</v>
      </c>
      <c r="K51" s="78" t="s">
        <v>112</v>
      </c>
      <c r="L51" s="78">
        <v>2</v>
      </c>
      <c r="N51" s="78">
        <v>4</v>
      </c>
      <c r="O51" s="78">
        <v>0.5</v>
      </c>
      <c r="P51" s="78">
        <v>0.5</v>
      </c>
      <c r="Q51" s="109">
        <f t="shared" si="0"/>
        <v>0.5</v>
      </c>
      <c r="R51" s="78">
        <v>14.3</v>
      </c>
      <c r="S51" s="78">
        <v>105</v>
      </c>
      <c r="T51" s="16">
        <f t="shared" si="1"/>
        <v>33</v>
      </c>
      <c r="U51" s="78">
        <v>398</v>
      </c>
      <c r="V51" s="16">
        <f t="shared" si="2"/>
        <v>3283.5</v>
      </c>
      <c r="W51" s="78">
        <v>2</v>
      </c>
      <c r="X51" s="78" t="s">
        <v>35</v>
      </c>
      <c r="Y51" s="78" t="s">
        <v>43</v>
      </c>
      <c r="Z51" s="78" t="s">
        <v>72</v>
      </c>
      <c r="AA51" s="78" t="s">
        <v>36</v>
      </c>
      <c r="AB51" s="34" t="s">
        <v>178</v>
      </c>
    </row>
    <row r="52" spans="1:28" x14ac:dyDescent="0.15">
      <c r="A52" s="78" t="s">
        <v>24</v>
      </c>
      <c r="B52" s="78" t="s">
        <v>174</v>
      </c>
      <c r="C52" s="78">
        <v>2020</v>
      </c>
      <c r="D52" s="108" t="s">
        <v>181</v>
      </c>
      <c r="E52" s="78" t="s">
        <v>192</v>
      </c>
      <c r="F52" s="78" t="s">
        <v>193</v>
      </c>
      <c r="G52" s="78" t="s">
        <v>25</v>
      </c>
      <c r="H52" s="78" t="s">
        <v>167</v>
      </c>
      <c r="I52" s="78" t="s">
        <v>111</v>
      </c>
      <c r="J52" s="78" t="s">
        <v>27</v>
      </c>
      <c r="K52" s="78" t="s">
        <v>112</v>
      </c>
      <c r="L52" s="78">
        <v>3</v>
      </c>
      <c r="N52" s="78">
        <v>4</v>
      </c>
      <c r="O52" s="78">
        <v>0.7</v>
      </c>
      <c r="P52" s="78">
        <v>0.7</v>
      </c>
      <c r="Q52" s="109">
        <f t="shared" si="0"/>
        <v>0.7</v>
      </c>
      <c r="R52" s="78">
        <v>16.600000000000001</v>
      </c>
      <c r="S52" s="78">
        <v>102</v>
      </c>
      <c r="T52" s="16">
        <f t="shared" si="1"/>
        <v>33</v>
      </c>
      <c r="U52" s="78">
        <v>398</v>
      </c>
      <c r="V52" s="16">
        <f t="shared" si="2"/>
        <v>3283.5</v>
      </c>
      <c r="W52" s="78">
        <v>2</v>
      </c>
      <c r="X52" s="78" t="s">
        <v>35</v>
      </c>
      <c r="Y52" s="78" t="s">
        <v>43</v>
      </c>
      <c r="Z52" s="78" t="s">
        <v>72</v>
      </c>
      <c r="AA52" s="78" t="s">
        <v>36</v>
      </c>
      <c r="AB52" s="34" t="s">
        <v>178</v>
      </c>
    </row>
    <row r="53" spans="1:28" x14ac:dyDescent="0.15">
      <c r="A53" s="78" t="s">
        <v>24</v>
      </c>
      <c r="B53" s="78" t="s">
        <v>174</v>
      </c>
      <c r="C53" s="78">
        <v>2020</v>
      </c>
      <c r="D53" s="108" t="s">
        <v>181</v>
      </c>
      <c r="E53" s="78" t="s">
        <v>192</v>
      </c>
      <c r="F53" s="78" t="s">
        <v>193</v>
      </c>
      <c r="G53" s="78" t="s">
        <v>25</v>
      </c>
      <c r="H53" s="78" t="s">
        <v>167</v>
      </c>
      <c r="I53" s="78" t="s">
        <v>111</v>
      </c>
      <c r="J53" s="78" t="s">
        <v>27</v>
      </c>
      <c r="K53" s="78" t="s">
        <v>112</v>
      </c>
      <c r="L53" s="78">
        <v>1</v>
      </c>
      <c r="N53" s="78">
        <v>8</v>
      </c>
      <c r="O53" s="78">
        <v>0.6</v>
      </c>
      <c r="P53" s="78">
        <v>0.7</v>
      </c>
      <c r="Q53" s="109">
        <f t="shared" si="0"/>
        <v>0.64999999999999991</v>
      </c>
      <c r="R53" s="78">
        <v>15.9</v>
      </c>
      <c r="S53" s="78">
        <v>92</v>
      </c>
      <c r="T53" s="16">
        <f t="shared" si="1"/>
        <v>36</v>
      </c>
      <c r="U53" s="78">
        <v>598</v>
      </c>
      <c r="V53" s="16">
        <f t="shared" si="2"/>
        <v>2691</v>
      </c>
      <c r="W53" s="78">
        <v>5</v>
      </c>
      <c r="X53" s="78" t="s">
        <v>35</v>
      </c>
      <c r="Y53" s="78" t="s">
        <v>43</v>
      </c>
      <c r="Z53" s="78" t="s">
        <v>72</v>
      </c>
      <c r="AA53" s="78" t="s">
        <v>36</v>
      </c>
      <c r="AB53" s="34" t="s">
        <v>178</v>
      </c>
    </row>
    <row r="54" spans="1:28" x14ac:dyDescent="0.15">
      <c r="A54" s="78" t="s">
        <v>24</v>
      </c>
      <c r="B54" s="78" t="s">
        <v>174</v>
      </c>
      <c r="C54" s="78">
        <v>2020</v>
      </c>
      <c r="D54" s="108" t="s">
        <v>181</v>
      </c>
      <c r="E54" s="78" t="s">
        <v>192</v>
      </c>
      <c r="F54" s="78" t="s">
        <v>193</v>
      </c>
      <c r="G54" s="78" t="s">
        <v>25</v>
      </c>
      <c r="H54" s="78" t="s">
        <v>167</v>
      </c>
      <c r="I54" s="78" t="s">
        <v>111</v>
      </c>
      <c r="J54" s="78" t="s">
        <v>27</v>
      </c>
      <c r="K54" s="78" t="s">
        <v>112</v>
      </c>
      <c r="L54" s="78">
        <v>2</v>
      </c>
      <c r="N54" s="78">
        <v>8</v>
      </c>
      <c r="O54" s="78">
        <v>0.7</v>
      </c>
      <c r="P54" s="78">
        <v>0.8</v>
      </c>
      <c r="Q54" s="109">
        <f t="shared" si="0"/>
        <v>0.75</v>
      </c>
      <c r="R54" s="78">
        <v>15.3</v>
      </c>
      <c r="S54" s="78">
        <v>87</v>
      </c>
      <c r="T54" s="16">
        <f t="shared" si="1"/>
        <v>36</v>
      </c>
      <c r="U54" s="78">
        <v>598</v>
      </c>
      <c r="V54" s="16">
        <f t="shared" si="2"/>
        <v>2691</v>
      </c>
      <c r="W54" s="78">
        <v>5</v>
      </c>
      <c r="X54" s="78" t="s">
        <v>35</v>
      </c>
      <c r="Y54" s="78" t="s">
        <v>43</v>
      </c>
      <c r="Z54" s="78" t="s">
        <v>72</v>
      </c>
      <c r="AA54" s="78" t="s">
        <v>36</v>
      </c>
      <c r="AB54" s="34" t="s">
        <v>178</v>
      </c>
    </row>
    <row r="55" spans="1:28" x14ac:dyDescent="0.15">
      <c r="A55" s="78" t="s">
        <v>24</v>
      </c>
      <c r="B55" s="78" t="s">
        <v>174</v>
      </c>
      <c r="C55" s="78">
        <v>2020</v>
      </c>
      <c r="D55" s="108" t="s">
        <v>181</v>
      </c>
      <c r="E55" s="78" t="s">
        <v>192</v>
      </c>
      <c r="F55" s="78" t="s">
        <v>193</v>
      </c>
      <c r="G55" s="78" t="s">
        <v>25</v>
      </c>
      <c r="H55" s="78" t="s">
        <v>167</v>
      </c>
      <c r="I55" s="78" t="s">
        <v>111</v>
      </c>
      <c r="J55" s="78" t="s">
        <v>27</v>
      </c>
      <c r="K55" s="78" t="s">
        <v>112</v>
      </c>
      <c r="L55" s="78">
        <v>3</v>
      </c>
      <c r="N55" s="78">
        <v>8</v>
      </c>
      <c r="O55" s="78">
        <v>0.5</v>
      </c>
      <c r="P55" s="78">
        <v>0.5</v>
      </c>
      <c r="Q55" s="109">
        <f t="shared" si="0"/>
        <v>0.5</v>
      </c>
      <c r="R55" s="78">
        <v>15.3</v>
      </c>
      <c r="S55" s="78">
        <v>92</v>
      </c>
      <c r="T55" s="16">
        <f t="shared" si="1"/>
        <v>36</v>
      </c>
      <c r="U55" s="78">
        <v>598</v>
      </c>
      <c r="V55" s="16">
        <f t="shared" si="2"/>
        <v>2691</v>
      </c>
      <c r="W55" s="78">
        <v>5</v>
      </c>
      <c r="X55" s="78" t="s">
        <v>35</v>
      </c>
      <c r="Y55" s="78" t="s">
        <v>43</v>
      </c>
      <c r="Z55" s="78" t="s">
        <v>72</v>
      </c>
      <c r="AA55" s="78" t="s">
        <v>36</v>
      </c>
      <c r="AB55" s="34" t="s">
        <v>178</v>
      </c>
    </row>
    <row r="56" spans="1:28" x14ac:dyDescent="0.15">
      <c r="A56" s="78" t="s">
        <v>24</v>
      </c>
      <c r="B56" s="78" t="s">
        <v>174</v>
      </c>
      <c r="C56" s="78">
        <v>2020</v>
      </c>
      <c r="D56" s="108" t="s">
        <v>181</v>
      </c>
      <c r="E56" s="78" t="s">
        <v>188</v>
      </c>
      <c r="F56" s="78" t="s">
        <v>189</v>
      </c>
      <c r="G56" s="78" t="s">
        <v>25</v>
      </c>
      <c r="H56" s="78" t="s">
        <v>113</v>
      </c>
      <c r="I56" s="78" t="s">
        <v>111</v>
      </c>
      <c r="J56" s="78" t="s">
        <v>27</v>
      </c>
      <c r="K56" s="78" t="s">
        <v>112</v>
      </c>
      <c r="L56" s="78">
        <v>1</v>
      </c>
      <c r="N56" s="78">
        <v>1</v>
      </c>
      <c r="O56" s="78">
        <v>0.5</v>
      </c>
      <c r="P56" s="78">
        <v>0.5</v>
      </c>
      <c r="Q56" s="109">
        <f t="shared" si="0"/>
        <v>0.5</v>
      </c>
      <c r="R56" s="78">
        <v>13.6</v>
      </c>
      <c r="S56" s="78">
        <v>103</v>
      </c>
      <c r="T56" s="16">
        <f t="shared" si="1"/>
        <v>33</v>
      </c>
      <c r="U56" s="78">
        <v>100</v>
      </c>
      <c r="V56" s="16">
        <f t="shared" si="2"/>
        <v>3300</v>
      </c>
      <c r="W56" s="78">
        <v>1</v>
      </c>
      <c r="X56" s="78" t="s">
        <v>35</v>
      </c>
      <c r="Y56" s="78" t="s">
        <v>72</v>
      </c>
      <c r="Z56" s="78" t="s">
        <v>36</v>
      </c>
      <c r="AA56" s="78" t="s">
        <v>43</v>
      </c>
      <c r="AB56" s="34" t="s">
        <v>178</v>
      </c>
    </row>
    <row r="57" spans="1:28" x14ac:dyDescent="0.15">
      <c r="A57" s="78" t="s">
        <v>24</v>
      </c>
      <c r="B57" s="78" t="s">
        <v>174</v>
      </c>
      <c r="C57" s="78">
        <v>2020</v>
      </c>
      <c r="D57" s="108" t="s">
        <v>181</v>
      </c>
      <c r="E57" s="78" t="s">
        <v>188</v>
      </c>
      <c r="F57" s="78" t="s">
        <v>189</v>
      </c>
      <c r="G57" s="78" t="s">
        <v>25</v>
      </c>
      <c r="H57" s="78" t="s">
        <v>113</v>
      </c>
      <c r="I57" s="78" t="s">
        <v>111</v>
      </c>
      <c r="J57" s="78" t="s">
        <v>27</v>
      </c>
      <c r="K57" s="78" t="s">
        <v>112</v>
      </c>
      <c r="L57" s="78">
        <v>2</v>
      </c>
      <c r="N57" s="78">
        <v>1</v>
      </c>
      <c r="O57" s="78">
        <v>0.5</v>
      </c>
      <c r="P57" s="78">
        <v>0.65</v>
      </c>
      <c r="Q57" s="109">
        <f t="shared" si="0"/>
        <v>0.57499999999999996</v>
      </c>
      <c r="R57" s="78">
        <v>13.6</v>
      </c>
      <c r="S57" s="78">
        <v>104</v>
      </c>
      <c r="T57" s="16">
        <f t="shared" si="1"/>
        <v>33</v>
      </c>
      <c r="U57" s="78">
        <v>100</v>
      </c>
      <c r="V57" s="16">
        <f t="shared" si="2"/>
        <v>3300</v>
      </c>
      <c r="W57" s="78">
        <v>1</v>
      </c>
      <c r="X57" s="78" t="s">
        <v>35</v>
      </c>
      <c r="Y57" s="78" t="s">
        <v>72</v>
      </c>
      <c r="Z57" s="78" t="s">
        <v>36</v>
      </c>
      <c r="AA57" s="78" t="s">
        <v>43</v>
      </c>
      <c r="AB57" s="34" t="s">
        <v>178</v>
      </c>
    </row>
    <row r="58" spans="1:28" x14ac:dyDescent="0.15">
      <c r="A58" s="78" t="s">
        <v>24</v>
      </c>
      <c r="B58" s="78" t="s">
        <v>174</v>
      </c>
      <c r="C58" s="78">
        <v>2020</v>
      </c>
      <c r="D58" s="108" t="s">
        <v>181</v>
      </c>
      <c r="E58" s="78" t="s">
        <v>188</v>
      </c>
      <c r="F58" s="78" t="s">
        <v>189</v>
      </c>
      <c r="G58" s="78" t="s">
        <v>25</v>
      </c>
      <c r="H58" s="78" t="s">
        <v>113</v>
      </c>
      <c r="I58" s="78" t="s">
        <v>111</v>
      </c>
      <c r="J58" s="78" t="s">
        <v>27</v>
      </c>
      <c r="K58" s="78" t="s">
        <v>112</v>
      </c>
      <c r="L58" s="78">
        <v>3</v>
      </c>
      <c r="N58" s="78">
        <v>1</v>
      </c>
      <c r="O58" s="78">
        <v>1.1000000000000001</v>
      </c>
      <c r="P58" s="78">
        <v>1.1000000000000001</v>
      </c>
      <c r="Q58" s="109">
        <f t="shared" si="0"/>
        <v>1.1000000000000001</v>
      </c>
      <c r="R58" s="78">
        <v>12.9</v>
      </c>
      <c r="S58" s="78">
        <v>106</v>
      </c>
      <c r="T58" s="16">
        <f t="shared" si="1"/>
        <v>33</v>
      </c>
      <c r="U58" s="78">
        <v>100</v>
      </c>
      <c r="V58" s="16">
        <f t="shared" si="2"/>
        <v>3300</v>
      </c>
      <c r="W58" s="78">
        <v>1</v>
      </c>
      <c r="X58" s="78" t="s">
        <v>35</v>
      </c>
      <c r="Y58" s="78" t="s">
        <v>72</v>
      </c>
      <c r="Z58" s="78" t="s">
        <v>36</v>
      </c>
      <c r="AA58" s="78" t="s">
        <v>43</v>
      </c>
      <c r="AB58" s="34" t="s">
        <v>178</v>
      </c>
    </row>
    <row r="59" spans="1:28" x14ac:dyDescent="0.15">
      <c r="A59" s="78" t="s">
        <v>24</v>
      </c>
      <c r="B59" s="78" t="s">
        <v>174</v>
      </c>
      <c r="C59" s="78">
        <v>2020</v>
      </c>
      <c r="D59" s="108" t="s">
        <v>181</v>
      </c>
      <c r="E59" s="78" t="s">
        <v>188</v>
      </c>
      <c r="F59" s="78" t="s">
        <v>189</v>
      </c>
      <c r="G59" s="78" t="s">
        <v>25</v>
      </c>
      <c r="H59" s="78" t="s">
        <v>113</v>
      </c>
      <c r="I59" s="78" t="s">
        <v>111</v>
      </c>
      <c r="J59" s="78" t="s">
        <v>27</v>
      </c>
      <c r="K59" s="78" t="s">
        <v>112</v>
      </c>
      <c r="L59" s="78">
        <v>1</v>
      </c>
      <c r="N59" s="78">
        <v>4</v>
      </c>
      <c r="O59" s="78">
        <v>1</v>
      </c>
      <c r="P59" s="78">
        <v>0.75</v>
      </c>
      <c r="Q59" s="109">
        <f t="shared" si="0"/>
        <v>0.875</v>
      </c>
      <c r="R59" s="78">
        <v>14.1</v>
      </c>
      <c r="S59" s="78">
        <v>99</v>
      </c>
      <c r="T59" s="16">
        <f t="shared" si="1"/>
        <v>33</v>
      </c>
      <c r="U59" s="78">
        <v>398</v>
      </c>
      <c r="V59" s="16">
        <f t="shared" si="2"/>
        <v>3283.5</v>
      </c>
      <c r="W59" s="78">
        <v>1</v>
      </c>
      <c r="X59" s="78" t="s">
        <v>35</v>
      </c>
      <c r="Y59" s="78" t="s">
        <v>72</v>
      </c>
      <c r="Z59" s="78" t="s">
        <v>36</v>
      </c>
      <c r="AA59" s="78" t="s">
        <v>43</v>
      </c>
      <c r="AB59" s="34" t="s">
        <v>178</v>
      </c>
    </row>
    <row r="60" spans="1:28" x14ac:dyDescent="0.15">
      <c r="A60" s="78" t="s">
        <v>24</v>
      </c>
      <c r="B60" s="78" t="s">
        <v>174</v>
      </c>
      <c r="C60" s="78">
        <v>2020</v>
      </c>
      <c r="D60" s="108" t="s">
        <v>181</v>
      </c>
      <c r="E60" s="78" t="s">
        <v>188</v>
      </c>
      <c r="F60" s="78" t="s">
        <v>189</v>
      </c>
      <c r="G60" s="78" t="s">
        <v>25</v>
      </c>
      <c r="H60" s="78" t="s">
        <v>113</v>
      </c>
      <c r="I60" s="78" t="s">
        <v>111</v>
      </c>
      <c r="J60" s="78" t="s">
        <v>27</v>
      </c>
      <c r="K60" s="78" t="s">
        <v>112</v>
      </c>
      <c r="L60" s="78">
        <v>2</v>
      </c>
      <c r="N60" s="78">
        <v>4</v>
      </c>
      <c r="O60" s="78">
        <v>1.2</v>
      </c>
      <c r="P60" s="78">
        <v>1.1000000000000001</v>
      </c>
      <c r="Q60" s="109">
        <f t="shared" si="0"/>
        <v>1.1499999999999999</v>
      </c>
      <c r="R60" s="78">
        <v>13.9</v>
      </c>
      <c r="S60" s="78">
        <v>95</v>
      </c>
      <c r="T60" s="16">
        <f t="shared" si="1"/>
        <v>36</v>
      </c>
      <c r="U60" s="78">
        <v>398</v>
      </c>
      <c r="V60" s="16">
        <f t="shared" si="2"/>
        <v>3582</v>
      </c>
      <c r="W60" s="78">
        <v>1</v>
      </c>
      <c r="X60" s="78" t="s">
        <v>35</v>
      </c>
      <c r="Y60" s="78" t="s">
        <v>72</v>
      </c>
      <c r="Z60" s="78" t="s">
        <v>36</v>
      </c>
      <c r="AA60" s="78" t="s">
        <v>43</v>
      </c>
      <c r="AB60" s="34" t="s">
        <v>178</v>
      </c>
    </row>
    <row r="61" spans="1:28" x14ac:dyDescent="0.15">
      <c r="A61" s="78" t="s">
        <v>24</v>
      </c>
      <c r="B61" s="78" t="s">
        <v>174</v>
      </c>
      <c r="C61" s="78">
        <v>2020</v>
      </c>
      <c r="D61" s="108" t="s">
        <v>181</v>
      </c>
      <c r="E61" s="78" t="s">
        <v>188</v>
      </c>
      <c r="F61" s="78" t="s">
        <v>189</v>
      </c>
      <c r="G61" s="78" t="s">
        <v>25</v>
      </c>
      <c r="H61" s="78" t="s">
        <v>113</v>
      </c>
      <c r="I61" s="78" t="s">
        <v>111</v>
      </c>
      <c r="J61" s="78" t="s">
        <v>27</v>
      </c>
      <c r="K61" s="78" t="s">
        <v>112</v>
      </c>
      <c r="L61" s="78">
        <v>3</v>
      </c>
      <c r="N61" s="78">
        <v>4</v>
      </c>
      <c r="O61" s="78">
        <v>1.1000000000000001</v>
      </c>
      <c r="P61" s="78">
        <v>1.25</v>
      </c>
      <c r="Q61" s="109">
        <f t="shared" si="0"/>
        <v>1.175</v>
      </c>
      <c r="R61" s="78">
        <v>13.3</v>
      </c>
      <c r="S61" s="78">
        <v>93</v>
      </c>
      <c r="T61" s="16">
        <f t="shared" si="1"/>
        <v>36</v>
      </c>
      <c r="U61" s="78">
        <v>398</v>
      </c>
      <c r="V61" s="16">
        <f t="shared" si="2"/>
        <v>3582</v>
      </c>
      <c r="W61" s="78">
        <v>1</v>
      </c>
      <c r="X61" s="78" t="s">
        <v>35</v>
      </c>
      <c r="Y61" s="78" t="s">
        <v>72</v>
      </c>
      <c r="Z61" s="78" t="s">
        <v>36</v>
      </c>
      <c r="AA61" s="78" t="s">
        <v>43</v>
      </c>
      <c r="AB61" s="34" t="s">
        <v>178</v>
      </c>
    </row>
    <row r="62" spans="1:28" x14ac:dyDescent="0.15">
      <c r="A62" s="78" t="s">
        <v>24</v>
      </c>
      <c r="B62" s="78" t="s">
        <v>174</v>
      </c>
      <c r="C62" s="78">
        <v>2020</v>
      </c>
      <c r="D62" s="108" t="s">
        <v>181</v>
      </c>
      <c r="E62" s="78" t="s">
        <v>188</v>
      </c>
      <c r="F62" s="78" t="s">
        <v>189</v>
      </c>
      <c r="G62" s="78" t="s">
        <v>25</v>
      </c>
      <c r="H62" s="78" t="s">
        <v>167</v>
      </c>
      <c r="I62" s="78" t="s">
        <v>111</v>
      </c>
      <c r="J62" s="78" t="s">
        <v>27</v>
      </c>
      <c r="K62" s="78" t="s">
        <v>112</v>
      </c>
      <c r="L62" s="78">
        <v>1</v>
      </c>
      <c r="N62" s="78">
        <v>1</v>
      </c>
      <c r="O62" s="78">
        <v>0.5</v>
      </c>
      <c r="P62" s="78">
        <v>0.6</v>
      </c>
      <c r="Q62" s="109">
        <f t="shared" si="0"/>
        <v>0.55000000000000004</v>
      </c>
      <c r="R62" s="78">
        <v>15.3</v>
      </c>
      <c r="S62" s="78">
        <v>113</v>
      </c>
      <c r="T62" s="16">
        <f t="shared" si="1"/>
        <v>30</v>
      </c>
      <c r="U62" s="78">
        <v>100</v>
      </c>
      <c r="V62" s="16">
        <f t="shared" si="2"/>
        <v>3000</v>
      </c>
      <c r="W62" s="78">
        <v>1</v>
      </c>
      <c r="X62" s="78" t="s">
        <v>35</v>
      </c>
      <c r="Y62" s="78" t="s">
        <v>72</v>
      </c>
      <c r="Z62" s="78" t="s">
        <v>36</v>
      </c>
      <c r="AA62" s="78" t="s">
        <v>43</v>
      </c>
      <c r="AB62" s="34" t="s">
        <v>178</v>
      </c>
    </row>
    <row r="63" spans="1:28" x14ac:dyDescent="0.15">
      <c r="A63" s="78" t="s">
        <v>24</v>
      </c>
      <c r="B63" s="78" t="s">
        <v>174</v>
      </c>
      <c r="C63" s="78">
        <v>2020</v>
      </c>
      <c r="D63" s="108" t="s">
        <v>181</v>
      </c>
      <c r="E63" s="78" t="s">
        <v>188</v>
      </c>
      <c r="F63" s="78" t="s">
        <v>189</v>
      </c>
      <c r="G63" s="78" t="s">
        <v>25</v>
      </c>
      <c r="H63" s="78" t="s">
        <v>167</v>
      </c>
      <c r="I63" s="78" t="s">
        <v>111</v>
      </c>
      <c r="J63" s="78" t="s">
        <v>27</v>
      </c>
      <c r="K63" s="78" t="s">
        <v>112</v>
      </c>
      <c r="L63" s="78">
        <v>2</v>
      </c>
      <c r="N63" s="78">
        <v>1</v>
      </c>
      <c r="O63" s="78">
        <v>0.8</v>
      </c>
      <c r="P63" s="78">
        <v>1</v>
      </c>
      <c r="Q63" s="109">
        <f t="shared" si="0"/>
        <v>0.9</v>
      </c>
      <c r="R63" s="78">
        <v>18.600000000000001</v>
      </c>
      <c r="S63" s="78">
        <v>105</v>
      </c>
      <c r="T63" s="16">
        <f t="shared" si="1"/>
        <v>33</v>
      </c>
      <c r="U63" s="78">
        <v>100</v>
      </c>
      <c r="V63" s="16">
        <f t="shared" si="2"/>
        <v>3300</v>
      </c>
      <c r="W63" s="78">
        <v>1</v>
      </c>
      <c r="X63" s="78" t="s">
        <v>35</v>
      </c>
      <c r="Y63" s="78" t="s">
        <v>72</v>
      </c>
      <c r="Z63" s="78" t="s">
        <v>36</v>
      </c>
      <c r="AA63" s="78" t="s">
        <v>43</v>
      </c>
      <c r="AB63" s="34" t="s">
        <v>178</v>
      </c>
    </row>
    <row r="64" spans="1:28" x14ac:dyDescent="0.15">
      <c r="A64" s="78" t="s">
        <v>24</v>
      </c>
      <c r="B64" s="78" t="s">
        <v>174</v>
      </c>
      <c r="C64" s="78">
        <v>2020</v>
      </c>
      <c r="D64" s="108" t="s">
        <v>181</v>
      </c>
      <c r="E64" s="78" t="s">
        <v>188</v>
      </c>
      <c r="F64" s="78" t="s">
        <v>189</v>
      </c>
      <c r="G64" s="78" t="s">
        <v>25</v>
      </c>
      <c r="H64" s="78" t="s">
        <v>167</v>
      </c>
      <c r="I64" s="78" t="s">
        <v>111</v>
      </c>
      <c r="J64" s="78" t="s">
        <v>27</v>
      </c>
      <c r="K64" s="78" t="s">
        <v>112</v>
      </c>
      <c r="L64" s="78">
        <v>3</v>
      </c>
      <c r="N64" s="78">
        <v>1</v>
      </c>
      <c r="O64" s="78">
        <v>0.6</v>
      </c>
      <c r="P64" s="78">
        <v>0.75</v>
      </c>
      <c r="Q64" s="109">
        <f t="shared" si="0"/>
        <v>0.67500000000000004</v>
      </c>
      <c r="R64" s="78">
        <v>15.6</v>
      </c>
      <c r="S64" s="78">
        <v>115</v>
      </c>
      <c r="T64" s="16">
        <f t="shared" si="1"/>
        <v>30</v>
      </c>
      <c r="U64" s="78">
        <v>100</v>
      </c>
      <c r="V64" s="16">
        <f t="shared" si="2"/>
        <v>3000</v>
      </c>
      <c r="W64" s="78">
        <v>1</v>
      </c>
      <c r="X64" s="78" t="s">
        <v>35</v>
      </c>
      <c r="Y64" s="78" t="s">
        <v>72</v>
      </c>
      <c r="Z64" s="78" t="s">
        <v>36</v>
      </c>
      <c r="AA64" s="78" t="s">
        <v>43</v>
      </c>
      <c r="AB64" s="34" t="s">
        <v>178</v>
      </c>
    </row>
    <row r="65" spans="1:28" x14ac:dyDescent="0.15">
      <c r="A65" s="78" t="s">
        <v>24</v>
      </c>
      <c r="B65" s="78" t="s">
        <v>174</v>
      </c>
      <c r="C65" s="78">
        <v>2020</v>
      </c>
      <c r="D65" s="108" t="s">
        <v>181</v>
      </c>
      <c r="E65" s="78" t="s">
        <v>188</v>
      </c>
      <c r="F65" s="78" t="s">
        <v>189</v>
      </c>
      <c r="G65" s="78" t="s">
        <v>25</v>
      </c>
      <c r="H65" s="78" t="s">
        <v>167</v>
      </c>
      <c r="I65" s="78" t="s">
        <v>111</v>
      </c>
      <c r="J65" s="78" t="s">
        <v>27</v>
      </c>
      <c r="K65" s="78" t="s">
        <v>112</v>
      </c>
      <c r="L65" s="78">
        <v>1</v>
      </c>
      <c r="N65" s="78">
        <v>4</v>
      </c>
      <c r="O65" s="78">
        <v>0.7</v>
      </c>
      <c r="P65" s="78">
        <v>0.75</v>
      </c>
      <c r="Q65" s="109">
        <f t="shared" si="0"/>
        <v>0.72499999999999998</v>
      </c>
      <c r="R65" s="78">
        <v>16.899999999999999</v>
      </c>
      <c r="S65" s="78">
        <v>95</v>
      </c>
      <c r="T65" s="16">
        <f t="shared" si="1"/>
        <v>36</v>
      </c>
      <c r="U65" s="78">
        <v>498</v>
      </c>
      <c r="V65" s="16">
        <f t="shared" si="2"/>
        <v>4482</v>
      </c>
      <c r="W65" s="78">
        <v>2</v>
      </c>
      <c r="X65" s="78" t="s">
        <v>35</v>
      </c>
      <c r="Y65" s="78" t="s">
        <v>72</v>
      </c>
      <c r="Z65" s="78" t="s">
        <v>36</v>
      </c>
      <c r="AA65" s="78" t="s">
        <v>43</v>
      </c>
      <c r="AB65" s="34" t="s">
        <v>178</v>
      </c>
    </row>
    <row r="66" spans="1:28" x14ac:dyDescent="0.15">
      <c r="A66" s="78" t="s">
        <v>24</v>
      </c>
      <c r="B66" s="78" t="s">
        <v>174</v>
      </c>
      <c r="C66" s="78">
        <v>2020</v>
      </c>
      <c r="D66" s="108" t="s">
        <v>181</v>
      </c>
      <c r="E66" s="78" t="s">
        <v>188</v>
      </c>
      <c r="F66" s="78" t="s">
        <v>189</v>
      </c>
      <c r="G66" s="78" t="s">
        <v>25</v>
      </c>
      <c r="H66" s="78" t="s">
        <v>167</v>
      </c>
      <c r="I66" s="78" t="s">
        <v>111</v>
      </c>
      <c r="J66" s="78" t="s">
        <v>27</v>
      </c>
      <c r="K66" s="78" t="s">
        <v>112</v>
      </c>
      <c r="L66" s="78">
        <v>2</v>
      </c>
      <c r="N66" s="78">
        <v>4</v>
      </c>
      <c r="O66" s="78">
        <v>0.5</v>
      </c>
      <c r="P66" s="78">
        <v>0.6</v>
      </c>
      <c r="Q66" s="109">
        <f t="shared" ref="Q66:Q77" si="3">IF(OR(O66="",P66=""),"",AVERAGE(O66,P66))</f>
        <v>0.55000000000000004</v>
      </c>
      <c r="R66" s="78">
        <v>16.2</v>
      </c>
      <c r="S66" s="78">
        <v>104</v>
      </c>
      <c r="T66" s="16">
        <f t="shared" ref="T66:T129" si="4">IF(H66="","",IF(OR(H66="GREEN",H66="GK"),IF(S66&gt;=$AX$2,VLOOKUP(S66,$AX$2:$AY$12,2,1),""),IF(S66&gt;=$AZ$2,VLOOKUP(S66,$AZ$2:$BA$12,2,1),"")))</f>
        <v>33</v>
      </c>
      <c r="U66" s="78">
        <v>498</v>
      </c>
      <c r="V66" s="16">
        <f t="shared" ref="V66:V129" si="5">IF(OR(N66="",U66="",T66=""),"",U66/N66*T66)</f>
        <v>4108.5</v>
      </c>
      <c r="W66" s="78">
        <v>2</v>
      </c>
      <c r="X66" s="78" t="s">
        <v>35</v>
      </c>
      <c r="Y66" s="78" t="s">
        <v>72</v>
      </c>
      <c r="Z66" s="78" t="s">
        <v>36</v>
      </c>
      <c r="AA66" s="78" t="s">
        <v>43</v>
      </c>
      <c r="AB66" s="34" t="s">
        <v>178</v>
      </c>
    </row>
    <row r="67" spans="1:28" x14ac:dyDescent="0.15">
      <c r="A67" s="78" t="s">
        <v>24</v>
      </c>
      <c r="B67" s="78" t="s">
        <v>174</v>
      </c>
      <c r="C67" s="78">
        <v>2020</v>
      </c>
      <c r="D67" s="108" t="s">
        <v>181</v>
      </c>
      <c r="E67" s="78" t="s">
        <v>188</v>
      </c>
      <c r="F67" s="78" t="s">
        <v>189</v>
      </c>
      <c r="G67" s="78" t="s">
        <v>25</v>
      </c>
      <c r="H67" s="78" t="s">
        <v>167</v>
      </c>
      <c r="I67" s="78" t="s">
        <v>111</v>
      </c>
      <c r="J67" s="78" t="s">
        <v>27</v>
      </c>
      <c r="K67" s="78" t="s">
        <v>112</v>
      </c>
      <c r="L67" s="78">
        <v>3</v>
      </c>
      <c r="N67" s="78">
        <v>4</v>
      </c>
      <c r="O67" s="78">
        <v>0.9</v>
      </c>
      <c r="P67" s="78">
        <v>0.9</v>
      </c>
      <c r="Q67" s="109">
        <f t="shared" si="3"/>
        <v>0.9</v>
      </c>
      <c r="R67" s="78">
        <v>16.2</v>
      </c>
      <c r="S67" s="78">
        <v>106</v>
      </c>
      <c r="T67" s="16">
        <f t="shared" si="4"/>
        <v>33</v>
      </c>
      <c r="U67" s="78">
        <v>498</v>
      </c>
      <c r="V67" s="16">
        <f t="shared" si="5"/>
        <v>4108.5</v>
      </c>
      <c r="W67" s="78">
        <v>2</v>
      </c>
      <c r="X67" s="78" t="s">
        <v>35</v>
      </c>
      <c r="Y67" s="78" t="s">
        <v>72</v>
      </c>
      <c r="Z67" s="78" t="s">
        <v>36</v>
      </c>
      <c r="AA67" s="78" t="s">
        <v>43</v>
      </c>
      <c r="AB67" s="34" t="s">
        <v>178</v>
      </c>
    </row>
    <row r="68" spans="1:28" x14ac:dyDescent="0.15">
      <c r="A68" s="78" t="s">
        <v>24</v>
      </c>
      <c r="B68" s="78" t="s">
        <v>174</v>
      </c>
      <c r="C68" s="78">
        <v>2020</v>
      </c>
      <c r="D68" s="108" t="s">
        <v>181</v>
      </c>
      <c r="E68" s="78" t="s">
        <v>197</v>
      </c>
      <c r="F68" s="78" t="s">
        <v>185</v>
      </c>
      <c r="G68" s="78" t="s">
        <v>25</v>
      </c>
      <c r="H68" s="78" t="s">
        <v>113</v>
      </c>
      <c r="I68" s="78" t="s">
        <v>111</v>
      </c>
      <c r="J68" s="78" t="s">
        <v>27</v>
      </c>
      <c r="K68" s="78" t="s">
        <v>112</v>
      </c>
      <c r="L68" s="78">
        <v>1</v>
      </c>
      <c r="N68" s="78">
        <v>1</v>
      </c>
      <c r="O68" s="78">
        <v>0.5</v>
      </c>
      <c r="P68" s="78">
        <v>0.6</v>
      </c>
      <c r="Q68" s="109">
        <f t="shared" si="3"/>
        <v>0.55000000000000004</v>
      </c>
      <c r="R68" s="78">
        <v>13.4</v>
      </c>
      <c r="S68" s="78">
        <v>110</v>
      </c>
      <c r="T68" s="16">
        <f t="shared" si="4"/>
        <v>33</v>
      </c>
      <c r="U68" s="78">
        <v>85</v>
      </c>
      <c r="V68" s="16">
        <f t="shared" si="5"/>
        <v>2805</v>
      </c>
      <c r="W68" s="78">
        <v>4</v>
      </c>
      <c r="X68" s="78" t="s">
        <v>35</v>
      </c>
      <c r="Y68" s="78" t="s">
        <v>36</v>
      </c>
      <c r="Z68" s="78" t="s">
        <v>43</v>
      </c>
      <c r="AA68" s="78" t="s">
        <v>55</v>
      </c>
      <c r="AB68" s="34" t="s">
        <v>178</v>
      </c>
    </row>
    <row r="69" spans="1:28" x14ac:dyDescent="0.15">
      <c r="A69" s="78" t="s">
        <v>24</v>
      </c>
      <c r="B69" s="78" t="s">
        <v>174</v>
      </c>
      <c r="C69" s="78">
        <v>2020</v>
      </c>
      <c r="D69" s="108" t="s">
        <v>181</v>
      </c>
      <c r="E69" s="78" t="s">
        <v>197</v>
      </c>
      <c r="F69" s="78" t="s">
        <v>185</v>
      </c>
      <c r="G69" s="78" t="s">
        <v>25</v>
      </c>
      <c r="H69" s="78" t="s">
        <v>113</v>
      </c>
      <c r="I69" s="78" t="s">
        <v>111</v>
      </c>
      <c r="J69" s="78" t="s">
        <v>27</v>
      </c>
      <c r="K69" s="78" t="s">
        <v>112</v>
      </c>
      <c r="L69" s="78">
        <v>2</v>
      </c>
      <c r="N69" s="78">
        <v>1</v>
      </c>
      <c r="O69" s="78">
        <v>1</v>
      </c>
      <c r="P69" s="78">
        <v>0.8</v>
      </c>
      <c r="Q69" s="109">
        <f t="shared" si="3"/>
        <v>0.9</v>
      </c>
      <c r="R69" s="78">
        <v>15.8</v>
      </c>
      <c r="S69" s="78">
        <v>118</v>
      </c>
      <c r="T69" s="16">
        <f t="shared" si="4"/>
        <v>30</v>
      </c>
      <c r="U69" s="78">
        <v>85</v>
      </c>
      <c r="V69" s="16">
        <f t="shared" si="5"/>
        <v>2550</v>
      </c>
      <c r="W69" s="78">
        <v>4</v>
      </c>
      <c r="X69" s="78" t="s">
        <v>35</v>
      </c>
      <c r="Y69" s="78" t="s">
        <v>36</v>
      </c>
      <c r="Z69" s="78" t="s">
        <v>43</v>
      </c>
      <c r="AA69" s="78" t="s">
        <v>55</v>
      </c>
      <c r="AB69" s="34" t="s">
        <v>178</v>
      </c>
    </row>
    <row r="70" spans="1:28" x14ac:dyDescent="0.15">
      <c r="A70" s="78" t="s">
        <v>24</v>
      </c>
      <c r="B70" s="78" t="s">
        <v>174</v>
      </c>
      <c r="C70" s="78">
        <v>2020</v>
      </c>
      <c r="D70" s="108" t="s">
        <v>181</v>
      </c>
      <c r="E70" s="78" t="s">
        <v>197</v>
      </c>
      <c r="F70" s="78" t="s">
        <v>185</v>
      </c>
      <c r="G70" s="78" t="s">
        <v>25</v>
      </c>
      <c r="H70" s="78" t="s">
        <v>113</v>
      </c>
      <c r="I70" s="78" t="s">
        <v>111</v>
      </c>
      <c r="J70" s="78" t="s">
        <v>27</v>
      </c>
      <c r="K70" s="78" t="s">
        <v>112</v>
      </c>
      <c r="L70" s="78">
        <v>3</v>
      </c>
      <c r="N70" s="78">
        <v>1</v>
      </c>
      <c r="O70" s="78">
        <v>1.2</v>
      </c>
      <c r="P70" s="78">
        <v>1.25</v>
      </c>
      <c r="Q70" s="109">
        <f t="shared" si="3"/>
        <v>1.2250000000000001</v>
      </c>
      <c r="R70" s="78">
        <v>17</v>
      </c>
      <c r="S70" s="78">
        <v>123</v>
      </c>
      <c r="T70" s="16">
        <f t="shared" si="4"/>
        <v>27</v>
      </c>
      <c r="U70" s="78">
        <v>85</v>
      </c>
      <c r="V70" s="16">
        <f t="shared" si="5"/>
        <v>2295</v>
      </c>
      <c r="W70" s="78">
        <v>4</v>
      </c>
      <c r="X70" s="78" t="s">
        <v>35</v>
      </c>
      <c r="Y70" s="78" t="s">
        <v>36</v>
      </c>
      <c r="Z70" s="78" t="s">
        <v>43</v>
      </c>
      <c r="AA70" s="78" t="s">
        <v>55</v>
      </c>
      <c r="AB70" s="34" t="s">
        <v>178</v>
      </c>
    </row>
    <row r="71" spans="1:28" x14ac:dyDescent="0.15">
      <c r="A71" s="78" t="s">
        <v>24</v>
      </c>
      <c r="B71" s="78" t="s">
        <v>174</v>
      </c>
      <c r="C71" s="78">
        <v>2020</v>
      </c>
      <c r="D71" s="108" t="s">
        <v>181</v>
      </c>
      <c r="E71" s="78" t="s">
        <v>197</v>
      </c>
      <c r="F71" s="78" t="s">
        <v>185</v>
      </c>
      <c r="G71" s="78" t="s">
        <v>25</v>
      </c>
      <c r="H71" s="78" t="s">
        <v>113</v>
      </c>
      <c r="I71" s="78" t="s">
        <v>111</v>
      </c>
      <c r="J71" s="78" t="s">
        <v>27</v>
      </c>
      <c r="K71" s="78" t="s">
        <v>112</v>
      </c>
      <c r="L71" s="78">
        <v>1</v>
      </c>
      <c r="N71" s="78">
        <v>8</v>
      </c>
      <c r="O71" s="78">
        <v>0.9</v>
      </c>
      <c r="P71" s="78">
        <v>1.1000000000000001</v>
      </c>
      <c r="Q71" s="109">
        <f t="shared" si="3"/>
        <v>1</v>
      </c>
      <c r="R71" s="78">
        <v>13.3</v>
      </c>
      <c r="S71" s="78">
        <v>94</v>
      </c>
      <c r="T71" s="16">
        <f t="shared" si="4"/>
        <v>36</v>
      </c>
      <c r="U71" s="78">
        <v>498</v>
      </c>
      <c r="V71" s="16">
        <f t="shared" si="5"/>
        <v>2241</v>
      </c>
      <c r="W71" s="78">
        <v>3</v>
      </c>
      <c r="X71" s="78" t="s">
        <v>35</v>
      </c>
      <c r="Y71" s="78" t="s">
        <v>36</v>
      </c>
      <c r="Z71" s="78" t="s">
        <v>43</v>
      </c>
      <c r="AA71" s="78" t="s">
        <v>55</v>
      </c>
      <c r="AB71" s="34" t="s">
        <v>178</v>
      </c>
    </row>
    <row r="72" spans="1:28" x14ac:dyDescent="0.15">
      <c r="A72" s="78" t="s">
        <v>24</v>
      </c>
      <c r="B72" s="78" t="s">
        <v>174</v>
      </c>
      <c r="C72" s="78">
        <v>2020</v>
      </c>
      <c r="D72" s="108" t="s">
        <v>181</v>
      </c>
      <c r="E72" s="78" t="s">
        <v>197</v>
      </c>
      <c r="F72" s="78" t="s">
        <v>185</v>
      </c>
      <c r="G72" s="78" t="s">
        <v>25</v>
      </c>
      <c r="H72" s="78" t="s">
        <v>113</v>
      </c>
      <c r="I72" s="78" t="s">
        <v>111</v>
      </c>
      <c r="J72" s="78" t="s">
        <v>27</v>
      </c>
      <c r="K72" s="78" t="s">
        <v>112</v>
      </c>
      <c r="L72" s="78">
        <v>2</v>
      </c>
      <c r="N72" s="78">
        <v>8</v>
      </c>
      <c r="O72" s="78">
        <v>1.2</v>
      </c>
      <c r="P72" s="78">
        <v>1.25</v>
      </c>
      <c r="Q72" s="109">
        <f t="shared" si="3"/>
        <v>1.2250000000000001</v>
      </c>
      <c r="R72" s="78">
        <v>13.3</v>
      </c>
      <c r="S72" s="78">
        <v>96</v>
      </c>
      <c r="T72" s="16">
        <f t="shared" si="4"/>
        <v>36</v>
      </c>
      <c r="U72" s="78">
        <v>498</v>
      </c>
      <c r="V72" s="16">
        <f t="shared" si="5"/>
        <v>2241</v>
      </c>
      <c r="W72" s="78">
        <v>3</v>
      </c>
      <c r="X72" s="78" t="s">
        <v>35</v>
      </c>
      <c r="Y72" s="78" t="s">
        <v>36</v>
      </c>
      <c r="Z72" s="78" t="s">
        <v>43</v>
      </c>
      <c r="AA72" s="78" t="s">
        <v>55</v>
      </c>
      <c r="AB72" s="34" t="s">
        <v>178</v>
      </c>
    </row>
    <row r="73" spans="1:28" x14ac:dyDescent="0.15">
      <c r="A73" s="78" t="s">
        <v>24</v>
      </c>
      <c r="B73" s="78" t="s">
        <v>174</v>
      </c>
      <c r="C73" s="78">
        <v>2020</v>
      </c>
      <c r="D73" s="108" t="s">
        <v>181</v>
      </c>
      <c r="E73" s="78" t="s">
        <v>197</v>
      </c>
      <c r="F73" s="78" t="s">
        <v>185</v>
      </c>
      <c r="G73" s="78" t="s">
        <v>25</v>
      </c>
      <c r="H73" s="78" t="s">
        <v>113</v>
      </c>
      <c r="I73" s="78" t="s">
        <v>111</v>
      </c>
      <c r="J73" s="78" t="s">
        <v>27</v>
      </c>
      <c r="K73" s="78" t="s">
        <v>112</v>
      </c>
      <c r="L73" s="78">
        <v>3</v>
      </c>
      <c r="N73" s="78">
        <v>8</v>
      </c>
      <c r="O73" s="78">
        <v>1.25</v>
      </c>
      <c r="P73" s="78">
        <v>1.3</v>
      </c>
      <c r="Q73" s="109">
        <f t="shared" si="3"/>
        <v>1.2749999999999999</v>
      </c>
      <c r="R73" s="78">
        <v>13.4</v>
      </c>
      <c r="S73" s="78">
        <v>101</v>
      </c>
      <c r="T73" s="16">
        <f t="shared" si="4"/>
        <v>33</v>
      </c>
      <c r="U73" s="78">
        <v>498</v>
      </c>
      <c r="V73" s="16">
        <f t="shared" si="5"/>
        <v>2054.25</v>
      </c>
      <c r="W73" s="78">
        <v>3</v>
      </c>
      <c r="X73" s="78" t="s">
        <v>35</v>
      </c>
      <c r="Y73" s="78" t="s">
        <v>36</v>
      </c>
      <c r="Z73" s="78" t="s">
        <v>43</v>
      </c>
      <c r="AA73" s="78" t="s">
        <v>55</v>
      </c>
      <c r="AB73" s="34" t="s">
        <v>178</v>
      </c>
    </row>
    <row r="74" spans="1:28" x14ac:dyDescent="0.15">
      <c r="A74" s="78" t="s">
        <v>24</v>
      </c>
      <c r="B74" s="78" t="s">
        <v>174</v>
      </c>
      <c r="C74" s="78">
        <v>2020</v>
      </c>
      <c r="D74" s="108" t="s">
        <v>181</v>
      </c>
      <c r="E74" s="78" t="s">
        <v>197</v>
      </c>
      <c r="F74" s="78" t="s">
        <v>185</v>
      </c>
      <c r="G74" s="78" t="s">
        <v>25</v>
      </c>
      <c r="H74" s="78" t="s">
        <v>167</v>
      </c>
      <c r="I74" s="78" t="s">
        <v>111</v>
      </c>
      <c r="J74" s="78" t="s">
        <v>27</v>
      </c>
      <c r="K74" s="78" t="s">
        <v>112</v>
      </c>
      <c r="L74" s="78">
        <v>1</v>
      </c>
      <c r="N74" s="78">
        <v>1</v>
      </c>
      <c r="O74" s="78">
        <v>1.75</v>
      </c>
      <c r="P74" s="78">
        <v>1.75</v>
      </c>
      <c r="Q74" s="109">
        <f t="shared" si="3"/>
        <v>1.75</v>
      </c>
      <c r="R74" s="78">
        <v>18.5</v>
      </c>
      <c r="S74" s="78">
        <v>112</v>
      </c>
      <c r="T74" s="16">
        <f t="shared" si="4"/>
        <v>33</v>
      </c>
      <c r="U74" s="78">
        <v>85</v>
      </c>
      <c r="V74" s="16">
        <f t="shared" si="5"/>
        <v>2805</v>
      </c>
      <c r="W74" s="78">
        <v>3</v>
      </c>
      <c r="X74" s="78" t="s">
        <v>35</v>
      </c>
      <c r="Y74" s="78" t="s">
        <v>36</v>
      </c>
      <c r="Z74" s="78" t="s">
        <v>43</v>
      </c>
      <c r="AA74" s="78" t="s">
        <v>55</v>
      </c>
      <c r="AB74" s="34" t="s">
        <v>178</v>
      </c>
    </row>
    <row r="75" spans="1:28" x14ac:dyDescent="0.15">
      <c r="A75" s="78" t="s">
        <v>24</v>
      </c>
      <c r="B75" s="78" t="s">
        <v>174</v>
      </c>
      <c r="C75" s="78">
        <v>2020</v>
      </c>
      <c r="D75" s="108" t="s">
        <v>181</v>
      </c>
      <c r="E75" s="78" t="s">
        <v>197</v>
      </c>
      <c r="F75" s="78" t="s">
        <v>185</v>
      </c>
      <c r="G75" s="78" t="s">
        <v>25</v>
      </c>
      <c r="H75" s="78" t="s">
        <v>167</v>
      </c>
      <c r="I75" s="78" t="s">
        <v>111</v>
      </c>
      <c r="J75" s="78" t="s">
        <v>27</v>
      </c>
      <c r="K75" s="78" t="s">
        <v>112</v>
      </c>
      <c r="L75" s="78">
        <v>2</v>
      </c>
      <c r="N75" s="78">
        <v>1</v>
      </c>
      <c r="O75" s="78">
        <v>1.5</v>
      </c>
      <c r="P75" s="78">
        <v>1.4</v>
      </c>
      <c r="Q75" s="109">
        <f t="shared" si="3"/>
        <v>1.45</v>
      </c>
      <c r="R75" s="78">
        <v>16.7</v>
      </c>
      <c r="S75" s="78">
        <v>114</v>
      </c>
      <c r="T75" s="16">
        <f t="shared" si="4"/>
        <v>30</v>
      </c>
      <c r="U75" s="78">
        <v>85</v>
      </c>
      <c r="V75" s="16">
        <f t="shared" si="5"/>
        <v>2550</v>
      </c>
      <c r="W75" s="78">
        <v>3</v>
      </c>
      <c r="X75" s="78" t="s">
        <v>35</v>
      </c>
      <c r="Y75" s="78" t="s">
        <v>36</v>
      </c>
      <c r="Z75" s="78" t="s">
        <v>43</v>
      </c>
      <c r="AA75" s="78" t="s">
        <v>55</v>
      </c>
      <c r="AB75" s="34" t="s">
        <v>178</v>
      </c>
    </row>
    <row r="76" spans="1:28" x14ac:dyDescent="0.15">
      <c r="A76" s="78" t="s">
        <v>24</v>
      </c>
      <c r="B76" s="78" t="s">
        <v>174</v>
      </c>
      <c r="C76" s="78">
        <v>2020</v>
      </c>
      <c r="D76" s="108" t="s">
        <v>181</v>
      </c>
      <c r="E76" s="78" t="s">
        <v>197</v>
      </c>
      <c r="F76" s="78" t="s">
        <v>185</v>
      </c>
      <c r="G76" s="78" t="s">
        <v>25</v>
      </c>
      <c r="H76" s="78" t="s">
        <v>167</v>
      </c>
      <c r="I76" s="78" t="s">
        <v>111</v>
      </c>
      <c r="J76" s="78" t="s">
        <v>27</v>
      </c>
      <c r="K76" s="78" t="s">
        <v>112</v>
      </c>
      <c r="L76" s="78">
        <v>3</v>
      </c>
      <c r="N76" s="78">
        <v>1</v>
      </c>
      <c r="O76" s="78">
        <v>1.5</v>
      </c>
      <c r="P76" s="78">
        <v>1.6</v>
      </c>
      <c r="Q76" s="109">
        <f t="shared" si="3"/>
        <v>1.55</v>
      </c>
      <c r="R76" s="78">
        <v>17.600000000000001</v>
      </c>
      <c r="S76" s="78">
        <v>107</v>
      </c>
      <c r="T76" s="16">
        <f t="shared" si="4"/>
        <v>33</v>
      </c>
      <c r="U76" s="78">
        <v>85</v>
      </c>
      <c r="V76" s="16">
        <f t="shared" si="5"/>
        <v>2805</v>
      </c>
      <c r="W76" s="78">
        <v>3</v>
      </c>
      <c r="X76" s="78" t="s">
        <v>35</v>
      </c>
      <c r="Y76" s="78" t="s">
        <v>36</v>
      </c>
      <c r="Z76" s="78" t="s">
        <v>43</v>
      </c>
      <c r="AA76" s="78" t="s">
        <v>55</v>
      </c>
      <c r="AB76" s="34" t="s">
        <v>178</v>
      </c>
    </row>
    <row r="77" spans="1:28" x14ac:dyDescent="0.15">
      <c r="A77" s="78" t="s">
        <v>24</v>
      </c>
      <c r="B77" s="78" t="s">
        <v>174</v>
      </c>
      <c r="C77" s="78">
        <v>2020</v>
      </c>
      <c r="D77" s="108" t="s">
        <v>181</v>
      </c>
      <c r="E77" s="78" t="s">
        <v>197</v>
      </c>
      <c r="F77" s="78" t="s">
        <v>185</v>
      </c>
      <c r="G77" s="78" t="s">
        <v>25</v>
      </c>
      <c r="H77" s="78" t="s">
        <v>167</v>
      </c>
      <c r="I77" s="78" t="s">
        <v>111</v>
      </c>
      <c r="J77" s="78" t="s">
        <v>27</v>
      </c>
      <c r="K77" s="78" t="s">
        <v>112</v>
      </c>
      <c r="L77" s="78">
        <v>1</v>
      </c>
      <c r="N77" s="78">
        <v>8</v>
      </c>
      <c r="O77" s="78">
        <v>1</v>
      </c>
      <c r="P77" s="78">
        <v>1.2</v>
      </c>
      <c r="Q77" s="109">
        <f t="shared" si="3"/>
        <v>1.1000000000000001</v>
      </c>
      <c r="R77" s="78">
        <v>13.5</v>
      </c>
      <c r="S77" s="78">
        <v>87</v>
      </c>
      <c r="T77" s="16">
        <f t="shared" si="4"/>
        <v>36</v>
      </c>
      <c r="U77" s="78">
        <v>498</v>
      </c>
      <c r="V77" s="16">
        <f t="shared" si="5"/>
        <v>2241</v>
      </c>
      <c r="W77" s="78">
        <v>2</v>
      </c>
      <c r="X77" s="78" t="s">
        <v>35</v>
      </c>
      <c r="Y77" s="78" t="s">
        <v>36</v>
      </c>
      <c r="Z77" s="78" t="s">
        <v>43</v>
      </c>
      <c r="AA77" s="78" t="s">
        <v>55</v>
      </c>
      <c r="AB77" s="34" t="s">
        <v>178</v>
      </c>
    </row>
    <row r="78" spans="1:28" x14ac:dyDescent="0.15">
      <c r="A78" s="78" t="s">
        <v>24</v>
      </c>
      <c r="B78" s="78" t="s">
        <v>174</v>
      </c>
      <c r="C78" s="78">
        <v>2020</v>
      </c>
      <c r="D78" s="108" t="s">
        <v>181</v>
      </c>
      <c r="E78" s="78" t="s">
        <v>197</v>
      </c>
      <c r="F78" s="78" t="s">
        <v>185</v>
      </c>
      <c r="G78" s="78" t="s">
        <v>25</v>
      </c>
      <c r="H78" s="78" t="s">
        <v>167</v>
      </c>
      <c r="I78" s="78" t="s">
        <v>111</v>
      </c>
      <c r="J78" s="78" t="s">
        <v>27</v>
      </c>
      <c r="K78" s="78" t="s">
        <v>112</v>
      </c>
      <c r="L78" s="78">
        <v>2</v>
      </c>
      <c r="N78" s="78">
        <v>8</v>
      </c>
      <c r="O78" s="78">
        <v>1.1000000000000001</v>
      </c>
      <c r="P78" s="34">
        <v>0.9</v>
      </c>
      <c r="Q78" s="109">
        <f>IF(OR(O78="",P78=""),"",AVERAGE(O78,P78))</f>
        <v>1</v>
      </c>
      <c r="R78" s="78">
        <v>14.7</v>
      </c>
      <c r="S78" s="78">
        <v>84</v>
      </c>
      <c r="T78" s="16">
        <f t="shared" si="4"/>
        <v>36</v>
      </c>
      <c r="U78" s="78">
        <v>498</v>
      </c>
      <c r="V78" s="16">
        <f t="shared" si="5"/>
        <v>2241</v>
      </c>
      <c r="W78" s="78">
        <v>2</v>
      </c>
      <c r="X78" s="78" t="s">
        <v>35</v>
      </c>
      <c r="Y78" s="78" t="s">
        <v>36</v>
      </c>
      <c r="Z78" s="78" t="s">
        <v>43</v>
      </c>
      <c r="AA78" s="78" t="s">
        <v>55</v>
      </c>
      <c r="AB78" s="34" t="s">
        <v>178</v>
      </c>
    </row>
    <row r="79" spans="1:28" x14ac:dyDescent="0.15">
      <c r="A79" s="78" t="s">
        <v>24</v>
      </c>
      <c r="B79" s="78" t="s">
        <v>174</v>
      </c>
      <c r="C79" s="78">
        <v>2020</v>
      </c>
      <c r="D79" s="108" t="s">
        <v>181</v>
      </c>
      <c r="E79" s="78" t="s">
        <v>197</v>
      </c>
      <c r="F79" s="78" t="s">
        <v>185</v>
      </c>
      <c r="G79" s="78" t="s">
        <v>25</v>
      </c>
      <c r="H79" s="78" t="s">
        <v>167</v>
      </c>
      <c r="I79" s="78" t="s">
        <v>111</v>
      </c>
      <c r="J79" s="78" t="s">
        <v>27</v>
      </c>
      <c r="K79" s="78" t="s">
        <v>112</v>
      </c>
      <c r="L79" s="78">
        <v>3</v>
      </c>
      <c r="N79" s="78">
        <v>8</v>
      </c>
      <c r="O79" s="78">
        <v>1.1000000000000001</v>
      </c>
      <c r="P79" s="78">
        <v>1.1000000000000001</v>
      </c>
      <c r="Q79" s="109">
        <f>IF(OR(O79="",P79=""),"",AVERAGE(O79,P79))</f>
        <v>1.1000000000000001</v>
      </c>
      <c r="R79" s="78">
        <v>18.100000000000001</v>
      </c>
      <c r="S79" s="78">
        <v>87</v>
      </c>
      <c r="T79" s="16">
        <f t="shared" si="4"/>
        <v>36</v>
      </c>
      <c r="U79" s="78">
        <v>498</v>
      </c>
      <c r="V79" s="16">
        <f t="shared" si="5"/>
        <v>2241</v>
      </c>
      <c r="W79" s="78">
        <v>2</v>
      </c>
      <c r="X79" s="78" t="s">
        <v>35</v>
      </c>
      <c r="Y79" s="78" t="s">
        <v>36</v>
      </c>
      <c r="Z79" s="78" t="s">
        <v>43</v>
      </c>
      <c r="AA79" s="78" t="s">
        <v>55</v>
      </c>
      <c r="AB79" s="34" t="s">
        <v>178</v>
      </c>
    </row>
    <row r="80" spans="1:28" x14ac:dyDescent="0.15">
      <c r="A80" s="78" t="s">
        <v>24</v>
      </c>
      <c r="B80" s="78" t="s">
        <v>174</v>
      </c>
      <c r="C80" s="78">
        <v>2020</v>
      </c>
      <c r="D80" s="108" t="s">
        <v>181</v>
      </c>
      <c r="E80" s="78" t="s">
        <v>190</v>
      </c>
      <c r="F80" s="78" t="s">
        <v>191</v>
      </c>
      <c r="G80" s="78" t="s">
        <v>25</v>
      </c>
      <c r="H80" s="78" t="s">
        <v>113</v>
      </c>
      <c r="I80" s="78" t="s">
        <v>111</v>
      </c>
      <c r="J80" s="78" t="s">
        <v>27</v>
      </c>
      <c r="K80" s="78" t="s">
        <v>112</v>
      </c>
      <c r="L80" s="78">
        <v>1</v>
      </c>
      <c r="N80" s="78">
        <v>1</v>
      </c>
      <c r="O80" s="78">
        <v>0.5</v>
      </c>
      <c r="P80" s="78">
        <v>0.5</v>
      </c>
      <c r="Q80" s="109">
        <f t="shared" ref="Q80:Q160" si="6">IF(OR(O80="",P80=""),"",AVERAGE(O80,P80))</f>
        <v>0.5</v>
      </c>
      <c r="R80" s="78">
        <v>14.3</v>
      </c>
      <c r="S80" s="78">
        <v>107</v>
      </c>
      <c r="T80" s="16">
        <f t="shared" si="4"/>
        <v>33</v>
      </c>
      <c r="U80" s="78">
        <v>88</v>
      </c>
      <c r="V80" s="16">
        <f t="shared" si="5"/>
        <v>2904</v>
      </c>
      <c r="W80" s="78">
        <v>3</v>
      </c>
      <c r="X80" s="78" t="s">
        <v>35</v>
      </c>
      <c r="Y80" s="78" t="s">
        <v>43</v>
      </c>
      <c r="Z80" s="78" t="s">
        <v>36</v>
      </c>
      <c r="AA80" s="78" t="s">
        <v>72</v>
      </c>
      <c r="AB80" s="34" t="s">
        <v>178</v>
      </c>
    </row>
    <row r="81" spans="1:28" x14ac:dyDescent="0.15">
      <c r="A81" s="78" t="s">
        <v>24</v>
      </c>
      <c r="B81" s="78" t="s">
        <v>174</v>
      </c>
      <c r="C81" s="78">
        <v>2020</v>
      </c>
      <c r="D81" s="108" t="s">
        <v>181</v>
      </c>
      <c r="E81" s="78" t="s">
        <v>190</v>
      </c>
      <c r="F81" s="78" t="s">
        <v>191</v>
      </c>
      <c r="G81" s="78" t="s">
        <v>25</v>
      </c>
      <c r="H81" s="78" t="s">
        <v>113</v>
      </c>
      <c r="I81" s="78" t="s">
        <v>111</v>
      </c>
      <c r="J81" s="78" t="s">
        <v>27</v>
      </c>
      <c r="K81" s="78" t="s">
        <v>112</v>
      </c>
      <c r="L81" s="78">
        <v>2</v>
      </c>
      <c r="N81" s="78">
        <v>1</v>
      </c>
      <c r="O81" s="78">
        <v>0.5</v>
      </c>
      <c r="P81" s="78">
        <v>0.5</v>
      </c>
      <c r="Q81" s="109">
        <f t="shared" si="6"/>
        <v>0.5</v>
      </c>
      <c r="R81" s="78">
        <v>17.8</v>
      </c>
      <c r="S81" s="78">
        <v>106</v>
      </c>
      <c r="T81" s="16">
        <f t="shared" si="4"/>
        <v>33</v>
      </c>
      <c r="U81" s="78">
        <v>88</v>
      </c>
      <c r="V81" s="16">
        <f t="shared" si="5"/>
        <v>2904</v>
      </c>
      <c r="W81" s="78">
        <v>3</v>
      </c>
      <c r="X81" s="78" t="s">
        <v>35</v>
      </c>
      <c r="Y81" s="78" t="s">
        <v>43</v>
      </c>
      <c r="Z81" s="78" t="s">
        <v>36</v>
      </c>
      <c r="AA81" s="78" t="s">
        <v>72</v>
      </c>
      <c r="AB81" s="34" t="s">
        <v>178</v>
      </c>
    </row>
    <row r="82" spans="1:28" x14ac:dyDescent="0.15">
      <c r="A82" s="78" t="s">
        <v>24</v>
      </c>
      <c r="B82" s="78" t="s">
        <v>174</v>
      </c>
      <c r="C82" s="78">
        <v>2020</v>
      </c>
      <c r="D82" s="108" t="s">
        <v>181</v>
      </c>
      <c r="E82" s="78" t="s">
        <v>190</v>
      </c>
      <c r="F82" s="78" t="s">
        <v>191</v>
      </c>
      <c r="G82" s="78" t="s">
        <v>25</v>
      </c>
      <c r="H82" s="78" t="s">
        <v>113</v>
      </c>
      <c r="I82" s="78" t="s">
        <v>111</v>
      </c>
      <c r="J82" s="78" t="s">
        <v>27</v>
      </c>
      <c r="K82" s="78" t="s">
        <v>112</v>
      </c>
      <c r="L82" s="78">
        <v>3</v>
      </c>
      <c r="N82" s="78">
        <v>1</v>
      </c>
      <c r="O82" s="78">
        <v>0.5</v>
      </c>
      <c r="P82" s="78">
        <v>0.5</v>
      </c>
      <c r="Q82" s="109">
        <f t="shared" si="6"/>
        <v>0.5</v>
      </c>
      <c r="R82" s="78">
        <v>14.4</v>
      </c>
      <c r="S82" s="78">
        <v>104</v>
      </c>
      <c r="T82" s="16">
        <f t="shared" si="4"/>
        <v>33</v>
      </c>
      <c r="U82" s="78">
        <v>88</v>
      </c>
      <c r="V82" s="16">
        <f t="shared" si="5"/>
        <v>2904</v>
      </c>
      <c r="W82" s="78">
        <v>3</v>
      </c>
      <c r="X82" s="78" t="s">
        <v>35</v>
      </c>
      <c r="Y82" s="78" t="s">
        <v>43</v>
      </c>
      <c r="Z82" s="78" t="s">
        <v>36</v>
      </c>
      <c r="AA82" s="78" t="s">
        <v>72</v>
      </c>
      <c r="AB82" s="34" t="s">
        <v>178</v>
      </c>
    </row>
    <row r="83" spans="1:28" x14ac:dyDescent="0.15">
      <c r="A83" s="78" t="s">
        <v>24</v>
      </c>
      <c r="B83" s="78" t="s">
        <v>174</v>
      </c>
      <c r="C83" s="78">
        <v>2020</v>
      </c>
      <c r="D83" s="108" t="s">
        <v>181</v>
      </c>
      <c r="E83" s="78" t="s">
        <v>190</v>
      </c>
      <c r="F83" s="78" t="s">
        <v>191</v>
      </c>
      <c r="G83" s="78" t="s">
        <v>25</v>
      </c>
      <c r="H83" s="78" t="s">
        <v>113</v>
      </c>
      <c r="I83" s="78" t="s">
        <v>111</v>
      </c>
      <c r="J83" s="78" t="s">
        <v>27</v>
      </c>
      <c r="K83" s="78" t="s">
        <v>112</v>
      </c>
      <c r="L83" s="78">
        <v>1</v>
      </c>
      <c r="N83" s="78">
        <v>5</v>
      </c>
      <c r="O83" s="78">
        <v>1</v>
      </c>
      <c r="P83" s="78">
        <v>1.1000000000000001</v>
      </c>
      <c r="Q83" s="109">
        <f t="shared" si="6"/>
        <v>1.05</v>
      </c>
      <c r="R83" s="78">
        <v>14.2</v>
      </c>
      <c r="S83" s="78">
        <v>106</v>
      </c>
      <c r="T83" s="16">
        <f t="shared" si="4"/>
        <v>33</v>
      </c>
      <c r="U83" s="78">
        <v>580</v>
      </c>
      <c r="V83" s="16">
        <f t="shared" si="5"/>
        <v>3828</v>
      </c>
      <c r="W83" s="78">
        <v>6</v>
      </c>
      <c r="X83" s="78" t="s">
        <v>35</v>
      </c>
      <c r="Y83" s="78" t="s">
        <v>43</v>
      </c>
      <c r="Z83" s="78" t="s">
        <v>36</v>
      </c>
      <c r="AA83" s="78" t="s">
        <v>72</v>
      </c>
      <c r="AB83" s="34" t="s">
        <v>178</v>
      </c>
    </row>
    <row r="84" spans="1:28" x14ac:dyDescent="0.15">
      <c r="A84" s="78" t="s">
        <v>24</v>
      </c>
      <c r="B84" s="78" t="s">
        <v>174</v>
      </c>
      <c r="C84" s="78">
        <v>2020</v>
      </c>
      <c r="D84" s="108" t="s">
        <v>181</v>
      </c>
      <c r="E84" s="78" t="s">
        <v>190</v>
      </c>
      <c r="F84" s="78" t="s">
        <v>191</v>
      </c>
      <c r="G84" s="78" t="s">
        <v>25</v>
      </c>
      <c r="H84" s="78" t="s">
        <v>113</v>
      </c>
      <c r="I84" s="78" t="s">
        <v>111</v>
      </c>
      <c r="J84" s="78" t="s">
        <v>27</v>
      </c>
      <c r="K84" s="78" t="s">
        <v>112</v>
      </c>
      <c r="L84" s="78">
        <v>2</v>
      </c>
      <c r="N84" s="78">
        <v>5</v>
      </c>
      <c r="O84" s="78">
        <v>1</v>
      </c>
      <c r="P84" s="78">
        <v>1.1000000000000001</v>
      </c>
      <c r="Q84" s="109">
        <f t="shared" si="6"/>
        <v>1.05</v>
      </c>
      <c r="R84" s="78">
        <v>14</v>
      </c>
      <c r="S84" s="78">
        <v>107</v>
      </c>
      <c r="T84" s="16">
        <f t="shared" si="4"/>
        <v>33</v>
      </c>
      <c r="U84" s="78">
        <v>580</v>
      </c>
      <c r="V84" s="16">
        <f t="shared" si="5"/>
        <v>3828</v>
      </c>
      <c r="W84" s="78">
        <v>6</v>
      </c>
      <c r="X84" s="78" t="s">
        <v>35</v>
      </c>
      <c r="Y84" s="78" t="s">
        <v>43</v>
      </c>
      <c r="Z84" s="78" t="s">
        <v>36</v>
      </c>
      <c r="AA84" s="78" t="s">
        <v>72</v>
      </c>
      <c r="AB84" s="34" t="s">
        <v>178</v>
      </c>
    </row>
    <row r="85" spans="1:28" x14ac:dyDescent="0.15">
      <c r="A85" s="78" t="s">
        <v>24</v>
      </c>
      <c r="B85" s="78" t="s">
        <v>174</v>
      </c>
      <c r="C85" s="78">
        <v>2020</v>
      </c>
      <c r="D85" s="108" t="s">
        <v>181</v>
      </c>
      <c r="E85" s="78" t="s">
        <v>190</v>
      </c>
      <c r="F85" s="78" t="s">
        <v>191</v>
      </c>
      <c r="G85" s="78" t="s">
        <v>25</v>
      </c>
      <c r="H85" s="78" t="s">
        <v>113</v>
      </c>
      <c r="I85" s="78" t="s">
        <v>111</v>
      </c>
      <c r="J85" s="78" t="s">
        <v>27</v>
      </c>
      <c r="K85" s="78" t="s">
        <v>112</v>
      </c>
      <c r="L85" s="78">
        <v>3</v>
      </c>
      <c r="N85" s="78">
        <v>5</v>
      </c>
      <c r="O85" s="78">
        <v>1.75</v>
      </c>
      <c r="P85" s="78">
        <v>1.8</v>
      </c>
      <c r="Q85" s="109">
        <f t="shared" si="6"/>
        <v>1.7749999999999999</v>
      </c>
      <c r="R85" s="78">
        <v>16.8</v>
      </c>
      <c r="S85" s="78">
        <v>110</v>
      </c>
      <c r="T85" s="16">
        <f t="shared" si="4"/>
        <v>33</v>
      </c>
      <c r="U85" s="78">
        <v>580</v>
      </c>
      <c r="V85" s="16">
        <f t="shared" si="5"/>
        <v>3828</v>
      </c>
      <c r="W85" s="78">
        <v>6</v>
      </c>
      <c r="X85" s="78" t="s">
        <v>35</v>
      </c>
      <c r="Y85" s="78" t="s">
        <v>43</v>
      </c>
      <c r="Z85" s="78" t="s">
        <v>36</v>
      </c>
      <c r="AA85" s="78" t="s">
        <v>72</v>
      </c>
      <c r="AB85" s="34" t="s">
        <v>178</v>
      </c>
    </row>
    <row r="86" spans="1:28" x14ac:dyDescent="0.15">
      <c r="A86" s="78" t="s">
        <v>24</v>
      </c>
      <c r="B86" s="34" t="s">
        <v>174</v>
      </c>
      <c r="C86" s="78">
        <v>2020</v>
      </c>
      <c r="D86" s="108" t="s">
        <v>181</v>
      </c>
      <c r="E86" s="78" t="s">
        <v>190</v>
      </c>
      <c r="F86" s="78" t="s">
        <v>191</v>
      </c>
      <c r="G86" s="78" t="s">
        <v>25</v>
      </c>
      <c r="H86" s="78" t="s">
        <v>167</v>
      </c>
      <c r="I86" s="78" t="s">
        <v>111</v>
      </c>
      <c r="J86" s="78" t="s">
        <v>27</v>
      </c>
      <c r="K86" s="78" t="s">
        <v>112</v>
      </c>
      <c r="L86" s="78">
        <v>1</v>
      </c>
      <c r="N86" s="78">
        <v>1</v>
      </c>
      <c r="O86" s="78">
        <v>1.4</v>
      </c>
      <c r="P86" s="78">
        <v>1.3</v>
      </c>
      <c r="Q86" s="109">
        <f t="shared" si="6"/>
        <v>1.35</v>
      </c>
      <c r="R86" s="78">
        <v>19.7</v>
      </c>
      <c r="S86" s="78">
        <v>130</v>
      </c>
      <c r="T86" s="16">
        <f t="shared" si="4"/>
        <v>25</v>
      </c>
      <c r="U86" s="78">
        <v>98</v>
      </c>
      <c r="V86" s="16">
        <f t="shared" si="5"/>
        <v>2450</v>
      </c>
      <c r="W86" s="78">
        <v>8</v>
      </c>
      <c r="X86" s="78" t="s">
        <v>35</v>
      </c>
      <c r="Y86" s="78" t="s">
        <v>43</v>
      </c>
      <c r="Z86" s="78" t="s">
        <v>36</v>
      </c>
      <c r="AA86" s="78" t="s">
        <v>72</v>
      </c>
      <c r="AB86" s="34" t="s">
        <v>178</v>
      </c>
    </row>
    <row r="87" spans="1:28" x14ac:dyDescent="0.15">
      <c r="A87" s="78" t="s">
        <v>24</v>
      </c>
      <c r="B87" s="34" t="s">
        <v>174</v>
      </c>
      <c r="C87" s="78">
        <v>2020</v>
      </c>
      <c r="D87" s="108" t="s">
        <v>181</v>
      </c>
      <c r="E87" s="78" t="s">
        <v>190</v>
      </c>
      <c r="F87" s="78" t="s">
        <v>191</v>
      </c>
      <c r="G87" s="78" t="s">
        <v>25</v>
      </c>
      <c r="H87" s="78" t="s">
        <v>167</v>
      </c>
      <c r="I87" s="78" t="s">
        <v>111</v>
      </c>
      <c r="J87" s="78" t="s">
        <v>27</v>
      </c>
      <c r="K87" s="78" t="s">
        <v>112</v>
      </c>
      <c r="L87" s="78">
        <v>2</v>
      </c>
      <c r="N87" s="78">
        <v>1</v>
      </c>
      <c r="O87" s="78">
        <v>1.25</v>
      </c>
      <c r="P87" s="78">
        <v>1.3</v>
      </c>
      <c r="Q87" s="109">
        <f t="shared" si="6"/>
        <v>1.2749999999999999</v>
      </c>
      <c r="R87" s="78">
        <v>20</v>
      </c>
      <c r="S87" s="78">
        <v>129</v>
      </c>
      <c r="T87" s="16">
        <f t="shared" si="4"/>
        <v>25</v>
      </c>
      <c r="U87" s="78">
        <v>98</v>
      </c>
      <c r="V87" s="16">
        <f t="shared" si="5"/>
        <v>2450</v>
      </c>
      <c r="W87" s="78">
        <v>8</v>
      </c>
      <c r="X87" s="78" t="s">
        <v>35</v>
      </c>
      <c r="Y87" s="78" t="s">
        <v>43</v>
      </c>
      <c r="Z87" s="78" t="s">
        <v>36</v>
      </c>
      <c r="AA87" s="78" t="s">
        <v>72</v>
      </c>
      <c r="AB87" s="34" t="s">
        <v>178</v>
      </c>
    </row>
    <row r="88" spans="1:28" x14ac:dyDescent="0.15">
      <c r="A88" s="78" t="s">
        <v>24</v>
      </c>
      <c r="B88" s="34" t="s">
        <v>174</v>
      </c>
      <c r="C88" s="78">
        <v>2020</v>
      </c>
      <c r="D88" s="108" t="s">
        <v>181</v>
      </c>
      <c r="E88" s="78" t="s">
        <v>190</v>
      </c>
      <c r="F88" s="78" t="s">
        <v>191</v>
      </c>
      <c r="G88" s="78" t="s">
        <v>25</v>
      </c>
      <c r="H88" s="78" t="s">
        <v>167</v>
      </c>
      <c r="I88" s="78" t="s">
        <v>111</v>
      </c>
      <c r="J88" s="78" t="s">
        <v>27</v>
      </c>
      <c r="K88" s="78" t="s">
        <v>112</v>
      </c>
      <c r="L88" s="78">
        <v>3</v>
      </c>
      <c r="N88" s="78">
        <v>1</v>
      </c>
      <c r="O88" s="78">
        <v>1.2</v>
      </c>
      <c r="P88" s="78">
        <v>1</v>
      </c>
      <c r="Q88" s="109">
        <f t="shared" si="6"/>
        <v>1.1000000000000001</v>
      </c>
      <c r="R88" s="78">
        <v>20.2</v>
      </c>
      <c r="S88" s="78">
        <v>135</v>
      </c>
      <c r="T88" s="16">
        <f t="shared" si="4"/>
        <v>25</v>
      </c>
      <c r="U88" s="78">
        <v>98</v>
      </c>
      <c r="V88" s="16">
        <f t="shared" si="5"/>
        <v>2450</v>
      </c>
      <c r="W88" s="78">
        <v>8</v>
      </c>
      <c r="X88" s="78" t="s">
        <v>35</v>
      </c>
      <c r="Y88" s="78" t="s">
        <v>43</v>
      </c>
      <c r="Z88" s="78" t="s">
        <v>36</v>
      </c>
      <c r="AA88" s="78" t="s">
        <v>72</v>
      </c>
      <c r="AB88" s="34" t="s">
        <v>178</v>
      </c>
    </row>
    <row r="89" spans="1:28" x14ac:dyDescent="0.15">
      <c r="A89" s="78" t="s">
        <v>24</v>
      </c>
      <c r="B89" s="34" t="s">
        <v>174</v>
      </c>
      <c r="C89" s="78">
        <v>2020</v>
      </c>
      <c r="D89" s="108" t="s">
        <v>181</v>
      </c>
      <c r="E89" s="78" t="s">
        <v>190</v>
      </c>
      <c r="F89" s="78" t="s">
        <v>191</v>
      </c>
      <c r="G89" s="78" t="s">
        <v>25</v>
      </c>
      <c r="H89" s="78" t="s">
        <v>167</v>
      </c>
      <c r="I89" s="78" t="s">
        <v>111</v>
      </c>
      <c r="J89" s="78" t="s">
        <v>27</v>
      </c>
      <c r="K89" s="78" t="s">
        <v>112</v>
      </c>
      <c r="L89" s="78">
        <v>1</v>
      </c>
      <c r="N89" s="78">
        <v>4</v>
      </c>
      <c r="O89" s="78">
        <v>1.25</v>
      </c>
      <c r="P89" s="78">
        <v>1.25</v>
      </c>
      <c r="Q89" s="109">
        <f t="shared" si="6"/>
        <v>1.25</v>
      </c>
      <c r="R89" s="78">
        <v>16.7</v>
      </c>
      <c r="S89" s="78">
        <v>114</v>
      </c>
      <c r="T89" s="16">
        <f t="shared" si="4"/>
        <v>30</v>
      </c>
      <c r="U89" s="78">
        <v>698</v>
      </c>
      <c r="V89" s="16">
        <f t="shared" si="5"/>
        <v>5235</v>
      </c>
      <c r="W89" s="78">
        <v>7</v>
      </c>
      <c r="X89" s="78" t="s">
        <v>35</v>
      </c>
      <c r="Y89" s="78" t="s">
        <v>43</v>
      </c>
      <c r="Z89" s="78" t="s">
        <v>36</v>
      </c>
      <c r="AA89" s="78" t="s">
        <v>72</v>
      </c>
      <c r="AB89" s="34" t="s">
        <v>178</v>
      </c>
    </row>
    <row r="90" spans="1:28" x14ac:dyDescent="0.15">
      <c r="A90" s="78" t="s">
        <v>24</v>
      </c>
      <c r="B90" s="34" t="s">
        <v>174</v>
      </c>
      <c r="C90" s="78">
        <v>2020</v>
      </c>
      <c r="D90" s="108" t="s">
        <v>181</v>
      </c>
      <c r="E90" s="78" t="s">
        <v>190</v>
      </c>
      <c r="F90" s="78" t="s">
        <v>191</v>
      </c>
      <c r="G90" s="78" t="s">
        <v>25</v>
      </c>
      <c r="H90" s="78" t="s">
        <v>167</v>
      </c>
      <c r="I90" s="78" t="s">
        <v>111</v>
      </c>
      <c r="J90" s="78" t="s">
        <v>27</v>
      </c>
      <c r="K90" s="78" t="s">
        <v>112</v>
      </c>
      <c r="L90" s="78">
        <v>2</v>
      </c>
      <c r="N90" s="78">
        <v>4</v>
      </c>
      <c r="O90" s="78">
        <v>1.25</v>
      </c>
      <c r="P90" s="78">
        <v>1.25</v>
      </c>
      <c r="Q90" s="109">
        <f t="shared" si="6"/>
        <v>1.25</v>
      </c>
      <c r="R90" s="78">
        <v>15.9</v>
      </c>
      <c r="S90" s="78">
        <v>110</v>
      </c>
      <c r="T90" s="16">
        <f t="shared" si="4"/>
        <v>33</v>
      </c>
      <c r="U90" s="78">
        <v>698</v>
      </c>
      <c r="V90" s="16">
        <f t="shared" si="5"/>
        <v>5758.5</v>
      </c>
      <c r="W90" s="78">
        <v>7</v>
      </c>
      <c r="X90" s="78" t="s">
        <v>35</v>
      </c>
      <c r="Y90" s="78" t="s">
        <v>43</v>
      </c>
      <c r="Z90" s="78" t="s">
        <v>36</v>
      </c>
      <c r="AA90" s="78" t="s">
        <v>72</v>
      </c>
      <c r="AB90" s="34" t="s">
        <v>178</v>
      </c>
    </row>
    <row r="91" spans="1:28" x14ac:dyDescent="0.15">
      <c r="A91" s="78" t="s">
        <v>24</v>
      </c>
      <c r="B91" s="34" t="s">
        <v>174</v>
      </c>
      <c r="C91" s="78">
        <v>2020</v>
      </c>
      <c r="D91" s="108" t="s">
        <v>181</v>
      </c>
      <c r="E91" s="78" t="s">
        <v>190</v>
      </c>
      <c r="F91" s="78" t="s">
        <v>191</v>
      </c>
      <c r="G91" s="78" t="s">
        <v>25</v>
      </c>
      <c r="H91" s="78" t="s">
        <v>167</v>
      </c>
      <c r="I91" s="78" t="s">
        <v>111</v>
      </c>
      <c r="J91" s="78" t="s">
        <v>27</v>
      </c>
      <c r="K91" s="78" t="s">
        <v>112</v>
      </c>
      <c r="L91" s="78">
        <v>3</v>
      </c>
      <c r="N91" s="78">
        <v>4</v>
      </c>
      <c r="O91" s="78">
        <v>0.75</v>
      </c>
      <c r="P91" s="78">
        <v>0.9</v>
      </c>
      <c r="Q91" s="109">
        <f t="shared" si="6"/>
        <v>0.82499999999999996</v>
      </c>
      <c r="R91" s="78">
        <v>15.7</v>
      </c>
      <c r="S91" s="78">
        <v>111</v>
      </c>
      <c r="T91" s="16">
        <f t="shared" si="4"/>
        <v>33</v>
      </c>
      <c r="U91" s="78">
        <v>698</v>
      </c>
      <c r="V91" s="16">
        <f t="shared" si="5"/>
        <v>5758.5</v>
      </c>
      <c r="W91" s="78">
        <v>7</v>
      </c>
      <c r="X91" s="78" t="s">
        <v>35</v>
      </c>
      <c r="Y91" s="78" t="s">
        <v>43</v>
      </c>
      <c r="Z91" s="78" t="s">
        <v>36</v>
      </c>
      <c r="AA91" s="78" t="s">
        <v>72</v>
      </c>
      <c r="AB91" s="34" t="s">
        <v>178</v>
      </c>
    </row>
    <row r="92" spans="1:28" x14ac:dyDescent="0.15">
      <c r="A92" s="78" t="s">
        <v>24</v>
      </c>
      <c r="B92" s="78" t="s">
        <v>174</v>
      </c>
      <c r="C92" s="78">
        <v>2020</v>
      </c>
      <c r="D92" s="78" t="s">
        <v>181</v>
      </c>
      <c r="E92" s="78" t="s">
        <v>196</v>
      </c>
      <c r="F92" s="78" t="s">
        <v>189</v>
      </c>
      <c r="G92" s="78" t="s">
        <v>25</v>
      </c>
      <c r="H92" s="78" t="s">
        <v>113</v>
      </c>
      <c r="I92" s="78" t="s">
        <v>111</v>
      </c>
      <c r="J92" s="78" t="s">
        <v>27</v>
      </c>
      <c r="K92" s="78" t="s">
        <v>112</v>
      </c>
      <c r="L92" s="78">
        <v>1</v>
      </c>
      <c r="N92" s="78">
        <v>1</v>
      </c>
      <c r="O92" s="78">
        <v>2</v>
      </c>
      <c r="P92" s="78">
        <v>2</v>
      </c>
      <c r="Q92" s="109">
        <f t="shared" si="6"/>
        <v>2</v>
      </c>
      <c r="R92" s="78">
        <v>16.600000000000001</v>
      </c>
      <c r="S92" s="78">
        <v>119</v>
      </c>
      <c r="T92" s="16">
        <f t="shared" si="4"/>
        <v>30</v>
      </c>
      <c r="U92" s="78">
        <v>98</v>
      </c>
      <c r="V92" s="16">
        <f t="shared" si="5"/>
        <v>2940</v>
      </c>
      <c r="W92" s="78">
        <v>1</v>
      </c>
      <c r="X92" s="78" t="s">
        <v>35</v>
      </c>
      <c r="Y92" s="78" t="s">
        <v>43</v>
      </c>
      <c r="Z92" s="78" t="s">
        <v>76</v>
      </c>
      <c r="AA92" s="78" t="s">
        <v>55</v>
      </c>
      <c r="AB92" s="78" t="s">
        <v>178</v>
      </c>
    </row>
    <row r="93" spans="1:28" x14ac:dyDescent="0.15">
      <c r="A93" s="78" t="s">
        <v>24</v>
      </c>
      <c r="B93" s="78" t="s">
        <v>174</v>
      </c>
      <c r="C93" s="78">
        <v>2020</v>
      </c>
      <c r="D93" s="78" t="s">
        <v>181</v>
      </c>
      <c r="E93" s="78" t="s">
        <v>196</v>
      </c>
      <c r="F93" s="78" t="s">
        <v>189</v>
      </c>
      <c r="G93" s="78" t="s">
        <v>25</v>
      </c>
      <c r="H93" s="78" t="s">
        <v>113</v>
      </c>
      <c r="I93" s="78" t="s">
        <v>111</v>
      </c>
      <c r="J93" s="78" t="s">
        <v>27</v>
      </c>
      <c r="K93" s="78" t="s">
        <v>112</v>
      </c>
      <c r="L93" s="78">
        <v>2</v>
      </c>
      <c r="N93" s="78">
        <v>1</v>
      </c>
      <c r="O93" s="78">
        <v>2.5</v>
      </c>
      <c r="P93" s="78">
        <v>2.5</v>
      </c>
      <c r="Q93" s="109">
        <f t="shared" si="6"/>
        <v>2.5</v>
      </c>
      <c r="R93" s="78">
        <v>14.5</v>
      </c>
      <c r="S93" s="78">
        <v>115</v>
      </c>
      <c r="T93" s="16">
        <f t="shared" si="4"/>
        <v>30</v>
      </c>
      <c r="U93" s="78">
        <v>98</v>
      </c>
      <c r="V93" s="16">
        <f t="shared" si="5"/>
        <v>2940</v>
      </c>
      <c r="W93" s="78">
        <v>1</v>
      </c>
      <c r="X93" s="78" t="s">
        <v>35</v>
      </c>
      <c r="Y93" s="78" t="s">
        <v>43</v>
      </c>
      <c r="Z93" s="78" t="s">
        <v>76</v>
      </c>
      <c r="AA93" s="78" t="s">
        <v>55</v>
      </c>
      <c r="AB93" s="78" t="s">
        <v>178</v>
      </c>
    </row>
    <row r="94" spans="1:28" x14ac:dyDescent="0.15">
      <c r="A94" s="78" t="s">
        <v>24</v>
      </c>
      <c r="B94" s="78" t="s">
        <v>174</v>
      </c>
      <c r="C94" s="78">
        <v>2020</v>
      </c>
      <c r="D94" s="78" t="s">
        <v>181</v>
      </c>
      <c r="E94" s="78" t="s">
        <v>196</v>
      </c>
      <c r="F94" s="78" t="s">
        <v>189</v>
      </c>
      <c r="G94" s="78" t="s">
        <v>25</v>
      </c>
      <c r="H94" s="78" t="s">
        <v>113</v>
      </c>
      <c r="I94" s="78" t="s">
        <v>111</v>
      </c>
      <c r="J94" s="78" t="s">
        <v>27</v>
      </c>
      <c r="K94" s="78" t="s">
        <v>112</v>
      </c>
      <c r="L94" s="78">
        <v>3</v>
      </c>
      <c r="N94" s="78">
        <v>1</v>
      </c>
      <c r="O94" s="78">
        <v>2</v>
      </c>
      <c r="P94" s="78">
        <v>2.2999999999999998</v>
      </c>
      <c r="Q94" s="109">
        <f t="shared" si="6"/>
        <v>2.15</v>
      </c>
      <c r="R94" s="78">
        <v>15.8</v>
      </c>
      <c r="S94" s="78">
        <v>119</v>
      </c>
      <c r="T94" s="16">
        <f t="shared" si="4"/>
        <v>30</v>
      </c>
      <c r="U94" s="78">
        <v>98</v>
      </c>
      <c r="V94" s="16">
        <f t="shared" si="5"/>
        <v>2940</v>
      </c>
      <c r="W94" s="78">
        <v>1</v>
      </c>
      <c r="X94" s="78" t="s">
        <v>35</v>
      </c>
      <c r="Y94" s="78" t="s">
        <v>43</v>
      </c>
      <c r="Z94" s="78" t="s">
        <v>76</v>
      </c>
      <c r="AA94" s="78" t="s">
        <v>55</v>
      </c>
      <c r="AB94" s="78" t="s">
        <v>178</v>
      </c>
    </row>
    <row r="95" spans="1:28" x14ac:dyDescent="0.15">
      <c r="A95" s="78" t="s">
        <v>24</v>
      </c>
      <c r="B95" s="78" t="s">
        <v>174</v>
      </c>
      <c r="C95" s="78">
        <v>2020</v>
      </c>
      <c r="D95" s="78" t="s">
        <v>181</v>
      </c>
      <c r="E95" s="78" t="s">
        <v>196</v>
      </c>
      <c r="F95" s="78" t="s">
        <v>189</v>
      </c>
      <c r="G95" s="78" t="s">
        <v>25</v>
      </c>
      <c r="H95" s="78" t="s">
        <v>113</v>
      </c>
      <c r="I95" s="78" t="s">
        <v>111</v>
      </c>
      <c r="J95" s="78" t="s">
        <v>27</v>
      </c>
      <c r="K95" s="78" t="s">
        <v>112</v>
      </c>
      <c r="L95" s="78">
        <v>1</v>
      </c>
      <c r="N95" s="78">
        <v>8</v>
      </c>
      <c r="O95" s="78">
        <v>0.9</v>
      </c>
      <c r="P95" s="78">
        <v>0.75</v>
      </c>
      <c r="Q95" s="109">
        <f t="shared" si="6"/>
        <v>0.82499999999999996</v>
      </c>
      <c r="R95" s="78">
        <v>13.6</v>
      </c>
      <c r="S95" s="78">
        <v>80</v>
      </c>
      <c r="T95" s="16">
        <f t="shared" si="4"/>
        <v>39</v>
      </c>
      <c r="U95" s="78">
        <v>580</v>
      </c>
      <c r="V95" s="16">
        <f t="shared" si="5"/>
        <v>2827.5</v>
      </c>
      <c r="W95" s="78">
        <v>2</v>
      </c>
      <c r="X95" s="78" t="s">
        <v>35</v>
      </c>
      <c r="Y95" s="78" t="s">
        <v>43</v>
      </c>
      <c r="Z95" s="78" t="s">
        <v>76</v>
      </c>
      <c r="AA95" s="78" t="s">
        <v>55</v>
      </c>
      <c r="AB95" s="78" t="s">
        <v>178</v>
      </c>
    </row>
    <row r="96" spans="1:28" x14ac:dyDescent="0.15">
      <c r="A96" s="78" t="s">
        <v>24</v>
      </c>
      <c r="B96" s="78" t="s">
        <v>174</v>
      </c>
      <c r="C96" s="78">
        <v>2020</v>
      </c>
      <c r="D96" s="78" t="s">
        <v>181</v>
      </c>
      <c r="E96" s="78" t="s">
        <v>196</v>
      </c>
      <c r="F96" s="78" t="s">
        <v>189</v>
      </c>
      <c r="G96" s="78" t="s">
        <v>25</v>
      </c>
      <c r="H96" s="78" t="s">
        <v>113</v>
      </c>
      <c r="I96" s="78" t="s">
        <v>111</v>
      </c>
      <c r="J96" s="78" t="s">
        <v>27</v>
      </c>
      <c r="K96" s="78" t="s">
        <v>112</v>
      </c>
      <c r="L96" s="78">
        <v>2</v>
      </c>
      <c r="N96" s="78">
        <v>8</v>
      </c>
      <c r="O96" s="78">
        <v>0.5</v>
      </c>
      <c r="P96" s="78">
        <v>0.5</v>
      </c>
      <c r="Q96" s="109">
        <f t="shared" si="6"/>
        <v>0.5</v>
      </c>
      <c r="R96" s="78">
        <v>13.6</v>
      </c>
      <c r="S96" s="78">
        <v>86</v>
      </c>
      <c r="T96" s="16">
        <f t="shared" si="4"/>
        <v>36</v>
      </c>
      <c r="U96" s="78">
        <v>580</v>
      </c>
      <c r="V96" s="16">
        <f t="shared" si="5"/>
        <v>2610</v>
      </c>
      <c r="W96" s="78">
        <v>2</v>
      </c>
      <c r="X96" s="78" t="s">
        <v>35</v>
      </c>
      <c r="Y96" s="78" t="s">
        <v>43</v>
      </c>
      <c r="Z96" s="78" t="s">
        <v>76</v>
      </c>
      <c r="AA96" s="78" t="s">
        <v>55</v>
      </c>
      <c r="AB96" s="78" t="s">
        <v>178</v>
      </c>
    </row>
    <row r="97" spans="1:28" x14ac:dyDescent="0.15">
      <c r="A97" s="78" t="s">
        <v>24</v>
      </c>
      <c r="B97" s="78" t="s">
        <v>174</v>
      </c>
      <c r="C97" s="78">
        <v>2020</v>
      </c>
      <c r="D97" s="78" t="s">
        <v>181</v>
      </c>
      <c r="E97" s="78" t="s">
        <v>196</v>
      </c>
      <c r="F97" s="78" t="s">
        <v>189</v>
      </c>
      <c r="G97" s="78" t="s">
        <v>25</v>
      </c>
      <c r="H97" s="78" t="s">
        <v>113</v>
      </c>
      <c r="I97" s="78" t="s">
        <v>111</v>
      </c>
      <c r="J97" s="78" t="s">
        <v>27</v>
      </c>
      <c r="K97" s="78" t="s">
        <v>112</v>
      </c>
      <c r="L97" s="78">
        <v>3</v>
      </c>
      <c r="N97" s="78">
        <v>8</v>
      </c>
      <c r="O97" s="78">
        <v>0.5</v>
      </c>
      <c r="P97" s="78">
        <v>0.5</v>
      </c>
      <c r="Q97" s="109">
        <f t="shared" si="6"/>
        <v>0.5</v>
      </c>
      <c r="R97" s="78">
        <v>13.5</v>
      </c>
      <c r="S97" s="78">
        <v>87</v>
      </c>
      <c r="T97" s="16">
        <f t="shared" si="4"/>
        <v>36</v>
      </c>
      <c r="U97" s="78">
        <v>580</v>
      </c>
      <c r="V97" s="16">
        <f t="shared" si="5"/>
        <v>2610</v>
      </c>
      <c r="W97" s="78">
        <v>2</v>
      </c>
      <c r="X97" s="78" t="s">
        <v>35</v>
      </c>
      <c r="Y97" s="78" t="s">
        <v>43</v>
      </c>
      <c r="Z97" s="78" t="s">
        <v>76</v>
      </c>
      <c r="AA97" s="78" t="s">
        <v>55</v>
      </c>
      <c r="AB97" s="78" t="s">
        <v>178</v>
      </c>
    </row>
    <row r="98" spans="1:28" x14ac:dyDescent="0.15">
      <c r="A98" s="78" t="s">
        <v>24</v>
      </c>
      <c r="B98" s="78" t="s">
        <v>174</v>
      </c>
      <c r="C98" s="78">
        <v>2020</v>
      </c>
      <c r="D98" s="78" t="s">
        <v>181</v>
      </c>
      <c r="E98" s="78" t="s">
        <v>196</v>
      </c>
      <c r="F98" s="78" t="s">
        <v>189</v>
      </c>
      <c r="G98" s="78" t="s">
        <v>25</v>
      </c>
      <c r="H98" s="78" t="s">
        <v>167</v>
      </c>
      <c r="I98" s="78" t="s">
        <v>111</v>
      </c>
      <c r="J98" s="78" t="s">
        <v>27</v>
      </c>
      <c r="K98" s="78" t="s">
        <v>112</v>
      </c>
      <c r="L98" s="78">
        <v>1</v>
      </c>
      <c r="N98" s="78">
        <v>1</v>
      </c>
      <c r="O98" s="78">
        <v>1.4</v>
      </c>
      <c r="P98" s="78">
        <v>1.25</v>
      </c>
      <c r="Q98" s="109">
        <f t="shared" si="6"/>
        <v>1.325</v>
      </c>
      <c r="R98" s="78">
        <v>18</v>
      </c>
      <c r="S98" s="78">
        <v>117</v>
      </c>
      <c r="T98" s="16">
        <f t="shared" si="4"/>
        <v>30</v>
      </c>
      <c r="U98" s="78">
        <v>128</v>
      </c>
      <c r="V98" s="16">
        <f t="shared" si="5"/>
        <v>3840</v>
      </c>
      <c r="W98" s="78">
        <v>3</v>
      </c>
      <c r="X98" s="78" t="s">
        <v>35</v>
      </c>
      <c r="Y98" s="78" t="s">
        <v>43</v>
      </c>
      <c r="Z98" s="78" t="s">
        <v>76</v>
      </c>
      <c r="AA98" s="78" t="s">
        <v>55</v>
      </c>
      <c r="AB98" s="78" t="s">
        <v>178</v>
      </c>
    </row>
    <row r="99" spans="1:28" x14ac:dyDescent="0.15">
      <c r="A99" s="78" t="s">
        <v>24</v>
      </c>
      <c r="B99" s="78" t="s">
        <v>174</v>
      </c>
      <c r="C99" s="78">
        <v>2020</v>
      </c>
      <c r="D99" s="78" t="s">
        <v>181</v>
      </c>
      <c r="E99" s="78" t="s">
        <v>196</v>
      </c>
      <c r="F99" s="78" t="s">
        <v>189</v>
      </c>
      <c r="G99" s="78" t="s">
        <v>25</v>
      </c>
      <c r="H99" s="78" t="s">
        <v>167</v>
      </c>
      <c r="I99" s="78" t="s">
        <v>111</v>
      </c>
      <c r="J99" s="78" t="s">
        <v>27</v>
      </c>
      <c r="K99" s="78" t="s">
        <v>112</v>
      </c>
      <c r="L99" s="78">
        <v>2</v>
      </c>
      <c r="N99" s="78">
        <v>1</v>
      </c>
      <c r="O99" s="78">
        <v>1.5</v>
      </c>
      <c r="P99" s="78">
        <v>1.4</v>
      </c>
      <c r="Q99" s="109">
        <f t="shared" si="6"/>
        <v>1.45</v>
      </c>
      <c r="R99" s="78">
        <v>14.4</v>
      </c>
      <c r="S99" s="78">
        <v>119</v>
      </c>
      <c r="T99" s="16">
        <f t="shared" si="4"/>
        <v>30</v>
      </c>
      <c r="U99" s="78">
        <v>128</v>
      </c>
      <c r="V99" s="16">
        <f t="shared" si="5"/>
        <v>3840</v>
      </c>
      <c r="W99" s="78">
        <v>3</v>
      </c>
      <c r="X99" s="78" t="s">
        <v>35</v>
      </c>
      <c r="Y99" s="78" t="s">
        <v>43</v>
      </c>
      <c r="Z99" s="78" t="s">
        <v>76</v>
      </c>
      <c r="AA99" s="78" t="s">
        <v>55</v>
      </c>
      <c r="AB99" s="78" t="s">
        <v>178</v>
      </c>
    </row>
    <row r="100" spans="1:28" x14ac:dyDescent="0.15">
      <c r="A100" s="78" t="s">
        <v>24</v>
      </c>
      <c r="B100" s="78" t="s">
        <v>174</v>
      </c>
      <c r="C100" s="78">
        <v>2020</v>
      </c>
      <c r="D100" s="78" t="s">
        <v>181</v>
      </c>
      <c r="E100" s="78" t="s">
        <v>196</v>
      </c>
      <c r="F100" s="78" t="s">
        <v>189</v>
      </c>
      <c r="G100" s="78" t="s">
        <v>25</v>
      </c>
      <c r="H100" s="78" t="s">
        <v>167</v>
      </c>
      <c r="I100" s="78" t="s">
        <v>111</v>
      </c>
      <c r="J100" s="78" t="s">
        <v>27</v>
      </c>
      <c r="K100" s="78" t="s">
        <v>112</v>
      </c>
      <c r="L100" s="78">
        <v>3</v>
      </c>
      <c r="N100" s="78">
        <v>1</v>
      </c>
      <c r="O100" s="78">
        <v>1.5</v>
      </c>
      <c r="P100" s="78">
        <v>1.4</v>
      </c>
      <c r="Q100" s="109">
        <f t="shared" si="6"/>
        <v>1.45</v>
      </c>
      <c r="R100" s="78">
        <v>13.3</v>
      </c>
      <c r="S100" s="78">
        <v>120</v>
      </c>
      <c r="T100" s="16">
        <f t="shared" si="4"/>
        <v>30</v>
      </c>
      <c r="U100" s="78">
        <v>128</v>
      </c>
      <c r="V100" s="16">
        <f t="shared" si="5"/>
        <v>3840</v>
      </c>
      <c r="W100" s="78">
        <v>3</v>
      </c>
      <c r="X100" s="78" t="s">
        <v>35</v>
      </c>
      <c r="Y100" s="78" t="s">
        <v>43</v>
      </c>
      <c r="Z100" s="78" t="s">
        <v>76</v>
      </c>
      <c r="AA100" s="78" t="s">
        <v>55</v>
      </c>
      <c r="AB100" s="78" t="s">
        <v>178</v>
      </c>
    </row>
    <row r="101" spans="1:28" x14ac:dyDescent="0.15">
      <c r="A101" s="78" t="s">
        <v>24</v>
      </c>
      <c r="B101" s="78" t="s">
        <v>174</v>
      </c>
      <c r="C101" s="78">
        <v>2020</v>
      </c>
      <c r="D101" s="78" t="s">
        <v>181</v>
      </c>
      <c r="E101" s="78" t="s">
        <v>196</v>
      </c>
      <c r="F101" s="78" t="s">
        <v>189</v>
      </c>
      <c r="G101" s="78" t="s">
        <v>25</v>
      </c>
      <c r="H101" s="78" t="s">
        <v>167</v>
      </c>
      <c r="I101" s="78" t="s">
        <v>111</v>
      </c>
      <c r="J101" s="78" t="s">
        <v>27</v>
      </c>
      <c r="K101" s="78" t="s">
        <v>112</v>
      </c>
      <c r="L101" s="78">
        <v>1</v>
      </c>
      <c r="N101" s="78">
        <v>8</v>
      </c>
      <c r="O101" s="78">
        <v>1.1000000000000001</v>
      </c>
      <c r="P101" s="78">
        <v>0.9</v>
      </c>
      <c r="Q101" s="109">
        <f t="shared" si="6"/>
        <v>1</v>
      </c>
      <c r="R101" s="78">
        <v>11.7</v>
      </c>
      <c r="S101" s="78">
        <v>100</v>
      </c>
      <c r="T101" s="16">
        <f t="shared" si="4"/>
        <v>33</v>
      </c>
      <c r="U101" s="78">
        <v>780</v>
      </c>
      <c r="V101" s="16">
        <f t="shared" si="5"/>
        <v>3217.5</v>
      </c>
      <c r="W101" s="78">
        <v>2</v>
      </c>
      <c r="X101" s="78" t="s">
        <v>35</v>
      </c>
      <c r="Y101" s="78" t="s">
        <v>43</v>
      </c>
      <c r="Z101" s="78" t="s">
        <v>76</v>
      </c>
      <c r="AA101" s="78" t="s">
        <v>55</v>
      </c>
      <c r="AB101" s="78" t="s">
        <v>178</v>
      </c>
    </row>
    <row r="102" spans="1:28" x14ac:dyDescent="0.15">
      <c r="A102" s="78" t="s">
        <v>24</v>
      </c>
      <c r="B102" s="78" t="s">
        <v>174</v>
      </c>
      <c r="C102" s="78">
        <v>2020</v>
      </c>
      <c r="D102" s="78" t="s">
        <v>181</v>
      </c>
      <c r="E102" s="78" t="s">
        <v>196</v>
      </c>
      <c r="F102" s="78" t="s">
        <v>189</v>
      </c>
      <c r="G102" s="78" t="s">
        <v>25</v>
      </c>
      <c r="H102" s="78" t="s">
        <v>167</v>
      </c>
      <c r="I102" s="78" t="s">
        <v>111</v>
      </c>
      <c r="J102" s="78" t="s">
        <v>27</v>
      </c>
      <c r="K102" s="78" t="s">
        <v>112</v>
      </c>
      <c r="L102" s="78">
        <v>2</v>
      </c>
      <c r="N102" s="78">
        <v>8</v>
      </c>
      <c r="O102" s="78">
        <v>1.25</v>
      </c>
      <c r="P102" s="78">
        <v>1.25</v>
      </c>
      <c r="Q102" s="109">
        <f t="shared" si="6"/>
        <v>1.25</v>
      </c>
      <c r="R102" s="78">
        <v>19.3</v>
      </c>
      <c r="S102" s="78">
        <v>103</v>
      </c>
      <c r="T102" s="16">
        <f t="shared" si="4"/>
        <v>33</v>
      </c>
      <c r="U102" s="78">
        <v>780</v>
      </c>
      <c r="V102" s="16">
        <f t="shared" si="5"/>
        <v>3217.5</v>
      </c>
      <c r="W102" s="78">
        <v>2</v>
      </c>
      <c r="X102" s="78" t="s">
        <v>35</v>
      </c>
      <c r="Y102" s="78" t="s">
        <v>43</v>
      </c>
      <c r="Z102" s="78" t="s">
        <v>76</v>
      </c>
      <c r="AA102" s="78" t="s">
        <v>55</v>
      </c>
      <c r="AB102" s="78" t="s">
        <v>178</v>
      </c>
    </row>
    <row r="103" spans="1:28" x14ac:dyDescent="0.15">
      <c r="A103" s="78" t="s">
        <v>24</v>
      </c>
      <c r="B103" s="78" t="s">
        <v>174</v>
      </c>
      <c r="C103" s="78">
        <v>2020</v>
      </c>
      <c r="D103" s="78" t="s">
        <v>181</v>
      </c>
      <c r="E103" s="78" t="s">
        <v>196</v>
      </c>
      <c r="F103" s="78" t="s">
        <v>189</v>
      </c>
      <c r="G103" s="78" t="s">
        <v>25</v>
      </c>
      <c r="H103" s="78" t="s">
        <v>167</v>
      </c>
      <c r="I103" s="78" t="s">
        <v>111</v>
      </c>
      <c r="J103" s="78" t="s">
        <v>27</v>
      </c>
      <c r="K103" s="78" t="s">
        <v>112</v>
      </c>
      <c r="L103" s="78">
        <v>3</v>
      </c>
      <c r="N103" s="78">
        <v>8</v>
      </c>
      <c r="O103" s="78">
        <v>1.5</v>
      </c>
      <c r="P103" s="78">
        <v>1.4</v>
      </c>
      <c r="Q103" s="109">
        <f t="shared" si="6"/>
        <v>1.45</v>
      </c>
      <c r="R103" s="78">
        <v>16.399999999999999</v>
      </c>
      <c r="S103" s="78">
        <v>95</v>
      </c>
      <c r="T103" s="16">
        <f t="shared" si="4"/>
        <v>36</v>
      </c>
      <c r="U103" s="78">
        <v>780</v>
      </c>
      <c r="V103" s="16">
        <f t="shared" si="5"/>
        <v>3510</v>
      </c>
      <c r="W103" s="78">
        <v>2</v>
      </c>
      <c r="X103" s="78" t="s">
        <v>35</v>
      </c>
      <c r="Y103" s="78" t="s">
        <v>43</v>
      </c>
      <c r="Z103" s="78" t="s">
        <v>76</v>
      </c>
      <c r="AA103" s="78" t="s">
        <v>55</v>
      </c>
      <c r="AB103" s="78" t="s">
        <v>178</v>
      </c>
    </row>
    <row r="104" spans="1:28" x14ac:dyDescent="0.15">
      <c r="A104" s="78" t="s">
        <v>24</v>
      </c>
      <c r="B104" s="78" t="s">
        <v>174</v>
      </c>
      <c r="C104" s="78">
        <v>2020</v>
      </c>
      <c r="D104" s="78" t="s">
        <v>181</v>
      </c>
      <c r="E104" s="78" t="s">
        <v>198</v>
      </c>
      <c r="F104" s="78" t="s">
        <v>195</v>
      </c>
      <c r="G104" s="78" t="s">
        <v>25</v>
      </c>
      <c r="H104" s="78" t="s">
        <v>113</v>
      </c>
      <c r="I104" s="78" t="s">
        <v>111</v>
      </c>
      <c r="J104" s="78" t="s">
        <v>27</v>
      </c>
      <c r="K104" s="78" t="s">
        <v>112</v>
      </c>
      <c r="L104" s="78">
        <v>1</v>
      </c>
      <c r="N104" s="78">
        <v>1</v>
      </c>
      <c r="O104" s="78">
        <v>0.5</v>
      </c>
      <c r="P104" s="78">
        <v>0.5</v>
      </c>
      <c r="Q104" s="109">
        <f t="shared" si="6"/>
        <v>0.5</v>
      </c>
      <c r="R104" s="78">
        <v>14.3</v>
      </c>
      <c r="S104" s="78">
        <v>125</v>
      </c>
      <c r="T104" s="16">
        <f t="shared" si="4"/>
        <v>27</v>
      </c>
      <c r="U104" s="78">
        <v>58</v>
      </c>
      <c r="V104" s="16">
        <f t="shared" si="5"/>
        <v>1566</v>
      </c>
      <c r="W104" s="78">
        <v>2</v>
      </c>
      <c r="X104" s="78" t="s">
        <v>35</v>
      </c>
      <c r="Y104" s="78" t="s">
        <v>43</v>
      </c>
      <c r="Z104" s="78" t="s">
        <v>55</v>
      </c>
      <c r="AA104" s="78" t="s">
        <v>29</v>
      </c>
      <c r="AB104" s="78" t="s">
        <v>178</v>
      </c>
    </row>
    <row r="105" spans="1:28" x14ac:dyDescent="0.15">
      <c r="A105" s="78" t="s">
        <v>24</v>
      </c>
      <c r="B105" s="78" t="s">
        <v>174</v>
      </c>
      <c r="C105" s="78">
        <v>2020</v>
      </c>
      <c r="D105" s="78" t="s">
        <v>181</v>
      </c>
      <c r="E105" s="78" t="s">
        <v>198</v>
      </c>
      <c r="F105" s="78" t="s">
        <v>195</v>
      </c>
      <c r="G105" s="78" t="s">
        <v>25</v>
      </c>
      <c r="H105" s="78" t="s">
        <v>113</v>
      </c>
      <c r="I105" s="78" t="s">
        <v>111</v>
      </c>
      <c r="J105" s="78" t="s">
        <v>27</v>
      </c>
      <c r="K105" s="78" t="s">
        <v>112</v>
      </c>
      <c r="L105" s="78">
        <v>2</v>
      </c>
      <c r="N105" s="78">
        <v>1</v>
      </c>
      <c r="O105" s="78">
        <v>2</v>
      </c>
      <c r="P105" s="78">
        <v>1.9</v>
      </c>
      <c r="Q105" s="109">
        <f t="shared" si="6"/>
        <v>1.95</v>
      </c>
      <c r="R105" s="78">
        <v>14.2</v>
      </c>
      <c r="S105" s="78">
        <v>129</v>
      </c>
      <c r="T105" s="16">
        <f t="shared" si="4"/>
        <v>25</v>
      </c>
      <c r="U105" s="78">
        <v>58</v>
      </c>
      <c r="V105" s="16">
        <f t="shared" si="5"/>
        <v>1450</v>
      </c>
      <c r="W105" s="78">
        <v>2</v>
      </c>
      <c r="X105" s="78" t="s">
        <v>35</v>
      </c>
      <c r="Y105" s="78" t="s">
        <v>43</v>
      </c>
      <c r="Z105" s="78" t="s">
        <v>55</v>
      </c>
      <c r="AA105" s="78" t="s">
        <v>29</v>
      </c>
      <c r="AB105" s="78" t="s">
        <v>178</v>
      </c>
    </row>
    <row r="106" spans="1:28" x14ac:dyDescent="0.15">
      <c r="A106" s="78" t="s">
        <v>24</v>
      </c>
      <c r="B106" s="78" t="s">
        <v>174</v>
      </c>
      <c r="C106" s="78">
        <v>2020</v>
      </c>
      <c r="D106" s="78" t="s">
        <v>181</v>
      </c>
      <c r="E106" s="78" t="s">
        <v>198</v>
      </c>
      <c r="F106" s="78" t="s">
        <v>195</v>
      </c>
      <c r="G106" s="78" t="s">
        <v>25</v>
      </c>
      <c r="H106" s="78" t="s">
        <v>113</v>
      </c>
      <c r="I106" s="78" t="s">
        <v>111</v>
      </c>
      <c r="J106" s="78" t="s">
        <v>27</v>
      </c>
      <c r="K106" s="78" t="s">
        <v>112</v>
      </c>
      <c r="L106" s="78">
        <v>3</v>
      </c>
      <c r="N106" s="78">
        <v>1</v>
      </c>
      <c r="O106" s="78">
        <v>1.5</v>
      </c>
      <c r="P106" s="78">
        <v>1.3</v>
      </c>
      <c r="Q106" s="109">
        <f t="shared" si="6"/>
        <v>1.4</v>
      </c>
      <c r="R106" s="78">
        <v>12.3</v>
      </c>
      <c r="S106" s="78">
        <v>116</v>
      </c>
      <c r="T106" s="16">
        <f t="shared" si="4"/>
        <v>30</v>
      </c>
      <c r="U106" s="78">
        <v>58</v>
      </c>
      <c r="V106" s="16">
        <f t="shared" si="5"/>
        <v>1740</v>
      </c>
      <c r="W106" s="78">
        <v>2</v>
      </c>
      <c r="X106" s="78" t="s">
        <v>35</v>
      </c>
      <c r="Y106" s="78" t="s">
        <v>43</v>
      </c>
      <c r="Z106" s="78" t="s">
        <v>55</v>
      </c>
      <c r="AA106" s="78" t="s">
        <v>29</v>
      </c>
      <c r="AB106" s="78" t="s">
        <v>178</v>
      </c>
    </row>
    <row r="107" spans="1:28" x14ac:dyDescent="0.15">
      <c r="A107" s="78" t="s">
        <v>24</v>
      </c>
      <c r="B107" s="78" t="s">
        <v>174</v>
      </c>
      <c r="C107" s="78">
        <v>2020</v>
      </c>
      <c r="D107" s="78" t="s">
        <v>181</v>
      </c>
      <c r="E107" s="78" t="s">
        <v>198</v>
      </c>
      <c r="F107" s="78" t="s">
        <v>195</v>
      </c>
      <c r="G107" s="78" t="s">
        <v>25</v>
      </c>
      <c r="H107" s="78" t="s">
        <v>113</v>
      </c>
      <c r="I107" s="78" t="s">
        <v>111</v>
      </c>
      <c r="J107" s="78" t="s">
        <v>27</v>
      </c>
      <c r="K107" s="78" t="s">
        <v>112</v>
      </c>
      <c r="L107" s="78">
        <v>1</v>
      </c>
      <c r="N107" s="78">
        <v>4</v>
      </c>
      <c r="O107" s="78">
        <v>1.5</v>
      </c>
      <c r="P107" s="78">
        <v>1.5</v>
      </c>
      <c r="Q107" s="109">
        <f t="shared" si="6"/>
        <v>1.5</v>
      </c>
      <c r="R107" s="78">
        <v>13</v>
      </c>
      <c r="S107" s="78">
        <v>110</v>
      </c>
      <c r="T107" s="16">
        <f t="shared" si="4"/>
        <v>33</v>
      </c>
      <c r="U107" s="78">
        <v>398</v>
      </c>
      <c r="V107" s="16">
        <f t="shared" si="5"/>
        <v>3283.5</v>
      </c>
      <c r="W107" s="78">
        <v>2</v>
      </c>
      <c r="X107" s="78" t="s">
        <v>35</v>
      </c>
      <c r="Y107" s="78" t="s">
        <v>43</v>
      </c>
      <c r="Z107" s="78" t="s">
        <v>55</v>
      </c>
      <c r="AA107" s="78" t="s">
        <v>29</v>
      </c>
      <c r="AB107" s="78" t="s">
        <v>178</v>
      </c>
    </row>
    <row r="108" spans="1:28" x14ac:dyDescent="0.15">
      <c r="A108" s="78" t="s">
        <v>24</v>
      </c>
      <c r="B108" s="78" t="s">
        <v>174</v>
      </c>
      <c r="C108" s="78">
        <v>2020</v>
      </c>
      <c r="D108" s="78" t="s">
        <v>181</v>
      </c>
      <c r="E108" s="78" t="s">
        <v>198</v>
      </c>
      <c r="F108" s="78" t="s">
        <v>195</v>
      </c>
      <c r="G108" s="78" t="s">
        <v>25</v>
      </c>
      <c r="H108" s="78" t="s">
        <v>113</v>
      </c>
      <c r="I108" s="78" t="s">
        <v>111</v>
      </c>
      <c r="J108" s="78" t="s">
        <v>27</v>
      </c>
      <c r="K108" s="78" t="s">
        <v>112</v>
      </c>
      <c r="L108" s="78">
        <v>2</v>
      </c>
      <c r="N108" s="78">
        <v>4</v>
      </c>
      <c r="O108" s="78">
        <v>1.75</v>
      </c>
      <c r="P108" s="78">
        <v>1.8</v>
      </c>
      <c r="Q108" s="109">
        <f t="shared" si="6"/>
        <v>1.7749999999999999</v>
      </c>
      <c r="R108" s="78">
        <v>14.3</v>
      </c>
      <c r="S108" s="78">
        <v>115</v>
      </c>
      <c r="T108" s="16">
        <f t="shared" si="4"/>
        <v>30</v>
      </c>
      <c r="U108" s="78">
        <v>398</v>
      </c>
      <c r="V108" s="16">
        <f t="shared" si="5"/>
        <v>2985</v>
      </c>
      <c r="W108" s="78">
        <v>2</v>
      </c>
      <c r="X108" s="78" t="s">
        <v>35</v>
      </c>
      <c r="Y108" s="78" t="s">
        <v>43</v>
      </c>
      <c r="Z108" s="78" t="s">
        <v>55</v>
      </c>
      <c r="AA108" s="78" t="s">
        <v>29</v>
      </c>
      <c r="AB108" s="78" t="s">
        <v>178</v>
      </c>
    </row>
    <row r="109" spans="1:28" x14ac:dyDescent="0.15">
      <c r="A109" s="78" t="s">
        <v>24</v>
      </c>
      <c r="B109" s="78" t="s">
        <v>174</v>
      </c>
      <c r="C109" s="78">
        <v>2020</v>
      </c>
      <c r="D109" s="78" t="s">
        <v>181</v>
      </c>
      <c r="E109" s="78" t="s">
        <v>198</v>
      </c>
      <c r="F109" s="78" t="s">
        <v>195</v>
      </c>
      <c r="G109" s="78" t="s">
        <v>25</v>
      </c>
      <c r="H109" s="78" t="s">
        <v>113</v>
      </c>
      <c r="I109" s="78" t="s">
        <v>111</v>
      </c>
      <c r="J109" s="78" t="s">
        <v>27</v>
      </c>
      <c r="K109" s="78" t="s">
        <v>112</v>
      </c>
      <c r="L109" s="78">
        <v>3</v>
      </c>
      <c r="N109" s="78">
        <v>4</v>
      </c>
      <c r="O109" s="78">
        <v>1.5</v>
      </c>
      <c r="P109" s="78">
        <v>1.6</v>
      </c>
      <c r="Q109" s="109">
        <f t="shared" si="6"/>
        <v>1.55</v>
      </c>
      <c r="R109" s="78">
        <v>14.2</v>
      </c>
      <c r="S109" s="78">
        <v>114</v>
      </c>
      <c r="T109" s="16">
        <f t="shared" si="4"/>
        <v>30</v>
      </c>
      <c r="U109" s="78">
        <v>398</v>
      </c>
      <c r="V109" s="16">
        <f t="shared" si="5"/>
        <v>2985</v>
      </c>
      <c r="W109" s="78">
        <v>2</v>
      </c>
      <c r="X109" s="78" t="s">
        <v>35</v>
      </c>
      <c r="Y109" s="78" t="s">
        <v>43</v>
      </c>
      <c r="Z109" s="78" t="s">
        <v>55</v>
      </c>
      <c r="AA109" s="78" t="s">
        <v>29</v>
      </c>
      <c r="AB109" s="78" t="s">
        <v>178</v>
      </c>
    </row>
    <row r="110" spans="1:28" x14ac:dyDescent="0.15">
      <c r="A110" s="78" t="s">
        <v>24</v>
      </c>
      <c r="B110" s="78" t="s">
        <v>174</v>
      </c>
      <c r="C110" s="78">
        <v>2020</v>
      </c>
      <c r="D110" s="78" t="s">
        <v>181</v>
      </c>
      <c r="E110" s="78" t="s">
        <v>198</v>
      </c>
      <c r="F110" s="78" t="s">
        <v>195</v>
      </c>
      <c r="G110" s="78" t="s">
        <v>25</v>
      </c>
      <c r="H110" s="78" t="s">
        <v>167</v>
      </c>
      <c r="I110" s="78" t="s">
        <v>111</v>
      </c>
      <c r="J110" s="78" t="s">
        <v>27</v>
      </c>
      <c r="K110" s="78" t="s">
        <v>112</v>
      </c>
      <c r="L110" s="78">
        <v>1</v>
      </c>
      <c r="N110" s="78">
        <v>1</v>
      </c>
      <c r="O110" s="78">
        <v>1.75</v>
      </c>
      <c r="P110" s="78">
        <v>1.5</v>
      </c>
      <c r="Q110" s="109">
        <f t="shared" si="6"/>
        <v>1.625</v>
      </c>
      <c r="R110" s="78">
        <v>18.5</v>
      </c>
      <c r="S110" s="78">
        <v>109</v>
      </c>
      <c r="T110" s="16">
        <f t="shared" si="4"/>
        <v>33</v>
      </c>
      <c r="U110" s="78">
        <v>98</v>
      </c>
      <c r="V110" s="16">
        <f t="shared" si="5"/>
        <v>3234</v>
      </c>
      <c r="W110" s="78">
        <v>4</v>
      </c>
      <c r="X110" s="78" t="s">
        <v>35</v>
      </c>
      <c r="Y110" s="78" t="s">
        <v>43</v>
      </c>
      <c r="Z110" s="78" t="s">
        <v>55</v>
      </c>
      <c r="AA110" s="78" t="s">
        <v>29</v>
      </c>
      <c r="AB110" s="78" t="s">
        <v>178</v>
      </c>
    </row>
    <row r="111" spans="1:28" x14ac:dyDescent="0.15">
      <c r="A111" s="78" t="s">
        <v>24</v>
      </c>
      <c r="B111" s="78" t="s">
        <v>174</v>
      </c>
      <c r="C111" s="78">
        <v>2020</v>
      </c>
      <c r="D111" s="78" t="s">
        <v>181</v>
      </c>
      <c r="E111" s="78" t="s">
        <v>198</v>
      </c>
      <c r="F111" s="78" t="s">
        <v>195</v>
      </c>
      <c r="G111" s="78" t="s">
        <v>25</v>
      </c>
      <c r="H111" s="78" t="s">
        <v>167</v>
      </c>
      <c r="I111" s="78" t="s">
        <v>111</v>
      </c>
      <c r="J111" s="78" t="s">
        <v>27</v>
      </c>
      <c r="K111" s="78" t="s">
        <v>112</v>
      </c>
      <c r="L111" s="78">
        <v>2</v>
      </c>
      <c r="N111" s="78">
        <v>1</v>
      </c>
      <c r="O111" s="78">
        <v>1.5</v>
      </c>
      <c r="P111" s="78">
        <v>1.4</v>
      </c>
      <c r="Q111" s="109">
        <f t="shared" si="6"/>
        <v>1.45</v>
      </c>
      <c r="R111" s="78">
        <v>18.899999999999999</v>
      </c>
      <c r="S111" s="78">
        <v>111</v>
      </c>
      <c r="T111" s="16">
        <f t="shared" si="4"/>
        <v>33</v>
      </c>
      <c r="U111" s="78">
        <v>98</v>
      </c>
      <c r="V111" s="16">
        <f t="shared" si="5"/>
        <v>3234</v>
      </c>
      <c r="W111" s="78">
        <v>4</v>
      </c>
      <c r="X111" s="78" t="s">
        <v>35</v>
      </c>
      <c r="Y111" s="78" t="s">
        <v>43</v>
      </c>
      <c r="Z111" s="78" t="s">
        <v>55</v>
      </c>
      <c r="AA111" s="78" t="s">
        <v>29</v>
      </c>
      <c r="AB111" s="78" t="s">
        <v>178</v>
      </c>
    </row>
    <row r="112" spans="1:28" x14ac:dyDescent="0.15">
      <c r="A112" s="78" t="s">
        <v>24</v>
      </c>
      <c r="B112" s="78" t="s">
        <v>174</v>
      </c>
      <c r="C112" s="78">
        <v>2020</v>
      </c>
      <c r="D112" s="78" t="s">
        <v>181</v>
      </c>
      <c r="E112" s="78" t="s">
        <v>198</v>
      </c>
      <c r="F112" s="78" t="s">
        <v>195</v>
      </c>
      <c r="G112" s="78" t="s">
        <v>25</v>
      </c>
      <c r="H112" s="78" t="s">
        <v>167</v>
      </c>
      <c r="I112" s="78" t="s">
        <v>111</v>
      </c>
      <c r="J112" s="78" t="s">
        <v>27</v>
      </c>
      <c r="K112" s="78" t="s">
        <v>112</v>
      </c>
      <c r="L112" s="78">
        <v>3</v>
      </c>
      <c r="N112" s="78">
        <v>1</v>
      </c>
      <c r="O112" s="78">
        <v>1.25</v>
      </c>
      <c r="P112" s="78">
        <v>1.2</v>
      </c>
      <c r="Q112" s="109">
        <f t="shared" si="6"/>
        <v>1.2250000000000001</v>
      </c>
      <c r="R112" s="78">
        <v>20</v>
      </c>
      <c r="S112" s="78">
        <v>113</v>
      </c>
      <c r="T112" s="16">
        <f t="shared" si="4"/>
        <v>30</v>
      </c>
      <c r="U112" s="78">
        <v>98</v>
      </c>
      <c r="V112" s="16">
        <f t="shared" si="5"/>
        <v>2940</v>
      </c>
      <c r="W112" s="78">
        <v>4</v>
      </c>
      <c r="X112" s="78" t="s">
        <v>35</v>
      </c>
      <c r="Y112" s="78" t="s">
        <v>43</v>
      </c>
      <c r="Z112" s="78" t="s">
        <v>55</v>
      </c>
      <c r="AA112" s="78" t="s">
        <v>29</v>
      </c>
      <c r="AB112" s="78" t="s">
        <v>178</v>
      </c>
    </row>
    <row r="113" spans="1:28" x14ac:dyDescent="0.15">
      <c r="A113" s="78" t="s">
        <v>24</v>
      </c>
      <c r="B113" s="78" t="s">
        <v>174</v>
      </c>
      <c r="C113" s="78">
        <v>2020</v>
      </c>
      <c r="D113" s="78" t="s">
        <v>181</v>
      </c>
      <c r="E113" s="78" t="s">
        <v>198</v>
      </c>
      <c r="F113" s="78" t="s">
        <v>195</v>
      </c>
      <c r="G113" s="78" t="s">
        <v>25</v>
      </c>
      <c r="H113" s="78" t="s">
        <v>167</v>
      </c>
      <c r="I113" s="78" t="s">
        <v>111</v>
      </c>
      <c r="J113" s="78" t="s">
        <v>27</v>
      </c>
      <c r="K113" s="78" t="s">
        <v>112</v>
      </c>
      <c r="L113" s="78">
        <v>1</v>
      </c>
      <c r="N113" s="78">
        <v>4</v>
      </c>
      <c r="O113" s="78">
        <v>0.75</v>
      </c>
      <c r="P113" s="78">
        <v>0.8</v>
      </c>
      <c r="Q113" s="109">
        <f t="shared" si="6"/>
        <v>0.77500000000000002</v>
      </c>
      <c r="R113" s="78">
        <v>19.2</v>
      </c>
      <c r="S113" s="78">
        <v>97</v>
      </c>
      <c r="T113" s="16">
        <f t="shared" si="4"/>
        <v>36</v>
      </c>
      <c r="U113" s="78">
        <v>398</v>
      </c>
      <c r="V113" s="16">
        <f t="shared" si="5"/>
        <v>3582</v>
      </c>
      <c r="W113" s="78">
        <v>2</v>
      </c>
      <c r="X113" s="78" t="s">
        <v>35</v>
      </c>
      <c r="Y113" s="78" t="s">
        <v>43</v>
      </c>
      <c r="Z113" s="78" t="s">
        <v>55</v>
      </c>
      <c r="AA113" s="78" t="s">
        <v>29</v>
      </c>
      <c r="AB113" s="78" t="s">
        <v>178</v>
      </c>
    </row>
    <row r="114" spans="1:28" x14ac:dyDescent="0.15">
      <c r="A114" s="78" t="s">
        <v>24</v>
      </c>
      <c r="B114" s="78" t="s">
        <v>174</v>
      </c>
      <c r="C114" s="78">
        <v>2020</v>
      </c>
      <c r="D114" s="78" t="s">
        <v>181</v>
      </c>
      <c r="E114" s="78" t="s">
        <v>198</v>
      </c>
      <c r="F114" s="78" t="s">
        <v>195</v>
      </c>
      <c r="G114" s="78" t="s">
        <v>25</v>
      </c>
      <c r="H114" s="78" t="s">
        <v>167</v>
      </c>
      <c r="I114" s="78" t="s">
        <v>111</v>
      </c>
      <c r="J114" s="78" t="s">
        <v>27</v>
      </c>
      <c r="K114" s="78" t="s">
        <v>112</v>
      </c>
      <c r="L114" s="78">
        <v>2</v>
      </c>
      <c r="N114" s="78">
        <v>4</v>
      </c>
      <c r="O114" s="78">
        <v>0.8</v>
      </c>
      <c r="P114" s="78">
        <v>0.9</v>
      </c>
      <c r="Q114" s="109">
        <f t="shared" si="6"/>
        <v>0.85000000000000009</v>
      </c>
      <c r="R114" s="78">
        <v>17.7</v>
      </c>
      <c r="S114" s="78">
        <v>90</v>
      </c>
      <c r="T114" s="16">
        <f t="shared" si="4"/>
        <v>36</v>
      </c>
      <c r="U114" s="78">
        <v>398</v>
      </c>
      <c r="V114" s="16">
        <f t="shared" si="5"/>
        <v>3582</v>
      </c>
      <c r="W114" s="78">
        <v>2</v>
      </c>
      <c r="X114" s="78" t="s">
        <v>35</v>
      </c>
      <c r="Y114" s="78" t="s">
        <v>43</v>
      </c>
      <c r="Z114" s="78" t="s">
        <v>55</v>
      </c>
      <c r="AA114" s="78" t="s">
        <v>29</v>
      </c>
      <c r="AB114" s="78" t="s">
        <v>178</v>
      </c>
    </row>
    <row r="115" spans="1:28" x14ac:dyDescent="0.15">
      <c r="A115" s="78" t="s">
        <v>24</v>
      </c>
      <c r="B115" s="78" t="s">
        <v>174</v>
      </c>
      <c r="C115" s="78">
        <v>2020</v>
      </c>
      <c r="D115" s="78" t="s">
        <v>181</v>
      </c>
      <c r="E115" s="78" t="s">
        <v>198</v>
      </c>
      <c r="F115" s="78" t="s">
        <v>195</v>
      </c>
      <c r="G115" s="78" t="s">
        <v>25</v>
      </c>
      <c r="H115" s="78" t="s">
        <v>167</v>
      </c>
      <c r="I115" s="78" t="s">
        <v>111</v>
      </c>
      <c r="J115" s="78" t="s">
        <v>27</v>
      </c>
      <c r="K115" s="78" t="s">
        <v>112</v>
      </c>
      <c r="L115" s="78">
        <v>3</v>
      </c>
      <c r="N115" s="78">
        <v>4</v>
      </c>
      <c r="O115" s="78">
        <v>0.7</v>
      </c>
      <c r="P115" s="78">
        <v>0.85</v>
      </c>
      <c r="Q115" s="109">
        <f t="shared" si="6"/>
        <v>0.77499999999999991</v>
      </c>
      <c r="R115" s="78">
        <v>18.600000000000001</v>
      </c>
      <c r="S115" s="78">
        <v>101</v>
      </c>
      <c r="T115" s="16">
        <f t="shared" si="4"/>
        <v>33</v>
      </c>
      <c r="U115" s="78">
        <v>398</v>
      </c>
      <c r="V115" s="16">
        <f t="shared" si="5"/>
        <v>3283.5</v>
      </c>
      <c r="W115" s="78">
        <v>2</v>
      </c>
      <c r="X115" s="78" t="s">
        <v>35</v>
      </c>
      <c r="Y115" s="78" t="s">
        <v>43</v>
      </c>
      <c r="Z115" s="78" t="s">
        <v>55</v>
      </c>
      <c r="AA115" s="78" t="s">
        <v>29</v>
      </c>
      <c r="AB115" s="78" t="s">
        <v>178</v>
      </c>
    </row>
    <row r="116" spans="1:28" x14ac:dyDescent="0.15">
      <c r="A116" s="78" t="s">
        <v>24</v>
      </c>
      <c r="B116" s="78" t="s">
        <v>174</v>
      </c>
      <c r="C116" s="78">
        <v>2020</v>
      </c>
      <c r="D116" s="78" t="s">
        <v>181</v>
      </c>
      <c r="E116" s="78" t="s">
        <v>182</v>
      </c>
      <c r="F116" s="78" t="s">
        <v>183</v>
      </c>
      <c r="G116" s="78" t="s">
        <v>25</v>
      </c>
      <c r="H116" s="78" t="s">
        <v>113</v>
      </c>
      <c r="I116" s="78" t="s">
        <v>111</v>
      </c>
      <c r="J116" s="78" t="s">
        <v>27</v>
      </c>
      <c r="K116" s="78" t="s">
        <v>112</v>
      </c>
      <c r="L116" s="78">
        <v>1</v>
      </c>
      <c r="N116" s="78">
        <v>1</v>
      </c>
      <c r="O116" s="78">
        <v>0.75</v>
      </c>
      <c r="P116" s="78">
        <v>0.9</v>
      </c>
      <c r="Q116" s="109">
        <f t="shared" si="6"/>
        <v>0.82499999999999996</v>
      </c>
      <c r="R116" s="78">
        <v>12.8</v>
      </c>
      <c r="S116" s="78">
        <v>143</v>
      </c>
      <c r="T116" s="16">
        <f t="shared" si="4"/>
        <v>22</v>
      </c>
      <c r="U116" s="78">
        <v>93</v>
      </c>
      <c r="V116" s="16">
        <f t="shared" si="5"/>
        <v>2046</v>
      </c>
      <c r="W116" s="78">
        <v>4</v>
      </c>
      <c r="X116" s="78" t="s">
        <v>35</v>
      </c>
      <c r="Y116" s="78" t="s">
        <v>72</v>
      </c>
      <c r="Z116" s="78" t="s">
        <v>43</v>
      </c>
      <c r="AA116" s="78" t="s">
        <v>36</v>
      </c>
      <c r="AB116" s="78" t="s">
        <v>178</v>
      </c>
    </row>
    <row r="117" spans="1:28" x14ac:dyDescent="0.15">
      <c r="A117" s="78" t="s">
        <v>24</v>
      </c>
      <c r="B117" s="78" t="s">
        <v>174</v>
      </c>
      <c r="C117" s="78">
        <v>2020</v>
      </c>
      <c r="D117" s="78" t="s">
        <v>181</v>
      </c>
      <c r="E117" s="78" t="s">
        <v>182</v>
      </c>
      <c r="F117" s="78" t="s">
        <v>183</v>
      </c>
      <c r="G117" s="78" t="s">
        <v>25</v>
      </c>
      <c r="H117" s="78" t="s">
        <v>113</v>
      </c>
      <c r="I117" s="78" t="s">
        <v>111</v>
      </c>
      <c r="J117" s="78" t="s">
        <v>27</v>
      </c>
      <c r="K117" s="78" t="s">
        <v>112</v>
      </c>
      <c r="L117" s="78">
        <v>2</v>
      </c>
      <c r="N117" s="78">
        <v>1</v>
      </c>
      <c r="O117" s="78">
        <v>0.8</v>
      </c>
      <c r="P117" s="78">
        <v>0.9</v>
      </c>
      <c r="Q117" s="109">
        <f t="shared" si="6"/>
        <v>0.85000000000000009</v>
      </c>
      <c r="R117" s="78">
        <v>18</v>
      </c>
      <c r="S117" s="78">
        <v>135</v>
      </c>
      <c r="T117" s="16">
        <f t="shared" si="4"/>
        <v>25</v>
      </c>
      <c r="U117" s="78">
        <v>93</v>
      </c>
      <c r="V117" s="16">
        <f t="shared" si="5"/>
        <v>2325</v>
      </c>
      <c r="W117" s="78">
        <v>4</v>
      </c>
      <c r="X117" s="78" t="s">
        <v>35</v>
      </c>
      <c r="Y117" s="78" t="s">
        <v>72</v>
      </c>
      <c r="Z117" s="78" t="s">
        <v>43</v>
      </c>
      <c r="AA117" s="78" t="s">
        <v>36</v>
      </c>
      <c r="AB117" s="78" t="s">
        <v>178</v>
      </c>
    </row>
    <row r="118" spans="1:28" x14ac:dyDescent="0.15">
      <c r="A118" s="78" t="s">
        <v>24</v>
      </c>
      <c r="B118" s="78" t="s">
        <v>174</v>
      </c>
      <c r="C118" s="78">
        <v>2020</v>
      </c>
      <c r="D118" s="78" t="s">
        <v>181</v>
      </c>
      <c r="E118" s="78" t="s">
        <v>182</v>
      </c>
      <c r="F118" s="78" t="s">
        <v>183</v>
      </c>
      <c r="G118" s="78" t="s">
        <v>25</v>
      </c>
      <c r="H118" s="78" t="s">
        <v>113</v>
      </c>
      <c r="I118" s="78" t="s">
        <v>111</v>
      </c>
      <c r="J118" s="78" t="s">
        <v>27</v>
      </c>
      <c r="K118" s="78" t="s">
        <v>112</v>
      </c>
      <c r="L118" s="78">
        <v>3</v>
      </c>
      <c r="N118" s="78">
        <v>1</v>
      </c>
      <c r="O118" s="78">
        <v>1.2</v>
      </c>
      <c r="P118" s="78">
        <v>1.1000000000000001</v>
      </c>
      <c r="Q118" s="109">
        <f t="shared" si="6"/>
        <v>1.1499999999999999</v>
      </c>
      <c r="R118" s="78">
        <v>16</v>
      </c>
      <c r="S118" s="78">
        <v>144</v>
      </c>
      <c r="T118" s="16">
        <f t="shared" si="4"/>
        <v>22</v>
      </c>
      <c r="U118" s="78">
        <v>93</v>
      </c>
      <c r="V118" s="16">
        <f t="shared" si="5"/>
        <v>2046</v>
      </c>
      <c r="W118" s="78">
        <v>4</v>
      </c>
      <c r="X118" s="78" t="s">
        <v>35</v>
      </c>
      <c r="Y118" s="78" t="s">
        <v>72</v>
      </c>
      <c r="Z118" s="78" t="s">
        <v>43</v>
      </c>
      <c r="AA118" s="78" t="s">
        <v>36</v>
      </c>
      <c r="AB118" s="78" t="s">
        <v>178</v>
      </c>
    </row>
    <row r="119" spans="1:28" x14ac:dyDescent="0.15">
      <c r="A119" s="78" t="s">
        <v>24</v>
      </c>
      <c r="B119" s="78" t="s">
        <v>174</v>
      </c>
      <c r="C119" s="78">
        <v>2020</v>
      </c>
      <c r="D119" s="78" t="s">
        <v>181</v>
      </c>
      <c r="E119" s="78" t="s">
        <v>182</v>
      </c>
      <c r="F119" s="78" t="s">
        <v>183</v>
      </c>
      <c r="G119" s="78" t="s">
        <v>25</v>
      </c>
      <c r="H119" s="78" t="s">
        <v>165</v>
      </c>
      <c r="I119" s="78" t="s">
        <v>111</v>
      </c>
      <c r="J119" s="78" t="s">
        <v>27</v>
      </c>
      <c r="K119" s="78" t="s">
        <v>112</v>
      </c>
      <c r="L119" s="78">
        <v>1</v>
      </c>
      <c r="N119" s="78">
        <v>4</v>
      </c>
      <c r="O119" s="78">
        <v>0.8</v>
      </c>
      <c r="P119" s="78">
        <v>0.75</v>
      </c>
      <c r="Q119" s="109">
        <f t="shared" si="6"/>
        <v>0.77500000000000002</v>
      </c>
      <c r="R119" s="78">
        <v>18.899999999999999</v>
      </c>
      <c r="S119" s="78">
        <v>89</v>
      </c>
      <c r="T119" s="16">
        <f t="shared" si="4"/>
        <v>36</v>
      </c>
      <c r="U119" s="78">
        <v>298</v>
      </c>
      <c r="V119" s="16">
        <f t="shared" si="5"/>
        <v>2682</v>
      </c>
      <c r="W119" s="78">
        <v>2</v>
      </c>
      <c r="X119" s="78" t="s">
        <v>35</v>
      </c>
      <c r="Y119" s="78" t="s">
        <v>72</v>
      </c>
      <c r="Z119" s="78" t="s">
        <v>43</v>
      </c>
      <c r="AA119" s="78" t="s">
        <v>36</v>
      </c>
      <c r="AB119" s="78" t="s">
        <v>178</v>
      </c>
    </row>
    <row r="120" spans="1:28" x14ac:dyDescent="0.15">
      <c r="A120" s="78" t="s">
        <v>24</v>
      </c>
      <c r="B120" s="78" t="s">
        <v>174</v>
      </c>
      <c r="C120" s="78">
        <v>2020</v>
      </c>
      <c r="D120" s="78" t="s">
        <v>181</v>
      </c>
      <c r="E120" s="78" t="s">
        <v>182</v>
      </c>
      <c r="F120" s="78" t="s">
        <v>183</v>
      </c>
      <c r="G120" s="78" t="s">
        <v>25</v>
      </c>
      <c r="H120" s="78" t="s">
        <v>165</v>
      </c>
      <c r="I120" s="78" t="s">
        <v>111</v>
      </c>
      <c r="J120" s="78" t="s">
        <v>27</v>
      </c>
      <c r="K120" s="78" t="s">
        <v>112</v>
      </c>
      <c r="L120" s="78">
        <v>2</v>
      </c>
      <c r="N120" s="78">
        <v>4</v>
      </c>
      <c r="O120" s="78">
        <v>0.8</v>
      </c>
      <c r="P120" s="78">
        <v>0.75</v>
      </c>
      <c r="Q120" s="109">
        <f t="shared" si="6"/>
        <v>0.77500000000000002</v>
      </c>
      <c r="R120" s="78">
        <v>18</v>
      </c>
      <c r="S120" s="78">
        <v>93</v>
      </c>
      <c r="T120" s="16">
        <f t="shared" si="4"/>
        <v>36</v>
      </c>
      <c r="U120" s="78">
        <v>298</v>
      </c>
      <c r="V120" s="16">
        <f t="shared" si="5"/>
        <v>2682</v>
      </c>
      <c r="W120" s="78">
        <v>2</v>
      </c>
      <c r="X120" s="78" t="s">
        <v>35</v>
      </c>
      <c r="Y120" s="78" t="s">
        <v>72</v>
      </c>
      <c r="Z120" s="78" t="s">
        <v>43</v>
      </c>
      <c r="AA120" s="78" t="s">
        <v>36</v>
      </c>
      <c r="AB120" s="78" t="s">
        <v>178</v>
      </c>
    </row>
    <row r="121" spans="1:28" x14ac:dyDescent="0.15">
      <c r="A121" s="78" t="s">
        <v>24</v>
      </c>
      <c r="B121" s="78" t="s">
        <v>174</v>
      </c>
      <c r="C121" s="78">
        <v>2020</v>
      </c>
      <c r="D121" s="78" t="s">
        <v>181</v>
      </c>
      <c r="E121" s="78" t="s">
        <v>182</v>
      </c>
      <c r="F121" s="78" t="s">
        <v>183</v>
      </c>
      <c r="G121" s="78" t="s">
        <v>25</v>
      </c>
      <c r="H121" s="78" t="s">
        <v>165</v>
      </c>
      <c r="I121" s="78" t="s">
        <v>111</v>
      </c>
      <c r="J121" s="78" t="s">
        <v>27</v>
      </c>
      <c r="K121" s="78" t="s">
        <v>112</v>
      </c>
      <c r="L121" s="78">
        <v>3</v>
      </c>
      <c r="N121" s="78">
        <v>4</v>
      </c>
      <c r="O121" s="78">
        <v>0.8</v>
      </c>
      <c r="P121" s="78">
        <v>0.75</v>
      </c>
      <c r="Q121" s="111">
        <f t="shared" si="6"/>
        <v>0.77500000000000002</v>
      </c>
      <c r="R121" s="78">
        <v>20.6</v>
      </c>
      <c r="S121" s="78">
        <v>89</v>
      </c>
      <c r="T121" s="16">
        <f t="shared" si="4"/>
        <v>36</v>
      </c>
      <c r="U121" s="78">
        <v>298</v>
      </c>
      <c r="V121" s="16">
        <f t="shared" si="5"/>
        <v>2682</v>
      </c>
      <c r="W121" s="78">
        <v>2</v>
      </c>
      <c r="X121" s="78" t="s">
        <v>35</v>
      </c>
      <c r="Y121" s="78" t="s">
        <v>72</v>
      </c>
      <c r="Z121" s="78" t="s">
        <v>43</v>
      </c>
      <c r="AA121" s="78" t="s">
        <v>36</v>
      </c>
      <c r="AB121" s="78" t="s">
        <v>178</v>
      </c>
    </row>
    <row r="122" spans="1:28" x14ac:dyDescent="0.15">
      <c r="A122" s="78" t="s">
        <v>24</v>
      </c>
      <c r="B122" s="78" t="s">
        <v>174</v>
      </c>
      <c r="C122" s="78">
        <v>2020</v>
      </c>
      <c r="D122" s="78" t="s">
        <v>181</v>
      </c>
      <c r="E122" s="78" t="s">
        <v>182</v>
      </c>
      <c r="F122" s="78" t="s">
        <v>183</v>
      </c>
      <c r="G122" s="78" t="s">
        <v>25</v>
      </c>
      <c r="H122" s="78" t="s">
        <v>167</v>
      </c>
      <c r="I122" s="78" t="s">
        <v>111</v>
      </c>
      <c r="J122" s="78" t="s">
        <v>27</v>
      </c>
      <c r="K122" s="78" t="s">
        <v>112</v>
      </c>
      <c r="L122" s="78">
        <v>1</v>
      </c>
      <c r="N122" s="78">
        <v>1</v>
      </c>
      <c r="O122" s="78">
        <v>0.8</v>
      </c>
      <c r="P122" s="78">
        <v>0.9</v>
      </c>
      <c r="Q122" s="111">
        <f t="shared" si="6"/>
        <v>0.85000000000000009</v>
      </c>
      <c r="R122" s="78">
        <v>18.2</v>
      </c>
      <c r="S122" s="78">
        <v>128</v>
      </c>
      <c r="T122" s="16">
        <f t="shared" si="4"/>
        <v>27</v>
      </c>
      <c r="U122" s="78">
        <v>93</v>
      </c>
      <c r="V122" s="16">
        <f t="shared" si="5"/>
        <v>2511</v>
      </c>
      <c r="W122" s="78">
        <v>4</v>
      </c>
      <c r="X122" s="78" t="s">
        <v>35</v>
      </c>
      <c r="Y122" s="78" t="s">
        <v>72</v>
      </c>
      <c r="Z122" s="78" t="s">
        <v>43</v>
      </c>
      <c r="AA122" s="78" t="s">
        <v>36</v>
      </c>
      <c r="AB122" s="78" t="s">
        <v>178</v>
      </c>
    </row>
    <row r="123" spans="1:28" x14ac:dyDescent="0.15">
      <c r="A123" s="78" t="s">
        <v>24</v>
      </c>
      <c r="B123" s="78" t="s">
        <v>174</v>
      </c>
      <c r="C123" s="78">
        <v>2020</v>
      </c>
      <c r="D123" s="78" t="s">
        <v>181</v>
      </c>
      <c r="E123" s="78" t="s">
        <v>182</v>
      </c>
      <c r="F123" s="78" t="s">
        <v>183</v>
      </c>
      <c r="G123" s="78" t="s">
        <v>25</v>
      </c>
      <c r="H123" s="78" t="s">
        <v>167</v>
      </c>
      <c r="I123" s="78" t="s">
        <v>111</v>
      </c>
      <c r="J123" s="78" t="s">
        <v>27</v>
      </c>
      <c r="K123" s="78" t="s">
        <v>112</v>
      </c>
      <c r="L123" s="78">
        <v>2</v>
      </c>
      <c r="N123" s="78">
        <v>1</v>
      </c>
      <c r="O123" s="78">
        <v>1</v>
      </c>
      <c r="P123" s="78">
        <v>0.75</v>
      </c>
      <c r="Q123" s="111">
        <f t="shared" si="6"/>
        <v>0.875</v>
      </c>
      <c r="R123" s="78">
        <v>16.899999999999999</v>
      </c>
      <c r="S123" s="78">
        <v>131</v>
      </c>
      <c r="T123" s="16">
        <f t="shared" si="4"/>
        <v>25</v>
      </c>
      <c r="U123" s="78">
        <v>93</v>
      </c>
      <c r="V123" s="16">
        <f t="shared" si="5"/>
        <v>2325</v>
      </c>
      <c r="W123" s="78">
        <v>4</v>
      </c>
      <c r="X123" s="78" t="s">
        <v>35</v>
      </c>
      <c r="Y123" s="78" t="s">
        <v>72</v>
      </c>
      <c r="Z123" s="78" t="s">
        <v>43</v>
      </c>
      <c r="AA123" s="78" t="s">
        <v>36</v>
      </c>
      <c r="AB123" s="78" t="s">
        <v>178</v>
      </c>
    </row>
    <row r="124" spans="1:28" x14ac:dyDescent="0.15">
      <c r="A124" s="78" t="s">
        <v>24</v>
      </c>
      <c r="B124" s="78" t="s">
        <v>174</v>
      </c>
      <c r="C124" s="78">
        <v>2020</v>
      </c>
      <c r="D124" s="78" t="s">
        <v>181</v>
      </c>
      <c r="E124" s="78" t="s">
        <v>182</v>
      </c>
      <c r="F124" s="78" t="s">
        <v>183</v>
      </c>
      <c r="G124" s="78" t="s">
        <v>25</v>
      </c>
      <c r="H124" s="78" t="s">
        <v>167</v>
      </c>
      <c r="I124" s="78" t="s">
        <v>111</v>
      </c>
      <c r="J124" s="78" t="s">
        <v>27</v>
      </c>
      <c r="K124" s="78" t="s">
        <v>112</v>
      </c>
      <c r="L124" s="78">
        <v>3</v>
      </c>
      <c r="N124" s="78">
        <v>1</v>
      </c>
      <c r="O124" s="78">
        <v>1.25</v>
      </c>
      <c r="P124" s="78">
        <v>1.25</v>
      </c>
      <c r="Q124" s="111">
        <f t="shared" si="6"/>
        <v>1.25</v>
      </c>
      <c r="R124" s="78">
        <v>13.7</v>
      </c>
      <c r="S124" s="78">
        <v>130</v>
      </c>
      <c r="T124" s="16">
        <f t="shared" si="4"/>
        <v>25</v>
      </c>
      <c r="U124" s="78">
        <v>93</v>
      </c>
      <c r="V124" s="16">
        <f t="shared" si="5"/>
        <v>2325</v>
      </c>
      <c r="W124" s="78">
        <v>4</v>
      </c>
      <c r="X124" s="78" t="s">
        <v>35</v>
      </c>
      <c r="Y124" s="78" t="s">
        <v>72</v>
      </c>
      <c r="Z124" s="78" t="s">
        <v>43</v>
      </c>
      <c r="AA124" s="78" t="s">
        <v>36</v>
      </c>
      <c r="AB124" s="78" t="s">
        <v>178</v>
      </c>
    </row>
    <row r="125" spans="1:28" x14ac:dyDescent="0.15">
      <c r="A125" s="78" t="s">
        <v>24</v>
      </c>
      <c r="B125" s="78" t="s">
        <v>174</v>
      </c>
      <c r="C125" s="78">
        <v>2020</v>
      </c>
      <c r="D125" s="78" t="s">
        <v>181</v>
      </c>
      <c r="E125" s="78" t="s">
        <v>182</v>
      </c>
      <c r="F125" s="78" t="s">
        <v>183</v>
      </c>
      <c r="G125" s="78" t="s">
        <v>25</v>
      </c>
      <c r="H125" s="78" t="s">
        <v>167</v>
      </c>
      <c r="I125" s="78" t="s">
        <v>111</v>
      </c>
      <c r="J125" s="78" t="s">
        <v>27</v>
      </c>
      <c r="K125" s="78" t="s">
        <v>112</v>
      </c>
      <c r="L125" s="78">
        <v>1</v>
      </c>
      <c r="N125" s="78">
        <v>4</v>
      </c>
      <c r="O125" s="78">
        <v>1</v>
      </c>
      <c r="P125" s="78">
        <v>1</v>
      </c>
      <c r="Q125" s="111">
        <f t="shared" si="6"/>
        <v>1</v>
      </c>
      <c r="R125" s="78">
        <v>16.5</v>
      </c>
      <c r="S125" s="78">
        <v>141</v>
      </c>
      <c r="T125" s="16">
        <f t="shared" si="4"/>
        <v>22</v>
      </c>
      <c r="U125" s="78">
        <v>398</v>
      </c>
      <c r="V125" s="16">
        <f t="shared" si="5"/>
        <v>2189</v>
      </c>
      <c r="W125" s="78">
        <v>4</v>
      </c>
      <c r="X125" s="78" t="s">
        <v>35</v>
      </c>
      <c r="Y125" s="78" t="s">
        <v>72</v>
      </c>
      <c r="Z125" s="78" t="s">
        <v>43</v>
      </c>
      <c r="AA125" s="78" t="s">
        <v>36</v>
      </c>
      <c r="AB125" s="78" t="s">
        <v>178</v>
      </c>
    </row>
    <row r="126" spans="1:28" x14ac:dyDescent="0.15">
      <c r="A126" s="78" t="s">
        <v>24</v>
      </c>
      <c r="B126" s="78" t="s">
        <v>174</v>
      </c>
      <c r="C126" s="78">
        <v>2020</v>
      </c>
      <c r="D126" s="78" t="s">
        <v>181</v>
      </c>
      <c r="E126" s="78" t="s">
        <v>182</v>
      </c>
      <c r="F126" s="78" t="s">
        <v>183</v>
      </c>
      <c r="G126" s="78" t="s">
        <v>25</v>
      </c>
      <c r="H126" s="78" t="s">
        <v>167</v>
      </c>
      <c r="I126" s="78" t="s">
        <v>111</v>
      </c>
      <c r="J126" s="78" t="s">
        <v>27</v>
      </c>
      <c r="K126" s="78" t="s">
        <v>112</v>
      </c>
      <c r="L126" s="78">
        <v>2</v>
      </c>
      <c r="N126" s="78">
        <v>4</v>
      </c>
      <c r="O126" s="78">
        <v>0.95</v>
      </c>
      <c r="P126" s="78">
        <v>1</v>
      </c>
      <c r="Q126" s="111">
        <f t="shared" si="6"/>
        <v>0.97499999999999998</v>
      </c>
      <c r="R126" s="78">
        <v>15.8</v>
      </c>
      <c r="S126" s="78">
        <v>129</v>
      </c>
      <c r="T126" s="16">
        <f t="shared" si="4"/>
        <v>25</v>
      </c>
      <c r="U126" s="78">
        <v>398</v>
      </c>
      <c r="V126" s="16">
        <f t="shared" si="5"/>
        <v>2487.5</v>
      </c>
      <c r="W126" s="78">
        <v>4</v>
      </c>
      <c r="X126" s="78" t="s">
        <v>35</v>
      </c>
      <c r="Y126" s="78" t="s">
        <v>72</v>
      </c>
      <c r="Z126" s="78" t="s">
        <v>43</v>
      </c>
      <c r="AA126" s="78" t="s">
        <v>36</v>
      </c>
      <c r="AB126" s="78" t="s">
        <v>178</v>
      </c>
    </row>
    <row r="127" spans="1:28" x14ac:dyDescent="0.15">
      <c r="A127" s="78" t="s">
        <v>24</v>
      </c>
      <c r="B127" s="78" t="s">
        <v>174</v>
      </c>
      <c r="C127" s="78">
        <v>2020</v>
      </c>
      <c r="D127" s="78" t="s">
        <v>181</v>
      </c>
      <c r="E127" s="78" t="s">
        <v>182</v>
      </c>
      <c r="F127" s="78" t="s">
        <v>183</v>
      </c>
      <c r="G127" s="78" t="s">
        <v>25</v>
      </c>
      <c r="H127" s="78" t="s">
        <v>167</v>
      </c>
      <c r="I127" s="78" t="s">
        <v>111</v>
      </c>
      <c r="J127" s="78" t="s">
        <v>27</v>
      </c>
      <c r="K127" s="78" t="s">
        <v>112</v>
      </c>
      <c r="L127" s="78">
        <v>3</v>
      </c>
      <c r="N127" s="78">
        <v>4</v>
      </c>
      <c r="O127" s="78">
        <v>0.75</v>
      </c>
      <c r="P127" s="78">
        <v>0.95</v>
      </c>
      <c r="Q127" s="111">
        <f t="shared" si="6"/>
        <v>0.85</v>
      </c>
      <c r="R127" s="78">
        <v>16.7</v>
      </c>
      <c r="S127" s="78">
        <v>136</v>
      </c>
      <c r="T127" s="16">
        <f t="shared" si="4"/>
        <v>25</v>
      </c>
      <c r="U127" s="78">
        <v>398</v>
      </c>
      <c r="V127" s="16">
        <f t="shared" si="5"/>
        <v>2487.5</v>
      </c>
      <c r="W127" s="78">
        <v>4</v>
      </c>
      <c r="X127" s="78" t="s">
        <v>35</v>
      </c>
      <c r="Y127" s="78" t="s">
        <v>72</v>
      </c>
      <c r="Z127" s="78" t="s">
        <v>43</v>
      </c>
      <c r="AA127" s="78" t="s">
        <v>36</v>
      </c>
      <c r="AB127" s="78" t="s">
        <v>178</v>
      </c>
    </row>
    <row r="128" spans="1:28" x14ac:dyDescent="0.15">
      <c r="A128" s="78" t="s">
        <v>24</v>
      </c>
      <c r="B128" s="78" t="s">
        <v>174</v>
      </c>
      <c r="C128" s="78">
        <v>2020</v>
      </c>
      <c r="D128" s="78" t="s">
        <v>181</v>
      </c>
      <c r="E128" s="78" t="s">
        <v>182</v>
      </c>
      <c r="F128" s="78" t="s">
        <v>183</v>
      </c>
      <c r="G128" s="78" t="s">
        <v>25</v>
      </c>
      <c r="H128" s="78" t="s">
        <v>167</v>
      </c>
      <c r="I128" s="78" t="s">
        <v>111</v>
      </c>
      <c r="J128" s="78" t="s">
        <v>27</v>
      </c>
      <c r="K128" s="78" t="s">
        <v>112</v>
      </c>
      <c r="L128" s="78">
        <v>1</v>
      </c>
      <c r="N128" s="78">
        <v>8</v>
      </c>
      <c r="O128" s="78">
        <v>0.5</v>
      </c>
      <c r="P128" s="78">
        <v>0.5</v>
      </c>
      <c r="Q128" s="111">
        <f t="shared" si="6"/>
        <v>0.5</v>
      </c>
      <c r="R128" s="78">
        <v>19.2</v>
      </c>
      <c r="S128" s="78">
        <v>124</v>
      </c>
      <c r="T128" s="16">
        <f t="shared" si="4"/>
        <v>27</v>
      </c>
      <c r="U128" s="78">
        <v>598</v>
      </c>
      <c r="V128" s="16">
        <f t="shared" si="5"/>
        <v>2018.25</v>
      </c>
      <c r="W128" s="78">
        <v>2</v>
      </c>
      <c r="X128" s="78" t="s">
        <v>35</v>
      </c>
      <c r="Y128" s="78" t="s">
        <v>72</v>
      </c>
      <c r="Z128" s="78" t="s">
        <v>43</v>
      </c>
      <c r="AA128" s="78" t="s">
        <v>36</v>
      </c>
      <c r="AB128" s="78" t="s">
        <v>178</v>
      </c>
    </row>
    <row r="129" spans="1:28" x14ac:dyDescent="0.15">
      <c r="A129" s="78" t="s">
        <v>24</v>
      </c>
      <c r="B129" s="78" t="s">
        <v>174</v>
      </c>
      <c r="C129" s="78">
        <v>2020</v>
      </c>
      <c r="D129" s="78" t="s">
        <v>181</v>
      </c>
      <c r="E129" s="78" t="s">
        <v>182</v>
      </c>
      <c r="F129" s="78" t="s">
        <v>183</v>
      </c>
      <c r="G129" s="78" t="s">
        <v>25</v>
      </c>
      <c r="H129" s="78" t="s">
        <v>167</v>
      </c>
      <c r="I129" s="78" t="s">
        <v>111</v>
      </c>
      <c r="J129" s="78" t="s">
        <v>27</v>
      </c>
      <c r="K129" s="78" t="s">
        <v>112</v>
      </c>
      <c r="L129" s="78">
        <v>2</v>
      </c>
      <c r="N129" s="78">
        <v>8</v>
      </c>
      <c r="O129" s="78">
        <v>0.5</v>
      </c>
      <c r="P129" s="78">
        <v>0.5</v>
      </c>
      <c r="Q129" s="111">
        <f t="shared" si="6"/>
        <v>0.5</v>
      </c>
      <c r="R129" s="78">
        <v>15.2</v>
      </c>
      <c r="S129" s="78">
        <v>112</v>
      </c>
      <c r="T129" s="16">
        <f t="shared" si="4"/>
        <v>33</v>
      </c>
      <c r="U129" s="78">
        <v>598</v>
      </c>
      <c r="V129" s="16">
        <f t="shared" si="5"/>
        <v>2466.75</v>
      </c>
      <c r="W129" s="78">
        <v>2</v>
      </c>
      <c r="X129" s="78" t="s">
        <v>35</v>
      </c>
      <c r="Y129" s="78" t="s">
        <v>72</v>
      </c>
      <c r="Z129" s="78" t="s">
        <v>43</v>
      </c>
      <c r="AA129" s="78" t="s">
        <v>36</v>
      </c>
      <c r="AB129" s="78" t="s">
        <v>178</v>
      </c>
    </row>
    <row r="130" spans="1:28" x14ac:dyDescent="0.15">
      <c r="A130" s="78" t="s">
        <v>24</v>
      </c>
      <c r="B130" s="78" t="s">
        <v>174</v>
      </c>
      <c r="C130" s="78">
        <v>2020</v>
      </c>
      <c r="D130" s="78" t="s">
        <v>181</v>
      </c>
      <c r="E130" s="78" t="s">
        <v>182</v>
      </c>
      <c r="F130" s="78" t="s">
        <v>183</v>
      </c>
      <c r="G130" s="78" t="s">
        <v>25</v>
      </c>
      <c r="H130" s="78" t="s">
        <v>167</v>
      </c>
      <c r="I130" s="78" t="s">
        <v>111</v>
      </c>
      <c r="J130" s="78" t="s">
        <v>27</v>
      </c>
      <c r="K130" s="78" t="s">
        <v>112</v>
      </c>
      <c r="L130" s="78">
        <v>3</v>
      </c>
      <c r="N130" s="78">
        <v>8</v>
      </c>
      <c r="O130" s="78">
        <v>0.5</v>
      </c>
      <c r="P130" s="78">
        <v>0.5</v>
      </c>
      <c r="Q130" s="111">
        <f t="shared" si="6"/>
        <v>0.5</v>
      </c>
      <c r="R130" s="78">
        <v>18.899999999999999</v>
      </c>
      <c r="S130" s="78">
        <v>124</v>
      </c>
      <c r="T130" s="16">
        <f t="shared" ref="T130:T160" si="7">IF(H130="","",IF(OR(H130="GREEN",H130="GK"),IF(S130&gt;=$AX$2,VLOOKUP(S130,$AX$2:$AY$12,2,1),""),IF(S130&gt;=$AZ$2,VLOOKUP(S130,$AZ$2:$BA$12,2,1),"")))</f>
        <v>27</v>
      </c>
      <c r="U130" s="78">
        <v>598</v>
      </c>
      <c r="V130" s="16">
        <f t="shared" ref="V130:V160" si="8">IF(OR(N130="",U130="",T130=""),"",U130/N130*T130)</f>
        <v>2018.25</v>
      </c>
      <c r="W130" s="78">
        <v>2</v>
      </c>
      <c r="X130" s="78" t="s">
        <v>35</v>
      </c>
      <c r="Y130" s="78" t="s">
        <v>72</v>
      </c>
      <c r="Z130" s="78" t="s">
        <v>43</v>
      </c>
      <c r="AA130" s="78" t="s">
        <v>36</v>
      </c>
      <c r="AB130" s="78" t="s">
        <v>178</v>
      </c>
    </row>
    <row r="131" spans="1:28" x14ac:dyDescent="0.15">
      <c r="Q131" s="111" t="str">
        <f t="shared" si="6"/>
        <v/>
      </c>
      <c r="T131" s="16" t="str">
        <f t="shared" si="7"/>
        <v/>
      </c>
      <c r="V131" s="16" t="str">
        <f t="shared" si="8"/>
        <v/>
      </c>
    </row>
    <row r="132" spans="1:28" x14ac:dyDescent="0.15">
      <c r="Q132" s="111" t="str">
        <f t="shared" si="6"/>
        <v/>
      </c>
      <c r="T132" s="16" t="str">
        <f t="shared" si="7"/>
        <v/>
      </c>
      <c r="V132" s="16" t="str">
        <f t="shared" si="8"/>
        <v/>
      </c>
    </row>
    <row r="133" spans="1:28" x14ac:dyDescent="0.15">
      <c r="Q133" s="111" t="str">
        <f t="shared" si="6"/>
        <v/>
      </c>
      <c r="T133" s="16" t="str">
        <f t="shared" si="7"/>
        <v/>
      </c>
      <c r="V133" s="16" t="str">
        <f t="shared" si="8"/>
        <v/>
      </c>
    </row>
    <row r="134" spans="1:28" x14ac:dyDescent="0.15">
      <c r="Q134" s="111" t="str">
        <f t="shared" si="6"/>
        <v/>
      </c>
      <c r="T134" s="16" t="str">
        <f t="shared" si="7"/>
        <v/>
      </c>
      <c r="V134" s="16" t="str">
        <f t="shared" si="8"/>
        <v/>
      </c>
    </row>
    <row r="135" spans="1:28" x14ac:dyDescent="0.15">
      <c r="Q135" s="111" t="str">
        <f t="shared" si="6"/>
        <v/>
      </c>
      <c r="T135" s="16" t="str">
        <f t="shared" si="7"/>
        <v/>
      </c>
      <c r="V135" s="16" t="str">
        <f t="shared" si="8"/>
        <v/>
      </c>
    </row>
    <row r="136" spans="1:28" x14ac:dyDescent="0.15">
      <c r="Q136" s="111" t="str">
        <f t="shared" si="6"/>
        <v/>
      </c>
      <c r="T136" s="16" t="str">
        <f t="shared" si="7"/>
        <v/>
      </c>
      <c r="V136" s="16" t="str">
        <f t="shared" si="8"/>
        <v/>
      </c>
    </row>
    <row r="137" spans="1:28" x14ac:dyDescent="0.15">
      <c r="Q137" s="111" t="str">
        <f t="shared" si="6"/>
        <v/>
      </c>
      <c r="T137" s="16" t="str">
        <f t="shared" si="7"/>
        <v/>
      </c>
      <c r="V137" s="16" t="str">
        <f t="shared" si="8"/>
        <v/>
      </c>
    </row>
    <row r="138" spans="1:28" x14ac:dyDescent="0.15">
      <c r="Q138" s="111" t="str">
        <f t="shared" si="6"/>
        <v/>
      </c>
      <c r="T138" s="16" t="str">
        <f t="shared" si="7"/>
        <v/>
      </c>
      <c r="V138" s="16" t="str">
        <f t="shared" si="8"/>
        <v/>
      </c>
    </row>
    <row r="139" spans="1:28" x14ac:dyDescent="0.15">
      <c r="Q139" s="111" t="str">
        <f t="shared" si="6"/>
        <v/>
      </c>
      <c r="T139" s="16" t="str">
        <f t="shared" si="7"/>
        <v/>
      </c>
      <c r="V139" s="16" t="str">
        <f t="shared" si="8"/>
        <v/>
      </c>
    </row>
    <row r="140" spans="1:28" x14ac:dyDescent="0.15">
      <c r="Q140" s="111" t="str">
        <f t="shared" si="6"/>
        <v/>
      </c>
      <c r="T140" s="16" t="str">
        <f t="shared" si="7"/>
        <v/>
      </c>
      <c r="V140" s="16" t="str">
        <f t="shared" si="8"/>
        <v/>
      </c>
    </row>
    <row r="141" spans="1:28" x14ac:dyDescent="0.15">
      <c r="Q141" s="111" t="str">
        <f t="shared" si="6"/>
        <v/>
      </c>
      <c r="T141" s="16" t="str">
        <f t="shared" si="7"/>
        <v/>
      </c>
      <c r="V141" s="16" t="str">
        <f t="shared" si="8"/>
        <v/>
      </c>
    </row>
    <row r="142" spans="1:28" x14ac:dyDescent="0.15">
      <c r="Q142" s="111" t="str">
        <f t="shared" si="6"/>
        <v/>
      </c>
      <c r="T142" s="16" t="str">
        <f t="shared" si="7"/>
        <v/>
      </c>
      <c r="V142" s="16" t="str">
        <f t="shared" si="8"/>
        <v/>
      </c>
    </row>
    <row r="143" spans="1:28" x14ac:dyDescent="0.15">
      <c r="Q143" s="111" t="str">
        <f t="shared" si="6"/>
        <v/>
      </c>
      <c r="T143" s="16" t="str">
        <f t="shared" si="7"/>
        <v/>
      </c>
      <c r="V143" s="16" t="str">
        <f t="shared" si="8"/>
        <v/>
      </c>
    </row>
    <row r="144" spans="1:28" x14ac:dyDescent="0.15">
      <c r="Q144" s="111" t="str">
        <f t="shared" si="6"/>
        <v/>
      </c>
      <c r="T144" s="16" t="str">
        <f t="shared" si="7"/>
        <v/>
      </c>
      <c r="V144" s="16" t="str">
        <f t="shared" si="8"/>
        <v/>
      </c>
    </row>
    <row r="145" spans="17:22" x14ac:dyDescent="0.15">
      <c r="Q145" s="111" t="str">
        <f t="shared" si="6"/>
        <v/>
      </c>
      <c r="T145" s="16" t="str">
        <f t="shared" si="7"/>
        <v/>
      </c>
      <c r="V145" s="16" t="str">
        <f t="shared" si="8"/>
        <v/>
      </c>
    </row>
    <row r="146" spans="17:22" x14ac:dyDescent="0.15">
      <c r="Q146" s="111" t="str">
        <f t="shared" si="6"/>
        <v/>
      </c>
      <c r="T146" s="16" t="str">
        <f t="shared" si="7"/>
        <v/>
      </c>
      <c r="V146" s="16" t="str">
        <f t="shared" si="8"/>
        <v/>
      </c>
    </row>
    <row r="147" spans="17:22" x14ac:dyDescent="0.15">
      <c r="Q147" s="111" t="str">
        <f t="shared" si="6"/>
        <v/>
      </c>
      <c r="T147" s="16" t="str">
        <f t="shared" si="7"/>
        <v/>
      </c>
      <c r="V147" s="16" t="str">
        <f t="shared" si="8"/>
        <v/>
      </c>
    </row>
    <row r="148" spans="17:22" x14ac:dyDescent="0.15">
      <c r="Q148" s="111" t="str">
        <f t="shared" si="6"/>
        <v/>
      </c>
      <c r="T148" s="16" t="str">
        <f t="shared" si="7"/>
        <v/>
      </c>
      <c r="V148" s="16" t="str">
        <f t="shared" si="8"/>
        <v/>
      </c>
    </row>
    <row r="149" spans="17:22" x14ac:dyDescent="0.15">
      <c r="Q149" s="111" t="str">
        <f t="shared" si="6"/>
        <v/>
      </c>
      <c r="T149" s="16" t="str">
        <f t="shared" si="7"/>
        <v/>
      </c>
      <c r="V149" s="16" t="str">
        <f t="shared" si="8"/>
        <v/>
      </c>
    </row>
    <row r="150" spans="17:22" x14ac:dyDescent="0.15">
      <c r="Q150" s="111" t="str">
        <f t="shared" si="6"/>
        <v/>
      </c>
      <c r="T150" s="16" t="str">
        <f t="shared" si="7"/>
        <v/>
      </c>
      <c r="V150" s="16" t="str">
        <f t="shared" si="8"/>
        <v/>
      </c>
    </row>
    <row r="151" spans="17:22" x14ac:dyDescent="0.15">
      <c r="Q151" s="111" t="str">
        <f t="shared" si="6"/>
        <v/>
      </c>
      <c r="T151" s="16" t="str">
        <f t="shared" si="7"/>
        <v/>
      </c>
      <c r="V151" s="16" t="str">
        <f t="shared" si="8"/>
        <v/>
      </c>
    </row>
    <row r="152" spans="17:22" x14ac:dyDescent="0.15">
      <c r="Q152" s="111" t="str">
        <f t="shared" si="6"/>
        <v/>
      </c>
      <c r="T152" s="16" t="str">
        <f t="shared" si="7"/>
        <v/>
      </c>
      <c r="V152" s="16" t="str">
        <f t="shared" si="8"/>
        <v/>
      </c>
    </row>
    <row r="153" spans="17:22" x14ac:dyDescent="0.15">
      <c r="Q153" s="111" t="str">
        <f t="shared" si="6"/>
        <v/>
      </c>
      <c r="T153" s="16" t="str">
        <f t="shared" si="7"/>
        <v/>
      </c>
      <c r="V153" s="16" t="str">
        <f t="shared" si="8"/>
        <v/>
      </c>
    </row>
    <row r="154" spans="17:22" x14ac:dyDescent="0.15">
      <c r="Q154" s="111" t="str">
        <f t="shared" si="6"/>
        <v/>
      </c>
      <c r="T154" s="16" t="str">
        <f t="shared" si="7"/>
        <v/>
      </c>
      <c r="V154" s="16" t="str">
        <f t="shared" si="8"/>
        <v/>
      </c>
    </row>
    <row r="155" spans="17:22" x14ac:dyDescent="0.15">
      <c r="Q155" s="111" t="str">
        <f t="shared" si="6"/>
        <v/>
      </c>
      <c r="T155" s="16" t="str">
        <f t="shared" si="7"/>
        <v/>
      </c>
      <c r="V155" s="16" t="str">
        <f t="shared" si="8"/>
        <v/>
      </c>
    </row>
    <row r="156" spans="17:22" x14ac:dyDescent="0.15">
      <c r="Q156" s="111" t="str">
        <f t="shared" si="6"/>
        <v/>
      </c>
      <c r="T156" s="16" t="str">
        <f t="shared" si="7"/>
        <v/>
      </c>
      <c r="V156" s="16" t="str">
        <f t="shared" si="8"/>
        <v/>
      </c>
    </row>
    <row r="157" spans="17:22" x14ac:dyDescent="0.15">
      <c r="Q157" s="111" t="str">
        <f t="shared" si="6"/>
        <v/>
      </c>
      <c r="T157" s="16" t="str">
        <f t="shared" si="7"/>
        <v/>
      </c>
      <c r="V157" s="16" t="str">
        <f t="shared" si="8"/>
        <v/>
      </c>
    </row>
    <row r="158" spans="17:22" x14ac:dyDescent="0.15">
      <c r="Q158" s="111" t="str">
        <f t="shared" si="6"/>
        <v/>
      </c>
      <c r="T158" s="16" t="str">
        <f t="shared" si="7"/>
        <v/>
      </c>
      <c r="V158" s="16" t="str">
        <f t="shared" si="8"/>
        <v/>
      </c>
    </row>
    <row r="159" spans="17:22" x14ac:dyDescent="0.15">
      <c r="Q159" s="111" t="str">
        <f t="shared" si="6"/>
        <v/>
      </c>
      <c r="T159" s="16" t="str">
        <f t="shared" si="7"/>
        <v/>
      </c>
      <c r="V159" s="16" t="str">
        <f t="shared" si="8"/>
        <v/>
      </c>
    </row>
    <row r="160" spans="17:22" x14ac:dyDescent="0.15">
      <c r="Q160" s="111"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C55B0492-6838-4DD8-8348-3A29600B17AE}">
      <formula1>$AH$2:$AH$11</formula1>
    </dataValidation>
    <dataValidation type="list" allowBlank="1" showInputMessage="1" showErrorMessage="1" sqref="K2:K1000" xr:uid="{00427660-914A-4528-BB30-DE5D4A836C90}">
      <formula1>$AR$2:$AR$28</formula1>
    </dataValidation>
    <dataValidation type="list" allowBlank="1" showInputMessage="1" showErrorMessage="1" sqref="J2:J1000" xr:uid="{3833FC06-E7BB-43AA-AB49-2FC04DAA6121}">
      <formula1>$AP$2:$AP$29</formula1>
    </dataValidation>
    <dataValidation type="list" allowBlank="1" showInputMessage="1" showErrorMessage="1" sqref="H2:H1184" xr:uid="{52CB4305-0AE5-4D86-847C-9470EFFAC792}">
      <formula1>$AL$2:$AL$9</formula1>
    </dataValidation>
    <dataValidation type="decimal" allowBlank="1" showInputMessage="1" showErrorMessage="1" error="硬度を正しく入力して下さい。" sqref="O2:P497" xr:uid="{A433B00B-294F-43B1-90ED-7611E73DF7C5}">
      <formula1>0</formula1>
      <formula2>7</formula2>
    </dataValidation>
    <dataValidation type="list" allowBlank="1" showInputMessage="1" showErrorMessage="1" sqref="Y2:AA497" xr:uid="{7DD9A495-8F3C-4046-AC54-227A9E3D4D2D}">
      <formula1>$AV$2:$AV$21</formula1>
    </dataValidation>
    <dataValidation type="list" allowBlank="1" showInputMessage="1" showErrorMessage="1" sqref="A3:A497" xr:uid="{F2288D1B-5BCE-43FA-AA46-BA719070CD9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7922D09F-5D7E-463A-9D5D-8182A65CE9F7}">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E995B254-BD2B-4866-A35C-1CDE38506863}">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B46F0C7-7C25-49C6-8F76-5B117B36805A}">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97DC176C-2EA1-42C3-857E-9405AA8BD75A}">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F68F997B-5179-46B3-9EAA-A27D54620ADB}">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3CEC7BD1-3B72-45FC-B17D-21A1D4E49B74}">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B42EBF23-D63C-4F0A-A0F7-E3348E0B8761}">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0D81B5E7-1556-494F-A63B-A9D9A645F842}">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5FAA19ED-1CA3-4E86-9104-338B3E321154}">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1C024935-B6E5-4928-8F36-894369BB0EC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A2839C19-ABFA-49BB-BD2F-499A3EAC601E}">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F6E3-AEF0-4A0E-A177-BD9CFE40D041}">
  <dimension ref="A1:BA154"/>
  <sheetViews>
    <sheetView zoomScale="85" zoomScaleNormal="85" workbookViewId="0"/>
  </sheetViews>
  <sheetFormatPr defaultColWidth="9" defaultRowHeight="13.5" x14ac:dyDescent="0.15"/>
  <cols>
    <col min="1" max="3" width="9" style="78"/>
    <col min="4" max="4" width="11" style="78" customWidth="1"/>
    <col min="5" max="5" width="10.875" style="78" customWidth="1"/>
    <col min="6" max="16" width="9" style="78"/>
    <col min="17" max="17" width="9" style="16"/>
    <col min="18" max="18" width="9" style="78"/>
    <col min="19" max="19" width="11.625" style="78" customWidth="1"/>
    <col min="20" max="20" width="9" style="16"/>
    <col min="21" max="21" width="9" style="78"/>
    <col min="22" max="22" width="9" style="16"/>
    <col min="23" max="32" width="9" style="78"/>
    <col min="33" max="33" width="14.375" style="78" customWidth="1"/>
    <col min="34" max="34" width="11.375" style="78" customWidth="1"/>
    <col min="35" max="16384" width="9" style="78"/>
  </cols>
  <sheetData>
    <row r="1" spans="1:53" ht="45" x14ac:dyDescent="0.15">
      <c r="A1" s="40" t="s">
        <v>0</v>
      </c>
      <c r="B1" s="93" t="s">
        <v>199</v>
      </c>
      <c r="C1" s="93" t="s">
        <v>200</v>
      </c>
      <c r="D1" s="94" t="s">
        <v>2</v>
      </c>
      <c r="E1" s="84" t="s">
        <v>3</v>
      </c>
      <c r="F1" s="84" t="s">
        <v>4</v>
      </c>
      <c r="G1" s="84" t="s">
        <v>5</v>
      </c>
      <c r="H1" s="84" t="s">
        <v>6</v>
      </c>
      <c r="I1" s="84" t="s">
        <v>7</v>
      </c>
      <c r="J1" s="84" t="s">
        <v>8</v>
      </c>
      <c r="K1" s="84" t="s">
        <v>9</v>
      </c>
      <c r="L1" s="94" t="s">
        <v>201</v>
      </c>
      <c r="M1" s="94" t="s">
        <v>202</v>
      </c>
      <c r="N1" s="94" t="s">
        <v>11</v>
      </c>
      <c r="O1" s="94" t="s">
        <v>203</v>
      </c>
      <c r="P1" s="94" t="s">
        <v>204</v>
      </c>
      <c r="Q1" s="112" t="s">
        <v>205</v>
      </c>
      <c r="R1" s="94" t="s">
        <v>206</v>
      </c>
      <c r="S1" s="94" t="s">
        <v>207</v>
      </c>
      <c r="T1" s="112" t="s">
        <v>13</v>
      </c>
      <c r="U1" s="94" t="s">
        <v>92</v>
      </c>
      <c r="V1" s="113" t="s">
        <v>14</v>
      </c>
      <c r="W1" s="94" t="s">
        <v>208</v>
      </c>
      <c r="X1" s="84" t="s">
        <v>16</v>
      </c>
      <c r="Y1" s="84" t="s">
        <v>17</v>
      </c>
      <c r="Z1" s="84" t="s">
        <v>18</v>
      </c>
      <c r="AA1" s="84" t="s">
        <v>19</v>
      </c>
      <c r="AB1" s="42" t="s">
        <v>209</v>
      </c>
      <c r="AE1" s="97" t="s">
        <v>0</v>
      </c>
      <c r="AF1" s="114"/>
      <c r="AG1" s="97" t="s">
        <v>3</v>
      </c>
      <c r="AH1" s="97" t="s">
        <v>4</v>
      </c>
      <c r="AI1" s="114"/>
      <c r="AJ1" s="97" t="s">
        <v>5</v>
      </c>
      <c r="AK1" s="114"/>
      <c r="AL1" s="10" t="s">
        <v>6</v>
      </c>
      <c r="AM1" s="114"/>
      <c r="AN1" s="10" t="s">
        <v>7</v>
      </c>
      <c r="AO1" s="114"/>
      <c r="AP1" s="10" t="s">
        <v>20</v>
      </c>
      <c r="AQ1" s="114"/>
      <c r="AR1" s="10" t="s">
        <v>9</v>
      </c>
      <c r="AS1" s="114"/>
      <c r="AT1" s="11" t="s">
        <v>210</v>
      </c>
      <c r="AU1" s="114"/>
      <c r="AV1" s="10" t="s">
        <v>22</v>
      </c>
      <c r="AX1" s="115" t="s">
        <v>211</v>
      </c>
      <c r="AY1" s="116" t="s">
        <v>212</v>
      </c>
      <c r="AZ1" s="116" t="s">
        <v>213</v>
      </c>
      <c r="BA1" s="117" t="s">
        <v>214</v>
      </c>
    </row>
    <row r="2" spans="1:53" x14ac:dyDescent="0.15">
      <c r="A2" s="78" t="s">
        <v>30</v>
      </c>
      <c r="B2" s="78" t="s">
        <v>174</v>
      </c>
      <c r="C2" s="78">
        <v>2020</v>
      </c>
      <c r="D2" s="99" t="s">
        <v>181</v>
      </c>
      <c r="E2" s="78" t="s">
        <v>192</v>
      </c>
      <c r="F2" s="78" t="s">
        <v>215</v>
      </c>
      <c r="G2" s="78" t="s">
        <v>25</v>
      </c>
      <c r="H2" s="78" t="s">
        <v>165</v>
      </c>
      <c r="I2" s="78" t="s">
        <v>111</v>
      </c>
      <c r="J2" s="78" t="s">
        <v>27</v>
      </c>
      <c r="K2" s="78" t="s">
        <v>112</v>
      </c>
      <c r="L2" s="78">
        <v>1</v>
      </c>
      <c r="N2" s="78">
        <v>1</v>
      </c>
      <c r="O2" s="78">
        <v>0.25</v>
      </c>
      <c r="P2" s="78">
        <v>0.3</v>
      </c>
      <c r="Q2" s="118">
        <f t="shared" ref="Q2:Q65" si="0">IF(OR(O2="",P2=""),"",AVERAGE(O2,P2))</f>
        <v>0.27500000000000002</v>
      </c>
      <c r="R2" s="78">
        <v>16.2</v>
      </c>
      <c r="S2" s="78">
        <v>126</v>
      </c>
      <c r="T2" s="16">
        <f t="shared" ref="T2:T58" si="1">IF(H2="","",IF(OR(H2="GREEN",H2="GK"),IF(S2&gt;=$AX$2,VLOOKUP(S2,$AX$2:$AY$10,2,1),""),IF(S2&gt;=$AZ$2,VLOOKUP(S2,$AZ$2:$BA$10,2,1),"")))</f>
        <v>27</v>
      </c>
      <c r="U2" s="78">
        <v>98</v>
      </c>
      <c r="V2" s="16">
        <f t="shared" ref="V2:V65" si="2">IF(OR(N2="",U2="",T2=""),"",U2/N2*T2)</f>
        <v>2646</v>
      </c>
      <c r="W2" s="78">
        <v>3</v>
      </c>
      <c r="X2" s="78" t="s">
        <v>35</v>
      </c>
      <c r="Y2" s="78" t="s">
        <v>82</v>
      </c>
      <c r="Z2" s="78" t="s">
        <v>55</v>
      </c>
      <c r="AA2" s="78" t="s">
        <v>43</v>
      </c>
      <c r="AB2" s="78" t="s">
        <v>178</v>
      </c>
      <c r="AE2" s="102" t="s">
        <v>24</v>
      </c>
      <c r="AG2" s="119" t="s">
        <v>192</v>
      </c>
      <c r="AH2" s="120" t="s">
        <v>215</v>
      </c>
      <c r="AJ2" s="50" t="s">
        <v>25</v>
      </c>
      <c r="AL2" s="104" t="s">
        <v>216</v>
      </c>
      <c r="AN2" s="50" t="s">
        <v>26</v>
      </c>
      <c r="AP2" s="50" t="s">
        <v>27</v>
      </c>
      <c r="AR2" s="50" t="s">
        <v>112</v>
      </c>
      <c r="AT2" s="50" t="s">
        <v>28</v>
      </c>
      <c r="AV2" s="50" t="s">
        <v>29</v>
      </c>
      <c r="AX2" s="105">
        <v>1</v>
      </c>
      <c r="AY2" s="106">
        <v>50</v>
      </c>
      <c r="AZ2" s="106">
        <v>1</v>
      </c>
      <c r="BA2" s="107">
        <v>50</v>
      </c>
    </row>
    <row r="3" spans="1:53" x14ac:dyDescent="0.15">
      <c r="A3" s="78" t="s">
        <v>30</v>
      </c>
      <c r="B3" s="78" t="s">
        <v>174</v>
      </c>
      <c r="C3" s="78">
        <v>2020</v>
      </c>
      <c r="D3" s="99" t="s">
        <v>181</v>
      </c>
      <c r="E3" s="78" t="s">
        <v>192</v>
      </c>
      <c r="F3" s="78" t="s">
        <v>215</v>
      </c>
      <c r="G3" s="78" t="s">
        <v>25</v>
      </c>
      <c r="H3" s="78" t="s">
        <v>165</v>
      </c>
      <c r="I3" s="78" t="s">
        <v>111</v>
      </c>
      <c r="J3" s="78" t="s">
        <v>27</v>
      </c>
      <c r="K3" s="78" t="s">
        <v>112</v>
      </c>
      <c r="L3" s="78">
        <v>2</v>
      </c>
      <c r="N3" s="78">
        <v>1</v>
      </c>
      <c r="O3" s="78">
        <v>0.3</v>
      </c>
      <c r="P3" s="78">
        <v>0.35</v>
      </c>
      <c r="Q3" s="118">
        <f t="shared" si="0"/>
        <v>0.32499999999999996</v>
      </c>
      <c r="R3" s="78">
        <v>16.7</v>
      </c>
      <c r="S3" s="78">
        <v>124</v>
      </c>
      <c r="T3" s="16">
        <f t="shared" si="1"/>
        <v>27</v>
      </c>
      <c r="U3" s="78">
        <v>98</v>
      </c>
      <c r="V3" s="16">
        <f t="shared" si="2"/>
        <v>2646</v>
      </c>
      <c r="W3" s="78">
        <v>3</v>
      </c>
      <c r="X3" s="78" t="s">
        <v>35</v>
      </c>
      <c r="Y3" s="78" t="s">
        <v>82</v>
      </c>
      <c r="Z3" s="78" t="s">
        <v>55</v>
      </c>
      <c r="AA3" s="78" t="s">
        <v>43</v>
      </c>
      <c r="AB3" s="78" t="s">
        <v>178</v>
      </c>
      <c r="AE3" s="22" t="s">
        <v>30</v>
      </c>
      <c r="AG3" s="121" t="s">
        <v>217</v>
      </c>
      <c r="AH3" s="121" t="s">
        <v>215</v>
      </c>
      <c r="AJ3" s="81" t="s">
        <v>31</v>
      </c>
      <c r="AL3" s="81" t="s">
        <v>218</v>
      </c>
      <c r="AN3" s="81" t="s">
        <v>32</v>
      </c>
      <c r="AP3" s="81" t="s">
        <v>33</v>
      </c>
      <c r="AR3" s="81" t="s">
        <v>34</v>
      </c>
      <c r="AT3" s="81" t="s">
        <v>35</v>
      </c>
      <c r="AV3" s="81" t="s">
        <v>36</v>
      </c>
      <c r="AX3" s="24">
        <v>72</v>
      </c>
      <c r="AY3" s="25">
        <v>46</v>
      </c>
      <c r="AZ3" s="25">
        <v>71</v>
      </c>
      <c r="BA3" s="26">
        <v>42</v>
      </c>
    </row>
    <row r="4" spans="1:53" x14ac:dyDescent="0.15">
      <c r="A4" s="78" t="s">
        <v>30</v>
      </c>
      <c r="B4" s="78" t="s">
        <v>174</v>
      </c>
      <c r="C4" s="78">
        <v>2020</v>
      </c>
      <c r="D4" s="99" t="s">
        <v>181</v>
      </c>
      <c r="E4" s="78" t="s">
        <v>192</v>
      </c>
      <c r="F4" s="78" t="s">
        <v>215</v>
      </c>
      <c r="G4" s="78" t="s">
        <v>25</v>
      </c>
      <c r="H4" s="78" t="s">
        <v>165</v>
      </c>
      <c r="I4" s="78" t="s">
        <v>111</v>
      </c>
      <c r="J4" s="78" t="s">
        <v>27</v>
      </c>
      <c r="K4" s="78" t="s">
        <v>112</v>
      </c>
      <c r="L4" s="78">
        <v>3</v>
      </c>
      <c r="N4" s="78">
        <v>1</v>
      </c>
      <c r="O4" s="78">
        <v>0.25</v>
      </c>
      <c r="P4" s="78">
        <v>0.25</v>
      </c>
      <c r="Q4" s="118">
        <f t="shared" si="0"/>
        <v>0.25</v>
      </c>
      <c r="R4" s="78">
        <v>14.2</v>
      </c>
      <c r="S4" s="78">
        <v>128</v>
      </c>
      <c r="T4" s="16">
        <f t="shared" si="1"/>
        <v>27</v>
      </c>
      <c r="U4" s="78">
        <v>98</v>
      </c>
      <c r="V4" s="16">
        <f t="shared" si="2"/>
        <v>2646</v>
      </c>
      <c r="W4" s="78">
        <v>3</v>
      </c>
      <c r="X4" s="78" t="s">
        <v>35</v>
      </c>
      <c r="Y4" s="78" t="s">
        <v>82</v>
      </c>
      <c r="Z4" s="78" t="s">
        <v>55</v>
      </c>
      <c r="AA4" s="78" t="s">
        <v>43</v>
      </c>
      <c r="AB4" s="78" t="s">
        <v>178</v>
      </c>
      <c r="AE4" s="22" t="s">
        <v>23</v>
      </c>
      <c r="AG4" s="121" t="s">
        <v>217</v>
      </c>
      <c r="AH4" s="121" t="s">
        <v>219</v>
      </c>
      <c r="AJ4" s="27" t="s">
        <v>37</v>
      </c>
      <c r="AL4" s="81" t="s">
        <v>220</v>
      </c>
      <c r="AN4" s="28" t="s">
        <v>221</v>
      </c>
      <c r="AP4" s="81" t="s">
        <v>222</v>
      </c>
      <c r="AR4" s="81" t="s">
        <v>223</v>
      </c>
      <c r="AT4" s="28"/>
      <c r="AV4" s="81" t="s">
        <v>39</v>
      </c>
      <c r="AX4" s="24">
        <v>75</v>
      </c>
      <c r="AY4" s="25">
        <v>42</v>
      </c>
      <c r="AZ4" s="25">
        <v>76</v>
      </c>
      <c r="BA4" s="26">
        <v>39</v>
      </c>
    </row>
    <row r="5" spans="1:53" ht="13.5" customHeight="1" x14ac:dyDescent="0.15">
      <c r="A5" s="78" t="s">
        <v>30</v>
      </c>
      <c r="B5" s="78" t="s">
        <v>174</v>
      </c>
      <c r="C5" s="78">
        <v>2020</v>
      </c>
      <c r="D5" s="99" t="s">
        <v>181</v>
      </c>
      <c r="E5" s="78" t="s">
        <v>192</v>
      </c>
      <c r="F5" s="78" t="s">
        <v>215</v>
      </c>
      <c r="G5" s="78" t="s">
        <v>25</v>
      </c>
      <c r="H5" s="78" t="s">
        <v>165</v>
      </c>
      <c r="I5" s="78" t="s">
        <v>111</v>
      </c>
      <c r="J5" s="78" t="s">
        <v>27</v>
      </c>
      <c r="K5" s="78" t="s">
        <v>112</v>
      </c>
      <c r="L5" s="78">
        <v>1</v>
      </c>
      <c r="N5" s="78">
        <v>8</v>
      </c>
      <c r="O5" s="78">
        <v>0.45</v>
      </c>
      <c r="P5" s="78">
        <v>0.5</v>
      </c>
      <c r="Q5" s="118">
        <f t="shared" si="0"/>
        <v>0.47499999999999998</v>
      </c>
      <c r="R5" s="78">
        <v>13.5</v>
      </c>
      <c r="S5" s="78">
        <v>102</v>
      </c>
      <c r="T5" s="16">
        <f t="shared" si="1"/>
        <v>33</v>
      </c>
      <c r="U5" s="78">
        <v>398</v>
      </c>
      <c r="V5" s="16">
        <f t="shared" si="2"/>
        <v>1641.75</v>
      </c>
      <c r="W5" s="78">
        <v>2</v>
      </c>
      <c r="X5" s="78" t="s">
        <v>35</v>
      </c>
      <c r="Y5" s="78" t="s">
        <v>82</v>
      </c>
      <c r="Z5" s="78" t="s">
        <v>55</v>
      </c>
      <c r="AA5" s="78" t="s">
        <v>43</v>
      </c>
      <c r="AB5" s="78" t="s">
        <v>178</v>
      </c>
      <c r="AE5" s="22" t="s">
        <v>40</v>
      </c>
      <c r="AG5" s="121" t="s">
        <v>224</v>
      </c>
      <c r="AH5" s="121" t="s">
        <v>215</v>
      </c>
      <c r="AJ5" s="28"/>
      <c r="AL5" s="81" t="s">
        <v>113</v>
      </c>
      <c r="AN5" s="110" t="s">
        <v>111</v>
      </c>
      <c r="AP5" s="81" t="s">
        <v>225</v>
      </c>
      <c r="AR5" s="81" t="s">
        <v>42</v>
      </c>
      <c r="AV5" s="81" t="s">
        <v>43</v>
      </c>
      <c r="AX5" s="24">
        <v>84</v>
      </c>
      <c r="AY5" s="25">
        <v>39</v>
      </c>
      <c r="AZ5" s="25">
        <v>84</v>
      </c>
      <c r="BA5" s="26">
        <v>36</v>
      </c>
    </row>
    <row r="6" spans="1:53" x14ac:dyDescent="0.15">
      <c r="A6" s="78" t="s">
        <v>30</v>
      </c>
      <c r="B6" s="78" t="s">
        <v>174</v>
      </c>
      <c r="C6" s="78">
        <v>2020</v>
      </c>
      <c r="D6" s="99" t="s">
        <v>181</v>
      </c>
      <c r="E6" s="78" t="s">
        <v>192</v>
      </c>
      <c r="F6" s="78" t="s">
        <v>215</v>
      </c>
      <c r="G6" s="78" t="s">
        <v>25</v>
      </c>
      <c r="H6" s="78" t="s">
        <v>165</v>
      </c>
      <c r="I6" s="78" t="s">
        <v>111</v>
      </c>
      <c r="J6" s="78" t="s">
        <v>27</v>
      </c>
      <c r="K6" s="78" t="s">
        <v>112</v>
      </c>
      <c r="L6" s="78">
        <v>2</v>
      </c>
      <c r="N6" s="78">
        <v>8</v>
      </c>
      <c r="O6" s="78">
        <v>0.5</v>
      </c>
      <c r="P6" s="78">
        <v>0.45</v>
      </c>
      <c r="Q6" s="118">
        <f t="shared" si="0"/>
        <v>0.47499999999999998</v>
      </c>
      <c r="R6" s="78">
        <v>14.2</v>
      </c>
      <c r="S6" s="78">
        <v>100</v>
      </c>
      <c r="T6" s="16">
        <f t="shared" si="1"/>
        <v>33</v>
      </c>
      <c r="U6" s="78">
        <v>398</v>
      </c>
      <c r="V6" s="16">
        <f t="shared" si="2"/>
        <v>1641.75</v>
      </c>
      <c r="W6" s="78">
        <v>2</v>
      </c>
      <c r="X6" s="78" t="s">
        <v>35</v>
      </c>
      <c r="Y6" s="78" t="s">
        <v>82</v>
      </c>
      <c r="Z6" s="78" t="s">
        <v>55</v>
      </c>
      <c r="AA6" s="78" t="s">
        <v>43</v>
      </c>
      <c r="AB6" s="78" t="s">
        <v>178</v>
      </c>
      <c r="AE6" s="22" t="s">
        <v>44</v>
      </c>
      <c r="AG6" s="121" t="s">
        <v>224</v>
      </c>
      <c r="AH6" s="121" t="s">
        <v>226</v>
      </c>
      <c r="AL6" s="81" t="s">
        <v>227</v>
      </c>
      <c r="AN6" s="110" t="s">
        <v>166</v>
      </c>
      <c r="AP6" s="81" t="s">
        <v>41</v>
      </c>
      <c r="AR6" s="81" t="s">
        <v>46</v>
      </c>
      <c r="AV6" s="81" t="s">
        <v>47</v>
      </c>
      <c r="AX6" s="24">
        <v>97</v>
      </c>
      <c r="AY6" s="25">
        <v>36</v>
      </c>
      <c r="AZ6" s="25">
        <v>99</v>
      </c>
      <c r="BA6" s="26">
        <v>33</v>
      </c>
    </row>
    <row r="7" spans="1:53" x14ac:dyDescent="0.15">
      <c r="A7" s="78" t="s">
        <v>30</v>
      </c>
      <c r="B7" s="78" t="s">
        <v>174</v>
      </c>
      <c r="C7" s="78">
        <v>2020</v>
      </c>
      <c r="D7" s="99" t="s">
        <v>181</v>
      </c>
      <c r="E7" s="78" t="s">
        <v>192</v>
      </c>
      <c r="F7" s="78" t="s">
        <v>215</v>
      </c>
      <c r="G7" s="78" t="s">
        <v>25</v>
      </c>
      <c r="H7" s="78" t="s">
        <v>165</v>
      </c>
      <c r="I7" s="78" t="s">
        <v>111</v>
      </c>
      <c r="J7" s="78" t="s">
        <v>27</v>
      </c>
      <c r="K7" s="78" t="s">
        <v>112</v>
      </c>
      <c r="L7" s="78">
        <v>3</v>
      </c>
      <c r="N7" s="78">
        <v>8</v>
      </c>
      <c r="O7" s="78">
        <v>0.65</v>
      </c>
      <c r="P7" s="78">
        <v>0.5</v>
      </c>
      <c r="Q7" s="118">
        <f t="shared" si="0"/>
        <v>0.57499999999999996</v>
      </c>
      <c r="R7" s="78">
        <v>15.2</v>
      </c>
      <c r="S7" s="78">
        <v>103</v>
      </c>
      <c r="T7" s="16">
        <f t="shared" si="1"/>
        <v>33</v>
      </c>
      <c r="U7" s="78">
        <v>398</v>
      </c>
      <c r="V7" s="16">
        <f t="shared" si="2"/>
        <v>1641.75</v>
      </c>
      <c r="W7" s="78">
        <v>2</v>
      </c>
      <c r="X7" s="78" t="s">
        <v>35</v>
      </c>
      <c r="Y7" s="78" t="s">
        <v>82</v>
      </c>
      <c r="Z7" s="78" t="s">
        <v>55</v>
      </c>
      <c r="AA7" s="78" t="s">
        <v>43</v>
      </c>
      <c r="AB7" s="78" t="s">
        <v>178</v>
      </c>
      <c r="AE7" s="22" t="s">
        <v>48</v>
      </c>
      <c r="AG7" s="121" t="s">
        <v>228</v>
      </c>
      <c r="AH7" s="121" t="s">
        <v>226</v>
      </c>
      <c r="AL7" s="81" t="s">
        <v>165</v>
      </c>
      <c r="AP7" s="81" t="s">
        <v>45</v>
      </c>
      <c r="AR7" s="81" t="s">
        <v>229</v>
      </c>
      <c r="AV7" s="81" t="s">
        <v>51</v>
      </c>
      <c r="AX7" s="24">
        <v>109</v>
      </c>
      <c r="AY7" s="25">
        <v>33</v>
      </c>
      <c r="AZ7" s="25">
        <v>113</v>
      </c>
      <c r="BA7" s="26">
        <v>30</v>
      </c>
    </row>
    <row r="8" spans="1:53" x14ac:dyDescent="0.15">
      <c r="A8" s="78" t="s">
        <v>30</v>
      </c>
      <c r="B8" s="78" t="s">
        <v>174</v>
      </c>
      <c r="C8" s="78">
        <v>2020</v>
      </c>
      <c r="D8" s="99" t="s">
        <v>181</v>
      </c>
      <c r="E8" s="78" t="s">
        <v>192</v>
      </c>
      <c r="F8" s="78" t="s">
        <v>215</v>
      </c>
      <c r="G8" s="78" t="s">
        <v>25</v>
      </c>
      <c r="H8" s="78" t="s">
        <v>113</v>
      </c>
      <c r="I8" s="78" t="s">
        <v>166</v>
      </c>
      <c r="J8" s="78" t="s">
        <v>27</v>
      </c>
      <c r="K8" s="78" t="s">
        <v>112</v>
      </c>
      <c r="L8" s="78">
        <v>1</v>
      </c>
      <c r="N8" s="78">
        <v>4</v>
      </c>
      <c r="O8" s="78">
        <v>0.8</v>
      </c>
      <c r="P8" s="78">
        <v>0.7</v>
      </c>
      <c r="Q8" s="118">
        <f t="shared" si="0"/>
        <v>0.75</v>
      </c>
      <c r="R8" s="78">
        <v>16.7</v>
      </c>
      <c r="S8" s="78">
        <v>120</v>
      </c>
      <c r="T8" s="101">
        <f t="shared" si="1"/>
        <v>30</v>
      </c>
      <c r="U8" s="78">
        <v>598</v>
      </c>
      <c r="V8" s="101">
        <f t="shared" si="2"/>
        <v>4485</v>
      </c>
      <c r="W8" s="78">
        <v>1</v>
      </c>
      <c r="X8" s="78" t="s">
        <v>35</v>
      </c>
      <c r="Y8" s="78" t="s">
        <v>82</v>
      </c>
      <c r="Z8" s="78" t="s">
        <v>55</v>
      </c>
      <c r="AA8" s="78" t="s">
        <v>43</v>
      </c>
      <c r="AB8" s="78" t="s">
        <v>178</v>
      </c>
      <c r="AE8" s="22" t="s">
        <v>46</v>
      </c>
      <c r="AG8" s="121" t="s">
        <v>230</v>
      </c>
      <c r="AH8" s="121" t="s">
        <v>231</v>
      </c>
      <c r="AL8" s="81" t="s">
        <v>167</v>
      </c>
      <c r="AP8" s="81" t="s">
        <v>49</v>
      </c>
      <c r="AR8" s="81" t="s">
        <v>67</v>
      </c>
      <c r="AV8" s="81" t="s">
        <v>82</v>
      </c>
      <c r="AX8" s="24">
        <v>119</v>
      </c>
      <c r="AY8" s="25">
        <v>30</v>
      </c>
      <c r="AZ8" s="25">
        <v>121</v>
      </c>
      <c r="BA8" s="26">
        <v>27</v>
      </c>
    </row>
    <row r="9" spans="1:53" x14ac:dyDescent="0.15">
      <c r="A9" s="78" t="s">
        <v>30</v>
      </c>
      <c r="B9" s="78" t="s">
        <v>174</v>
      </c>
      <c r="C9" s="78">
        <v>2020</v>
      </c>
      <c r="D9" s="99" t="s">
        <v>181</v>
      </c>
      <c r="E9" s="78" t="s">
        <v>192</v>
      </c>
      <c r="F9" s="78" t="s">
        <v>215</v>
      </c>
      <c r="G9" s="78" t="s">
        <v>25</v>
      </c>
      <c r="H9" s="78" t="s">
        <v>113</v>
      </c>
      <c r="I9" s="78" t="s">
        <v>166</v>
      </c>
      <c r="J9" s="78" t="s">
        <v>27</v>
      </c>
      <c r="K9" s="78" t="s">
        <v>112</v>
      </c>
      <c r="L9" s="78">
        <v>2</v>
      </c>
      <c r="N9" s="78">
        <v>4</v>
      </c>
      <c r="O9" s="78">
        <v>0.95</v>
      </c>
      <c r="P9" s="78">
        <v>0.8</v>
      </c>
      <c r="Q9" s="118">
        <f t="shared" si="0"/>
        <v>0.875</v>
      </c>
      <c r="R9" s="78">
        <v>16.2</v>
      </c>
      <c r="S9" s="78">
        <v>118</v>
      </c>
      <c r="T9" s="101">
        <f t="shared" si="1"/>
        <v>30</v>
      </c>
      <c r="U9" s="78">
        <v>598</v>
      </c>
      <c r="V9" s="16">
        <f t="shared" si="2"/>
        <v>4485</v>
      </c>
      <c r="W9" s="78">
        <v>1</v>
      </c>
      <c r="X9" s="78" t="s">
        <v>35</v>
      </c>
      <c r="Y9" s="78" t="s">
        <v>82</v>
      </c>
      <c r="Z9" s="78" t="s">
        <v>55</v>
      </c>
      <c r="AA9" s="78" t="s">
        <v>43</v>
      </c>
      <c r="AB9" s="78" t="s">
        <v>178</v>
      </c>
      <c r="AE9" s="22" t="s">
        <v>232</v>
      </c>
      <c r="AG9" s="121" t="s">
        <v>233</v>
      </c>
      <c r="AH9" s="121" t="s">
        <v>234</v>
      </c>
      <c r="AL9" s="81" t="s">
        <v>235</v>
      </c>
      <c r="AP9" s="81" t="s">
        <v>80</v>
      </c>
      <c r="AR9" s="81" t="s">
        <v>236</v>
      </c>
      <c r="AV9" s="81" t="s">
        <v>86</v>
      </c>
      <c r="AX9" s="24">
        <v>128</v>
      </c>
      <c r="AY9" s="25">
        <v>27</v>
      </c>
      <c r="AZ9" s="25">
        <v>129</v>
      </c>
      <c r="BA9" s="26">
        <v>25</v>
      </c>
    </row>
    <row r="10" spans="1:53" x14ac:dyDescent="0.15">
      <c r="A10" s="78" t="s">
        <v>30</v>
      </c>
      <c r="B10" s="78" t="s">
        <v>174</v>
      </c>
      <c r="C10" s="78">
        <v>2020</v>
      </c>
      <c r="D10" s="99" t="s">
        <v>181</v>
      </c>
      <c r="E10" s="78" t="s">
        <v>192</v>
      </c>
      <c r="F10" s="78" t="s">
        <v>215</v>
      </c>
      <c r="G10" s="78" t="s">
        <v>25</v>
      </c>
      <c r="H10" s="78" t="s">
        <v>113</v>
      </c>
      <c r="I10" s="78" t="s">
        <v>166</v>
      </c>
      <c r="J10" s="78" t="s">
        <v>27</v>
      </c>
      <c r="K10" s="78" t="s">
        <v>112</v>
      </c>
      <c r="L10" s="78">
        <v>3</v>
      </c>
      <c r="N10" s="78">
        <v>4</v>
      </c>
      <c r="O10" s="78">
        <v>0.7</v>
      </c>
      <c r="P10" s="78">
        <v>0.65</v>
      </c>
      <c r="Q10" s="118">
        <f t="shared" si="0"/>
        <v>0.67500000000000004</v>
      </c>
      <c r="R10" s="78">
        <v>15.4</v>
      </c>
      <c r="S10" s="78">
        <v>123</v>
      </c>
      <c r="T10" s="101">
        <f t="shared" si="1"/>
        <v>27</v>
      </c>
      <c r="U10" s="78">
        <v>598</v>
      </c>
      <c r="V10" s="16">
        <f t="shared" si="2"/>
        <v>4036.5</v>
      </c>
      <c r="W10" s="78">
        <v>1</v>
      </c>
      <c r="X10" s="78" t="s">
        <v>35</v>
      </c>
      <c r="Y10" s="78" t="s">
        <v>82</v>
      </c>
      <c r="Z10" s="78" t="s">
        <v>55</v>
      </c>
      <c r="AA10" s="78" t="s">
        <v>43</v>
      </c>
      <c r="AB10" s="78" t="s">
        <v>178</v>
      </c>
      <c r="AE10" s="22" t="s">
        <v>237</v>
      </c>
      <c r="AG10" s="121" t="s">
        <v>230</v>
      </c>
      <c r="AH10" s="121" t="s">
        <v>238</v>
      </c>
      <c r="AP10" s="81" t="s">
        <v>84</v>
      </c>
      <c r="AR10" s="81" t="s">
        <v>239</v>
      </c>
      <c r="AV10" s="81" t="s">
        <v>90</v>
      </c>
      <c r="AX10" s="24">
        <v>138</v>
      </c>
      <c r="AY10" s="25">
        <v>25</v>
      </c>
      <c r="AZ10" s="25">
        <v>138</v>
      </c>
      <c r="BA10" s="26">
        <v>22</v>
      </c>
    </row>
    <row r="11" spans="1:53" x14ac:dyDescent="0.15">
      <c r="A11" s="78" t="s">
        <v>30</v>
      </c>
      <c r="B11" s="78" t="s">
        <v>174</v>
      </c>
      <c r="C11" s="78">
        <v>2020</v>
      </c>
      <c r="D11" s="99" t="s">
        <v>181</v>
      </c>
      <c r="E11" s="78" t="s">
        <v>192</v>
      </c>
      <c r="F11" s="78" t="s">
        <v>215</v>
      </c>
      <c r="G11" s="78" t="s">
        <v>25</v>
      </c>
      <c r="H11" s="78" t="s">
        <v>167</v>
      </c>
      <c r="I11" s="78" t="s">
        <v>111</v>
      </c>
      <c r="J11" s="78" t="s">
        <v>27</v>
      </c>
      <c r="K11" s="78" t="s">
        <v>112</v>
      </c>
      <c r="L11" s="78">
        <v>1</v>
      </c>
      <c r="N11" s="78">
        <v>1</v>
      </c>
      <c r="O11" s="78">
        <v>0.65</v>
      </c>
      <c r="P11" s="78">
        <v>0.7</v>
      </c>
      <c r="Q11" s="118">
        <f t="shared" si="0"/>
        <v>0.67500000000000004</v>
      </c>
      <c r="R11" s="78">
        <v>13.8</v>
      </c>
      <c r="S11" s="78">
        <v>127</v>
      </c>
      <c r="T11" s="101">
        <f t="shared" si="1"/>
        <v>27</v>
      </c>
      <c r="U11" s="78">
        <v>138</v>
      </c>
      <c r="V11" s="101">
        <f t="shared" si="2"/>
        <v>3726</v>
      </c>
      <c r="W11" s="78">
        <v>3</v>
      </c>
      <c r="X11" s="78" t="s">
        <v>35</v>
      </c>
      <c r="Y11" s="78" t="s">
        <v>82</v>
      </c>
      <c r="Z11" s="78" t="s">
        <v>55</v>
      </c>
      <c r="AA11" s="78" t="s">
        <v>43</v>
      </c>
      <c r="AB11" s="78" t="s">
        <v>178</v>
      </c>
      <c r="AE11" s="22" t="s">
        <v>54</v>
      </c>
      <c r="AG11" s="121" t="s">
        <v>240</v>
      </c>
      <c r="AH11" s="121" t="s">
        <v>241</v>
      </c>
      <c r="AP11" s="81" t="s">
        <v>88</v>
      </c>
      <c r="AR11" s="81" t="s">
        <v>242</v>
      </c>
      <c r="AV11" s="81" t="s">
        <v>55</v>
      </c>
      <c r="AX11" s="24">
        <v>151</v>
      </c>
      <c r="AY11" s="25">
        <v>22</v>
      </c>
      <c r="AZ11" s="25">
        <v>152</v>
      </c>
      <c r="BA11" s="26">
        <v>18</v>
      </c>
    </row>
    <row r="12" spans="1:53" x14ac:dyDescent="0.15">
      <c r="A12" s="78" t="s">
        <v>30</v>
      </c>
      <c r="B12" s="78" t="s">
        <v>174</v>
      </c>
      <c r="C12" s="78">
        <v>2020</v>
      </c>
      <c r="D12" s="99" t="s">
        <v>181</v>
      </c>
      <c r="E12" s="78" t="s">
        <v>192</v>
      </c>
      <c r="F12" s="78" t="s">
        <v>215</v>
      </c>
      <c r="G12" s="78" t="s">
        <v>25</v>
      </c>
      <c r="H12" s="78" t="s">
        <v>167</v>
      </c>
      <c r="I12" s="78" t="s">
        <v>111</v>
      </c>
      <c r="J12" s="78" t="s">
        <v>27</v>
      </c>
      <c r="K12" s="78" t="s">
        <v>112</v>
      </c>
      <c r="L12" s="78">
        <v>2</v>
      </c>
      <c r="N12" s="78">
        <v>1</v>
      </c>
      <c r="O12" s="78">
        <v>0.5</v>
      </c>
      <c r="P12" s="78">
        <v>0.65</v>
      </c>
      <c r="Q12" s="118">
        <f t="shared" si="0"/>
        <v>0.57499999999999996</v>
      </c>
      <c r="R12" s="78">
        <v>14.7</v>
      </c>
      <c r="S12" s="78">
        <v>126</v>
      </c>
      <c r="T12" s="101">
        <f t="shared" si="1"/>
        <v>27</v>
      </c>
      <c r="U12" s="78">
        <v>138</v>
      </c>
      <c r="V12" s="16">
        <f t="shared" si="2"/>
        <v>3726</v>
      </c>
      <c r="W12" s="78">
        <v>3</v>
      </c>
      <c r="X12" s="78" t="s">
        <v>35</v>
      </c>
      <c r="Y12" s="78" t="s">
        <v>82</v>
      </c>
      <c r="Z12" s="78" t="s">
        <v>55</v>
      </c>
      <c r="AA12" s="78" t="s">
        <v>43</v>
      </c>
      <c r="AB12" s="78" t="s">
        <v>178</v>
      </c>
      <c r="AE12" s="22" t="s">
        <v>243</v>
      </c>
      <c r="AG12" s="22"/>
      <c r="AH12" s="22"/>
      <c r="AP12" s="81" t="s">
        <v>53</v>
      </c>
      <c r="AR12" s="81" t="s">
        <v>244</v>
      </c>
      <c r="AV12" s="81" t="s">
        <v>58</v>
      </c>
      <c r="AX12" s="31">
        <v>180</v>
      </c>
      <c r="AY12" s="32">
        <v>18</v>
      </c>
      <c r="AZ12" s="32">
        <v>181</v>
      </c>
      <c r="BA12" s="33">
        <v>16</v>
      </c>
    </row>
    <row r="13" spans="1:53" x14ac:dyDescent="0.15">
      <c r="A13" s="78" t="s">
        <v>30</v>
      </c>
      <c r="B13" s="78" t="s">
        <v>174</v>
      </c>
      <c r="C13" s="78">
        <v>2020</v>
      </c>
      <c r="D13" s="99" t="s">
        <v>181</v>
      </c>
      <c r="E13" s="78" t="s">
        <v>192</v>
      </c>
      <c r="F13" s="78" t="s">
        <v>215</v>
      </c>
      <c r="G13" s="78" t="s">
        <v>25</v>
      </c>
      <c r="H13" s="78" t="s">
        <v>167</v>
      </c>
      <c r="I13" s="78" t="s">
        <v>111</v>
      </c>
      <c r="J13" s="78" t="s">
        <v>27</v>
      </c>
      <c r="K13" s="78" t="s">
        <v>112</v>
      </c>
      <c r="L13" s="78">
        <v>3</v>
      </c>
      <c r="N13" s="78">
        <v>1</v>
      </c>
      <c r="O13" s="78">
        <v>0.45</v>
      </c>
      <c r="P13" s="78">
        <v>0.35</v>
      </c>
      <c r="Q13" s="118">
        <f t="shared" si="0"/>
        <v>0.4</v>
      </c>
      <c r="R13" s="78">
        <v>14.1</v>
      </c>
      <c r="S13" s="78">
        <v>122</v>
      </c>
      <c r="T13" s="101">
        <f t="shared" si="1"/>
        <v>27</v>
      </c>
      <c r="U13" s="78">
        <v>138</v>
      </c>
      <c r="V13" s="16">
        <f t="shared" si="2"/>
        <v>3726</v>
      </c>
      <c r="W13" s="78">
        <v>3</v>
      </c>
      <c r="X13" s="78" t="s">
        <v>35</v>
      </c>
      <c r="Y13" s="78" t="s">
        <v>82</v>
      </c>
      <c r="Z13" s="78" t="s">
        <v>55</v>
      </c>
      <c r="AA13" s="78" t="s">
        <v>43</v>
      </c>
      <c r="AB13" s="78" t="s">
        <v>178</v>
      </c>
      <c r="AE13" s="22" t="s">
        <v>245</v>
      </c>
      <c r="AG13" s="81"/>
      <c r="AH13" s="81"/>
      <c r="AP13" s="81" t="s">
        <v>57</v>
      </c>
      <c r="AR13" s="81" t="s">
        <v>237</v>
      </c>
      <c r="AV13" s="81" t="s">
        <v>61</v>
      </c>
    </row>
    <row r="14" spans="1:53" x14ac:dyDescent="0.15">
      <c r="A14" s="78" t="s">
        <v>30</v>
      </c>
      <c r="B14" s="78" t="s">
        <v>174</v>
      </c>
      <c r="C14" s="78">
        <v>2020</v>
      </c>
      <c r="D14" s="99" t="s">
        <v>181</v>
      </c>
      <c r="E14" s="78" t="s">
        <v>192</v>
      </c>
      <c r="F14" s="78" t="s">
        <v>215</v>
      </c>
      <c r="G14" s="78" t="s">
        <v>25</v>
      </c>
      <c r="H14" s="78" t="s">
        <v>167</v>
      </c>
      <c r="I14" s="78" t="s">
        <v>111</v>
      </c>
      <c r="J14" s="78" t="s">
        <v>27</v>
      </c>
      <c r="K14" s="78" t="s">
        <v>112</v>
      </c>
      <c r="L14" s="78">
        <v>1</v>
      </c>
      <c r="N14" s="78">
        <v>10</v>
      </c>
      <c r="O14" s="78">
        <v>0.5</v>
      </c>
      <c r="P14" s="78">
        <v>0.35</v>
      </c>
      <c r="Q14" s="118">
        <f t="shared" si="0"/>
        <v>0.42499999999999999</v>
      </c>
      <c r="R14" s="78">
        <v>12.9</v>
      </c>
      <c r="S14" s="78">
        <v>120</v>
      </c>
      <c r="T14" s="101">
        <f t="shared" si="1"/>
        <v>30</v>
      </c>
      <c r="U14" s="78">
        <v>980</v>
      </c>
      <c r="V14" s="101">
        <f t="shared" si="2"/>
        <v>2940</v>
      </c>
      <c r="W14" s="78">
        <v>2</v>
      </c>
      <c r="X14" s="78" t="s">
        <v>35</v>
      </c>
      <c r="Y14" s="78" t="s">
        <v>82</v>
      </c>
      <c r="Z14" s="78" t="s">
        <v>55</v>
      </c>
      <c r="AA14" s="78" t="s">
        <v>43</v>
      </c>
      <c r="AB14" s="78" t="s">
        <v>178</v>
      </c>
      <c r="AE14" s="22" t="s">
        <v>81</v>
      </c>
      <c r="AG14" s="81"/>
      <c r="AH14" s="81"/>
      <c r="AP14" s="81" t="s">
        <v>60</v>
      </c>
      <c r="AR14" s="81" t="s">
        <v>246</v>
      </c>
      <c r="AV14" s="81" t="s">
        <v>64</v>
      </c>
    </row>
    <row r="15" spans="1:53" x14ac:dyDescent="0.15">
      <c r="A15" s="78" t="s">
        <v>30</v>
      </c>
      <c r="B15" s="78" t="s">
        <v>174</v>
      </c>
      <c r="C15" s="78">
        <v>2020</v>
      </c>
      <c r="D15" s="99" t="s">
        <v>181</v>
      </c>
      <c r="E15" s="78" t="s">
        <v>192</v>
      </c>
      <c r="F15" s="78" t="s">
        <v>215</v>
      </c>
      <c r="G15" s="78" t="s">
        <v>25</v>
      </c>
      <c r="H15" s="78" t="s">
        <v>167</v>
      </c>
      <c r="I15" s="78" t="s">
        <v>111</v>
      </c>
      <c r="J15" s="78" t="s">
        <v>27</v>
      </c>
      <c r="K15" s="78" t="s">
        <v>112</v>
      </c>
      <c r="L15" s="78">
        <v>2</v>
      </c>
      <c r="N15" s="78">
        <v>10</v>
      </c>
      <c r="O15" s="78">
        <v>0.35</v>
      </c>
      <c r="P15" s="78">
        <v>0.4</v>
      </c>
      <c r="Q15" s="118">
        <f t="shared" si="0"/>
        <v>0.375</v>
      </c>
      <c r="R15" s="78">
        <v>16.399999999999999</v>
      </c>
      <c r="S15" s="78">
        <v>117</v>
      </c>
      <c r="T15" s="101">
        <f t="shared" si="1"/>
        <v>30</v>
      </c>
      <c r="U15" s="78">
        <v>980</v>
      </c>
      <c r="V15" s="16">
        <f t="shared" si="2"/>
        <v>2940</v>
      </c>
      <c r="W15" s="78">
        <v>2</v>
      </c>
      <c r="X15" s="78" t="s">
        <v>35</v>
      </c>
      <c r="Y15" s="78" t="s">
        <v>82</v>
      </c>
      <c r="Z15" s="78" t="s">
        <v>55</v>
      </c>
      <c r="AA15" s="78" t="s">
        <v>43</v>
      </c>
      <c r="AB15" s="78" t="s">
        <v>178</v>
      </c>
      <c r="AE15" s="22" t="s">
        <v>247</v>
      </c>
      <c r="AG15" s="81"/>
      <c r="AH15" s="81"/>
      <c r="AP15" s="81" t="s">
        <v>63</v>
      </c>
      <c r="AR15" s="81" t="s">
        <v>66</v>
      </c>
      <c r="AV15" s="81" t="s">
        <v>91</v>
      </c>
    </row>
    <row r="16" spans="1:53" x14ac:dyDescent="0.15">
      <c r="A16" s="78" t="s">
        <v>30</v>
      </c>
      <c r="B16" s="78" t="s">
        <v>174</v>
      </c>
      <c r="C16" s="78">
        <v>2020</v>
      </c>
      <c r="D16" s="99" t="s">
        <v>181</v>
      </c>
      <c r="E16" s="78" t="s">
        <v>192</v>
      </c>
      <c r="F16" s="78" t="s">
        <v>215</v>
      </c>
      <c r="G16" s="78" t="s">
        <v>25</v>
      </c>
      <c r="H16" s="78" t="s">
        <v>167</v>
      </c>
      <c r="I16" s="78" t="s">
        <v>111</v>
      </c>
      <c r="J16" s="78" t="s">
        <v>27</v>
      </c>
      <c r="K16" s="78" t="s">
        <v>112</v>
      </c>
      <c r="L16" s="78">
        <v>3</v>
      </c>
      <c r="N16" s="78">
        <v>10</v>
      </c>
      <c r="O16" s="78">
        <v>0.4</v>
      </c>
      <c r="P16" s="78">
        <v>0.55000000000000004</v>
      </c>
      <c r="Q16" s="118">
        <f t="shared" si="0"/>
        <v>0.47500000000000003</v>
      </c>
      <c r="R16" s="78">
        <v>15</v>
      </c>
      <c r="S16" s="78">
        <v>116</v>
      </c>
      <c r="T16" s="101">
        <f t="shared" si="1"/>
        <v>30</v>
      </c>
      <c r="U16" s="78">
        <v>980</v>
      </c>
      <c r="V16" s="16">
        <f t="shared" si="2"/>
        <v>2940</v>
      </c>
      <c r="W16" s="78">
        <v>2</v>
      </c>
      <c r="X16" s="78" t="s">
        <v>35</v>
      </c>
      <c r="Y16" s="78" t="s">
        <v>82</v>
      </c>
      <c r="Z16" s="78" t="s">
        <v>55</v>
      </c>
      <c r="AA16" s="78" t="s">
        <v>43</v>
      </c>
      <c r="AB16" s="78" t="s">
        <v>178</v>
      </c>
      <c r="AE16" s="22" t="s">
        <v>248</v>
      </c>
      <c r="AG16" s="28"/>
      <c r="AH16" s="28"/>
      <c r="AP16" s="81" t="s">
        <v>66</v>
      </c>
      <c r="AR16" s="81" t="s">
        <v>50</v>
      </c>
      <c r="AV16" s="81" t="s">
        <v>70</v>
      </c>
    </row>
    <row r="17" spans="1:48" x14ac:dyDescent="0.15">
      <c r="A17" s="78" t="s">
        <v>30</v>
      </c>
      <c r="B17" s="78" t="s">
        <v>174</v>
      </c>
      <c r="C17" s="78">
        <v>2020</v>
      </c>
      <c r="D17" s="99" t="s">
        <v>181</v>
      </c>
      <c r="E17" s="78" t="s">
        <v>192</v>
      </c>
      <c r="F17" s="78" t="s">
        <v>215</v>
      </c>
      <c r="G17" s="78" t="s">
        <v>25</v>
      </c>
      <c r="H17" s="78" t="s">
        <v>167</v>
      </c>
      <c r="I17" s="78" t="s">
        <v>111</v>
      </c>
      <c r="J17" s="78" t="s">
        <v>27</v>
      </c>
      <c r="K17" s="78" t="s">
        <v>112</v>
      </c>
      <c r="L17" s="78">
        <v>1</v>
      </c>
      <c r="N17" s="78">
        <v>8</v>
      </c>
      <c r="O17" s="78">
        <v>0.25</v>
      </c>
      <c r="P17" s="78">
        <v>0.25</v>
      </c>
      <c r="Q17" s="118">
        <f t="shared" si="0"/>
        <v>0.25</v>
      </c>
      <c r="R17" s="78">
        <v>15.7</v>
      </c>
      <c r="S17" s="78">
        <v>110</v>
      </c>
      <c r="T17" s="101">
        <f t="shared" si="1"/>
        <v>33</v>
      </c>
      <c r="U17" s="78">
        <v>598</v>
      </c>
      <c r="V17" s="101">
        <f t="shared" si="2"/>
        <v>2466.75</v>
      </c>
      <c r="W17" s="78">
        <v>2</v>
      </c>
      <c r="X17" s="78" t="s">
        <v>35</v>
      </c>
      <c r="Y17" s="78" t="s">
        <v>82</v>
      </c>
      <c r="Z17" s="78" t="s">
        <v>55</v>
      </c>
      <c r="AA17" s="78" t="s">
        <v>43</v>
      </c>
      <c r="AB17" s="78" t="s">
        <v>178</v>
      </c>
      <c r="AE17" s="22" t="s">
        <v>249</v>
      </c>
      <c r="AP17" s="27" t="s">
        <v>250</v>
      </c>
      <c r="AR17" s="81" t="s">
        <v>81</v>
      </c>
      <c r="AV17" s="81" t="s">
        <v>72</v>
      </c>
    </row>
    <row r="18" spans="1:48" x14ac:dyDescent="0.15">
      <c r="A18" s="78" t="s">
        <v>30</v>
      </c>
      <c r="B18" s="78" t="s">
        <v>174</v>
      </c>
      <c r="C18" s="78">
        <v>2020</v>
      </c>
      <c r="D18" s="99" t="s">
        <v>181</v>
      </c>
      <c r="E18" s="78" t="s">
        <v>192</v>
      </c>
      <c r="F18" s="78" t="s">
        <v>215</v>
      </c>
      <c r="G18" s="78" t="s">
        <v>25</v>
      </c>
      <c r="H18" s="78" t="s">
        <v>167</v>
      </c>
      <c r="I18" s="78" t="s">
        <v>111</v>
      </c>
      <c r="J18" s="78" t="s">
        <v>27</v>
      </c>
      <c r="K18" s="78" t="s">
        <v>112</v>
      </c>
      <c r="L18" s="78">
        <v>2</v>
      </c>
      <c r="N18" s="78">
        <v>8</v>
      </c>
      <c r="O18" s="78">
        <v>0.25</v>
      </c>
      <c r="P18" s="78">
        <v>0.25</v>
      </c>
      <c r="Q18" s="118">
        <f t="shared" si="0"/>
        <v>0.25</v>
      </c>
      <c r="R18" s="78">
        <v>16.2</v>
      </c>
      <c r="S18" s="78">
        <v>111</v>
      </c>
      <c r="T18" s="101">
        <f t="shared" si="1"/>
        <v>33</v>
      </c>
      <c r="U18" s="78">
        <v>598</v>
      </c>
      <c r="V18" s="16">
        <f t="shared" si="2"/>
        <v>2466.75</v>
      </c>
      <c r="W18" s="78">
        <v>2</v>
      </c>
      <c r="X18" s="78" t="s">
        <v>35</v>
      </c>
      <c r="Y18" s="78" t="s">
        <v>82</v>
      </c>
      <c r="Z18" s="78" t="s">
        <v>55</v>
      </c>
      <c r="AA18" s="78" t="s">
        <v>43</v>
      </c>
      <c r="AB18" s="78" t="s">
        <v>178</v>
      </c>
      <c r="AE18" s="22" t="s">
        <v>242</v>
      </c>
      <c r="AP18" s="27" t="s">
        <v>251</v>
      </c>
      <c r="AR18" s="81" t="s">
        <v>85</v>
      </c>
      <c r="AV18" s="81" t="s">
        <v>74</v>
      </c>
    </row>
    <row r="19" spans="1:48" x14ac:dyDescent="0.15">
      <c r="A19" s="78" t="s">
        <v>30</v>
      </c>
      <c r="B19" s="78" t="s">
        <v>174</v>
      </c>
      <c r="C19" s="78">
        <v>2020</v>
      </c>
      <c r="D19" s="99" t="s">
        <v>181</v>
      </c>
      <c r="E19" s="78" t="s">
        <v>192</v>
      </c>
      <c r="F19" s="78" t="s">
        <v>215</v>
      </c>
      <c r="G19" s="78" t="s">
        <v>25</v>
      </c>
      <c r="H19" s="78" t="s">
        <v>167</v>
      </c>
      <c r="I19" s="78" t="s">
        <v>111</v>
      </c>
      <c r="J19" s="78" t="s">
        <v>27</v>
      </c>
      <c r="K19" s="78" t="s">
        <v>112</v>
      </c>
      <c r="L19" s="78">
        <v>3</v>
      </c>
      <c r="N19" s="78">
        <v>8</v>
      </c>
      <c r="O19" s="78">
        <v>0.35</v>
      </c>
      <c r="P19" s="78">
        <v>0.3</v>
      </c>
      <c r="Q19" s="118">
        <f t="shared" si="0"/>
        <v>0.32499999999999996</v>
      </c>
      <c r="R19" s="78">
        <v>15.1</v>
      </c>
      <c r="S19" s="78">
        <v>105</v>
      </c>
      <c r="T19" s="101">
        <f t="shared" si="1"/>
        <v>33</v>
      </c>
      <c r="U19" s="78">
        <v>598</v>
      </c>
      <c r="V19" s="16">
        <f t="shared" si="2"/>
        <v>2466.75</v>
      </c>
      <c r="W19" s="78">
        <v>2</v>
      </c>
      <c r="X19" s="78" t="s">
        <v>35</v>
      </c>
      <c r="Y19" s="78" t="s">
        <v>82</v>
      </c>
      <c r="Z19" s="78" t="s">
        <v>55</v>
      </c>
      <c r="AA19" s="78" t="s">
        <v>43</v>
      </c>
      <c r="AB19" s="78" t="s">
        <v>178</v>
      </c>
      <c r="AE19" s="35" t="s">
        <v>236</v>
      </c>
      <c r="AP19" s="27" t="s">
        <v>252</v>
      </c>
      <c r="AR19" s="81" t="s">
        <v>253</v>
      </c>
      <c r="AV19" s="81" t="s">
        <v>76</v>
      </c>
    </row>
    <row r="20" spans="1:48" x14ac:dyDescent="0.15">
      <c r="A20" s="78" t="s">
        <v>30</v>
      </c>
      <c r="B20" s="78" t="s">
        <v>174</v>
      </c>
      <c r="C20" s="78">
        <v>2020</v>
      </c>
      <c r="D20" s="99" t="s">
        <v>181</v>
      </c>
      <c r="E20" s="78" t="s">
        <v>217</v>
      </c>
      <c r="F20" s="78" t="s">
        <v>215</v>
      </c>
      <c r="G20" s="78" t="s">
        <v>25</v>
      </c>
      <c r="H20" s="78" t="s">
        <v>167</v>
      </c>
      <c r="I20" s="78" t="s">
        <v>111</v>
      </c>
      <c r="J20" s="78" t="s">
        <v>27</v>
      </c>
      <c r="K20" s="78" t="s">
        <v>112</v>
      </c>
      <c r="L20" s="78">
        <v>1</v>
      </c>
      <c r="N20" s="78">
        <v>1</v>
      </c>
      <c r="O20" s="78">
        <v>0.4</v>
      </c>
      <c r="P20" s="78">
        <v>0.5</v>
      </c>
      <c r="Q20" s="118">
        <f t="shared" si="0"/>
        <v>0.45</v>
      </c>
      <c r="R20" s="78">
        <v>17.399999999999999</v>
      </c>
      <c r="S20" s="78">
        <v>118</v>
      </c>
      <c r="T20" s="101">
        <f t="shared" si="1"/>
        <v>30</v>
      </c>
      <c r="U20" s="78">
        <v>138</v>
      </c>
      <c r="V20" s="16">
        <f t="shared" si="2"/>
        <v>4140</v>
      </c>
      <c r="W20" s="78">
        <v>3</v>
      </c>
      <c r="X20" s="78" t="s">
        <v>35</v>
      </c>
      <c r="Y20" s="78" t="s">
        <v>43</v>
      </c>
      <c r="Z20" s="78" t="s">
        <v>55</v>
      </c>
      <c r="AA20" s="78" t="s">
        <v>72</v>
      </c>
      <c r="AB20" s="78" t="s">
        <v>178</v>
      </c>
      <c r="AE20" s="35"/>
      <c r="AP20" s="27" t="s">
        <v>254</v>
      </c>
      <c r="AR20" s="81" t="s">
        <v>89</v>
      </c>
      <c r="AV20" s="27" t="s">
        <v>255</v>
      </c>
    </row>
    <row r="21" spans="1:48" x14ac:dyDescent="0.15">
      <c r="A21" s="78" t="s">
        <v>30</v>
      </c>
      <c r="B21" s="78" t="s">
        <v>174</v>
      </c>
      <c r="C21" s="78">
        <v>2020</v>
      </c>
      <c r="D21" s="99" t="s">
        <v>181</v>
      </c>
      <c r="E21" s="78" t="s">
        <v>217</v>
      </c>
      <c r="F21" s="78" t="s">
        <v>215</v>
      </c>
      <c r="G21" s="78" t="s">
        <v>25</v>
      </c>
      <c r="H21" s="78" t="s">
        <v>167</v>
      </c>
      <c r="I21" s="78" t="s">
        <v>111</v>
      </c>
      <c r="J21" s="78" t="s">
        <v>27</v>
      </c>
      <c r="K21" s="78" t="s">
        <v>112</v>
      </c>
      <c r="L21" s="78">
        <v>2</v>
      </c>
      <c r="N21" s="78">
        <v>1</v>
      </c>
      <c r="O21" s="78">
        <v>0.65</v>
      </c>
      <c r="P21" s="78">
        <v>0.55000000000000004</v>
      </c>
      <c r="Q21" s="118">
        <f t="shared" si="0"/>
        <v>0.60000000000000009</v>
      </c>
      <c r="R21" s="78">
        <v>13.2</v>
      </c>
      <c r="S21" s="78">
        <v>115</v>
      </c>
      <c r="T21" s="101">
        <f t="shared" si="1"/>
        <v>30</v>
      </c>
      <c r="U21" s="78">
        <v>138</v>
      </c>
      <c r="V21" s="16">
        <f t="shared" si="2"/>
        <v>4140</v>
      </c>
      <c r="W21" s="78">
        <v>3</v>
      </c>
      <c r="X21" s="78" t="s">
        <v>35</v>
      </c>
      <c r="Y21" s="78" t="s">
        <v>43</v>
      </c>
      <c r="Z21" s="78" t="s">
        <v>55</v>
      </c>
      <c r="AA21" s="78" t="s">
        <v>72</v>
      </c>
      <c r="AB21" s="78" t="s">
        <v>178</v>
      </c>
      <c r="AE21" s="28"/>
      <c r="AP21" s="27" t="s">
        <v>256</v>
      </c>
      <c r="AR21" s="81" t="s">
        <v>54</v>
      </c>
      <c r="AV21" s="27" t="s">
        <v>257</v>
      </c>
    </row>
    <row r="22" spans="1:48" x14ac:dyDescent="0.15">
      <c r="A22" s="78" t="s">
        <v>30</v>
      </c>
      <c r="B22" s="78" t="s">
        <v>174</v>
      </c>
      <c r="C22" s="78">
        <v>2020</v>
      </c>
      <c r="D22" s="99" t="s">
        <v>181</v>
      </c>
      <c r="E22" s="78" t="s">
        <v>217</v>
      </c>
      <c r="F22" s="78" t="s">
        <v>215</v>
      </c>
      <c r="G22" s="78" t="s">
        <v>25</v>
      </c>
      <c r="H22" s="78" t="s">
        <v>167</v>
      </c>
      <c r="I22" s="78" t="s">
        <v>111</v>
      </c>
      <c r="J22" s="78" t="s">
        <v>27</v>
      </c>
      <c r="K22" s="78" t="s">
        <v>112</v>
      </c>
      <c r="L22" s="78">
        <v>3</v>
      </c>
      <c r="N22" s="78">
        <v>1</v>
      </c>
      <c r="O22" s="78">
        <v>0.7</v>
      </c>
      <c r="P22" s="78">
        <v>0.75</v>
      </c>
      <c r="Q22" s="118">
        <f t="shared" si="0"/>
        <v>0.72499999999999998</v>
      </c>
      <c r="R22" s="78">
        <v>13.4</v>
      </c>
      <c r="S22" s="78">
        <v>120</v>
      </c>
      <c r="T22" s="101">
        <f t="shared" si="1"/>
        <v>30</v>
      </c>
      <c r="U22" s="78">
        <v>138</v>
      </c>
      <c r="V22" s="16">
        <f t="shared" si="2"/>
        <v>4140</v>
      </c>
      <c r="W22" s="78">
        <v>3</v>
      </c>
      <c r="X22" s="78" t="s">
        <v>35</v>
      </c>
      <c r="Y22" s="78" t="s">
        <v>43</v>
      </c>
      <c r="Z22" s="78" t="s">
        <v>55</v>
      </c>
      <c r="AA22" s="78" t="s">
        <v>72</v>
      </c>
      <c r="AB22" s="78" t="s">
        <v>178</v>
      </c>
      <c r="AP22" s="27" t="s">
        <v>258</v>
      </c>
      <c r="AR22" s="81" t="s">
        <v>69</v>
      </c>
      <c r="AV22" s="27"/>
    </row>
    <row r="23" spans="1:48" x14ac:dyDescent="0.15">
      <c r="A23" s="78" t="s">
        <v>30</v>
      </c>
      <c r="B23" s="78" t="s">
        <v>174</v>
      </c>
      <c r="C23" s="78">
        <v>2020</v>
      </c>
      <c r="D23" s="99" t="s">
        <v>181</v>
      </c>
      <c r="E23" s="78" t="s">
        <v>217</v>
      </c>
      <c r="F23" s="78" t="s">
        <v>215</v>
      </c>
      <c r="G23" s="78" t="s">
        <v>25</v>
      </c>
      <c r="H23" s="78" t="s">
        <v>167</v>
      </c>
      <c r="I23" s="78" t="s">
        <v>111</v>
      </c>
      <c r="J23" s="78" t="s">
        <v>27</v>
      </c>
      <c r="K23" s="78" t="s">
        <v>112</v>
      </c>
      <c r="L23" s="78">
        <v>1</v>
      </c>
      <c r="N23" s="78">
        <v>4</v>
      </c>
      <c r="O23" s="78">
        <v>0.65</v>
      </c>
      <c r="P23" s="78">
        <v>0.8</v>
      </c>
      <c r="Q23" s="118">
        <f t="shared" si="0"/>
        <v>0.72500000000000009</v>
      </c>
      <c r="R23" s="78">
        <v>14.4</v>
      </c>
      <c r="S23" s="78">
        <v>102</v>
      </c>
      <c r="T23" s="101">
        <f t="shared" si="1"/>
        <v>33</v>
      </c>
      <c r="U23" s="78">
        <v>388</v>
      </c>
      <c r="V23" s="101">
        <f t="shared" si="2"/>
        <v>3201</v>
      </c>
      <c r="W23" s="78">
        <v>2</v>
      </c>
      <c r="X23" s="78" t="s">
        <v>35</v>
      </c>
      <c r="Y23" s="78" t="s">
        <v>43</v>
      </c>
      <c r="Z23" s="78" t="s">
        <v>55</v>
      </c>
      <c r="AA23" s="78" t="s">
        <v>72</v>
      </c>
      <c r="AB23" s="78" t="s">
        <v>178</v>
      </c>
      <c r="AP23" s="27" t="s">
        <v>259</v>
      </c>
      <c r="AR23" s="28" t="s">
        <v>260</v>
      </c>
      <c r="AV23" s="28"/>
    </row>
    <row r="24" spans="1:48" x14ac:dyDescent="0.15">
      <c r="A24" s="78" t="s">
        <v>30</v>
      </c>
      <c r="B24" s="78" t="s">
        <v>174</v>
      </c>
      <c r="C24" s="78">
        <v>2020</v>
      </c>
      <c r="D24" s="99" t="s">
        <v>181</v>
      </c>
      <c r="E24" s="78" t="s">
        <v>217</v>
      </c>
      <c r="F24" s="78" t="s">
        <v>215</v>
      </c>
      <c r="G24" s="78" t="s">
        <v>25</v>
      </c>
      <c r="H24" s="78" t="s">
        <v>167</v>
      </c>
      <c r="I24" s="78" t="s">
        <v>111</v>
      </c>
      <c r="J24" s="78" t="s">
        <v>27</v>
      </c>
      <c r="K24" s="78" t="s">
        <v>112</v>
      </c>
      <c r="L24" s="78">
        <v>2</v>
      </c>
      <c r="N24" s="78">
        <v>4</v>
      </c>
      <c r="O24" s="78">
        <v>0.5</v>
      </c>
      <c r="P24" s="78">
        <v>0.45</v>
      </c>
      <c r="Q24" s="118">
        <f t="shared" si="0"/>
        <v>0.47499999999999998</v>
      </c>
      <c r="R24" s="78">
        <v>14.2</v>
      </c>
      <c r="S24" s="78">
        <v>107</v>
      </c>
      <c r="T24" s="101">
        <f t="shared" si="1"/>
        <v>33</v>
      </c>
      <c r="U24" s="78">
        <v>388</v>
      </c>
      <c r="V24" s="16">
        <f t="shared" si="2"/>
        <v>3201</v>
      </c>
      <c r="W24" s="78">
        <v>2</v>
      </c>
      <c r="X24" s="78" t="s">
        <v>35</v>
      </c>
      <c r="Y24" s="78" t="s">
        <v>43</v>
      </c>
      <c r="Z24" s="78" t="s">
        <v>55</v>
      </c>
      <c r="AA24" s="78" t="s">
        <v>72</v>
      </c>
      <c r="AB24" s="78" t="s">
        <v>178</v>
      </c>
      <c r="AP24" s="27" t="s">
        <v>261</v>
      </c>
    </row>
    <row r="25" spans="1:48" x14ac:dyDescent="0.15">
      <c r="A25" s="78" t="s">
        <v>30</v>
      </c>
      <c r="B25" s="78" t="s">
        <v>174</v>
      </c>
      <c r="C25" s="78">
        <v>2020</v>
      </c>
      <c r="D25" s="99" t="s">
        <v>181</v>
      </c>
      <c r="E25" s="78" t="s">
        <v>217</v>
      </c>
      <c r="F25" s="78" t="s">
        <v>215</v>
      </c>
      <c r="G25" s="78" t="s">
        <v>25</v>
      </c>
      <c r="H25" s="78" t="s">
        <v>167</v>
      </c>
      <c r="I25" s="78" t="s">
        <v>111</v>
      </c>
      <c r="J25" s="78" t="s">
        <v>27</v>
      </c>
      <c r="K25" s="78" t="s">
        <v>112</v>
      </c>
      <c r="L25" s="78">
        <v>3</v>
      </c>
      <c r="N25" s="78">
        <v>4</v>
      </c>
      <c r="O25" s="78">
        <v>0.8</v>
      </c>
      <c r="P25" s="78">
        <v>0.7</v>
      </c>
      <c r="Q25" s="118">
        <f t="shared" si="0"/>
        <v>0.75</v>
      </c>
      <c r="R25" s="78">
        <v>12.8</v>
      </c>
      <c r="S25" s="78">
        <v>109</v>
      </c>
      <c r="T25" s="101">
        <f t="shared" si="1"/>
        <v>33</v>
      </c>
      <c r="U25" s="78">
        <v>388</v>
      </c>
      <c r="V25" s="16">
        <f t="shared" si="2"/>
        <v>3201</v>
      </c>
      <c r="W25" s="78">
        <v>2</v>
      </c>
      <c r="X25" s="78" t="s">
        <v>35</v>
      </c>
      <c r="Y25" s="78" t="s">
        <v>43</v>
      </c>
      <c r="Z25" s="78" t="s">
        <v>55</v>
      </c>
      <c r="AA25" s="78" t="s">
        <v>72</v>
      </c>
      <c r="AB25" s="78" t="s">
        <v>178</v>
      </c>
      <c r="AP25" s="78" t="s">
        <v>262</v>
      </c>
    </row>
    <row r="26" spans="1:48" x14ac:dyDescent="0.15">
      <c r="A26" s="78" t="s">
        <v>30</v>
      </c>
      <c r="B26" s="78" t="s">
        <v>174</v>
      </c>
      <c r="C26" s="78">
        <v>2020</v>
      </c>
      <c r="D26" s="99" t="s">
        <v>181</v>
      </c>
      <c r="E26" s="78" t="s">
        <v>217</v>
      </c>
      <c r="F26" s="78" t="s">
        <v>215</v>
      </c>
      <c r="G26" s="78" t="s">
        <v>25</v>
      </c>
      <c r="H26" s="78" t="s">
        <v>167</v>
      </c>
      <c r="I26" s="78" t="s">
        <v>111</v>
      </c>
      <c r="J26" s="78" t="s">
        <v>27</v>
      </c>
      <c r="K26" s="78" t="s">
        <v>112</v>
      </c>
      <c r="L26" s="78">
        <v>1</v>
      </c>
      <c r="N26" s="78">
        <v>6</v>
      </c>
      <c r="O26" s="78">
        <v>0.65</v>
      </c>
      <c r="P26" s="78">
        <v>0.75</v>
      </c>
      <c r="Q26" s="118">
        <f t="shared" si="0"/>
        <v>0.7</v>
      </c>
      <c r="R26" s="78">
        <v>15.2</v>
      </c>
      <c r="S26" s="78">
        <v>100</v>
      </c>
      <c r="T26" s="101">
        <f t="shared" si="1"/>
        <v>33</v>
      </c>
      <c r="U26" s="78">
        <v>580</v>
      </c>
      <c r="V26" s="101">
        <f t="shared" si="2"/>
        <v>3190</v>
      </c>
      <c r="W26" s="78">
        <v>2</v>
      </c>
      <c r="X26" s="78" t="s">
        <v>35</v>
      </c>
      <c r="Y26" s="78" t="s">
        <v>43</v>
      </c>
      <c r="Z26" s="78" t="s">
        <v>55</v>
      </c>
      <c r="AA26" s="78" t="s">
        <v>72</v>
      </c>
      <c r="AB26" s="78" t="s">
        <v>178</v>
      </c>
    </row>
    <row r="27" spans="1:48" x14ac:dyDescent="0.15">
      <c r="A27" s="78" t="s">
        <v>30</v>
      </c>
      <c r="B27" s="78" t="s">
        <v>174</v>
      </c>
      <c r="C27" s="78">
        <v>2020</v>
      </c>
      <c r="D27" s="99" t="s">
        <v>181</v>
      </c>
      <c r="E27" s="78" t="s">
        <v>217</v>
      </c>
      <c r="F27" s="78" t="s">
        <v>215</v>
      </c>
      <c r="G27" s="78" t="s">
        <v>25</v>
      </c>
      <c r="H27" s="78" t="s">
        <v>167</v>
      </c>
      <c r="I27" s="78" t="s">
        <v>111</v>
      </c>
      <c r="J27" s="78" t="s">
        <v>27</v>
      </c>
      <c r="K27" s="78" t="s">
        <v>112</v>
      </c>
      <c r="L27" s="78">
        <v>2</v>
      </c>
      <c r="N27" s="78">
        <v>6</v>
      </c>
      <c r="O27" s="78">
        <v>0.4</v>
      </c>
      <c r="P27" s="78">
        <v>0.35</v>
      </c>
      <c r="Q27" s="118">
        <f t="shared" si="0"/>
        <v>0.375</v>
      </c>
      <c r="R27" s="78">
        <v>15.7</v>
      </c>
      <c r="S27" s="78">
        <v>99</v>
      </c>
      <c r="T27" s="101">
        <f t="shared" si="1"/>
        <v>33</v>
      </c>
      <c r="U27" s="78">
        <v>580</v>
      </c>
      <c r="V27" s="101">
        <f t="shared" si="2"/>
        <v>3190</v>
      </c>
      <c r="W27" s="78">
        <v>2</v>
      </c>
      <c r="X27" s="78" t="s">
        <v>35</v>
      </c>
      <c r="Y27" s="78" t="s">
        <v>43</v>
      </c>
      <c r="Z27" s="78" t="s">
        <v>55</v>
      </c>
      <c r="AA27" s="78" t="s">
        <v>72</v>
      </c>
      <c r="AB27" s="78" t="s">
        <v>178</v>
      </c>
    </row>
    <row r="28" spans="1:48" x14ac:dyDescent="0.15">
      <c r="A28" s="78" t="s">
        <v>30</v>
      </c>
      <c r="B28" s="78" t="s">
        <v>174</v>
      </c>
      <c r="C28" s="78">
        <v>2020</v>
      </c>
      <c r="D28" s="99" t="s">
        <v>181</v>
      </c>
      <c r="E28" s="78" t="s">
        <v>217</v>
      </c>
      <c r="F28" s="78" t="s">
        <v>215</v>
      </c>
      <c r="G28" s="78" t="s">
        <v>25</v>
      </c>
      <c r="H28" s="78" t="s">
        <v>167</v>
      </c>
      <c r="I28" s="78" t="s">
        <v>111</v>
      </c>
      <c r="J28" s="78" t="s">
        <v>27</v>
      </c>
      <c r="K28" s="78" t="s">
        <v>112</v>
      </c>
      <c r="L28" s="78">
        <v>3</v>
      </c>
      <c r="N28" s="78">
        <v>6</v>
      </c>
      <c r="O28" s="78">
        <v>0.35</v>
      </c>
      <c r="P28" s="78">
        <v>0.4</v>
      </c>
      <c r="Q28" s="118">
        <f t="shared" si="0"/>
        <v>0.375</v>
      </c>
      <c r="R28" s="78">
        <v>13.8</v>
      </c>
      <c r="S28" s="78">
        <v>98</v>
      </c>
      <c r="T28" s="101">
        <f t="shared" si="1"/>
        <v>36</v>
      </c>
      <c r="U28" s="78">
        <v>580</v>
      </c>
      <c r="V28" s="101">
        <f t="shared" si="2"/>
        <v>3480</v>
      </c>
      <c r="W28" s="78">
        <v>2</v>
      </c>
      <c r="X28" s="78" t="s">
        <v>35</v>
      </c>
      <c r="Y28" s="78" t="s">
        <v>43</v>
      </c>
      <c r="Z28" s="78" t="s">
        <v>55</v>
      </c>
      <c r="AA28" s="78" t="s">
        <v>72</v>
      </c>
      <c r="AB28" s="78" t="s">
        <v>178</v>
      </c>
    </row>
    <row r="29" spans="1:48" x14ac:dyDescent="0.15">
      <c r="A29" s="78" t="s">
        <v>30</v>
      </c>
      <c r="B29" s="78" t="s">
        <v>174</v>
      </c>
      <c r="C29" s="78">
        <v>2020</v>
      </c>
      <c r="D29" s="99" t="s">
        <v>181</v>
      </c>
      <c r="E29" s="78" t="s">
        <v>217</v>
      </c>
      <c r="F29" s="78" t="s">
        <v>215</v>
      </c>
      <c r="G29" s="78" t="s">
        <v>25</v>
      </c>
      <c r="H29" s="78" t="s">
        <v>167</v>
      </c>
      <c r="I29" s="78" t="s">
        <v>166</v>
      </c>
      <c r="J29" s="78" t="s">
        <v>27</v>
      </c>
      <c r="K29" s="78" t="s">
        <v>112</v>
      </c>
      <c r="L29" s="78">
        <v>1</v>
      </c>
      <c r="N29" s="78">
        <v>2</v>
      </c>
      <c r="O29" s="78">
        <v>0.65</v>
      </c>
      <c r="P29" s="78">
        <v>0.55000000000000004</v>
      </c>
      <c r="Q29" s="118">
        <f t="shared" si="0"/>
        <v>0.60000000000000009</v>
      </c>
      <c r="R29" s="78">
        <v>14.2</v>
      </c>
      <c r="S29" s="78">
        <v>124</v>
      </c>
      <c r="T29" s="101">
        <f t="shared" si="1"/>
        <v>27</v>
      </c>
      <c r="U29" s="78">
        <v>298</v>
      </c>
      <c r="V29" s="101">
        <f t="shared" si="2"/>
        <v>4023</v>
      </c>
      <c r="W29" s="78">
        <v>2</v>
      </c>
      <c r="X29" s="78" t="s">
        <v>35</v>
      </c>
      <c r="Y29" s="78" t="s">
        <v>43</v>
      </c>
      <c r="Z29" s="78" t="s">
        <v>55</v>
      </c>
      <c r="AA29" s="78" t="s">
        <v>72</v>
      </c>
      <c r="AB29" s="78" t="s">
        <v>178</v>
      </c>
    </row>
    <row r="30" spans="1:48" x14ac:dyDescent="0.15">
      <c r="A30" s="78" t="s">
        <v>30</v>
      </c>
      <c r="B30" s="78" t="s">
        <v>174</v>
      </c>
      <c r="C30" s="78">
        <v>2020</v>
      </c>
      <c r="D30" s="99" t="s">
        <v>181</v>
      </c>
      <c r="E30" s="78" t="s">
        <v>217</v>
      </c>
      <c r="F30" s="78" t="s">
        <v>215</v>
      </c>
      <c r="G30" s="78" t="s">
        <v>25</v>
      </c>
      <c r="H30" s="78" t="s">
        <v>167</v>
      </c>
      <c r="I30" s="78" t="s">
        <v>166</v>
      </c>
      <c r="J30" s="78" t="s">
        <v>27</v>
      </c>
      <c r="K30" s="78" t="s">
        <v>112</v>
      </c>
      <c r="L30" s="78">
        <v>2</v>
      </c>
      <c r="N30" s="78">
        <v>2</v>
      </c>
      <c r="O30" s="78">
        <v>0.7</v>
      </c>
      <c r="P30" s="78">
        <v>0.65</v>
      </c>
      <c r="Q30" s="118">
        <f t="shared" si="0"/>
        <v>0.67500000000000004</v>
      </c>
      <c r="R30" s="78">
        <v>14.3</v>
      </c>
      <c r="S30" s="78">
        <v>122</v>
      </c>
      <c r="T30" s="101">
        <f t="shared" si="1"/>
        <v>27</v>
      </c>
      <c r="U30" s="78">
        <v>298</v>
      </c>
      <c r="V30" s="101">
        <f t="shared" si="2"/>
        <v>4023</v>
      </c>
      <c r="W30" s="78">
        <v>2</v>
      </c>
      <c r="X30" s="78" t="s">
        <v>35</v>
      </c>
      <c r="Y30" s="78" t="s">
        <v>43</v>
      </c>
      <c r="Z30" s="78" t="s">
        <v>55</v>
      </c>
      <c r="AA30" s="78" t="s">
        <v>72</v>
      </c>
      <c r="AB30" s="78" t="s">
        <v>178</v>
      </c>
    </row>
    <row r="31" spans="1:48" x14ac:dyDescent="0.15">
      <c r="A31" s="78" t="s">
        <v>30</v>
      </c>
      <c r="B31" s="78" t="s">
        <v>174</v>
      </c>
      <c r="C31" s="78">
        <v>2020</v>
      </c>
      <c r="D31" s="99" t="s">
        <v>181</v>
      </c>
      <c r="E31" s="78" t="s">
        <v>217</v>
      </c>
      <c r="F31" s="78" t="s">
        <v>215</v>
      </c>
      <c r="G31" s="78" t="s">
        <v>25</v>
      </c>
      <c r="H31" s="78" t="s">
        <v>167</v>
      </c>
      <c r="I31" s="78" t="s">
        <v>166</v>
      </c>
      <c r="J31" s="78" t="s">
        <v>27</v>
      </c>
      <c r="K31" s="78" t="s">
        <v>112</v>
      </c>
      <c r="L31" s="78">
        <v>3</v>
      </c>
      <c r="N31" s="78">
        <v>2</v>
      </c>
      <c r="O31" s="78">
        <v>0.4</v>
      </c>
      <c r="P31" s="78">
        <v>0.6</v>
      </c>
      <c r="Q31" s="118">
        <f t="shared" si="0"/>
        <v>0.5</v>
      </c>
      <c r="R31" s="78">
        <v>13.2</v>
      </c>
      <c r="S31" s="78">
        <v>122</v>
      </c>
      <c r="T31" s="101">
        <f t="shared" si="1"/>
        <v>27</v>
      </c>
      <c r="U31" s="78">
        <v>298</v>
      </c>
      <c r="V31" s="101">
        <f t="shared" si="2"/>
        <v>4023</v>
      </c>
      <c r="W31" s="78">
        <v>2</v>
      </c>
      <c r="X31" s="78" t="s">
        <v>35</v>
      </c>
      <c r="Y31" s="78" t="s">
        <v>43</v>
      </c>
      <c r="Z31" s="78" t="s">
        <v>55</v>
      </c>
      <c r="AA31" s="78" t="s">
        <v>72</v>
      </c>
      <c r="AB31" s="78" t="s">
        <v>178</v>
      </c>
    </row>
    <row r="32" spans="1:48" x14ac:dyDescent="0.15">
      <c r="A32" s="78" t="s">
        <v>30</v>
      </c>
      <c r="B32" s="78" t="s">
        <v>174</v>
      </c>
      <c r="C32" s="78">
        <v>2020</v>
      </c>
      <c r="D32" s="99" t="s">
        <v>181</v>
      </c>
      <c r="E32" s="78" t="s">
        <v>217</v>
      </c>
      <c r="F32" s="78" t="s">
        <v>215</v>
      </c>
      <c r="G32" s="78" t="s">
        <v>25</v>
      </c>
      <c r="H32" s="78" t="s">
        <v>113</v>
      </c>
      <c r="I32" s="78" t="s">
        <v>111</v>
      </c>
      <c r="J32" s="78" t="s">
        <v>27</v>
      </c>
      <c r="K32" s="78" t="s">
        <v>112</v>
      </c>
      <c r="L32" s="78">
        <v>1</v>
      </c>
      <c r="N32" s="78">
        <v>1</v>
      </c>
      <c r="O32" s="78">
        <v>1</v>
      </c>
      <c r="P32" s="78">
        <v>0.8</v>
      </c>
      <c r="Q32" s="118">
        <f t="shared" si="0"/>
        <v>0.9</v>
      </c>
      <c r="R32" s="78">
        <v>12.5</v>
      </c>
      <c r="S32" s="78">
        <v>126</v>
      </c>
      <c r="T32" s="101">
        <f t="shared" si="1"/>
        <v>27</v>
      </c>
      <c r="U32" s="78">
        <v>138</v>
      </c>
      <c r="V32" s="101">
        <f t="shared" si="2"/>
        <v>3726</v>
      </c>
      <c r="W32" s="78">
        <v>3</v>
      </c>
      <c r="X32" s="78" t="s">
        <v>35</v>
      </c>
      <c r="Y32" s="78" t="s">
        <v>43</v>
      </c>
      <c r="Z32" s="78" t="s">
        <v>55</v>
      </c>
      <c r="AA32" s="78" t="s">
        <v>72</v>
      </c>
      <c r="AB32" s="78" t="s">
        <v>178</v>
      </c>
    </row>
    <row r="33" spans="1:28" x14ac:dyDescent="0.15">
      <c r="A33" s="78" t="s">
        <v>30</v>
      </c>
      <c r="B33" s="78" t="s">
        <v>174</v>
      </c>
      <c r="C33" s="78">
        <v>2020</v>
      </c>
      <c r="D33" s="99" t="s">
        <v>181</v>
      </c>
      <c r="E33" s="78" t="s">
        <v>217</v>
      </c>
      <c r="F33" s="78" t="s">
        <v>215</v>
      </c>
      <c r="G33" s="78" t="s">
        <v>25</v>
      </c>
      <c r="H33" s="78" t="s">
        <v>113</v>
      </c>
      <c r="I33" s="78" t="s">
        <v>111</v>
      </c>
      <c r="J33" s="78" t="s">
        <v>27</v>
      </c>
      <c r="K33" s="78" t="s">
        <v>112</v>
      </c>
      <c r="L33" s="78">
        <v>2</v>
      </c>
      <c r="N33" s="78">
        <v>1</v>
      </c>
      <c r="O33" s="78">
        <v>0.8</v>
      </c>
      <c r="P33" s="78">
        <v>0.85</v>
      </c>
      <c r="Q33" s="118">
        <f t="shared" si="0"/>
        <v>0.82499999999999996</v>
      </c>
      <c r="R33" s="78">
        <v>13.2</v>
      </c>
      <c r="S33" s="78">
        <v>124</v>
      </c>
      <c r="T33" s="101">
        <f t="shared" si="1"/>
        <v>27</v>
      </c>
      <c r="U33" s="78">
        <v>138</v>
      </c>
      <c r="V33" s="101">
        <f t="shared" si="2"/>
        <v>3726</v>
      </c>
      <c r="W33" s="78">
        <v>3</v>
      </c>
      <c r="X33" s="78" t="s">
        <v>35</v>
      </c>
      <c r="Y33" s="78" t="s">
        <v>43</v>
      </c>
      <c r="Z33" s="78" t="s">
        <v>55</v>
      </c>
      <c r="AA33" s="78" t="s">
        <v>72</v>
      </c>
      <c r="AB33" s="78" t="s">
        <v>178</v>
      </c>
    </row>
    <row r="34" spans="1:28" x14ac:dyDescent="0.15">
      <c r="A34" s="78" t="s">
        <v>30</v>
      </c>
      <c r="B34" s="78" t="s">
        <v>174</v>
      </c>
      <c r="C34" s="78">
        <v>2020</v>
      </c>
      <c r="D34" s="99" t="s">
        <v>181</v>
      </c>
      <c r="E34" s="78" t="s">
        <v>217</v>
      </c>
      <c r="F34" s="78" t="s">
        <v>215</v>
      </c>
      <c r="G34" s="78" t="s">
        <v>25</v>
      </c>
      <c r="H34" s="78" t="s">
        <v>113</v>
      </c>
      <c r="I34" s="78" t="s">
        <v>111</v>
      </c>
      <c r="J34" s="78" t="s">
        <v>27</v>
      </c>
      <c r="K34" s="78" t="s">
        <v>112</v>
      </c>
      <c r="L34" s="78">
        <v>3</v>
      </c>
      <c r="N34" s="78">
        <v>1</v>
      </c>
      <c r="O34" s="78">
        <v>0.9</v>
      </c>
      <c r="P34" s="78">
        <v>0.95</v>
      </c>
      <c r="Q34" s="118">
        <f t="shared" si="0"/>
        <v>0.92500000000000004</v>
      </c>
      <c r="R34" s="78">
        <v>14</v>
      </c>
      <c r="S34" s="78">
        <v>122</v>
      </c>
      <c r="T34" s="101">
        <f t="shared" si="1"/>
        <v>27</v>
      </c>
      <c r="U34" s="78">
        <v>138</v>
      </c>
      <c r="V34" s="101">
        <f t="shared" si="2"/>
        <v>3726</v>
      </c>
      <c r="W34" s="78">
        <v>3</v>
      </c>
      <c r="X34" s="78" t="s">
        <v>35</v>
      </c>
      <c r="Y34" s="78" t="s">
        <v>43</v>
      </c>
      <c r="Z34" s="78" t="s">
        <v>55</v>
      </c>
      <c r="AA34" s="78" t="s">
        <v>72</v>
      </c>
      <c r="AB34" s="78" t="s">
        <v>178</v>
      </c>
    </row>
    <row r="35" spans="1:28" x14ac:dyDescent="0.15">
      <c r="A35" s="78" t="s">
        <v>30</v>
      </c>
      <c r="B35" s="78" t="s">
        <v>174</v>
      </c>
      <c r="C35" s="78">
        <v>2020</v>
      </c>
      <c r="D35" s="99" t="s">
        <v>181</v>
      </c>
      <c r="E35" s="78" t="s">
        <v>217</v>
      </c>
      <c r="F35" s="78" t="s">
        <v>215</v>
      </c>
      <c r="G35" s="78" t="s">
        <v>25</v>
      </c>
      <c r="H35" s="78" t="s">
        <v>113</v>
      </c>
      <c r="I35" s="78" t="s">
        <v>111</v>
      </c>
      <c r="J35" s="78" t="s">
        <v>27</v>
      </c>
      <c r="K35" s="78" t="s">
        <v>112</v>
      </c>
      <c r="L35" s="78">
        <v>1</v>
      </c>
      <c r="N35" s="78">
        <v>4</v>
      </c>
      <c r="O35" s="78">
        <v>0.85</v>
      </c>
      <c r="P35" s="78">
        <v>0.9</v>
      </c>
      <c r="Q35" s="118">
        <f t="shared" si="0"/>
        <v>0.875</v>
      </c>
      <c r="R35" s="78">
        <v>12.2</v>
      </c>
      <c r="S35" s="78">
        <v>110</v>
      </c>
      <c r="T35" s="101">
        <f t="shared" si="1"/>
        <v>33</v>
      </c>
      <c r="U35" s="78">
        <v>388</v>
      </c>
      <c r="V35" s="101">
        <f t="shared" si="2"/>
        <v>3201</v>
      </c>
      <c r="W35" s="78">
        <v>2</v>
      </c>
      <c r="X35" s="78" t="s">
        <v>35</v>
      </c>
      <c r="Y35" s="78" t="s">
        <v>43</v>
      </c>
      <c r="Z35" s="78" t="s">
        <v>55</v>
      </c>
      <c r="AA35" s="78" t="s">
        <v>72</v>
      </c>
      <c r="AB35" s="78" t="s">
        <v>178</v>
      </c>
    </row>
    <row r="36" spans="1:28" x14ac:dyDescent="0.15">
      <c r="A36" s="78" t="s">
        <v>30</v>
      </c>
      <c r="B36" s="78" t="s">
        <v>174</v>
      </c>
      <c r="C36" s="78">
        <v>2020</v>
      </c>
      <c r="D36" s="99" t="s">
        <v>181</v>
      </c>
      <c r="E36" s="78" t="s">
        <v>217</v>
      </c>
      <c r="F36" s="78" t="s">
        <v>215</v>
      </c>
      <c r="G36" s="78" t="s">
        <v>25</v>
      </c>
      <c r="H36" s="78" t="s">
        <v>113</v>
      </c>
      <c r="I36" s="78" t="s">
        <v>111</v>
      </c>
      <c r="J36" s="78" t="s">
        <v>27</v>
      </c>
      <c r="K36" s="78" t="s">
        <v>112</v>
      </c>
      <c r="L36" s="78">
        <v>2</v>
      </c>
      <c r="N36" s="78">
        <v>4</v>
      </c>
      <c r="O36" s="78">
        <v>1</v>
      </c>
      <c r="P36" s="78">
        <v>1.1000000000000001</v>
      </c>
      <c r="Q36" s="118">
        <f t="shared" si="0"/>
        <v>1.05</v>
      </c>
      <c r="R36" s="78">
        <v>12.8</v>
      </c>
      <c r="S36" s="78">
        <v>108</v>
      </c>
      <c r="T36" s="101">
        <f t="shared" si="1"/>
        <v>33</v>
      </c>
      <c r="U36" s="78">
        <v>388</v>
      </c>
      <c r="V36" s="101">
        <f t="shared" si="2"/>
        <v>3201</v>
      </c>
      <c r="W36" s="78">
        <v>2</v>
      </c>
      <c r="X36" s="78" t="s">
        <v>35</v>
      </c>
      <c r="Y36" s="78" t="s">
        <v>43</v>
      </c>
      <c r="Z36" s="78" t="s">
        <v>55</v>
      </c>
      <c r="AA36" s="78" t="s">
        <v>72</v>
      </c>
      <c r="AB36" s="78" t="s">
        <v>178</v>
      </c>
    </row>
    <row r="37" spans="1:28" x14ac:dyDescent="0.15">
      <c r="A37" s="78" t="s">
        <v>30</v>
      </c>
      <c r="B37" s="78" t="s">
        <v>174</v>
      </c>
      <c r="C37" s="78">
        <v>2020</v>
      </c>
      <c r="D37" s="99" t="s">
        <v>181</v>
      </c>
      <c r="E37" s="78" t="s">
        <v>217</v>
      </c>
      <c r="F37" s="78" t="s">
        <v>215</v>
      </c>
      <c r="G37" s="78" t="s">
        <v>25</v>
      </c>
      <c r="H37" s="78" t="s">
        <v>113</v>
      </c>
      <c r="I37" s="78" t="s">
        <v>111</v>
      </c>
      <c r="J37" s="78" t="s">
        <v>27</v>
      </c>
      <c r="K37" s="78" t="s">
        <v>112</v>
      </c>
      <c r="L37" s="78">
        <v>3</v>
      </c>
      <c r="N37" s="78">
        <v>4</v>
      </c>
      <c r="O37" s="78">
        <v>0.95</v>
      </c>
      <c r="P37" s="78">
        <v>1</v>
      </c>
      <c r="Q37" s="118">
        <f t="shared" si="0"/>
        <v>0.97499999999999998</v>
      </c>
      <c r="R37" s="78">
        <v>13.4</v>
      </c>
      <c r="S37" s="78">
        <v>106</v>
      </c>
      <c r="T37" s="101">
        <f t="shared" si="1"/>
        <v>33</v>
      </c>
      <c r="U37" s="78">
        <v>388</v>
      </c>
      <c r="V37" s="101">
        <f t="shared" si="2"/>
        <v>3201</v>
      </c>
      <c r="W37" s="78">
        <v>2</v>
      </c>
      <c r="X37" s="78" t="s">
        <v>35</v>
      </c>
      <c r="Y37" s="78" t="s">
        <v>43</v>
      </c>
      <c r="Z37" s="78" t="s">
        <v>55</v>
      </c>
      <c r="AA37" s="78" t="s">
        <v>72</v>
      </c>
      <c r="AB37" s="78" t="s">
        <v>178</v>
      </c>
    </row>
    <row r="38" spans="1:28" x14ac:dyDescent="0.15">
      <c r="A38" s="78" t="s">
        <v>30</v>
      </c>
      <c r="B38" s="78" t="s">
        <v>174</v>
      </c>
      <c r="C38" s="78">
        <v>2020</v>
      </c>
      <c r="D38" s="99" t="s">
        <v>181</v>
      </c>
      <c r="E38" s="78" t="s">
        <v>217</v>
      </c>
      <c r="F38" s="78" t="s">
        <v>215</v>
      </c>
      <c r="G38" s="78" t="s">
        <v>25</v>
      </c>
      <c r="H38" s="78" t="s">
        <v>113</v>
      </c>
      <c r="I38" s="78" t="s">
        <v>111</v>
      </c>
      <c r="J38" s="78" t="s">
        <v>27</v>
      </c>
      <c r="K38" s="78" t="s">
        <v>112</v>
      </c>
      <c r="L38" s="78">
        <v>1</v>
      </c>
      <c r="N38" s="78">
        <v>7</v>
      </c>
      <c r="O38" s="78">
        <v>0.45</v>
      </c>
      <c r="P38" s="78">
        <v>0.5</v>
      </c>
      <c r="Q38" s="118">
        <f t="shared" si="0"/>
        <v>0.47499999999999998</v>
      </c>
      <c r="R38" s="78">
        <v>13.2</v>
      </c>
      <c r="S38" s="78">
        <v>92</v>
      </c>
      <c r="T38" s="101">
        <f t="shared" si="1"/>
        <v>36</v>
      </c>
      <c r="U38" s="78">
        <v>580</v>
      </c>
      <c r="V38" s="101">
        <f t="shared" si="2"/>
        <v>2982.8571428571431</v>
      </c>
      <c r="W38" s="78">
        <v>2</v>
      </c>
      <c r="X38" s="78" t="s">
        <v>35</v>
      </c>
      <c r="Y38" s="78" t="s">
        <v>43</v>
      </c>
      <c r="Z38" s="78" t="s">
        <v>55</v>
      </c>
      <c r="AA38" s="78" t="s">
        <v>72</v>
      </c>
      <c r="AB38" s="78" t="s">
        <v>178</v>
      </c>
    </row>
    <row r="39" spans="1:28" x14ac:dyDescent="0.15">
      <c r="A39" s="78" t="s">
        <v>30</v>
      </c>
      <c r="B39" s="78" t="s">
        <v>174</v>
      </c>
      <c r="C39" s="78">
        <v>2020</v>
      </c>
      <c r="D39" s="99" t="s">
        <v>181</v>
      </c>
      <c r="E39" s="78" t="s">
        <v>217</v>
      </c>
      <c r="F39" s="78" t="s">
        <v>215</v>
      </c>
      <c r="G39" s="78" t="s">
        <v>25</v>
      </c>
      <c r="H39" s="78" t="s">
        <v>113</v>
      </c>
      <c r="I39" s="78" t="s">
        <v>111</v>
      </c>
      <c r="J39" s="78" t="s">
        <v>27</v>
      </c>
      <c r="K39" s="78" t="s">
        <v>112</v>
      </c>
      <c r="L39" s="78">
        <v>2</v>
      </c>
      <c r="N39" s="78">
        <v>7</v>
      </c>
      <c r="O39" s="78">
        <v>0.5</v>
      </c>
      <c r="P39" s="78">
        <v>0.45</v>
      </c>
      <c r="Q39" s="118">
        <f t="shared" si="0"/>
        <v>0.47499999999999998</v>
      </c>
      <c r="R39" s="78">
        <v>13.4</v>
      </c>
      <c r="S39" s="78">
        <v>94</v>
      </c>
      <c r="T39" s="101">
        <f t="shared" si="1"/>
        <v>36</v>
      </c>
      <c r="U39" s="78">
        <v>580</v>
      </c>
      <c r="V39" s="16">
        <f t="shared" si="2"/>
        <v>2982.8571428571431</v>
      </c>
      <c r="W39" s="78">
        <v>2</v>
      </c>
      <c r="X39" s="78" t="s">
        <v>35</v>
      </c>
      <c r="Y39" s="78" t="s">
        <v>43</v>
      </c>
      <c r="Z39" s="78" t="s">
        <v>55</v>
      </c>
      <c r="AA39" s="78" t="s">
        <v>72</v>
      </c>
      <c r="AB39" s="78" t="s">
        <v>178</v>
      </c>
    </row>
    <row r="40" spans="1:28" x14ac:dyDescent="0.15">
      <c r="A40" s="78" t="s">
        <v>30</v>
      </c>
      <c r="B40" s="78" t="s">
        <v>174</v>
      </c>
      <c r="C40" s="78">
        <v>2020</v>
      </c>
      <c r="D40" s="99" t="s">
        <v>181</v>
      </c>
      <c r="E40" s="78" t="s">
        <v>217</v>
      </c>
      <c r="F40" s="78" t="s">
        <v>215</v>
      </c>
      <c r="G40" s="78" t="s">
        <v>25</v>
      </c>
      <c r="H40" s="78" t="s">
        <v>113</v>
      </c>
      <c r="I40" s="78" t="s">
        <v>111</v>
      </c>
      <c r="J40" s="78" t="s">
        <v>27</v>
      </c>
      <c r="K40" s="78" t="s">
        <v>112</v>
      </c>
      <c r="L40" s="78">
        <v>3</v>
      </c>
      <c r="N40" s="78">
        <v>7</v>
      </c>
      <c r="O40" s="78">
        <v>0.35</v>
      </c>
      <c r="P40" s="78">
        <v>0.4</v>
      </c>
      <c r="Q40" s="118">
        <f t="shared" si="0"/>
        <v>0.375</v>
      </c>
      <c r="R40" s="78">
        <v>12.7</v>
      </c>
      <c r="S40" s="78">
        <v>95</v>
      </c>
      <c r="T40" s="101">
        <f t="shared" si="1"/>
        <v>36</v>
      </c>
      <c r="U40" s="78">
        <v>580</v>
      </c>
      <c r="V40" s="16">
        <f t="shared" si="2"/>
        <v>2982.8571428571431</v>
      </c>
      <c r="W40" s="78">
        <v>2</v>
      </c>
      <c r="X40" s="78" t="s">
        <v>35</v>
      </c>
      <c r="Y40" s="78" t="s">
        <v>43</v>
      </c>
      <c r="Z40" s="78" t="s">
        <v>55</v>
      </c>
      <c r="AA40" s="78" t="s">
        <v>72</v>
      </c>
      <c r="AB40" s="78" t="s">
        <v>178</v>
      </c>
    </row>
    <row r="41" spans="1:28" x14ac:dyDescent="0.15">
      <c r="A41" s="78" t="s">
        <v>30</v>
      </c>
      <c r="B41" s="78" t="s">
        <v>174</v>
      </c>
      <c r="C41" s="78">
        <v>2020</v>
      </c>
      <c r="D41" s="99" t="s">
        <v>181</v>
      </c>
      <c r="E41" s="78" t="s">
        <v>217</v>
      </c>
      <c r="F41" s="78" t="s">
        <v>219</v>
      </c>
      <c r="G41" s="78" t="s">
        <v>25</v>
      </c>
      <c r="H41" s="78" t="s">
        <v>167</v>
      </c>
      <c r="I41" s="78" t="s">
        <v>111</v>
      </c>
      <c r="J41" s="78" t="s">
        <v>27</v>
      </c>
      <c r="K41" s="78" t="s">
        <v>112</v>
      </c>
      <c r="L41" s="78">
        <v>1</v>
      </c>
      <c r="N41" s="78">
        <v>1</v>
      </c>
      <c r="O41" s="78">
        <v>0.7</v>
      </c>
      <c r="P41" s="78">
        <v>0.85</v>
      </c>
      <c r="Q41" s="118">
        <f t="shared" si="0"/>
        <v>0.77499999999999991</v>
      </c>
      <c r="R41" s="78">
        <v>14.2</v>
      </c>
      <c r="S41" s="78">
        <v>117</v>
      </c>
      <c r="T41" s="16">
        <f t="shared" si="1"/>
        <v>30</v>
      </c>
      <c r="U41" s="78">
        <v>98</v>
      </c>
      <c r="V41" s="16">
        <f t="shared" si="2"/>
        <v>2940</v>
      </c>
      <c r="W41" s="78">
        <v>2</v>
      </c>
      <c r="X41" s="78" t="s">
        <v>35</v>
      </c>
      <c r="Y41" s="78" t="s">
        <v>55</v>
      </c>
      <c r="Z41" s="78" t="s">
        <v>72</v>
      </c>
      <c r="AA41" s="78" t="s">
        <v>43</v>
      </c>
      <c r="AB41" s="78" t="s">
        <v>178</v>
      </c>
    </row>
    <row r="42" spans="1:28" x14ac:dyDescent="0.15">
      <c r="A42" s="78" t="s">
        <v>30</v>
      </c>
      <c r="B42" s="78" t="s">
        <v>174</v>
      </c>
      <c r="C42" s="78">
        <v>2020</v>
      </c>
      <c r="D42" s="99" t="s">
        <v>181</v>
      </c>
      <c r="E42" s="78" t="s">
        <v>217</v>
      </c>
      <c r="F42" s="78" t="s">
        <v>219</v>
      </c>
      <c r="G42" s="78" t="s">
        <v>25</v>
      </c>
      <c r="H42" s="78" t="s">
        <v>167</v>
      </c>
      <c r="I42" s="78" t="s">
        <v>111</v>
      </c>
      <c r="J42" s="78" t="s">
        <v>27</v>
      </c>
      <c r="K42" s="78" t="s">
        <v>112</v>
      </c>
      <c r="L42" s="78">
        <v>2</v>
      </c>
      <c r="N42" s="78">
        <v>1</v>
      </c>
      <c r="O42" s="78">
        <v>0.65</v>
      </c>
      <c r="P42" s="78">
        <v>0.7</v>
      </c>
      <c r="Q42" s="118">
        <f t="shared" si="0"/>
        <v>0.67500000000000004</v>
      </c>
      <c r="R42" s="78">
        <v>14.9</v>
      </c>
      <c r="S42" s="78">
        <v>120</v>
      </c>
      <c r="T42" s="16">
        <f t="shared" si="1"/>
        <v>30</v>
      </c>
      <c r="U42" s="78">
        <v>98</v>
      </c>
      <c r="V42" s="16">
        <f t="shared" si="2"/>
        <v>2940</v>
      </c>
      <c r="W42" s="78">
        <v>2</v>
      </c>
      <c r="X42" s="78" t="s">
        <v>35</v>
      </c>
      <c r="Y42" s="78" t="s">
        <v>55</v>
      </c>
      <c r="Z42" s="78" t="s">
        <v>72</v>
      </c>
      <c r="AA42" s="78" t="s">
        <v>43</v>
      </c>
      <c r="AB42" s="78" t="s">
        <v>178</v>
      </c>
    </row>
    <row r="43" spans="1:28" x14ac:dyDescent="0.15">
      <c r="A43" s="78" t="s">
        <v>30</v>
      </c>
      <c r="B43" s="78" t="s">
        <v>174</v>
      </c>
      <c r="C43" s="78">
        <v>2020</v>
      </c>
      <c r="D43" s="99" t="s">
        <v>181</v>
      </c>
      <c r="E43" s="78" t="s">
        <v>217</v>
      </c>
      <c r="F43" s="78" t="s">
        <v>219</v>
      </c>
      <c r="G43" s="78" t="s">
        <v>25</v>
      </c>
      <c r="H43" s="78" t="s">
        <v>167</v>
      </c>
      <c r="I43" s="78" t="s">
        <v>111</v>
      </c>
      <c r="J43" s="78" t="s">
        <v>27</v>
      </c>
      <c r="K43" s="78" t="s">
        <v>112</v>
      </c>
      <c r="L43" s="78">
        <v>3</v>
      </c>
      <c r="N43" s="78">
        <v>1</v>
      </c>
      <c r="O43" s="78">
        <v>0.5</v>
      </c>
      <c r="P43" s="78">
        <v>0.45</v>
      </c>
      <c r="Q43" s="118">
        <f t="shared" si="0"/>
        <v>0.47499999999999998</v>
      </c>
      <c r="R43" s="78">
        <v>15.2</v>
      </c>
      <c r="S43" s="78">
        <v>115</v>
      </c>
      <c r="T43" s="16">
        <f t="shared" si="1"/>
        <v>30</v>
      </c>
      <c r="U43" s="78">
        <v>98</v>
      </c>
      <c r="V43" s="16">
        <f t="shared" si="2"/>
        <v>2940</v>
      </c>
      <c r="W43" s="78">
        <v>3</v>
      </c>
      <c r="X43" s="78" t="s">
        <v>35</v>
      </c>
      <c r="Y43" s="78" t="s">
        <v>55</v>
      </c>
      <c r="Z43" s="78" t="s">
        <v>72</v>
      </c>
      <c r="AA43" s="78" t="s">
        <v>43</v>
      </c>
      <c r="AB43" s="78" t="s">
        <v>178</v>
      </c>
    </row>
    <row r="44" spans="1:28" x14ac:dyDescent="0.15">
      <c r="A44" s="78" t="s">
        <v>30</v>
      </c>
      <c r="B44" s="78" t="s">
        <v>174</v>
      </c>
      <c r="C44" s="78">
        <v>2020</v>
      </c>
      <c r="D44" s="99" t="s">
        <v>181</v>
      </c>
      <c r="E44" s="78" t="s">
        <v>217</v>
      </c>
      <c r="F44" s="78" t="s">
        <v>219</v>
      </c>
      <c r="G44" s="78" t="s">
        <v>25</v>
      </c>
      <c r="H44" s="78" t="s">
        <v>167</v>
      </c>
      <c r="I44" s="78" t="s">
        <v>111</v>
      </c>
      <c r="J44" s="78" t="s">
        <v>27</v>
      </c>
      <c r="K44" s="78" t="s">
        <v>112</v>
      </c>
      <c r="L44" s="78">
        <v>1</v>
      </c>
      <c r="N44" s="78">
        <v>4</v>
      </c>
      <c r="O44" s="78">
        <v>0.45</v>
      </c>
      <c r="P44" s="78">
        <v>0.5</v>
      </c>
      <c r="Q44" s="118">
        <f t="shared" si="0"/>
        <v>0.47499999999999998</v>
      </c>
      <c r="R44" s="78">
        <v>13.2</v>
      </c>
      <c r="S44" s="78">
        <v>120</v>
      </c>
      <c r="T44" s="101">
        <f t="shared" si="1"/>
        <v>30</v>
      </c>
      <c r="U44" s="78">
        <v>498</v>
      </c>
      <c r="V44" s="101">
        <f t="shared" si="2"/>
        <v>3735</v>
      </c>
      <c r="W44" s="78">
        <v>2</v>
      </c>
      <c r="X44" s="78" t="s">
        <v>35</v>
      </c>
      <c r="Y44" s="78" t="s">
        <v>55</v>
      </c>
      <c r="Z44" s="78" t="s">
        <v>72</v>
      </c>
      <c r="AA44" s="78" t="s">
        <v>43</v>
      </c>
      <c r="AB44" s="78" t="s">
        <v>178</v>
      </c>
    </row>
    <row r="45" spans="1:28" x14ac:dyDescent="0.15">
      <c r="A45" s="78" t="s">
        <v>30</v>
      </c>
      <c r="B45" s="78" t="s">
        <v>174</v>
      </c>
      <c r="C45" s="78">
        <v>2020</v>
      </c>
      <c r="D45" s="99" t="s">
        <v>181</v>
      </c>
      <c r="E45" s="78" t="s">
        <v>217</v>
      </c>
      <c r="F45" s="78" t="s">
        <v>219</v>
      </c>
      <c r="G45" s="78" t="s">
        <v>25</v>
      </c>
      <c r="H45" s="78" t="s">
        <v>167</v>
      </c>
      <c r="I45" s="78" t="s">
        <v>111</v>
      </c>
      <c r="J45" s="78" t="s">
        <v>27</v>
      </c>
      <c r="K45" s="78" t="s">
        <v>112</v>
      </c>
      <c r="L45" s="78">
        <v>2</v>
      </c>
      <c r="N45" s="78">
        <v>4</v>
      </c>
      <c r="O45" s="78">
        <v>0.3</v>
      </c>
      <c r="P45" s="78">
        <v>0.3</v>
      </c>
      <c r="Q45" s="118">
        <f t="shared" si="0"/>
        <v>0.3</v>
      </c>
      <c r="R45" s="78">
        <v>14.1</v>
      </c>
      <c r="S45" s="78">
        <v>116</v>
      </c>
      <c r="T45" s="101">
        <f t="shared" si="1"/>
        <v>30</v>
      </c>
      <c r="U45" s="78">
        <v>498</v>
      </c>
      <c r="V45" s="101">
        <f t="shared" si="2"/>
        <v>3735</v>
      </c>
      <c r="W45" s="78">
        <v>2</v>
      </c>
      <c r="X45" s="78" t="s">
        <v>35</v>
      </c>
      <c r="Y45" s="78" t="s">
        <v>55</v>
      </c>
      <c r="Z45" s="78" t="s">
        <v>72</v>
      </c>
      <c r="AA45" s="78" t="s">
        <v>43</v>
      </c>
      <c r="AB45" s="78" t="s">
        <v>178</v>
      </c>
    </row>
    <row r="46" spans="1:28" x14ac:dyDescent="0.15">
      <c r="A46" s="78" t="s">
        <v>30</v>
      </c>
      <c r="B46" s="78" t="s">
        <v>174</v>
      </c>
      <c r="C46" s="78">
        <v>2020</v>
      </c>
      <c r="D46" s="99" t="s">
        <v>181</v>
      </c>
      <c r="E46" s="78" t="s">
        <v>217</v>
      </c>
      <c r="F46" s="78" t="s">
        <v>219</v>
      </c>
      <c r="G46" s="78" t="s">
        <v>25</v>
      </c>
      <c r="H46" s="78" t="s">
        <v>167</v>
      </c>
      <c r="I46" s="78" t="s">
        <v>111</v>
      </c>
      <c r="J46" s="78" t="s">
        <v>27</v>
      </c>
      <c r="K46" s="78" t="s">
        <v>112</v>
      </c>
      <c r="L46" s="78">
        <v>3</v>
      </c>
      <c r="N46" s="78">
        <v>4</v>
      </c>
      <c r="O46" s="78">
        <v>0.35</v>
      </c>
      <c r="P46" s="78">
        <v>0.35</v>
      </c>
      <c r="Q46" s="118">
        <f t="shared" si="0"/>
        <v>0.35</v>
      </c>
      <c r="R46" s="78">
        <v>14.7</v>
      </c>
      <c r="S46" s="78">
        <v>116</v>
      </c>
      <c r="T46" s="101">
        <f t="shared" si="1"/>
        <v>30</v>
      </c>
      <c r="U46" s="78">
        <v>498</v>
      </c>
      <c r="V46" s="101">
        <f t="shared" si="2"/>
        <v>3735</v>
      </c>
      <c r="W46" s="78">
        <v>2</v>
      </c>
      <c r="X46" s="78" t="s">
        <v>35</v>
      </c>
      <c r="Y46" s="78" t="s">
        <v>55</v>
      </c>
      <c r="Z46" s="78" t="s">
        <v>72</v>
      </c>
      <c r="AA46" s="78" t="s">
        <v>43</v>
      </c>
      <c r="AB46" s="78" t="s">
        <v>178</v>
      </c>
    </row>
    <row r="47" spans="1:28" x14ac:dyDescent="0.15">
      <c r="A47" s="78" t="s">
        <v>30</v>
      </c>
      <c r="B47" s="78" t="s">
        <v>174</v>
      </c>
      <c r="C47" s="78">
        <v>2020</v>
      </c>
      <c r="D47" s="99" t="s">
        <v>181</v>
      </c>
      <c r="E47" s="78" t="s">
        <v>217</v>
      </c>
      <c r="F47" s="78" t="s">
        <v>219</v>
      </c>
      <c r="G47" s="78" t="s">
        <v>25</v>
      </c>
      <c r="H47" s="78" t="s">
        <v>167</v>
      </c>
      <c r="I47" s="78" t="s">
        <v>111</v>
      </c>
      <c r="J47" s="78" t="s">
        <v>27</v>
      </c>
      <c r="K47" s="78" t="s">
        <v>112</v>
      </c>
      <c r="L47" s="78">
        <v>1</v>
      </c>
      <c r="N47" s="78">
        <v>6</v>
      </c>
      <c r="O47" s="78">
        <v>0.4</v>
      </c>
      <c r="P47" s="78">
        <v>0.45</v>
      </c>
      <c r="Q47" s="118">
        <f t="shared" si="0"/>
        <v>0.42500000000000004</v>
      </c>
      <c r="R47" s="78">
        <v>12.8</v>
      </c>
      <c r="S47" s="78">
        <v>100</v>
      </c>
      <c r="T47" s="101">
        <f t="shared" si="1"/>
        <v>33</v>
      </c>
      <c r="U47" s="78">
        <v>680</v>
      </c>
      <c r="V47" s="101">
        <f t="shared" si="2"/>
        <v>3740</v>
      </c>
      <c r="W47" s="78">
        <v>2</v>
      </c>
      <c r="X47" s="78" t="s">
        <v>35</v>
      </c>
      <c r="Y47" s="78" t="s">
        <v>55</v>
      </c>
      <c r="Z47" s="78" t="s">
        <v>72</v>
      </c>
      <c r="AA47" s="78" t="s">
        <v>43</v>
      </c>
      <c r="AB47" s="78" t="s">
        <v>178</v>
      </c>
    </row>
    <row r="48" spans="1:28" x14ac:dyDescent="0.15">
      <c r="A48" s="78" t="s">
        <v>30</v>
      </c>
      <c r="B48" s="78" t="s">
        <v>174</v>
      </c>
      <c r="C48" s="78">
        <v>2020</v>
      </c>
      <c r="D48" s="99" t="s">
        <v>181</v>
      </c>
      <c r="E48" s="78" t="s">
        <v>217</v>
      </c>
      <c r="F48" s="78" t="s">
        <v>219</v>
      </c>
      <c r="G48" s="78" t="s">
        <v>25</v>
      </c>
      <c r="H48" s="78" t="s">
        <v>167</v>
      </c>
      <c r="I48" s="78" t="s">
        <v>111</v>
      </c>
      <c r="J48" s="78" t="s">
        <v>27</v>
      </c>
      <c r="K48" s="78" t="s">
        <v>112</v>
      </c>
      <c r="L48" s="78">
        <v>2</v>
      </c>
      <c r="N48" s="78">
        <v>6</v>
      </c>
      <c r="O48" s="78">
        <v>0.35</v>
      </c>
      <c r="P48" s="78">
        <v>0.3</v>
      </c>
      <c r="Q48" s="118">
        <f t="shared" si="0"/>
        <v>0.32499999999999996</v>
      </c>
      <c r="R48" s="78">
        <v>13.9</v>
      </c>
      <c r="S48" s="78">
        <v>104</v>
      </c>
      <c r="T48" s="101">
        <f t="shared" si="1"/>
        <v>33</v>
      </c>
      <c r="U48" s="78">
        <v>680</v>
      </c>
      <c r="V48" s="16">
        <f t="shared" si="2"/>
        <v>3740</v>
      </c>
      <c r="W48" s="78">
        <v>2</v>
      </c>
      <c r="X48" s="78" t="s">
        <v>35</v>
      </c>
      <c r="Y48" s="78" t="s">
        <v>55</v>
      </c>
      <c r="Z48" s="78" t="s">
        <v>72</v>
      </c>
      <c r="AA48" s="78" t="s">
        <v>43</v>
      </c>
      <c r="AB48" s="78" t="s">
        <v>178</v>
      </c>
    </row>
    <row r="49" spans="1:28" x14ac:dyDescent="0.15">
      <c r="A49" s="78" t="s">
        <v>30</v>
      </c>
      <c r="B49" s="78" t="s">
        <v>174</v>
      </c>
      <c r="C49" s="78">
        <v>2020</v>
      </c>
      <c r="D49" s="99" t="s">
        <v>181</v>
      </c>
      <c r="E49" s="78" t="s">
        <v>217</v>
      </c>
      <c r="F49" s="78" t="s">
        <v>219</v>
      </c>
      <c r="G49" s="78" t="s">
        <v>25</v>
      </c>
      <c r="H49" s="78" t="s">
        <v>167</v>
      </c>
      <c r="I49" s="78" t="s">
        <v>111</v>
      </c>
      <c r="J49" s="78" t="s">
        <v>27</v>
      </c>
      <c r="K49" s="78" t="s">
        <v>112</v>
      </c>
      <c r="L49" s="78">
        <v>3</v>
      </c>
      <c r="N49" s="78">
        <v>6</v>
      </c>
      <c r="O49" s="78">
        <v>0.3</v>
      </c>
      <c r="P49" s="78">
        <v>0.4</v>
      </c>
      <c r="Q49" s="118">
        <f t="shared" si="0"/>
        <v>0.35</v>
      </c>
      <c r="R49" s="78">
        <v>13.7</v>
      </c>
      <c r="S49" s="78">
        <v>103</v>
      </c>
      <c r="T49" s="101">
        <f t="shared" si="1"/>
        <v>33</v>
      </c>
      <c r="U49" s="78">
        <v>680</v>
      </c>
      <c r="V49" s="16">
        <f t="shared" si="2"/>
        <v>3740</v>
      </c>
      <c r="W49" s="78">
        <v>2</v>
      </c>
      <c r="X49" s="78" t="s">
        <v>35</v>
      </c>
      <c r="Y49" s="78" t="s">
        <v>55</v>
      </c>
      <c r="Z49" s="78" t="s">
        <v>72</v>
      </c>
      <c r="AA49" s="78" t="s">
        <v>43</v>
      </c>
      <c r="AB49" s="78" t="s">
        <v>178</v>
      </c>
    </row>
    <row r="50" spans="1:28" x14ac:dyDescent="0.15">
      <c r="A50" s="78" t="s">
        <v>30</v>
      </c>
      <c r="B50" s="78" t="s">
        <v>174</v>
      </c>
      <c r="C50" s="78">
        <v>2020</v>
      </c>
      <c r="D50" s="99" t="s">
        <v>181</v>
      </c>
      <c r="E50" s="78" t="s">
        <v>217</v>
      </c>
      <c r="F50" s="78" t="s">
        <v>219</v>
      </c>
      <c r="G50" s="78" t="s">
        <v>25</v>
      </c>
      <c r="H50" s="78" t="s">
        <v>113</v>
      </c>
      <c r="I50" s="78" t="s">
        <v>111</v>
      </c>
      <c r="J50" s="78" t="s">
        <v>27</v>
      </c>
      <c r="K50" s="78" t="s">
        <v>112</v>
      </c>
      <c r="L50" s="78">
        <v>1</v>
      </c>
      <c r="N50" s="78">
        <v>1</v>
      </c>
      <c r="O50" s="78">
        <v>0.25</v>
      </c>
      <c r="P50" s="78">
        <v>0.25</v>
      </c>
      <c r="Q50" s="118">
        <f t="shared" si="0"/>
        <v>0.25</v>
      </c>
      <c r="R50" s="78">
        <v>12.4</v>
      </c>
      <c r="S50" s="78">
        <v>120</v>
      </c>
      <c r="T50" s="16">
        <f t="shared" si="1"/>
        <v>30</v>
      </c>
      <c r="U50" s="78">
        <v>78</v>
      </c>
      <c r="V50" s="16">
        <f t="shared" si="2"/>
        <v>2340</v>
      </c>
      <c r="W50" s="78">
        <v>2</v>
      </c>
      <c r="X50" s="78" t="s">
        <v>35</v>
      </c>
      <c r="Y50" s="78" t="s">
        <v>55</v>
      </c>
      <c r="Z50" s="78" t="s">
        <v>72</v>
      </c>
      <c r="AA50" s="78" t="s">
        <v>43</v>
      </c>
      <c r="AB50" s="78" t="s">
        <v>178</v>
      </c>
    </row>
    <row r="51" spans="1:28" x14ac:dyDescent="0.15">
      <c r="A51" s="78" t="s">
        <v>30</v>
      </c>
      <c r="B51" s="78" t="s">
        <v>174</v>
      </c>
      <c r="C51" s="78">
        <v>2020</v>
      </c>
      <c r="D51" s="99" t="s">
        <v>181</v>
      </c>
      <c r="E51" s="78" t="s">
        <v>217</v>
      </c>
      <c r="F51" s="78" t="s">
        <v>219</v>
      </c>
      <c r="G51" s="78" t="s">
        <v>25</v>
      </c>
      <c r="H51" s="78" t="s">
        <v>113</v>
      </c>
      <c r="I51" s="78" t="s">
        <v>111</v>
      </c>
      <c r="J51" s="78" t="s">
        <v>27</v>
      </c>
      <c r="K51" s="78" t="s">
        <v>112</v>
      </c>
      <c r="L51" s="78">
        <v>2</v>
      </c>
      <c r="N51" s="78">
        <v>1</v>
      </c>
      <c r="O51" s="78">
        <v>0.4</v>
      </c>
      <c r="P51" s="78">
        <v>0.3</v>
      </c>
      <c r="Q51" s="118">
        <f t="shared" si="0"/>
        <v>0.35</v>
      </c>
      <c r="R51" s="78">
        <v>12.7</v>
      </c>
      <c r="S51" s="78">
        <v>119</v>
      </c>
      <c r="T51" s="16">
        <f t="shared" si="1"/>
        <v>30</v>
      </c>
      <c r="U51" s="78">
        <v>78</v>
      </c>
      <c r="V51" s="16">
        <f t="shared" si="2"/>
        <v>2340</v>
      </c>
      <c r="W51" s="78">
        <v>2</v>
      </c>
      <c r="X51" s="78" t="s">
        <v>35</v>
      </c>
      <c r="Y51" s="78" t="s">
        <v>55</v>
      </c>
      <c r="Z51" s="78" t="s">
        <v>72</v>
      </c>
      <c r="AA51" s="78" t="s">
        <v>43</v>
      </c>
      <c r="AB51" s="78" t="s">
        <v>178</v>
      </c>
    </row>
    <row r="52" spans="1:28" x14ac:dyDescent="0.15">
      <c r="A52" s="78" t="s">
        <v>30</v>
      </c>
      <c r="B52" s="78" t="s">
        <v>174</v>
      </c>
      <c r="C52" s="78">
        <v>2020</v>
      </c>
      <c r="D52" s="99" t="s">
        <v>181</v>
      </c>
      <c r="E52" s="78" t="s">
        <v>217</v>
      </c>
      <c r="F52" s="78" t="s">
        <v>219</v>
      </c>
      <c r="G52" s="78" t="s">
        <v>25</v>
      </c>
      <c r="H52" s="78" t="s">
        <v>113</v>
      </c>
      <c r="I52" s="78" t="s">
        <v>111</v>
      </c>
      <c r="J52" s="78" t="s">
        <v>27</v>
      </c>
      <c r="K52" s="78" t="s">
        <v>112</v>
      </c>
      <c r="L52" s="78">
        <v>3</v>
      </c>
      <c r="N52" s="78">
        <v>1</v>
      </c>
      <c r="O52" s="78">
        <v>0.3</v>
      </c>
      <c r="P52" s="78">
        <v>0.25</v>
      </c>
      <c r="Q52" s="118">
        <f t="shared" si="0"/>
        <v>0.27500000000000002</v>
      </c>
      <c r="R52" s="78">
        <v>13.7</v>
      </c>
      <c r="S52" s="78">
        <v>117</v>
      </c>
      <c r="T52" s="16">
        <f t="shared" si="1"/>
        <v>30</v>
      </c>
      <c r="U52" s="78">
        <v>78</v>
      </c>
      <c r="V52" s="16">
        <f t="shared" si="2"/>
        <v>2340</v>
      </c>
      <c r="W52" s="78">
        <v>2</v>
      </c>
      <c r="X52" s="78" t="s">
        <v>35</v>
      </c>
      <c r="Y52" s="78" t="s">
        <v>55</v>
      </c>
      <c r="Z52" s="78" t="s">
        <v>72</v>
      </c>
      <c r="AA52" s="78" t="s">
        <v>43</v>
      </c>
      <c r="AB52" s="78" t="s">
        <v>178</v>
      </c>
    </row>
    <row r="53" spans="1:28" x14ac:dyDescent="0.15">
      <c r="A53" s="78" t="s">
        <v>30</v>
      </c>
      <c r="B53" s="78" t="s">
        <v>174</v>
      </c>
      <c r="C53" s="78">
        <v>2020</v>
      </c>
      <c r="D53" s="99" t="s">
        <v>181</v>
      </c>
      <c r="E53" s="78" t="s">
        <v>217</v>
      </c>
      <c r="F53" s="78" t="s">
        <v>219</v>
      </c>
      <c r="G53" s="78" t="s">
        <v>25</v>
      </c>
      <c r="H53" s="78" t="s">
        <v>113</v>
      </c>
      <c r="I53" s="78" t="s">
        <v>111</v>
      </c>
      <c r="J53" s="78" t="s">
        <v>27</v>
      </c>
      <c r="K53" s="78" t="s">
        <v>112</v>
      </c>
      <c r="L53" s="78">
        <v>1</v>
      </c>
      <c r="N53" s="78">
        <v>5</v>
      </c>
      <c r="O53" s="78">
        <v>1</v>
      </c>
      <c r="P53" s="78">
        <v>1.05</v>
      </c>
      <c r="Q53" s="118">
        <f t="shared" si="0"/>
        <v>1.0249999999999999</v>
      </c>
      <c r="R53" s="78">
        <v>14.4</v>
      </c>
      <c r="S53" s="78">
        <v>103</v>
      </c>
      <c r="T53" s="16">
        <f t="shared" si="1"/>
        <v>33</v>
      </c>
      <c r="U53" s="78">
        <v>398</v>
      </c>
      <c r="V53" s="16">
        <f t="shared" si="2"/>
        <v>2626.7999999999997</v>
      </c>
      <c r="W53" s="78">
        <v>2</v>
      </c>
      <c r="X53" s="78" t="s">
        <v>35</v>
      </c>
      <c r="Y53" s="78" t="s">
        <v>55</v>
      </c>
      <c r="Z53" s="78" t="s">
        <v>72</v>
      </c>
      <c r="AA53" s="78" t="s">
        <v>43</v>
      </c>
      <c r="AB53" s="78" t="s">
        <v>178</v>
      </c>
    </row>
    <row r="54" spans="1:28" x14ac:dyDescent="0.15">
      <c r="A54" s="78" t="s">
        <v>30</v>
      </c>
      <c r="B54" s="78" t="s">
        <v>174</v>
      </c>
      <c r="C54" s="78">
        <v>2020</v>
      </c>
      <c r="D54" s="99" t="s">
        <v>181</v>
      </c>
      <c r="E54" s="78" t="s">
        <v>217</v>
      </c>
      <c r="F54" s="78" t="s">
        <v>219</v>
      </c>
      <c r="G54" s="78" t="s">
        <v>25</v>
      </c>
      <c r="H54" s="78" t="s">
        <v>113</v>
      </c>
      <c r="I54" s="78" t="s">
        <v>111</v>
      </c>
      <c r="J54" s="78" t="s">
        <v>27</v>
      </c>
      <c r="K54" s="78" t="s">
        <v>112</v>
      </c>
      <c r="L54" s="78">
        <v>2</v>
      </c>
      <c r="N54" s="78">
        <v>5</v>
      </c>
      <c r="O54" s="78">
        <v>0.9</v>
      </c>
      <c r="P54" s="78">
        <v>1.05</v>
      </c>
      <c r="Q54" s="118">
        <f t="shared" si="0"/>
        <v>0.97500000000000009</v>
      </c>
      <c r="R54" s="78">
        <v>14.7</v>
      </c>
      <c r="S54" s="78">
        <v>100</v>
      </c>
      <c r="T54" s="16">
        <f t="shared" si="1"/>
        <v>33</v>
      </c>
      <c r="U54" s="78">
        <v>398</v>
      </c>
      <c r="V54" s="16">
        <f t="shared" si="2"/>
        <v>2626.7999999999997</v>
      </c>
      <c r="W54" s="78">
        <v>2</v>
      </c>
      <c r="X54" s="78" t="s">
        <v>35</v>
      </c>
      <c r="Y54" s="78" t="s">
        <v>55</v>
      </c>
      <c r="Z54" s="78" t="s">
        <v>72</v>
      </c>
      <c r="AA54" s="78" t="s">
        <v>43</v>
      </c>
      <c r="AB54" s="78" t="s">
        <v>178</v>
      </c>
    </row>
    <row r="55" spans="1:28" x14ac:dyDescent="0.15">
      <c r="A55" s="78" t="s">
        <v>30</v>
      </c>
      <c r="B55" s="78" t="s">
        <v>174</v>
      </c>
      <c r="C55" s="78">
        <v>2020</v>
      </c>
      <c r="D55" s="99" t="s">
        <v>181</v>
      </c>
      <c r="E55" s="78" t="s">
        <v>217</v>
      </c>
      <c r="F55" s="78" t="s">
        <v>219</v>
      </c>
      <c r="G55" s="78" t="s">
        <v>25</v>
      </c>
      <c r="H55" s="78" t="s">
        <v>113</v>
      </c>
      <c r="I55" s="78" t="s">
        <v>111</v>
      </c>
      <c r="J55" s="78" t="s">
        <v>27</v>
      </c>
      <c r="K55" s="78" t="s">
        <v>112</v>
      </c>
      <c r="L55" s="78">
        <v>3</v>
      </c>
      <c r="N55" s="78">
        <v>5</v>
      </c>
      <c r="O55" s="78">
        <v>0.95</v>
      </c>
      <c r="P55" s="78">
        <v>1</v>
      </c>
      <c r="Q55" s="118">
        <f t="shared" si="0"/>
        <v>0.97499999999999998</v>
      </c>
      <c r="R55" s="78">
        <v>14.2</v>
      </c>
      <c r="S55" s="78">
        <v>102</v>
      </c>
      <c r="T55" s="16">
        <f t="shared" si="1"/>
        <v>33</v>
      </c>
      <c r="U55" s="78">
        <v>398</v>
      </c>
      <c r="V55" s="16">
        <f t="shared" si="2"/>
        <v>2626.7999999999997</v>
      </c>
      <c r="W55" s="78">
        <v>2</v>
      </c>
      <c r="X55" s="78" t="s">
        <v>35</v>
      </c>
      <c r="Y55" s="78" t="s">
        <v>55</v>
      </c>
      <c r="Z55" s="78" t="s">
        <v>72</v>
      </c>
      <c r="AA55" s="78" t="s">
        <v>43</v>
      </c>
      <c r="AB55" s="78" t="s">
        <v>178</v>
      </c>
    </row>
    <row r="56" spans="1:28" x14ac:dyDescent="0.15">
      <c r="A56" s="78" t="s">
        <v>30</v>
      </c>
      <c r="B56" s="78" t="s">
        <v>174</v>
      </c>
      <c r="C56" s="78">
        <v>2020</v>
      </c>
      <c r="D56" s="99" t="s">
        <v>181</v>
      </c>
      <c r="E56" s="78" t="s">
        <v>217</v>
      </c>
      <c r="F56" s="78" t="s">
        <v>219</v>
      </c>
      <c r="G56" s="78" t="s">
        <v>25</v>
      </c>
      <c r="H56" s="78" t="s">
        <v>113</v>
      </c>
      <c r="I56" s="78" t="s">
        <v>111</v>
      </c>
      <c r="J56" s="78" t="s">
        <v>27</v>
      </c>
      <c r="K56" s="78" t="s">
        <v>112</v>
      </c>
      <c r="L56" s="78">
        <v>1</v>
      </c>
      <c r="N56" s="78">
        <v>7</v>
      </c>
      <c r="O56" s="78">
        <v>0.8</v>
      </c>
      <c r="P56" s="78">
        <v>0.75</v>
      </c>
      <c r="Q56" s="118">
        <f t="shared" si="0"/>
        <v>0.77500000000000002</v>
      </c>
      <c r="R56" s="78">
        <v>13</v>
      </c>
      <c r="S56" s="78">
        <v>92</v>
      </c>
      <c r="T56" s="16">
        <f t="shared" si="1"/>
        <v>36</v>
      </c>
      <c r="U56" s="78">
        <v>580</v>
      </c>
      <c r="V56" s="16">
        <f t="shared" si="2"/>
        <v>2982.8571428571431</v>
      </c>
      <c r="W56" s="78">
        <v>2</v>
      </c>
      <c r="X56" s="78" t="s">
        <v>35</v>
      </c>
      <c r="Y56" s="78" t="s">
        <v>55</v>
      </c>
      <c r="Z56" s="78" t="s">
        <v>72</v>
      </c>
      <c r="AA56" s="78" t="s">
        <v>43</v>
      </c>
      <c r="AB56" s="78" t="s">
        <v>178</v>
      </c>
    </row>
    <row r="57" spans="1:28" x14ac:dyDescent="0.15">
      <c r="A57" s="78" t="s">
        <v>30</v>
      </c>
      <c r="B57" s="78" t="s">
        <v>174</v>
      </c>
      <c r="C57" s="78">
        <v>2020</v>
      </c>
      <c r="D57" s="99" t="s">
        <v>181</v>
      </c>
      <c r="E57" s="78" t="s">
        <v>217</v>
      </c>
      <c r="F57" s="78" t="s">
        <v>219</v>
      </c>
      <c r="G57" s="78" t="s">
        <v>25</v>
      </c>
      <c r="H57" s="78" t="s">
        <v>113</v>
      </c>
      <c r="I57" s="78" t="s">
        <v>111</v>
      </c>
      <c r="J57" s="78" t="s">
        <v>27</v>
      </c>
      <c r="K57" s="78" t="s">
        <v>112</v>
      </c>
      <c r="L57" s="78">
        <v>2</v>
      </c>
      <c r="N57" s="78">
        <v>7</v>
      </c>
      <c r="O57" s="78">
        <v>0.65</v>
      </c>
      <c r="P57" s="78">
        <v>0.5</v>
      </c>
      <c r="Q57" s="118">
        <f t="shared" si="0"/>
        <v>0.57499999999999996</v>
      </c>
      <c r="R57" s="78">
        <v>13.2</v>
      </c>
      <c r="S57" s="78">
        <v>94</v>
      </c>
      <c r="T57" s="16">
        <f t="shared" si="1"/>
        <v>36</v>
      </c>
      <c r="U57" s="78">
        <v>580</v>
      </c>
      <c r="V57" s="16">
        <f t="shared" si="2"/>
        <v>2982.8571428571431</v>
      </c>
      <c r="W57" s="78">
        <v>2</v>
      </c>
      <c r="X57" s="78" t="s">
        <v>35</v>
      </c>
      <c r="Y57" s="78" t="s">
        <v>55</v>
      </c>
      <c r="Z57" s="78" t="s">
        <v>72</v>
      </c>
      <c r="AA57" s="78" t="s">
        <v>43</v>
      </c>
      <c r="AB57" s="78" t="s">
        <v>178</v>
      </c>
    </row>
    <row r="58" spans="1:28" x14ac:dyDescent="0.15">
      <c r="A58" s="78" t="s">
        <v>30</v>
      </c>
      <c r="B58" s="78" t="s">
        <v>174</v>
      </c>
      <c r="C58" s="78">
        <v>2020</v>
      </c>
      <c r="D58" s="99" t="s">
        <v>181</v>
      </c>
      <c r="E58" s="78" t="s">
        <v>217</v>
      </c>
      <c r="F58" s="78" t="s">
        <v>219</v>
      </c>
      <c r="G58" s="78" t="s">
        <v>25</v>
      </c>
      <c r="H58" s="78" t="s">
        <v>113</v>
      </c>
      <c r="I58" s="78" t="s">
        <v>111</v>
      </c>
      <c r="J58" s="78" t="s">
        <v>27</v>
      </c>
      <c r="K58" s="78" t="s">
        <v>112</v>
      </c>
      <c r="L58" s="78">
        <v>3</v>
      </c>
      <c r="N58" s="78">
        <v>7</v>
      </c>
      <c r="O58" s="78">
        <v>0.5</v>
      </c>
      <c r="P58" s="78">
        <v>0.6</v>
      </c>
      <c r="Q58" s="118">
        <f t="shared" si="0"/>
        <v>0.55000000000000004</v>
      </c>
      <c r="R58" s="78">
        <v>12.4</v>
      </c>
      <c r="S58" s="78">
        <v>95</v>
      </c>
      <c r="T58" s="16">
        <f t="shared" si="1"/>
        <v>36</v>
      </c>
      <c r="U58" s="78">
        <v>580</v>
      </c>
      <c r="V58" s="16">
        <f t="shared" si="2"/>
        <v>2982.8571428571431</v>
      </c>
      <c r="W58" s="78">
        <v>2</v>
      </c>
      <c r="X58" s="78" t="s">
        <v>35</v>
      </c>
      <c r="Y58" s="78" t="s">
        <v>55</v>
      </c>
      <c r="Z58" s="78" t="s">
        <v>72</v>
      </c>
      <c r="AA58" s="78" t="s">
        <v>43</v>
      </c>
      <c r="AB58" s="78" t="s">
        <v>178</v>
      </c>
    </row>
    <row r="59" spans="1:28" x14ac:dyDescent="0.15">
      <c r="A59" s="78" t="s">
        <v>30</v>
      </c>
      <c r="B59" s="78" t="s">
        <v>174</v>
      </c>
      <c r="C59" s="78">
        <v>2020</v>
      </c>
      <c r="D59" s="99" t="s">
        <v>181</v>
      </c>
      <c r="E59" s="78" t="s">
        <v>224</v>
      </c>
      <c r="F59" s="78" t="s">
        <v>215</v>
      </c>
      <c r="G59" s="78" t="s">
        <v>25</v>
      </c>
      <c r="H59" s="78" t="s">
        <v>113</v>
      </c>
      <c r="I59" s="78" t="s">
        <v>111</v>
      </c>
      <c r="J59" s="78" t="s">
        <v>27</v>
      </c>
      <c r="K59" s="78" t="s">
        <v>112</v>
      </c>
      <c r="L59" s="78">
        <v>1</v>
      </c>
      <c r="N59" s="78">
        <v>5</v>
      </c>
      <c r="O59" s="78">
        <v>0.9</v>
      </c>
      <c r="P59" s="78">
        <v>0.75</v>
      </c>
      <c r="Q59" s="118">
        <f t="shared" si="0"/>
        <v>0.82499999999999996</v>
      </c>
      <c r="R59" s="78">
        <v>11.7</v>
      </c>
      <c r="S59" s="78">
        <v>117</v>
      </c>
      <c r="T59" s="16">
        <f>IF(H59="","",IF(OR(H59="GREEN",H59="GK"),IF(S59&gt;=$AX$2,VLOOKUP(S59,$AX$2:$AY$10,2,1),""),IF(S59&gt;=$AZ$2,VLOOKUP(S59,$AZ$2:$BA$10,2,1),"")))</f>
        <v>30</v>
      </c>
      <c r="U59" s="78">
        <v>398</v>
      </c>
      <c r="V59" s="16">
        <f t="shared" si="2"/>
        <v>2388</v>
      </c>
      <c r="W59" s="78">
        <v>1</v>
      </c>
      <c r="X59" s="78" t="s">
        <v>35</v>
      </c>
      <c r="Y59" s="78" t="s">
        <v>72</v>
      </c>
      <c r="Z59" s="78" t="s">
        <v>55</v>
      </c>
      <c r="AA59" s="78" t="s">
        <v>43</v>
      </c>
      <c r="AB59" s="78" t="s">
        <v>178</v>
      </c>
    </row>
    <row r="60" spans="1:28" x14ac:dyDescent="0.15">
      <c r="A60" s="78" t="s">
        <v>30</v>
      </c>
      <c r="B60" s="78" t="s">
        <v>174</v>
      </c>
      <c r="C60" s="78">
        <v>2020</v>
      </c>
      <c r="D60" s="99" t="s">
        <v>181</v>
      </c>
      <c r="E60" s="78" t="s">
        <v>224</v>
      </c>
      <c r="F60" s="78" t="s">
        <v>215</v>
      </c>
      <c r="G60" s="78" t="s">
        <v>25</v>
      </c>
      <c r="H60" s="78" t="s">
        <v>113</v>
      </c>
      <c r="I60" s="78" t="s">
        <v>111</v>
      </c>
      <c r="J60" s="78" t="s">
        <v>27</v>
      </c>
      <c r="K60" s="78" t="s">
        <v>112</v>
      </c>
      <c r="L60" s="78">
        <v>2</v>
      </c>
      <c r="N60" s="78">
        <v>5</v>
      </c>
      <c r="O60" s="78">
        <v>0.7</v>
      </c>
      <c r="P60" s="78">
        <v>0.85</v>
      </c>
      <c r="Q60" s="118">
        <f t="shared" si="0"/>
        <v>0.77499999999999991</v>
      </c>
      <c r="R60" s="78">
        <v>13</v>
      </c>
      <c r="S60" s="78">
        <v>120</v>
      </c>
      <c r="T60" s="16">
        <f>IF(H60="","",IF(OR(H60="GREEN",H60="GK"),IF(S60&gt;=$AX$2,VLOOKUP(S60,$AX$2:$AY$10,2,1),""),IF(S60&gt;=$AZ$2,VLOOKUP(S60,$AZ$2:$BA$10,2,1),"")))</f>
        <v>30</v>
      </c>
      <c r="U60" s="78">
        <v>398</v>
      </c>
      <c r="V60" s="16">
        <f t="shared" si="2"/>
        <v>2388</v>
      </c>
      <c r="W60" s="78">
        <v>1</v>
      </c>
      <c r="X60" s="78" t="s">
        <v>35</v>
      </c>
      <c r="Y60" s="78" t="s">
        <v>72</v>
      </c>
      <c r="Z60" s="78" t="s">
        <v>55</v>
      </c>
      <c r="AA60" s="78" t="s">
        <v>43</v>
      </c>
      <c r="AB60" s="78" t="s">
        <v>178</v>
      </c>
    </row>
    <row r="61" spans="1:28" x14ac:dyDescent="0.15">
      <c r="A61" s="78" t="s">
        <v>30</v>
      </c>
      <c r="B61" s="78" t="s">
        <v>174</v>
      </c>
      <c r="C61" s="78">
        <v>2020</v>
      </c>
      <c r="D61" s="99" t="s">
        <v>181</v>
      </c>
      <c r="E61" s="78" t="s">
        <v>224</v>
      </c>
      <c r="F61" s="78" t="s">
        <v>215</v>
      </c>
      <c r="G61" s="78" t="s">
        <v>25</v>
      </c>
      <c r="H61" s="78" t="s">
        <v>113</v>
      </c>
      <c r="I61" s="78" t="s">
        <v>111</v>
      </c>
      <c r="J61" s="78" t="s">
        <v>27</v>
      </c>
      <c r="K61" s="78" t="s">
        <v>112</v>
      </c>
      <c r="L61" s="78">
        <v>3</v>
      </c>
      <c r="N61" s="78">
        <v>5</v>
      </c>
      <c r="O61" s="78">
        <v>0.65</v>
      </c>
      <c r="P61" s="78">
        <v>0.65</v>
      </c>
      <c r="Q61" s="118">
        <f t="shared" si="0"/>
        <v>0.65</v>
      </c>
      <c r="R61" s="78">
        <v>12.7</v>
      </c>
      <c r="S61" s="78">
        <v>114</v>
      </c>
      <c r="T61" s="16">
        <f>IF(H61="","",IF(OR(H61="GREEN",H61="GK"),IF(S61&gt;=$AX$2,VLOOKUP(S61,$AX$2:$AY$10,2,1),""),IF(S61&gt;=$AZ$2,VLOOKUP(S61,$AZ$2:$BA$10,2,1),"")))</f>
        <v>30</v>
      </c>
      <c r="U61" s="78">
        <v>398</v>
      </c>
      <c r="V61" s="16">
        <f t="shared" si="2"/>
        <v>2388</v>
      </c>
      <c r="W61" s="78">
        <v>1</v>
      </c>
      <c r="X61" s="78" t="s">
        <v>35</v>
      </c>
      <c r="Y61" s="78" t="s">
        <v>72</v>
      </c>
      <c r="Z61" s="78" t="s">
        <v>55</v>
      </c>
      <c r="AA61" s="78" t="s">
        <v>43</v>
      </c>
      <c r="AB61" s="78" t="s">
        <v>178</v>
      </c>
    </row>
    <row r="62" spans="1:28" x14ac:dyDescent="0.15">
      <c r="A62" s="78" t="s">
        <v>30</v>
      </c>
      <c r="B62" s="78" t="s">
        <v>174</v>
      </c>
      <c r="C62" s="78">
        <v>2020</v>
      </c>
      <c r="D62" s="99" t="s">
        <v>181</v>
      </c>
      <c r="E62" s="78" t="s">
        <v>224</v>
      </c>
      <c r="F62" s="78" t="s">
        <v>215</v>
      </c>
      <c r="G62" s="78" t="s">
        <v>25</v>
      </c>
      <c r="H62" s="78" t="s">
        <v>167</v>
      </c>
      <c r="I62" s="78" t="s">
        <v>111</v>
      </c>
      <c r="J62" s="78" t="s">
        <v>27</v>
      </c>
      <c r="K62" s="78" t="s">
        <v>112</v>
      </c>
      <c r="L62" s="78">
        <v>1</v>
      </c>
      <c r="N62" s="78">
        <v>1</v>
      </c>
      <c r="O62" s="78">
        <v>0.8</v>
      </c>
      <c r="P62" s="78">
        <v>0.75</v>
      </c>
      <c r="Q62" s="118">
        <f t="shared" si="0"/>
        <v>0.77500000000000002</v>
      </c>
      <c r="R62" s="78">
        <v>12.8</v>
      </c>
      <c r="S62" s="78">
        <v>123</v>
      </c>
      <c r="T62" s="16">
        <f t="shared" ref="T62:T76" si="3">IF(H62="","",IF(OR(H62="GREEN",H62="GK"),IF(S62&gt;=$AX$2,VLOOKUP(S62,$AX$2:$AY$10,2,1),""),IF(S62&gt;=$AZ$2,VLOOKUP(S62,$AZ$2:$BA$10,2,1),"")))</f>
        <v>27</v>
      </c>
      <c r="U62" s="78">
        <v>128</v>
      </c>
      <c r="V62" s="16">
        <f t="shared" si="2"/>
        <v>3456</v>
      </c>
      <c r="W62" s="78">
        <v>3</v>
      </c>
      <c r="X62" s="78" t="s">
        <v>35</v>
      </c>
      <c r="Y62" s="78" t="s">
        <v>72</v>
      </c>
      <c r="Z62" s="78" t="s">
        <v>55</v>
      </c>
      <c r="AA62" s="78" t="s">
        <v>43</v>
      </c>
      <c r="AB62" s="78" t="s">
        <v>178</v>
      </c>
    </row>
    <row r="63" spans="1:28" x14ac:dyDescent="0.15">
      <c r="A63" s="78" t="s">
        <v>30</v>
      </c>
      <c r="B63" s="78" t="s">
        <v>174</v>
      </c>
      <c r="C63" s="78">
        <v>2020</v>
      </c>
      <c r="D63" s="99" t="s">
        <v>181</v>
      </c>
      <c r="E63" s="78" t="s">
        <v>224</v>
      </c>
      <c r="F63" s="78" t="s">
        <v>215</v>
      </c>
      <c r="G63" s="78" t="s">
        <v>25</v>
      </c>
      <c r="H63" s="78" t="s">
        <v>167</v>
      </c>
      <c r="I63" s="78" t="s">
        <v>111</v>
      </c>
      <c r="J63" s="78" t="s">
        <v>27</v>
      </c>
      <c r="K63" s="78" t="s">
        <v>112</v>
      </c>
      <c r="L63" s="78">
        <v>2</v>
      </c>
      <c r="N63" s="78">
        <v>1</v>
      </c>
      <c r="O63" s="78">
        <v>0.75</v>
      </c>
      <c r="P63" s="78">
        <v>0.7</v>
      </c>
      <c r="Q63" s="118">
        <f t="shared" si="0"/>
        <v>0.72499999999999998</v>
      </c>
      <c r="R63" s="78">
        <v>13.7</v>
      </c>
      <c r="S63" s="78">
        <v>124</v>
      </c>
      <c r="T63" s="16">
        <f t="shared" si="3"/>
        <v>27</v>
      </c>
      <c r="U63" s="78">
        <v>128</v>
      </c>
      <c r="V63" s="16">
        <f t="shared" si="2"/>
        <v>3456</v>
      </c>
      <c r="W63" s="78">
        <v>3</v>
      </c>
      <c r="X63" s="78" t="s">
        <v>35</v>
      </c>
      <c r="Y63" s="78" t="s">
        <v>72</v>
      </c>
      <c r="Z63" s="78" t="s">
        <v>55</v>
      </c>
      <c r="AA63" s="78" t="s">
        <v>43</v>
      </c>
      <c r="AB63" s="78" t="s">
        <v>178</v>
      </c>
    </row>
    <row r="64" spans="1:28" x14ac:dyDescent="0.15">
      <c r="A64" s="78" t="s">
        <v>30</v>
      </c>
      <c r="B64" s="78" t="s">
        <v>174</v>
      </c>
      <c r="C64" s="78">
        <v>2020</v>
      </c>
      <c r="D64" s="99" t="s">
        <v>181</v>
      </c>
      <c r="E64" s="78" t="s">
        <v>224</v>
      </c>
      <c r="F64" s="78" t="s">
        <v>215</v>
      </c>
      <c r="G64" s="78" t="s">
        <v>25</v>
      </c>
      <c r="H64" s="78" t="s">
        <v>167</v>
      </c>
      <c r="I64" s="78" t="s">
        <v>111</v>
      </c>
      <c r="J64" s="78" t="s">
        <v>27</v>
      </c>
      <c r="K64" s="78" t="s">
        <v>112</v>
      </c>
      <c r="L64" s="78">
        <v>3</v>
      </c>
      <c r="N64" s="78">
        <v>1</v>
      </c>
      <c r="O64" s="78">
        <v>0.65</v>
      </c>
      <c r="P64" s="78">
        <v>0.65</v>
      </c>
      <c r="Q64" s="118">
        <f t="shared" si="0"/>
        <v>0.65</v>
      </c>
      <c r="R64" s="78">
        <v>13.9</v>
      </c>
      <c r="S64" s="78">
        <v>125</v>
      </c>
      <c r="T64" s="16">
        <f t="shared" si="3"/>
        <v>27</v>
      </c>
      <c r="U64" s="78">
        <v>128</v>
      </c>
      <c r="V64" s="16">
        <f t="shared" si="2"/>
        <v>3456</v>
      </c>
      <c r="W64" s="78">
        <v>3</v>
      </c>
      <c r="X64" s="78" t="s">
        <v>35</v>
      </c>
      <c r="Y64" s="78" t="s">
        <v>72</v>
      </c>
      <c r="Z64" s="78" t="s">
        <v>55</v>
      </c>
      <c r="AA64" s="78" t="s">
        <v>43</v>
      </c>
      <c r="AB64" s="78" t="s">
        <v>178</v>
      </c>
    </row>
    <row r="65" spans="1:28" x14ac:dyDescent="0.15">
      <c r="A65" s="78" t="s">
        <v>30</v>
      </c>
      <c r="B65" s="78" t="s">
        <v>174</v>
      </c>
      <c r="C65" s="78">
        <v>2020</v>
      </c>
      <c r="D65" s="99" t="s">
        <v>181</v>
      </c>
      <c r="E65" s="78" t="s">
        <v>224</v>
      </c>
      <c r="F65" s="78" t="s">
        <v>215</v>
      </c>
      <c r="G65" s="78" t="s">
        <v>25</v>
      </c>
      <c r="H65" s="78" t="s">
        <v>167</v>
      </c>
      <c r="I65" s="78" t="s">
        <v>111</v>
      </c>
      <c r="J65" s="78" t="s">
        <v>27</v>
      </c>
      <c r="K65" s="78" t="s">
        <v>112</v>
      </c>
      <c r="L65" s="78">
        <v>1</v>
      </c>
      <c r="N65" s="78">
        <v>4</v>
      </c>
      <c r="O65" s="78">
        <v>0.7</v>
      </c>
      <c r="P65" s="78">
        <v>0.6</v>
      </c>
      <c r="Q65" s="118">
        <f t="shared" si="0"/>
        <v>0.64999999999999991</v>
      </c>
      <c r="R65" s="78">
        <v>14.1</v>
      </c>
      <c r="S65" s="78">
        <v>120</v>
      </c>
      <c r="T65" s="16">
        <f t="shared" si="3"/>
        <v>30</v>
      </c>
      <c r="U65" s="78">
        <v>488</v>
      </c>
      <c r="V65" s="16">
        <f t="shared" si="2"/>
        <v>3660</v>
      </c>
      <c r="W65" s="78">
        <v>2</v>
      </c>
      <c r="X65" s="78" t="s">
        <v>35</v>
      </c>
      <c r="Y65" s="78" t="s">
        <v>72</v>
      </c>
      <c r="Z65" s="78" t="s">
        <v>55</v>
      </c>
      <c r="AA65" s="78" t="s">
        <v>43</v>
      </c>
      <c r="AB65" s="78" t="s">
        <v>178</v>
      </c>
    </row>
    <row r="66" spans="1:28" x14ac:dyDescent="0.15">
      <c r="A66" s="78" t="s">
        <v>30</v>
      </c>
      <c r="B66" s="78" t="s">
        <v>174</v>
      </c>
      <c r="C66" s="78">
        <v>2020</v>
      </c>
      <c r="D66" s="99" t="s">
        <v>181</v>
      </c>
      <c r="E66" s="78" t="s">
        <v>224</v>
      </c>
      <c r="F66" s="78" t="s">
        <v>215</v>
      </c>
      <c r="G66" s="78" t="s">
        <v>25</v>
      </c>
      <c r="H66" s="78" t="s">
        <v>167</v>
      </c>
      <c r="I66" s="78" t="s">
        <v>111</v>
      </c>
      <c r="J66" s="78" t="s">
        <v>27</v>
      </c>
      <c r="K66" s="78" t="s">
        <v>112</v>
      </c>
      <c r="L66" s="78">
        <v>2</v>
      </c>
      <c r="N66" s="78">
        <v>4</v>
      </c>
      <c r="O66" s="78">
        <v>0.85</v>
      </c>
      <c r="P66" s="78">
        <v>0.75</v>
      </c>
      <c r="Q66" s="118">
        <f t="shared" ref="Q66:Q129" si="4">IF(OR(O66="",P66=""),"",AVERAGE(O66,P66))</f>
        <v>0.8</v>
      </c>
      <c r="R66" s="78">
        <v>15.8</v>
      </c>
      <c r="S66" s="78">
        <v>124</v>
      </c>
      <c r="T66" s="16">
        <f t="shared" si="3"/>
        <v>27</v>
      </c>
      <c r="U66" s="78">
        <v>488</v>
      </c>
      <c r="V66" s="16">
        <f t="shared" ref="V66:V80" si="5">IF(OR(N66="",U66="",T66=""),"",U66/N66*T66)</f>
        <v>3294</v>
      </c>
      <c r="W66" s="78">
        <v>2</v>
      </c>
      <c r="X66" s="78" t="s">
        <v>35</v>
      </c>
      <c r="Y66" s="78" t="s">
        <v>72</v>
      </c>
      <c r="Z66" s="78" t="s">
        <v>55</v>
      </c>
      <c r="AA66" s="78" t="s">
        <v>43</v>
      </c>
      <c r="AB66" s="78" t="s">
        <v>178</v>
      </c>
    </row>
    <row r="67" spans="1:28" x14ac:dyDescent="0.15">
      <c r="A67" s="78" t="s">
        <v>30</v>
      </c>
      <c r="B67" s="78" t="s">
        <v>174</v>
      </c>
      <c r="C67" s="78">
        <v>2020</v>
      </c>
      <c r="D67" s="99" t="s">
        <v>181</v>
      </c>
      <c r="E67" s="78" t="s">
        <v>224</v>
      </c>
      <c r="F67" s="78" t="s">
        <v>215</v>
      </c>
      <c r="G67" s="78" t="s">
        <v>25</v>
      </c>
      <c r="H67" s="78" t="s">
        <v>167</v>
      </c>
      <c r="I67" s="78" t="s">
        <v>111</v>
      </c>
      <c r="J67" s="78" t="s">
        <v>27</v>
      </c>
      <c r="K67" s="78" t="s">
        <v>112</v>
      </c>
      <c r="L67" s="78">
        <v>3</v>
      </c>
      <c r="N67" s="78">
        <v>4</v>
      </c>
      <c r="O67" s="78">
        <v>0.9</v>
      </c>
      <c r="P67" s="78">
        <v>1</v>
      </c>
      <c r="Q67" s="118">
        <f t="shared" si="4"/>
        <v>0.95</v>
      </c>
      <c r="R67" s="78">
        <v>13</v>
      </c>
      <c r="S67" s="78">
        <v>122</v>
      </c>
      <c r="T67" s="16">
        <f t="shared" si="3"/>
        <v>27</v>
      </c>
      <c r="U67" s="78">
        <v>488</v>
      </c>
      <c r="V67" s="16">
        <f t="shared" si="5"/>
        <v>3294</v>
      </c>
      <c r="W67" s="78">
        <v>2</v>
      </c>
      <c r="X67" s="78" t="s">
        <v>35</v>
      </c>
      <c r="Y67" s="78" t="s">
        <v>72</v>
      </c>
      <c r="Z67" s="78" t="s">
        <v>55</v>
      </c>
      <c r="AA67" s="78" t="s">
        <v>43</v>
      </c>
      <c r="AB67" s="78" t="s">
        <v>178</v>
      </c>
    </row>
    <row r="68" spans="1:28" x14ac:dyDescent="0.15">
      <c r="A68" s="78" t="s">
        <v>30</v>
      </c>
      <c r="B68" s="78" t="s">
        <v>174</v>
      </c>
      <c r="C68" s="78">
        <v>2020</v>
      </c>
      <c r="D68" s="99" t="s">
        <v>181</v>
      </c>
      <c r="E68" s="78" t="s">
        <v>224</v>
      </c>
      <c r="F68" s="78" t="s">
        <v>215</v>
      </c>
      <c r="G68" s="78" t="s">
        <v>25</v>
      </c>
      <c r="H68" s="78" t="s">
        <v>167</v>
      </c>
      <c r="I68" s="78" t="s">
        <v>111</v>
      </c>
      <c r="J68" s="78" t="s">
        <v>27</v>
      </c>
      <c r="K68" s="78" t="s">
        <v>112</v>
      </c>
      <c r="L68" s="78">
        <v>1</v>
      </c>
      <c r="N68" s="78">
        <v>8</v>
      </c>
      <c r="O68" s="78">
        <v>0.6</v>
      </c>
      <c r="P68" s="78">
        <v>0.8</v>
      </c>
      <c r="Q68" s="118">
        <f t="shared" si="4"/>
        <v>0.7</v>
      </c>
      <c r="R68" s="78">
        <v>13.7</v>
      </c>
      <c r="S68" s="78">
        <v>123</v>
      </c>
      <c r="T68" s="16">
        <f t="shared" si="3"/>
        <v>27</v>
      </c>
      <c r="U68" s="78">
        <v>1250</v>
      </c>
      <c r="V68" s="16">
        <f t="shared" si="5"/>
        <v>4218.75</v>
      </c>
      <c r="W68" s="78">
        <v>2</v>
      </c>
      <c r="X68" s="78" t="s">
        <v>35</v>
      </c>
      <c r="Y68" s="78" t="s">
        <v>72</v>
      </c>
      <c r="Z68" s="78" t="s">
        <v>55</v>
      </c>
      <c r="AA68" s="78" t="s">
        <v>43</v>
      </c>
      <c r="AB68" s="78" t="s">
        <v>178</v>
      </c>
    </row>
    <row r="69" spans="1:28" x14ac:dyDescent="0.15">
      <c r="A69" s="78" t="s">
        <v>30</v>
      </c>
      <c r="B69" s="78" t="s">
        <v>174</v>
      </c>
      <c r="C69" s="78">
        <v>2020</v>
      </c>
      <c r="D69" s="99" t="s">
        <v>181</v>
      </c>
      <c r="E69" s="78" t="s">
        <v>224</v>
      </c>
      <c r="F69" s="78" t="s">
        <v>215</v>
      </c>
      <c r="G69" s="78" t="s">
        <v>25</v>
      </c>
      <c r="H69" s="78" t="s">
        <v>167</v>
      </c>
      <c r="I69" s="78" t="s">
        <v>111</v>
      </c>
      <c r="J69" s="78" t="s">
        <v>27</v>
      </c>
      <c r="K69" s="78" t="s">
        <v>112</v>
      </c>
      <c r="L69" s="78">
        <v>2</v>
      </c>
      <c r="N69" s="78">
        <v>8</v>
      </c>
      <c r="O69" s="78">
        <v>0.55000000000000004</v>
      </c>
      <c r="P69" s="78">
        <v>0.65</v>
      </c>
      <c r="Q69" s="118">
        <f t="shared" si="4"/>
        <v>0.60000000000000009</v>
      </c>
      <c r="R69" s="78">
        <v>15.2</v>
      </c>
      <c r="S69" s="78">
        <v>126</v>
      </c>
      <c r="T69" s="16">
        <f t="shared" si="3"/>
        <v>27</v>
      </c>
      <c r="U69" s="78">
        <v>1250</v>
      </c>
      <c r="V69" s="16">
        <f t="shared" si="5"/>
        <v>4218.75</v>
      </c>
      <c r="W69" s="78">
        <v>2</v>
      </c>
      <c r="X69" s="78" t="s">
        <v>35</v>
      </c>
      <c r="Y69" s="78" t="s">
        <v>72</v>
      </c>
      <c r="Z69" s="78" t="s">
        <v>55</v>
      </c>
      <c r="AA69" s="78" t="s">
        <v>43</v>
      </c>
      <c r="AB69" s="78" t="s">
        <v>178</v>
      </c>
    </row>
    <row r="70" spans="1:28" x14ac:dyDescent="0.15">
      <c r="A70" s="78" t="s">
        <v>30</v>
      </c>
      <c r="B70" s="78" t="s">
        <v>174</v>
      </c>
      <c r="C70" s="78">
        <v>2020</v>
      </c>
      <c r="D70" s="99" t="s">
        <v>181</v>
      </c>
      <c r="E70" s="78" t="s">
        <v>224</v>
      </c>
      <c r="F70" s="78" t="s">
        <v>215</v>
      </c>
      <c r="G70" s="78" t="s">
        <v>25</v>
      </c>
      <c r="H70" s="78" t="s">
        <v>167</v>
      </c>
      <c r="I70" s="78" t="s">
        <v>111</v>
      </c>
      <c r="J70" s="78" t="s">
        <v>27</v>
      </c>
      <c r="K70" s="78" t="s">
        <v>112</v>
      </c>
      <c r="L70" s="78">
        <v>3</v>
      </c>
      <c r="N70" s="78">
        <v>8</v>
      </c>
      <c r="O70" s="78">
        <v>0.7</v>
      </c>
      <c r="P70" s="78">
        <v>0.85</v>
      </c>
      <c r="Q70" s="118">
        <f t="shared" si="4"/>
        <v>0.77499999999999991</v>
      </c>
      <c r="R70" s="78">
        <v>14.1</v>
      </c>
      <c r="S70" s="78">
        <v>124</v>
      </c>
      <c r="T70" s="16">
        <f t="shared" si="3"/>
        <v>27</v>
      </c>
      <c r="U70" s="78">
        <v>1250</v>
      </c>
      <c r="V70" s="16">
        <f t="shared" si="5"/>
        <v>4218.75</v>
      </c>
      <c r="W70" s="78">
        <v>2</v>
      </c>
      <c r="X70" s="78" t="s">
        <v>35</v>
      </c>
      <c r="Y70" s="78" t="s">
        <v>72</v>
      </c>
      <c r="Z70" s="78" t="s">
        <v>55</v>
      </c>
      <c r="AA70" s="78" t="s">
        <v>43</v>
      </c>
      <c r="AB70" s="78" t="s">
        <v>178</v>
      </c>
    </row>
    <row r="71" spans="1:28" x14ac:dyDescent="0.15">
      <c r="A71" s="78" t="s">
        <v>30</v>
      </c>
      <c r="B71" s="78" t="s">
        <v>174</v>
      </c>
      <c r="C71" s="78">
        <v>2020</v>
      </c>
      <c r="D71" s="99" t="s">
        <v>181</v>
      </c>
      <c r="E71" s="78" t="s">
        <v>224</v>
      </c>
      <c r="F71" s="78" t="s">
        <v>226</v>
      </c>
      <c r="G71" s="78" t="s">
        <v>25</v>
      </c>
      <c r="H71" s="78" t="s">
        <v>167</v>
      </c>
      <c r="I71" s="78" t="s">
        <v>111</v>
      </c>
      <c r="J71" s="78" t="s">
        <v>27</v>
      </c>
      <c r="K71" s="78" t="s">
        <v>112</v>
      </c>
      <c r="L71" s="78">
        <v>1</v>
      </c>
      <c r="N71" s="78">
        <v>1</v>
      </c>
      <c r="O71" s="78">
        <v>0.35</v>
      </c>
      <c r="P71" s="78">
        <v>0.4</v>
      </c>
      <c r="Q71" s="118">
        <f t="shared" si="4"/>
        <v>0.375</v>
      </c>
      <c r="R71" s="78">
        <v>14.8</v>
      </c>
      <c r="S71" s="78">
        <v>124</v>
      </c>
      <c r="T71" s="16">
        <f t="shared" si="3"/>
        <v>27</v>
      </c>
      <c r="U71" s="78">
        <v>128</v>
      </c>
      <c r="V71" s="16">
        <f t="shared" si="5"/>
        <v>3456</v>
      </c>
      <c r="W71" s="78">
        <v>2</v>
      </c>
      <c r="X71" s="78" t="s">
        <v>35</v>
      </c>
      <c r="Y71" s="78" t="s">
        <v>72</v>
      </c>
      <c r="Z71" s="78" t="s">
        <v>43</v>
      </c>
      <c r="AA71" s="78" t="s">
        <v>55</v>
      </c>
      <c r="AB71" s="78" t="s">
        <v>178</v>
      </c>
    </row>
    <row r="72" spans="1:28" x14ac:dyDescent="0.15">
      <c r="A72" s="78" t="s">
        <v>30</v>
      </c>
      <c r="B72" s="78" t="s">
        <v>174</v>
      </c>
      <c r="C72" s="78">
        <v>2020</v>
      </c>
      <c r="D72" s="99" t="s">
        <v>181</v>
      </c>
      <c r="E72" s="78" t="s">
        <v>224</v>
      </c>
      <c r="F72" s="78" t="s">
        <v>226</v>
      </c>
      <c r="G72" s="78" t="s">
        <v>25</v>
      </c>
      <c r="H72" s="78" t="s">
        <v>167</v>
      </c>
      <c r="I72" s="78" t="s">
        <v>111</v>
      </c>
      <c r="J72" s="78" t="s">
        <v>27</v>
      </c>
      <c r="K72" s="78" t="s">
        <v>112</v>
      </c>
      <c r="L72" s="78">
        <v>2</v>
      </c>
      <c r="N72" s="78">
        <v>1</v>
      </c>
      <c r="O72" s="78">
        <v>0.4</v>
      </c>
      <c r="P72" s="78">
        <v>0.55000000000000004</v>
      </c>
      <c r="Q72" s="118">
        <f t="shared" si="4"/>
        <v>0.47500000000000003</v>
      </c>
      <c r="R72" s="78">
        <v>14.2</v>
      </c>
      <c r="S72" s="78">
        <v>126</v>
      </c>
      <c r="T72" s="16">
        <f t="shared" si="3"/>
        <v>27</v>
      </c>
      <c r="U72" s="78">
        <v>128</v>
      </c>
      <c r="V72" s="16">
        <f t="shared" si="5"/>
        <v>3456</v>
      </c>
      <c r="W72" s="78">
        <v>2</v>
      </c>
      <c r="X72" s="78" t="s">
        <v>35</v>
      </c>
      <c r="Y72" s="78" t="s">
        <v>72</v>
      </c>
      <c r="Z72" s="78" t="s">
        <v>43</v>
      </c>
      <c r="AA72" s="78" t="s">
        <v>55</v>
      </c>
      <c r="AB72" s="78" t="s">
        <v>178</v>
      </c>
    </row>
    <row r="73" spans="1:28" x14ac:dyDescent="0.15">
      <c r="A73" s="78" t="s">
        <v>30</v>
      </c>
      <c r="B73" s="78" t="s">
        <v>174</v>
      </c>
      <c r="C73" s="78">
        <v>2020</v>
      </c>
      <c r="D73" s="99" t="s">
        <v>181</v>
      </c>
      <c r="E73" s="78" t="s">
        <v>224</v>
      </c>
      <c r="F73" s="78" t="s">
        <v>226</v>
      </c>
      <c r="G73" s="78" t="s">
        <v>25</v>
      </c>
      <c r="H73" s="78" t="s">
        <v>167</v>
      </c>
      <c r="I73" s="78" t="s">
        <v>111</v>
      </c>
      <c r="J73" s="78" t="s">
        <v>27</v>
      </c>
      <c r="K73" s="78" t="s">
        <v>112</v>
      </c>
      <c r="L73" s="78">
        <v>3</v>
      </c>
      <c r="N73" s="78">
        <v>1</v>
      </c>
      <c r="O73" s="78">
        <v>0.3</v>
      </c>
      <c r="P73" s="78">
        <v>0.35</v>
      </c>
      <c r="Q73" s="118">
        <f t="shared" si="4"/>
        <v>0.32499999999999996</v>
      </c>
      <c r="R73" s="78">
        <v>16.8</v>
      </c>
      <c r="S73" s="78">
        <v>123</v>
      </c>
      <c r="T73" s="16">
        <f t="shared" si="3"/>
        <v>27</v>
      </c>
      <c r="U73" s="78">
        <v>128</v>
      </c>
      <c r="V73" s="16">
        <f t="shared" si="5"/>
        <v>3456</v>
      </c>
      <c r="W73" s="78">
        <v>2</v>
      </c>
      <c r="X73" s="78" t="s">
        <v>35</v>
      </c>
      <c r="Y73" s="78" t="s">
        <v>72</v>
      </c>
      <c r="Z73" s="78" t="s">
        <v>43</v>
      </c>
      <c r="AA73" s="78" t="s">
        <v>55</v>
      </c>
      <c r="AB73" s="78" t="s">
        <v>178</v>
      </c>
    </row>
    <row r="74" spans="1:28" x14ac:dyDescent="0.15">
      <c r="A74" s="78" t="s">
        <v>30</v>
      </c>
      <c r="B74" s="78" t="s">
        <v>174</v>
      </c>
      <c r="C74" s="78">
        <v>2020</v>
      </c>
      <c r="D74" s="99" t="s">
        <v>181</v>
      </c>
      <c r="E74" s="78" t="s">
        <v>224</v>
      </c>
      <c r="F74" s="78" t="s">
        <v>226</v>
      </c>
      <c r="G74" s="78" t="s">
        <v>25</v>
      </c>
      <c r="H74" s="78" t="s">
        <v>167</v>
      </c>
      <c r="I74" s="78" t="s">
        <v>111</v>
      </c>
      <c r="J74" s="78" t="s">
        <v>27</v>
      </c>
      <c r="K74" s="78" t="s">
        <v>112</v>
      </c>
      <c r="L74" s="78">
        <v>1</v>
      </c>
      <c r="N74" s="78">
        <v>4</v>
      </c>
      <c r="O74" s="78">
        <v>0.4</v>
      </c>
      <c r="P74" s="78">
        <v>0.35</v>
      </c>
      <c r="Q74" s="118">
        <f t="shared" si="4"/>
        <v>0.375</v>
      </c>
      <c r="R74" s="78">
        <v>15.4</v>
      </c>
      <c r="S74" s="78">
        <v>124</v>
      </c>
      <c r="T74" s="16">
        <f t="shared" si="3"/>
        <v>27</v>
      </c>
      <c r="U74" s="78">
        <v>498</v>
      </c>
      <c r="V74" s="16">
        <f t="shared" si="5"/>
        <v>3361.5</v>
      </c>
      <c r="W74" s="78">
        <v>2</v>
      </c>
      <c r="X74" s="78" t="s">
        <v>35</v>
      </c>
      <c r="Y74" s="78" t="s">
        <v>72</v>
      </c>
      <c r="Z74" s="78" t="s">
        <v>43</v>
      </c>
      <c r="AA74" s="78" t="s">
        <v>55</v>
      </c>
      <c r="AB74" s="78" t="s">
        <v>178</v>
      </c>
    </row>
    <row r="75" spans="1:28" x14ac:dyDescent="0.15">
      <c r="A75" s="78" t="s">
        <v>30</v>
      </c>
      <c r="B75" s="78" t="s">
        <v>174</v>
      </c>
      <c r="C75" s="78">
        <v>2020</v>
      </c>
      <c r="D75" s="99" t="s">
        <v>181</v>
      </c>
      <c r="E75" s="78" t="s">
        <v>224</v>
      </c>
      <c r="F75" s="78" t="s">
        <v>226</v>
      </c>
      <c r="G75" s="78" t="s">
        <v>25</v>
      </c>
      <c r="H75" s="78" t="s">
        <v>167</v>
      </c>
      <c r="I75" s="78" t="s">
        <v>111</v>
      </c>
      <c r="J75" s="78" t="s">
        <v>27</v>
      </c>
      <c r="K75" s="78" t="s">
        <v>112</v>
      </c>
      <c r="L75" s="78">
        <v>2</v>
      </c>
      <c r="N75" s="78">
        <v>4</v>
      </c>
      <c r="O75" s="78">
        <v>0.5</v>
      </c>
      <c r="P75" s="78">
        <v>0.4</v>
      </c>
      <c r="Q75" s="118">
        <f t="shared" si="4"/>
        <v>0.45</v>
      </c>
      <c r="R75" s="78">
        <v>17.100000000000001</v>
      </c>
      <c r="S75" s="78">
        <v>122</v>
      </c>
      <c r="T75" s="16">
        <f t="shared" si="3"/>
        <v>27</v>
      </c>
      <c r="U75" s="78">
        <v>498</v>
      </c>
      <c r="V75" s="16">
        <f t="shared" si="5"/>
        <v>3361.5</v>
      </c>
      <c r="W75" s="78">
        <v>2</v>
      </c>
      <c r="X75" s="78" t="s">
        <v>35</v>
      </c>
      <c r="Y75" s="78" t="s">
        <v>72</v>
      </c>
      <c r="Z75" s="78" t="s">
        <v>43</v>
      </c>
      <c r="AA75" s="78" t="s">
        <v>55</v>
      </c>
      <c r="AB75" s="78" t="s">
        <v>178</v>
      </c>
    </row>
    <row r="76" spans="1:28" x14ac:dyDescent="0.15">
      <c r="A76" s="78" t="s">
        <v>30</v>
      </c>
      <c r="B76" s="78" t="s">
        <v>174</v>
      </c>
      <c r="C76" s="78">
        <v>2020</v>
      </c>
      <c r="D76" s="99" t="s">
        <v>181</v>
      </c>
      <c r="E76" s="78" t="s">
        <v>224</v>
      </c>
      <c r="F76" s="78" t="s">
        <v>226</v>
      </c>
      <c r="G76" s="78" t="s">
        <v>25</v>
      </c>
      <c r="H76" s="78" t="s">
        <v>167</v>
      </c>
      <c r="I76" s="78" t="s">
        <v>111</v>
      </c>
      <c r="J76" s="78" t="s">
        <v>27</v>
      </c>
      <c r="K76" s="78" t="s">
        <v>112</v>
      </c>
      <c r="L76" s="78">
        <v>3</v>
      </c>
      <c r="N76" s="78">
        <v>4</v>
      </c>
      <c r="O76" s="78">
        <v>0.35</v>
      </c>
      <c r="P76" s="78">
        <v>0.3</v>
      </c>
      <c r="Q76" s="118">
        <f t="shared" si="4"/>
        <v>0.32499999999999996</v>
      </c>
      <c r="R76" s="78">
        <v>17.899999999999999</v>
      </c>
      <c r="S76" s="78">
        <v>120</v>
      </c>
      <c r="T76" s="16">
        <f t="shared" si="3"/>
        <v>30</v>
      </c>
      <c r="U76" s="78">
        <v>498</v>
      </c>
      <c r="V76" s="16">
        <f t="shared" si="5"/>
        <v>3735</v>
      </c>
      <c r="W76" s="78">
        <v>2</v>
      </c>
      <c r="X76" s="78" t="s">
        <v>35</v>
      </c>
      <c r="Y76" s="78" t="s">
        <v>72</v>
      </c>
      <c r="Z76" s="78" t="s">
        <v>43</v>
      </c>
      <c r="AA76" s="78" t="s">
        <v>55</v>
      </c>
      <c r="AB76" s="78" t="s">
        <v>178</v>
      </c>
    </row>
    <row r="77" spans="1:28" x14ac:dyDescent="0.15">
      <c r="A77" s="78" t="s">
        <v>30</v>
      </c>
      <c r="B77" s="78" t="s">
        <v>174</v>
      </c>
      <c r="C77" s="78">
        <v>2020</v>
      </c>
      <c r="D77" s="99" t="s">
        <v>181</v>
      </c>
      <c r="E77" s="78" t="s">
        <v>224</v>
      </c>
      <c r="F77" s="78" t="s">
        <v>226</v>
      </c>
      <c r="G77" s="78" t="s">
        <v>25</v>
      </c>
      <c r="H77" s="78" t="s">
        <v>167</v>
      </c>
      <c r="I77" s="78" t="s">
        <v>111</v>
      </c>
      <c r="J77" s="78" t="s">
        <v>27</v>
      </c>
      <c r="K77" s="78" t="s">
        <v>112</v>
      </c>
      <c r="L77" s="78">
        <v>1</v>
      </c>
      <c r="N77" s="78">
        <v>8</v>
      </c>
      <c r="O77" s="78">
        <v>0.7</v>
      </c>
      <c r="P77" s="78">
        <v>0.6</v>
      </c>
      <c r="Q77" s="118">
        <f t="shared" si="4"/>
        <v>0.64999999999999991</v>
      </c>
      <c r="R77" s="78">
        <v>16</v>
      </c>
      <c r="S77" s="78">
        <v>120</v>
      </c>
      <c r="T77" s="16">
        <f t="shared" ref="T77:T85" si="6">IF(H77="","",IF(OR(H77="GREEN",H77="GK"),IF(S77&gt;=$AX$2,VLOOKUP(S77,$AX$2:$AY$12,2,1),""),IF(S77&gt;=$AZ$2,VLOOKUP(S77,$AZ$2:$BA$12,2,1),"")))</f>
        <v>30</v>
      </c>
      <c r="U77" s="78">
        <v>980</v>
      </c>
      <c r="V77" s="16">
        <f t="shared" si="5"/>
        <v>3675</v>
      </c>
      <c r="W77" s="78">
        <v>2</v>
      </c>
      <c r="X77" s="78" t="s">
        <v>35</v>
      </c>
      <c r="Y77" s="78" t="s">
        <v>72</v>
      </c>
      <c r="Z77" s="78" t="s">
        <v>43</v>
      </c>
      <c r="AA77" s="78" t="s">
        <v>55</v>
      </c>
      <c r="AB77" s="78" t="s">
        <v>178</v>
      </c>
    </row>
    <row r="78" spans="1:28" x14ac:dyDescent="0.15">
      <c r="A78" s="78" t="s">
        <v>30</v>
      </c>
      <c r="B78" s="78" t="s">
        <v>174</v>
      </c>
      <c r="C78" s="78">
        <v>2020</v>
      </c>
      <c r="D78" s="99" t="s">
        <v>181</v>
      </c>
      <c r="E78" s="78" t="s">
        <v>224</v>
      </c>
      <c r="F78" s="78" t="s">
        <v>226</v>
      </c>
      <c r="G78" s="78" t="s">
        <v>25</v>
      </c>
      <c r="H78" s="78" t="s">
        <v>167</v>
      </c>
      <c r="I78" s="78" t="s">
        <v>111</v>
      </c>
      <c r="J78" s="78" t="s">
        <v>27</v>
      </c>
      <c r="K78" s="78" t="s">
        <v>112</v>
      </c>
      <c r="L78" s="78">
        <v>2</v>
      </c>
      <c r="N78" s="78">
        <v>8</v>
      </c>
      <c r="O78" s="78">
        <v>0.65</v>
      </c>
      <c r="P78" s="78">
        <v>0.55000000000000004</v>
      </c>
      <c r="Q78" s="118">
        <f t="shared" si="4"/>
        <v>0.60000000000000009</v>
      </c>
      <c r="R78" s="78">
        <v>14.3</v>
      </c>
      <c r="S78" s="78">
        <v>116</v>
      </c>
      <c r="T78" s="16">
        <f t="shared" si="6"/>
        <v>30</v>
      </c>
      <c r="U78" s="78">
        <v>980</v>
      </c>
      <c r="V78" s="16">
        <f t="shared" si="5"/>
        <v>3675</v>
      </c>
      <c r="W78" s="78">
        <v>2</v>
      </c>
      <c r="X78" s="78" t="s">
        <v>35</v>
      </c>
      <c r="Y78" s="78" t="s">
        <v>72</v>
      </c>
      <c r="Z78" s="78" t="s">
        <v>43</v>
      </c>
      <c r="AA78" s="78" t="s">
        <v>55</v>
      </c>
      <c r="AB78" s="78" t="s">
        <v>178</v>
      </c>
    </row>
    <row r="79" spans="1:28" x14ac:dyDescent="0.15">
      <c r="A79" s="78" t="s">
        <v>30</v>
      </c>
      <c r="B79" s="78" t="s">
        <v>174</v>
      </c>
      <c r="C79" s="78">
        <v>2020</v>
      </c>
      <c r="D79" s="99" t="s">
        <v>181</v>
      </c>
      <c r="E79" s="78" t="s">
        <v>224</v>
      </c>
      <c r="F79" s="78" t="s">
        <v>226</v>
      </c>
      <c r="G79" s="78" t="s">
        <v>25</v>
      </c>
      <c r="H79" s="78" t="s">
        <v>167</v>
      </c>
      <c r="I79" s="78" t="s">
        <v>111</v>
      </c>
      <c r="J79" s="78" t="s">
        <v>27</v>
      </c>
      <c r="K79" s="78" t="s">
        <v>112</v>
      </c>
      <c r="L79" s="78">
        <v>3</v>
      </c>
      <c r="N79" s="78">
        <v>8</v>
      </c>
      <c r="O79" s="78">
        <v>0.7</v>
      </c>
      <c r="P79" s="78">
        <v>0.85</v>
      </c>
      <c r="Q79" s="118">
        <f t="shared" si="4"/>
        <v>0.77499999999999991</v>
      </c>
      <c r="R79" s="78">
        <v>14.5</v>
      </c>
      <c r="S79" s="78">
        <v>118</v>
      </c>
      <c r="T79" s="16">
        <f t="shared" si="6"/>
        <v>30</v>
      </c>
      <c r="U79" s="78">
        <v>980</v>
      </c>
      <c r="V79" s="16">
        <f t="shared" si="5"/>
        <v>3675</v>
      </c>
      <c r="W79" s="78">
        <v>2</v>
      </c>
      <c r="X79" s="78" t="s">
        <v>35</v>
      </c>
      <c r="Y79" s="78" t="s">
        <v>72</v>
      </c>
      <c r="Z79" s="78" t="s">
        <v>43</v>
      </c>
      <c r="AA79" s="78" t="s">
        <v>55</v>
      </c>
      <c r="AB79" s="78" t="s">
        <v>178</v>
      </c>
    </row>
    <row r="80" spans="1:28" x14ac:dyDescent="0.15">
      <c r="A80" s="78" t="s">
        <v>30</v>
      </c>
      <c r="B80" s="78" t="s">
        <v>174</v>
      </c>
      <c r="C80" s="78">
        <v>2020</v>
      </c>
      <c r="D80" s="99" t="s">
        <v>181</v>
      </c>
      <c r="E80" s="78" t="s">
        <v>224</v>
      </c>
      <c r="F80" s="78" t="s">
        <v>226</v>
      </c>
      <c r="G80" s="78" t="s">
        <v>25</v>
      </c>
      <c r="H80" s="78" t="s">
        <v>113</v>
      </c>
      <c r="I80" s="78" t="s">
        <v>111</v>
      </c>
      <c r="J80" s="78" t="s">
        <v>27</v>
      </c>
      <c r="K80" s="78" t="s">
        <v>112</v>
      </c>
      <c r="L80" s="78">
        <v>1</v>
      </c>
      <c r="N80" s="78">
        <v>1</v>
      </c>
      <c r="O80" s="78">
        <v>0.55000000000000004</v>
      </c>
      <c r="P80" s="78">
        <v>0.6</v>
      </c>
      <c r="Q80" s="118">
        <f t="shared" si="4"/>
        <v>0.57499999999999996</v>
      </c>
      <c r="R80" s="78">
        <v>14.9</v>
      </c>
      <c r="S80" s="78">
        <v>127</v>
      </c>
      <c r="T80" s="16">
        <f t="shared" si="6"/>
        <v>27</v>
      </c>
      <c r="U80" s="78">
        <v>128</v>
      </c>
      <c r="V80" s="16">
        <f t="shared" si="5"/>
        <v>3456</v>
      </c>
      <c r="W80" s="78">
        <v>2</v>
      </c>
      <c r="X80" s="78" t="s">
        <v>35</v>
      </c>
      <c r="Y80" s="78" t="s">
        <v>72</v>
      </c>
      <c r="Z80" s="78" t="s">
        <v>43</v>
      </c>
      <c r="AA80" s="78" t="s">
        <v>55</v>
      </c>
      <c r="AB80" s="78" t="s">
        <v>178</v>
      </c>
    </row>
    <row r="81" spans="1:28" x14ac:dyDescent="0.15">
      <c r="A81" s="78" t="s">
        <v>30</v>
      </c>
      <c r="B81" s="78" t="s">
        <v>174</v>
      </c>
      <c r="C81" s="78">
        <v>2020</v>
      </c>
      <c r="D81" s="99" t="s">
        <v>181</v>
      </c>
      <c r="E81" s="78" t="s">
        <v>224</v>
      </c>
      <c r="F81" s="78" t="s">
        <v>226</v>
      </c>
      <c r="G81" s="78" t="s">
        <v>25</v>
      </c>
      <c r="H81" s="78" t="s">
        <v>113</v>
      </c>
      <c r="I81" s="78" t="s">
        <v>111</v>
      </c>
      <c r="J81" s="78" t="s">
        <v>27</v>
      </c>
      <c r="K81" s="78" t="s">
        <v>112</v>
      </c>
      <c r="L81" s="78">
        <v>2</v>
      </c>
      <c r="N81" s="78">
        <v>1</v>
      </c>
      <c r="O81" s="78">
        <v>0.7</v>
      </c>
      <c r="P81" s="78">
        <v>0.75</v>
      </c>
      <c r="Q81" s="118">
        <f t="shared" si="4"/>
        <v>0.72499999999999998</v>
      </c>
      <c r="R81" s="78">
        <v>13.6</v>
      </c>
      <c r="S81" s="78">
        <v>128</v>
      </c>
      <c r="T81" s="16">
        <f t="shared" si="6"/>
        <v>27</v>
      </c>
      <c r="U81" s="78">
        <v>128</v>
      </c>
      <c r="V81" s="16">
        <f>IF(OR(N81="",U81="",T81=""),"",U81/N81*T81)</f>
        <v>3456</v>
      </c>
      <c r="W81" s="78">
        <v>2</v>
      </c>
      <c r="X81" s="78" t="s">
        <v>35</v>
      </c>
      <c r="Y81" s="78" t="s">
        <v>72</v>
      </c>
      <c r="Z81" s="78" t="s">
        <v>43</v>
      </c>
      <c r="AA81" s="78" t="s">
        <v>55</v>
      </c>
      <c r="AB81" s="78" t="s">
        <v>178</v>
      </c>
    </row>
    <row r="82" spans="1:28" x14ac:dyDescent="0.15">
      <c r="A82" s="78" t="s">
        <v>30</v>
      </c>
      <c r="B82" s="78" t="s">
        <v>174</v>
      </c>
      <c r="C82" s="78">
        <v>2020</v>
      </c>
      <c r="D82" s="99" t="s">
        <v>181</v>
      </c>
      <c r="E82" s="78" t="s">
        <v>224</v>
      </c>
      <c r="F82" s="78" t="s">
        <v>226</v>
      </c>
      <c r="G82" s="78" t="s">
        <v>25</v>
      </c>
      <c r="H82" s="78" t="s">
        <v>113</v>
      </c>
      <c r="I82" s="78" t="s">
        <v>111</v>
      </c>
      <c r="J82" s="78" t="s">
        <v>27</v>
      </c>
      <c r="K82" s="78" t="s">
        <v>112</v>
      </c>
      <c r="L82" s="78">
        <v>3</v>
      </c>
      <c r="N82" s="78">
        <v>1</v>
      </c>
      <c r="O82" s="78">
        <v>0.65</v>
      </c>
      <c r="P82" s="78">
        <v>0.5</v>
      </c>
      <c r="Q82" s="118">
        <f t="shared" si="4"/>
        <v>0.57499999999999996</v>
      </c>
      <c r="R82" s="78">
        <v>14.6</v>
      </c>
      <c r="S82" s="78">
        <v>126</v>
      </c>
      <c r="T82" s="16">
        <f t="shared" si="6"/>
        <v>27</v>
      </c>
      <c r="U82" s="78">
        <v>128</v>
      </c>
      <c r="V82" s="16">
        <f>IF(OR(N82="",U82="",T82=""),"",U82/N82*T82)</f>
        <v>3456</v>
      </c>
      <c r="W82" s="78">
        <v>2</v>
      </c>
      <c r="X82" s="78" t="s">
        <v>35</v>
      </c>
      <c r="Y82" s="78" t="s">
        <v>72</v>
      </c>
      <c r="Z82" s="78" t="s">
        <v>43</v>
      </c>
      <c r="AA82" s="78" t="s">
        <v>55</v>
      </c>
      <c r="AB82" s="78" t="s">
        <v>178</v>
      </c>
    </row>
    <row r="83" spans="1:28" x14ac:dyDescent="0.15">
      <c r="A83" s="78" t="s">
        <v>30</v>
      </c>
      <c r="B83" s="78" t="s">
        <v>174</v>
      </c>
      <c r="C83" s="78">
        <v>2020</v>
      </c>
      <c r="D83" s="99" t="s">
        <v>181</v>
      </c>
      <c r="E83" s="78" t="s">
        <v>224</v>
      </c>
      <c r="F83" s="78" t="s">
        <v>226</v>
      </c>
      <c r="G83" s="78" t="s">
        <v>25</v>
      </c>
      <c r="H83" s="78" t="s">
        <v>113</v>
      </c>
      <c r="I83" s="78" t="s">
        <v>111</v>
      </c>
      <c r="J83" s="78" t="s">
        <v>27</v>
      </c>
      <c r="K83" s="78" t="s">
        <v>112</v>
      </c>
      <c r="L83" s="78">
        <v>1</v>
      </c>
      <c r="N83" s="78">
        <v>5</v>
      </c>
      <c r="O83" s="78">
        <v>0.8</v>
      </c>
      <c r="P83" s="78">
        <v>0.9</v>
      </c>
      <c r="Q83" s="118">
        <f t="shared" si="4"/>
        <v>0.85000000000000009</v>
      </c>
      <c r="R83" s="78">
        <v>14.7</v>
      </c>
      <c r="S83" s="78">
        <v>114</v>
      </c>
      <c r="T83" s="16">
        <f t="shared" si="6"/>
        <v>30</v>
      </c>
      <c r="U83" s="78">
        <v>398</v>
      </c>
      <c r="V83" s="16">
        <f>IF(OR(N83="",U83="",T83=""),"",U83/N83*T83)</f>
        <v>2388</v>
      </c>
      <c r="W83" s="78">
        <v>2</v>
      </c>
      <c r="X83" s="78" t="s">
        <v>35</v>
      </c>
      <c r="Y83" s="78" t="s">
        <v>72</v>
      </c>
      <c r="Z83" s="78" t="s">
        <v>43</v>
      </c>
      <c r="AA83" s="78" t="s">
        <v>55</v>
      </c>
      <c r="AB83" s="78" t="s">
        <v>178</v>
      </c>
    </row>
    <row r="84" spans="1:28" x14ac:dyDescent="0.15">
      <c r="A84" s="78" t="s">
        <v>30</v>
      </c>
      <c r="B84" s="78" t="s">
        <v>174</v>
      </c>
      <c r="C84" s="78">
        <v>2020</v>
      </c>
      <c r="D84" s="99" t="s">
        <v>181</v>
      </c>
      <c r="E84" s="78" t="s">
        <v>224</v>
      </c>
      <c r="F84" s="78" t="s">
        <v>226</v>
      </c>
      <c r="G84" s="78" t="s">
        <v>25</v>
      </c>
      <c r="H84" s="78" t="s">
        <v>113</v>
      </c>
      <c r="I84" s="78" t="s">
        <v>111</v>
      </c>
      <c r="J84" s="78" t="s">
        <v>27</v>
      </c>
      <c r="K84" s="78" t="s">
        <v>112</v>
      </c>
      <c r="L84" s="78">
        <v>2</v>
      </c>
      <c r="N84" s="78">
        <v>5</v>
      </c>
      <c r="O84" s="78">
        <v>0.7</v>
      </c>
      <c r="P84" s="78">
        <v>0.85</v>
      </c>
      <c r="Q84" s="118">
        <f t="shared" si="4"/>
        <v>0.77499999999999991</v>
      </c>
      <c r="R84" s="78">
        <v>13.8</v>
      </c>
      <c r="S84" s="78">
        <v>112</v>
      </c>
      <c r="T84" s="16">
        <f t="shared" si="6"/>
        <v>33</v>
      </c>
      <c r="U84" s="78">
        <v>398</v>
      </c>
      <c r="V84" s="16">
        <f>IF(OR(N84="",U84="",T84=""),"",U84/N84*T84)</f>
        <v>2626.7999999999997</v>
      </c>
      <c r="W84" s="78">
        <v>2</v>
      </c>
      <c r="X84" s="78" t="s">
        <v>35</v>
      </c>
      <c r="Y84" s="78" t="s">
        <v>72</v>
      </c>
      <c r="Z84" s="78" t="s">
        <v>43</v>
      </c>
      <c r="AA84" s="78" t="s">
        <v>55</v>
      </c>
      <c r="AB84" s="78" t="s">
        <v>178</v>
      </c>
    </row>
    <row r="85" spans="1:28" x14ac:dyDescent="0.15">
      <c r="A85" s="78" t="s">
        <v>30</v>
      </c>
      <c r="B85" s="78" t="s">
        <v>174</v>
      </c>
      <c r="C85" s="78">
        <v>2020</v>
      </c>
      <c r="D85" s="99" t="s">
        <v>181</v>
      </c>
      <c r="E85" s="78" t="s">
        <v>224</v>
      </c>
      <c r="F85" s="78" t="s">
        <v>226</v>
      </c>
      <c r="G85" s="78" t="s">
        <v>25</v>
      </c>
      <c r="H85" s="78" t="s">
        <v>113</v>
      </c>
      <c r="I85" s="78" t="s">
        <v>111</v>
      </c>
      <c r="J85" s="78" t="s">
        <v>27</v>
      </c>
      <c r="K85" s="78" t="s">
        <v>112</v>
      </c>
      <c r="L85" s="78">
        <v>3</v>
      </c>
      <c r="N85" s="78">
        <v>5</v>
      </c>
      <c r="O85" s="78">
        <v>0.65</v>
      </c>
      <c r="P85" s="78">
        <v>0.6</v>
      </c>
      <c r="Q85" s="118">
        <f t="shared" si="4"/>
        <v>0.625</v>
      </c>
      <c r="R85" s="78">
        <v>13.4</v>
      </c>
      <c r="S85" s="78">
        <v>110</v>
      </c>
      <c r="T85" s="16">
        <f t="shared" si="6"/>
        <v>33</v>
      </c>
      <c r="U85" s="78">
        <v>398</v>
      </c>
      <c r="V85" s="16">
        <f>IF(OR(N85="",U85="",T85=""),"",U85/N85*T85)</f>
        <v>2626.7999999999997</v>
      </c>
      <c r="W85" s="78">
        <v>2</v>
      </c>
      <c r="X85" s="78" t="s">
        <v>35</v>
      </c>
      <c r="Y85" s="78" t="s">
        <v>72</v>
      </c>
      <c r="Z85" s="78" t="s">
        <v>43</v>
      </c>
      <c r="AA85" s="78" t="s">
        <v>55</v>
      </c>
      <c r="AB85" s="78" t="s">
        <v>178</v>
      </c>
    </row>
    <row r="86" spans="1:28" x14ac:dyDescent="0.15">
      <c r="A86" s="78" t="s">
        <v>30</v>
      </c>
      <c r="B86" s="78" t="s">
        <v>174</v>
      </c>
      <c r="C86" s="78">
        <v>2020</v>
      </c>
      <c r="D86" s="99" t="s">
        <v>181</v>
      </c>
      <c r="E86" s="78" t="s">
        <v>228</v>
      </c>
      <c r="F86" s="78" t="s">
        <v>226</v>
      </c>
      <c r="G86" s="78" t="s">
        <v>25</v>
      </c>
      <c r="H86" s="78" t="s">
        <v>113</v>
      </c>
      <c r="I86" s="78" t="s">
        <v>111</v>
      </c>
      <c r="J86" s="78" t="s">
        <v>27</v>
      </c>
      <c r="K86" s="78" t="s">
        <v>112</v>
      </c>
      <c r="L86" s="78">
        <v>1</v>
      </c>
      <c r="N86" s="78">
        <v>1</v>
      </c>
      <c r="O86" s="78">
        <v>0.85</v>
      </c>
      <c r="P86" s="78">
        <v>0.7</v>
      </c>
      <c r="Q86" s="118">
        <f t="shared" si="4"/>
        <v>0.77499999999999991</v>
      </c>
      <c r="R86" s="78">
        <v>12.7</v>
      </c>
      <c r="S86" s="78">
        <v>119</v>
      </c>
      <c r="T86" s="16">
        <f>IF(H86="","",IF(OR(H86="GREEN",H86="GK"),IF(S86&gt;=$AX$2,VLOOKUP(S86,$AX$2:$AY$10,2,1),""),IF(S86&gt;=$AZ$2,VLOOKUP(S86,$AZ$2:$BA$10,2,1),"")))</f>
        <v>30</v>
      </c>
      <c r="U86" s="78">
        <v>87</v>
      </c>
      <c r="V86" s="16">
        <f t="shared" ref="V86:V149" si="7">IF(OR(N86="",U86="",T86=""),"",U86/N86*T86)</f>
        <v>2610</v>
      </c>
      <c r="W86" s="78">
        <v>3</v>
      </c>
      <c r="X86" s="78" t="s">
        <v>35</v>
      </c>
      <c r="Y86" s="78" t="s">
        <v>55</v>
      </c>
      <c r="Z86" s="78" t="s">
        <v>29</v>
      </c>
      <c r="AA86" s="78" t="s">
        <v>43</v>
      </c>
      <c r="AB86" s="78" t="s">
        <v>178</v>
      </c>
    </row>
    <row r="87" spans="1:28" x14ac:dyDescent="0.15">
      <c r="A87" s="78" t="s">
        <v>30</v>
      </c>
      <c r="B87" s="78" t="s">
        <v>174</v>
      </c>
      <c r="C87" s="78">
        <v>2020</v>
      </c>
      <c r="D87" s="99" t="s">
        <v>181</v>
      </c>
      <c r="E87" s="78" t="s">
        <v>228</v>
      </c>
      <c r="F87" s="78" t="s">
        <v>226</v>
      </c>
      <c r="G87" s="78" t="s">
        <v>25</v>
      </c>
      <c r="H87" s="78" t="s">
        <v>113</v>
      </c>
      <c r="I87" s="78" t="s">
        <v>111</v>
      </c>
      <c r="J87" s="78" t="s">
        <v>27</v>
      </c>
      <c r="K87" s="78" t="s">
        <v>112</v>
      </c>
      <c r="L87" s="78">
        <v>2</v>
      </c>
      <c r="N87" s="78">
        <v>1</v>
      </c>
      <c r="O87" s="78">
        <v>0.7</v>
      </c>
      <c r="P87" s="78">
        <v>0.65</v>
      </c>
      <c r="Q87" s="118">
        <f t="shared" si="4"/>
        <v>0.67500000000000004</v>
      </c>
      <c r="R87" s="78">
        <v>13.2</v>
      </c>
      <c r="S87" s="78">
        <v>115</v>
      </c>
      <c r="T87" s="16">
        <f>IF(H87="","",IF(OR(H87="GREEN",H87="GK"),IF(S87&gt;=$AX$2,VLOOKUP(S87,$AX$2:$AY$10,2,1),""),IF(S87&gt;=$AZ$2,VLOOKUP(S87,$AZ$2:$BA$10,2,1),"")))</f>
        <v>30</v>
      </c>
      <c r="U87" s="78">
        <v>87</v>
      </c>
      <c r="V87" s="16">
        <f t="shared" si="7"/>
        <v>2610</v>
      </c>
      <c r="W87" s="78">
        <v>3</v>
      </c>
      <c r="X87" s="78" t="s">
        <v>35</v>
      </c>
      <c r="Y87" s="78" t="s">
        <v>55</v>
      </c>
      <c r="Z87" s="78" t="s">
        <v>29</v>
      </c>
      <c r="AA87" s="78" t="s">
        <v>43</v>
      </c>
      <c r="AB87" s="78" t="s">
        <v>178</v>
      </c>
    </row>
    <row r="88" spans="1:28" x14ac:dyDescent="0.15">
      <c r="A88" s="78" t="s">
        <v>30</v>
      </c>
      <c r="B88" s="78" t="s">
        <v>174</v>
      </c>
      <c r="C88" s="78">
        <v>2020</v>
      </c>
      <c r="D88" s="99" t="s">
        <v>181</v>
      </c>
      <c r="E88" s="78" t="s">
        <v>228</v>
      </c>
      <c r="F88" s="78" t="s">
        <v>226</v>
      </c>
      <c r="G88" s="78" t="s">
        <v>25</v>
      </c>
      <c r="H88" s="78" t="s">
        <v>113</v>
      </c>
      <c r="I88" s="78" t="s">
        <v>111</v>
      </c>
      <c r="J88" s="78" t="s">
        <v>27</v>
      </c>
      <c r="K88" s="78" t="s">
        <v>112</v>
      </c>
      <c r="L88" s="78">
        <v>3</v>
      </c>
      <c r="N88" s="78">
        <v>1</v>
      </c>
      <c r="O88" s="78">
        <v>0.65</v>
      </c>
      <c r="P88" s="78">
        <v>0.5</v>
      </c>
      <c r="Q88" s="118">
        <f t="shared" si="4"/>
        <v>0.57499999999999996</v>
      </c>
      <c r="R88" s="78">
        <v>13</v>
      </c>
      <c r="S88" s="78">
        <v>116</v>
      </c>
      <c r="T88" s="16">
        <f>IF(H88="","",IF(OR(H88="GREEN",H88="GK"),IF(S88&gt;=$AX$2,VLOOKUP(S88,$AX$2:$AY$10,2,1),""),IF(S88&gt;=$AZ$2,VLOOKUP(S88,$AZ$2:$BA$10,2,1),"")))</f>
        <v>30</v>
      </c>
      <c r="U88" s="78">
        <v>87</v>
      </c>
      <c r="V88" s="16">
        <f t="shared" si="7"/>
        <v>2610</v>
      </c>
      <c r="W88" s="78">
        <v>3</v>
      </c>
      <c r="X88" s="78" t="s">
        <v>35</v>
      </c>
      <c r="Y88" s="78" t="s">
        <v>55</v>
      </c>
      <c r="Z88" s="78" t="s">
        <v>29</v>
      </c>
      <c r="AA88" s="78" t="s">
        <v>43</v>
      </c>
      <c r="AB88" s="78" t="s">
        <v>178</v>
      </c>
    </row>
    <row r="89" spans="1:28" x14ac:dyDescent="0.15">
      <c r="A89" s="78" t="s">
        <v>30</v>
      </c>
      <c r="B89" s="78" t="s">
        <v>174</v>
      </c>
      <c r="C89" s="78">
        <v>2020</v>
      </c>
      <c r="D89" s="99" t="s">
        <v>181</v>
      </c>
      <c r="E89" s="78" t="s">
        <v>228</v>
      </c>
      <c r="F89" s="78" t="s">
        <v>226</v>
      </c>
      <c r="G89" s="78" t="s">
        <v>25</v>
      </c>
      <c r="H89" s="78" t="s">
        <v>167</v>
      </c>
      <c r="I89" s="78" t="s">
        <v>111</v>
      </c>
      <c r="J89" s="78" t="s">
        <v>27</v>
      </c>
      <c r="K89" s="78" t="s">
        <v>112</v>
      </c>
      <c r="L89" s="78">
        <v>1</v>
      </c>
      <c r="N89" s="78">
        <v>1</v>
      </c>
      <c r="O89" s="78">
        <v>0.25</v>
      </c>
      <c r="P89" s="78">
        <v>0.25</v>
      </c>
      <c r="Q89" s="118">
        <f t="shared" si="4"/>
        <v>0.25</v>
      </c>
      <c r="R89" s="78">
        <v>13.5</v>
      </c>
      <c r="S89" s="78">
        <v>116</v>
      </c>
      <c r="T89" s="16">
        <f t="shared" ref="T89:T152" si="8">IF(H89="","",IF(OR(H89="GREEN",H89="GK"),IF(S89&gt;=$AX$2,VLOOKUP(S89,$AX$2:$AY$10,2,1),""),IF(S89&gt;=$AZ$2,VLOOKUP(S89,$AZ$2:$BA$10,2,1),"")))</f>
        <v>30</v>
      </c>
      <c r="U89" s="78">
        <v>87</v>
      </c>
      <c r="V89" s="16">
        <f t="shared" si="7"/>
        <v>2610</v>
      </c>
      <c r="W89" s="78">
        <v>3</v>
      </c>
      <c r="X89" s="78" t="s">
        <v>35</v>
      </c>
      <c r="Y89" s="78" t="s">
        <v>55</v>
      </c>
      <c r="Z89" s="78" t="s">
        <v>29</v>
      </c>
      <c r="AA89" s="78" t="s">
        <v>43</v>
      </c>
      <c r="AB89" s="78" t="s">
        <v>178</v>
      </c>
    </row>
    <row r="90" spans="1:28" x14ac:dyDescent="0.15">
      <c r="A90" s="78" t="s">
        <v>30</v>
      </c>
      <c r="B90" s="78" t="s">
        <v>174</v>
      </c>
      <c r="C90" s="78">
        <v>2020</v>
      </c>
      <c r="D90" s="99" t="s">
        <v>181</v>
      </c>
      <c r="E90" s="78" t="s">
        <v>228</v>
      </c>
      <c r="F90" s="78" t="s">
        <v>226</v>
      </c>
      <c r="G90" s="78" t="s">
        <v>25</v>
      </c>
      <c r="H90" s="78" t="s">
        <v>167</v>
      </c>
      <c r="I90" s="78" t="s">
        <v>111</v>
      </c>
      <c r="J90" s="78" t="s">
        <v>27</v>
      </c>
      <c r="K90" s="78" t="s">
        <v>112</v>
      </c>
      <c r="L90" s="78">
        <v>2</v>
      </c>
      <c r="N90" s="78">
        <v>1</v>
      </c>
      <c r="O90" s="78">
        <v>0.3</v>
      </c>
      <c r="P90" s="78">
        <v>0.25</v>
      </c>
      <c r="Q90" s="118">
        <f t="shared" si="4"/>
        <v>0.27500000000000002</v>
      </c>
      <c r="R90" s="78">
        <v>14.4</v>
      </c>
      <c r="S90" s="78">
        <v>113</v>
      </c>
      <c r="T90" s="16">
        <f t="shared" si="8"/>
        <v>30</v>
      </c>
      <c r="U90" s="78">
        <v>87</v>
      </c>
      <c r="V90" s="16">
        <f t="shared" si="7"/>
        <v>2610</v>
      </c>
      <c r="W90" s="78">
        <v>3</v>
      </c>
      <c r="X90" s="78" t="s">
        <v>35</v>
      </c>
      <c r="Y90" s="78" t="s">
        <v>55</v>
      </c>
      <c r="Z90" s="78" t="s">
        <v>29</v>
      </c>
      <c r="AA90" s="78" t="s">
        <v>43</v>
      </c>
      <c r="AB90" s="78" t="s">
        <v>178</v>
      </c>
    </row>
    <row r="91" spans="1:28" x14ac:dyDescent="0.15">
      <c r="A91" s="78" t="s">
        <v>30</v>
      </c>
      <c r="B91" s="78" t="s">
        <v>174</v>
      </c>
      <c r="C91" s="78">
        <v>2020</v>
      </c>
      <c r="D91" s="99" t="s">
        <v>181</v>
      </c>
      <c r="E91" s="78" t="s">
        <v>228</v>
      </c>
      <c r="F91" s="78" t="s">
        <v>226</v>
      </c>
      <c r="G91" s="78" t="s">
        <v>25</v>
      </c>
      <c r="H91" s="78" t="s">
        <v>167</v>
      </c>
      <c r="I91" s="78" t="s">
        <v>111</v>
      </c>
      <c r="J91" s="78" t="s">
        <v>27</v>
      </c>
      <c r="K91" s="78" t="s">
        <v>112</v>
      </c>
      <c r="L91" s="78">
        <v>3</v>
      </c>
      <c r="N91" s="78">
        <v>1</v>
      </c>
      <c r="O91" s="78">
        <v>0.25</v>
      </c>
      <c r="P91" s="78">
        <v>0.3</v>
      </c>
      <c r="Q91" s="118">
        <f t="shared" si="4"/>
        <v>0.27500000000000002</v>
      </c>
      <c r="R91" s="78">
        <v>14.7</v>
      </c>
      <c r="S91" s="78">
        <v>117</v>
      </c>
      <c r="T91" s="16">
        <f t="shared" si="8"/>
        <v>30</v>
      </c>
      <c r="U91" s="78">
        <v>87</v>
      </c>
      <c r="V91" s="16">
        <f t="shared" si="7"/>
        <v>2610</v>
      </c>
      <c r="W91" s="78">
        <v>3</v>
      </c>
      <c r="X91" s="78" t="s">
        <v>35</v>
      </c>
      <c r="Y91" s="78" t="s">
        <v>55</v>
      </c>
      <c r="Z91" s="78" t="s">
        <v>29</v>
      </c>
      <c r="AA91" s="78" t="s">
        <v>43</v>
      </c>
      <c r="AB91" s="78" t="s">
        <v>178</v>
      </c>
    </row>
    <row r="92" spans="1:28" x14ac:dyDescent="0.15">
      <c r="A92" s="78" t="s">
        <v>30</v>
      </c>
      <c r="B92" s="78" t="s">
        <v>174</v>
      </c>
      <c r="C92" s="78">
        <v>2020</v>
      </c>
      <c r="D92" s="99" t="s">
        <v>181</v>
      </c>
      <c r="E92" s="78" t="s">
        <v>228</v>
      </c>
      <c r="F92" s="78" t="s">
        <v>226</v>
      </c>
      <c r="G92" s="78" t="s">
        <v>25</v>
      </c>
      <c r="H92" s="78" t="s">
        <v>167</v>
      </c>
      <c r="I92" s="78" t="s">
        <v>111</v>
      </c>
      <c r="J92" s="78" t="s">
        <v>27</v>
      </c>
      <c r="K92" s="78" t="s">
        <v>112</v>
      </c>
      <c r="L92" s="78">
        <v>1</v>
      </c>
      <c r="N92" s="78">
        <v>8</v>
      </c>
      <c r="O92" s="78">
        <v>0.25</v>
      </c>
      <c r="P92" s="78">
        <v>0.25</v>
      </c>
      <c r="Q92" s="118">
        <f t="shared" si="4"/>
        <v>0.25</v>
      </c>
      <c r="R92" s="78">
        <v>14</v>
      </c>
      <c r="S92" s="78">
        <v>100</v>
      </c>
      <c r="T92" s="16">
        <f t="shared" si="8"/>
        <v>33</v>
      </c>
      <c r="U92" s="78">
        <v>570</v>
      </c>
      <c r="V92" s="16">
        <f t="shared" si="7"/>
        <v>2351.25</v>
      </c>
      <c r="W92" s="78">
        <v>4</v>
      </c>
      <c r="X92" s="78" t="s">
        <v>35</v>
      </c>
      <c r="Y92" s="78" t="s">
        <v>55</v>
      </c>
      <c r="Z92" s="78" t="s">
        <v>29</v>
      </c>
      <c r="AA92" s="78" t="s">
        <v>43</v>
      </c>
      <c r="AB92" s="78" t="s">
        <v>178</v>
      </c>
    </row>
    <row r="93" spans="1:28" x14ac:dyDescent="0.15">
      <c r="A93" s="78" t="s">
        <v>30</v>
      </c>
      <c r="B93" s="78" t="s">
        <v>174</v>
      </c>
      <c r="C93" s="78">
        <v>2020</v>
      </c>
      <c r="D93" s="99" t="s">
        <v>181</v>
      </c>
      <c r="E93" s="78" t="s">
        <v>228</v>
      </c>
      <c r="F93" s="78" t="s">
        <v>226</v>
      </c>
      <c r="G93" s="78" t="s">
        <v>25</v>
      </c>
      <c r="H93" s="78" t="s">
        <v>167</v>
      </c>
      <c r="I93" s="78" t="s">
        <v>111</v>
      </c>
      <c r="J93" s="78" t="s">
        <v>27</v>
      </c>
      <c r="K93" s="78" t="s">
        <v>112</v>
      </c>
      <c r="L93" s="78">
        <v>2</v>
      </c>
      <c r="N93" s="78">
        <v>8</v>
      </c>
      <c r="O93" s="78">
        <v>0.3</v>
      </c>
      <c r="P93" s="78">
        <v>0.3</v>
      </c>
      <c r="Q93" s="118">
        <f t="shared" si="4"/>
        <v>0.3</v>
      </c>
      <c r="R93" s="78">
        <v>13.1</v>
      </c>
      <c r="S93" s="78">
        <v>103</v>
      </c>
      <c r="T93" s="16">
        <f t="shared" si="8"/>
        <v>33</v>
      </c>
      <c r="U93" s="78">
        <v>570</v>
      </c>
      <c r="V93" s="16">
        <f t="shared" si="7"/>
        <v>2351.25</v>
      </c>
      <c r="W93" s="78">
        <v>4</v>
      </c>
      <c r="X93" s="78" t="s">
        <v>35</v>
      </c>
      <c r="Y93" s="78" t="s">
        <v>55</v>
      </c>
      <c r="Z93" s="78" t="s">
        <v>29</v>
      </c>
      <c r="AA93" s="78" t="s">
        <v>43</v>
      </c>
      <c r="AB93" s="78" t="s">
        <v>178</v>
      </c>
    </row>
    <row r="94" spans="1:28" x14ac:dyDescent="0.15">
      <c r="A94" s="78" t="s">
        <v>30</v>
      </c>
      <c r="B94" s="78" t="s">
        <v>174</v>
      </c>
      <c r="C94" s="78">
        <v>2020</v>
      </c>
      <c r="D94" s="99" t="s">
        <v>181</v>
      </c>
      <c r="E94" s="78" t="s">
        <v>228</v>
      </c>
      <c r="F94" s="78" t="s">
        <v>226</v>
      </c>
      <c r="G94" s="78" t="s">
        <v>25</v>
      </c>
      <c r="H94" s="78" t="s">
        <v>167</v>
      </c>
      <c r="I94" s="78" t="s">
        <v>111</v>
      </c>
      <c r="J94" s="78" t="s">
        <v>27</v>
      </c>
      <c r="K94" s="78" t="s">
        <v>112</v>
      </c>
      <c r="L94" s="78">
        <v>3</v>
      </c>
      <c r="N94" s="78">
        <v>8</v>
      </c>
      <c r="O94" s="78">
        <v>0.25</v>
      </c>
      <c r="P94" s="78">
        <v>0.25</v>
      </c>
      <c r="Q94" s="118">
        <f t="shared" si="4"/>
        <v>0.25</v>
      </c>
      <c r="R94" s="78">
        <v>14.9</v>
      </c>
      <c r="S94" s="78">
        <v>98</v>
      </c>
      <c r="T94" s="16">
        <f t="shared" si="8"/>
        <v>36</v>
      </c>
      <c r="U94" s="78">
        <v>570</v>
      </c>
      <c r="V94" s="16">
        <f t="shared" si="7"/>
        <v>2565</v>
      </c>
      <c r="W94" s="78">
        <v>4</v>
      </c>
      <c r="X94" s="78" t="s">
        <v>35</v>
      </c>
      <c r="Y94" s="78" t="s">
        <v>55</v>
      </c>
      <c r="Z94" s="78" t="s">
        <v>29</v>
      </c>
      <c r="AA94" s="78" t="s">
        <v>43</v>
      </c>
      <c r="AB94" s="78" t="s">
        <v>178</v>
      </c>
    </row>
    <row r="95" spans="1:28" x14ac:dyDescent="0.15">
      <c r="A95" s="78" t="s">
        <v>30</v>
      </c>
      <c r="B95" s="78" t="s">
        <v>174</v>
      </c>
      <c r="C95" s="78">
        <v>2020</v>
      </c>
      <c r="D95" s="99" t="s">
        <v>181</v>
      </c>
      <c r="E95" s="78" t="s">
        <v>230</v>
      </c>
      <c r="F95" s="78" t="s">
        <v>231</v>
      </c>
      <c r="G95" s="78" t="s">
        <v>25</v>
      </c>
      <c r="H95" s="78" t="s">
        <v>167</v>
      </c>
      <c r="I95" s="78" t="s">
        <v>111</v>
      </c>
      <c r="J95" s="78" t="s">
        <v>27</v>
      </c>
      <c r="K95" s="78" t="s">
        <v>112</v>
      </c>
      <c r="L95" s="78">
        <v>1</v>
      </c>
      <c r="N95" s="78">
        <v>1</v>
      </c>
      <c r="O95" s="78">
        <v>1</v>
      </c>
      <c r="P95" s="78">
        <v>0.9</v>
      </c>
      <c r="Q95" s="118">
        <f t="shared" si="4"/>
        <v>0.95</v>
      </c>
      <c r="R95" s="78">
        <v>16.399999999999999</v>
      </c>
      <c r="S95" s="78">
        <v>120</v>
      </c>
      <c r="T95" s="16">
        <f t="shared" si="8"/>
        <v>30</v>
      </c>
      <c r="U95" s="78">
        <v>128</v>
      </c>
      <c r="V95" s="16">
        <f t="shared" si="7"/>
        <v>3840</v>
      </c>
      <c r="W95" s="78">
        <v>6</v>
      </c>
      <c r="X95" s="78" t="s">
        <v>35</v>
      </c>
      <c r="Y95" s="78" t="s">
        <v>43</v>
      </c>
      <c r="Z95" s="78" t="s">
        <v>72</v>
      </c>
      <c r="AA95" s="78" t="s">
        <v>55</v>
      </c>
      <c r="AB95" s="78" t="s">
        <v>178</v>
      </c>
    </row>
    <row r="96" spans="1:28" x14ac:dyDescent="0.15">
      <c r="A96" s="78" t="s">
        <v>30</v>
      </c>
      <c r="B96" s="78" t="s">
        <v>174</v>
      </c>
      <c r="C96" s="78">
        <v>2020</v>
      </c>
      <c r="D96" s="99" t="s">
        <v>181</v>
      </c>
      <c r="E96" s="78" t="s">
        <v>230</v>
      </c>
      <c r="F96" s="78" t="s">
        <v>231</v>
      </c>
      <c r="G96" s="78" t="s">
        <v>25</v>
      </c>
      <c r="H96" s="78" t="s">
        <v>167</v>
      </c>
      <c r="I96" s="78" t="s">
        <v>111</v>
      </c>
      <c r="J96" s="78" t="s">
        <v>27</v>
      </c>
      <c r="K96" s="78" t="s">
        <v>112</v>
      </c>
      <c r="L96" s="78">
        <v>2</v>
      </c>
      <c r="N96" s="78">
        <v>1</v>
      </c>
      <c r="O96" s="78">
        <v>0.95</v>
      </c>
      <c r="P96" s="78">
        <v>1.05</v>
      </c>
      <c r="Q96" s="118">
        <f t="shared" si="4"/>
        <v>1</v>
      </c>
      <c r="R96" s="78">
        <v>15.4</v>
      </c>
      <c r="S96" s="78">
        <v>116</v>
      </c>
      <c r="T96" s="16">
        <f t="shared" si="8"/>
        <v>30</v>
      </c>
      <c r="U96" s="78">
        <v>128</v>
      </c>
      <c r="V96" s="16">
        <f t="shared" si="7"/>
        <v>3840</v>
      </c>
      <c r="W96" s="78">
        <v>6</v>
      </c>
      <c r="X96" s="78" t="s">
        <v>35</v>
      </c>
      <c r="Y96" s="78" t="s">
        <v>43</v>
      </c>
      <c r="Z96" s="78" t="s">
        <v>72</v>
      </c>
      <c r="AA96" s="78" t="s">
        <v>55</v>
      </c>
      <c r="AB96" s="78" t="s">
        <v>178</v>
      </c>
    </row>
    <row r="97" spans="1:28" x14ac:dyDescent="0.15">
      <c r="A97" s="78" t="s">
        <v>30</v>
      </c>
      <c r="B97" s="78" t="s">
        <v>174</v>
      </c>
      <c r="C97" s="78">
        <v>2020</v>
      </c>
      <c r="D97" s="99" t="s">
        <v>181</v>
      </c>
      <c r="E97" s="78" t="s">
        <v>230</v>
      </c>
      <c r="F97" s="78" t="s">
        <v>231</v>
      </c>
      <c r="G97" s="78" t="s">
        <v>25</v>
      </c>
      <c r="H97" s="78" t="s">
        <v>167</v>
      </c>
      <c r="I97" s="78" t="s">
        <v>111</v>
      </c>
      <c r="J97" s="78" t="s">
        <v>27</v>
      </c>
      <c r="K97" s="78" t="s">
        <v>112</v>
      </c>
      <c r="L97" s="78">
        <v>3</v>
      </c>
      <c r="N97" s="78">
        <v>1</v>
      </c>
      <c r="O97" s="78">
        <v>0.8</v>
      </c>
      <c r="P97" s="78">
        <v>0.8</v>
      </c>
      <c r="Q97" s="118">
        <f t="shared" si="4"/>
        <v>0.8</v>
      </c>
      <c r="R97" s="78">
        <v>15.5</v>
      </c>
      <c r="S97" s="78">
        <v>117</v>
      </c>
      <c r="T97" s="16">
        <f t="shared" si="8"/>
        <v>30</v>
      </c>
      <c r="U97" s="78">
        <v>128</v>
      </c>
      <c r="V97" s="16">
        <f t="shared" si="7"/>
        <v>3840</v>
      </c>
      <c r="W97" s="78">
        <v>6</v>
      </c>
      <c r="X97" s="78" t="s">
        <v>35</v>
      </c>
      <c r="Y97" s="78" t="s">
        <v>43</v>
      </c>
      <c r="Z97" s="78" t="s">
        <v>72</v>
      </c>
      <c r="AA97" s="78" t="s">
        <v>55</v>
      </c>
      <c r="AB97" s="78" t="s">
        <v>178</v>
      </c>
    </row>
    <row r="98" spans="1:28" x14ac:dyDescent="0.15">
      <c r="A98" s="78" t="s">
        <v>30</v>
      </c>
      <c r="B98" s="78" t="s">
        <v>174</v>
      </c>
      <c r="C98" s="78">
        <v>2020</v>
      </c>
      <c r="D98" s="99" t="s">
        <v>181</v>
      </c>
      <c r="E98" s="78" t="s">
        <v>230</v>
      </c>
      <c r="F98" s="78" t="s">
        <v>231</v>
      </c>
      <c r="G98" s="78" t="s">
        <v>25</v>
      </c>
      <c r="H98" s="78" t="s">
        <v>167</v>
      </c>
      <c r="I98" s="78" t="s">
        <v>111</v>
      </c>
      <c r="J98" s="78" t="s">
        <v>27</v>
      </c>
      <c r="K98" s="78" t="s">
        <v>112</v>
      </c>
      <c r="L98" s="78">
        <v>1</v>
      </c>
      <c r="N98" s="78">
        <v>4</v>
      </c>
      <c r="O98" s="78">
        <v>0.4</v>
      </c>
      <c r="P98" s="78">
        <v>0.45</v>
      </c>
      <c r="Q98" s="118">
        <f t="shared" si="4"/>
        <v>0.42500000000000004</v>
      </c>
      <c r="R98" s="78">
        <v>14.2</v>
      </c>
      <c r="S98" s="78">
        <v>113</v>
      </c>
      <c r="T98" s="16">
        <f t="shared" si="8"/>
        <v>30</v>
      </c>
      <c r="U98" s="78">
        <v>380</v>
      </c>
      <c r="V98" s="16">
        <f t="shared" si="7"/>
        <v>2850</v>
      </c>
      <c r="W98" s="78">
        <v>2</v>
      </c>
      <c r="X98" s="78" t="s">
        <v>35</v>
      </c>
      <c r="Y98" s="78" t="s">
        <v>43</v>
      </c>
      <c r="Z98" s="78" t="s">
        <v>72</v>
      </c>
      <c r="AA98" s="78" t="s">
        <v>55</v>
      </c>
      <c r="AB98" s="78" t="s">
        <v>178</v>
      </c>
    </row>
    <row r="99" spans="1:28" x14ac:dyDescent="0.15">
      <c r="A99" s="78" t="s">
        <v>30</v>
      </c>
      <c r="B99" s="78" t="s">
        <v>174</v>
      </c>
      <c r="C99" s="78">
        <v>2020</v>
      </c>
      <c r="D99" s="99" t="s">
        <v>181</v>
      </c>
      <c r="E99" s="78" t="s">
        <v>230</v>
      </c>
      <c r="F99" s="78" t="s">
        <v>231</v>
      </c>
      <c r="G99" s="78" t="s">
        <v>25</v>
      </c>
      <c r="H99" s="78" t="s">
        <v>167</v>
      </c>
      <c r="I99" s="78" t="s">
        <v>111</v>
      </c>
      <c r="J99" s="78" t="s">
        <v>27</v>
      </c>
      <c r="K99" s="78" t="s">
        <v>112</v>
      </c>
      <c r="L99" s="78">
        <v>2</v>
      </c>
      <c r="N99" s="78">
        <v>4</v>
      </c>
      <c r="O99" s="78">
        <v>0.35</v>
      </c>
      <c r="P99" s="78">
        <v>0.5</v>
      </c>
      <c r="Q99" s="118">
        <f t="shared" si="4"/>
        <v>0.42499999999999999</v>
      </c>
      <c r="R99" s="78">
        <v>17.8</v>
      </c>
      <c r="S99" s="78">
        <v>114</v>
      </c>
      <c r="T99" s="16">
        <f t="shared" si="8"/>
        <v>30</v>
      </c>
      <c r="U99" s="78">
        <v>380</v>
      </c>
      <c r="V99" s="16">
        <f t="shared" si="7"/>
        <v>2850</v>
      </c>
      <c r="W99" s="78">
        <v>2</v>
      </c>
      <c r="X99" s="78" t="s">
        <v>35</v>
      </c>
      <c r="Y99" s="78" t="s">
        <v>43</v>
      </c>
      <c r="Z99" s="78" t="s">
        <v>72</v>
      </c>
      <c r="AA99" s="78" t="s">
        <v>55</v>
      </c>
      <c r="AB99" s="78" t="s">
        <v>178</v>
      </c>
    </row>
    <row r="100" spans="1:28" x14ac:dyDescent="0.15">
      <c r="A100" s="78" t="s">
        <v>30</v>
      </c>
      <c r="B100" s="78" t="s">
        <v>174</v>
      </c>
      <c r="C100" s="78">
        <v>2020</v>
      </c>
      <c r="D100" s="99" t="s">
        <v>181</v>
      </c>
      <c r="E100" s="78" t="s">
        <v>230</v>
      </c>
      <c r="F100" s="78" t="s">
        <v>231</v>
      </c>
      <c r="G100" s="78" t="s">
        <v>25</v>
      </c>
      <c r="H100" s="78" t="s">
        <v>167</v>
      </c>
      <c r="I100" s="78" t="s">
        <v>111</v>
      </c>
      <c r="J100" s="78" t="s">
        <v>27</v>
      </c>
      <c r="K100" s="78" t="s">
        <v>112</v>
      </c>
      <c r="L100" s="78">
        <v>3</v>
      </c>
      <c r="N100" s="78">
        <v>4</v>
      </c>
      <c r="O100" s="78">
        <v>0.65</v>
      </c>
      <c r="P100" s="78">
        <v>0.45</v>
      </c>
      <c r="Q100" s="118">
        <f t="shared" si="4"/>
        <v>0.55000000000000004</v>
      </c>
      <c r="R100" s="78">
        <v>14.2</v>
      </c>
      <c r="S100" s="78">
        <v>113</v>
      </c>
      <c r="T100" s="16">
        <f t="shared" si="8"/>
        <v>30</v>
      </c>
      <c r="U100" s="78">
        <v>380</v>
      </c>
      <c r="V100" s="16">
        <f t="shared" si="7"/>
        <v>2850</v>
      </c>
      <c r="W100" s="78">
        <v>2</v>
      </c>
      <c r="X100" s="78" t="s">
        <v>35</v>
      </c>
      <c r="Y100" s="78" t="s">
        <v>43</v>
      </c>
      <c r="Z100" s="78" t="s">
        <v>72</v>
      </c>
      <c r="AA100" s="78" t="s">
        <v>55</v>
      </c>
      <c r="AB100" s="78" t="s">
        <v>178</v>
      </c>
    </row>
    <row r="101" spans="1:28" x14ac:dyDescent="0.15">
      <c r="A101" s="78" t="s">
        <v>30</v>
      </c>
      <c r="B101" s="78" t="s">
        <v>174</v>
      </c>
      <c r="C101" s="78">
        <v>2020</v>
      </c>
      <c r="D101" s="99" t="s">
        <v>181</v>
      </c>
      <c r="E101" s="78" t="s">
        <v>230</v>
      </c>
      <c r="F101" s="78" t="s">
        <v>231</v>
      </c>
      <c r="G101" s="78" t="s">
        <v>25</v>
      </c>
      <c r="H101" s="78" t="s">
        <v>113</v>
      </c>
      <c r="I101" s="78" t="s">
        <v>111</v>
      </c>
      <c r="J101" s="78" t="s">
        <v>27</v>
      </c>
      <c r="K101" s="78" t="s">
        <v>112</v>
      </c>
      <c r="L101" s="78">
        <v>1</v>
      </c>
      <c r="N101" s="78">
        <v>1</v>
      </c>
      <c r="O101" s="78">
        <v>0.65</v>
      </c>
      <c r="P101" s="78">
        <v>0.7</v>
      </c>
      <c r="Q101" s="118">
        <f t="shared" si="4"/>
        <v>0.67500000000000004</v>
      </c>
      <c r="R101" s="78">
        <v>13.1</v>
      </c>
      <c r="S101" s="78">
        <v>120</v>
      </c>
      <c r="T101" s="16">
        <f t="shared" si="8"/>
        <v>30</v>
      </c>
      <c r="U101" s="78">
        <v>98</v>
      </c>
      <c r="V101" s="16">
        <f t="shared" si="7"/>
        <v>2940</v>
      </c>
      <c r="W101" s="78">
        <v>3</v>
      </c>
      <c r="X101" s="78" t="s">
        <v>35</v>
      </c>
      <c r="Y101" s="78" t="s">
        <v>43</v>
      </c>
      <c r="Z101" s="78" t="s">
        <v>72</v>
      </c>
      <c r="AA101" s="78" t="s">
        <v>55</v>
      </c>
      <c r="AB101" s="78" t="s">
        <v>178</v>
      </c>
    </row>
    <row r="102" spans="1:28" x14ac:dyDescent="0.15">
      <c r="A102" s="78" t="s">
        <v>30</v>
      </c>
      <c r="B102" s="78" t="s">
        <v>174</v>
      </c>
      <c r="C102" s="78">
        <v>2020</v>
      </c>
      <c r="D102" s="99" t="s">
        <v>181</v>
      </c>
      <c r="E102" s="78" t="s">
        <v>230</v>
      </c>
      <c r="F102" s="78" t="s">
        <v>231</v>
      </c>
      <c r="G102" s="78" t="s">
        <v>25</v>
      </c>
      <c r="H102" s="78" t="s">
        <v>113</v>
      </c>
      <c r="I102" s="78" t="s">
        <v>111</v>
      </c>
      <c r="J102" s="78" t="s">
        <v>27</v>
      </c>
      <c r="K102" s="78" t="s">
        <v>112</v>
      </c>
      <c r="L102" s="78">
        <v>2</v>
      </c>
      <c r="N102" s="78">
        <v>1</v>
      </c>
      <c r="O102" s="78">
        <v>0.7</v>
      </c>
      <c r="P102" s="78">
        <v>0.65</v>
      </c>
      <c r="Q102" s="118">
        <f t="shared" si="4"/>
        <v>0.67500000000000004</v>
      </c>
      <c r="R102" s="78">
        <v>14.5</v>
      </c>
      <c r="S102" s="78">
        <v>120</v>
      </c>
      <c r="T102" s="16">
        <f t="shared" si="8"/>
        <v>30</v>
      </c>
      <c r="U102" s="78">
        <v>98</v>
      </c>
      <c r="V102" s="16">
        <f t="shared" si="7"/>
        <v>2940</v>
      </c>
      <c r="W102" s="78">
        <v>3</v>
      </c>
      <c r="X102" s="78" t="s">
        <v>35</v>
      </c>
      <c r="Y102" s="78" t="s">
        <v>43</v>
      </c>
      <c r="Z102" s="78" t="s">
        <v>72</v>
      </c>
      <c r="AA102" s="78" t="s">
        <v>55</v>
      </c>
      <c r="AB102" s="78" t="s">
        <v>178</v>
      </c>
    </row>
    <row r="103" spans="1:28" x14ac:dyDescent="0.15">
      <c r="A103" s="78" t="s">
        <v>30</v>
      </c>
      <c r="B103" s="78" t="s">
        <v>174</v>
      </c>
      <c r="C103" s="78">
        <v>2020</v>
      </c>
      <c r="D103" s="99" t="s">
        <v>181</v>
      </c>
      <c r="E103" s="78" t="s">
        <v>230</v>
      </c>
      <c r="F103" s="78" t="s">
        <v>231</v>
      </c>
      <c r="G103" s="78" t="s">
        <v>25</v>
      </c>
      <c r="H103" s="78" t="s">
        <v>113</v>
      </c>
      <c r="I103" s="78" t="s">
        <v>111</v>
      </c>
      <c r="J103" s="78" t="s">
        <v>27</v>
      </c>
      <c r="K103" s="78" t="s">
        <v>112</v>
      </c>
      <c r="L103" s="78">
        <v>3</v>
      </c>
      <c r="N103" s="78">
        <v>1</v>
      </c>
      <c r="O103" s="78">
        <v>0.8</v>
      </c>
      <c r="P103" s="78">
        <v>0.8</v>
      </c>
      <c r="Q103" s="118">
        <f t="shared" si="4"/>
        <v>0.8</v>
      </c>
      <c r="R103" s="78">
        <v>14.2</v>
      </c>
      <c r="S103" s="78">
        <v>117</v>
      </c>
      <c r="T103" s="16">
        <f t="shared" si="8"/>
        <v>30</v>
      </c>
      <c r="U103" s="78">
        <v>98</v>
      </c>
      <c r="V103" s="16">
        <f t="shared" si="7"/>
        <v>2940</v>
      </c>
      <c r="W103" s="78">
        <v>3</v>
      </c>
      <c r="X103" s="78" t="s">
        <v>35</v>
      </c>
      <c r="Y103" s="78" t="s">
        <v>43</v>
      </c>
      <c r="Z103" s="78" t="s">
        <v>72</v>
      </c>
      <c r="AA103" s="78" t="s">
        <v>55</v>
      </c>
      <c r="AB103" s="78" t="s">
        <v>178</v>
      </c>
    </row>
    <row r="104" spans="1:28" x14ac:dyDescent="0.15">
      <c r="A104" s="78" t="s">
        <v>30</v>
      </c>
      <c r="B104" s="78" t="s">
        <v>174</v>
      </c>
      <c r="C104" s="78">
        <v>2020</v>
      </c>
      <c r="D104" s="99" t="s">
        <v>181</v>
      </c>
      <c r="E104" s="78" t="s">
        <v>230</v>
      </c>
      <c r="F104" s="78" t="s">
        <v>231</v>
      </c>
      <c r="G104" s="78" t="s">
        <v>25</v>
      </c>
      <c r="H104" s="78" t="s">
        <v>113</v>
      </c>
      <c r="I104" s="78" t="s">
        <v>111</v>
      </c>
      <c r="J104" s="78" t="s">
        <v>27</v>
      </c>
      <c r="K104" s="78" t="s">
        <v>112</v>
      </c>
      <c r="L104" s="78">
        <v>1</v>
      </c>
      <c r="N104" s="78">
        <v>5</v>
      </c>
      <c r="O104" s="78">
        <v>1</v>
      </c>
      <c r="P104" s="78">
        <v>0.8</v>
      </c>
      <c r="Q104" s="118">
        <f t="shared" si="4"/>
        <v>0.9</v>
      </c>
      <c r="R104" s="78">
        <v>13.8</v>
      </c>
      <c r="S104" s="78">
        <v>112</v>
      </c>
      <c r="T104" s="16">
        <f t="shared" si="8"/>
        <v>33</v>
      </c>
      <c r="U104" s="78">
        <v>398</v>
      </c>
      <c r="V104" s="16">
        <f t="shared" si="7"/>
        <v>2626.7999999999997</v>
      </c>
      <c r="W104" s="78">
        <v>2</v>
      </c>
      <c r="X104" s="78" t="s">
        <v>35</v>
      </c>
      <c r="Y104" s="78" t="s">
        <v>43</v>
      </c>
      <c r="Z104" s="78" t="s">
        <v>72</v>
      </c>
      <c r="AA104" s="78" t="s">
        <v>55</v>
      </c>
      <c r="AB104" s="78" t="s">
        <v>178</v>
      </c>
    </row>
    <row r="105" spans="1:28" x14ac:dyDescent="0.15">
      <c r="A105" s="78" t="s">
        <v>30</v>
      </c>
      <c r="B105" s="78" t="s">
        <v>174</v>
      </c>
      <c r="C105" s="78">
        <v>2020</v>
      </c>
      <c r="D105" s="99" t="s">
        <v>181</v>
      </c>
      <c r="E105" s="78" t="s">
        <v>230</v>
      </c>
      <c r="F105" s="78" t="s">
        <v>231</v>
      </c>
      <c r="G105" s="78" t="s">
        <v>25</v>
      </c>
      <c r="H105" s="78" t="s">
        <v>113</v>
      </c>
      <c r="I105" s="78" t="s">
        <v>111</v>
      </c>
      <c r="J105" s="78" t="s">
        <v>27</v>
      </c>
      <c r="K105" s="78" t="s">
        <v>112</v>
      </c>
      <c r="L105" s="78">
        <v>2</v>
      </c>
      <c r="N105" s="78">
        <v>5</v>
      </c>
      <c r="O105" s="78">
        <v>0.95</v>
      </c>
      <c r="P105" s="78">
        <v>1</v>
      </c>
      <c r="Q105" s="118">
        <f t="shared" si="4"/>
        <v>0.97499999999999998</v>
      </c>
      <c r="R105" s="78">
        <v>14.7</v>
      </c>
      <c r="S105" s="78">
        <v>110</v>
      </c>
      <c r="T105" s="16">
        <f t="shared" si="8"/>
        <v>33</v>
      </c>
      <c r="U105" s="78">
        <v>398</v>
      </c>
      <c r="V105" s="16">
        <f t="shared" si="7"/>
        <v>2626.7999999999997</v>
      </c>
      <c r="W105" s="78">
        <v>2</v>
      </c>
      <c r="X105" s="78" t="s">
        <v>35</v>
      </c>
      <c r="Y105" s="78" t="s">
        <v>43</v>
      </c>
      <c r="Z105" s="78" t="s">
        <v>72</v>
      </c>
      <c r="AA105" s="78" t="s">
        <v>55</v>
      </c>
      <c r="AB105" s="78" t="s">
        <v>178</v>
      </c>
    </row>
    <row r="106" spans="1:28" x14ac:dyDescent="0.15">
      <c r="A106" s="78" t="s">
        <v>30</v>
      </c>
      <c r="B106" s="78" t="s">
        <v>174</v>
      </c>
      <c r="C106" s="78">
        <v>2020</v>
      </c>
      <c r="D106" s="99" t="s">
        <v>181</v>
      </c>
      <c r="E106" s="78" t="s">
        <v>230</v>
      </c>
      <c r="F106" s="78" t="s">
        <v>231</v>
      </c>
      <c r="G106" s="78" t="s">
        <v>25</v>
      </c>
      <c r="H106" s="78" t="s">
        <v>113</v>
      </c>
      <c r="I106" s="78" t="s">
        <v>111</v>
      </c>
      <c r="J106" s="78" t="s">
        <v>27</v>
      </c>
      <c r="K106" s="78" t="s">
        <v>112</v>
      </c>
      <c r="L106" s="78">
        <v>3</v>
      </c>
      <c r="N106" s="78">
        <v>5</v>
      </c>
      <c r="O106" s="78">
        <v>0.8</v>
      </c>
      <c r="P106" s="78">
        <v>0.95</v>
      </c>
      <c r="Q106" s="118">
        <f t="shared" si="4"/>
        <v>0.875</v>
      </c>
      <c r="R106" s="78">
        <v>13.5</v>
      </c>
      <c r="S106" s="78">
        <v>110</v>
      </c>
      <c r="T106" s="16">
        <f t="shared" si="8"/>
        <v>33</v>
      </c>
      <c r="U106" s="78">
        <v>398</v>
      </c>
      <c r="V106" s="16">
        <f t="shared" si="7"/>
        <v>2626.7999999999997</v>
      </c>
      <c r="W106" s="78">
        <v>2</v>
      </c>
      <c r="X106" s="78" t="s">
        <v>35</v>
      </c>
      <c r="Y106" s="78" t="s">
        <v>43</v>
      </c>
      <c r="Z106" s="78" t="s">
        <v>72</v>
      </c>
      <c r="AA106" s="78" t="s">
        <v>55</v>
      </c>
      <c r="AB106" s="78" t="s">
        <v>178</v>
      </c>
    </row>
    <row r="107" spans="1:28" x14ac:dyDescent="0.15">
      <c r="A107" s="78" t="s">
        <v>30</v>
      </c>
      <c r="B107" s="78" t="s">
        <v>174</v>
      </c>
      <c r="C107" s="78">
        <v>2020</v>
      </c>
      <c r="D107" s="99" t="s">
        <v>181</v>
      </c>
      <c r="E107" s="78" t="s">
        <v>230</v>
      </c>
      <c r="F107" s="78" t="s">
        <v>231</v>
      </c>
      <c r="G107" s="78" t="s">
        <v>25</v>
      </c>
      <c r="H107" s="78" t="s">
        <v>218</v>
      </c>
      <c r="I107" s="78" t="s">
        <v>111</v>
      </c>
      <c r="J107" s="78" t="s">
        <v>262</v>
      </c>
      <c r="K107" s="78" t="s">
        <v>34</v>
      </c>
      <c r="L107" s="78">
        <v>1</v>
      </c>
      <c r="N107" s="78">
        <v>5</v>
      </c>
      <c r="O107" s="78">
        <v>0.3</v>
      </c>
      <c r="P107" s="78">
        <v>0.25</v>
      </c>
      <c r="Q107" s="118">
        <f t="shared" si="4"/>
        <v>0.27500000000000002</v>
      </c>
      <c r="R107" s="78">
        <v>14.2</v>
      </c>
      <c r="S107" s="78">
        <v>94</v>
      </c>
      <c r="T107" s="101">
        <f t="shared" si="8"/>
        <v>36</v>
      </c>
      <c r="U107" s="78">
        <v>298</v>
      </c>
      <c r="V107" s="101">
        <f t="shared" si="7"/>
        <v>2145.6</v>
      </c>
      <c r="W107" s="78">
        <v>2</v>
      </c>
      <c r="X107" s="78" t="s">
        <v>35</v>
      </c>
      <c r="Y107" s="78" t="s">
        <v>72</v>
      </c>
      <c r="Z107" s="78" t="s">
        <v>43</v>
      </c>
      <c r="AA107" s="78" t="s">
        <v>55</v>
      </c>
      <c r="AB107" s="78" t="s">
        <v>178</v>
      </c>
    </row>
    <row r="108" spans="1:28" x14ac:dyDescent="0.15">
      <c r="A108" s="78" t="s">
        <v>30</v>
      </c>
      <c r="B108" s="78" t="s">
        <v>174</v>
      </c>
      <c r="C108" s="78">
        <v>2020</v>
      </c>
      <c r="D108" s="99" t="s">
        <v>181</v>
      </c>
      <c r="E108" s="78" t="s">
        <v>230</v>
      </c>
      <c r="F108" s="78" t="s">
        <v>231</v>
      </c>
      <c r="G108" s="78" t="s">
        <v>25</v>
      </c>
      <c r="H108" s="78" t="s">
        <v>218</v>
      </c>
      <c r="I108" s="78" t="s">
        <v>111</v>
      </c>
      <c r="J108" s="78" t="s">
        <v>262</v>
      </c>
      <c r="K108" s="78" t="s">
        <v>34</v>
      </c>
      <c r="L108" s="78">
        <v>2</v>
      </c>
      <c r="N108" s="78">
        <v>5</v>
      </c>
      <c r="O108" s="78">
        <v>0.3</v>
      </c>
      <c r="P108" s="78">
        <v>0.35</v>
      </c>
      <c r="Q108" s="118">
        <f t="shared" si="4"/>
        <v>0.32499999999999996</v>
      </c>
      <c r="R108" s="78">
        <v>12.6</v>
      </c>
      <c r="S108" s="78">
        <v>101</v>
      </c>
      <c r="T108" s="101">
        <f t="shared" si="8"/>
        <v>33</v>
      </c>
      <c r="U108" s="78">
        <v>298</v>
      </c>
      <c r="V108" s="101">
        <f t="shared" si="7"/>
        <v>1966.8</v>
      </c>
      <c r="W108" s="78">
        <v>2</v>
      </c>
      <c r="X108" s="78" t="s">
        <v>35</v>
      </c>
      <c r="Y108" s="78" t="s">
        <v>72</v>
      </c>
      <c r="Z108" s="78" t="s">
        <v>43</v>
      </c>
      <c r="AA108" s="78" t="s">
        <v>55</v>
      </c>
      <c r="AB108" s="78" t="s">
        <v>178</v>
      </c>
    </row>
    <row r="109" spans="1:28" x14ac:dyDescent="0.15">
      <c r="A109" s="78" t="s">
        <v>30</v>
      </c>
      <c r="B109" s="78" t="s">
        <v>174</v>
      </c>
      <c r="C109" s="78">
        <v>2020</v>
      </c>
      <c r="D109" s="99" t="s">
        <v>181</v>
      </c>
      <c r="E109" s="78" t="s">
        <v>230</v>
      </c>
      <c r="F109" s="78" t="s">
        <v>231</v>
      </c>
      <c r="G109" s="78" t="s">
        <v>25</v>
      </c>
      <c r="H109" s="78" t="s">
        <v>218</v>
      </c>
      <c r="I109" s="78" t="s">
        <v>111</v>
      </c>
      <c r="J109" s="78" t="s">
        <v>262</v>
      </c>
      <c r="K109" s="78" t="s">
        <v>34</v>
      </c>
      <c r="L109" s="78">
        <v>3</v>
      </c>
      <c r="N109" s="78">
        <v>5</v>
      </c>
      <c r="O109" s="78">
        <v>0.3</v>
      </c>
      <c r="P109" s="78">
        <v>0.25</v>
      </c>
      <c r="Q109" s="118">
        <f t="shared" si="4"/>
        <v>0.27500000000000002</v>
      </c>
      <c r="R109" s="78">
        <v>14.3</v>
      </c>
      <c r="S109" s="78">
        <v>98</v>
      </c>
      <c r="T109" s="101">
        <f t="shared" si="8"/>
        <v>36</v>
      </c>
      <c r="U109" s="78">
        <v>298</v>
      </c>
      <c r="V109" s="101">
        <f t="shared" si="7"/>
        <v>2145.6</v>
      </c>
      <c r="W109" s="78">
        <v>2</v>
      </c>
      <c r="X109" s="78" t="s">
        <v>35</v>
      </c>
      <c r="Y109" s="78" t="s">
        <v>72</v>
      </c>
      <c r="Z109" s="78" t="s">
        <v>43</v>
      </c>
      <c r="AA109" s="78" t="s">
        <v>55</v>
      </c>
      <c r="AB109" s="78" t="s">
        <v>178</v>
      </c>
    </row>
    <row r="110" spans="1:28" x14ac:dyDescent="0.15">
      <c r="A110" s="78" t="s">
        <v>30</v>
      </c>
      <c r="B110" s="78" t="s">
        <v>174</v>
      </c>
      <c r="C110" s="78">
        <v>2020</v>
      </c>
      <c r="D110" s="99" t="s">
        <v>181</v>
      </c>
      <c r="E110" s="78" t="s">
        <v>230</v>
      </c>
      <c r="F110" s="78" t="s">
        <v>238</v>
      </c>
      <c r="G110" s="78" t="s">
        <v>25</v>
      </c>
      <c r="H110" s="78" t="s">
        <v>167</v>
      </c>
      <c r="I110" s="78" t="s">
        <v>111</v>
      </c>
      <c r="J110" s="78" t="s">
        <v>27</v>
      </c>
      <c r="K110" s="78" t="s">
        <v>112</v>
      </c>
      <c r="L110" s="78">
        <v>1</v>
      </c>
      <c r="N110" s="78">
        <v>1</v>
      </c>
      <c r="O110" s="78">
        <v>0.35</v>
      </c>
      <c r="P110" s="78">
        <v>0.4</v>
      </c>
      <c r="Q110" s="118">
        <f t="shared" si="4"/>
        <v>0.375</v>
      </c>
      <c r="R110" s="78">
        <v>15.2</v>
      </c>
      <c r="S110" s="78">
        <v>120</v>
      </c>
      <c r="T110" s="16">
        <f t="shared" si="8"/>
        <v>30</v>
      </c>
      <c r="U110" s="78">
        <v>128</v>
      </c>
      <c r="V110" s="16">
        <f t="shared" si="7"/>
        <v>3840</v>
      </c>
      <c r="W110" s="78">
        <v>2</v>
      </c>
      <c r="X110" s="78" t="s">
        <v>35</v>
      </c>
      <c r="Y110" s="78" t="s">
        <v>72</v>
      </c>
      <c r="Z110" s="78" t="s">
        <v>43</v>
      </c>
      <c r="AA110" s="78" t="s">
        <v>55</v>
      </c>
      <c r="AB110" s="78" t="s">
        <v>178</v>
      </c>
    </row>
    <row r="111" spans="1:28" x14ac:dyDescent="0.15">
      <c r="A111" s="78" t="s">
        <v>30</v>
      </c>
      <c r="B111" s="78" t="s">
        <v>174</v>
      </c>
      <c r="C111" s="78">
        <v>2020</v>
      </c>
      <c r="D111" s="99" t="s">
        <v>181</v>
      </c>
      <c r="E111" s="78" t="s">
        <v>230</v>
      </c>
      <c r="F111" s="78" t="s">
        <v>238</v>
      </c>
      <c r="G111" s="78" t="s">
        <v>25</v>
      </c>
      <c r="H111" s="78" t="s">
        <v>167</v>
      </c>
      <c r="I111" s="78" t="s">
        <v>111</v>
      </c>
      <c r="J111" s="78" t="s">
        <v>27</v>
      </c>
      <c r="K111" s="78" t="s">
        <v>112</v>
      </c>
      <c r="L111" s="78">
        <v>2</v>
      </c>
      <c r="N111" s="78">
        <v>1</v>
      </c>
      <c r="O111" s="78">
        <v>0.4</v>
      </c>
      <c r="P111" s="78">
        <v>0.5</v>
      </c>
      <c r="Q111" s="118">
        <f t="shared" si="4"/>
        <v>0.45</v>
      </c>
      <c r="R111" s="78">
        <v>12.9</v>
      </c>
      <c r="S111" s="78">
        <v>120</v>
      </c>
      <c r="T111" s="16">
        <f t="shared" si="8"/>
        <v>30</v>
      </c>
      <c r="U111" s="78">
        <v>128</v>
      </c>
      <c r="V111" s="16">
        <f t="shared" si="7"/>
        <v>3840</v>
      </c>
      <c r="W111" s="78">
        <v>2</v>
      </c>
      <c r="X111" s="78" t="s">
        <v>35</v>
      </c>
      <c r="Y111" s="78" t="s">
        <v>72</v>
      </c>
      <c r="Z111" s="78" t="s">
        <v>43</v>
      </c>
      <c r="AA111" s="78" t="s">
        <v>55</v>
      </c>
      <c r="AB111" s="78" t="s">
        <v>178</v>
      </c>
    </row>
    <row r="112" spans="1:28" x14ac:dyDescent="0.15">
      <c r="A112" s="78" t="s">
        <v>30</v>
      </c>
      <c r="B112" s="78" t="s">
        <v>174</v>
      </c>
      <c r="C112" s="78">
        <v>2020</v>
      </c>
      <c r="D112" s="99" t="s">
        <v>181</v>
      </c>
      <c r="E112" s="78" t="s">
        <v>230</v>
      </c>
      <c r="F112" s="78" t="s">
        <v>238</v>
      </c>
      <c r="G112" s="78" t="s">
        <v>25</v>
      </c>
      <c r="H112" s="78" t="s">
        <v>167</v>
      </c>
      <c r="I112" s="78" t="s">
        <v>111</v>
      </c>
      <c r="J112" s="78" t="s">
        <v>27</v>
      </c>
      <c r="K112" s="78" t="s">
        <v>112</v>
      </c>
      <c r="L112" s="78">
        <v>3</v>
      </c>
      <c r="N112" s="78">
        <v>1</v>
      </c>
      <c r="O112" s="78">
        <v>0.25</v>
      </c>
      <c r="P112" s="78">
        <v>0.35</v>
      </c>
      <c r="Q112" s="118">
        <f t="shared" si="4"/>
        <v>0.3</v>
      </c>
      <c r="R112" s="78">
        <v>13.7</v>
      </c>
      <c r="S112" s="78">
        <v>114</v>
      </c>
      <c r="T112" s="16">
        <f t="shared" si="8"/>
        <v>30</v>
      </c>
      <c r="U112" s="78">
        <v>128</v>
      </c>
      <c r="V112" s="16">
        <f t="shared" si="7"/>
        <v>3840</v>
      </c>
      <c r="W112" s="78">
        <v>2</v>
      </c>
      <c r="X112" s="78" t="s">
        <v>35</v>
      </c>
      <c r="Y112" s="78" t="s">
        <v>72</v>
      </c>
      <c r="Z112" s="78" t="s">
        <v>43</v>
      </c>
      <c r="AA112" s="78" t="s">
        <v>55</v>
      </c>
      <c r="AB112" s="78" t="s">
        <v>178</v>
      </c>
    </row>
    <row r="113" spans="1:28" x14ac:dyDescent="0.15">
      <c r="A113" s="78" t="s">
        <v>30</v>
      </c>
      <c r="B113" s="78" t="s">
        <v>174</v>
      </c>
      <c r="C113" s="78">
        <v>2020</v>
      </c>
      <c r="D113" s="99" t="s">
        <v>181</v>
      </c>
      <c r="E113" s="78" t="s">
        <v>230</v>
      </c>
      <c r="F113" s="78" t="s">
        <v>238</v>
      </c>
      <c r="G113" s="78" t="s">
        <v>25</v>
      </c>
      <c r="H113" s="78" t="s">
        <v>167</v>
      </c>
      <c r="I113" s="78" t="s">
        <v>111</v>
      </c>
      <c r="J113" s="78" t="s">
        <v>27</v>
      </c>
      <c r="K113" s="78" t="s">
        <v>112</v>
      </c>
      <c r="L113" s="78">
        <v>1</v>
      </c>
      <c r="N113" s="78">
        <v>3</v>
      </c>
      <c r="O113" s="78">
        <v>0.3</v>
      </c>
      <c r="P113" s="78">
        <v>0.45</v>
      </c>
      <c r="Q113" s="118">
        <f t="shared" si="4"/>
        <v>0.375</v>
      </c>
      <c r="R113" s="78">
        <v>15.7</v>
      </c>
      <c r="S113" s="78">
        <v>130</v>
      </c>
      <c r="T113" s="16">
        <f t="shared" si="8"/>
        <v>25</v>
      </c>
      <c r="U113" s="78">
        <v>498</v>
      </c>
      <c r="V113" s="16">
        <f t="shared" si="7"/>
        <v>4150</v>
      </c>
      <c r="W113" s="78">
        <v>2</v>
      </c>
      <c r="X113" s="78" t="s">
        <v>35</v>
      </c>
      <c r="Y113" s="78" t="s">
        <v>72</v>
      </c>
      <c r="Z113" s="78" t="s">
        <v>43</v>
      </c>
      <c r="AA113" s="78" t="s">
        <v>55</v>
      </c>
      <c r="AB113" s="78" t="s">
        <v>178</v>
      </c>
    </row>
    <row r="114" spans="1:28" x14ac:dyDescent="0.15">
      <c r="A114" s="78" t="s">
        <v>30</v>
      </c>
      <c r="B114" s="78" t="s">
        <v>174</v>
      </c>
      <c r="C114" s="78">
        <v>2020</v>
      </c>
      <c r="D114" s="99" t="s">
        <v>181</v>
      </c>
      <c r="E114" s="78" t="s">
        <v>230</v>
      </c>
      <c r="F114" s="78" t="s">
        <v>238</v>
      </c>
      <c r="G114" s="78" t="s">
        <v>25</v>
      </c>
      <c r="H114" s="78" t="s">
        <v>167</v>
      </c>
      <c r="I114" s="78" t="s">
        <v>111</v>
      </c>
      <c r="J114" s="78" t="s">
        <v>27</v>
      </c>
      <c r="K114" s="78" t="s">
        <v>112</v>
      </c>
      <c r="L114" s="78">
        <v>2</v>
      </c>
      <c r="N114" s="78">
        <v>3</v>
      </c>
      <c r="O114" s="78">
        <v>0.35</v>
      </c>
      <c r="P114" s="78">
        <v>0.3</v>
      </c>
      <c r="Q114" s="118">
        <f t="shared" si="4"/>
        <v>0.32499999999999996</v>
      </c>
      <c r="R114" s="78">
        <v>15.8</v>
      </c>
      <c r="S114" s="78">
        <v>131</v>
      </c>
      <c r="T114" s="16">
        <f t="shared" si="8"/>
        <v>25</v>
      </c>
      <c r="U114" s="78">
        <v>498</v>
      </c>
      <c r="V114" s="16">
        <f t="shared" si="7"/>
        <v>4150</v>
      </c>
      <c r="W114" s="78">
        <v>2</v>
      </c>
      <c r="X114" s="78" t="s">
        <v>35</v>
      </c>
      <c r="Y114" s="78" t="s">
        <v>72</v>
      </c>
      <c r="Z114" s="78" t="s">
        <v>43</v>
      </c>
      <c r="AA114" s="78" t="s">
        <v>55</v>
      </c>
      <c r="AB114" s="78" t="s">
        <v>178</v>
      </c>
    </row>
    <row r="115" spans="1:28" x14ac:dyDescent="0.15">
      <c r="A115" s="78" t="s">
        <v>30</v>
      </c>
      <c r="B115" s="78" t="s">
        <v>174</v>
      </c>
      <c r="C115" s="78">
        <v>2020</v>
      </c>
      <c r="D115" s="99" t="s">
        <v>181</v>
      </c>
      <c r="E115" s="78" t="s">
        <v>230</v>
      </c>
      <c r="F115" s="78" t="s">
        <v>238</v>
      </c>
      <c r="G115" s="78" t="s">
        <v>25</v>
      </c>
      <c r="H115" s="78" t="s">
        <v>167</v>
      </c>
      <c r="I115" s="78" t="s">
        <v>111</v>
      </c>
      <c r="J115" s="78" t="s">
        <v>27</v>
      </c>
      <c r="K115" s="78" t="s">
        <v>112</v>
      </c>
      <c r="L115" s="78">
        <v>3</v>
      </c>
      <c r="N115" s="78">
        <v>3</v>
      </c>
      <c r="O115" s="78">
        <v>0.3</v>
      </c>
      <c r="P115" s="78">
        <v>0.45</v>
      </c>
      <c r="Q115" s="118">
        <f t="shared" si="4"/>
        <v>0.375</v>
      </c>
      <c r="R115" s="78">
        <v>12.2</v>
      </c>
      <c r="S115" s="78">
        <v>129</v>
      </c>
      <c r="T115" s="16">
        <f t="shared" si="8"/>
        <v>25</v>
      </c>
      <c r="U115" s="78">
        <v>498</v>
      </c>
      <c r="V115" s="16">
        <f t="shared" si="7"/>
        <v>4150</v>
      </c>
      <c r="W115" s="78">
        <v>2</v>
      </c>
      <c r="X115" s="78" t="s">
        <v>35</v>
      </c>
      <c r="Y115" s="78" t="s">
        <v>72</v>
      </c>
      <c r="Z115" s="78" t="s">
        <v>43</v>
      </c>
      <c r="AA115" s="78" t="s">
        <v>55</v>
      </c>
      <c r="AB115" s="78" t="s">
        <v>178</v>
      </c>
    </row>
    <row r="116" spans="1:28" x14ac:dyDescent="0.15">
      <c r="A116" s="78" t="s">
        <v>30</v>
      </c>
      <c r="B116" s="78" t="s">
        <v>174</v>
      </c>
      <c r="C116" s="78">
        <v>2020</v>
      </c>
      <c r="D116" s="99" t="s">
        <v>181</v>
      </c>
      <c r="E116" s="78" t="s">
        <v>230</v>
      </c>
      <c r="F116" s="78" t="s">
        <v>238</v>
      </c>
      <c r="G116" s="78" t="s">
        <v>25</v>
      </c>
      <c r="H116" s="78" t="s">
        <v>167</v>
      </c>
      <c r="I116" s="78" t="s">
        <v>111</v>
      </c>
      <c r="J116" s="78" t="s">
        <v>27</v>
      </c>
      <c r="K116" s="78" t="s">
        <v>112</v>
      </c>
      <c r="L116" s="78">
        <v>1</v>
      </c>
      <c r="N116" s="78">
        <v>4</v>
      </c>
      <c r="O116" s="78">
        <v>0.25</v>
      </c>
      <c r="P116" s="78">
        <v>0.25</v>
      </c>
      <c r="Q116" s="118">
        <f t="shared" si="4"/>
        <v>0.25</v>
      </c>
      <c r="R116" s="78">
        <v>16.2</v>
      </c>
      <c r="S116" s="78">
        <v>112</v>
      </c>
      <c r="T116" s="16">
        <f t="shared" si="8"/>
        <v>33</v>
      </c>
      <c r="U116" s="78">
        <v>398</v>
      </c>
      <c r="V116" s="16">
        <f t="shared" si="7"/>
        <v>3283.5</v>
      </c>
      <c r="W116" s="78">
        <v>2</v>
      </c>
      <c r="X116" s="78" t="s">
        <v>35</v>
      </c>
      <c r="Y116" s="78" t="s">
        <v>72</v>
      </c>
      <c r="Z116" s="78" t="s">
        <v>43</v>
      </c>
      <c r="AA116" s="78" t="s">
        <v>55</v>
      </c>
      <c r="AB116" s="78" t="s">
        <v>178</v>
      </c>
    </row>
    <row r="117" spans="1:28" x14ac:dyDescent="0.15">
      <c r="A117" s="78" t="s">
        <v>30</v>
      </c>
      <c r="B117" s="78" t="s">
        <v>174</v>
      </c>
      <c r="C117" s="78">
        <v>2020</v>
      </c>
      <c r="D117" s="99" t="s">
        <v>181</v>
      </c>
      <c r="E117" s="78" t="s">
        <v>230</v>
      </c>
      <c r="F117" s="78" t="s">
        <v>238</v>
      </c>
      <c r="G117" s="78" t="s">
        <v>25</v>
      </c>
      <c r="H117" s="78" t="s">
        <v>167</v>
      </c>
      <c r="I117" s="78" t="s">
        <v>111</v>
      </c>
      <c r="J117" s="78" t="s">
        <v>27</v>
      </c>
      <c r="K117" s="78" t="s">
        <v>112</v>
      </c>
      <c r="L117" s="78">
        <v>2</v>
      </c>
      <c r="N117" s="78">
        <v>4</v>
      </c>
      <c r="O117" s="78">
        <v>0.3</v>
      </c>
      <c r="P117" s="78">
        <v>0.3</v>
      </c>
      <c r="Q117" s="118">
        <f t="shared" si="4"/>
        <v>0.3</v>
      </c>
      <c r="R117" s="78">
        <v>15.1</v>
      </c>
      <c r="S117" s="78">
        <v>114</v>
      </c>
      <c r="T117" s="16">
        <f t="shared" si="8"/>
        <v>30</v>
      </c>
      <c r="U117" s="78">
        <v>398</v>
      </c>
      <c r="V117" s="16">
        <f t="shared" si="7"/>
        <v>2985</v>
      </c>
      <c r="W117" s="78">
        <v>2</v>
      </c>
      <c r="X117" s="78" t="s">
        <v>35</v>
      </c>
      <c r="Y117" s="78" t="s">
        <v>72</v>
      </c>
      <c r="Z117" s="78" t="s">
        <v>43</v>
      </c>
      <c r="AA117" s="78" t="s">
        <v>55</v>
      </c>
      <c r="AB117" s="78" t="s">
        <v>178</v>
      </c>
    </row>
    <row r="118" spans="1:28" x14ac:dyDescent="0.15">
      <c r="A118" s="78" t="s">
        <v>30</v>
      </c>
      <c r="B118" s="78" t="s">
        <v>174</v>
      </c>
      <c r="C118" s="78">
        <v>2020</v>
      </c>
      <c r="D118" s="99" t="s">
        <v>181</v>
      </c>
      <c r="E118" s="78" t="s">
        <v>230</v>
      </c>
      <c r="F118" s="78" t="s">
        <v>238</v>
      </c>
      <c r="G118" s="78" t="s">
        <v>25</v>
      </c>
      <c r="H118" s="78" t="s">
        <v>167</v>
      </c>
      <c r="I118" s="78" t="s">
        <v>111</v>
      </c>
      <c r="J118" s="78" t="s">
        <v>27</v>
      </c>
      <c r="K118" s="78" t="s">
        <v>112</v>
      </c>
      <c r="L118" s="78">
        <v>3</v>
      </c>
      <c r="N118" s="78">
        <v>4</v>
      </c>
      <c r="O118" s="78">
        <v>0.4</v>
      </c>
      <c r="P118" s="78">
        <v>0.35</v>
      </c>
      <c r="Q118" s="118">
        <f t="shared" si="4"/>
        <v>0.375</v>
      </c>
      <c r="R118" s="78">
        <v>14.6</v>
      </c>
      <c r="S118" s="78">
        <v>115</v>
      </c>
      <c r="T118" s="16">
        <f t="shared" si="8"/>
        <v>30</v>
      </c>
      <c r="U118" s="78">
        <v>398</v>
      </c>
      <c r="V118" s="16">
        <f t="shared" si="7"/>
        <v>2985</v>
      </c>
      <c r="W118" s="78">
        <v>2</v>
      </c>
      <c r="X118" s="78" t="s">
        <v>35</v>
      </c>
      <c r="Y118" s="78" t="s">
        <v>72</v>
      </c>
      <c r="Z118" s="78" t="s">
        <v>43</v>
      </c>
      <c r="AA118" s="78" t="s">
        <v>55</v>
      </c>
      <c r="AB118" s="78" t="s">
        <v>178</v>
      </c>
    </row>
    <row r="119" spans="1:28" x14ac:dyDescent="0.15">
      <c r="A119" s="78" t="s">
        <v>30</v>
      </c>
      <c r="B119" s="78" t="s">
        <v>174</v>
      </c>
      <c r="C119" s="78">
        <v>2020</v>
      </c>
      <c r="D119" s="99" t="s">
        <v>181</v>
      </c>
      <c r="E119" s="78" t="s">
        <v>230</v>
      </c>
      <c r="F119" s="78" t="s">
        <v>238</v>
      </c>
      <c r="G119" s="78" t="s">
        <v>25</v>
      </c>
      <c r="H119" s="78" t="s">
        <v>113</v>
      </c>
      <c r="I119" s="78" t="s">
        <v>111</v>
      </c>
      <c r="J119" s="78" t="s">
        <v>27</v>
      </c>
      <c r="K119" s="78" t="s">
        <v>112</v>
      </c>
      <c r="L119" s="78">
        <v>1</v>
      </c>
      <c r="N119" s="78">
        <v>1</v>
      </c>
      <c r="O119" s="78">
        <v>0.75</v>
      </c>
      <c r="P119" s="78">
        <v>0.8</v>
      </c>
      <c r="Q119" s="118">
        <f t="shared" si="4"/>
        <v>0.77500000000000002</v>
      </c>
      <c r="R119" s="78">
        <v>10.8</v>
      </c>
      <c r="S119" s="78">
        <v>120</v>
      </c>
      <c r="T119" s="101">
        <f t="shared" si="8"/>
        <v>30</v>
      </c>
      <c r="U119" s="78">
        <v>98</v>
      </c>
      <c r="V119" s="101">
        <f t="shared" si="7"/>
        <v>2940</v>
      </c>
      <c r="W119" s="78">
        <v>2</v>
      </c>
      <c r="X119" s="78" t="s">
        <v>35</v>
      </c>
      <c r="Y119" s="78" t="s">
        <v>72</v>
      </c>
      <c r="Z119" s="78" t="s">
        <v>43</v>
      </c>
      <c r="AA119" s="78" t="s">
        <v>55</v>
      </c>
      <c r="AB119" s="78" t="s">
        <v>178</v>
      </c>
    </row>
    <row r="120" spans="1:28" x14ac:dyDescent="0.15">
      <c r="A120" s="78" t="s">
        <v>30</v>
      </c>
      <c r="B120" s="78" t="s">
        <v>174</v>
      </c>
      <c r="C120" s="78">
        <v>2020</v>
      </c>
      <c r="D120" s="99" t="s">
        <v>181</v>
      </c>
      <c r="E120" s="78" t="s">
        <v>230</v>
      </c>
      <c r="F120" s="78" t="s">
        <v>238</v>
      </c>
      <c r="G120" s="78" t="s">
        <v>25</v>
      </c>
      <c r="H120" s="78" t="s">
        <v>113</v>
      </c>
      <c r="I120" s="78" t="s">
        <v>111</v>
      </c>
      <c r="J120" s="78" t="s">
        <v>27</v>
      </c>
      <c r="K120" s="78" t="s">
        <v>112</v>
      </c>
      <c r="L120" s="78">
        <v>2</v>
      </c>
      <c r="N120" s="78">
        <v>1</v>
      </c>
      <c r="O120" s="78">
        <v>0.6</v>
      </c>
      <c r="P120" s="78">
        <v>0.6</v>
      </c>
      <c r="Q120" s="118">
        <f t="shared" si="4"/>
        <v>0.6</v>
      </c>
      <c r="R120" s="78">
        <v>11.8</v>
      </c>
      <c r="S120" s="78">
        <v>117</v>
      </c>
      <c r="T120" s="101">
        <f t="shared" si="8"/>
        <v>30</v>
      </c>
      <c r="U120" s="78">
        <v>98</v>
      </c>
      <c r="V120" s="101">
        <f t="shared" si="7"/>
        <v>2940</v>
      </c>
      <c r="W120" s="78">
        <v>2</v>
      </c>
      <c r="X120" s="78" t="s">
        <v>35</v>
      </c>
      <c r="Y120" s="78" t="s">
        <v>72</v>
      </c>
      <c r="Z120" s="78" t="s">
        <v>43</v>
      </c>
      <c r="AA120" s="78" t="s">
        <v>55</v>
      </c>
      <c r="AB120" s="78" t="s">
        <v>178</v>
      </c>
    </row>
    <row r="121" spans="1:28" x14ac:dyDescent="0.15">
      <c r="A121" s="78" t="s">
        <v>30</v>
      </c>
      <c r="B121" s="78" t="s">
        <v>174</v>
      </c>
      <c r="C121" s="78">
        <v>2020</v>
      </c>
      <c r="D121" s="99" t="s">
        <v>181</v>
      </c>
      <c r="E121" s="78" t="s">
        <v>230</v>
      </c>
      <c r="F121" s="78" t="s">
        <v>238</v>
      </c>
      <c r="G121" s="78" t="s">
        <v>25</v>
      </c>
      <c r="H121" s="78" t="s">
        <v>113</v>
      </c>
      <c r="I121" s="78" t="s">
        <v>111</v>
      </c>
      <c r="J121" s="78" t="s">
        <v>27</v>
      </c>
      <c r="K121" s="78" t="s">
        <v>112</v>
      </c>
      <c r="L121" s="78">
        <v>3</v>
      </c>
      <c r="N121" s="78">
        <v>1</v>
      </c>
      <c r="O121" s="78">
        <v>0.85</v>
      </c>
      <c r="P121" s="78">
        <v>0.7</v>
      </c>
      <c r="Q121" s="118">
        <f t="shared" si="4"/>
        <v>0.77499999999999991</v>
      </c>
      <c r="R121" s="78">
        <v>12.7</v>
      </c>
      <c r="S121" s="78">
        <v>119</v>
      </c>
      <c r="T121" s="101">
        <f t="shared" si="8"/>
        <v>30</v>
      </c>
      <c r="U121" s="78">
        <v>98</v>
      </c>
      <c r="V121" s="101">
        <f t="shared" si="7"/>
        <v>2940</v>
      </c>
      <c r="W121" s="78">
        <v>2</v>
      </c>
      <c r="X121" s="78" t="s">
        <v>35</v>
      </c>
      <c r="Y121" s="78" t="s">
        <v>72</v>
      </c>
      <c r="Z121" s="78" t="s">
        <v>43</v>
      </c>
      <c r="AA121" s="78" t="s">
        <v>55</v>
      </c>
      <c r="AB121" s="78" t="s">
        <v>178</v>
      </c>
    </row>
    <row r="122" spans="1:28" x14ac:dyDescent="0.15">
      <c r="A122" s="78" t="s">
        <v>30</v>
      </c>
      <c r="B122" s="78" t="s">
        <v>174</v>
      </c>
      <c r="C122" s="78">
        <v>2020</v>
      </c>
      <c r="D122" s="99" t="s">
        <v>181</v>
      </c>
      <c r="E122" s="78" t="s">
        <v>230</v>
      </c>
      <c r="F122" s="78" t="s">
        <v>238</v>
      </c>
      <c r="G122" s="78" t="s">
        <v>25</v>
      </c>
      <c r="H122" s="78" t="s">
        <v>113</v>
      </c>
      <c r="I122" s="78" t="s">
        <v>111</v>
      </c>
      <c r="J122" s="78" t="s">
        <v>27</v>
      </c>
      <c r="K122" s="78" t="s">
        <v>112</v>
      </c>
      <c r="L122" s="78">
        <v>1</v>
      </c>
      <c r="N122" s="78">
        <v>5</v>
      </c>
      <c r="O122" s="78">
        <v>0.6</v>
      </c>
      <c r="P122" s="78">
        <v>0.65</v>
      </c>
      <c r="Q122" s="118">
        <f t="shared" si="4"/>
        <v>0.625</v>
      </c>
      <c r="R122" s="78">
        <v>13</v>
      </c>
      <c r="S122" s="78">
        <v>100</v>
      </c>
      <c r="T122" s="101">
        <f t="shared" si="8"/>
        <v>33</v>
      </c>
      <c r="U122" s="78">
        <v>298</v>
      </c>
      <c r="V122" s="101">
        <f t="shared" si="7"/>
        <v>1966.8</v>
      </c>
      <c r="W122" s="78">
        <v>2</v>
      </c>
      <c r="X122" s="78" t="s">
        <v>35</v>
      </c>
      <c r="Y122" s="78" t="s">
        <v>72</v>
      </c>
      <c r="Z122" s="78" t="s">
        <v>43</v>
      </c>
      <c r="AA122" s="78" t="s">
        <v>55</v>
      </c>
      <c r="AB122" s="78" t="s">
        <v>178</v>
      </c>
    </row>
    <row r="123" spans="1:28" x14ac:dyDescent="0.15">
      <c r="A123" s="78" t="s">
        <v>30</v>
      </c>
      <c r="B123" s="78" t="s">
        <v>174</v>
      </c>
      <c r="C123" s="78">
        <v>2020</v>
      </c>
      <c r="D123" s="99" t="s">
        <v>181</v>
      </c>
      <c r="E123" s="78" t="s">
        <v>230</v>
      </c>
      <c r="F123" s="78" t="s">
        <v>238</v>
      </c>
      <c r="G123" s="78" t="s">
        <v>25</v>
      </c>
      <c r="H123" s="78" t="s">
        <v>113</v>
      </c>
      <c r="I123" s="78" t="s">
        <v>111</v>
      </c>
      <c r="J123" s="78" t="s">
        <v>27</v>
      </c>
      <c r="K123" s="78" t="s">
        <v>112</v>
      </c>
      <c r="L123" s="78">
        <v>2</v>
      </c>
      <c r="N123" s="78">
        <v>5</v>
      </c>
      <c r="O123" s="78">
        <v>0.4</v>
      </c>
      <c r="P123" s="78">
        <v>0.4</v>
      </c>
      <c r="Q123" s="118">
        <f t="shared" si="4"/>
        <v>0.4</v>
      </c>
      <c r="R123" s="78">
        <v>12.1</v>
      </c>
      <c r="S123" s="78">
        <v>103</v>
      </c>
      <c r="T123" s="101">
        <f t="shared" si="8"/>
        <v>33</v>
      </c>
      <c r="U123" s="78">
        <v>298</v>
      </c>
      <c r="V123" s="16">
        <f t="shared" si="7"/>
        <v>1966.8</v>
      </c>
      <c r="W123" s="78">
        <v>2</v>
      </c>
      <c r="X123" s="78" t="s">
        <v>35</v>
      </c>
      <c r="Y123" s="78" t="s">
        <v>72</v>
      </c>
      <c r="Z123" s="78" t="s">
        <v>43</v>
      </c>
      <c r="AA123" s="78" t="s">
        <v>55</v>
      </c>
      <c r="AB123" s="78" t="s">
        <v>178</v>
      </c>
    </row>
    <row r="124" spans="1:28" x14ac:dyDescent="0.15">
      <c r="A124" s="78" t="s">
        <v>30</v>
      </c>
      <c r="B124" s="78" t="s">
        <v>174</v>
      </c>
      <c r="C124" s="78">
        <v>2020</v>
      </c>
      <c r="D124" s="99" t="s">
        <v>181</v>
      </c>
      <c r="E124" s="78" t="s">
        <v>230</v>
      </c>
      <c r="F124" s="78" t="s">
        <v>238</v>
      </c>
      <c r="G124" s="78" t="s">
        <v>25</v>
      </c>
      <c r="H124" s="78" t="s">
        <v>113</v>
      </c>
      <c r="I124" s="78" t="s">
        <v>111</v>
      </c>
      <c r="J124" s="78" t="s">
        <v>27</v>
      </c>
      <c r="K124" s="78" t="s">
        <v>112</v>
      </c>
      <c r="L124" s="78">
        <v>3</v>
      </c>
      <c r="N124" s="78">
        <v>5</v>
      </c>
      <c r="O124" s="78">
        <v>0.5</v>
      </c>
      <c r="P124" s="78">
        <v>0.55000000000000004</v>
      </c>
      <c r="Q124" s="118">
        <f t="shared" si="4"/>
        <v>0.52500000000000002</v>
      </c>
      <c r="R124" s="78">
        <v>13.5</v>
      </c>
      <c r="S124" s="78">
        <v>104</v>
      </c>
      <c r="T124" s="101">
        <f t="shared" si="8"/>
        <v>33</v>
      </c>
      <c r="U124" s="78">
        <v>298</v>
      </c>
      <c r="V124" s="16">
        <f t="shared" si="7"/>
        <v>1966.8</v>
      </c>
      <c r="W124" s="78">
        <v>2</v>
      </c>
      <c r="X124" s="78" t="s">
        <v>35</v>
      </c>
      <c r="Y124" s="78" t="s">
        <v>72</v>
      </c>
      <c r="Z124" s="78" t="s">
        <v>43</v>
      </c>
      <c r="AA124" s="78" t="s">
        <v>55</v>
      </c>
      <c r="AB124" s="78" t="s">
        <v>178</v>
      </c>
    </row>
    <row r="125" spans="1:28" x14ac:dyDescent="0.15">
      <c r="A125" s="78" t="s">
        <v>30</v>
      </c>
      <c r="B125" s="78" t="s">
        <v>174</v>
      </c>
      <c r="C125" s="78">
        <v>2020</v>
      </c>
      <c r="D125" s="99" t="s">
        <v>181</v>
      </c>
      <c r="E125" s="78" t="s">
        <v>233</v>
      </c>
      <c r="F125" s="78" t="s">
        <v>234</v>
      </c>
      <c r="G125" s="78" t="s">
        <v>25</v>
      </c>
      <c r="H125" s="78" t="s">
        <v>167</v>
      </c>
      <c r="I125" s="78" t="s">
        <v>111</v>
      </c>
      <c r="J125" s="78" t="s">
        <v>27</v>
      </c>
      <c r="K125" s="78" t="s">
        <v>112</v>
      </c>
      <c r="L125" s="78">
        <v>1</v>
      </c>
      <c r="N125" s="78">
        <v>1</v>
      </c>
      <c r="O125" s="78">
        <v>0.45</v>
      </c>
      <c r="P125" s="78">
        <v>0.5</v>
      </c>
      <c r="Q125" s="118">
        <f t="shared" si="4"/>
        <v>0.47499999999999998</v>
      </c>
      <c r="R125" s="78">
        <v>14.6</v>
      </c>
      <c r="S125" s="78">
        <v>120</v>
      </c>
      <c r="T125" s="16">
        <f t="shared" si="8"/>
        <v>30</v>
      </c>
      <c r="U125" s="78">
        <v>105</v>
      </c>
      <c r="V125" s="16">
        <f t="shared" si="7"/>
        <v>3150</v>
      </c>
      <c r="W125" s="78">
        <v>4</v>
      </c>
      <c r="X125" s="78" t="s">
        <v>35</v>
      </c>
      <c r="Y125" s="78" t="s">
        <v>43</v>
      </c>
      <c r="Z125" s="78" t="s">
        <v>82</v>
      </c>
      <c r="AA125" s="78" t="s">
        <v>55</v>
      </c>
      <c r="AB125" s="78" t="s">
        <v>178</v>
      </c>
    </row>
    <row r="126" spans="1:28" x14ac:dyDescent="0.15">
      <c r="A126" s="78" t="s">
        <v>30</v>
      </c>
      <c r="B126" s="78" t="s">
        <v>174</v>
      </c>
      <c r="C126" s="78">
        <v>2020</v>
      </c>
      <c r="D126" s="99" t="s">
        <v>181</v>
      </c>
      <c r="E126" s="78" t="s">
        <v>233</v>
      </c>
      <c r="F126" s="78" t="s">
        <v>234</v>
      </c>
      <c r="G126" s="78" t="s">
        <v>25</v>
      </c>
      <c r="H126" s="78" t="s">
        <v>167</v>
      </c>
      <c r="I126" s="78" t="s">
        <v>111</v>
      </c>
      <c r="J126" s="78" t="s">
        <v>27</v>
      </c>
      <c r="K126" s="78" t="s">
        <v>112</v>
      </c>
      <c r="L126" s="78">
        <v>2</v>
      </c>
      <c r="N126" s="78">
        <v>1</v>
      </c>
      <c r="O126" s="78">
        <v>0.6</v>
      </c>
      <c r="P126" s="78">
        <v>0.45</v>
      </c>
      <c r="Q126" s="118">
        <f t="shared" si="4"/>
        <v>0.52500000000000002</v>
      </c>
      <c r="R126" s="78">
        <v>14</v>
      </c>
      <c r="S126" s="78">
        <v>120</v>
      </c>
      <c r="T126" s="16">
        <f t="shared" si="8"/>
        <v>30</v>
      </c>
      <c r="U126" s="78">
        <v>105</v>
      </c>
      <c r="V126" s="16">
        <f t="shared" si="7"/>
        <v>3150</v>
      </c>
      <c r="W126" s="78">
        <v>4</v>
      </c>
      <c r="X126" s="78" t="s">
        <v>35</v>
      </c>
      <c r="Y126" s="78" t="s">
        <v>43</v>
      </c>
      <c r="Z126" s="78" t="s">
        <v>82</v>
      </c>
      <c r="AA126" s="78" t="s">
        <v>55</v>
      </c>
      <c r="AB126" s="78" t="s">
        <v>178</v>
      </c>
    </row>
    <row r="127" spans="1:28" x14ac:dyDescent="0.15">
      <c r="A127" s="78" t="s">
        <v>30</v>
      </c>
      <c r="B127" s="78" t="s">
        <v>174</v>
      </c>
      <c r="C127" s="78">
        <v>2020</v>
      </c>
      <c r="D127" s="99" t="s">
        <v>181</v>
      </c>
      <c r="E127" s="78" t="s">
        <v>233</v>
      </c>
      <c r="F127" s="78" t="s">
        <v>234</v>
      </c>
      <c r="G127" s="78" t="s">
        <v>25</v>
      </c>
      <c r="H127" s="78" t="s">
        <v>167</v>
      </c>
      <c r="I127" s="78" t="s">
        <v>111</v>
      </c>
      <c r="J127" s="78" t="s">
        <v>27</v>
      </c>
      <c r="K127" s="78" t="s">
        <v>112</v>
      </c>
      <c r="L127" s="78">
        <v>3</v>
      </c>
      <c r="N127" s="78">
        <v>1</v>
      </c>
      <c r="O127" s="78">
        <v>0.7</v>
      </c>
      <c r="P127" s="78">
        <v>0.75</v>
      </c>
      <c r="Q127" s="118">
        <f t="shared" si="4"/>
        <v>0.72499999999999998</v>
      </c>
      <c r="R127" s="78">
        <v>16.2</v>
      </c>
      <c r="S127" s="78">
        <v>114</v>
      </c>
      <c r="T127" s="16">
        <f t="shared" si="8"/>
        <v>30</v>
      </c>
      <c r="U127" s="78">
        <v>105</v>
      </c>
      <c r="V127" s="16">
        <f t="shared" si="7"/>
        <v>3150</v>
      </c>
      <c r="W127" s="78">
        <v>4</v>
      </c>
      <c r="X127" s="78" t="s">
        <v>35</v>
      </c>
      <c r="Y127" s="78" t="s">
        <v>43</v>
      </c>
      <c r="Z127" s="78" t="s">
        <v>82</v>
      </c>
      <c r="AA127" s="78" t="s">
        <v>55</v>
      </c>
      <c r="AB127" s="78" t="s">
        <v>178</v>
      </c>
    </row>
    <row r="128" spans="1:28" x14ac:dyDescent="0.15">
      <c r="A128" s="78" t="s">
        <v>30</v>
      </c>
      <c r="B128" s="78" t="s">
        <v>174</v>
      </c>
      <c r="C128" s="78">
        <v>2020</v>
      </c>
      <c r="D128" s="99" t="s">
        <v>181</v>
      </c>
      <c r="E128" s="78" t="s">
        <v>233</v>
      </c>
      <c r="F128" s="78" t="s">
        <v>234</v>
      </c>
      <c r="G128" s="78" t="s">
        <v>25</v>
      </c>
      <c r="H128" s="78" t="s">
        <v>167</v>
      </c>
      <c r="I128" s="78" t="s">
        <v>111</v>
      </c>
      <c r="J128" s="78" t="s">
        <v>27</v>
      </c>
      <c r="K128" s="78" t="s">
        <v>112</v>
      </c>
      <c r="L128" s="78">
        <v>1</v>
      </c>
      <c r="N128" s="78">
        <v>4</v>
      </c>
      <c r="O128" s="78">
        <v>0.85</v>
      </c>
      <c r="P128" s="78">
        <v>0.7</v>
      </c>
      <c r="Q128" s="118">
        <f t="shared" si="4"/>
        <v>0.77499999999999991</v>
      </c>
      <c r="R128" s="78">
        <v>12.7</v>
      </c>
      <c r="S128" s="78">
        <v>112</v>
      </c>
      <c r="T128" s="16">
        <f t="shared" si="8"/>
        <v>33</v>
      </c>
      <c r="U128" s="78">
        <v>419</v>
      </c>
      <c r="V128" s="16">
        <f t="shared" si="7"/>
        <v>3456.75</v>
      </c>
      <c r="W128" s="78">
        <v>3</v>
      </c>
      <c r="X128" s="78" t="s">
        <v>35</v>
      </c>
      <c r="Y128" s="78" t="s">
        <v>43</v>
      </c>
      <c r="Z128" s="78" t="s">
        <v>82</v>
      </c>
      <c r="AA128" s="78" t="s">
        <v>55</v>
      </c>
      <c r="AB128" s="78" t="s">
        <v>178</v>
      </c>
    </row>
    <row r="129" spans="1:28" x14ac:dyDescent="0.15">
      <c r="A129" s="78" t="s">
        <v>30</v>
      </c>
      <c r="B129" s="78" t="s">
        <v>174</v>
      </c>
      <c r="C129" s="78">
        <v>2020</v>
      </c>
      <c r="D129" s="99" t="s">
        <v>181</v>
      </c>
      <c r="E129" s="78" t="s">
        <v>233</v>
      </c>
      <c r="F129" s="78" t="s">
        <v>234</v>
      </c>
      <c r="G129" s="78" t="s">
        <v>25</v>
      </c>
      <c r="H129" s="78" t="s">
        <v>167</v>
      </c>
      <c r="I129" s="78" t="s">
        <v>111</v>
      </c>
      <c r="J129" s="78" t="s">
        <v>27</v>
      </c>
      <c r="K129" s="78" t="s">
        <v>112</v>
      </c>
      <c r="L129" s="78">
        <v>2</v>
      </c>
      <c r="N129" s="78">
        <v>4</v>
      </c>
      <c r="O129" s="78">
        <v>0.6</v>
      </c>
      <c r="P129" s="78">
        <v>0.65</v>
      </c>
      <c r="Q129" s="118">
        <f t="shared" si="4"/>
        <v>0.625</v>
      </c>
      <c r="R129" s="78">
        <v>13.9</v>
      </c>
      <c r="S129" s="78">
        <v>113</v>
      </c>
      <c r="T129" s="16">
        <f t="shared" si="8"/>
        <v>30</v>
      </c>
      <c r="U129" s="78">
        <v>419</v>
      </c>
      <c r="V129" s="16">
        <f t="shared" si="7"/>
        <v>3142.5</v>
      </c>
      <c r="W129" s="78">
        <v>3</v>
      </c>
      <c r="X129" s="78" t="s">
        <v>35</v>
      </c>
      <c r="Y129" s="78" t="s">
        <v>43</v>
      </c>
      <c r="Z129" s="78" t="s">
        <v>82</v>
      </c>
      <c r="AA129" s="78" t="s">
        <v>55</v>
      </c>
      <c r="AB129" s="78" t="s">
        <v>178</v>
      </c>
    </row>
    <row r="130" spans="1:28" x14ac:dyDescent="0.15">
      <c r="A130" s="78" t="s">
        <v>30</v>
      </c>
      <c r="B130" s="78" t="s">
        <v>174</v>
      </c>
      <c r="C130" s="78">
        <v>2020</v>
      </c>
      <c r="D130" s="99" t="s">
        <v>181</v>
      </c>
      <c r="E130" s="78" t="s">
        <v>233</v>
      </c>
      <c r="F130" s="78" t="s">
        <v>234</v>
      </c>
      <c r="G130" s="78" t="s">
        <v>25</v>
      </c>
      <c r="H130" s="78" t="s">
        <v>167</v>
      </c>
      <c r="I130" s="78" t="s">
        <v>111</v>
      </c>
      <c r="J130" s="78" t="s">
        <v>27</v>
      </c>
      <c r="K130" s="78" t="s">
        <v>112</v>
      </c>
      <c r="L130" s="78">
        <v>3</v>
      </c>
      <c r="N130" s="78">
        <v>4</v>
      </c>
      <c r="O130" s="78">
        <v>0.8</v>
      </c>
      <c r="P130" s="78">
        <v>0.7</v>
      </c>
      <c r="Q130" s="118">
        <f t="shared" ref="Q130:Q154" si="9">IF(OR(O130="",P130=""),"",AVERAGE(O130,P130))</f>
        <v>0.75</v>
      </c>
      <c r="R130" s="78">
        <v>14.2</v>
      </c>
      <c r="S130" s="78">
        <v>115</v>
      </c>
      <c r="T130" s="16">
        <f t="shared" si="8"/>
        <v>30</v>
      </c>
      <c r="U130" s="78">
        <v>419</v>
      </c>
      <c r="V130" s="16">
        <f t="shared" si="7"/>
        <v>3142.5</v>
      </c>
      <c r="W130" s="78">
        <v>3</v>
      </c>
      <c r="X130" s="78" t="s">
        <v>35</v>
      </c>
      <c r="Y130" s="78" t="s">
        <v>43</v>
      </c>
      <c r="Z130" s="78" t="s">
        <v>82</v>
      </c>
      <c r="AA130" s="78" t="s">
        <v>55</v>
      </c>
      <c r="AB130" s="78" t="s">
        <v>178</v>
      </c>
    </row>
    <row r="131" spans="1:28" x14ac:dyDescent="0.15">
      <c r="A131" s="78" t="s">
        <v>30</v>
      </c>
      <c r="B131" s="78" t="s">
        <v>174</v>
      </c>
      <c r="C131" s="78">
        <v>2020</v>
      </c>
      <c r="D131" s="99" t="s">
        <v>181</v>
      </c>
      <c r="E131" s="78" t="s">
        <v>233</v>
      </c>
      <c r="F131" s="78" t="s">
        <v>234</v>
      </c>
      <c r="G131" s="78" t="s">
        <v>25</v>
      </c>
      <c r="H131" s="78" t="s">
        <v>167</v>
      </c>
      <c r="I131" s="78" t="s">
        <v>111</v>
      </c>
      <c r="J131" s="78" t="s">
        <v>27</v>
      </c>
      <c r="K131" s="78" t="s">
        <v>112</v>
      </c>
      <c r="L131" s="78">
        <v>1</v>
      </c>
      <c r="N131" s="78">
        <v>8</v>
      </c>
      <c r="O131" s="78">
        <v>0.45</v>
      </c>
      <c r="P131" s="78">
        <v>0.55000000000000004</v>
      </c>
      <c r="Q131" s="118">
        <f t="shared" si="9"/>
        <v>0.5</v>
      </c>
      <c r="R131" s="78">
        <v>14.6</v>
      </c>
      <c r="S131" s="78">
        <v>106</v>
      </c>
      <c r="T131" s="16">
        <f t="shared" si="8"/>
        <v>33</v>
      </c>
      <c r="U131" s="78">
        <v>842</v>
      </c>
      <c r="V131" s="16">
        <f t="shared" si="7"/>
        <v>3473.25</v>
      </c>
      <c r="W131" s="78">
        <v>3</v>
      </c>
      <c r="X131" s="78" t="s">
        <v>35</v>
      </c>
      <c r="Y131" s="78" t="s">
        <v>43</v>
      </c>
      <c r="Z131" s="78" t="s">
        <v>82</v>
      </c>
      <c r="AA131" s="78" t="s">
        <v>55</v>
      </c>
      <c r="AB131" s="78" t="s">
        <v>178</v>
      </c>
    </row>
    <row r="132" spans="1:28" x14ac:dyDescent="0.15">
      <c r="A132" s="78" t="s">
        <v>30</v>
      </c>
      <c r="B132" s="78" t="s">
        <v>174</v>
      </c>
      <c r="C132" s="78">
        <v>2020</v>
      </c>
      <c r="D132" s="99" t="s">
        <v>181</v>
      </c>
      <c r="E132" s="78" t="s">
        <v>233</v>
      </c>
      <c r="F132" s="78" t="s">
        <v>234</v>
      </c>
      <c r="G132" s="78" t="s">
        <v>25</v>
      </c>
      <c r="H132" s="78" t="s">
        <v>167</v>
      </c>
      <c r="I132" s="78" t="s">
        <v>111</v>
      </c>
      <c r="J132" s="78" t="s">
        <v>27</v>
      </c>
      <c r="K132" s="78" t="s">
        <v>112</v>
      </c>
      <c r="L132" s="78">
        <v>2</v>
      </c>
      <c r="N132" s="78">
        <v>8</v>
      </c>
      <c r="O132" s="78">
        <v>0.6</v>
      </c>
      <c r="P132" s="78">
        <v>0.45</v>
      </c>
      <c r="Q132" s="118">
        <f t="shared" si="9"/>
        <v>0.52500000000000002</v>
      </c>
      <c r="R132" s="78">
        <v>12.9</v>
      </c>
      <c r="S132" s="78">
        <v>105</v>
      </c>
      <c r="T132" s="16">
        <f t="shared" si="8"/>
        <v>33</v>
      </c>
      <c r="U132" s="78">
        <v>842</v>
      </c>
      <c r="V132" s="16">
        <f t="shared" si="7"/>
        <v>3473.25</v>
      </c>
      <c r="W132" s="78">
        <v>3</v>
      </c>
      <c r="X132" s="78" t="s">
        <v>35</v>
      </c>
      <c r="Y132" s="78" t="s">
        <v>43</v>
      </c>
      <c r="Z132" s="78" t="s">
        <v>82</v>
      </c>
      <c r="AA132" s="78" t="s">
        <v>55</v>
      </c>
      <c r="AB132" s="78" t="s">
        <v>178</v>
      </c>
    </row>
    <row r="133" spans="1:28" x14ac:dyDescent="0.15">
      <c r="A133" s="78" t="s">
        <v>30</v>
      </c>
      <c r="B133" s="78" t="s">
        <v>174</v>
      </c>
      <c r="C133" s="78">
        <v>2020</v>
      </c>
      <c r="D133" s="99" t="s">
        <v>181</v>
      </c>
      <c r="E133" s="78" t="s">
        <v>233</v>
      </c>
      <c r="F133" s="78" t="s">
        <v>234</v>
      </c>
      <c r="G133" s="78" t="s">
        <v>25</v>
      </c>
      <c r="H133" s="78" t="s">
        <v>167</v>
      </c>
      <c r="I133" s="78" t="s">
        <v>111</v>
      </c>
      <c r="J133" s="78" t="s">
        <v>27</v>
      </c>
      <c r="K133" s="78" t="s">
        <v>112</v>
      </c>
      <c r="L133" s="78">
        <v>3</v>
      </c>
      <c r="N133" s="78">
        <v>8</v>
      </c>
      <c r="O133" s="78">
        <v>0.7</v>
      </c>
      <c r="P133" s="78">
        <v>0.5</v>
      </c>
      <c r="Q133" s="118">
        <f t="shared" si="9"/>
        <v>0.6</v>
      </c>
      <c r="R133" s="78">
        <v>15.2</v>
      </c>
      <c r="S133" s="78">
        <v>110</v>
      </c>
      <c r="T133" s="16">
        <f t="shared" si="8"/>
        <v>33</v>
      </c>
      <c r="U133" s="78">
        <v>842</v>
      </c>
      <c r="V133" s="16">
        <f t="shared" si="7"/>
        <v>3473.25</v>
      </c>
      <c r="W133" s="78">
        <v>3</v>
      </c>
      <c r="X133" s="78" t="s">
        <v>35</v>
      </c>
      <c r="Y133" s="78" t="s">
        <v>43</v>
      </c>
      <c r="Z133" s="78" t="s">
        <v>82</v>
      </c>
      <c r="AA133" s="78" t="s">
        <v>55</v>
      </c>
      <c r="AB133" s="78" t="s">
        <v>178</v>
      </c>
    </row>
    <row r="134" spans="1:28" x14ac:dyDescent="0.15">
      <c r="A134" s="78" t="s">
        <v>30</v>
      </c>
      <c r="B134" s="78" t="s">
        <v>174</v>
      </c>
      <c r="C134" s="78">
        <v>2020</v>
      </c>
      <c r="D134" s="99" t="s">
        <v>181</v>
      </c>
      <c r="E134" s="78" t="s">
        <v>233</v>
      </c>
      <c r="F134" s="78" t="s">
        <v>234</v>
      </c>
      <c r="G134" s="78" t="s">
        <v>25</v>
      </c>
      <c r="H134" s="78" t="s">
        <v>113</v>
      </c>
      <c r="I134" s="78" t="s">
        <v>111</v>
      </c>
      <c r="J134" s="78" t="s">
        <v>27</v>
      </c>
      <c r="K134" s="78" t="s">
        <v>112</v>
      </c>
      <c r="L134" s="78">
        <v>1</v>
      </c>
      <c r="N134" s="78">
        <v>1</v>
      </c>
      <c r="O134" s="78">
        <v>0.35</v>
      </c>
      <c r="P134" s="78">
        <v>0.35</v>
      </c>
      <c r="Q134" s="118">
        <f t="shared" si="9"/>
        <v>0.35</v>
      </c>
      <c r="R134" s="78">
        <v>11.1</v>
      </c>
      <c r="S134" s="78">
        <v>120</v>
      </c>
      <c r="T134" s="16">
        <f t="shared" si="8"/>
        <v>30</v>
      </c>
      <c r="U134" s="78">
        <v>105</v>
      </c>
      <c r="V134" s="16">
        <f t="shared" si="7"/>
        <v>3150</v>
      </c>
      <c r="W134" s="78">
        <v>4</v>
      </c>
      <c r="X134" s="78" t="s">
        <v>35</v>
      </c>
      <c r="Y134" s="78" t="s">
        <v>43</v>
      </c>
      <c r="Z134" s="78" t="s">
        <v>82</v>
      </c>
      <c r="AA134" s="78" t="s">
        <v>55</v>
      </c>
      <c r="AB134" s="78" t="s">
        <v>178</v>
      </c>
    </row>
    <row r="135" spans="1:28" x14ac:dyDescent="0.15">
      <c r="A135" s="78" t="s">
        <v>30</v>
      </c>
      <c r="B135" s="78" t="s">
        <v>174</v>
      </c>
      <c r="C135" s="78">
        <v>2020</v>
      </c>
      <c r="D135" s="99" t="s">
        <v>181</v>
      </c>
      <c r="E135" s="78" t="s">
        <v>233</v>
      </c>
      <c r="F135" s="78" t="s">
        <v>234</v>
      </c>
      <c r="G135" s="78" t="s">
        <v>25</v>
      </c>
      <c r="H135" s="78" t="s">
        <v>113</v>
      </c>
      <c r="I135" s="78" t="s">
        <v>111</v>
      </c>
      <c r="J135" s="78" t="s">
        <v>27</v>
      </c>
      <c r="K135" s="78" t="s">
        <v>112</v>
      </c>
      <c r="L135" s="78">
        <v>2</v>
      </c>
      <c r="N135" s="78">
        <v>1</v>
      </c>
      <c r="O135" s="78">
        <v>0.35</v>
      </c>
      <c r="P135" s="78">
        <v>0.3</v>
      </c>
      <c r="Q135" s="118">
        <f t="shared" si="9"/>
        <v>0.32499999999999996</v>
      </c>
      <c r="R135" s="78">
        <v>13.4</v>
      </c>
      <c r="S135" s="78">
        <v>117</v>
      </c>
      <c r="T135" s="16">
        <f t="shared" si="8"/>
        <v>30</v>
      </c>
      <c r="U135" s="78">
        <v>105</v>
      </c>
      <c r="V135" s="16">
        <f t="shared" si="7"/>
        <v>3150</v>
      </c>
      <c r="W135" s="78">
        <v>4</v>
      </c>
      <c r="X135" s="78" t="s">
        <v>35</v>
      </c>
      <c r="Y135" s="78" t="s">
        <v>43</v>
      </c>
      <c r="Z135" s="78" t="s">
        <v>82</v>
      </c>
      <c r="AA135" s="78" t="s">
        <v>55</v>
      </c>
      <c r="AB135" s="78" t="s">
        <v>178</v>
      </c>
    </row>
    <row r="136" spans="1:28" x14ac:dyDescent="0.15">
      <c r="A136" s="78" t="s">
        <v>30</v>
      </c>
      <c r="B136" s="78" t="s">
        <v>174</v>
      </c>
      <c r="C136" s="78">
        <v>2020</v>
      </c>
      <c r="D136" s="99" t="s">
        <v>181</v>
      </c>
      <c r="E136" s="78" t="s">
        <v>233</v>
      </c>
      <c r="F136" s="78" t="s">
        <v>234</v>
      </c>
      <c r="G136" s="78" t="s">
        <v>25</v>
      </c>
      <c r="H136" s="78" t="s">
        <v>113</v>
      </c>
      <c r="I136" s="78" t="s">
        <v>111</v>
      </c>
      <c r="J136" s="78" t="s">
        <v>27</v>
      </c>
      <c r="K136" s="78" t="s">
        <v>112</v>
      </c>
      <c r="L136" s="78">
        <v>3</v>
      </c>
      <c r="N136" s="78">
        <v>1</v>
      </c>
      <c r="O136" s="78">
        <v>0.4</v>
      </c>
      <c r="P136" s="78">
        <v>0.35</v>
      </c>
      <c r="Q136" s="118">
        <f t="shared" si="9"/>
        <v>0.375</v>
      </c>
      <c r="R136" s="78">
        <v>15.9</v>
      </c>
      <c r="S136" s="78">
        <v>115</v>
      </c>
      <c r="T136" s="16">
        <f t="shared" si="8"/>
        <v>30</v>
      </c>
      <c r="U136" s="78">
        <v>105</v>
      </c>
      <c r="V136" s="16">
        <f t="shared" si="7"/>
        <v>3150</v>
      </c>
      <c r="W136" s="78">
        <v>4</v>
      </c>
      <c r="X136" s="78" t="s">
        <v>35</v>
      </c>
      <c r="Y136" s="78" t="s">
        <v>43</v>
      </c>
      <c r="Z136" s="78" t="s">
        <v>82</v>
      </c>
      <c r="AA136" s="78" t="s">
        <v>55</v>
      </c>
      <c r="AB136" s="78" t="s">
        <v>178</v>
      </c>
    </row>
    <row r="137" spans="1:28" x14ac:dyDescent="0.15">
      <c r="A137" s="78" t="s">
        <v>30</v>
      </c>
      <c r="B137" s="78" t="s">
        <v>174</v>
      </c>
      <c r="C137" s="78">
        <v>2020</v>
      </c>
      <c r="D137" s="99" t="s">
        <v>181</v>
      </c>
      <c r="E137" s="78" t="s">
        <v>233</v>
      </c>
      <c r="F137" s="78" t="s">
        <v>234</v>
      </c>
      <c r="G137" s="78" t="s">
        <v>25</v>
      </c>
      <c r="H137" s="78" t="s">
        <v>113</v>
      </c>
      <c r="I137" s="78" t="s">
        <v>111</v>
      </c>
      <c r="J137" s="78" t="s">
        <v>27</v>
      </c>
      <c r="K137" s="78" t="s">
        <v>112</v>
      </c>
      <c r="L137" s="78">
        <v>1</v>
      </c>
      <c r="N137" s="78">
        <v>5</v>
      </c>
      <c r="O137" s="78">
        <v>1</v>
      </c>
      <c r="P137" s="78">
        <v>1.05</v>
      </c>
      <c r="Q137" s="118">
        <f t="shared" si="9"/>
        <v>1.0249999999999999</v>
      </c>
      <c r="R137" s="78">
        <v>10.5</v>
      </c>
      <c r="S137" s="78">
        <v>100</v>
      </c>
      <c r="T137" s="16">
        <f t="shared" si="8"/>
        <v>33</v>
      </c>
      <c r="U137" s="78">
        <v>419</v>
      </c>
      <c r="V137" s="16">
        <f t="shared" si="7"/>
        <v>2765.4</v>
      </c>
      <c r="W137" s="78">
        <v>3</v>
      </c>
      <c r="X137" s="78" t="s">
        <v>35</v>
      </c>
      <c r="Y137" s="78" t="s">
        <v>43</v>
      </c>
      <c r="Z137" s="78" t="s">
        <v>82</v>
      </c>
      <c r="AA137" s="78" t="s">
        <v>55</v>
      </c>
      <c r="AB137" s="78" t="s">
        <v>178</v>
      </c>
    </row>
    <row r="138" spans="1:28" x14ac:dyDescent="0.15">
      <c r="A138" s="78" t="s">
        <v>30</v>
      </c>
      <c r="B138" s="78" t="s">
        <v>174</v>
      </c>
      <c r="C138" s="78">
        <v>2020</v>
      </c>
      <c r="D138" s="99" t="s">
        <v>181</v>
      </c>
      <c r="E138" s="78" t="s">
        <v>233</v>
      </c>
      <c r="F138" s="78" t="s">
        <v>234</v>
      </c>
      <c r="G138" s="78" t="s">
        <v>25</v>
      </c>
      <c r="H138" s="78" t="s">
        <v>113</v>
      </c>
      <c r="I138" s="78" t="s">
        <v>111</v>
      </c>
      <c r="J138" s="78" t="s">
        <v>27</v>
      </c>
      <c r="K138" s="78" t="s">
        <v>112</v>
      </c>
      <c r="L138" s="78">
        <v>2</v>
      </c>
      <c r="N138" s="78">
        <v>5</v>
      </c>
      <c r="O138" s="78">
        <v>1.1000000000000001</v>
      </c>
      <c r="P138" s="78">
        <v>1.3</v>
      </c>
      <c r="Q138" s="118">
        <f t="shared" si="9"/>
        <v>1.2000000000000002</v>
      </c>
      <c r="R138" s="78">
        <v>9.8000000000000007</v>
      </c>
      <c r="S138" s="78">
        <v>103</v>
      </c>
      <c r="T138" s="16">
        <f t="shared" si="8"/>
        <v>33</v>
      </c>
      <c r="U138" s="78">
        <v>419</v>
      </c>
      <c r="V138" s="16">
        <f t="shared" si="7"/>
        <v>2765.4</v>
      </c>
      <c r="W138" s="78">
        <v>3</v>
      </c>
      <c r="X138" s="78" t="s">
        <v>35</v>
      </c>
      <c r="Y138" s="78" t="s">
        <v>43</v>
      </c>
      <c r="Z138" s="78" t="s">
        <v>82</v>
      </c>
      <c r="AA138" s="78" t="s">
        <v>55</v>
      </c>
      <c r="AB138" s="78" t="s">
        <v>178</v>
      </c>
    </row>
    <row r="139" spans="1:28" x14ac:dyDescent="0.15">
      <c r="A139" s="78" t="s">
        <v>30</v>
      </c>
      <c r="B139" s="78" t="s">
        <v>174</v>
      </c>
      <c r="C139" s="78">
        <v>2020</v>
      </c>
      <c r="D139" s="99" t="s">
        <v>181</v>
      </c>
      <c r="E139" s="78" t="s">
        <v>233</v>
      </c>
      <c r="F139" s="78" t="s">
        <v>234</v>
      </c>
      <c r="G139" s="78" t="s">
        <v>25</v>
      </c>
      <c r="H139" s="78" t="s">
        <v>113</v>
      </c>
      <c r="I139" s="78" t="s">
        <v>111</v>
      </c>
      <c r="J139" s="78" t="s">
        <v>27</v>
      </c>
      <c r="K139" s="78" t="s">
        <v>112</v>
      </c>
      <c r="L139" s="78">
        <v>3</v>
      </c>
      <c r="N139" s="78">
        <v>5</v>
      </c>
      <c r="O139" s="78">
        <v>0.9</v>
      </c>
      <c r="P139" s="78">
        <v>1.1000000000000001</v>
      </c>
      <c r="Q139" s="118">
        <f t="shared" si="9"/>
        <v>1</v>
      </c>
      <c r="R139" s="78">
        <v>12.4</v>
      </c>
      <c r="S139" s="78">
        <v>100</v>
      </c>
      <c r="T139" s="16">
        <f t="shared" si="8"/>
        <v>33</v>
      </c>
      <c r="U139" s="78">
        <v>419</v>
      </c>
      <c r="V139" s="16">
        <f t="shared" si="7"/>
        <v>2765.4</v>
      </c>
      <c r="W139" s="78">
        <v>3</v>
      </c>
      <c r="X139" s="78" t="s">
        <v>35</v>
      </c>
      <c r="Y139" s="78" t="s">
        <v>43</v>
      </c>
      <c r="Z139" s="78" t="s">
        <v>82</v>
      </c>
      <c r="AA139" s="78" t="s">
        <v>55</v>
      </c>
      <c r="AB139" s="78" t="s">
        <v>178</v>
      </c>
    </row>
    <row r="140" spans="1:28" x14ac:dyDescent="0.15">
      <c r="A140" s="78" t="s">
        <v>30</v>
      </c>
      <c r="B140" s="78" t="s">
        <v>174</v>
      </c>
      <c r="C140" s="78">
        <v>2020</v>
      </c>
      <c r="D140" s="99" t="s">
        <v>181</v>
      </c>
      <c r="E140" s="78" t="s">
        <v>233</v>
      </c>
      <c r="F140" s="78" t="s">
        <v>234</v>
      </c>
      <c r="G140" s="78" t="s">
        <v>25</v>
      </c>
      <c r="H140" s="78" t="s">
        <v>113</v>
      </c>
      <c r="I140" s="78" t="s">
        <v>111</v>
      </c>
      <c r="J140" s="78" t="s">
        <v>27</v>
      </c>
      <c r="K140" s="78" t="s">
        <v>112</v>
      </c>
      <c r="L140" s="78">
        <v>1</v>
      </c>
      <c r="N140" s="78">
        <v>8</v>
      </c>
      <c r="O140" s="78">
        <v>0.45</v>
      </c>
      <c r="P140" s="78">
        <v>0.4</v>
      </c>
      <c r="Q140" s="118">
        <f t="shared" si="9"/>
        <v>0.42500000000000004</v>
      </c>
      <c r="R140" s="78">
        <v>11.9</v>
      </c>
      <c r="S140" s="78">
        <v>98</v>
      </c>
      <c r="T140" s="16">
        <f t="shared" si="8"/>
        <v>36</v>
      </c>
      <c r="U140" s="78">
        <v>842</v>
      </c>
      <c r="V140" s="16">
        <f t="shared" si="7"/>
        <v>3789</v>
      </c>
      <c r="W140" s="78">
        <v>3</v>
      </c>
      <c r="X140" s="78" t="s">
        <v>35</v>
      </c>
      <c r="Y140" s="78" t="s">
        <v>43</v>
      </c>
      <c r="Z140" s="78" t="s">
        <v>82</v>
      </c>
      <c r="AA140" s="78" t="s">
        <v>55</v>
      </c>
      <c r="AB140" s="78" t="s">
        <v>178</v>
      </c>
    </row>
    <row r="141" spans="1:28" x14ac:dyDescent="0.15">
      <c r="A141" s="78" t="s">
        <v>30</v>
      </c>
      <c r="B141" s="78" t="s">
        <v>174</v>
      </c>
      <c r="C141" s="78">
        <v>2020</v>
      </c>
      <c r="D141" s="99" t="s">
        <v>181</v>
      </c>
      <c r="E141" s="78" t="s">
        <v>233</v>
      </c>
      <c r="F141" s="78" t="s">
        <v>234</v>
      </c>
      <c r="G141" s="78" t="s">
        <v>25</v>
      </c>
      <c r="H141" s="78" t="s">
        <v>113</v>
      </c>
      <c r="I141" s="78" t="s">
        <v>111</v>
      </c>
      <c r="J141" s="78" t="s">
        <v>27</v>
      </c>
      <c r="K141" s="78" t="s">
        <v>112</v>
      </c>
      <c r="L141" s="78">
        <v>2</v>
      </c>
      <c r="N141" s="78">
        <v>8</v>
      </c>
      <c r="O141" s="78">
        <v>0.6</v>
      </c>
      <c r="P141" s="78">
        <v>0.5</v>
      </c>
      <c r="Q141" s="118">
        <f t="shared" si="9"/>
        <v>0.55000000000000004</v>
      </c>
      <c r="R141" s="78">
        <v>13.4</v>
      </c>
      <c r="S141" s="78">
        <v>95</v>
      </c>
      <c r="T141" s="16">
        <f t="shared" si="8"/>
        <v>36</v>
      </c>
      <c r="U141" s="78">
        <v>842</v>
      </c>
      <c r="V141" s="16">
        <f t="shared" si="7"/>
        <v>3789</v>
      </c>
      <c r="W141" s="78">
        <v>3</v>
      </c>
      <c r="X141" s="78" t="s">
        <v>35</v>
      </c>
      <c r="Y141" s="78" t="s">
        <v>43</v>
      </c>
      <c r="Z141" s="78" t="s">
        <v>82</v>
      </c>
      <c r="AA141" s="78" t="s">
        <v>55</v>
      </c>
      <c r="AB141" s="78" t="s">
        <v>178</v>
      </c>
    </row>
    <row r="142" spans="1:28" x14ac:dyDescent="0.15">
      <c r="A142" s="78" t="s">
        <v>30</v>
      </c>
      <c r="B142" s="78" t="s">
        <v>174</v>
      </c>
      <c r="C142" s="78">
        <v>2020</v>
      </c>
      <c r="D142" s="99" t="s">
        <v>181</v>
      </c>
      <c r="E142" s="78" t="s">
        <v>233</v>
      </c>
      <c r="F142" s="78" t="s">
        <v>234</v>
      </c>
      <c r="G142" s="78" t="s">
        <v>25</v>
      </c>
      <c r="H142" s="78" t="s">
        <v>113</v>
      </c>
      <c r="I142" s="78" t="s">
        <v>111</v>
      </c>
      <c r="J142" s="78" t="s">
        <v>27</v>
      </c>
      <c r="K142" s="78" t="s">
        <v>112</v>
      </c>
      <c r="L142" s="78">
        <v>3</v>
      </c>
      <c r="N142" s="78">
        <v>8</v>
      </c>
      <c r="O142" s="78">
        <v>0.55000000000000004</v>
      </c>
      <c r="P142" s="78">
        <v>0.4</v>
      </c>
      <c r="Q142" s="118">
        <f t="shared" si="9"/>
        <v>0.47500000000000003</v>
      </c>
      <c r="R142" s="78">
        <v>13.4</v>
      </c>
      <c r="S142" s="78">
        <v>96</v>
      </c>
      <c r="T142" s="16">
        <f t="shared" si="8"/>
        <v>36</v>
      </c>
      <c r="U142" s="78">
        <v>842</v>
      </c>
      <c r="V142" s="16">
        <f t="shared" si="7"/>
        <v>3789</v>
      </c>
      <c r="W142" s="78">
        <v>3</v>
      </c>
      <c r="X142" s="78" t="s">
        <v>35</v>
      </c>
      <c r="Y142" s="78" t="s">
        <v>43</v>
      </c>
      <c r="Z142" s="78" t="s">
        <v>82</v>
      </c>
      <c r="AA142" s="78" t="s">
        <v>55</v>
      </c>
      <c r="AB142" s="78" t="s">
        <v>178</v>
      </c>
    </row>
    <row r="143" spans="1:28" x14ac:dyDescent="0.15">
      <c r="A143" s="78" t="s">
        <v>30</v>
      </c>
      <c r="B143" s="78" t="s">
        <v>174</v>
      </c>
      <c r="C143" s="78">
        <v>2020</v>
      </c>
      <c r="D143" s="99" t="s">
        <v>181</v>
      </c>
      <c r="E143" s="78" t="s">
        <v>240</v>
      </c>
      <c r="F143" s="78" t="s">
        <v>241</v>
      </c>
      <c r="G143" s="78" t="s">
        <v>25</v>
      </c>
      <c r="H143" s="78" t="s">
        <v>167</v>
      </c>
      <c r="I143" s="78" t="s">
        <v>111</v>
      </c>
      <c r="J143" s="78" t="s">
        <v>27</v>
      </c>
      <c r="K143" s="78" t="s">
        <v>112</v>
      </c>
      <c r="L143" s="78">
        <v>1</v>
      </c>
      <c r="N143" s="78">
        <v>1</v>
      </c>
      <c r="O143" s="78">
        <v>0.7</v>
      </c>
      <c r="P143" s="78">
        <v>0.75</v>
      </c>
      <c r="Q143" s="118">
        <f t="shared" si="9"/>
        <v>0.72499999999999998</v>
      </c>
      <c r="R143" s="78">
        <v>16.2</v>
      </c>
      <c r="S143" s="78">
        <v>124</v>
      </c>
      <c r="T143" s="16">
        <f t="shared" si="8"/>
        <v>27</v>
      </c>
      <c r="U143" s="78">
        <v>97</v>
      </c>
      <c r="V143" s="16">
        <f t="shared" si="7"/>
        <v>2619</v>
      </c>
      <c r="W143" s="78">
        <v>3</v>
      </c>
      <c r="X143" s="78" t="s">
        <v>35</v>
      </c>
      <c r="Y143" s="78" t="s">
        <v>55</v>
      </c>
      <c r="Z143" s="78" t="s">
        <v>72</v>
      </c>
      <c r="AA143" s="78" t="s">
        <v>43</v>
      </c>
      <c r="AB143" s="78" t="s">
        <v>178</v>
      </c>
    </row>
    <row r="144" spans="1:28" x14ac:dyDescent="0.15">
      <c r="A144" s="78" t="s">
        <v>30</v>
      </c>
      <c r="B144" s="78" t="s">
        <v>174</v>
      </c>
      <c r="C144" s="78">
        <v>2020</v>
      </c>
      <c r="D144" s="99" t="s">
        <v>181</v>
      </c>
      <c r="E144" s="78" t="s">
        <v>240</v>
      </c>
      <c r="F144" s="78" t="s">
        <v>241</v>
      </c>
      <c r="G144" s="78" t="s">
        <v>25</v>
      </c>
      <c r="H144" s="78" t="s">
        <v>167</v>
      </c>
      <c r="I144" s="78" t="s">
        <v>111</v>
      </c>
      <c r="J144" s="78" t="s">
        <v>27</v>
      </c>
      <c r="K144" s="78" t="s">
        <v>112</v>
      </c>
      <c r="L144" s="78">
        <v>2</v>
      </c>
      <c r="N144" s="78">
        <v>1</v>
      </c>
      <c r="O144" s="78">
        <v>0.65</v>
      </c>
      <c r="P144" s="78">
        <v>0.65</v>
      </c>
      <c r="Q144" s="118">
        <f t="shared" si="9"/>
        <v>0.65</v>
      </c>
      <c r="R144" s="78">
        <v>15.4</v>
      </c>
      <c r="S144" s="78">
        <v>127</v>
      </c>
      <c r="T144" s="16">
        <f t="shared" si="8"/>
        <v>27</v>
      </c>
      <c r="U144" s="78">
        <v>97</v>
      </c>
      <c r="V144" s="16">
        <f t="shared" si="7"/>
        <v>2619</v>
      </c>
      <c r="W144" s="78">
        <v>3</v>
      </c>
      <c r="X144" s="78" t="s">
        <v>35</v>
      </c>
      <c r="Y144" s="78" t="s">
        <v>55</v>
      </c>
      <c r="Z144" s="78" t="s">
        <v>72</v>
      </c>
      <c r="AA144" s="78" t="s">
        <v>43</v>
      </c>
      <c r="AB144" s="78" t="s">
        <v>178</v>
      </c>
    </row>
    <row r="145" spans="1:28" x14ac:dyDescent="0.15">
      <c r="A145" s="78" t="s">
        <v>30</v>
      </c>
      <c r="B145" s="78" t="s">
        <v>174</v>
      </c>
      <c r="C145" s="78">
        <v>2020</v>
      </c>
      <c r="D145" s="99" t="s">
        <v>181</v>
      </c>
      <c r="E145" s="78" t="s">
        <v>240</v>
      </c>
      <c r="F145" s="78" t="s">
        <v>241</v>
      </c>
      <c r="G145" s="78" t="s">
        <v>25</v>
      </c>
      <c r="H145" s="78" t="s">
        <v>167</v>
      </c>
      <c r="I145" s="78" t="s">
        <v>111</v>
      </c>
      <c r="J145" s="78" t="s">
        <v>27</v>
      </c>
      <c r="K145" s="78" t="s">
        <v>112</v>
      </c>
      <c r="L145" s="78">
        <v>3</v>
      </c>
      <c r="N145" s="78">
        <v>1</v>
      </c>
      <c r="O145" s="78">
        <v>0.5</v>
      </c>
      <c r="P145" s="78">
        <v>0.6</v>
      </c>
      <c r="Q145" s="118">
        <f t="shared" si="9"/>
        <v>0.55000000000000004</v>
      </c>
      <c r="R145" s="78">
        <v>12.6</v>
      </c>
      <c r="S145" s="78">
        <v>128</v>
      </c>
      <c r="T145" s="16">
        <f t="shared" si="8"/>
        <v>27</v>
      </c>
      <c r="U145" s="78">
        <v>97</v>
      </c>
      <c r="V145" s="16">
        <f t="shared" si="7"/>
        <v>2619</v>
      </c>
      <c r="W145" s="78">
        <v>3</v>
      </c>
      <c r="X145" s="78" t="s">
        <v>35</v>
      </c>
      <c r="Y145" s="78" t="s">
        <v>55</v>
      </c>
      <c r="Z145" s="78" t="s">
        <v>72</v>
      </c>
      <c r="AA145" s="78" t="s">
        <v>43</v>
      </c>
      <c r="AB145" s="78" t="s">
        <v>178</v>
      </c>
    </row>
    <row r="146" spans="1:28" x14ac:dyDescent="0.15">
      <c r="A146" s="78" t="s">
        <v>30</v>
      </c>
      <c r="B146" s="78" t="s">
        <v>174</v>
      </c>
      <c r="C146" s="78">
        <v>2020</v>
      </c>
      <c r="D146" s="99" t="s">
        <v>181</v>
      </c>
      <c r="E146" s="78" t="s">
        <v>240</v>
      </c>
      <c r="F146" s="78" t="s">
        <v>241</v>
      </c>
      <c r="G146" s="78" t="s">
        <v>25</v>
      </c>
      <c r="H146" s="78" t="s">
        <v>167</v>
      </c>
      <c r="I146" s="78" t="s">
        <v>111</v>
      </c>
      <c r="J146" s="78" t="s">
        <v>27</v>
      </c>
      <c r="K146" s="78" t="s">
        <v>112</v>
      </c>
      <c r="L146" s="78">
        <v>1</v>
      </c>
      <c r="N146" s="78">
        <v>4</v>
      </c>
      <c r="O146" s="78">
        <v>0.75</v>
      </c>
      <c r="P146" s="78">
        <v>0.75</v>
      </c>
      <c r="Q146" s="118">
        <f t="shared" si="9"/>
        <v>0.75</v>
      </c>
      <c r="R146" s="78">
        <v>13.5</v>
      </c>
      <c r="S146" s="78">
        <v>110</v>
      </c>
      <c r="T146" s="16">
        <f t="shared" si="8"/>
        <v>33</v>
      </c>
      <c r="U146" s="122">
        <v>397</v>
      </c>
      <c r="V146" s="16">
        <f t="shared" si="7"/>
        <v>3275.25</v>
      </c>
      <c r="W146" s="78">
        <v>2</v>
      </c>
      <c r="X146" s="78" t="s">
        <v>35</v>
      </c>
      <c r="Y146" s="78" t="s">
        <v>55</v>
      </c>
      <c r="Z146" s="78" t="s">
        <v>72</v>
      </c>
      <c r="AA146" s="78" t="s">
        <v>43</v>
      </c>
      <c r="AB146" s="78" t="s">
        <v>178</v>
      </c>
    </row>
    <row r="147" spans="1:28" x14ac:dyDescent="0.15">
      <c r="A147" s="78" t="s">
        <v>30</v>
      </c>
      <c r="B147" s="78" t="s">
        <v>174</v>
      </c>
      <c r="C147" s="78">
        <v>2020</v>
      </c>
      <c r="D147" s="99" t="s">
        <v>181</v>
      </c>
      <c r="E147" s="78" t="s">
        <v>240</v>
      </c>
      <c r="F147" s="78" t="s">
        <v>241</v>
      </c>
      <c r="G147" s="78" t="s">
        <v>25</v>
      </c>
      <c r="H147" s="78" t="s">
        <v>167</v>
      </c>
      <c r="I147" s="78" t="s">
        <v>111</v>
      </c>
      <c r="J147" s="78" t="s">
        <v>27</v>
      </c>
      <c r="K147" s="78" t="s">
        <v>112</v>
      </c>
      <c r="L147" s="78">
        <v>2</v>
      </c>
      <c r="N147" s="78">
        <v>4</v>
      </c>
      <c r="O147" s="78">
        <v>0.8</v>
      </c>
      <c r="P147" s="78">
        <v>0.85</v>
      </c>
      <c r="Q147" s="118">
        <f t="shared" si="9"/>
        <v>0.82499999999999996</v>
      </c>
      <c r="R147" s="78">
        <v>14.7</v>
      </c>
      <c r="S147" s="78">
        <v>105</v>
      </c>
      <c r="T147" s="16">
        <f t="shared" si="8"/>
        <v>33</v>
      </c>
      <c r="U147" s="122">
        <v>397</v>
      </c>
      <c r="V147" s="16">
        <f t="shared" si="7"/>
        <v>3275.25</v>
      </c>
      <c r="W147" s="78">
        <v>2</v>
      </c>
      <c r="X147" s="78" t="s">
        <v>35</v>
      </c>
      <c r="Y147" s="78" t="s">
        <v>55</v>
      </c>
      <c r="Z147" s="78" t="s">
        <v>72</v>
      </c>
      <c r="AA147" s="78" t="s">
        <v>43</v>
      </c>
      <c r="AB147" s="78" t="s">
        <v>178</v>
      </c>
    </row>
    <row r="148" spans="1:28" x14ac:dyDescent="0.15">
      <c r="A148" s="78" t="s">
        <v>30</v>
      </c>
      <c r="B148" s="78" t="s">
        <v>174</v>
      </c>
      <c r="C148" s="78">
        <v>2020</v>
      </c>
      <c r="D148" s="99" t="s">
        <v>181</v>
      </c>
      <c r="E148" s="78" t="s">
        <v>240</v>
      </c>
      <c r="F148" s="78" t="s">
        <v>241</v>
      </c>
      <c r="G148" s="78" t="s">
        <v>25</v>
      </c>
      <c r="H148" s="78" t="s">
        <v>167</v>
      </c>
      <c r="I148" s="78" t="s">
        <v>111</v>
      </c>
      <c r="J148" s="78" t="s">
        <v>27</v>
      </c>
      <c r="K148" s="78" t="s">
        <v>112</v>
      </c>
      <c r="L148" s="78">
        <v>3</v>
      </c>
      <c r="N148" s="78">
        <v>4</v>
      </c>
      <c r="O148" s="78">
        <v>0.65</v>
      </c>
      <c r="P148" s="78">
        <v>0.7</v>
      </c>
      <c r="Q148" s="118">
        <f t="shared" si="9"/>
        <v>0.67500000000000004</v>
      </c>
      <c r="R148" s="78">
        <v>14</v>
      </c>
      <c r="S148" s="78">
        <v>107</v>
      </c>
      <c r="T148" s="16">
        <f t="shared" si="8"/>
        <v>33</v>
      </c>
      <c r="U148" s="122">
        <v>397</v>
      </c>
      <c r="V148" s="16">
        <f t="shared" si="7"/>
        <v>3275.25</v>
      </c>
      <c r="W148" s="78">
        <v>2</v>
      </c>
      <c r="X148" s="78" t="s">
        <v>35</v>
      </c>
      <c r="Y148" s="78" t="s">
        <v>55</v>
      </c>
      <c r="Z148" s="78" t="s">
        <v>72</v>
      </c>
      <c r="AA148" s="78" t="s">
        <v>43</v>
      </c>
      <c r="AB148" s="78" t="s">
        <v>178</v>
      </c>
    </row>
    <row r="149" spans="1:28" x14ac:dyDescent="0.15">
      <c r="A149" s="78" t="s">
        <v>30</v>
      </c>
      <c r="B149" s="78" t="s">
        <v>174</v>
      </c>
      <c r="C149" s="78">
        <v>2020</v>
      </c>
      <c r="D149" s="99" t="s">
        <v>181</v>
      </c>
      <c r="E149" s="78" t="s">
        <v>240</v>
      </c>
      <c r="F149" s="78" t="s">
        <v>241</v>
      </c>
      <c r="G149" s="78" t="s">
        <v>25</v>
      </c>
      <c r="H149" s="78" t="s">
        <v>113</v>
      </c>
      <c r="I149" s="78" t="s">
        <v>111</v>
      </c>
      <c r="J149" s="78" t="s">
        <v>27</v>
      </c>
      <c r="K149" s="78" t="s">
        <v>112</v>
      </c>
      <c r="L149" s="78">
        <v>1</v>
      </c>
      <c r="N149" s="78">
        <v>1</v>
      </c>
      <c r="O149" s="78">
        <v>0.65</v>
      </c>
      <c r="P149" s="78">
        <v>0.7</v>
      </c>
      <c r="Q149" s="118">
        <f t="shared" si="9"/>
        <v>0.67500000000000004</v>
      </c>
      <c r="R149" s="78">
        <v>12.8</v>
      </c>
      <c r="S149" s="78">
        <v>124</v>
      </c>
      <c r="T149" s="16">
        <f t="shared" si="8"/>
        <v>27</v>
      </c>
      <c r="U149" s="122">
        <v>97</v>
      </c>
      <c r="V149" s="16">
        <f t="shared" si="7"/>
        <v>2619</v>
      </c>
      <c r="W149" s="78">
        <v>3</v>
      </c>
      <c r="X149" s="78" t="s">
        <v>35</v>
      </c>
      <c r="Y149" s="78" t="s">
        <v>55</v>
      </c>
      <c r="Z149" s="78" t="s">
        <v>72</v>
      </c>
      <c r="AA149" s="78" t="s">
        <v>43</v>
      </c>
      <c r="AB149" s="78" t="s">
        <v>178</v>
      </c>
    </row>
    <row r="150" spans="1:28" x14ac:dyDescent="0.15">
      <c r="A150" s="78" t="s">
        <v>30</v>
      </c>
      <c r="B150" s="78" t="s">
        <v>174</v>
      </c>
      <c r="C150" s="78">
        <v>2020</v>
      </c>
      <c r="D150" s="99" t="s">
        <v>181</v>
      </c>
      <c r="E150" s="78" t="s">
        <v>240</v>
      </c>
      <c r="F150" s="78" t="s">
        <v>241</v>
      </c>
      <c r="G150" s="78" t="s">
        <v>25</v>
      </c>
      <c r="H150" s="78" t="s">
        <v>113</v>
      </c>
      <c r="I150" s="78" t="s">
        <v>111</v>
      </c>
      <c r="J150" s="78" t="s">
        <v>27</v>
      </c>
      <c r="K150" s="78" t="s">
        <v>112</v>
      </c>
      <c r="L150" s="78">
        <v>2</v>
      </c>
      <c r="N150" s="78">
        <v>1</v>
      </c>
      <c r="O150" s="78">
        <v>0.4</v>
      </c>
      <c r="P150" s="78">
        <v>0.5</v>
      </c>
      <c r="Q150" s="118">
        <f t="shared" si="9"/>
        <v>0.45</v>
      </c>
      <c r="R150" s="78">
        <v>13.4</v>
      </c>
      <c r="S150" s="78">
        <v>122</v>
      </c>
      <c r="T150" s="16">
        <f t="shared" si="8"/>
        <v>27</v>
      </c>
      <c r="U150" s="122">
        <v>97</v>
      </c>
      <c r="V150" s="16">
        <f t="shared" ref="V150:V154" si="10">IF(OR(N150="",U150="",T150=""),"",U150/N150*T150)</f>
        <v>2619</v>
      </c>
      <c r="W150" s="78">
        <v>3</v>
      </c>
      <c r="X150" s="78" t="s">
        <v>35</v>
      </c>
      <c r="Y150" s="78" t="s">
        <v>55</v>
      </c>
      <c r="Z150" s="78" t="s">
        <v>72</v>
      </c>
      <c r="AA150" s="78" t="s">
        <v>43</v>
      </c>
      <c r="AB150" s="78" t="s">
        <v>178</v>
      </c>
    </row>
    <row r="151" spans="1:28" x14ac:dyDescent="0.15">
      <c r="A151" s="78" t="s">
        <v>30</v>
      </c>
      <c r="B151" s="78" t="s">
        <v>174</v>
      </c>
      <c r="C151" s="78">
        <v>2020</v>
      </c>
      <c r="D151" s="99" t="s">
        <v>181</v>
      </c>
      <c r="E151" s="78" t="s">
        <v>240</v>
      </c>
      <c r="F151" s="78" t="s">
        <v>241</v>
      </c>
      <c r="G151" s="78" t="s">
        <v>25</v>
      </c>
      <c r="H151" s="78" t="s">
        <v>113</v>
      </c>
      <c r="I151" s="78" t="s">
        <v>111</v>
      </c>
      <c r="J151" s="78" t="s">
        <v>27</v>
      </c>
      <c r="K151" s="78" t="s">
        <v>112</v>
      </c>
      <c r="L151" s="78">
        <v>3</v>
      </c>
      <c r="N151" s="78">
        <v>1</v>
      </c>
      <c r="O151" s="78">
        <v>0.5</v>
      </c>
      <c r="P151" s="78">
        <v>0.6</v>
      </c>
      <c r="Q151" s="118">
        <f t="shared" si="9"/>
        <v>0.55000000000000004</v>
      </c>
      <c r="R151" s="78">
        <v>14.4</v>
      </c>
      <c r="S151" s="78">
        <v>123</v>
      </c>
      <c r="T151" s="16">
        <f t="shared" si="8"/>
        <v>27</v>
      </c>
      <c r="U151" s="122">
        <v>97</v>
      </c>
      <c r="V151" s="16">
        <f t="shared" si="10"/>
        <v>2619</v>
      </c>
      <c r="W151" s="78">
        <v>3</v>
      </c>
      <c r="X151" s="78" t="s">
        <v>35</v>
      </c>
      <c r="Y151" s="78" t="s">
        <v>55</v>
      </c>
      <c r="Z151" s="78" t="s">
        <v>72</v>
      </c>
      <c r="AA151" s="78" t="s">
        <v>43</v>
      </c>
      <c r="AB151" s="78" t="s">
        <v>178</v>
      </c>
    </row>
    <row r="152" spans="1:28" x14ac:dyDescent="0.15">
      <c r="A152" s="78" t="s">
        <v>30</v>
      </c>
      <c r="B152" s="78" t="s">
        <v>174</v>
      </c>
      <c r="C152" s="78">
        <v>2020</v>
      </c>
      <c r="D152" s="99" t="s">
        <v>181</v>
      </c>
      <c r="E152" s="78" t="s">
        <v>240</v>
      </c>
      <c r="F152" s="78" t="s">
        <v>241</v>
      </c>
      <c r="G152" s="78" t="s">
        <v>25</v>
      </c>
      <c r="H152" s="78" t="s">
        <v>113</v>
      </c>
      <c r="I152" s="78" t="s">
        <v>111</v>
      </c>
      <c r="J152" s="78" t="s">
        <v>27</v>
      </c>
      <c r="K152" s="78" t="s">
        <v>112</v>
      </c>
      <c r="L152" s="78">
        <v>1</v>
      </c>
      <c r="N152" s="78">
        <v>6</v>
      </c>
      <c r="O152" s="78">
        <v>0.7</v>
      </c>
      <c r="P152" s="78">
        <v>0.55000000000000004</v>
      </c>
      <c r="Q152" s="118">
        <f t="shared" si="9"/>
        <v>0.625</v>
      </c>
      <c r="R152" s="78">
        <v>12</v>
      </c>
      <c r="S152" s="78">
        <v>100</v>
      </c>
      <c r="T152" s="16">
        <f t="shared" si="8"/>
        <v>33</v>
      </c>
      <c r="U152" s="122">
        <v>377</v>
      </c>
      <c r="V152" s="16">
        <f t="shared" si="10"/>
        <v>2073.5</v>
      </c>
      <c r="W152" s="78">
        <v>3</v>
      </c>
      <c r="X152" s="78" t="s">
        <v>35</v>
      </c>
      <c r="Y152" s="78" t="s">
        <v>55</v>
      </c>
      <c r="Z152" s="78" t="s">
        <v>72</v>
      </c>
      <c r="AA152" s="78" t="s">
        <v>43</v>
      </c>
      <c r="AB152" s="78" t="s">
        <v>178</v>
      </c>
    </row>
    <row r="153" spans="1:28" x14ac:dyDescent="0.15">
      <c r="A153" s="78" t="s">
        <v>30</v>
      </c>
      <c r="B153" s="78" t="s">
        <v>174</v>
      </c>
      <c r="C153" s="78">
        <v>2020</v>
      </c>
      <c r="D153" s="99" t="s">
        <v>181</v>
      </c>
      <c r="E153" s="78" t="s">
        <v>240</v>
      </c>
      <c r="F153" s="78" t="s">
        <v>241</v>
      </c>
      <c r="G153" s="78" t="s">
        <v>25</v>
      </c>
      <c r="H153" s="78" t="s">
        <v>113</v>
      </c>
      <c r="I153" s="78" t="s">
        <v>111</v>
      </c>
      <c r="J153" s="78" t="s">
        <v>27</v>
      </c>
      <c r="K153" s="78" t="s">
        <v>112</v>
      </c>
      <c r="L153" s="78">
        <v>2</v>
      </c>
      <c r="N153" s="78">
        <v>6</v>
      </c>
      <c r="O153" s="78">
        <v>0.8</v>
      </c>
      <c r="P153" s="78">
        <v>0.75</v>
      </c>
      <c r="Q153" s="118">
        <f t="shared" si="9"/>
        <v>0.77500000000000002</v>
      </c>
      <c r="R153" s="78">
        <v>10.5</v>
      </c>
      <c r="S153" s="78">
        <v>101</v>
      </c>
      <c r="T153" s="16">
        <f t="shared" ref="T153:T154" si="11">IF(H153="","",IF(OR(H153="GREEN",H153="GK"),IF(S153&gt;=$AX$2,VLOOKUP(S153,$AX$2:$AY$10,2,1),""),IF(S153&gt;=$AZ$2,VLOOKUP(S153,$AZ$2:$BA$10,2,1),"")))</f>
        <v>33</v>
      </c>
      <c r="U153" s="122">
        <v>377</v>
      </c>
      <c r="V153" s="16">
        <f t="shared" si="10"/>
        <v>2073.5</v>
      </c>
      <c r="W153" s="78">
        <v>3</v>
      </c>
      <c r="X153" s="78" t="s">
        <v>35</v>
      </c>
      <c r="Y153" s="78" t="s">
        <v>55</v>
      </c>
      <c r="Z153" s="78" t="s">
        <v>72</v>
      </c>
      <c r="AA153" s="78" t="s">
        <v>43</v>
      </c>
      <c r="AB153" s="78" t="s">
        <v>178</v>
      </c>
    </row>
    <row r="154" spans="1:28" x14ac:dyDescent="0.15">
      <c r="A154" s="78" t="s">
        <v>30</v>
      </c>
      <c r="B154" s="78" t="s">
        <v>174</v>
      </c>
      <c r="C154" s="78">
        <v>2020</v>
      </c>
      <c r="D154" s="99" t="s">
        <v>181</v>
      </c>
      <c r="E154" s="78" t="s">
        <v>240</v>
      </c>
      <c r="F154" s="78" t="s">
        <v>241</v>
      </c>
      <c r="G154" s="78" t="s">
        <v>25</v>
      </c>
      <c r="H154" s="78" t="s">
        <v>113</v>
      </c>
      <c r="I154" s="78" t="s">
        <v>111</v>
      </c>
      <c r="J154" s="78" t="s">
        <v>27</v>
      </c>
      <c r="K154" s="78" t="s">
        <v>112</v>
      </c>
      <c r="L154" s="78">
        <v>3</v>
      </c>
      <c r="N154" s="78">
        <v>6</v>
      </c>
      <c r="O154" s="78">
        <v>0.65</v>
      </c>
      <c r="P154" s="78">
        <v>0.6</v>
      </c>
      <c r="Q154" s="118">
        <f t="shared" si="9"/>
        <v>0.625</v>
      </c>
      <c r="R154" s="78">
        <v>11</v>
      </c>
      <c r="S154" s="78">
        <v>97</v>
      </c>
      <c r="T154" s="16">
        <f t="shared" si="11"/>
        <v>36</v>
      </c>
      <c r="U154" s="122">
        <v>377</v>
      </c>
      <c r="V154" s="16">
        <f t="shared" si="10"/>
        <v>2262</v>
      </c>
      <c r="W154" s="78">
        <v>3</v>
      </c>
      <c r="X154" s="78" t="s">
        <v>35</v>
      </c>
      <c r="Y154" s="78" t="s">
        <v>55</v>
      </c>
      <c r="Z154" s="78" t="s">
        <v>72</v>
      </c>
      <c r="AA154" s="78" t="s">
        <v>43</v>
      </c>
      <c r="AB154" s="78" t="s">
        <v>178</v>
      </c>
    </row>
  </sheetData>
  <autoFilter ref="A1:BA154" xr:uid="{00000000-0009-0000-0000-000001000000}"/>
  <phoneticPr fontId="3"/>
  <dataValidations count="20">
    <dataValidation type="list" allowBlank="1" showInputMessage="1" showErrorMessage="1" sqref="Y155:AA341" xr:uid="{12EAC35C-CC64-4F48-AC87-D31A214251BF}">
      <formula1>$AV$2:$AV$16</formula1>
    </dataValidation>
    <dataValidation type="decimal" allowBlank="1" showInputMessage="1" showErrorMessage="1" error="硬度を正しく入力して下さい。" sqref="O2:P341" xr:uid="{F659F886-B59F-493F-B1B1-3B0690AC27F1}">
      <formula1>0</formula1>
      <formula2>7</formula2>
    </dataValidation>
    <dataValidation type="list" allowBlank="1" showInputMessage="1" showErrorMessage="1" sqref="X2:X341" xr:uid="{80B0320E-678F-4DCD-903D-34F74BEF47A6}">
      <formula1>$AT$2:$AT$3</formula1>
    </dataValidation>
    <dataValidation type="list" allowBlank="1" showInputMessage="1" showErrorMessage="1" sqref="K155:K157" xr:uid="{9BE4A978-1CF2-41D9-82E2-72C102A09530}">
      <formula1>$AR$2:$AR$23</formula1>
    </dataValidation>
    <dataValidation type="list" allowBlank="1" showInputMessage="1" showErrorMessage="1" sqref="K2:K126" xr:uid="{5D04A1FC-F63E-485B-A2C7-8BC906BCD62F}">
      <formula1>$AR$2:$AR$26</formula1>
    </dataValidation>
    <dataValidation type="list" allowBlank="1" showInputMessage="1" showErrorMessage="1" sqref="K127:K154" xr:uid="{52901082-217B-41B7-9A25-551274286BF6}">
      <formula1>$AR$2:$AR$25</formula1>
    </dataValidation>
    <dataValidation type="list" allowBlank="1" showInputMessage="1" showErrorMessage="1" sqref="K158:K341" xr:uid="{18C1BC44-31DB-44A3-9E3D-E2D90111DFE4}">
      <formula1>$AR$2:$AR$19</formula1>
    </dataValidation>
    <dataValidation type="list" allowBlank="1" showInputMessage="1" showErrorMessage="1" sqref="J155:J341" xr:uid="{51754FE6-066E-4ADC-8F6D-FD7293345EBD}">
      <formula1>$AP$2:$AP$19</formula1>
    </dataValidation>
    <dataValidation type="list" allowBlank="1" showInputMessage="1" showErrorMessage="1" sqref="J2:J154" xr:uid="{902B02FB-3F21-403B-885F-1880EBF10143}">
      <formula1>$AP$2:$AP$27</formula1>
    </dataValidation>
    <dataValidation type="list" allowBlank="1" showInputMessage="1" showErrorMessage="1" sqref="I2:I341" xr:uid="{0F4E0A01-B91D-492B-80EF-31D07181D5C9}">
      <formula1>$AN$5:$AN$6</formula1>
    </dataValidation>
    <dataValidation type="list" allowBlank="1" showInputMessage="1" showErrorMessage="1" sqref="H2:H1282" xr:uid="{ACBFD55B-01EB-49FA-A1EB-5D5344680E9F}">
      <formula1>$AL$2:$AL$9</formula1>
    </dataValidation>
    <dataValidation type="list" allowBlank="1" showInputMessage="1" showErrorMessage="1" sqref="F155:F341" xr:uid="{2BDB24BE-063F-4EAF-A00D-5F4556530FAE}">
      <formula1>$AH$2:$AH$9</formula1>
    </dataValidation>
    <dataValidation type="list" allowBlank="1" showInputMessage="1" showErrorMessage="1" sqref="E155:E341" xr:uid="{D3290117-1957-4117-BD08-49447A070E08}">
      <formula1>$AG$2:$AG$10</formula1>
    </dataValidation>
    <dataValidation allowBlank="1" showInputMessage="1" showErrorMessage="1" sqref="B3:B76" xr:uid="{D3B8FE23-24FC-4CF5-AE02-94DEE0827571}"/>
    <dataValidation type="list" allowBlank="1" showInputMessage="1" showErrorMessage="1" sqref="E2:E154" xr:uid="{2A35A67F-3D4D-4D1C-8B3B-54135CD1AADB}">
      <formula1>$AG$2:$AG$11</formula1>
    </dataValidation>
    <dataValidation type="list" allowBlank="1" showInputMessage="1" showErrorMessage="1" sqref="A3:A154" xr:uid="{709EF38D-1092-4393-957D-4B23D4033E9A}">
      <formula1>$AE$2:$AE$19</formula1>
    </dataValidation>
    <dataValidation type="list" allowBlank="1" showInputMessage="1" showErrorMessage="1" sqref="G2:G341" xr:uid="{2C119568-EDD3-4912-BB88-94CE08FE029B}">
      <formula1>$AJ$2:$AJ$4</formula1>
    </dataValidation>
    <dataValidation type="list" allowBlank="1" showInputMessage="1" showErrorMessage="1" sqref="F2:F154" xr:uid="{B15017C8-3AB7-4414-8068-912079F41DE6}">
      <formula1>$AH$2:$AH$11</formula1>
    </dataValidation>
    <dataValidation type="list" allowBlank="1" showInputMessage="1" showErrorMessage="1" sqref="Y2:AA154" xr:uid="{14063419-B024-43A7-8E99-2A65104016B7}">
      <formula1>$AV$2:$AV$23</formula1>
    </dataValidation>
    <dataValidation type="list" allowBlank="1" showInputMessage="1" showErrorMessage="1" sqref="A155:A341" xr:uid="{6C323A9D-BB21-4ACF-BC67-87BB4EF04324}">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0E16-3689-438B-9C7E-86CB3012E119}">
  <dimension ref="A1:BA148"/>
  <sheetViews>
    <sheetView zoomScale="85" zoomScaleNormal="85" workbookViewId="0"/>
  </sheetViews>
  <sheetFormatPr defaultColWidth="9" defaultRowHeight="13.5" x14ac:dyDescent="0.15"/>
  <cols>
    <col min="1" max="3" width="9" style="78"/>
    <col min="4" max="4" width="10.5" style="78" customWidth="1"/>
    <col min="5" max="13" width="9" style="78"/>
    <col min="14" max="14" width="9.5" style="78" customWidth="1"/>
    <col min="15" max="16" width="9" style="78"/>
    <col min="17" max="17" width="9" style="16"/>
    <col min="18" max="19" width="9" style="78"/>
    <col min="20" max="20" width="9" style="16"/>
    <col min="21" max="21" width="9" style="78"/>
    <col min="22" max="22" width="9" style="16"/>
    <col min="23" max="32" width="9" style="78"/>
    <col min="33" max="33" width="15.875" style="78" customWidth="1"/>
    <col min="34" max="34" width="11.375" style="78" customWidth="1"/>
    <col min="35" max="259" width="9" style="78"/>
    <col min="260" max="260" width="10.5" style="78" customWidth="1"/>
    <col min="261" max="269" width="9" style="78"/>
    <col min="270" max="270" width="9.5" style="78" customWidth="1"/>
    <col min="271" max="288" width="9" style="78"/>
    <col min="289" max="289" width="15.875" style="78" customWidth="1"/>
    <col min="290" max="290" width="11.375" style="78" customWidth="1"/>
    <col min="291" max="515" width="9" style="78"/>
    <col min="516" max="516" width="10.5" style="78" customWidth="1"/>
    <col min="517" max="525" width="9" style="78"/>
    <col min="526" max="526" width="9.5" style="78" customWidth="1"/>
    <col min="527" max="544" width="9" style="78"/>
    <col min="545" max="545" width="15.875" style="78" customWidth="1"/>
    <col min="546" max="546" width="11.375" style="78" customWidth="1"/>
    <col min="547" max="771" width="9" style="78"/>
    <col min="772" max="772" width="10.5" style="78" customWidth="1"/>
    <col min="773" max="781" width="9" style="78"/>
    <col min="782" max="782" width="9.5" style="78" customWidth="1"/>
    <col min="783" max="800" width="9" style="78"/>
    <col min="801" max="801" width="15.875" style="78" customWidth="1"/>
    <col min="802" max="802" width="11.375" style="78" customWidth="1"/>
    <col min="803" max="1027" width="9" style="78"/>
    <col min="1028" max="1028" width="10.5" style="78" customWidth="1"/>
    <col min="1029" max="1037" width="9" style="78"/>
    <col min="1038" max="1038" width="9.5" style="78" customWidth="1"/>
    <col min="1039" max="1056" width="9" style="78"/>
    <col min="1057" max="1057" width="15.875" style="78" customWidth="1"/>
    <col min="1058" max="1058" width="11.375" style="78" customWidth="1"/>
    <col min="1059" max="1283" width="9" style="78"/>
    <col min="1284" max="1284" width="10.5" style="78" customWidth="1"/>
    <col min="1285" max="1293" width="9" style="78"/>
    <col min="1294" max="1294" width="9.5" style="78" customWidth="1"/>
    <col min="1295" max="1312" width="9" style="78"/>
    <col min="1313" max="1313" width="15.875" style="78" customWidth="1"/>
    <col min="1314" max="1314" width="11.375" style="78" customWidth="1"/>
    <col min="1315" max="1539" width="9" style="78"/>
    <col min="1540" max="1540" width="10.5" style="78" customWidth="1"/>
    <col min="1541" max="1549" width="9" style="78"/>
    <col min="1550" max="1550" width="9.5" style="78" customWidth="1"/>
    <col min="1551" max="1568" width="9" style="78"/>
    <col min="1569" max="1569" width="15.875" style="78" customWidth="1"/>
    <col min="1570" max="1570" width="11.375" style="78" customWidth="1"/>
    <col min="1571" max="1795" width="9" style="78"/>
    <col min="1796" max="1796" width="10.5" style="78" customWidth="1"/>
    <col min="1797" max="1805" width="9" style="78"/>
    <col min="1806" max="1806" width="9.5" style="78" customWidth="1"/>
    <col min="1807" max="1824" width="9" style="78"/>
    <col min="1825" max="1825" width="15.875" style="78" customWidth="1"/>
    <col min="1826" max="1826" width="11.375" style="78" customWidth="1"/>
    <col min="1827" max="2051" width="9" style="78"/>
    <col min="2052" max="2052" width="10.5" style="78" customWidth="1"/>
    <col min="2053" max="2061" width="9" style="78"/>
    <col min="2062" max="2062" width="9.5" style="78" customWidth="1"/>
    <col min="2063" max="2080" width="9" style="78"/>
    <col min="2081" max="2081" width="15.875" style="78" customWidth="1"/>
    <col min="2082" max="2082" width="11.375" style="78" customWidth="1"/>
    <col min="2083" max="2307" width="9" style="78"/>
    <col min="2308" max="2308" width="10.5" style="78" customWidth="1"/>
    <col min="2309" max="2317" width="9" style="78"/>
    <col min="2318" max="2318" width="9.5" style="78" customWidth="1"/>
    <col min="2319" max="2336" width="9" style="78"/>
    <col min="2337" max="2337" width="15.875" style="78" customWidth="1"/>
    <col min="2338" max="2338" width="11.375" style="78" customWidth="1"/>
    <col min="2339" max="2563" width="9" style="78"/>
    <col min="2564" max="2564" width="10.5" style="78" customWidth="1"/>
    <col min="2565" max="2573" width="9" style="78"/>
    <col min="2574" max="2574" width="9.5" style="78" customWidth="1"/>
    <col min="2575" max="2592" width="9" style="78"/>
    <col min="2593" max="2593" width="15.875" style="78" customWidth="1"/>
    <col min="2594" max="2594" width="11.375" style="78" customWidth="1"/>
    <col min="2595" max="2819" width="9" style="78"/>
    <col min="2820" max="2820" width="10.5" style="78" customWidth="1"/>
    <col min="2821" max="2829" width="9" style="78"/>
    <col min="2830" max="2830" width="9.5" style="78" customWidth="1"/>
    <col min="2831" max="2848" width="9" style="78"/>
    <col min="2849" max="2849" width="15.875" style="78" customWidth="1"/>
    <col min="2850" max="2850" width="11.375" style="78" customWidth="1"/>
    <col min="2851" max="3075" width="9" style="78"/>
    <col min="3076" max="3076" width="10.5" style="78" customWidth="1"/>
    <col min="3077" max="3085" width="9" style="78"/>
    <col min="3086" max="3086" width="9.5" style="78" customWidth="1"/>
    <col min="3087" max="3104" width="9" style="78"/>
    <col min="3105" max="3105" width="15.875" style="78" customWidth="1"/>
    <col min="3106" max="3106" width="11.375" style="78" customWidth="1"/>
    <col min="3107" max="3331" width="9" style="78"/>
    <col min="3332" max="3332" width="10.5" style="78" customWidth="1"/>
    <col min="3333" max="3341" width="9" style="78"/>
    <col min="3342" max="3342" width="9.5" style="78" customWidth="1"/>
    <col min="3343" max="3360" width="9" style="78"/>
    <col min="3361" max="3361" width="15.875" style="78" customWidth="1"/>
    <col min="3362" max="3362" width="11.375" style="78" customWidth="1"/>
    <col min="3363" max="3587" width="9" style="78"/>
    <col min="3588" max="3588" width="10.5" style="78" customWidth="1"/>
    <col min="3589" max="3597" width="9" style="78"/>
    <col min="3598" max="3598" width="9.5" style="78" customWidth="1"/>
    <col min="3599" max="3616" width="9" style="78"/>
    <col min="3617" max="3617" width="15.875" style="78" customWidth="1"/>
    <col min="3618" max="3618" width="11.375" style="78" customWidth="1"/>
    <col min="3619" max="3843" width="9" style="78"/>
    <col min="3844" max="3844" width="10.5" style="78" customWidth="1"/>
    <col min="3845" max="3853" width="9" style="78"/>
    <col min="3854" max="3854" width="9.5" style="78" customWidth="1"/>
    <col min="3855" max="3872" width="9" style="78"/>
    <col min="3873" max="3873" width="15.875" style="78" customWidth="1"/>
    <col min="3874" max="3874" width="11.375" style="78" customWidth="1"/>
    <col min="3875" max="4099" width="9" style="78"/>
    <col min="4100" max="4100" width="10.5" style="78" customWidth="1"/>
    <col min="4101" max="4109" width="9" style="78"/>
    <col min="4110" max="4110" width="9.5" style="78" customWidth="1"/>
    <col min="4111" max="4128" width="9" style="78"/>
    <col min="4129" max="4129" width="15.875" style="78" customWidth="1"/>
    <col min="4130" max="4130" width="11.375" style="78" customWidth="1"/>
    <col min="4131" max="4355" width="9" style="78"/>
    <col min="4356" max="4356" width="10.5" style="78" customWidth="1"/>
    <col min="4357" max="4365" width="9" style="78"/>
    <col min="4366" max="4366" width="9.5" style="78" customWidth="1"/>
    <col min="4367" max="4384" width="9" style="78"/>
    <col min="4385" max="4385" width="15.875" style="78" customWidth="1"/>
    <col min="4386" max="4386" width="11.375" style="78" customWidth="1"/>
    <col min="4387" max="4611" width="9" style="78"/>
    <col min="4612" max="4612" width="10.5" style="78" customWidth="1"/>
    <col min="4613" max="4621" width="9" style="78"/>
    <col min="4622" max="4622" width="9.5" style="78" customWidth="1"/>
    <col min="4623" max="4640" width="9" style="78"/>
    <col min="4641" max="4641" width="15.875" style="78" customWidth="1"/>
    <col min="4642" max="4642" width="11.375" style="78" customWidth="1"/>
    <col min="4643" max="4867" width="9" style="78"/>
    <col min="4868" max="4868" width="10.5" style="78" customWidth="1"/>
    <col min="4869" max="4877" width="9" style="78"/>
    <col min="4878" max="4878" width="9.5" style="78" customWidth="1"/>
    <col min="4879" max="4896" width="9" style="78"/>
    <col min="4897" max="4897" width="15.875" style="78" customWidth="1"/>
    <col min="4898" max="4898" width="11.375" style="78" customWidth="1"/>
    <col min="4899" max="5123" width="9" style="78"/>
    <col min="5124" max="5124" width="10.5" style="78" customWidth="1"/>
    <col min="5125" max="5133" width="9" style="78"/>
    <col min="5134" max="5134" width="9.5" style="78" customWidth="1"/>
    <col min="5135" max="5152" width="9" style="78"/>
    <col min="5153" max="5153" width="15.875" style="78" customWidth="1"/>
    <col min="5154" max="5154" width="11.375" style="78" customWidth="1"/>
    <col min="5155" max="5379" width="9" style="78"/>
    <col min="5380" max="5380" width="10.5" style="78" customWidth="1"/>
    <col min="5381" max="5389" width="9" style="78"/>
    <col min="5390" max="5390" width="9.5" style="78" customWidth="1"/>
    <col min="5391" max="5408" width="9" style="78"/>
    <col min="5409" max="5409" width="15.875" style="78" customWidth="1"/>
    <col min="5410" max="5410" width="11.375" style="78" customWidth="1"/>
    <col min="5411" max="5635" width="9" style="78"/>
    <col min="5636" max="5636" width="10.5" style="78" customWidth="1"/>
    <col min="5637" max="5645" width="9" style="78"/>
    <col min="5646" max="5646" width="9.5" style="78" customWidth="1"/>
    <col min="5647" max="5664" width="9" style="78"/>
    <col min="5665" max="5665" width="15.875" style="78" customWidth="1"/>
    <col min="5666" max="5666" width="11.375" style="78" customWidth="1"/>
    <col min="5667" max="5891" width="9" style="78"/>
    <col min="5892" max="5892" width="10.5" style="78" customWidth="1"/>
    <col min="5893" max="5901" width="9" style="78"/>
    <col min="5902" max="5902" width="9.5" style="78" customWidth="1"/>
    <col min="5903" max="5920" width="9" style="78"/>
    <col min="5921" max="5921" width="15.875" style="78" customWidth="1"/>
    <col min="5922" max="5922" width="11.375" style="78" customWidth="1"/>
    <col min="5923" max="6147" width="9" style="78"/>
    <col min="6148" max="6148" width="10.5" style="78" customWidth="1"/>
    <col min="6149" max="6157" width="9" style="78"/>
    <col min="6158" max="6158" width="9.5" style="78" customWidth="1"/>
    <col min="6159" max="6176" width="9" style="78"/>
    <col min="6177" max="6177" width="15.875" style="78" customWidth="1"/>
    <col min="6178" max="6178" width="11.375" style="78" customWidth="1"/>
    <col min="6179" max="6403" width="9" style="78"/>
    <col min="6404" max="6404" width="10.5" style="78" customWidth="1"/>
    <col min="6405" max="6413" width="9" style="78"/>
    <col min="6414" max="6414" width="9.5" style="78" customWidth="1"/>
    <col min="6415" max="6432" width="9" style="78"/>
    <col min="6433" max="6433" width="15.875" style="78" customWidth="1"/>
    <col min="6434" max="6434" width="11.375" style="78" customWidth="1"/>
    <col min="6435" max="6659" width="9" style="78"/>
    <col min="6660" max="6660" width="10.5" style="78" customWidth="1"/>
    <col min="6661" max="6669" width="9" style="78"/>
    <col min="6670" max="6670" width="9.5" style="78" customWidth="1"/>
    <col min="6671" max="6688" width="9" style="78"/>
    <col min="6689" max="6689" width="15.875" style="78" customWidth="1"/>
    <col min="6690" max="6690" width="11.375" style="78" customWidth="1"/>
    <col min="6691" max="6915" width="9" style="78"/>
    <col min="6916" max="6916" width="10.5" style="78" customWidth="1"/>
    <col min="6917" max="6925" width="9" style="78"/>
    <col min="6926" max="6926" width="9.5" style="78" customWidth="1"/>
    <col min="6927" max="6944" width="9" style="78"/>
    <col min="6945" max="6945" width="15.875" style="78" customWidth="1"/>
    <col min="6946" max="6946" width="11.375" style="78" customWidth="1"/>
    <col min="6947" max="7171" width="9" style="78"/>
    <col min="7172" max="7172" width="10.5" style="78" customWidth="1"/>
    <col min="7173" max="7181" width="9" style="78"/>
    <col min="7182" max="7182" width="9.5" style="78" customWidth="1"/>
    <col min="7183" max="7200" width="9" style="78"/>
    <col min="7201" max="7201" width="15.875" style="78" customWidth="1"/>
    <col min="7202" max="7202" width="11.375" style="78" customWidth="1"/>
    <col min="7203" max="7427" width="9" style="78"/>
    <col min="7428" max="7428" width="10.5" style="78" customWidth="1"/>
    <col min="7429" max="7437" width="9" style="78"/>
    <col min="7438" max="7438" width="9.5" style="78" customWidth="1"/>
    <col min="7439" max="7456" width="9" style="78"/>
    <col min="7457" max="7457" width="15.875" style="78" customWidth="1"/>
    <col min="7458" max="7458" width="11.375" style="78" customWidth="1"/>
    <col min="7459" max="7683" width="9" style="78"/>
    <col min="7684" max="7684" width="10.5" style="78" customWidth="1"/>
    <col min="7685" max="7693" width="9" style="78"/>
    <col min="7694" max="7694" width="9.5" style="78" customWidth="1"/>
    <col min="7695" max="7712" width="9" style="78"/>
    <col min="7713" max="7713" width="15.875" style="78" customWidth="1"/>
    <col min="7714" max="7714" width="11.375" style="78" customWidth="1"/>
    <col min="7715" max="7939" width="9" style="78"/>
    <col min="7940" max="7940" width="10.5" style="78" customWidth="1"/>
    <col min="7941" max="7949" width="9" style="78"/>
    <col min="7950" max="7950" width="9.5" style="78" customWidth="1"/>
    <col min="7951" max="7968" width="9" style="78"/>
    <col min="7969" max="7969" width="15.875" style="78" customWidth="1"/>
    <col min="7970" max="7970" width="11.375" style="78" customWidth="1"/>
    <col min="7971" max="8195" width="9" style="78"/>
    <col min="8196" max="8196" width="10.5" style="78" customWidth="1"/>
    <col min="8197" max="8205" width="9" style="78"/>
    <col min="8206" max="8206" width="9.5" style="78" customWidth="1"/>
    <col min="8207" max="8224" width="9" style="78"/>
    <col min="8225" max="8225" width="15.875" style="78" customWidth="1"/>
    <col min="8226" max="8226" width="11.375" style="78" customWidth="1"/>
    <col min="8227" max="8451" width="9" style="78"/>
    <col min="8452" max="8452" width="10.5" style="78" customWidth="1"/>
    <col min="8453" max="8461" width="9" style="78"/>
    <col min="8462" max="8462" width="9.5" style="78" customWidth="1"/>
    <col min="8463" max="8480" width="9" style="78"/>
    <col min="8481" max="8481" width="15.875" style="78" customWidth="1"/>
    <col min="8482" max="8482" width="11.375" style="78" customWidth="1"/>
    <col min="8483" max="8707" width="9" style="78"/>
    <col min="8708" max="8708" width="10.5" style="78" customWidth="1"/>
    <col min="8709" max="8717" width="9" style="78"/>
    <col min="8718" max="8718" width="9.5" style="78" customWidth="1"/>
    <col min="8719" max="8736" width="9" style="78"/>
    <col min="8737" max="8737" width="15.875" style="78" customWidth="1"/>
    <col min="8738" max="8738" width="11.375" style="78" customWidth="1"/>
    <col min="8739" max="8963" width="9" style="78"/>
    <col min="8964" max="8964" width="10.5" style="78" customWidth="1"/>
    <col min="8965" max="8973" width="9" style="78"/>
    <col min="8974" max="8974" width="9.5" style="78" customWidth="1"/>
    <col min="8975" max="8992" width="9" style="78"/>
    <col min="8993" max="8993" width="15.875" style="78" customWidth="1"/>
    <col min="8994" max="8994" width="11.375" style="78" customWidth="1"/>
    <col min="8995" max="9219" width="9" style="78"/>
    <col min="9220" max="9220" width="10.5" style="78" customWidth="1"/>
    <col min="9221" max="9229" width="9" style="78"/>
    <col min="9230" max="9230" width="9.5" style="78" customWidth="1"/>
    <col min="9231" max="9248" width="9" style="78"/>
    <col min="9249" max="9249" width="15.875" style="78" customWidth="1"/>
    <col min="9250" max="9250" width="11.375" style="78" customWidth="1"/>
    <col min="9251" max="9475" width="9" style="78"/>
    <col min="9476" max="9476" width="10.5" style="78" customWidth="1"/>
    <col min="9477" max="9485" width="9" style="78"/>
    <col min="9486" max="9486" width="9.5" style="78" customWidth="1"/>
    <col min="9487" max="9504" width="9" style="78"/>
    <col min="9505" max="9505" width="15.875" style="78" customWidth="1"/>
    <col min="9506" max="9506" width="11.375" style="78" customWidth="1"/>
    <col min="9507" max="9731" width="9" style="78"/>
    <col min="9732" max="9732" width="10.5" style="78" customWidth="1"/>
    <col min="9733" max="9741" width="9" style="78"/>
    <col min="9742" max="9742" width="9.5" style="78" customWidth="1"/>
    <col min="9743" max="9760" width="9" style="78"/>
    <col min="9761" max="9761" width="15.875" style="78" customWidth="1"/>
    <col min="9762" max="9762" width="11.375" style="78" customWidth="1"/>
    <col min="9763" max="9987" width="9" style="78"/>
    <col min="9988" max="9988" width="10.5" style="78" customWidth="1"/>
    <col min="9989" max="9997" width="9" style="78"/>
    <col min="9998" max="9998" width="9.5" style="78" customWidth="1"/>
    <col min="9999" max="10016" width="9" style="78"/>
    <col min="10017" max="10017" width="15.875" style="78" customWidth="1"/>
    <col min="10018" max="10018" width="11.375" style="78" customWidth="1"/>
    <col min="10019" max="10243" width="9" style="78"/>
    <col min="10244" max="10244" width="10.5" style="78" customWidth="1"/>
    <col min="10245" max="10253" width="9" style="78"/>
    <col min="10254" max="10254" width="9.5" style="78" customWidth="1"/>
    <col min="10255" max="10272" width="9" style="78"/>
    <col min="10273" max="10273" width="15.875" style="78" customWidth="1"/>
    <col min="10274" max="10274" width="11.375" style="78" customWidth="1"/>
    <col min="10275" max="10499" width="9" style="78"/>
    <col min="10500" max="10500" width="10.5" style="78" customWidth="1"/>
    <col min="10501" max="10509" width="9" style="78"/>
    <col min="10510" max="10510" width="9.5" style="78" customWidth="1"/>
    <col min="10511" max="10528" width="9" style="78"/>
    <col min="10529" max="10529" width="15.875" style="78" customWidth="1"/>
    <col min="10530" max="10530" width="11.375" style="78" customWidth="1"/>
    <col min="10531" max="10755" width="9" style="78"/>
    <col min="10756" max="10756" width="10.5" style="78" customWidth="1"/>
    <col min="10757" max="10765" width="9" style="78"/>
    <col min="10766" max="10766" width="9.5" style="78" customWidth="1"/>
    <col min="10767" max="10784" width="9" style="78"/>
    <col min="10785" max="10785" width="15.875" style="78" customWidth="1"/>
    <col min="10786" max="10786" width="11.375" style="78" customWidth="1"/>
    <col min="10787" max="11011" width="9" style="78"/>
    <col min="11012" max="11012" width="10.5" style="78" customWidth="1"/>
    <col min="11013" max="11021" width="9" style="78"/>
    <col min="11022" max="11022" width="9.5" style="78" customWidth="1"/>
    <col min="11023" max="11040" width="9" style="78"/>
    <col min="11041" max="11041" width="15.875" style="78" customWidth="1"/>
    <col min="11042" max="11042" width="11.375" style="78" customWidth="1"/>
    <col min="11043" max="11267" width="9" style="78"/>
    <col min="11268" max="11268" width="10.5" style="78" customWidth="1"/>
    <col min="11269" max="11277" width="9" style="78"/>
    <col min="11278" max="11278" width="9.5" style="78" customWidth="1"/>
    <col min="11279" max="11296" width="9" style="78"/>
    <col min="11297" max="11297" width="15.875" style="78" customWidth="1"/>
    <col min="11298" max="11298" width="11.375" style="78" customWidth="1"/>
    <col min="11299" max="11523" width="9" style="78"/>
    <col min="11524" max="11524" width="10.5" style="78" customWidth="1"/>
    <col min="11525" max="11533" width="9" style="78"/>
    <col min="11534" max="11534" width="9.5" style="78" customWidth="1"/>
    <col min="11535" max="11552" width="9" style="78"/>
    <col min="11553" max="11553" width="15.875" style="78" customWidth="1"/>
    <col min="11554" max="11554" width="11.375" style="78" customWidth="1"/>
    <col min="11555" max="11779" width="9" style="78"/>
    <col min="11780" max="11780" width="10.5" style="78" customWidth="1"/>
    <col min="11781" max="11789" width="9" style="78"/>
    <col min="11790" max="11790" width="9.5" style="78" customWidth="1"/>
    <col min="11791" max="11808" width="9" style="78"/>
    <col min="11809" max="11809" width="15.875" style="78" customWidth="1"/>
    <col min="11810" max="11810" width="11.375" style="78" customWidth="1"/>
    <col min="11811" max="12035" width="9" style="78"/>
    <col min="12036" max="12036" width="10.5" style="78" customWidth="1"/>
    <col min="12037" max="12045" width="9" style="78"/>
    <col min="12046" max="12046" width="9.5" style="78" customWidth="1"/>
    <col min="12047" max="12064" width="9" style="78"/>
    <col min="12065" max="12065" width="15.875" style="78" customWidth="1"/>
    <col min="12066" max="12066" width="11.375" style="78" customWidth="1"/>
    <col min="12067" max="12291" width="9" style="78"/>
    <col min="12292" max="12292" width="10.5" style="78" customWidth="1"/>
    <col min="12293" max="12301" width="9" style="78"/>
    <col min="12302" max="12302" width="9.5" style="78" customWidth="1"/>
    <col min="12303" max="12320" width="9" style="78"/>
    <col min="12321" max="12321" width="15.875" style="78" customWidth="1"/>
    <col min="12322" max="12322" width="11.375" style="78" customWidth="1"/>
    <col min="12323" max="12547" width="9" style="78"/>
    <col min="12548" max="12548" width="10.5" style="78" customWidth="1"/>
    <col min="12549" max="12557" width="9" style="78"/>
    <col min="12558" max="12558" width="9.5" style="78" customWidth="1"/>
    <col min="12559" max="12576" width="9" style="78"/>
    <col min="12577" max="12577" width="15.875" style="78" customWidth="1"/>
    <col min="12578" max="12578" width="11.375" style="78" customWidth="1"/>
    <col min="12579" max="12803" width="9" style="78"/>
    <col min="12804" max="12804" width="10.5" style="78" customWidth="1"/>
    <col min="12805" max="12813" width="9" style="78"/>
    <col min="12814" max="12814" width="9.5" style="78" customWidth="1"/>
    <col min="12815" max="12832" width="9" style="78"/>
    <col min="12833" max="12833" width="15.875" style="78" customWidth="1"/>
    <col min="12834" max="12834" width="11.375" style="78" customWidth="1"/>
    <col min="12835" max="13059" width="9" style="78"/>
    <col min="13060" max="13060" width="10.5" style="78" customWidth="1"/>
    <col min="13061" max="13069" width="9" style="78"/>
    <col min="13070" max="13070" width="9.5" style="78" customWidth="1"/>
    <col min="13071" max="13088" width="9" style="78"/>
    <col min="13089" max="13089" width="15.875" style="78" customWidth="1"/>
    <col min="13090" max="13090" width="11.375" style="78" customWidth="1"/>
    <col min="13091" max="13315" width="9" style="78"/>
    <col min="13316" max="13316" width="10.5" style="78" customWidth="1"/>
    <col min="13317" max="13325" width="9" style="78"/>
    <col min="13326" max="13326" width="9.5" style="78" customWidth="1"/>
    <col min="13327" max="13344" width="9" style="78"/>
    <col min="13345" max="13345" width="15.875" style="78" customWidth="1"/>
    <col min="13346" max="13346" width="11.375" style="78" customWidth="1"/>
    <col min="13347" max="13571" width="9" style="78"/>
    <col min="13572" max="13572" width="10.5" style="78" customWidth="1"/>
    <col min="13573" max="13581" width="9" style="78"/>
    <col min="13582" max="13582" width="9.5" style="78" customWidth="1"/>
    <col min="13583" max="13600" width="9" style="78"/>
    <col min="13601" max="13601" width="15.875" style="78" customWidth="1"/>
    <col min="13602" max="13602" width="11.375" style="78" customWidth="1"/>
    <col min="13603" max="13827" width="9" style="78"/>
    <col min="13828" max="13828" width="10.5" style="78" customWidth="1"/>
    <col min="13829" max="13837" width="9" style="78"/>
    <col min="13838" max="13838" width="9.5" style="78" customWidth="1"/>
    <col min="13839" max="13856" width="9" style="78"/>
    <col min="13857" max="13857" width="15.875" style="78" customWidth="1"/>
    <col min="13858" max="13858" width="11.375" style="78" customWidth="1"/>
    <col min="13859" max="14083" width="9" style="78"/>
    <col min="14084" max="14084" width="10.5" style="78" customWidth="1"/>
    <col min="14085" max="14093" width="9" style="78"/>
    <col min="14094" max="14094" width="9.5" style="78" customWidth="1"/>
    <col min="14095" max="14112" width="9" style="78"/>
    <col min="14113" max="14113" width="15.875" style="78" customWidth="1"/>
    <col min="14114" max="14114" width="11.375" style="78" customWidth="1"/>
    <col min="14115" max="14339" width="9" style="78"/>
    <col min="14340" max="14340" width="10.5" style="78" customWidth="1"/>
    <col min="14341" max="14349" width="9" style="78"/>
    <col min="14350" max="14350" width="9.5" style="78" customWidth="1"/>
    <col min="14351" max="14368" width="9" style="78"/>
    <col min="14369" max="14369" width="15.875" style="78" customWidth="1"/>
    <col min="14370" max="14370" width="11.375" style="78" customWidth="1"/>
    <col min="14371" max="14595" width="9" style="78"/>
    <col min="14596" max="14596" width="10.5" style="78" customWidth="1"/>
    <col min="14597" max="14605" width="9" style="78"/>
    <col min="14606" max="14606" width="9.5" style="78" customWidth="1"/>
    <col min="14607" max="14624" width="9" style="78"/>
    <col min="14625" max="14625" width="15.875" style="78" customWidth="1"/>
    <col min="14626" max="14626" width="11.375" style="78" customWidth="1"/>
    <col min="14627" max="14851" width="9" style="78"/>
    <col min="14852" max="14852" width="10.5" style="78" customWidth="1"/>
    <col min="14853" max="14861" width="9" style="78"/>
    <col min="14862" max="14862" width="9.5" style="78" customWidth="1"/>
    <col min="14863" max="14880" width="9" style="78"/>
    <col min="14881" max="14881" width="15.875" style="78" customWidth="1"/>
    <col min="14882" max="14882" width="11.375" style="78" customWidth="1"/>
    <col min="14883" max="15107" width="9" style="78"/>
    <col min="15108" max="15108" width="10.5" style="78" customWidth="1"/>
    <col min="15109" max="15117" width="9" style="78"/>
    <col min="15118" max="15118" width="9.5" style="78" customWidth="1"/>
    <col min="15119" max="15136" width="9" style="78"/>
    <col min="15137" max="15137" width="15.875" style="78" customWidth="1"/>
    <col min="15138" max="15138" width="11.375" style="78" customWidth="1"/>
    <col min="15139" max="15363" width="9" style="78"/>
    <col min="15364" max="15364" width="10.5" style="78" customWidth="1"/>
    <col min="15365" max="15373" width="9" style="78"/>
    <col min="15374" max="15374" width="9.5" style="78" customWidth="1"/>
    <col min="15375" max="15392" width="9" style="78"/>
    <col min="15393" max="15393" width="15.875" style="78" customWidth="1"/>
    <col min="15394" max="15394" width="11.375" style="78" customWidth="1"/>
    <col min="15395" max="15619" width="9" style="78"/>
    <col min="15620" max="15620" width="10.5" style="78" customWidth="1"/>
    <col min="15621" max="15629" width="9" style="78"/>
    <col min="15630" max="15630" width="9.5" style="78" customWidth="1"/>
    <col min="15631" max="15648" width="9" style="78"/>
    <col min="15649" max="15649" width="15.875" style="78" customWidth="1"/>
    <col min="15650" max="15650" width="11.375" style="78" customWidth="1"/>
    <col min="15651" max="15875" width="9" style="78"/>
    <col min="15876" max="15876" width="10.5" style="78" customWidth="1"/>
    <col min="15877" max="15885" width="9" style="78"/>
    <col min="15886" max="15886" width="9.5" style="78" customWidth="1"/>
    <col min="15887" max="15904" width="9" style="78"/>
    <col min="15905" max="15905" width="15.875" style="78" customWidth="1"/>
    <col min="15906" max="15906" width="11.375" style="78" customWidth="1"/>
    <col min="15907" max="16131" width="9" style="78"/>
    <col min="16132" max="16132" width="10.5" style="78" customWidth="1"/>
    <col min="16133" max="16141" width="9" style="78"/>
    <col min="16142" max="16142" width="9.5" style="78" customWidth="1"/>
    <col min="16143" max="16160" width="9" style="78"/>
    <col min="16161" max="16161" width="15.875" style="78" customWidth="1"/>
    <col min="16162" max="16162" width="11.375" style="78" customWidth="1"/>
    <col min="16163" max="16384" width="9" style="78"/>
  </cols>
  <sheetData>
    <row r="1" spans="1:53" ht="45" x14ac:dyDescent="0.15">
      <c r="A1" s="123" t="s">
        <v>0</v>
      </c>
      <c r="B1" s="93" t="s">
        <v>199</v>
      </c>
      <c r="C1" s="93" t="s">
        <v>200</v>
      </c>
      <c r="D1" s="94" t="s">
        <v>2</v>
      </c>
      <c r="E1" s="124" t="s">
        <v>3</v>
      </c>
      <c r="F1" s="124" t="s">
        <v>4</v>
      </c>
      <c r="G1" s="124" t="s">
        <v>5</v>
      </c>
      <c r="H1" s="124" t="s">
        <v>6</v>
      </c>
      <c r="I1" s="124" t="s">
        <v>7</v>
      </c>
      <c r="J1" s="124" t="s">
        <v>8</v>
      </c>
      <c r="K1" s="124" t="s">
        <v>9</v>
      </c>
      <c r="L1" s="94" t="s">
        <v>201</v>
      </c>
      <c r="M1" s="94" t="s">
        <v>202</v>
      </c>
      <c r="N1" s="94" t="s">
        <v>11</v>
      </c>
      <c r="O1" s="94" t="s">
        <v>203</v>
      </c>
      <c r="P1" s="94" t="s">
        <v>204</v>
      </c>
      <c r="Q1" s="3" t="s">
        <v>205</v>
      </c>
      <c r="R1" s="94" t="s">
        <v>206</v>
      </c>
      <c r="S1" s="94" t="s">
        <v>207</v>
      </c>
      <c r="T1" s="3" t="s">
        <v>13</v>
      </c>
      <c r="U1" s="95" t="s">
        <v>92</v>
      </c>
      <c r="V1" s="5" t="s">
        <v>14</v>
      </c>
      <c r="W1" s="94" t="s">
        <v>208</v>
      </c>
      <c r="X1" s="124" t="s">
        <v>16</v>
      </c>
      <c r="Y1" s="124" t="s">
        <v>17</v>
      </c>
      <c r="Z1" s="124" t="s">
        <v>18</v>
      </c>
      <c r="AA1" s="125" t="s">
        <v>19</v>
      </c>
      <c r="AB1" s="96" t="s">
        <v>209</v>
      </c>
      <c r="AE1" s="97" t="s">
        <v>0</v>
      </c>
      <c r="AF1" s="98"/>
      <c r="AG1" s="97" t="s">
        <v>3</v>
      </c>
      <c r="AH1" s="97" t="s">
        <v>4</v>
      </c>
      <c r="AI1" s="98"/>
      <c r="AJ1" s="97" t="s">
        <v>5</v>
      </c>
      <c r="AK1" s="98"/>
      <c r="AL1" s="10" t="s">
        <v>6</v>
      </c>
      <c r="AM1" s="98"/>
      <c r="AN1" s="10" t="s">
        <v>7</v>
      </c>
      <c r="AO1" s="98"/>
      <c r="AP1" s="10" t="s">
        <v>20</v>
      </c>
      <c r="AQ1" s="98"/>
      <c r="AR1" s="10" t="s">
        <v>9</v>
      </c>
      <c r="AS1" s="98"/>
      <c r="AT1" s="11" t="s">
        <v>210</v>
      </c>
      <c r="AU1" s="98"/>
      <c r="AV1" s="10" t="s">
        <v>22</v>
      </c>
      <c r="AX1" s="12" t="s">
        <v>263</v>
      </c>
      <c r="AY1" s="13" t="s">
        <v>212</v>
      </c>
      <c r="AZ1" s="13" t="s">
        <v>264</v>
      </c>
      <c r="BA1" s="14" t="s">
        <v>214</v>
      </c>
    </row>
    <row r="2" spans="1:53" x14ac:dyDescent="0.15">
      <c r="A2" s="78" t="s">
        <v>44</v>
      </c>
      <c r="B2" s="78" t="s">
        <v>174</v>
      </c>
      <c r="C2" s="78">
        <v>2020</v>
      </c>
      <c r="D2" s="126" t="s">
        <v>418</v>
      </c>
      <c r="E2" s="78" t="s">
        <v>265</v>
      </c>
      <c r="F2" s="78" t="s">
        <v>266</v>
      </c>
      <c r="G2" s="78" t="s">
        <v>31</v>
      </c>
      <c r="H2" s="78" t="s">
        <v>113</v>
      </c>
      <c r="I2" s="78" t="s">
        <v>166</v>
      </c>
      <c r="J2" s="78" t="s">
        <v>27</v>
      </c>
      <c r="K2" s="78" t="s">
        <v>112</v>
      </c>
      <c r="L2" s="78">
        <v>1</v>
      </c>
      <c r="N2" s="78">
        <v>4</v>
      </c>
      <c r="O2" s="78">
        <v>0.8</v>
      </c>
      <c r="P2" s="78">
        <v>0.8</v>
      </c>
      <c r="Q2" s="44">
        <f t="shared" ref="Q2:Q65" si="0">IF(OR(O2="",P2=""),"",AVERAGE(O2,P2))</f>
        <v>0.8</v>
      </c>
      <c r="R2" s="78">
        <v>13.8</v>
      </c>
      <c r="S2" s="78">
        <v>100</v>
      </c>
      <c r="T2" s="16">
        <f t="shared" ref="T2:T65" si="1">IF(H2="","",IF(OR(H2="GREEN",H2="GK"),IF(S2&gt;=$AX$2,VLOOKUP(S2,$AX$2:$AY$10,2,1),""),IF(S2&gt;=$AZ$2,VLOOKUP(S2,$AZ$2:$BA$10,2,1),"")))</f>
        <v>33</v>
      </c>
      <c r="U2" s="78">
        <v>499</v>
      </c>
      <c r="V2" s="16">
        <f t="shared" ref="V2:V65" si="2">IF(OR(N2="",U2="",T2=""),"",U2/N2*T2)</f>
        <v>4116.75</v>
      </c>
      <c r="W2" s="78">
        <v>2</v>
      </c>
      <c r="X2" s="78" t="s">
        <v>28</v>
      </c>
      <c r="Y2" s="78" t="s">
        <v>43</v>
      </c>
      <c r="Z2" s="78" t="s">
        <v>90</v>
      </c>
      <c r="AA2" s="78" t="s">
        <v>91</v>
      </c>
      <c r="AB2" s="78" t="s">
        <v>178</v>
      </c>
      <c r="AE2" s="102" t="s">
        <v>24</v>
      </c>
      <c r="AG2" s="81" t="s">
        <v>267</v>
      </c>
      <c r="AH2" s="127" t="s">
        <v>268</v>
      </c>
      <c r="AJ2" s="50" t="s">
        <v>25</v>
      </c>
      <c r="AL2" s="50" t="s">
        <v>216</v>
      </c>
      <c r="AN2" s="50" t="s">
        <v>26</v>
      </c>
      <c r="AP2" s="50" t="s">
        <v>27</v>
      </c>
      <c r="AR2" s="50" t="s">
        <v>112</v>
      </c>
      <c r="AT2" s="50" t="s">
        <v>28</v>
      </c>
      <c r="AV2" s="50" t="s">
        <v>29</v>
      </c>
      <c r="AX2" s="105">
        <v>1</v>
      </c>
      <c r="AY2" s="106">
        <v>50</v>
      </c>
      <c r="AZ2" s="106">
        <v>1</v>
      </c>
      <c r="BA2" s="107">
        <v>50</v>
      </c>
    </row>
    <row r="3" spans="1:53" x14ac:dyDescent="0.15">
      <c r="A3" s="78" t="s">
        <v>44</v>
      </c>
      <c r="B3" s="78" t="s">
        <v>174</v>
      </c>
      <c r="C3" s="78">
        <v>2020</v>
      </c>
      <c r="D3" s="126" t="s">
        <v>418</v>
      </c>
      <c r="E3" s="78" t="s">
        <v>265</v>
      </c>
      <c r="F3" s="78" t="s">
        <v>266</v>
      </c>
      <c r="G3" s="78" t="s">
        <v>31</v>
      </c>
      <c r="H3" s="78" t="s">
        <v>113</v>
      </c>
      <c r="I3" s="78" t="s">
        <v>166</v>
      </c>
      <c r="J3" s="78" t="s">
        <v>27</v>
      </c>
      <c r="K3" s="78" t="s">
        <v>112</v>
      </c>
      <c r="L3" s="78">
        <v>2</v>
      </c>
      <c r="N3" s="78">
        <v>4</v>
      </c>
      <c r="O3" s="78">
        <v>0.75</v>
      </c>
      <c r="P3" s="78">
        <v>0.9</v>
      </c>
      <c r="Q3" s="44">
        <f t="shared" si="0"/>
        <v>0.82499999999999996</v>
      </c>
      <c r="R3" s="78">
        <v>12.5</v>
      </c>
      <c r="S3" s="78">
        <v>100</v>
      </c>
      <c r="T3" s="16">
        <f t="shared" si="1"/>
        <v>33</v>
      </c>
      <c r="U3" s="78">
        <v>499</v>
      </c>
      <c r="V3" s="16">
        <f t="shared" si="2"/>
        <v>4116.75</v>
      </c>
      <c r="W3" s="78">
        <v>2</v>
      </c>
      <c r="X3" s="78" t="s">
        <v>28</v>
      </c>
      <c r="Y3" s="78" t="s">
        <v>43</v>
      </c>
      <c r="Z3" s="78" t="s">
        <v>90</v>
      </c>
      <c r="AA3" s="78" t="s">
        <v>91</v>
      </c>
      <c r="AB3" s="78" t="s">
        <v>178</v>
      </c>
      <c r="AE3" s="22" t="s">
        <v>30</v>
      </c>
      <c r="AG3" s="81" t="s">
        <v>269</v>
      </c>
      <c r="AH3" s="127" t="s">
        <v>270</v>
      </c>
      <c r="AJ3" s="81" t="s">
        <v>31</v>
      </c>
      <c r="AL3" s="81" t="s">
        <v>218</v>
      </c>
      <c r="AN3" s="81" t="s">
        <v>32</v>
      </c>
      <c r="AP3" s="81" t="s">
        <v>33</v>
      </c>
      <c r="AR3" s="81" t="s">
        <v>34</v>
      </c>
      <c r="AT3" s="81" t="s">
        <v>35</v>
      </c>
      <c r="AV3" s="81" t="s">
        <v>36</v>
      </c>
      <c r="AX3" s="24">
        <v>72</v>
      </c>
      <c r="AY3" s="25">
        <v>46</v>
      </c>
      <c r="AZ3" s="25">
        <v>71</v>
      </c>
      <c r="BA3" s="26">
        <v>42</v>
      </c>
    </row>
    <row r="4" spans="1:53" x14ac:dyDescent="0.15">
      <c r="A4" s="78" t="s">
        <v>44</v>
      </c>
      <c r="B4" s="78" t="s">
        <v>174</v>
      </c>
      <c r="C4" s="78">
        <v>2020</v>
      </c>
      <c r="D4" s="126" t="s">
        <v>418</v>
      </c>
      <c r="E4" s="78" t="s">
        <v>265</v>
      </c>
      <c r="F4" s="78" t="s">
        <v>266</v>
      </c>
      <c r="G4" s="78" t="s">
        <v>31</v>
      </c>
      <c r="H4" s="78" t="s">
        <v>113</v>
      </c>
      <c r="I4" s="78" t="s">
        <v>166</v>
      </c>
      <c r="J4" s="78" t="s">
        <v>27</v>
      </c>
      <c r="K4" s="78" t="s">
        <v>112</v>
      </c>
      <c r="L4" s="78">
        <v>3</v>
      </c>
      <c r="N4" s="78">
        <v>4</v>
      </c>
      <c r="O4" s="78">
        <v>0.9</v>
      </c>
      <c r="P4" s="78">
        <v>1</v>
      </c>
      <c r="Q4" s="44">
        <f t="shared" si="0"/>
        <v>0.95</v>
      </c>
      <c r="R4" s="78">
        <v>12.1</v>
      </c>
      <c r="S4" s="78">
        <v>94</v>
      </c>
      <c r="T4" s="16">
        <f t="shared" si="1"/>
        <v>36</v>
      </c>
      <c r="U4" s="78">
        <v>499</v>
      </c>
      <c r="V4" s="16">
        <f t="shared" si="2"/>
        <v>4491</v>
      </c>
      <c r="W4" s="78">
        <v>2</v>
      </c>
      <c r="X4" s="78" t="s">
        <v>28</v>
      </c>
      <c r="Y4" s="78" t="s">
        <v>43</v>
      </c>
      <c r="Z4" s="78" t="s">
        <v>90</v>
      </c>
      <c r="AA4" s="78" t="s">
        <v>91</v>
      </c>
      <c r="AB4" s="78" t="s">
        <v>178</v>
      </c>
      <c r="AE4" s="22" t="s">
        <v>23</v>
      </c>
      <c r="AG4" s="81" t="s">
        <v>271</v>
      </c>
      <c r="AH4" s="127" t="s">
        <v>272</v>
      </c>
      <c r="AJ4" s="27" t="s">
        <v>37</v>
      </c>
      <c r="AL4" s="27" t="s">
        <v>220</v>
      </c>
      <c r="AN4" s="28" t="s">
        <v>221</v>
      </c>
      <c r="AP4" s="81" t="s">
        <v>222</v>
      </c>
      <c r="AR4" s="81" t="s">
        <v>223</v>
      </c>
      <c r="AT4" s="28"/>
      <c r="AV4" s="81" t="s">
        <v>39</v>
      </c>
      <c r="AX4" s="24">
        <v>75</v>
      </c>
      <c r="AY4" s="25">
        <v>42</v>
      </c>
      <c r="AZ4" s="25">
        <v>76</v>
      </c>
      <c r="BA4" s="26">
        <v>39</v>
      </c>
    </row>
    <row r="5" spans="1:53" x14ac:dyDescent="0.15">
      <c r="A5" s="78" t="s">
        <v>44</v>
      </c>
      <c r="B5" s="78" t="s">
        <v>174</v>
      </c>
      <c r="C5" s="78">
        <v>2020</v>
      </c>
      <c r="D5" s="126" t="s">
        <v>418</v>
      </c>
      <c r="E5" s="78" t="s">
        <v>265</v>
      </c>
      <c r="F5" s="78" t="s">
        <v>266</v>
      </c>
      <c r="G5" s="78" t="s">
        <v>31</v>
      </c>
      <c r="H5" s="78" t="s">
        <v>167</v>
      </c>
      <c r="I5" s="78" t="s">
        <v>166</v>
      </c>
      <c r="J5" s="78" t="s">
        <v>27</v>
      </c>
      <c r="K5" s="78" t="s">
        <v>112</v>
      </c>
      <c r="L5" s="78">
        <v>1</v>
      </c>
      <c r="N5" s="78">
        <v>1</v>
      </c>
      <c r="O5" s="78">
        <v>0.5</v>
      </c>
      <c r="P5" s="78">
        <v>0.5</v>
      </c>
      <c r="Q5" s="44">
        <f t="shared" si="0"/>
        <v>0.5</v>
      </c>
      <c r="R5" s="78">
        <v>15.7</v>
      </c>
      <c r="S5" s="78">
        <v>119</v>
      </c>
      <c r="T5" s="16">
        <f t="shared" si="1"/>
        <v>30</v>
      </c>
      <c r="U5" s="78">
        <v>159</v>
      </c>
      <c r="V5" s="16">
        <f t="shared" si="2"/>
        <v>4770</v>
      </c>
      <c r="W5" s="78">
        <v>8</v>
      </c>
      <c r="X5" s="78" t="s">
        <v>28</v>
      </c>
      <c r="Y5" s="78" t="s">
        <v>43</v>
      </c>
      <c r="Z5" s="78" t="s">
        <v>90</v>
      </c>
      <c r="AA5" s="78" t="s">
        <v>91</v>
      </c>
      <c r="AB5" s="78" t="s">
        <v>178</v>
      </c>
      <c r="AE5" s="22" t="s">
        <v>40</v>
      </c>
      <c r="AG5" s="81" t="s">
        <v>273</v>
      </c>
      <c r="AH5" s="127" t="s">
        <v>266</v>
      </c>
      <c r="AJ5" s="28"/>
      <c r="AL5" s="110" t="s">
        <v>113</v>
      </c>
      <c r="AN5" s="110" t="s">
        <v>111</v>
      </c>
      <c r="AP5" s="81" t="s">
        <v>225</v>
      </c>
      <c r="AR5" s="81" t="s">
        <v>42</v>
      </c>
      <c r="AV5" s="81" t="s">
        <v>43</v>
      </c>
      <c r="AX5" s="24">
        <v>84</v>
      </c>
      <c r="AY5" s="25">
        <v>39</v>
      </c>
      <c r="AZ5" s="25">
        <v>84</v>
      </c>
      <c r="BA5" s="26">
        <v>36</v>
      </c>
    </row>
    <row r="6" spans="1:53" x14ac:dyDescent="0.15">
      <c r="A6" s="78" t="s">
        <v>44</v>
      </c>
      <c r="B6" s="78" t="s">
        <v>174</v>
      </c>
      <c r="C6" s="78">
        <v>2020</v>
      </c>
      <c r="D6" s="126" t="s">
        <v>418</v>
      </c>
      <c r="E6" s="78" t="s">
        <v>265</v>
      </c>
      <c r="F6" s="78" t="s">
        <v>266</v>
      </c>
      <c r="G6" s="78" t="s">
        <v>31</v>
      </c>
      <c r="H6" s="78" t="s">
        <v>167</v>
      </c>
      <c r="I6" s="78" t="s">
        <v>166</v>
      </c>
      <c r="J6" s="78" t="s">
        <v>27</v>
      </c>
      <c r="K6" s="78" t="s">
        <v>112</v>
      </c>
      <c r="L6" s="78">
        <v>2</v>
      </c>
      <c r="M6" s="128"/>
      <c r="N6" s="78">
        <v>1</v>
      </c>
      <c r="O6" s="78">
        <v>0.65</v>
      </c>
      <c r="P6" s="78">
        <v>0.6</v>
      </c>
      <c r="Q6" s="44">
        <f t="shared" si="0"/>
        <v>0.625</v>
      </c>
      <c r="R6" s="78">
        <v>16.600000000000001</v>
      </c>
      <c r="S6" s="78">
        <v>122</v>
      </c>
      <c r="T6" s="16">
        <f t="shared" si="1"/>
        <v>27</v>
      </c>
      <c r="U6" s="78">
        <v>159</v>
      </c>
      <c r="V6" s="16">
        <f t="shared" si="2"/>
        <v>4293</v>
      </c>
      <c r="W6" s="78">
        <v>8</v>
      </c>
      <c r="X6" s="78" t="s">
        <v>28</v>
      </c>
      <c r="Y6" s="78" t="s">
        <v>43</v>
      </c>
      <c r="Z6" s="78" t="s">
        <v>90</v>
      </c>
      <c r="AA6" s="78" t="s">
        <v>91</v>
      </c>
      <c r="AB6" s="78" t="s">
        <v>178</v>
      </c>
      <c r="AE6" s="22" t="s">
        <v>44</v>
      </c>
      <c r="AG6" s="81" t="s">
        <v>274</v>
      </c>
      <c r="AH6" s="127" t="s">
        <v>266</v>
      </c>
      <c r="AL6" s="110" t="s">
        <v>227</v>
      </c>
      <c r="AN6" s="110" t="s">
        <v>166</v>
      </c>
      <c r="AP6" s="81" t="s">
        <v>41</v>
      </c>
      <c r="AR6" s="81" t="s">
        <v>46</v>
      </c>
      <c r="AV6" s="81" t="s">
        <v>47</v>
      </c>
      <c r="AX6" s="24">
        <v>97</v>
      </c>
      <c r="AY6" s="25">
        <v>36</v>
      </c>
      <c r="AZ6" s="25">
        <v>99</v>
      </c>
      <c r="BA6" s="26">
        <v>33</v>
      </c>
    </row>
    <row r="7" spans="1:53" x14ac:dyDescent="0.15">
      <c r="A7" s="78" t="s">
        <v>44</v>
      </c>
      <c r="B7" s="78" t="s">
        <v>174</v>
      </c>
      <c r="C7" s="78">
        <v>2020</v>
      </c>
      <c r="D7" s="126" t="s">
        <v>418</v>
      </c>
      <c r="E7" s="78" t="s">
        <v>265</v>
      </c>
      <c r="F7" s="78" t="s">
        <v>266</v>
      </c>
      <c r="G7" s="78" t="s">
        <v>31</v>
      </c>
      <c r="H7" s="78" t="s">
        <v>167</v>
      </c>
      <c r="I7" s="78" t="s">
        <v>166</v>
      </c>
      <c r="J7" s="78" t="s">
        <v>27</v>
      </c>
      <c r="K7" s="78" t="s">
        <v>112</v>
      </c>
      <c r="L7" s="78">
        <v>3</v>
      </c>
      <c r="M7" s="128"/>
      <c r="N7" s="78">
        <v>1</v>
      </c>
      <c r="O7" s="78">
        <v>0.6</v>
      </c>
      <c r="P7" s="78">
        <v>0.6</v>
      </c>
      <c r="Q7" s="44">
        <f t="shared" si="0"/>
        <v>0.6</v>
      </c>
      <c r="R7" s="78">
        <v>16.7</v>
      </c>
      <c r="S7" s="78">
        <v>125</v>
      </c>
      <c r="T7" s="16">
        <f t="shared" si="1"/>
        <v>27</v>
      </c>
      <c r="U7" s="78">
        <v>159</v>
      </c>
      <c r="V7" s="16">
        <f t="shared" si="2"/>
        <v>4293</v>
      </c>
      <c r="W7" s="78">
        <v>8</v>
      </c>
      <c r="X7" s="78" t="s">
        <v>28</v>
      </c>
      <c r="Y7" s="78" t="s">
        <v>43</v>
      </c>
      <c r="Z7" s="78" t="s">
        <v>90</v>
      </c>
      <c r="AA7" s="78" t="s">
        <v>91</v>
      </c>
      <c r="AB7" s="78" t="s">
        <v>178</v>
      </c>
      <c r="AE7" s="22" t="s">
        <v>48</v>
      </c>
      <c r="AG7" s="81" t="s">
        <v>197</v>
      </c>
      <c r="AH7" s="127" t="s">
        <v>275</v>
      </c>
      <c r="AL7" s="129" t="s">
        <v>165</v>
      </c>
      <c r="AP7" s="81" t="s">
        <v>45</v>
      </c>
      <c r="AR7" s="81" t="s">
        <v>229</v>
      </c>
      <c r="AV7" s="81" t="s">
        <v>51</v>
      </c>
      <c r="AX7" s="24">
        <v>109</v>
      </c>
      <c r="AY7" s="25">
        <v>33</v>
      </c>
      <c r="AZ7" s="25">
        <v>113</v>
      </c>
      <c r="BA7" s="26">
        <v>30</v>
      </c>
    </row>
    <row r="8" spans="1:53" x14ac:dyDescent="0.15">
      <c r="A8" s="78" t="s">
        <v>44</v>
      </c>
      <c r="B8" s="78" t="s">
        <v>174</v>
      </c>
      <c r="C8" s="78">
        <v>2020</v>
      </c>
      <c r="D8" s="126" t="s">
        <v>418</v>
      </c>
      <c r="E8" s="78" t="s">
        <v>265</v>
      </c>
      <c r="F8" s="78" t="s">
        <v>266</v>
      </c>
      <c r="G8" s="78" t="s">
        <v>31</v>
      </c>
      <c r="H8" s="78" t="s">
        <v>167</v>
      </c>
      <c r="I8" s="78" t="s">
        <v>166</v>
      </c>
      <c r="J8" s="78" t="s">
        <v>27</v>
      </c>
      <c r="K8" s="78" t="s">
        <v>112</v>
      </c>
      <c r="L8" s="78">
        <v>1</v>
      </c>
      <c r="N8" s="78">
        <v>4</v>
      </c>
      <c r="O8" s="78">
        <v>0.7</v>
      </c>
      <c r="P8" s="78">
        <v>0.7</v>
      </c>
      <c r="Q8" s="44">
        <f t="shared" si="0"/>
        <v>0.7</v>
      </c>
      <c r="R8" s="78">
        <v>16.399999999999999</v>
      </c>
      <c r="S8" s="78">
        <v>92</v>
      </c>
      <c r="T8" s="16">
        <f t="shared" si="1"/>
        <v>36</v>
      </c>
      <c r="U8" s="78">
        <v>599</v>
      </c>
      <c r="V8" s="16">
        <f t="shared" si="2"/>
        <v>5391</v>
      </c>
      <c r="W8" s="78">
        <v>4</v>
      </c>
      <c r="X8" s="78" t="s">
        <v>28</v>
      </c>
      <c r="Y8" s="78" t="s">
        <v>43</v>
      </c>
      <c r="Z8" s="78" t="s">
        <v>90</v>
      </c>
      <c r="AA8" s="78" t="s">
        <v>91</v>
      </c>
      <c r="AB8" s="78" t="s">
        <v>178</v>
      </c>
      <c r="AE8" s="22" t="s">
        <v>46</v>
      </c>
      <c r="AG8" s="81" t="s">
        <v>276</v>
      </c>
      <c r="AH8" s="127" t="s">
        <v>275</v>
      </c>
      <c r="AL8" s="129" t="s">
        <v>167</v>
      </c>
      <c r="AP8" s="81" t="s">
        <v>49</v>
      </c>
      <c r="AR8" s="81" t="s">
        <v>67</v>
      </c>
      <c r="AV8" s="81" t="s">
        <v>82</v>
      </c>
      <c r="AX8" s="24">
        <v>119</v>
      </c>
      <c r="AY8" s="25">
        <v>30</v>
      </c>
      <c r="AZ8" s="25">
        <v>121</v>
      </c>
      <c r="BA8" s="26">
        <v>27</v>
      </c>
    </row>
    <row r="9" spans="1:53" x14ac:dyDescent="0.15">
      <c r="A9" s="78" t="s">
        <v>44</v>
      </c>
      <c r="B9" s="78" t="s">
        <v>174</v>
      </c>
      <c r="C9" s="78">
        <v>2020</v>
      </c>
      <c r="D9" s="126" t="s">
        <v>418</v>
      </c>
      <c r="E9" s="78" t="s">
        <v>265</v>
      </c>
      <c r="F9" s="78" t="s">
        <v>266</v>
      </c>
      <c r="G9" s="78" t="s">
        <v>31</v>
      </c>
      <c r="H9" s="78" t="s">
        <v>167</v>
      </c>
      <c r="I9" s="78" t="s">
        <v>166</v>
      </c>
      <c r="J9" s="78" t="s">
        <v>27</v>
      </c>
      <c r="K9" s="78" t="s">
        <v>112</v>
      </c>
      <c r="L9" s="78">
        <v>2</v>
      </c>
      <c r="M9" s="128"/>
      <c r="N9" s="78">
        <v>4</v>
      </c>
      <c r="O9" s="78">
        <v>0.55000000000000004</v>
      </c>
      <c r="P9" s="78">
        <v>0.5</v>
      </c>
      <c r="Q9" s="44">
        <f t="shared" si="0"/>
        <v>0.52500000000000002</v>
      </c>
      <c r="R9" s="78">
        <v>17.5</v>
      </c>
      <c r="S9" s="78">
        <v>96</v>
      </c>
      <c r="T9" s="16">
        <f t="shared" si="1"/>
        <v>36</v>
      </c>
      <c r="U9" s="78">
        <v>599</v>
      </c>
      <c r="V9" s="16">
        <f t="shared" si="2"/>
        <v>5391</v>
      </c>
      <c r="W9" s="78">
        <v>4</v>
      </c>
      <c r="X9" s="78" t="s">
        <v>28</v>
      </c>
      <c r="Y9" s="78" t="s">
        <v>43</v>
      </c>
      <c r="Z9" s="78" t="s">
        <v>90</v>
      </c>
      <c r="AA9" s="78" t="s">
        <v>91</v>
      </c>
      <c r="AB9" s="78" t="s">
        <v>178</v>
      </c>
      <c r="AE9" s="22" t="s">
        <v>232</v>
      </c>
      <c r="AG9" s="81" t="s">
        <v>265</v>
      </c>
      <c r="AH9" s="81" t="s">
        <v>270</v>
      </c>
      <c r="AL9" s="110" t="s">
        <v>235</v>
      </c>
      <c r="AP9" s="81" t="s">
        <v>80</v>
      </c>
      <c r="AR9" s="81" t="s">
        <v>236</v>
      </c>
      <c r="AV9" s="81" t="s">
        <v>86</v>
      </c>
      <c r="AX9" s="24">
        <v>128</v>
      </c>
      <c r="AY9" s="25">
        <v>27</v>
      </c>
      <c r="AZ9" s="25">
        <v>129</v>
      </c>
      <c r="BA9" s="26">
        <v>25</v>
      </c>
    </row>
    <row r="10" spans="1:53" x14ac:dyDescent="0.15">
      <c r="A10" s="78" t="s">
        <v>44</v>
      </c>
      <c r="B10" s="78" t="s">
        <v>174</v>
      </c>
      <c r="C10" s="78">
        <v>2020</v>
      </c>
      <c r="D10" s="126" t="s">
        <v>418</v>
      </c>
      <c r="E10" s="78" t="s">
        <v>265</v>
      </c>
      <c r="F10" s="78" t="s">
        <v>266</v>
      </c>
      <c r="G10" s="78" t="s">
        <v>31</v>
      </c>
      <c r="H10" s="78" t="s">
        <v>167</v>
      </c>
      <c r="I10" s="78" t="s">
        <v>166</v>
      </c>
      <c r="J10" s="78" t="s">
        <v>27</v>
      </c>
      <c r="K10" s="78" t="s">
        <v>112</v>
      </c>
      <c r="L10" s="78">
        <v>3</v>
      </c>
      <c r="M10" s="128"/>
      <c r="N10" s="78">
        <v>4</v>
      </c>
      <c r="O10" s="78">
        <v>0.65</v>
      </c>
      <c r="P10" s="78">
        <v>0.6</v>
      </c>
      <c r="Q10" s="44">
        <f t="shared" si="0"/>
        <v>0.625</v>
      </c>
      <c r="R10" s="78">
        <v>16.3</v>
      </c>
      <c r="S10" s="78">
        <v>104</v>
      </c>
      <c r="T10" s="16">
        <f t="shared" si="1"/>
        <v>33</v>
      </c>
      <c r="U10" s="78">
        <v>599</v>
      </c>
      <c r="V10" s="16">
        <f t="shared" si="2"/>
        <v>4941.75</v>
      </c>
      <c r="W10" s="78">
        <v>4</v>
      </c>
      <c r="X10" s="78" t="s">
        <v>28</v>
      </c>
      <c r="Y10" s="78" t="s">
        <v>43</v>
      </c>
      <c r="Z10" s="78" t="s">
        <v>90</v>
      </c>
      <c r="AA10" s="78" t="s">
        <v>91</v>
      </c>
      <c r="AB10" s="78" t="s">
        <v>178</v>
      </c>
      <c r="AE10" s="22" t="s">
        <v>237</v>
      </c>
      <c r="AG10" s="81" t="s">
        <v>197</v>
      </c>
      <c r="AH10" s="127" t="s">
        <v>266</v>
      </c>
      <c r="AL10" s="129"/>
      <c r="AP10" s="81" t="s">
        <v>84</v>
      </c>
      <c r="AR10" s="81" t="s">
        <v>239</v>
      </c>
      <c r="AV10" s="81" t="s">
        <v>90</v>
      </c>
      <c r="AX10" s="24">
        <v>138</v>
      </c>
      <c r="AY10" s="25">
        <v>25</v>
      </c>
      <c r="AZ10" s="25">
        <v>138</v>
      </c>
      <c r="BA10" s="26">
        <v>22</v>
      </c>
    </row>
    <row r="11" spans="1:53" x14ac:dyDescent="0.15">
      <c r="A11" s="78" t="s">
        <v>44</v>
      </c>
      <c r="B11" s="78" t="s">
        <v>174</v>
      </c>
      <c r="C11" s="78">
        <v>2020</v>
      </c>
      <c r="D11" s="126" t="s">
        <v>418</v>
      </c>
      <c r="E11" s="78" t="s">
        <v>265</v>
      </c>
      <c r="F11" s="78" t="s">
        <v>266</v>
      </c>
      <c r="G11" s="78" t="s">
        <v>31</v>
      </c>
      <c r="H11" s="78" t="s">
        <v>167</v>
      </c>
      <c r="I11" s="78" t="s">
        <v>166</v>
      </c>
      <c r="J11" s="78" t="s">
        <v>27</v>
      </c>
      <c r="K11" s="78" t="s">
        <v>112</v>
      </c>
      <c r="L11" s="78">
        <v>1</v>
      </c>
      <c r="N11" s="78">
        <v>8</v>
      </c>
      <c r="O11" s="78">
        <v>0.6</v>
      </c>
      <c r="P11" s="78">
        <v>0.6</v>
      </c>
      <c r="Q11" s="44">
        <f t="shared" si="0"/>
        <v>0.6</v>
      </c>
      <c r="R11" s="78">
        <v>16</v>
      </c>
      <c r="S11" s="78">
        <v>97</v>
      </c>
      <c r="T11" s="16">
        <f t="shared" si="1"/>
        <v>36</v>
      </c>
      <c r="U11" s="78">
        <v>999</v>
      </c>
      <c r="V11" s="16">
        <f t="shared" si="2"/>
        <v>4495.5</v>
      </c>
      <c r="W11" s="78">
        <v>6</v>
      </c>
      <c r="X11" s="78" t="s">
        <v>28</v>
      </c>
      <c r="Y11" s="78" t="s">
        <v>43</v>
      </c>
      <c r="Z11" s="78" t="s">
        <v>90</v>
      </c>
      <c r="AA11" s="78" t="s">
        <v>91</v>
      </c>
      <c r="AB11" s="78" t="s">
        <v>178</v>
      </c>
      <c r="AE11" s="22" t="s">
        <v>54</v>
      </c>
      <c r="AG11" s="81" t="s">
        <v>274</v>
      </c>
      <c r="AH11" s="127" t="s">
        <v>266</v>
      </c>
      <c r="AJ11" s="129"/>
      <c r="AP11" s="81" t="s">
        <v>88</v>
      </c>
      <c r="AR11" s="81" t="s">
        <v>242</v>
      </c>
      <c r="AV11" s="81" t="s">
        <v>55</v>
      </c>
    </row>
    <row r="12" spans="1:53" x14ac:dyDescent="0.15">
      <c r="A12" s="78" t="s">
        <v>44</v>
      </c>
      <c r="B12" s="78" t="s">
        <v>174</v>
      </c>
      <c r="C12" s="78">
        <v>2020</v>
      </c>
      <c r="D12" s="126" t="s">
        <v>418</v>
      </c>
      <c r="E12" s="78" t="s">
        <v>265</v>
      </c>
      <c r="F12" s="78" t="s">
        <v>266</v>
      </c>
      <c r="G12" s="78" t="s">
        <v>31</v>
      </c>
      <c r="H12" s="78" t="s">
        <v>167</v>
      </c>
      <c r="I12" s="78" t="s">
        <v>166</v>
      </c>
      <c r="J12" s="78" t="s">
        <v>27</v>
      </c>
      <c r="K12" s="78" t="s">
        <v>112</v>
      </c>
      <c r="L12" s="78">
        <v>2</v>
      </c>
      <c r="M12" s="128"/>
      <c r="N12" s="78">
        <v>8</v>
      </c>
      <c r="O12" s="78">
        <v>0.7</v>
      </c>
      <c r="P12" s="78">
        <v>0.6</v>
      </c>
      <c r="Q12" s="44">
        <f t="shared" si="0"/>
        <v>0.64999999999999991</v>
      </c>
      <c r="R12" s="78">
        <v>15.9</v>
      </c>
      <c r="S12" s="78">
        <v>101</v>
      </c>
      <c r="T12" s="16">
        <f t="shared" si="1"/>
        <v>33</v>
      </c>
      <c r="U12" s="78">
        <v>999</v>
      </c>
      <c r="V12" s="16">
        <f t="shared" si="2"/>
        <v>4120.875</v>
      </c>
      <c r="W12" s="78">
        <v>6</v>
      </c>
      <c r="X12" s="78" t="s">
        <v>28</v>
      </c>
      <c r="Y12" s="78" t="s">
        <v>43</v>
      </c>
      <c r="Z12" s="78" t="s">
        <v>90</v>
      </c>
      <c r="AA12" s="78" t="s">
        <v>91</v>
      </c>
      <c r="AB12" s="78" t="s">
        <v>178</v>
      </c>
      <c r="AE12" s="22" t="s">
        <v>243</v>
      </c>
      <c r="AG12" s="81" t="s">
        <v>269</v>
      </c>
      <c r="AH12" s="127" t="s">
        <v>266</v>
      </c>
      <c r="AJ12" s="129"/>
      <c r="AP12" s="81" t="s">
        <v>53</v>
      </c>
      <c r="AR12" s="81" t="s">
        <v>244</v>
      </c>
      <c r="AV12" s="81" t="s">
        <v>58</v>
      </c>
    </row>
    <row r="13" spans="1:53" x14ac:dyDescent="0.15">
      <c r="A13" s="78" t="s">
        <v>44</v>
      </c>
      <c r="B13" s="78" t="s">
        <v>174</v>
      </c>
      <c r="C13" s="78">
        <v>2020</v>
      </c>
      <c r="D13" s="126" t="s">
        <v>418</v>
      </c>
      <c r="E13" s="78" t="s">
        <v>265</v>
      </c>
      <c r="F13" s="78" t="s">
        <v>266</v>
      </c>
      <c r="G13" s="78" t="s">
        <v>31</v>
      </c>
      <c r="H13" s="78" t="s">
        <v>167</v>
      </c>
      <c r="I13" s="78" t="s">
        <v>166</v>
      </c>
      <c r="J13" s="78" t="s">
        <v>27</v>
      </c>
      <c r="K13" s="78" t="s">
        <v>112</v>
      </c>
      <c r="L13" s="78">
        <v>3</v>
      </c>
      <c r="M13" s="128"/>
      <c r="N13" s="78">
        <v>8</v>
      </c>
      <c r="O13" s="78">
        <v>0.55000000000000004</v>
      </c>
      <c r="P13" s="78">
        <v>0.6</v>
      </c>
      <c r="Q13" s="44">
        <f t="shared" si="0"/>
        <v>0.57499999999999996</v>
      </c>
      <c r="R13" s="78">
        <v>15.1</v>
      </c>
      <c r="S13" s="78">
        <v>99</v>
      </c>
      <c r="T13" s="16">
        <f t="shared" si="1"/>
        <v>33</v>
      </c>
      <c r="U13" s="78">
        <v>999</v>
      </c>
      <c r="V13" s="16">
        <f t="shared" si="2"/>
        <v>4120.875</v>
      </c>
      <c r="W13" s="78">
        <v>6</v>
      </c>
      <c r="X13" s="78" t="s">
        <v>28</v>
      </c>
      <c r="Y13" s="78" t="s">
        <v>43</v>
      </c>
      <c r="Z13" s="78" t="s">
        <v>90</v>
      </c>
      <c r="AA13" s="78" t="s">
        <v>91</v>
      </c>
      <c r="AB13" s="78" t="s">
        <v>178</v>
      </c>
      <c r="AE13" s="22" t="s">
        <v>245</v>
      </c>
      <c r="AP13" s="81" t="s">
        <v>57</v>
      </c>
      <c r="AR13" s="81" t="s">
        <v>237</v>
      </c>
      <c r="AV13" s="81" t="s">
        <v>61</v>
      </c>
    </row>
    <row r="14" spans="1:53" x14ac:dyDescent="0.15">
      <c r="A14" s="78" t="s">
        <v>44</v>
      </c>
      <c r="B14" s="78" t="s">
        <v>174</v>
      </c>
      <c r="C14" s="78">
        <v>2020</v>
      </c>
      <c r="D14" s="126" t="s">
        <v>418</v>
      </c>
      <c r="E14" s="78" t="s">
        <v>269</v>
      </c>
      <c r="F14" s="78" t="s">
        <v>270</v>
      </c>
      <c r="G14" s="78" t="s">
        <v>25</v>
      </c>
      <c r="H14" s="78" t="s">
        <v>113</v>
      </c>
      <c r="I14" s="78" t="s">
        <v>111</v>
      </c>
      <c r="J14" s="78" t="s">
        <v>27</v>
      </c>
      <c r="K14" s="78" t="s">
        <v>112</v>
      </c>
      <c r="L14" s="78">
        <v>1</v>
      </c>
      <c r="M14" s="128"/>
      <c r="N14" s="78">
        <v>1</v>
      </c>
      <c r="O14" s="78">
        <v>1.1499999999999999</v>
      </c>
      <c r="P14" s="78">
        <v>1.1000000000000001</v>
      </c>
      <c r="Q14" s="44">
        <f t="shared" si="0"/>
        <v>1.125</v>
      </c>
      <c r="R14" s="78">
        <v>15.9</v>
      </c>
      <c r="S14" s="78">
        <v>143</v>
      </c>
      <c r="T14" s="16">
        <f t="shared" si="1"/>
        <v>22</v>
      </c>
      <c r="U14" s="78">
        <v>78</v>
      </c>
      <c r="V14" s="16">
        <f t="shared" si="2"/>
        <v>1716</v>
      </c>
      <c r="W14" s="78">
        <v>4</v>
      </c>
      <c r="X14" s="78" t="s">
        <v>35</v>
      </c>
      <c r="Y14" s="78" t="s">
        <v>43</v>
      </c>
      <c r="Z14" s="78" t="s">
        <v>36</v>
      </c>
      <c r="AA14" s="78" t="s">
        <v>82</v>
      </c>
      <c r="AB14" s="78" t="s">
        <v>178</v>
      </c>
      <c r="AE14" s="22" t="s">
        <v>81</v>
      </c>
      <c r="AP14" s="81" t="s">
        <v>60</v>
      </c>
      <c r="AR14" s="81" t="s">
        <v>246</v>
      </c>
      <c r="AV14" s="81" t="s">
        <v>64</v>
      </c>
    </row>
    <row r="15" spans="1:53" x14ac:dyDescent="0.15">
      <c r="A15" s="78" t="s">
        <v>44</v>
      </c>
      <c r="B15" s="78" t="s">
        <v>174</v>
      </c>
      <c r="C15" s="78">
        <v>2020</v>
      </c>
      <c r="D15" s="126" t="s">
        <v>418</v>
      </c>
      <c r="E15" s="78" t="s">
        <v>269</v>
      </c>
      <c r="F15" s="78" t="s">
        <v>270</v>
      </c>
      <c r="G15" s="78" t="s">
        <v>25</v>
      </c>
      <c r="H15" s="78" t="s">
        <v>113</v>
      </c>
      <c r="I15" s="78" t="s">
        <v>111</v>
      </c>
      <c r="J15" s="78" t="s">
        <v>27</v>
      </c>
      <c r="K15" s="78" t="s">
        <v>112</v>
      </c>
      <c r="L15" s="78">
        <v>2</v>
      </c>
      <c r="M15" s="128"/>
      <c r="N15" s="78">
        <v>1</v>
      </c>
      <c r="O15" s="78">
        <v>0.75</v>
      </c>
      <c r="P15" s="78">
        <v>0.8</v>
      </c>
      <c r="Q15" s="44">
        <f t="shared" si="0"/>
        <v>0.77500000000000002</v>
      </c>
      <c r="R15" s="78">
        <v>17.3</v>
      </c>
      <c r="S15" s="78">
        <v>143</v>
      </c>
      <c r="T15" s="16">
        <f t="shared" si="1"/>
        <v>22</v>
      </c>
      <c r="U15" s="78">
        <v>78</v>
      </c>
      <c r="V15" s="16">
        <f t="shared" si="2"/>
        <v>1716</v>
      </c>
      <c r="W15" s="78">
        <v>4</v>
      </c>
      <c r="X15" s="78" t="s">
        <v>35</v>
      </c>
      <c r="Y15" s="78" t="s">
        <v>43</v>
      </c>
      <c r="Z15" s="78" t="s">
        <v>36</v>
      </c>
      <c r="AA15" s="78" t="s">
        <v>82</v>
      </c>
      <c r="AB15" s="78" t="s">
        <v>178</v>
      </c>
      <c r="AE15" s="22" t="s">
        <v>247</v>
      </c>
      <c r="AP15" s="81" t="s">
        <v>63</v>
      </c>
      <c r="AR15" s="81" t="s">
        <v>66</v>
      </c>
      <c r="AV15" s="81" t="s">
        <v>91</v>
      </c>
    </row>
    <row r="16" spans="1:53" x14ac:dyDescent="0.15">
      <c r="A16" s="78" t="s">
        <v>44</v>
      </c>
      <c r="B16" s="78" t="s">
        <v>174</v>
      </c>
      <c r="C16" s="78">
        <v>2020</v>
      </c>
      <c r="D16" s="126" t="s">
        <v>418</v>
      </c>
      <c r="E16" s="78" t="s">
        <v>269</v>
      </c>
      <c r="F16" s="78" t="s">
        <v>270</v>
      </c>
      <c r="G16" s="78" t="s">
        <v>25</v>
      </c>
      <c r="H16" s="78" t="s">
        <v>113</v>
      </c>
      <c r="I16" s="78" t="s">
        <v>111</v>
      </c>
      <c r="J16" s="78" t="s">
        <v>27</v>
      </c>
      <c r="K16" s="78" t="s">
        <v>112</v>
      </c>
      <c r="L16" s="78">
        <v>3</v>
      </c>
      <c r="M16" s="128"/>
      <c r="N16" s="78">
        <v>1</v>
      </c>
      <c r="O16" s="78">
        <v>1.05</v>
      </c>
      <c r="P16" s="78">
        <v>1.05</v>
      </c>
      <c r="Q16" s="44">
        <f t="shared" si="0"/>
        <v>1.05</v>
      </c>
      <c r="R16" s="78">
        <v>14.7</v>
      </c>
      <c r="S16" s="78">
        <v>147</v>
      </c>
      <c r="T16" s="16">
        <f t="shared" si="1"/>
        <v>22</v>
      </c>
      <c r="U16" s="78">
        <v>78</v>
      </c>
      <c r="V16" s="16">
        <f t="shared" si="2"/>
        <v>1716</v>
      </c>
      <c r="W16" s="78">
        <v>4</v>
      </c>
      <c r="X16" s="78" t="s">
        <v>35</v>
      </c>
      <c r="Y16" s="78" t="s">
        <v>43</v>
      </c>
      <c r="Z16" s="78" t="s">
        <v>36</v>
      </c>
      <c r="AA16" s="78" t="s">
        <v>82</v>
      </c>
      <c r="AB16" s="78" t="s">
        <v>178</v>
      </c>
      <c r="AE16" s="22" t="s">
        <v>248</v>
      </c>
      <c r="AP16" s="81" t="s">
        <v>66</v>
      </c>
      <c r="AR16" s="81" t="s">
        <v>50</v>
      </c>
      <c r="AV16" s="81" t="s">
        <v>70</v>
      </c>
    </row>
    <row r="17" spans="1:48" x14ac:dyDescent="0.15">
      <c r="A17" s="78" t="s">
        <v>44</v>
      </c>
      <c r="B17" s="78" t="s">
        <v>174</v>
      </c>
      <c r="C17" s="78">
        <v>2020</v>
      </c>
      <c r="D17" s="126" t="s">
        <v>418</v>
      </c>
      <c r="E17" s="78" t="s">
        <v>269</v>
      </c>
      <c r="F17" s="78" t="s">
        <v>270</v>
      </c>
      <c r="G17" s="78" t="s">
        <v>25</v>
      </c>
      <c r="H17" s="78" t="s">
        <v>113</v>
      </c>
      <c r="I17" s="78" t="s">
        <v>111</v>
      </c>
      <c r="J17" s="78" t="s">
        <v>27</v>
      </c>
      <c r="K17" s="78" t="s">
        <v>112</v>
      </c>
      <c r="L17" s="78">
        <v>1</v>
      </c>
      <c r="M17" s="128"/>
      <c r="N17" s="78">
        <v>5</v>
      </c>
      <c r="O17" s="78">
        <v>0.95</v>
      </c>
      <c r="P17" s="78">
        <v>1.05</v>
      </c>
      <c r="Q17" s="44">
        <f t="shared" si="0"/>
        <v>1</v>
      </c>
      <c r="R17" s="78">
        <v>14.9</v>
      </c>
      <c r="S17" s="78">
        <v>122</v>
      </c>
      <c r="T17" s="16">
        <f t="shared" si="1"/>
        <v>27</v>
      </c>
      <c r="U17" s="78">
        <v>398</v>
      </c>
      <c r="V17" s="16">
        <f t="shared" si="2"/>
        <v>2149.1999999999998</v>
      </c>
      <c r="W17" s="78">
        <v>2</v>
      </c>
      <c r="X17" s="78" t="s">
        <v>35</v>
      </c>
      <c r="Y17" s="78" t="s">
        <v>43</v>
      </c>
      <c r="Z17" s="78" t="s">
        <v>36</v>
      </c>
      <c r="AA17" s="78" t="s">
        <v>82</v>
      </c>
      <c r="AB17" s="78" t="s">
        <v>178</v>
      </c>
      <c r="AE17" s="22" t="s">
        <v>249</v>
      </c>
      <c r="AP17" s="27" t="s">
        <v>250</v>
      </c>
      <c r="AR17" s="81" t="s">
        <v>81</v>
      </c>
      <c r="AV17" s="81" t="s">
        <v>72</v>
      </c>
    </row>
    <row r="18" spans="1:48" x14ac:dyDescent="0.15">
      <c r="A18" s="78" t="s">
        <v>44</v>
      </c>
      <c r="B18" s="78" t="s">
        <v>174</v>
      </c>
      <c r="C18" s="78">
        <v>2020</v>
      </c>
      <c r="D18" s="126" t="s">
        <v>418</v>
      </c>
      <c r="E18" s="78" t="s">
        <v>269</v>
      </c>
      <c r="F18" s="78" t="s">
        <v>270</v>
      </c>
      <c r="G18" s="78" t="s">
        <v>25</v>
      </c>
      <c r="H18" s="78" t="s">
        <v>113</v>
      </c>
      <c r="I18" s="78" t="s">
        <v>111</v>
      </c>
      <c r="J18" s="78" t="s">
        <v>27</v>
      </c>
      <c r="K18" s="78" t="s">
        <v>112</v>
      </c>
      <c r="L18" s="78">
        <v>2</v>
      </c>
      <c r="M18" s="128"/>
      <c r="N18" s="78">
        <v>5</v>
      </c>
      <c r="O18" s="78">
        <v>0.75</v>
      </c>
      <c r="P18" s="78">
        <v>0.85</v>
      </c>
      <c r="Q18" s="44">
        <f t="shared" si="0"/>
        <v>0.8</v>
      </c>
      <c r="R18" s="78">
        <v>15.4</v>
      </c>
      <c r="S18" s="78">
        <v>120</v>
      </c>
      <c r="T18" s="16">
        <f t="shared" si="1"/>
        <v>30</v>
      </c>
      <c r="U18" s="78">
        <v>398</v>
      </c>
      <c r="V18" s="16">
        <f t="shared" si="2"/>
        <v>2388</v>
      </c>
      <c r="W18" s="78">
        <v>2</v>
      </c>
      <c r="X18" s="78" t="s">
        <v>35</v>
      </c>
      <c r="Y18" s="78" t="s">
        <v>43</v>
      </c>
      <c r="Z18" s="78" t="s">
        <v>36</v>
      </c>
      <c r="AA18" s="78" t="s">
        <v>82</v>
      </c>
      <c r="AB18" s="78" t="s">
        <v>178</v>
      </c>
      <c r="AE18" s="22" t="s">
        <v>242</v>
      </c>
      <c r="AP18" s="27" t="s">
        <v>251</v>
      </c>
      <c r="AR18" s="81" t="s">
        <v>85</v>
      </c>
      <c r="AV18" s="81" t="s">
        <v>74</v>
      </c>
    </row>
    <row r="19" spans="1:48" x14ac:dyDescent="0.15">
      <c r="A19" s="78" t="s">
        <v>44</v>
      </c>
      <c r="B19" s="78" t="s">
        <v>174</v>
      </c>
      <c r="C19" s="78">
        <v>2020</v>
      </c>
      <c r="D19" s="126" t="s">
        <v>418</v>
      </c>
      <c r="E19" s="78" t="s">
        <v>269</v>
      </c>
      <c r="F19" s="78" t="s">
        <v>270</v>
      </c>
      <c r="G19" s="78" t="s">
        <v>25</v>
      </c>
      <c r="H19" s="78" t="s">
        <v>113</v>
      </c>
      <c r="I19" s="78" t="s">
        <v>111</v>
      </c>
      <c r="J19" s="78" t="s">
        <v>27</v>
      </c>
      <c r="K19" s="78" t="s">
        <v>112</v>
      </c>
      <c r="L19" s="78">
        <v>3</v>
      </c>
      <c r="M19" s="128"/>
      <c r="N19" s="78">
        <v>5</v>
      </c>
      <c r="O19" s="78">
        <v>0.95</v>
      </c>
      <c r="P19" s="78">
        <v>0.8</v>
      </c>
      <c r="Q19" s="44">
        <f t="shared" si="0"/>
        <v>0.875</v>
      </c>
      <c r="R19" s="78">
        <v>14.5</v>
      </c>
      <c r="S19" s="78">
        <v>119</v>
      </c>
      <c r="T19" s="16">
        <f t="shared" si="1"/>
        <v>30</v>
      </c>
      <c r="U19" s="78">
        <v>398</v>
      </c>
      <c r="V19" s="16">
        <f t="shared" si="2"/>
        <v>2388</v>
      </c>
      <c r="W19" s="78">
        <v>2</v>
      </c>
      <c r="X19" s="78" t="s">
        <v>35</v>
      </c>
      <c r="Y19" s="78" t="s">
        <v>43</v>
      </c>
      <c r="Z19" s="78" t="s">
        <v>36</v>
      </c>
      <c r="AA19" s="78" t="s">
        <v>82</v>
      </c>
      <c r="AB19" s="78" t="s">
        <v>178</v>
      </c>
      <c r="AE19" s="35" t="s">
        <v>236</v>
      </c>
      <c r="AP19" s="27" t="s">
        <v>252</v>
      </c>
      <c r="AR19" s="81" t="s">
        <v>253</v>
      </c>
      <c r="AV19" s="81" t="s">
        <v>76</v>
      </c>
    </row>
    <row r="20" spans="1:48" x14ac:dyDescent="0.15">
      <c r="A20" s="78" t="s">
        <v>44</v>
      </c>
      <c r="B20" s="78" t="s">
        <v>174</v>
      </c>
      <c r="C20" s="78">
        <v>2020</v>
      </c>
      <c r="D20" s="126" t="s">
        <v>418</v>
      </c>
      <c r="E20" s="78" t="s">
        <v>269</v>
      </c>
      <c r="F20" s="78" t="s">
        <v>270</v>
      </c>
      <c r="G20" s="78" t="s">
        <v>25</v>
      </c>
      <c r="H20" s="78" t="s">
        <v>167</v>
      </c>
      <c r="I20" s="78" t="s">
        <v>111</v>
      </c>
      <c r="J20" s="78" t="s">
        <v>27</v>
      </c>
      <c r="K20" s="78" t="s">
        <v>112</v>
      </c>
      <c r="L20" s="78">
        <v>1</v>
      </c>
      <c r="M20" s="128"/>
      <c r="N20" s="78">
        <v>1</v>
      </c>
      <c r="O20" s="78">
        <v>0.8</v>
      </c>
      <c r="P20" s="78">
        <v>0.85</v>
      </c>
      <c r="Q20" s="44">
        <f t="shared" si="0"/>
        <v>0.82499999999999996</v>
      </c>
      <c r="R20" s="78">
        <v>16.899999999999999</v>
      </c>
      <c r="S20" s="78">
        <v>153</v>
      </c>
      <c r="T20" s="16">
        <f t="shared" si="1"/>
        <v>22</v>
      </c>
      <c r="U20" s="78">
        <v>78</v>
      </c>
      <c r="V20" s="16">
        <f t="shared" si="2"/>
        <v>1716</v>
      </c>
      <c r="W20" s="78">
        <v>8</v>
      </c>
      <c r="X20" s="78" t="s">
        <v>35</v>
      </c>
      <c r="Y20" s="78" t="s">
        <v>43</v>
      </c>
      <c r="Z20" s="78" t="s">
        <v>36</v>
      </c>
      <c r="AA20" s="78" t="s">
        <v>82</v>
      </c>
      <c r="AB20" s="78" t="s">
        <v>178</v>
      </c>
      <c r="AP20" s="27" t="s">
        <v>254</v>
      </c>
      <c r="AR20" s="81" t="s">
        <v>89</v>
      </c>
      <c r="AV20" s="27" t="s">
        <v>255</v>
      </c>
    </row>
    <row r="21" spans="1:48" x14ac:dyDescent="0.15">
      <c r="A21" s="78" t="s">
        <v>44</v>
      </c>
      <c r="B21" s="78" t="s">
        <v>174</v>
      </c>
      <c r="C21" s="78">
        <v>2020</v>
      </c>
      <c r="D21" s="126" t="s">
        <v>418</v>
      </c>
      <c r="E21" s="78" t="s">
        <v>269</v>
      </c>
      <c r="F21" s="78" t="s">
        <v>270</v>
      </c>
      <c r="G21" s="78" t="s">
        <v>25</v>
      </c>
      <c r="H21" s="78" t="s">
        <v>167</v>
      </c>
      <c r="I21" s="78" t="s">
        <v>111</v>
      </c>
      <c r="J21" s="78" t="s">
        <v>27</v>
      </c>
      <c r="K21" s="78" t="s">
        <v>112</v>
      </c>
      <c r="L21" s="78">
        <v>2</v>
      </c>
      <c r="M21" s="128"/>
      <c r="N21" s="78">
        <v>1</v>
      </c>
      <c r="O21" s="78">
        <v>0.6</v>
      </c>
      <c r="P21" s="78">
        <v>0.65</v>
      </c>
      <c r="Q21" s="44">
        <f t="shared" si="0"/>
        <v>0.625</v>
      </c>
      <c r="R21" s="78">
        <v>16.7</v>
      </c>
      <c r="S21" s="78">
        <v>169</v>
      </c>
      <c r="T21" s="16">
        <f t="shared" si="1"/>
        <v>22</v>
      </c>
      <c r="U21" s="78">
        <v>78</v>
      </c>
      <c r="V21" s="16">
        <f t="shared" si="2"/>
        <v>1716</v>
      </c>
      <c r="W21" s="78">
        <v>8</v>
      </c>
      <c r="X21" s="78" t="s">
        <v>35</v>
      </c>
      <c r="Y21" s="78" t="s">
        <v>43</v>
      </c>
      <c r="Z21" s="78" t="s">
        <v>36</v>
      </c>
      <c r="AA21" s="78" t="s">
        <v>82</v>
      </c>
      <c r="AB21" s="78" t="s">
        <v>178</v>
      </c>
      <c r="AP21" s="27" t="s">
        <v>256</v>
      </c>
      <c r="AR21" s="81" t="s">
        <v>54</v>
      </c>
      <c r="AV21" s="28" t="s">
        <v>257</v>
      </c>
    </row>
    <row r="22" spans="1:48" x14ac:dyDescent="0.15">
      <c r="A22" s="78" t="s">
        <v>44</v>
      </c>
      <c r="B22" s="78" t="s">
        <v>174</v>
      </c>
      <c r="C22" s="78">
        <v>2020</v>
      </c>
      <c r="D22" s="126" t="s">
        <v>418</v>
      </c>
      <c r="E22" s="78" t="s">
        <v>269</v>
      </c>
      <c r="F22" s="78" t="s">
        <v>270</v>
      </c>
      <c r="G22" s="78" t="s">
        <v>25</v>
      </c>
      <c r="H22" s="78" t="s">
        <v>167</v>
      </c>
      <c r="I22" s="78" t="s">
        <v>111</v>
      </c>
      <c r="J22" s="78" t="s">
        <v>27</v>
      </c>
      <c r="K22" s="78" t="s">
        <v>112</v>
      </c>
      <c r="L22" s="78">
        <v>3</v>
      </c>
      <c r="M22" s="128"/>
      <c r="N22" s="78">
        <v>1</v>
      </c>
      <c r="O22" s="78">
        <v>0.7</v>
      </c>
      <c r="P22" s="78">
        <v>0.75</v>
      </c>
      <c r="Q22" s="44">
        <f t="shared" si="0"/>
        <v>0.72499999999999998</v>
      </c>
      <c r="R22" s="78">
        <v>17.3</v>
      </c>
      <c r="S22" s="78">
        <v>154</v>
      </c>
      <c r="T22" s="16">
        <f t="shared" si="1"/>
        <v>22</v>
      </c>
      <c r="U22" s="78">
        <v>78</v>
      </c>
      <c r="V22" s="16">
        <f t="shared" si="2"/>
        <v>1716</v>
      </c>
      <c r="W22" s="78">
        <v>8</v>
      </c>
      <c r="X22" s="78" t="s">
        <v>35</v>
      </c>
      <c r="Y22" s="78" t="s">
        <v>43</v>
      </c>
      <c r="Z22" s="78" t="s">
        <v>36</v>
      </c>
      <c r="AA22" s="78" t="s">
        <v>82</v>
      </c>
      <c r="AB22" s="78" t="s">
        <v>178</v>
      </c>
      <c r="AP22" s="27" t="s">
        <v>258</v>
      </c>
      <c r="AR22" s="81" t="s">
        <v>69</v>
      </c>
    </row>
    <row r="23" spans="1:48" x14ac:dyDescent="0.15">
      <c r="A23" s="78" t="s">
        <v>44</v>
      </c>
      <c r="B23" s="78" t="s">
        <v>174</v>
      </c>
      <c r="C23" s="78">
        <v>2020</v>
      </c>
      <c r="D23" s="126" t="s">
        <v>418</v>
      </c>
      <c r="E23" s="78" t="s">
        <v>269</v>
      </c>
      <c r="F23" s="78" t="s">
        <v>270</v>
      </c>
      <c r="G23" s="78" t="s">
        <v>25</v>
      </c>
      <c r="H23" s="78" t="s">
        <v>167</v>
      </c>
      <c r="I23" s="78" t="s">
        <v>111</v>
      </c>
      <c r="J23" s="78" t="s">
        <v>27</v>
      </c>
      <c r="K23" s="78" t="s">
        <v>112</v>
      </c>
      <c r="L23" s="78">
        <v>1</v>
      </c>
      <c r="M23" s="128"/>
      <c r="N23" s="78">
        <v>6</v>
      </c>
      <c r="O23" s="78">
        <v>0.7</v>
      </c>
      <c r="P23" s="78">
        <v>0.75</v>
      </c>
      <c r="Q23" s="44">
        <f t="shared" si="0"/>
        <v>0.72499999999999998</v>
      </c>
      <c r="R23" s="78">
        <v>17.2</v>
      </c>
      <c r="S23" s="78">
        <v>118</v>
      </c>
      <c r="T23" s="16">
        <f t="shared" si="1"/>
        <v>30</v>
      </c>
      <c r="U23" s="78">
        <v>498</v>
      </c>
      <c r="V23" s="16">
        <f t="shared" si="2"/>
        <v>2490</v>
      </c>
      <c r="W23" s="78">
        <v>4</v>
      </c>
      <c r="X23" s="78" t="s">
        <v>35</v>
      </c>
      <c r="Y23" s="78" t="s">
        <v>43</v>
      </c>
      <c r="Z23" s="78" t="s">
        <v>36</v>
      </c>
      <c r="AA23" s="78" t="s">
        <v>82</v>
      </c>
      <c r="AB23" s="78" t="s">
        <v>178</v>
      </c>
      <c r="AP23" s="27" t="s">
        <v>277</v>
      </c>
      <c r="AR23" s="81" t="s">
        <v>48</v>
      </c>
    </row>
    <row r="24" spans="1:48" x14ac:dyDescent="0.15">
      <c r="A24" s="78" t="s">
        <v>44</v>
      </c>
      <c r="B24" s="78" t="s">
        <v>174</v>
      </c>
      <c r="C24" s="78">
        <v>2020</v>
      </c>
      <c r="D24" s="126" t="s">
        <v>418</v>
      </c>
      <c r="E24" s="78" t="s">
        <v>269</v>
      </c>
      <c r="F24" s="78" t="s">
        <v>270</v>
      </c>
      <c r="G24" s="78" t="s">
        <v>25</v>
      </c>
      <c r="H24" s="78" t="s">
        <v>167</v>
      </c>
      <c r="I24" s="78" t="s">
        <v>111</v>
      </c>
      <c r="J24" s="78" t="s">
        <v>27</v>
      </c>
      <c r="K24" s="78" t="s">
        <v>112</v>
      </c>
      <c r="L24" s="78">
        <v>2</v>
      </c>
      <c r="M24" s="128"/>
      <c r="N24" s="78">
        <v>6</v>
      </c>
      <c r="O24" s="78">
        <v>0.95</v>
      </c>
      <c r="P24" s="78">
        <v>0.75</v>
      </c>
      <c r="Q24" s="44">
        <f t="shared" si="0"/>
        <v>0.85</v>
      </c>
      <c r="R24" s="78">
        <v>17.600000000000001</v>
      </c>
      <c r="S24" s="78">
        <v>124</v>
      </c>
      <c r="T24" s="16">
        <f t="shared" si="1"/>
        <v>27</v>
      </c>
      <c r="U24" s="78">
        <v>498</v>
      </c>
      <c r="V24" s="16">
        <f t="shared" si="2"/>
        <v>2241</v>
      </c>
      <c r="W24" s="78">
        <v>4</v>
      </c>
      <c r="X24" s="78" t="s">
        <v>35</v>
      </c>
      <c r="Y24" s="78" t="s">
        <v>43</v>
      </c>
      <c r="Z24" s="78" t="s">
        <v>36</v>
      </c>
      <c r="AA24" s="78" t="s">
        <v>82</v>
      </c>
      <c r="AB24" s="78" t="s">
        <v>178</v>
      </c>
      <c r="AP24" s="27" t="s">
        <v>278</v>
      </c>
      <c r="AR24" s="81" t="s">
        <v>77</v>
      </c>
    </row>
    <row r="25" spans="1:48" x14ac:dyDescent="0.15">
      <c r="A25" s="78" t="s">
        <v>44</v>
      </c>
      <c r="B25" s="78" t="s">
        <v>174</v>
      </c>
      <c r="C25" s="78">
        <v>2020</v>
      </c>
      <c r="D25" s="126" t="s">
        <v>418</v>
      </c>
      <c r="E25" s="78" t="s">
        <v>269</v>
      </c>
      <c r="F25" s="78" t="s">
        <v>270</v>
      </c>
      <c r="G25" s="78" t="s">
        <v>25</v>
      </c>
      <c r="H25" s="78" t="s">
        <v>167</v>
      </c>
      <c r="I25" s="78" t="s">
        <v>111</v>
      </c>
      <c r="J25" s="78" t="s">
        <v>27</v>
      </c>
      <c r="K25" s="78" t="s">
        <v>112</v>
      </c>
      <c r="L25" s="78">
        <v>3</v>
      </c>
      <c r="M25" s="128"/>
      <c r="N25" s="78">
        <v>6</v>
      </c>
      <c r="O25" s="78">
        <v>0.9</v>
      </c>
      <c r="P25" s="78">
        <v>0.9</v>
      </c>
      <c r="Q25" s="44">
        <f t="shared" si="0"/>
        <v>0.9</v>
      </c>
      <c r="R25" s="78">
        <v>15.8</v>
      </c>
      <c r="S25" s="78">
        <v>118</v>
      </c>
      <c r="T25" s="16">
        <f t="shared" si="1"/>
        <v>30</v>
      </c>
      <c r="U25" s="78">
        <v>498</v>
      </c>
      <c r="V25" s="16">
        <f t="shared" si="2"/>
        <v>2490</v>
      </c>
      <c r="W25" s="78">
        <v>4</v>
      </c>
      <c r="X25" s="78" t="s">
        <v>35</v>
      </c>
      <c r="Y25" s="78" t="s">
        <v>43</v>
      </c>
      <c r="Z25" s="78" t="s">
        <v>36</v>
      </c>
      <c r="AA25" s="78" t="s">
        <v>82</v>
      </c>
      <c r="AB25" s="78" t="s">
        <v>178</v>
      </c>
      <c r="AP25" s="27" t="s">
        <v>279</v>
      </c>
      <c r="AR25" s="27" t="s">
        <v>40</v>
      </c>
    </row>
    <row r="26" spans="1:48" x14ac:dyDescent="0.15">
      <c r="A26" s="78" t="s">
        <v>44</v>
      </c>
      <c r="B26" s="78" t="s">
        <v>174</v>
      </c>
      <c r="C26" s="78">
        <v>2020</v>
      </c>
      <c r="D26" s="126" t="s">
        <v>418</v>
      </c>
      <c r="E26" s="78" t="s">
        <v>197</v>
      </c>
      <c r="F26" s="78" t="s">
        <v>266</v>
      </c>
      <c r="G26" s="78" t="s">
        <v>25</v>
      </c>
      <c r="H26" s="78" t="s">
        <v>113</v>
      </c>
      <c r="I26" s="78" t="s">
        <v>111</v>
      </c>
      <c r="J26" s="78" t="s">
        <v>27</v>
      </c>
      <c r="K26" s="78" t="s">
        <v>112</v>
      </c>
      <c r="L26" s="78">
        <v>1</v>
      </c>
      <c r="M26" s="128"/>
      <c r="N26" s="78">
        <v>1</v>
      </c>
      <c r="O26" s="78">
        <v>0.8</v>
      </c>
      <c r="P26" s="78">
        <v>0.8</v>
      </c>
      <c r="Q26" s="44">
        <f t="shared" si="0"/>
        <v>0.8</v>
      </c>
      <c r="R26" s="78">
        <v>11.2</v>
      </c>
      <c r="S26" s="78">
        <v>110</v>
      </c>
      <c r="T26" s="16">
        <f t="shared" si="1"/>
        <v>33</v>
      </c>
      <c r="U26" s="78">
        <v>98</v>
      </c>
      <c r="V26" s="16">
        <f t="shared" si="2"/>
        <v>3234</v>
      </c>
      <c r="W26" s="78">
        <v>4</v>
      </c>
      <c r="X26" s="78" t="s">
        <v>35</v>
      </c>
      <c r="Y26" s="78" t="s">
        <v>43</v>
      </c>
      <c r="Z26" s="78" t="s">
        <v>64</v>
      </c>
      <c r="AA26" s="78" t="s">
        <v>51</v>
      </c>
      <c r="AB26" s="78" t="s">
        <v>178</v>
      </c>
      <c r="AP26" s="27" t="s">
        <v>259</v>
      </c>
      <c r="AR26" s="78" t="s">
        <v>260</v>
      </c>
    </row>
    <row r="27" spans="1:48" x14ac:dyDescent="0.15">
      <c r="A27" s="78" t="s">
        <v>44</v>
      </c>
      <c r="B27" s="78" t="s">
        <v>174</v>
      </c>
      <c r="C27" s="78">
        <v>2020</v>
      </c>
      <c r="D27" s="126" t="s">
        <v>418</v>
      </c>
      <c r="E27" s="78" t="s">
        <v>197</v>
      </c>
      <c r="F27" s="78" t="s">
        <v>266</v>
      </c>
      <c r="G27" s="78" t="s">
        <v>25</v>
      </c>
      <c r="H27" s="78" t="s">
        <v>113</v>
      </c>
      <c r="I27" s="78" t="s">
        <v>111</v>
      </c>
      <c r="J27" s="78" t="s">
        <v>27</v>
      </c>
      <c r="K27" s="78" t="s">
        <v>112</v>
      </c>
      <c r="L27" s="78">
        <v>2</v>
      </c>
      <c r="M27" s="128"/>
      <c r="N27" s="78">
        <v>1</v>
      </c>
      <c r="O27" s="78">
        <v>0.85</v>
      </c>
      <c r="P27" s="78">
        <v>0.75</v>
      </c>
      <c r="Q27" s="44">
        <f t="shared" si="0"/>
        <v>0.8</v>
      </c>
      <c r="R27" s="78">
        <v>13.2</v>
      </c>
      <c r="S27" s="78">
        <v>106</v>
      </c>
      <c r="T27" s="16">
        <f t="shared" si="1"/>
        <v>33</v>
      </c>
      <c r="U27" s="78">
        <v>98</v>
      </c>
      <c r="V27" s="16">
        <f t="shared" si="2"/>
        <v>3234</v>
      </c>
      <c r="W27" s="78">
        <v>4</v>
      </c>
      <c r="X27" s="78" t="s">
        <v>35</v>
      </c>
      <c r="Y27" s="78" t="s">
        <v>43</v>
      </c>
      <c r="Z27" s="78" t="s">
        <v>64</v>
      </c>
      <c r="AA27" s="78" t="s">
        <v>51</v>
      </c>
      <c r="AB27" s="78" t="s">
        <v>178</v>
      </c>
      <c r="AP27" s="27" t="s">
        <v>261</v>
      </c>
    </row>
    <row r="28" spans="1:48" x14ac:dyDescent="0.15">
      <c r="A28" s="78" t="s">
        <v>44</v>
      </c>
      <c r="B28" s="78" t="s">
        <v>174</v>
      </c>
      <c r="C28" s="78">
        <v>2020</v>
      </c>
      <c r="D28" s="126" t="s">
        <v>418</v>
      </c>
      <c r="E28" s="78" t="s">
        <v>197</v>
      </c>
      <c r="F28" s="78" t="s">
        <v>266</v>
      </c>
      <c r="G28" s="78" t="s">
        <v>25</v>
      </c>
      <c r="H28" s="78" t="s">
        <v>113</v>
      </c>
      <c r="I28" s="78" t="s">
        <v>111</v>
      </c>
      <c r="J28" s="78" t="s">
        <v>27</v>
      </c>
      <c r="K28" s="78" t="s">
        <v>112</v>
      </c>
      <c r="L28" s="78">
        <v>3</v>
      </c>
      <c r="M28" s="128"/>
      <c r="N28" s="78">
        <v>1</v>
      </c>
      <c r="O28" s="78">
        <v>0.6</v>
      </c>
      <c r="P28" s="78">
        <v>0.75</v>
      </c>
      <c r="Q28" s="44">
        <f t="shared" si="0"/>
        <v>0.67500000000000004</v>
      </c>
      <c r="R28" s="78">
        <v>15.8</v>
      </c>
      <c r="S28" s="78">
        <v>112</v>
      </c>
      <c r="T28" s="16">
        <f t="shared" si="1"/>
        <v>33</v>
      </c>
      <c r="U28" s="78">
        <v>98</v>
      </c>
      <c r="V28" s="16">
        <f t="shared" si="2"/>
        <v>3234</v>
      </c>
      <c r="W28" s="78">
        <v>4</v>
      </c>
      <c r="X28" s="78" t="s">
        <v>35</v>
      </c>
      <c r="Y28" s="78" t="s">
        <v>43</v>
      </c>
      <c r="Z28" s="78" t="s">
        <v>64</v>
      </c>
      <c r="AA28" s="78" t="s">
        <v>51</v>
      </c>
      <c r="AB28" s="78" t="s">
        <v>178</v>
      </c>
    </row>
    <row r="29" spans="1:48" x14ac:dyDescent="0.15">
      <c r="A29" s="78" t="s">
        <v>44</v>
      </c>
      <c r="B29" s="78" t="s">
        <v>174</v>
      </c>
      <c r="C29" s="78">
        <v>2020</v>
      </c>
      <c r="D29" s="126" t="s">
        <v>418</v>
      </c>
      <c r="E29" s="78" t="s">
        <v>197</v>
      </c>
      <c r="F29" s="78" t="s">
        <v>266</v>
      </c>
      <c r="G29" s="78" t="s">
        <v>25</v>
      </c>
      <c r="H29" s="78" t="s">
        <v>113</v>
      </c>
      <c r="I29" s="78" t="s">
        <v>111</v>
      </c>
      <c r="J29" s="78" t="s">
        <v>27</v>
      </c>
      <c r="K29" s="78" t="s">
        <v>112</v>
      </c>
      <c r="L29" s="78">
        <v>1</v>
      </c>
      <c r="M29" s="128"/>
      <c r="N29" s="78">
        <v>5</v>
      </c>
      <c r="O29" s="78">
        <v>0.9</v>
      </c>
      <c r="P29" s="78">
        <v>0.9</v>
      </c>
      <c r="Q29" s="44">
        <f t="shared" si="0"/>
        <v>0.9</v>
      </c>
      <c r="R29" s="78">
        <v>15.1</v>
      </c>
      <c r="S29" s="78">
        <v>89</v>
      </c>
      <c r="T29" s="16">
        <f t="shared" si="1"/>
        <v>36</v>
      </c>
      <c r="U29" s="78">
        <v>298</v>
      </c>
      <c r="V29" s="16">
        <f t="shared" si="2"/>
        <v>2145.6</v>
      </c>
      <c r="W29" s="78">
        <v>1</v>
      </c>
      <c r="X29" s="78" t="s">
        <v>35</v>
      </c>
      <c r="Y29" s="78" t="s">
        <v>43</v>
      </c>
      <c r="Z29" s="78" t="s">
        <v>64</v>
      </c>
      <c r="AA29" s="78" t="s">
        <v>51</v>
      </c>
      <c r="AB29" s="78" t="s">
        <v>178</v>
      </c>
    </row>
    <row r="30" spans="1:48" x14ac:dyDescent="0.15">
      <c r="A30" s="78" t="s">
        <v>44</v>
      </c>
      <c r="B30" s="78" t="s">
        <v>174</v>
      </c>
      <c r="C30" s="78">
        <v>2020</v>
      </c>
      <c r="D30" s="126" t="s">
        <v>418</v>
      </c>
      <c r="E30" s="78" t="s">
        <v>197</v>
      </c>
      <c r="F30" s="78" t="s">
        <v>266</v>
      </c>
      <c r="G30" s="78" t="s">
        <v>25</v>
      </c>
      <c r="H30" s="78" t="s">
        <v>113</v>
      </c>
      <c r="I30" s="78" t="s">
        <v>111</v>
      </c>
      <c r="J30" s="78" t="s">
        <v>27</v>
      </c>
      <c r="K30" s="78" t="s">
        <v>112</v>
      </c>
      <c r="L30" s="78">
        <v>2</v>
      </c>
      <c r="M30" s="128"/>
      <c r="N30" s="78">
        <v>5</v>
      </c>
      <c r="O30" s="78">
        <v>0.95</v>
      </c>
      <c r="P30" s="78">
        <v>0.95</v>
      </c>
      <c r="Q30" s="44">
        <f t="shared" si="0"/>
        <v>0.95</v>
      </c>
      <c r="R30" s="78">
        <v>15.5</v>
      </c>
      <c r="S30" s="78">
        <v>84</v>
      </c>
      <c r="T30" s="16">
        <f t="shared" si="1"/>
        <v>36</v>
      </c>
      <c r="U30" s="78">
        <v>298</v>
      </c>
      <c r="V30" s="16">
        <f t="shared" si="2"/>
        <v>2145.6</v>
      </c>
      <c r="W30" s="78">
        <v>1</v>
      </c>
      <c r="X30" s="78" t="s">
        <v>35</v>
      </c>
      <c r="Y30" s="78" t="s">
        <v>43</v>
      </c>
      <c r="Z30" s="78" t="s">
        <v>64</v>
      </c>
      <c r="AA30" s="78" t="s">
        <v>51</v>
      </c>
      <c r="AB30" s="78" t="s">
        <v>178</v>
      </c>
    </row>
    <row r="31" spans="1:48" x14ac:dyDescent="0.15">
      <c r="A31" s="78" t="s">
        <v>44</v>
      </c>
      <c r="B31" s="78" t="s">
        <v>174</v>
      </c>
      <c r="C31" s="78">
        <v>2020</v>
      </c>
      <c r="D31" s="126" t="s">
        <v>418</v>
      </c>
      <c r="E31" s="78" t="s">
        <v>197</v>
      </c>
      <c r="F31" s="78" t="s">
        <v>266</v>
      </c>
      <c r="G31" s="78" t="s">
        <v>25</v>
      </c>
      <c r="H31" s="78" t="s">
        <v>113</v>
      </c>
      <c r="I31" s="78" t="s">
        <v>111</v>
      </c>
      <c r="J31" s="78" t="s">
        <v>27</v>
      </c>
      <c r="K31" s="78" t="s">
        <v>112</v>
      </c>
      <c r="L31" s="78">
        <v>3</v>
      </c>
      <c r="M31" s="128"/>
      <c r="N31" s="78">
        <v>5</v>
      </c>
      <c r="O31" s="78">
        <v>0.75</v>
      </c>
      <c r="P31" s="78">
        <v>0.75</v>
      </c>
      <c r="Q31" s="44">
        <f t="shared" si="0"/>
        <v>0.75</v>
      </c>
      <c r="R31" s="78">
        <v>14.7</v>
      </c>
      <c r="S31" s="78">
        <v>93</v>
      </c>
      <c r="T31" s="16">
        <f t="shared" si="1"/>
        <v>36</v>
      </c>
      <c r="U31" s="78">
        <v>298</v>
      </c>
      <c r="V31" s="16">
        <f t="shared" si="2"/>
        <v>2145.6</v>
      </c>
      <c r="W31" s="78">
        <v>1</v>
      </c>
      <c r="X31" s="78" t="s">
        <v>35</v>
      </c>
      <c r="Y31" s="78" t="s">
        <v>43</v>
      </c>
      <c r="Z31" s="78" t="s">
        <v>64</v>
      </c>
      <c r="AA31" s="78" t="s">
        <v>51</v>
      </c>
      <c r="AB31" s="78" t="s">
        <v>178</v>
      </c>
    </row>
    <row r="32" spans="1:48" x14ac:dyDescent="0.15">
      <c r="A32" s="78" t="s">
        <v>44</v>
      </c>
      <c r="B32" s="78" t="s">
        <v>174</v>
      </c>
      <c r="C32" s="78">
        <v>2020</v>
      </c>
      <c r="D32" s="126" t="s">
        <v>418</v>
      </c>
      <c r="E32" s="78" t="s">
        <v>197</v>
      </c>
      <c r="F32" s="78" t="s">
        <v>266</v>
      </c>
      <c r="G32" s="78" t="s">
        <v>25</v>
      </c>
      <c r="H32" s="78" t="s">
        <v>167</v>
      </c>
      <c r="I32" s="78" t="s">
        <v>111</v>
      </c>
      <c r="J32" s="78" t="s">
        <v>27</v>
      </c>
      <c r="K32" s="78" t="s">
        <v>112</v>
      </c>
      <c r="L32" s="78">
        <v>1</v>
      </c>
      <c r="M32" s="128"/>
      <c r="N32" s="78">
        <v>1</v>
      </c>
      <c r="O32" s="78">
        <v>0.6</v>
      </c>
      <c r="P32" s="78">
        <v>0.7</v>
      </c>
      <c r="Q32" s="44">
        <f t="shared" si="0"/>
        <v>0.64999999999999991</v>
      </c>
      <c r="R32" s="78">
        <v>17.5</v>
      </c>
      <c r="S32" s="78">
        <v>111</v>
      </c>
      <c r="T32" s="16">
        <f t="shared" si="1"/>
        <v>33</v>
      </c>
      <c r="U32" s="78">
        <v>128</v>
      </c>
      <c r="V32" s="16">
        <f t="shared" si="2"/>
        <v>4224</v>
      </c>
      <c r="W32" s="78">
        <v>2</v>
      </c>
      <c r="X32" s="78" t="s">
        <v>35</v>
      </c>
      <c r="Y32" s="78" t="s">
        <v>43</v>
      </c>
      <c r="Z32" s="78" t="s">
        <v>64</v>
      </c>
      <c r="AA32" s="78" t="s">
        <v>51</v>
      </c>
      <c r="AB32" s="78" t="s">
        <v>178</v>
      </c>
    </row>
    <row r="33" spans="1:28" x14ac:dyDescent="0.15">
      <c r="A33" s="78" t="s">
        <v>44</v>
      </c>
      <c r="B33" s="78" t="s">
        <v>174</v>
      </c>
      <c r="C33" s="78">
        <v>2020</v>
      </c>
      <c r="D33" s="126" t="s">
        <v>418</v>
      </c>
      <c r="E33" s="78" t="s">
        <v>197</v>
      </c>
      <c r="F33" s="78" t="s">
        <v>266</v>
      </c>
      <c r="G33" s="78" t="s">
        <v>25</v>
      </c>
      <c r="H33" s="78" t="s">
        <v>167</v>
      </c>
      <c r="I33" s="78" t="s">
        <v>111</v>
      </c>
      <c r="J33" s="78" t="s">
        <v>27</v>
      </c>
      <c r="K33" s="78" t="s">
        <v>112</v>
      </c>
      <c r="L33" s="78">
        <v>2</v>
      </c>
      <c r="M33" s="128"/>
      <c r="N33" s="78">
        <v>1</v>
      </c>
      <c r="O33" s="78">
        <v>0.9</v>
      </c>
      <c r="P33" s="78">
        <v>0.9</v>
      </c>
      <c r="Q33" s="44">
        <f t="shared" si="0"/>
        <v>0.9</v>
      </c>
      <c r="R33" s="78">
        <v>15.5</v>
      </c>
      <c r="S33" s="78">
        <v>113</v>
      </c>
      <c r="T33" s="16">
        <f t="shared" si="1"/>
        <v>30</v>
      </c>
      <c r="U33" s="78">
        <v>128</v>
      </c>
      <c r="V33" s="16">
        <f t="shared" si="2"/>
        <v>3840</v>
      </c>
      <c r="W33" s="78">
        <v>2</v>
      </c>
      <c r="X33" s="78" t="s">
        <v>35</v>
      </c>
      <c r="Y33" s="78" t="s">
        <v>43</v>
      </c>
      <c r="Z33" s="78" t="s">
        <v>64</v>
      </c>
      <c r="AA33" s="78" t="s">
        <v>51</v>
      </c>
      <c r="AB33" s="78" t="s">
        <v>178</v>
      </c>
    </row>
    <row r="34" spans="1:28" x14ac:dyDescent="0.15">
      <c r="A34" s="78" t="s">
        <v>44</v>
      </c>
      <c r="B34" s="78" t="s">
        <v>174</v>
      </c>
      <c r="C34" s="78">
        <v>2020</v>
      </c>
      <c r="D34" s="126" t="s">
        <v>418</v>
      </c>
      <c r="E34" s="78" t="s">
        <v>197</v>
      </c>
      <c r="F34" s="78" t="s">
        <v>266</v>
      </c>
      <c r="G34" s="78" t="s">
        <v>25</v>
      </c>
      <c r="H34" s="78" t="s">
        <v>167</v>
      </c>
      <c r="I34" s="78" t="s">
        <v>111</v>
      </c>
      <c r="J34" s="78" t="s">
        <v>27</v>
      </c>
      <c r="K34" s="78" t="s">
        <v>112</v>
      </c>
      <c r="L34" s="78">
        <v>3</v>
      </c>
      <c r="M34" s="128"/>
      <c r="N34" s="78">
        <v>1</v>
      </c>
      <c r="O34" s="78">
        <v>0.5</v>
      </c>
      <c r="P34" s="78">
        <v>0.5</v>
      </c>
      <c r="Q34" s="44">
        <f t="shared" si="0"/>
        <v>0.5</v>
      </c>
      <c r="R34" s="78">
        <v>17</v>
      </c>
      <c r="S34" s="78">
        <v>107</v>
      </c>
      <c r="T34" s="16">
        <f t="shared" si="1"/>
        <v>33</v>
      </c>
      <c r="U34" s="78">
        <v>128</v>
      </c>
      <c r="V34" s="16">
        <f t="shared" si="2"/>
        <v>4224</v>
      </c>
      <c r="W34" s="78">
        <v>2</v>
      </c>
      <c r="X34" s="78" t="s">
        <v>35</v>
      </c>
      <c r="Y34" s="78" t="s">
        <v>43</v>
      </c>
      <c r="Z34" s="78" t="s">
        <v>64</v>
      </c>
      <c r="AA34" s="78" t="s">
        <v>51</v>
      </c>
      <c r="AB34" s="78" t="s">
        <v>178</v>
      </c>
    </row>
    <row r="35" spans="1:28" x14ac:dyDescent="0.15">
      <c r="A35" s="78" t="s">
        <v>44</v>
      </c>
      <c r="B35" s="78" t="s">
        <v>174</v>
      </c>
      <c r="C35" s="78">
        <v>2020</v>
      </c>
      <c r="D35" s="126" t="s">
        <v>418</v>
      </c>
      <c r="E35" s="78" t="s">
        <v>197</v>
      </c>
      <c r="F35" s="78" t="s">
        <v>266</v>
      </c>
      <c r="G35" s="78" t="s">
        <v>25</v>
      </c>
      <c r="H35" s="78" t="s">
        <v>167</v>
      </c>
      <c r="I35" s="78" t="s">
        <v>111</v>
      </c>
      <c r="J35" s="78" t="s">
        <v>27</v>
      </c>
      <c r="K35" s="78" t="s">
        <v>112</v>
      </c>
      <c r="L35" s="78">
        <v>1</v>
      </c>
      <c r="M35" s="128"/>
      <c r="N35" s="78">
        <v>4</v>
      </c>
      <c r="O35" s="78">
        <v>0.5</v>
      </c>
      <c r="P35" s="78">
        <v>0.5</v>
      </c>
      <c r="Q35" s="44">
        <f t="shared" si="0"/>
        <v>0.5</v>
      </c>
      <c r="R35" s="78">
        <v>14.9</v>
      </c>
      <c r="S35" s="78">
        <v>85</v>
      </c>
      <c r="T35" s="16">
        <f t="shared" si="1"/>
        <v>36</v>
      </c>
      <c r="U35" s="78">
        <v>498</v>
      </c>
      <c r="V35" s="16">
        <f t="shared" si="2"/>
        <v>4482</v>
      </c>
      <c r="W35" s="78">
        <v>1</v>
      </c>
      <c r="X35" s="78" t="s">
        <v>35</v>
      </c>
      <c r="Y35" s="78" t="s">
        <v>43</v>
      </c>
      <c r="Z35" s="78" t="s">
        <v>64</v>
      </c>
      <c r="AA35" s="78" t="s">
        <v>51</v>
      </c>
      <c r="AB35" s="78" t="s">
        <v>178</v>
      </c>
    </row>
    <row r="36" spans="1:28" x14ac:dyDescent="0.15">
      <c r="A36" s="78" t="s">
        <v>44</v>
      </c>
      <c r="B36" s="78" t="s">
        <v>174</v>
      </c>
      <c r="C36" s="78">
        <v>2020</v>
      </c>
      <c r="D36" s="126" t="s">
        <v>418</v>
      </c>
      <c r="E36" s="78" t="s">
        <v>197</v>
      </c>
      <c r="F36" s="78" t="s">
        <v>266</v>
      </c>
      <c r="G36" s="78" t="s">
        <v>25</v>
      </c>
      <c r="H36" s="78" t="s">
        <v>167</v>
      </c>
      <c r="I36" s="78" t="s">
        <v>111</v>
      </c>
      <c r="J36" s="78" t="s">
        <v>27</v>
      </c>
      <c r="K36" s="78" t="s">
        <v>112</v>
      </c>
      <c r="L36" s="78">
        <v>2</v>
      </c>
      <c r="M36" s="128"/>
      <c r="N36" s="78">
        <v>4</v>
      </c>
      <c r="O36" s="78">
        <v>0.6</v>
      </c>
      <c r="P36" s="78">
        <v>0.6</v>
      </c>
      <c r="Q36" s="44">
        <f t="shared" si="0"/>
        <v>0.6</v>
      </c>
      <c r="R36" s="78">
        <v>12.4</v>
      </c>
      <c r="S36" s="78">
        <v>96</v>
      </c>
      <c r="T36" s="16">
        <f t="shared" si="1"/>
        <v>36</v>
      </c>
      <c r="U36" s="78">
        <v>498</v>
      </c>
      <c r="V36" s="16">
        <f t="shared" si="2"/>
        <v>4482</v>
      </c>
      <c r="W36" s="78">
        <v>1</v>
      </c>
      <c r="X36" s="78" t="s">
        <v>35</v>
      </c>
      <c r="Y36" s="78" t="s">
        <v>43</v>
      </c>
      <c r="Z36" s="78" t="s">
        <v>64</v>
      </c>
      <c r="AA36" s="78" t="s">
        <v>51</v>
      </c>
      <c r="AB36" s="78" t="s">
        <v>178</v>
      </c>
    </row>
    <row r="37" spans="1:28" x14ac:dyDescent="0.15">
      <c r="A37" s="78" t="s">
        <v>44</v>
      </c>
      <c r="B37" s="78" t="s">
        <v>174</v>
      </c>
      <c r="C37" s="78">
        <v>2020</v>
      </c>
      <c r="D37" s="126" t="s">
        <v>418</v>
      </c>
      <c r="E37" s="78" t="s">
        <v>197</v>
      </c>
      <c r="F37" s="78" t="s">
        <v>266</v>
      </c>
      <c r="G37" s="78" t="s">
        <v>25</v>
      </c>
      <c r="H37" s="78" t="s">
        <v>167</v>
      </c>
      <c r="I37" s="78" t="s">
        <v>111</v>
      </c>
      <c r="J37" s="78" t="s">
        <v>27</v>
      </c>
      <c r="K37" s="78" t="s">
        <v>112</v>
      </c>
      <c r="L37" s="78">
        <v>3</v>
      </c>
      <c r="M37" s="128"/>
      <c r="N37" s="78">
        <v>4</v>
      </c>
      <c r="O37" s="78">
        <v>0.6</v>
      </c>
      <c r="P37" s="78">
        <v>0.65</v>
      </c>
      <c r="Q37" s="44">
        <f t="shared" si="0"/>
        <v>0.625</v>
      </c>
      <c r="R37" s="78">
        <v>16.399999999999999</v>
      </c>
      <c r="S37" s="78">
        <v>85</v>
      </c>
      <c r="T37" s="16">
        <f t="shared" si="1"/>
        <v>36</v>
      </c>
      <c r="U37" s="78">
        <v>498</v>
      </c>
      <c r="V37" s="16">
        <f t="shared" si="2"/>
        <v>4482</v>
      </c>
      <c r="W37" s="78">
        <v>1</v>
      </c>
      <c r="X37" s="78" t="s">
        <v>35</v>
      </c>
      <c r="Y37" s="78" t="s">
        <v>43</v>
      </c>
      <c r="Z37" s="78" t="s">
        <v>64</v>
      </c>
      <c r="AA37" s="78" t="s">
        <v>51</v>
      </c>
      <c r="AB37" s="78" t="s">
        <v>178</v>
      </c>
    </row>
    <row r="38" spans="1:28" x14ac:dyDescent="0.15">
      <c r="A38" s="78" t="s">
        <v>44</v>
      </c>
      <c r="B38" s="78" t="s">
        <v>174</v>
      </c>
      <c r="C38" s="78">
        <v>2020</v>
      </c>
      <c r="D38" s="126" t="s">
        <v>418</v>
      </c>
      <c r="E38" s="78" t="s">
        <v>197</v>
      </c>
      <c r="F38" s="78" t="s">
        <v>266</v>
      </c>
      <c r="G38" s="78" t="s">
        <v>25</v>
      </c>
      <c r="H38" s="78" t="s">
        <v>167</v>
      </c>
      <c r="I38" s="78" t="s">
        <v>111</v>
      </c>
      <c r="J38" s="78" t="s">
        <v>27</v>
      </c>
      <c r="K38" s="78" t="s">
        <v>112</v>
      </c>
      <c r="L38" s="78">
        <v>1</v>
      </c>
      <c r="M38" s="128"/>
      <c r="N38" s="78">
        <v>8</v>
      </c>
      <c r="O38" s="78">
        <v>0.7</v>
      </c>
      <c r="P38" s="78">
        <v>0.8</v>
      </c>
      <c r="Q38" s="44">
        <f t="shared" si="0"/>
        <v>0.75</v>
      </c>
      <c r="R38" s="78">
        <v>16.100000000000001</v>
      </c>
      <c r="S38" s="78">
        <v>96</v>
      </c>
      <c r="T38" s="16">
        <f t="shared" si="1"/>
        <v>36</v>
      </c>
      <c r="U38" s="78">
        <v>980</v>
      </c>
      <c r="V38" s="16">
        <f t="shared" si="2"/>
        <v>4410</v>
      </c>
      <c r="W38" s="78">
        <v>2</v>
      </c>
      <c r="X38" s="78" t="s">
        <v>35</v>
      </c>
      <c r="Y38" s="78" t="s">
        <v>43</v>
      </c>
      <c r="Z38" s="78" t="s">
        <v>64</v>
      </c>
      <c r="AA38" s="78" t="s">
        <v>51</v>
      </c>
      <c r="AB38" s="78" t="s">
        <v>178</v>
      </c>
    </row>
    <row r="39" spans="1:28" x14ac:dyDescent="0.15">
      <c r="A39" s="78" t="s">
        <v>44</v>
      </c>
      <c r="B39" s="78" t="s">
        <v>174</v>
      </c>
      <c r="C39" s="78">
        <v>2020</v>
      </c>
      <c r="D39" s="126" t="s">
        <v>418</v>
      </c>
      <c r="E39" s="78" t="s">
        <v>197</v>
      </c>
      <c r="F39" s="78" t="s">
        <v>266</v>
      </c>
      <c r="G39" s="78" t="s">
        <v>25</v>
      </c>
      <c r="H39" s="78" t="s">
        <v>167</v>
      </c>
      <c r="I39" s="78" t="s">
        <v>111</v>
      </c>
      <c r="J39" s="78" t="s">
        <v>27</v>
      </c>
      <c r="K39" s="78" t="s">
        <v>112</v>
      </c>
      <c r="L39" s="78">
        <v>2</v>
      </c>
      <c r="M39" s="128"/>
      <c r="N39" s="78">
        <v>8</v>
      </c>
      <c r="O39" s="78">
        <v>0.75</v>
      </c>
      <c r="P39" s="78">
        <v>0.7</v>
      </c>
      <c r="Q39" s="44">
        <f t="shared" si="0"/>
        <v>0.72499999999999998</v>
      </c>
      <c r="R39" s="78">
        <v>18.100000000000001</v>
      </c>
      <c r="S39" s="78">
        <v>99</v>
      </c>
      <c r="T39" s="16">
        <f t="shared" si="1"/>
        <v>33</v>
      </c>
      <c r="U39" s="78">
        <v>980</v>
      </c>
      <c r="V39" s="16">
        <f t="shared" si="2"/>
        <v>4042.5</v>
      </c>
      <c r="W39" s="78">
        <v>2</v>
      </c>
      <c r="X39" s="78" t="s">
        <v>35</v>
      </c>
      <c r="Y39" s="78" t="s">
        <v>43</v>
      </c>
      <c r="Z39" s="78" t="s">
        <v>64</v>
      </c>
      <c r="AA39" s="78" t="s">
        <v>51</v>
      </c>
      <c r="AB39" s="78" t="s">
        <v>178</v>
      </c>
    </row>
    <row r="40" spans="1:28" x14ac:dyDescent="0.15">
      <c r="A40" s="78" t="s">
        <v>44</v>
      </c>
      <c r="B40" s="78" t="s">
        <v>174</v>
      </c>
      <c r="C40" s="78">
        <v>2020</v>
      </c>
      <c r="D40" s="126" t="s">
        <v>418</v>
      </c>
      <c r="E40" s="78" t="s">
        <v>197</v>
      </c>
      <c r="F40" s="78" t="s">
        <v>266</v>
      </c>
      <c r="G40" s="78" t="s">
        <v>25</v>
      </c>
      <c r="H40" s="78" t="s">
        <v>167</v>
      </c>
      <c r="I40" s="78" t="s">
        <v>111</v>
      </c>
      <c r="J40" s="78" t="s">
        <v>27</v>
      </c>
      <c r="K40" s="78" t="s">
        <v>112</v>
      </c>
      <c r="L40" s="78">
        <v>3</v>
      </c>
      <c r="M40" s="128"/>
      <c r="N40" s="78">
        <v>8</v>
      </c>
      <c r="O40" s="78">
        <v>0.85</v>
      </c>
      <c r="P40" s="78">
        <v>0.85</v>
      </c>
      <c r="Q40" s="44">
        <f t="shared" si="0"/>
        <v>0.85</v>
      </c>
      <c r="R40" s="78">
        <v>14.9</v>
      </c>
      <c r="S40" s="78">
        <v>102</v>
      </c>
      <c r="T40" s="16">
        <f t="shared" si="1"/>
        <v>33</v>
      </c>
      <c r="U40" s="78">
        <v>980</v>
      </c>
      <c r="V40" s="16">
        <f t="shared" si="2"/>
        <v>4042.5</v>
      </c>
      <c r="W40" s="78">
        <v>2</v>
      </c>
      <c r="X40" s="78" t="s">
        <v>35</v>
      </c>
      <c r="Y40" s="78" t="s">
        <v>43</v>
      </c>
      <c r="Z40" s="78" t="s">
        <v>64</v>
      </c>
      <c r="AA40" s="78" t="s">
        <v>51</v>
      </c>
      <c r="AB40" s="78" t="s">
        <v>178</v>
      </c>
    </row>
    <row r="41" spans="1:28" x14ac:dyDescent="0.15">
      <c r="A41" s="78" t="s">
        <v>44</v>
      </c>
      <c r="B41" s="78" t="s">
        <v>174</v>
      </c>
      <c r="C41" s="78">
        <v>2020</v>
      </c>
      <c r="D41" s="126" t="s">
        <v>418</v>
      </c>
      <c r="E41" s="78" t="s">
        <v>271</v>
      </c>
      <c r="F41" s="78" t="s">
        <v>272</v>
      </c>
      <c r="G41" s="78" t="s">
        <v>25</v>
      </c>
      <c r="H41" s="78" t="s">
        <v>113</v>
      </c>
      <c r="I41" s="78" t="s">
        <v>111</v>
      </c>
      <c r="J41" s="78" t="s">
        <v>27</v>
      </c>
      <c r="K41" s="78" t="s">
        <v>112</v>
      </c>
      <c r="L41" s="78">
        <v>1</v>
      </c>
      <c r="M41" s="128"/>
      <c r="N41" s="78">
        <v>1</v>
      </c>
      <c r="O41" s="78">
        <v>0.65</v>
      </c>
      <c r="P41" s="78">
        <v>0.65</v>
      </c>
      <c r="Q41" s="44">
        <f t="shared" si="0"/>
        <v>0.65</v>
      </c>
      <c r="R41" s="78">
        <v>16.8</v>
      </c>
      <c r="S41" s="78">
        <v>119</v>
      </c>
      <c r="T41" s="16">
        <f t="shared" si="1"/>
        <v>30</v>
      </c>
      <c r="U41" s="78">
        <v>98</v>
      </c>
      <c r="V41" s="16">
        <f t="shared" si="2"/>
        <v>2940</v>
      </c>
      <c r="W41" s="78">
        <v>4</v>
      </c>
      <c r="X41" s="78" t="s">
        <v>35</v>
      </c>
      <c r="Y41" s="78" t="s">
        <v>43</v>
      </c>
      <c r="Z41" s="78" t="s">
        <v>72</v>
      </c>
      <c r="AA41" s="78" t="s">
        <v>82</v>
      </c>
      <c r="AB41" s="78" t="s">
        <v>178</v>
      </c>
    </row>
    <row r="42" spans="1:28" x14ac:dyDescent="0.15">
      <c r="A42" s="78" t="s">
        <v>44</v>
      </c>
      <c r="B42" s="78" t="s">
        <v>174</v>
      </c>
      <c r="C42" s="78">
        <v>2020</v>
      </c>
      <c r="D42" s="126" t="s">
        <v>418</v>
      </c>
      <c r="E42" s="78" t="s">
        <v>271</v>
      </c>
      <c r="F42" s="78" t="s">
        <v>272</v>
      </c>
      <c r="G42" s="78" t="s">
        <v>25</v>
      </c>
      <c r="H42" s="78" t="s">
        <v>113</v>
      </c>
      <c r="I42" s="78" t="s">
        <v>111</v>
      </c>
      <c r="J42" s="78" t="s">
        <v>27</v>
      </c>
      <c r="K42" s="78" t="s">
        <v>112</v>
      </c>
      <c r="L42" s="78">
        <v>2</v>
      </c>
      <c r="M42" s="128"/>
      <c r="N42" s="78">
        <v>1</v>
      </c>
      <c r="O42" s="78">
        <v>0.6</v>
      </c>
      <c r="P42" s="78">
        <v>0.55000000000000004</v>
      </c>
      <c r="Q42" s="44">
        <f t="shared" si="0"/>
        <v>0.57499999999999996</v>
      </c>
      <c r="R42" s="78">
        <v>13.3</v>
      </c>
      <c r="S42" s="78">
        <v>124</v>
      </c>
      <c r="T42" s="16">
        <f t="shared" si="1"/>
        <v>27</v>
      </c>
      <c r="U42" s="78">
        <v>98</v>
      </c>
      <c r="V42" s="16">
        <f t="shared" si="2"/>
        <v>2646</v>
      </c>
      <c r="W42" s="78">
        <v>4</v>
      </c>
      <c r="X42" s="78" t="s">
        <v>35</v>
      </c>
      <c r="Y42" s="78" t="s">
        <v>43</v>
      </c>
      <c r="Z42" s="78" t="s">
        <v>72</v>
      </c>
      <c r="AA42" s="78" t="s">
        <v>82</v>
      </c>
      <c r="AB42" s="78" t="s">
        <v>178</v>
      </c>
    </row>
    <row r="43" spans="1:28" x14ac:dyDescent="0.15">
      <c r="A43" s="78" t="s">
        <v>44</v>
      </c>
      <c r="B43" s="78" t="s">
        <v>174</v>
      </c>
      <c r="C43" s="78">
        <v>2020</v>
      </c>
      <c r="D43" s="126" t="s">
        <v>418</v>
      </c>
      <c r="E43" s="78" t="s">
        <v>271</v>
      </c>
      <c r="F43" s="78" t="s">
        <v>272</v>
      </c>
      <c r="G43" s="78" t="s">
        <v>25</v>
      </c>
      <c r="H43" s="78" t="s">
        <v>113</v>
      </c>
      <c r="I43" s="78" t="s">
        <v>111</v>
      </c>
      <c r="J43" s="78" t="s">
        <v>27</v>
      </c>
      <c r="K43" s="78" t="s">
        <v>112</v>
      </c>
      <c r="L43" s="78">
        <v>3</v>
      </c>
      <c r="M43" s="128"/>
      <c r="N43" s="78">
        <v>1</v>
      </c>
      <c r="O43" s="78">
        <v>0.7</v>
      </c>
      <c r="P43" s="78">
        <v>0.75</v>
      </c>
      <c r="Q43" s="44">
        <f t="shared" si="0"/>
        <v>0.72499999999999998</v>
      </c>
      <c r="R43" s="78">
        <v>12.8</v>
      </c>
      <c r="S43" s="78">
        <v>116</v>
      </c>
      <c r="T43" s="16">
        <f t="shared" si="1"/>
        <v>30</v>
      </c>
      <c r="U43" s="78">
        <v>98</v>
      </c>
      <c r="V43" s="16">
        <f t="shared" si="2"/>
        <v>2940</v>
      </c>
      <c r="W43" s="78">
        <v>4</v>
      </c>
      <c r="X43" s="78" t="s">
        <v>35</v>
      </c>
      <c r="Y43" s="78" t="s">
        <v>43</v>
      </c>
      <c r="Z43" s="78" t="s">
        <v>72</v>
      </c>
      <c r="AA43" s="78" t="s">
        <v>82</v>
      </c>
      <c r="AB43" s="78" t="s">
        <v>178</v>
      </c>
    </row>
    <row r="44" spans="1:28" x14ac:dyDescent="0.15">
      <c r="A44" s="78" t="s">
        <v>44</v>
      </c>
      <c r="B44" s="78" t="s">
        <v>174</v>
      </c>
      <c r="C44" s="78">
        <v>2020</v>
      </c>
      <c r="D44" s="126" t="s">
        <v>418</v>
      </c>
      <c r="E44" s="78" t="s">
        <v>271</v>
      </c>
      <c r="F44" s="78" t="s">
        <v>272</v>
      </c>
      <c r="G44" s="78" t="s">
        <v>25</v>
      </c>
      <c r="H44" s="78" t="s">
        <v>113</v>
      </c>
      <c r="I44" s="78" t="s">
        <v>111</v>
      </c>
      <c r="J44" s="78" t="s">
        <v>27</v>
      </c>
      <c r="K44" s="78" t="s">
        <v>112</v>
      </c>
      <c r="L44" s="78">
        <v>1</v>
      </c>
      <c r="M44" s="128"/>
      <c r="N44" s="78">
        <v>5</v>
      </c>
      <c r="O44" s="78">
        <v>0.7</v>
      </c>
      <c r="P44" s="78">
        <v>0.7</v>
      </c>
      <c r="Q44" s="44">
        <f t="shared" si="0"/>
        <v>0.7</v>
      </c>
      <c r="R44" s="78">
        <v>12</v>
      </c>
      <c r="S44" s="78">
        <v>96</v>
      </c>
      <c r="T44" s="16">
        <f t="shared" si="1"/>
        <v>36</v>
      </c>
      <c r="U44" s="78">
        <v>398</v>
      </c>
      <c r="V44" s="16">
        <f t="shared" si="2"/>
        <v>2865.6</v>
      </c>
      <c r="W44" s="78">
        <v>2</v>
      </c>
      <c r="X44" s="78" t="s">
        <v>35</v>
      </c>
      <c r="Y44" s="78" t="s">
        <v>43</v>
      </c>
      <c r="Z44" s="78" t="s">
        <v>72</v>
      </c>
      <c r="AA44" s="78" t="s">
        <v>82</v>
      </c>
      <c r="AB44" s="78" t="s">
        <v>178</v>
      </c>
    </row>
    <row r="45" spans="1:28" x14ac:dyDescent="0.15">
      <c r="A45" s="78" t="s">
        <v>44</v>
      </c>
      <c r="B45" s="78" t="s">
        <v>174</v>
      </c>
      <c r="C45" s="78">
        <v>2020</v>
      </c>
      <c r="D45" s="126" t="s">
        <v>418</v>
      </c>
      <c r="E45" s="78" t="s">
        <v>271</v>
      </c>
      <c r="F45" s="78" t="s">
        <v>272</v>
      </c>
      <c r="G45" s="78" t="s">
        <v>25</v>
      </c>
      <c r="H45" s="78" t="s">
        <v>113</v>
      </c>
      <c r="I45" s="78" t="s">
        <v>111</v>
      </c>
      <c r="J45" s="78" t="s">
        <v>27</v>
      </c>
      <c r="K45" s="78" t="s">
        <v>112</v>
      </c>
      <c r="L45" s="78">
        <v>2</v>
      </c>
      <c r="M45" s="128"/>
      <c r="N45" s="78">
        <v>5</v>
      </c>
      <c r="O45" s="78">
        <v>0.7</v>
      </c>
      <c r="P45" s="78">
        <v>0.7</v>
      </c>
      <c r="Q45" s="44">
        <f t="shared" si="0"/>
        <v>0.7</v>
      </c>
      <c r="R45" s="78">
        <v>13.2</v>
      </c>
      <c r="S45" s="78">
        <v>89</v>
      </c>
      <c r="T45" s="16">
        <f t="shared" si="1"/>
        <v>36</v>
      </c>
      <c r="U45" s="78">
        <v>398</v>
      </c>
      <c r="V45" s="16">
        <f t="shared" si="2"/>
        <v>2865.6</v>
      </c>
      <c r="W45" s="78">
        <v>2</v>
      </c>
      <c r="X45" s="78" t="s">
        <v>35</v>
      </c>
      <c r="Y45" s="78" t="s">
        <v>43</v>
      </c>
      <c r="Z45" s="78" t="s">
        <v>72</v>
      </c>
      <c r="AA45" s="78" t="s">
        <v>82</v>
      </c>
      <c r="AB45" s="78" t="s">
        <v>178</v>
      </c>
    </row>
    <row r="46" spans="1:28" x14ac:dyDescent="0.15">
      <c r="A46" s="78" t="s">
        <v>44</v>
      </c>
      <c r="B46" s="78" t="s">
        <v>174</v>
      </c>
      <c r="C46" s="78">
        <v>2020</v>
      </c>
      <c r="D46" s="126" t="s">
        <v>418</v>
      </c>
      <c r="E46" s="78" t="s">
        <v>271</v>
      </c>
      <c r="F46" s="78" t="s">
        <v>272</v>
      </c>
      <c r="G46" s="78" t="s">
        <v>25</v>
      </c>
      <c r="H46" s="78" t="s">
        <v>113</v>
      </c>
      <c r="I46" s="78" t="s">
        <v>111</v>
      </c>
      <c r="J46" s="78" t="s">
        <v>27</v>
      </c>
      <c r="K46" s="78" t="s">
        <v>112</v>
      </c>
      <c r="L46" s="78">
        <v>3</v>
      </c>
      <c r="M46" s="128"/>
      <c r="N46" s="78">
        <v>5</v>
      </c>
      <c r="O46" s="78">
        <v>0.7</v>
      </c>
      <c r="P46" s="78">
        <v>0.7</v>
      </c>
      <c r="Q46" s="44">
        <f t="shared" si="0"/>
        <v>0.7</v>
      </c>
      <c r="R46" s="78">
        <v>13</v>
      </c>
      <c r="S46" s="78">
        <v>98</v>
      </c>
      <c r="T46" s="16">
        <f t="shared" si="1"/>
        <v>36</v>
      </c>
      <c r="U46" s="78">
        <v>398</v>
      </c>
      <c r="V46" s="16">
        <f t="shared" si="2"/>
        <v>2865.6</v>
      </c>
      <c r="W46" s="78">
        <v>2</v>
      </c>
      <c r="X46" s="78" t="s">
        <v>35</v>
      </c>
      <c r="Y46" s="78" t="s">
        <v>43</v>
      </c>
      <c r="Z46" s="78" t="s">
        <v>72</v>
      </c>
      <c r="AA46" s="78" t="s">
        <v>82</v>
      </c>
      <c r="AB46" s="78" t="s">
        <v>178</v>
      </c>
    </row>
    <row r="47" spans="1:28" x14ac:dyDescent="0.15">
      <c r="A47" s="78" t="s">
        <v>44</v>
      </c>
      <c r="B47" s="78" t="s">
        <v>174</v>
      </c>
      <c r="C47" s="78">
        <v>2020</v>
      </c>
      <c r="D47" s="126" t="s">
        <v>418</v>
      </c>
      <c r="E47" s="78" t="s">
        <v>271</v>
      </c>
      <c r="F47" s="78" t="s">
        <v>272</v>
      </c>
      <c r="G47" s="78" t="s">
        <v>25</v>
      </c>
      <c r="H47" s="78" t="s">
        <v>167</v>
      </c>
      <c r="I47" s="78" t="s">
        <v>111</v>
      </c>
      <c r="J47" s="78" t="s">
        <v>27</v>
      </c>
      <c r="K47" s="78" t="s">
        <v>112</v>
      </c>
      <c r="L47" s="78">
        <v>1</v>
      </c>
      <c r="M47" s="128"/>
      <c r="N47" s="78">
        <v>1</v>
      </c>
      <c r="O47" s="78">
        <v>0.85</v>
      </c>
      <c r="P47" s="78">
        <v>0.85</v>
      </c>
      <c r="Q47" s="44">
        <f t="shared" si="0"/>
        <v>0.85</v>
      </c>
      <c r="R47" s="78">
        <v>15.5</v>
      </c>
      <c r="S47" s="78">
        <v>122</v>
      </c>
      <c r="T47" s="16">
        <f t="shared" si="1"/>
        <v>27</v>
      </c>
      <c r="U47" s="78">
        <v>128</v>
      </c>
      <c r="V47" s="16">
        <f t="shared" si="2"/>
        <v>3456</v>
      </c>
      <c r="W47" s="78">
        <v>6</v>
      </c>
      <c r="X47" s="78" t="s">
        <v>35</v>
      </c>
      <c r="Y47" s="78" t="s">
        <v>43</v>
      </c>
      <c r="Z47" s="78" t="s">
        <v>72</v>
      </c>
      <c r="AA47" s="78" t="s">
        <v>82</v>
      </c>
      <c r="AB47" s="78" t="s">
        <v>178</v>
      </c>
    </row>
    <row r="48" spans="1:28" x14ac:dyDescent="0.15">
      <c r="A48" s="78" t="s">
        <v>44</v>
      </c>
      <c r="B48" s="78" t="s">
        <v>174</v>
      </c>
      <c r="C48" s="78">
        <v>2020</v>
      </c>
      <c r="D48" s="126" t="s">
        <v>418</v>
      </c>
      <c r="E48" s="78" t="s">
        <v>271</v>
      </c>
      <c r="F48" s="78" t="s">
        <v>272</v>
      </c>
      <c r="G48" s="78" t="s">
        <v>25</v>
      </c>
      <c r="H48" s="78" t="s">
        <v>167</v>
      </c>
      <c r="I48" s="78" t="s">
        <v>111</v>
      </c>
      <c r="J48" s="78" t="s">
        <v>27</v>
      </c>
      <c r="K48" s="78" t="s">
        <v>112</v>
      </c>
      <c r="L48" s="78">
        <v>2</v>
      </c>
      <c r="M48" s="128"/>
      <c r="N48" s="78">
        <v>1</v>
      </c>
      <c r="O48" s="78">
        <v>0.65</v>
      </c>
      <c r="P48" s="78">
        <v>0.65</v>
      </c>
      <c r="Q48" s="44">
        <f t="shared" si="0"/>
        <v>0.65</v>
      </c>
      <c r="R48" s="78">
        <v>16.5</v>
      </c>
      <c r="S48" s="78">
        <v>120</v>
      </c>
      <c r="T48" s="16">
        <f t="shared" si="1"/>
        <v>30</v>
      </c>
      <c r="U48" s="78">
        <v>128</v>
      </c>
      <c r="V48" s="16">
        <f t="shared" si="2"/>
        <v>3840</v>
      </c>
      <c r="W48" s="78">
        <v>6</v>
      </c>
      <c r="X48" s="78" t="s">
        <v>35</v>
      </c>
      <c r="Y48" s="78" t="s">
        <v>43</v>
      </c>
      <c r="Z48" s="78" t="s">
        <v>72</v>
      </c>
      <c r="AA48" s="78" t="s">
        <v>82</v>
      </c>
      <c r="AB48" s="78" t="s">
        <v>178</v>
      </c>
    </row>
    <row r="49" spans="1:28" x14ac:dyDescent="0.15">
      <c r="A49" s="78" t="s">
        <v>44</v>
      </c>
      <c r="B49" s="78" t="s">
        <v>174</v>
      </c>
      <c r="C49" s="78">
        <v>2020</v>
      </c>
      <c r="D49" s="126" t="s">
        <v>418</v>
      </c>
      <c r="E49" s="78" t="s">
        <v>271</v>
      </c>
      <c r="F49" s="78" t="s">
        <v>272</v>
      </c>
      <c r="G49" s="78" t="s">
        <v>25</v>
      </c>
      <c r="H49" s="78" t="s">
        <v>167</v>
      </c>
      <c r="I49" s="78" t="s">
        <v>111</v>
      </c>
      <c r="J49" s="78" t="s">
        <v>27</v>
      </c>
      <c r="K49" s="78" t="s">
        <v>112</v>
      </c>
      <c r="L49" s="78">
        <v>3</v>
      </c>
      <c r="M49" s="128"/>
      <c r="N49" s="78">
        <v>1</v>
      </c>
      <c r="O49" s="78">
        <v>0.65</v>
      </c>
      <c r="P49" s="78">
        <v>0.6</v>
      </c>
      <c r="Q49" s="44">
        <f t="shared" si="0"/>
        <v>0.625</v>
      </c>
      <c r="R49" s="78">
        <v>17.5</v>
      </c>
      <c r="S49" s="78">
        <v>127</v>
      </c>
      <c r="T49" s="16">
        <f t="shared" si="1"/>
        <v>27</v>
      </c>
      <c r="U49" s="78">
        <v>128</v>
      </c>
      <c r="V49" s="16">
        <f t="shared" si="2"/>
        <v>3456</v>
      </c>
      <c r="W49" s="78">
        <v>6</v>
      </c>
      <c r="X49" s="78" t="s">
        <v>35</v>
      </c>
      <c r="Y49" s="78" t="s">
        <v>43</v>
      </c>
      <c r="Z49" s="78" t="s">
        <v>72</v>
      </c>
      <c r="AA49" s="78" t="s">
        <v>82</v>
      </c>
      <c r="AB49" s="78" t="s">
        <v>178</v>
      </c>
    </row>
    <row r="50" spans="1:28" x14ac:dyDescent="0.15">
      <c r="A50" s="78" t="s">
        <v>44</v>
      </c>
      <c r="B50" s="78" t="s">
        <v>174</v>
      </c>
      <c r="C50" s="78">
        <v>2020</v>
      </c>
      <c r="D50" s="126" t="s">
        <v>418</v>
      </c>
      <c r="E50" s="78" t="s">
        <v>271</v>
      </c>
      <c r="F50" s="78" t="s">
        <v>272</v>
      </c>
      <c r="G50" s="78" t="s">
        <v>25</v>
      </c>
      <c r="H50" s="78" t="s">
        <v>167</v>
      </c>
      <c r="I50" s="78" t="s">
        <v>111</v>
      </c>
      <c r="J50" s="78" t="s">
        <v>27</v>
      </c>
      <c r="K50" s="78" t="s">
        <v>112</v>
      </c>
      <c r="L50" s="78">
        <v>1</v>
      </c>
      <c r="M50" s="128"/>
      <c r="N50" s="78">
        <v>5</v>
      </c>
      <c r="O50" s="78">
        <v>0.9</v>
      </c>
      <c r="P50" s="78">
        <v>0.9</v>
      </c>
      <c r="Q50" s="44">
        <f t="shared" si="0"/>
        <v>0.9</v>
      </c>
      <c r="R50" s="78">
        <v>16.2</v>
      </c>
      <c r="S50" s="78">
        <v>108</v>
      </c>
      <c r="T50" s="16">
        <f t="shared" si="1"/>
        <v>33</v>
      </c>
      <c r="U50" s="78">
        <v>598</v>
      </c>
      <c r="V50" s="16">
        <f t="shared" si="2"/>
        <v>3946.7999999999997</v>
      </c>
      <c r="W50" s="78">
        <v>2</v>
      </c>
      <c r="X50" s="78" t="s">
        <v>35</v>
      </c>
      <c r="Y50" s="78" t="s">
        <v>43</v>
      </c>
      <c r="Z50" s="78" t="s">
        <v>72</v>
      </c>
      <c r="AA50" s="78" t="s">
        <v>82</v>
      </c>
      <c r="AB50" s="78" t="s">
        <v>178</v>
      </c>
    </row>
    <row r="51" spans="1:28" x14ac:dyDescent="0.15">
      <c r="A51" s="78" t="s">
        <v>44</v>
      </c>
      <c r="B51" s="78" t="s">
        <v>174</v>
      </c>
      <c r="C51" s="78">
        <v>2020</v>
      </c>
      <c r="D51" s="126" t="s">
        <v>418</v>
      </c>
      <c r="E51" s="78" t="s">
        <v>271</v>
      </c>
      <c r="F51" s="78" t="s">
        <v>272</v>
      </c>
      <c r="G51" s="78" t="s">
        <v>25</v>
      </c>
      <c r="H51" s="78" t="s">
        <v>167</v>
      </c>
      <c r="I51" s="78" t="s">
        <v>111</v>
      </c>
      <c r="J51" s="78" t="s">
        <v>27</v>
      </c>
      <c r="K51" s="78" t="s">
        <v>112</v>
      </c>
      <c r="L51" s="78">
        <v>2</v>
      </c>
      <c r="M51" s="128"/>
      <c r="N51" s="78">
        <v>5</v>
      </c>
      <c r="O51" s="78">
        <v>0.75</v>
      </c>
      <c r="P51" s="78">
        <v>0.75</v>
      </c>
      <c r="Q51" s="44">
        <f t="shared" si="0"/>
        <v>0.75</v>
      </c>
      <c r="R51" s="78">
        <v>14.5</v>
      </c>
      <c r="S51" s="78">
        <v>102</v>
      </c>
      <c r="T51" s="16">
        <f t="shared" si="1"/>
        <v>33</v>
      </c>
      <c r="U51" s="78">
        <v>598</v>
      </c>
      <c r="V51" s="16">
        <f t="shared" si="2"/>
        <v>3946.7999999999997</v>
      </c>
      <c r="W51" s="78">
        <v>2</v>
      </c>
      <c r="X51" s="78" t="s">
        <v>35</v>
      </c>
      <c r="Y51" s="78" t="s">
        <v>43</v>
      </c>
      <c r="Z51" s="78" t="s">
        <v>72</v>
      </c>
      <c r="AA51" s="78" t="s">
        <v>82</v>
      </c>
      <c r="AB51" s="78" t="s">
        <v>178</v>
      </c>
    </row>
    <row r="52" spans="1:28" x14ac:dyDescent="0.15">
      <c r="A52" s="78" t="s">
        <v>44</v>
      </c>
      <c r="B52" s="78" t="s">
        <v>174</v>
      </c>
      <c r="C52" s="78">
        <v>2020</v>
      </c>
      <c r="D52" s="126" t="s">
        <v>418</v>
      </c>
      <c r="E52" s="78" t="s">
        <v>271</v>
      </c>
      <c r="F52" s="78" t="s">
        <v>272</v>
      </c>
      <c r="G52" s="78" t="s">
        <v>25</v>
      </c>
      <c r="H52" s="78" t="s">
        <v>167</v>
      </c>
      <c r="I52" s="78" t="s">
        <v>111</v>
      </c>
      <c r="J52" s="78" t="s">
        <v>27</v>
      </c>
      <c r="K52" s="78" t="s">
        <v>112</v>
      </c>
      <c r="L52" s="78">
        <v>3</v>
      </c>
      <c r="M52" s="128"/>
      <c r="N52" s="78">
        <v>5</v>
      </c>
      <c r="O52" s="78">
        <v>0.8</v>
      </c>
      <c r="P52" s="78">
        <v>0.75</v>
      </c>
      <c r="Q52" s="44">
        <f t="shared" si="0"/>
        <v>0.77500000000000002</v>
      </c>
      <c r="R52" s="78">
        <v>15.7</v>
      </c>
      <c r="S52" s="78">
        <v>108</v>
      </c>
      <c r="T52" s="16">
        <f t="shared" si="1"/>
        <v>33</v>
      </c>
      <c r="U52" s="78">
        <v>598</v>
      </c>
      <c r="V52" s="16">
        <f t="shared" si="2"/>
        <v>3946.7999999999997</v>
      </c>
      <c r="W52" s="78">
        <v>2</v>
      </c>
      <c r="X52" s="78" t="s">
        <v>35</v>
      </c>
      <c r="Y52" s="78" t="s">
        <v>43</v>
      </c>
      <c r="Z52" s="78" t="s">
        <v>72</v>
      </c>
      <c r="AA52" s="78" t="s">
        <v>82</v>
      </c>
      <c r="AB52" s="78" t="s">
        <v>178</v>
      </c>
    </row>
    <row r="53" spans="1:28" x14ac:dyDescent="0.15">
      <c r="A53" s="78" t="s">
        <v>44</v>
      </c>
      <c r="B53" s="78" t="s">
        <v>174</v>
      </c>
      <c r="C53" s="78">
        <v>2020</v>
      </c>
      <c r="D53" s="126" t="s">
        <v>418</v>
      </c>
      <c r="E53" s="78" t="s">
        <v>273</v>
      </c>
      <c r="F53" s="78" t="s">
        <v>266</v>
      </c>
      <c r="G53" s="78" t="s">
        <v>31</v>
      </c>
      <c r="H53" s="78" t="s">
        <v>113</v>
      </c>
      <c r="I53" s="78" t="s">
        <v>111</v>
      </c>
      <c r="J53" s="78" t="s">
        <v>27</v>
      </c>
      <c r="K53" s="78" t="s">
        <v>112</v>
      </c>
      <c r="L53" s="78">
        <v>1</v>
      </c>
      <c r="M53" s="128"/>
      <c r="N53" s="78">
        <v>1</v>
      </c>
      <c r="O53" s="78">
        <v>0.75</v>
      </c>
      <c r="P53" s="78">
        <v>0.8</v>
      </c>
      <c r="Q53" s="44">
        <f t="shared" si="0"/>
        <v>0.77500000000000002</v>
      </c>
      <c r="R53" s="78">
        <v>17.5</v>
      </c>
      <c r="S53" s="78">
        <v>124</v>
      </c>
      <c r="T53" s="16">
        <f t="shared" si="1"/>
        <v>27</v>
      </c>
      <c r="U53" s="78">
        <v>99</v>
      </c>
      <c r="V53" s="16">
        <f t="shared" si="2"/>
        <v>2673</v>
      </c>
      <c r="W53" s="78">
        <v>4</v>
      </c>
      <c r="X53" s="78" t="s">
        <v>28</v>
      </c>
      <c r="Y53" s="78" t="s">
        <v>43</v>
      </c>
      <c r="Z53" s="78" t="s">
        <v>51</v>
      </c>
      <c r="AA53" s="78" t="s">
        <v>64</v>
      </c>
      <c r="AB53" s="78" t="s">
        <v>178</v>
      </c>
    </row>
    <row r="54" spans="1:28" x14ac:dyDescent="0.15">
      <c r="A54" s="78" t="s">
        <v>44</v>
      </c>
      <c r="B54" s="78" t="s">
        <v>174</v>
      </c>
      <c r="C54" s="78">
        <v>2020</v>
      </c>
      <c r="D54" s="126" t="s">
        <v>418</v>
      </c>
      <c r="E54" s="78" t="s">
        <v>273</v>
      </c>
      <c r="F54" s="78" t="s">
        <v>266</v>
      </c>
      <c r="G54" s="78" t="s">
        <v>31</v>
      </c>
      <c r="H54" s="78" t="s">
        <v>113</v>
      </c>
      <c r="I54" s="78" t="s">
        <v>111</v>
      </c>
      <c r="J54" s="78" t="s">
        <v>27</v>
      </c>
      <c r="K54" s="78" t="s">
        <v>112</v>
      </c>
      <c r="L54" s="78">
        <v>2</v>
      </c>
      <c r="M54" s="128"/>
      <c r="N54" s="78">
        <v>1</v>
      </c>
      <c r="O54" s="78">
        <v>0.55000000000000004</v>
      </c>
      <c r="P54" s="78">
        <v>0.5</v>
      </c>
      <c r="Q54" s="44">
        <f t="shared" si="0"/>
        <v>0.52500000000000002</v>
      </c>
      <c r="R54" s="78">
        <v>18</v>
      </c>
      <c r="S54" s="78">
        <v>111</v>
      </c>
      <c r="T54" s="16">
        <f t="shared" si="1"/>
        <v>33</v>
      </c>
      <c r="U54" s="78">
        <v>99</v>
      </c>
      <c r="V54" s="16">
        <f t="shared" si="2"/>
        <v>3267</v>
      </c>
      <c r="W54" s="78">
        <v>4</v>
      </c>
      <c r="X54" s="78" t="s">
        <v>28</v>
      </c>
      <c r="Y54" s="78" t="s">
        <v>43</v>
      </c>
      <c r="Z54" s="78" t="s">
        <v>51</v>
      </c>
      <c r="AA54" s="78" t="s">
        <v>64</v>
      </c>
      <c r="AB54" s="78" t="s">
        <v>178</v>
      </c>
    </row>
    <row r="55" spans="1:28" x14ac:dyDescent="0.15">
      <c r="A55" s="78" t="s">
        <v>44</v>
      </c>
      <c r="B55" s="78" t="s">
        <v>174</v>
      </c>
      <c r="C55" s="78">
        <v>2020</v>
      </c>
      <c r="D55" s="126" t="s">
        <v>418</v>
      </c>
      <c r="E55" s="78" t="s">
        <v>273</v>
      </c>
      <c r="F55" s="78" t="s">
        <v>266</v>
      </c>
      <c r="G55" s="78" t="s">
        <v>31</v>
      </c>
      <c r="H55" s="78" t="s">
        <v>113</v>
      </c>
      <c r="I55" s="78" t="s">
        <v>111</v>
      </c>
      <c r="J55" s="78" t="s">
        <v>27</v>
      </c>
      <c r="K55" s="78" t="s">
        <v>112</v>
      </c>
      <c r="L55" s="78">
        <v>3</v>
      </c>
      <c r="M55" s="128"/>
      <c r="N55" s="78">
        <v>1</v>
      </c>
      <c r="O55" s="78">
        <v>0.9</v>
      </c>
      <c r="P55" s="78">
        <v>0.9</v>
      </c>
      <c r="Q55" s="44">
        <f t="shared" si="0"/>
        <v>0.9</v>
      </c>
      <c r="R55" s="78">
        <v>14.9</v>
      </c>
      <c r="S55" s="78">
        <v>121</v>
      </c>
      <c r="T55" s="16">
        <f t="shared" si="1"/>
        <v>27</v>
      </c>
      <c r="U55" s="78">
        <v>99</v>
      </c>
      <c r="V55" s="16">
        <f t="shared" si="2"/>
        <v>2673</v>
      </c>
      <c r="W55" s="78">
        <v>4</v>
      </c>
      <c r="X55" s="78" t="s">
        <v>28</v>
      </c>
      <c r="Y55" s="78" t="s">
        <v>43</v>
      </c>
      <c r="Z55" s="78" t="s">
        <v>51</v>
      </c>
      <c r="AA55" s="78" t="s">
        <v>64</v>
      </c>
      <c r="AB55" s="78" t="s">
        <v>178</v>
      </c>
    </row>
    <row r="56" spans="1:28" x14ac:dyDescent="0.15">
      <c r="A56" s="78" t="s">
        <v>44</v>
      </c>
      <c r="B56" s="78" t="s">
        <v>174</v>
      </c>
      <c r="C56" s="78">
        <v>2020</v>
      </c>
      <c r="D56" s="126" t="s">
        <v>418</v>
      </c>
      <c r="E56" s="78" t="s">
        <v>273</v>
      </c>
      <c r="F56" s="78" t="s">
        <v>266</v>
      </c>
      <c r="G56" s="78" t="s">
        <v>31</v>
      </c>
      <c r="H56" s="78" t="s">
        <v>113</v>
      </c>
      <c r="I56" s="78" t="s">
        <v>111</v>
      </c>
      <c r="J56" s="78" t="s">
        <v>27</v>
      </c>
      <c r="K56" s="78" t="s">
        <v>112</v>
      </c>
      <c r="L56" s="78">
        <v>1</v>
      </c>
      <c r="M56" s="128"/>
      <c r="N56" s="78">
        <v>4</v>
      </c>
      <c r="O56" s="78">
        <v>0.65</v>
      </c>
      <c r="P56" s="78">
        <v>0.7</v>
      </c>
      <c r="Q56" s="16">
        <f t="shared" si="0"/>
        <v>0.67500000000000004</v>
      </c>
      <c r="R56" s="78">
        <v>13.5</v>
      </c>
      <c r="S56" s="78">
        <v>105</v>
      </c>
      <c r="T56" s="16">
        <f t="shared" si="1"/>
        <v>33</v>
      </c>
      <c r="U56" s="78">
        <v>297</v>
      </c>
      <c r="V56" s="16">
        <f t="shared" si="2"/>
        <v>2450.25</v>
      </c>
      <c r="W56" s="78">
        <v>4</v>
      </c>
      <c r="X56" s="78" t="s">
        <v>28</v>
      </c>
      <c r="Y56" s="78" t="s">
        <v>43</v>
      </c>
      <c r="Z56" s="78" t="s">
        <v>51</v>
      </c>
      <c r="AA56" s="78" t="s">
        <v>64</v>
      </c>
      <c r="AB56" s="78" t="s">
        <v>178</v>
      </c>
    </row>
    <row r="57" spans="1:28" x14ac:dyDescent="0.15">
      <c r="A57" s="78" t="s">
        <v>44</v>
      </c>
      <c r="B57" s="78" t="s">
        <v>174</v>
      </c>
      <c r="C57" s="78">
        <v>2020</v>
      </c>
      <c r="D57" s="126" t="s">
        <v>418</v>
      </c>
      <c r="E57" s="78" t="s">
        <v>273</v>
      </c>
      <c r="F57" s="78" t="s">
        <v>266</v>
      </c>
      <c r="G57" s="78" t="s">
        <v>31</v>
      </c>
      <c r="H57" s="78" t="s">
        <v>113</v>
      </c>
      <c r="I57" s="78" t="s">
        <v>111</v>
      </c>
      <c r="J57" s="78" t="s">
        <v>27</v>
      </c>
      <c r="K57" s="78" t="s">
        <v>112</v>
      </c>
      <c r="L57" s="78">
        <v>2</v>
      </c>
      <c r="M57" s="128"/>
      <c r="N57" s="78">
        <v>4</v>
      </c>
      <c r="O57" s="78">
        <v>0.7</v>
      </c>
      <c r="P57" s="78">
        <v>0.65</v>
      </c>
      <c r="Q57" s="16">
        <f t="shared" si="0"/>
        <v>0.67500000000000004</v>
      </c>
      <c r="R57" s="78">
        <v>13.2</v>
      </c>
      <c r="S57" s="78">
        <v>112</v>
      </c>
      <c r="T57" s="16">
        <f t="shared" si="1"/>
        <v>33</v>
      </c>
      <c r="U57" s="78">
        <v>297</v>
      </c>
      <c r="V57" s="16">
        <f t="shared" si="2"/>
        <v>2450.25</v>
      </c>
      <c r="W57" s="78">
        <v>4</v>
      </c>
      <c r="X57" s="78" t="s">
        <v>28</v>
      </c>
      <c r="Y57" s="78" t="s">
        <v>43</v>
      </c>
      <c r="Z57" s="78" t="s">
        <v>51</v>
      </c>
      <c r="AA57" s="78" t="s">
        <v>64</v>
      </c>
      <c r="AB57" s="78" t="s">
        <v>178</v>
      </c>
    </row>
    <row r="58" spans="1:28" x14ac:dyDescent="0.15">
      <c r="A58" s="78" t="s">
        <v>44</v>
      </c>
      <c r="B58" s="78" t="s">
        <v>174</v>
      </c>
      <c r="C58" s="78">
        <v>2020</v>
      </c>
      <c r="D58" s="126" t="s">
        <v>418</v>
      </c>
      <c r="E58" s="78" t="s">
        <v>273</v>
      </c>
      <c r="F58" s="78" t="s">
        <v>266</v>
      </c>
      <c r="G58" s="78" t="s">
        <v>31</v>
      </c>
      <c r="H58" s="78" t="s">
        <v>113</v>
      </c>
      <c r="I58" s="78" t="s">
        <v>111</v>
      </c>
      <c r="J58" s="78" t="s">
        <v>27</v>
      </c>
      <c r="K58" s="78" t="s">
        <v>112</v>
      </c>
      <c r="L58" s="78">
        <v>3</v>
      </c>
      <c r="M58" s="128"/>
      <c r="N58" s="78">
        <v>4</v>
      </c>
      <c r="O58" s="78">
        <v>0.8</v>
      </c>
      <c r="P58" s="78">
        <v>0.8</v>
      </c>
      <c r="Q58" s="16">
        <f t="shared" si="0"/>
        <v>0.8</v>
      </c>
      <c r="R58" s="78">
        <v>10.5</v>
      </c>
      <c r="S58" s="78">
        <v>115</v>
      </c>
      <c r="T58" s="16">
        <f t="shared" si="1"/>
        <v>30</v>
      </c>
      <c r="U58" s="78">
        <v>297</v>
      </c>
      <c r="V58" s="16">
        <f t="shared" si="2"/>
        <v>2227.5</v>
      </c>
      <c r="W58" s="78">
        <v>4</v>
      </c>
      <c r="X58" s="78" t="s">
        <v>28</v>
      </c>
      <c r="Y58" s="78" t="s">
        <v>43</v>
      </c>
      <c r="Z58" s="78" t="s">
        <v>51</v>
      </c>
      <c r="AA58" s="78" t="s">
        <v>64</v>
      </c>
      <c r="AB58" s="78" t="s">
        <v>178</v>
      </c>
    </row>
    <row r="59" spans="1:28" x14ac:dyDescent="0.15">
      <c r="A59" s="78" t="s">
        <v>44</v>
      </c>
      <c r="B59" s="78" t="s">
        <v>174</v>
      </c>
      <c r="C59" s="78">
        <v>2020</v>
      </c>
      <c r="D59" s="126" t="s">
        <v>418</v>
      </c>
      <c r="E59" s="78" t="s">
        <v>273</v>
      </c>
      <c r="F59" s="78" t="s">
        <v>266</v>
      </c>
      <c r="G59" s="78" t="s">
        <v>31</v>
      </c>
      <c r="H59" s="78" t="s">
        <v>113</v>
      </c>
      <c r="I59" s="78" t="s">
        <v>111</v>
      </c>
      <c r="J59" s="78" t="s">
        <v>27</v>
      </c>
      <c r="K59" s="78" t="s">
        <v>112</v>
      </c>
      <c r="L59" s="78">
        <v>1</v>
      </c>
      <c r="M59" s="128"/>
      <c r="N59" s="78">
        <v>10</v>
      </c>
      <c r="O59" s="78">
        <v>0.95</v>
      </c>
      <c r="P59" s="78">
        <v>0.95</v>
      </c>
      <c r="Q59" s="16">
        <f t="shared" si="0"/>
        <v>0.95</v>
      </c>
      <c r="R59" s="78">
        <v>14.1</v>
      </c>
      <c r="S59" s="78">
        <v>80</v>
      </c>
      <c r="T59" s="16">
        <f t="shared" si="1"/>
        <v>39</v>
      </c>
      <c r="U59" s="78">
        <v>397</v>
      </c>
      <c r="V59" s="16">
        <f t="shared" si="2"/>
        <v>1548.3000000000002</v>
      </c>
      <c r="W59" s="78">
        <v>4</v>
      </c>
      <c r="X59" s="78" t="s">
        <v>28</v>
      </c>
      <c r="Y59" s="78" t="s">
        <v>43</v>
      </c>
      <c r="Z59" s="78" t="s">
        <v>51</v>
      </c>
      <c r="AA59" s="78" t="s">
        <v>64</v>
      </c>
      <c r="AB59" s="78" t="s">
        <v>178</v>
      </c>
    </row>
    <row r="60" spans="1:28" x14ac:dyDescent="0.15">
      <c r="A60" s="78" t="s">
        <v>44</v>
      </c>
      <c r="B60" s="78" t="s">
        <v>174</v>
      </c>
      <c r="C60" s="78">
        <v>2020</v>
      </c>
      <c r="D60" s="126" t="s">
        <v>418</v>
      </c>
      <c r="E60" s="78" t="s">
        <v>273</v>
      </c>
      <c r="F60" s="78" t="s">
        <v>266</v>
      </c>
      <c r="G60" s="78" t="s">
        <v>31</v>
      </c>
      <c r="H60" s="78" t="s">
        <v>113</v>
      </c>
      <c r="I60" s="78" t="s">
        <v>111</v>
      </c>
      <c r="J60" s="78" t="s">
        <v>27</v>
      </c>
      <c r="K60" s="78" t="s">
        <v>112</v>
      </c>
      <c r="L60" s="78">
        <v>2</v>
      </c>
      <c r="M60" s="128"/>
      <c r="N60" s="78">
        <v>10</v>
      </c>
      <c r="O60" s="78">
        <v>0.85</v>
      </c>
      <c r="P60" s="78">
        <v>0.85</v>
      </c>
      <c r="Q60" s="16">
        <f t="shared" si="0"/>
        <v>0.85</v>
      </c>
      <c r="R60" s="78">
        <v>13.6</v>
      </c>
      <c r="S60" s="78">
        <v>79</v>
      </c>
      <c r="T60" s="16">
        <f t="shared" si="1"/>
        <v>39</v>
      </c>
      <c r="U60" s="78">
        <v>397</v>
      </c>
      <c r="V60" s="16">
        <f t="shared" si="2"/>
        <v>1548.3000000000002</v>
      </c>
      <c r="W60" s="78">
        <v>4</v>
      </c>
      <c r="X60" s="78" t="s">
        <v>28</v>
      </c>
      <c r="Y60" s="78" t="s">
        <v>43</v>
      </c>
      <c r="Z60" s="78" t="s">
        <v>51</v>
      </c>
      <c r="AA60" s="78" t="s">
        <v>64</v>
      </c>
      <c r="AB60" s="78" t="s">
        <v>178</v>
      </c>
    </row>
    <row r="61" spans="1:28" x14ac:dyDescent="0.15">
      <c r="A61" s="78" t="s">
        <v>44</v>
      </c>
      <c r="B61" s="78" t="s">
        <v>174</v>
      </c>
      <c r="C61" s="78">
        <v>2020</v>
      </c>
      <c r="D61" s="126" t="s">
        <v>418</v>
      </c>
      <c r="E61" s="78" t="s">
        <v>273</v>
      </c>
      <c r="F61" s="78" t="s">
        <v>266</v>
      </c>
      <c r="G61" s="78" t="s">
        <v>31</v>
      </c>
      <c r="H61" s="78" t="s">
        <v>113</v>
      </c>
      <c r="I61" s="78" t="s">
        <v>111</v>
      </c>
      <c r="J61" s="78" t="s">
        <v>27</v>
      </c>
      <c r="K61" s="78" t="s">
        <v>112</v>
      </c>
      <c r="L61" s="78">
        <v>3</v>
      </c>
      <c r="M61" s="128"/>
      <c r="N61" s="78">
        <v>10</v>
      </c>
      <c r="O61" s="78">
        <v>0.7</v>
      </c>
      <c r="P61" s="78">
        <v>0.75</v>
      </c>
      <c r="Q61" s="16">
        <f t="shared" si="0"/>
        <v>0.72499999999999998</v>
      </c>
      <c r="R61" s="78">
        <v>15.1</v>
      </c>
      <c r="S61" s="78">
        <v>80</v>
      </c>
      <c r="T61" s="16">
        <f t="shared" si="1"/>
        <v>39</v>
      </c>
      <c r="U61" s="78">
        <v>397</v>
      </c>
      <c r="V61" s="16">
        <f t="shared" si="2"/>
        <v>1548.3000000000002</v>
      </c>
      <c r="W61" s="78">
        <v>4</v>
      </c>
      <c r="X61" s="78" t="s">
        <v>28</v>
      </c>
      <c r="Y61" s="78" t="s">
        <v>43</v>
      </c>
      <c r="Z61" s="78" t="s">
        <v>51</v>
      </c>
      <c r="AA61" s="78" t="s">
        <v>64</v>
      </c>
      <c r="AB61" s="78" t="s">
        <v>178</v>
      </c>
    </row>
    <row r="62" spans="1:28" x14ac:dyDescent="0.15">
      <c r="A62" s="78" t="s">
        <v>44</v>
      </c>
      <c r="B62" s="78" t="s">
        <v>174</v>
      </c>
      <c r="C62" s="78">
        <v>2020</v>
      </c>
      <c r="D62" s="126" t="s">
        <v>418</v>
      </c>
      <c r="E62" s="78" t="s">
        <v>273</v>
      </c>
      <c r="F62" s="78" t="s">
        <v>266</v>
      </c>
      <c r="G62" s="78" t="s">
        <v>31</v>
      </c>
      <c r="H62" s="78" t="s">
        <v>167</v>
      </c>
      <c r="I62" s="78" t="s">
        <v>111</v>
      </c>
      <c r="J62" s="78" t="s">
        <v>27</v>
      </c>
      <c r="K62" s="78" t="s">
        <v>112</v>
      </c>
      <c r="L62" s="78">
        <v>1</v>
      </c>
      <c r="M62" s="128"/>
      <c r="N62" s="78">
        <v>1</v>
      </c>
      <c r="O62" s="78">
        <v>0.65</v>
      </c>
      <c r="P62" s="78">
        <v>0.7</v>
      </c>
      <c r="Q62" s="16">
        <f t="shared" si="0"/>
        <v>0.67500000000000004</v>
      </c>
      <c r="R62" s="78">
        <v>17.600000000000001</v>
      </c>
      <c r="S62" s="78">
        <v>126</v>
      </c>
      <c r="T62" s="16">
        <f t="shared" si="1"/>
        <v>27</v>
      </c>
      <c r="U62" s="78">
        <v>98</v>
      </c>
      <c r="V62" s="16">
        <f t="shared" si="2"/>
        <v>2646</v>
      </c>
      <c r="W62" s="78">
        <v>6</v>
      </c>
      <c r="X62" s="78" t="s">
        <v>28</v>
      </c>
      <c r="Y62" s="78" t="s">
        <v>43</v>
      </c>
      <c r="Z62" s="78" t="s">
        <v>51</v>
      </c>
      <c r="AA62" s="78" t="s">
        <v>64</v>
      </c>
      <c r="AB62" s="78" t="s">
        <v>178</v>
      </c>
    </row>
    <row r="63" spans="1:28" x14ac:dyDescent="0.15">
      <c r="A63" s="78" t="s">
        <v>44</v>
      </c>
      <c r="B63" s="78" t="s">
        <v>174</v>
      </c>
      <c r="C63" s="78">
        <v>2020</v>
      </c>
      <c r="D63" s="126" t="s">
        <v>418</v>
      </c>
      <c r="E63" s="78" t="s">
        <v>273</v>
      </c>
      <c r="F63" s="78" t="s">
        <v>266</v>
      </c>
      <c r="G63" s="78" t="s">
        <v>31</v>
      </c>
      <c r="H63" s="78" t="s">
        <v>167</v>
      </c>
      <c r="I63" s="78" t="s">
        <v>111</v>
      </c>
      <c r="J63" s="78" t="s">
        <v>27</v>
      </c>
      <c r="K63" s="78" t="s">
        <v>112</v>
      </c>
      <c r="L63" s="78">
        <v>2</v>
      </c>
      <c r="M63" s="128"/>
      <c r="N63" s="78">
        <v>1</v>
      </c>
      <c r="O63" s="78">
        <v>0.7</v>
      </c>
      <c r="P63" s="78">
        <v>0.65</v>
      </c>
      <c r="Q63" s="16">
        <f t="shared" si="0"/>
        <v>0.67500000000000004</v>
      </c>
      <c r="R63" s="78">
        <v>14.4</v>
      </c>
      <c r="S63" s="78">
        <v>130</v>
      </c>
      <c r="T63" s="16">
        <f t="shared" si="1"/>
        <v>25</v>
      </c>
      <c r="U63" s="78">
        <v>98</v>
      </c>
      <c r="V63" s="16">
        <f t="shared" si="2"/>
        <v>2450</v>
      </c>
      <c r="W63" s="78">
        <v>6</v>
      </c>
      <c r="X63" s="78" t="s">
        <v>28</v>
      </c>
      <c r="Y63" s="78" t="s">
        <v>43</v>
      </c>
      <c r="Z63" s="78" t="s">
        <v>51</v>
      </c>
      <c r="AA63" s="78" t="s">
        <v>64</v>
      </c>
      <c r="AB63" s="78" t="s">
        <v>178</v>
      </c>
    </row>
    <row r="64" spans="1:28" x14ac:dyDescent="0.15">
      <c r="A64" s="78" t="s">
        <v>44</v>
      </c>
      <c r="B64" s="78" t="s">
        <v>174</v>
      </c>
      <c r="C64" s="78">
        <v>2020</v>
      </c>
      <c r="D64" s="126" t="s">
        <v>418</v>
      </c>
      <c r="E64" s="78" t="s">
        <v>273</v>
      </c>
      <c r="F64" s="78" t="s">
        <v>266</v>
      </c>
      <c r="G64" s="78" t="s">
        <v>31</v>
      </c>
      <c r="H64" s="78" t="s">
        <v>167</v>
      </c>
      <c r="I64" s="78" t="s">
        <v>111</v>
      </c>
      <c r="J64" s="78" t="s">
        <v>27</v>
      </c>
      <c r="K64" s="78" t="s">
        <v>112</v>
      </c>
      <c r="L64" s="78">
        <v>3</v>
      </c>
      <c r="M64" s="128"/>
      <c r="N64" s="78">
        <v>1</v>
      </c>
      <c r="O64" s="78">
        <v>0.5</v>
      </c>
      <c r="P64" s="78">
        <v>0.5</v>
      </c>
      <c r="Q64" s="16">
        <f t="shared" si="0"/>
        <v>0.5</v>
      </c>
      <c r="R64" s="78">
        <v>14.9</v>
      </c>
      <c r="S64" s="78">
        <v>125</v>
      </c>
      <c r="T64" s="16">
        <f t="shared" si="1"/>
        <v>27</v>
      </c>
      <c r="U64" s="78">
        <v>98</v>
      </c>
      <c r="V64" s="16">
        <f t="shared" si="2"/>
        <v>2646</v>
      </c>
      <c r="W64" s="78">
        <v>6</v>
      </c>
      <c r="X64" s="78" t="s">
        <v>28</v>
      </c>
      <c r="Y64" s="78" t="s">
        <v>43</v>
      </c>
      <c r="Z64" s="78" t="s">
        <v>51</v>
      </c>
      <c r="AA64" s="78" t="s">
        <v>64</v>
      </c>
      <c r="AB64" s="78" t="s">
        <v>178</v>
      </c>
    </row>
    <row r="65" spans="1:28" x14ac:dyDescent="0.15">
      <c r="A65" s="78" t="s">
        <v>44</v>
      </c>
      <c r="B65" s="78" t="s">
        <v>174</v>
      </c>
      <c r="C65" s="78">
        <v>2020</v>
      </c>
      <c r="D65" s="126" t="s">
        <v>418</v>
      </c>
      <c r="E65" s="78" t="s">
        <v>273</v>
      </c>
      <c r="F65" s="78" t="s">
        <v>266</v>
      </c>
      <c r="G65" s="78" t="s">
        <v>31</v>
      </c>
      <c r="H65" s="78" t="s">
        <v>167</v>
      </c>
      <c r="I65" s="78" t="s">
        <v>111</v>
      </c>
      <c r="J65" s="78" t="s">
        <v>27</v>
      </c>
      <c r="K65" s="78" t="s">
        <v>112</v>
      </c>
      <c r="L65" s="78">
        <v>1</v>
      </c>
      <c r="M65" s="128"/>
      <c r="N65" s="78">
        <v>4</v>
      </c>
      <c r="O65" s="78">
        <v>0.6</v>
      </c>
      <c r="P65" s="78">
        <v>0.6</v>
      </c>
      <c r="Q65" s="16">
        <f t="shared" si="0"/>
        <v>0.6</v>
      </c>
      <c r="R65" s="78">
        <v>16.8</v>
      </c>
      <c r="S65" s="78">
        <v>102</v>
      </c>
      <c r="T65" s="16">
        <f t="shared" si="1"/>
        <v>33</v>
      </c>
      <c r="U65" s="78">
        <v>397</v>
      </c>
      <c r="V65" s="16">
        <f t="shared" si="2"/>
        <v>3275.25</v>
      </c>
      <c r="W65" s="78">
        <v>4</v>
      </c>
      <c r="X65" s="78" t="s">
        <v>28</v>
      </c>
      <c r="Y65" s="78" t="s">
        <v>43</v>
      </c>
      <c r="Z65" s="78" t="s">
        <v>51</v>
      </c>
      <c r="AA65" s="78" t="s">
        <v>64</v>
      </c>
      <c r="AB65" s="78" t="s">
        <v>178</v>
      </c>
    </row>
    <row r="66" spans="1:28" x14ac:dyDescent="0.15">
      <c r="A66" s="78" t="s">
        <v>44</v>
      </c>
      <c r="B66" s="78" t="s">
        <v>174</v>
      </c>
      <c r="C66" s="78">
        <v>2020</v>
      </c>
      <c r="D66" s="126" t="s">
        <v>418</v>
      </c>
      <c r="E66" s="78" t="s">
        <v>273</v>
      </c>
      <c r="F66" s="78" t="s">
        <v>266</v>
      </c>
      <c r="G66" s="78" t="s">
        <v>31</v>
      </c>
      <c r="H66" s="78" t="s">
        <v>167</v>
      </c>
      <c r="I66" s="78" t="s">
        <v>111</v>
      </c>
      <c r="J66" s="78" t="s">
        <v>27</v>
      </c>
      <c r="K66" s="78" t="s">
        <v>112</v>
      </c>
      <c r="L66" s="78">
        <v>2</v>
      </c>
      <c r="M66" s="128"/>
      <c r="N66" s="78">
        <v>4</v>
      </c>
      <c r="O66" s="78">
        <v>0.6</v>
      </c>
      <c r="P66" s="78">
        <v>0.6</v>
      </c>
      <c r="Q66" s="16">
        <f t="shared" ref="Q66:Q129" si="3">IF(OR(O66="",P66=""),"",AVERAGE(O66,P66))</f>
        <v>0.6</v>
      </c>
      <c r="R66" s="78">
        <v>15.7</v>
      </c>
      <c r="S66" s="78">
        <v>101</v>
      </c>
      <c r="T66" s="16">
        <f t="shared" ref="T66:T129" si="4">IF(H66="","",IF(OR(H66="GREEN",H66="GK"),IF(S66&gt;=$AX$2,VLOOKUP(S66,$AX$2:$AY$10,2,1),""),IF(S66&gt;=$AZ$2,VLOOKUP(S66,$AZ$2:$BA$10,2,1),"")))</f>
        <v>33</v>
      </c>
      <c r="U66" s="78">
        <v>397</v>
      </c>
      <c r="V66" s="16">
        <f t="shared" ref="V66:V129" si="5">IF(OR(N66="",U66="",T66=""),"",U66/N66*T66)</f>
        <v>3275.25</v>
      </c>
      <c r="W66" s="78">
        <v>4</v>
      </c>
      <c r="X66" s="78" t="s">
        <v>28</v>
      </c>
      <c r="Y66" s="78" t="s">
        <v>43</v>
      </c>
      <c r="Z66" s="78" t="s">
        <v>51</v>
      </c>
      <c r="AA66" s="78" t="s">
        <v>64</v>
      </c>
      <c r="AB66" s="78" t="s">
        <v>178</v>
      </c>
    </row>
    <row r="67" spans="1:28" x14ac:dyDescent="0.15">
      <c r="A67" s="78" t="s">
        <v>44</v>
      </c>
      <c r="B67" s="78" t="s">
        <v>174</v>
      </c>
      <c r="C67" s="78">
        <v>2020</v>
      </c>
      <c r="D67" s="126" t="s">
        <v>418</v>
      </c>
      <c r="E67" s="78" t="s">
        <v>273</v>
      </c>
      <c r="F67" s="78" t="s">
        <v>266</v>
      </c>
      <c r="G67" s="78" t="s">
        <v>31</v>
      </c>
      <c r="H67" s="78" t="s">
        <v>167</v>
      </c>
      <c r="I67" s="78" t="s">
        <v>111</v>
      </c>
      <c r="J67" s="78" t="s">
        <v>27</v>
      </c>
      <c r="K67" s="78" t="s">
        <v>112</v>
      </c>
      <c r="L67" s="78">
        <v>3</v>
      </c>
      <c r="M67" s="128"/>
      <c r="N67" s="78">
        <v>4</v>
      </c>
      <c r="O67" s="78">
        <v>0.6</v>
      </c>
      <c r="P67" s="78">
        <v>0.6</v>
      </c>
      <c r="Q67" s="16">
        <f t="shared" si="3"/>
        <v>0.6</v>
      </c>
      <c r="R67" s="78">
        <v>16.5</v>
      </c>
      <c r="S67" s="78">
        <v>95</v>
      </c>
      <c r="T67" s="16">
        <f t="shared" si="4"/>
        <v>36</v>
      </c>
      <c r="U67" s="78">
        <v>397</v>
      </c>
      <c r="V67" s="16">
        <f t="shared" si="5"/>
        <v>3573</v>
      </c>
      <c r="W67" s="78">
        <v>4</v>
      </c>
      <c r="X67" s="78" t="s">
        <v>28</v>
      </c>
      <c r="Y67" s="78" t="s">
        <v>43</v>
      </c>
      <c r="Z67" s="78" t="s">
        <v>51</v>
      </c>
      <c r="AA67" s="78" t="s">
        <v>64</v>
      </c>
      <c r="AB67" s="78" t="s">
        <v>178</v>
      </c>
    </row>
    <row r="68" spans="1:28" x14ac:dyDescent="0.15">
      <c r="A68" s="78" t="s">
        <v>44</v>
      </c>
      <c r="B68" s="78" t="s">
        <v>174</v>
      </c>
      <c r="C68" s="78">
        <v>2020</v>
      </c>
      <c r="D68" s="126" t="s">
        <v>418</v>
      </c>
      <c r="E68" s="78" t="s">
        <v>273</v>
      </c>
      <c r="F68" s="78" t="s">
        <v>266</v>
      </c>
      <c r="G68" s="78" t="s">
        <v>31</v>
      </c>
      <c r="H68" s="78" t="s">
        <v>167</v>
      </c>
      <c r="I68" s="78" t="s">
        <v>111</v>
      </c>
      <c r="J68" s="78" t="s">
        <v>27</v>
      </c>
      <c r="K68" s="78" t="s">
        <v>112</v>
      </c>
      <c r="L68" s="78">
        <v>1</v>
      </c>
      <c r="M68" s="128"/>
      <c r="N68" s="78">
        <v>8</v>
      </c>
      <c r="O68" s="78">
        <v>0.85</v>
      </c>
      <c r="P68" s="78">
        <v>0.85</v>
      </c>
      <c r="Q68" s="16">
        <f t="shared" si="3"/>
        <v>0.85</v>
      </c>
      <c r="R68" s="78">
        <v>13.1</v>
      </c>
      <c r="S68" s="78">
        <v>101</v>
      </c>
      <c r="T68" s="16">
        <f t="shared" si="4"/>
        <v>33</v>
      </c>
      <c r="U68" s="78">
        <v>497</v>
      </c>
      <c r="V68" s="16">
        <f t="shared" si="5"/>
        <v>2050.125</v>
      </c>
      <c r="W68" s="78">
        <v>12</v>
      </c>
      <c r="X68" s="78" t="s">
        <v>28</v>
      </c>
      <c r="Y68" s="78" t="s">
        <v>43</v>
      </c>
      <c r="Z68" s="78" t="s">
        <v>51</v>
      </c>
      <c r="AA68" s="78" t="s">
        <v>64</v>
      </c>
      <c r="AB68" s="78" t="s">
        <v>178</v>
      </c>
    </row>
    <row r="69" spans="1:28" x14ac:dyDescent="0.15">
      <c r="A69" s="78" t="s">
        <v>44</v>
      </c>
      <c r="B69" s="78" t="s">
        <v>174</v>
      </c>
      <c r="C69" s="78">
        <v>2020</v>
      </c>
      <c r="D69" s="126" t="s">
        <v>418</v>
      </c>
      <c r="E69" s="78" t="s">
        <v>273</v>
      </c>
      <c r="F69" s="78" t="s">
        <v>266</v>
      </c>
      <c r="G69" s="78" t="s">
        <v>31</v>
      </c>
      <c r="H69" s="78" t="s">
        <v>167</v>
      </c>
      <c r="I69" s="78" t="s">
        <v>111</v>
      </c>
      <c r="J69" s="78" t="s">
        <v>27</v>
      </c>
      <c r="K69" s="78" t="s">
        <v>112</v>
      </c>
      <c r="L69" s="78">
        <v>2</v>
      </c>
      <c r="M69" s="128"/>
      <c r="N69" s="78">
        <v>8</v>
      </c>
      <c r="O69" s="78">
        <v>0.9</v>
      </c>
      <c r="P69" s="78">
        <v>0.95</v>
      </c>
      <c r="Q69" s="16">
        <f t="shared" si="3"/>
        <v>0.92500000000000004</v>
      </c>
      <c r="R69" s="78">
        <v>13</v>
      </c>
      <c r="S69" s="78">
        <v>103</v>
      </c>
      <c r="T69" s="16">
        <f t="shared" si="4"/>
        <v>33</v>
      </c>
      <c r="U69" s="78">
        <v>497</v>
      </c>
      <c r="V69" s="16">
        <f t="shared" si="5"/>
        <v>2050.125</v>
      </c>
      <c r="W69" s="78">
        <v>12</v>
      </c>
      <c r="X69" s="78" t="s">
        <v>28</v>
      </c>
      <c r="Y69" s="78" t="s">
        <v>43</v>
      </c>
      <c r="Z69" s="78" t="s">
        <v>51</v>
      </c>
      <c r="AA69" s="78" t="s">
        <v>64</v>
      </c>
      <c r="AB69" s="78" t="s">
        <v>178</v>
      </c>
    </row>
    <row r="70" spans="1:28" x14ac:dyDescent="0.15">
      <c r="A70" s="78" t="s">
        <v>44</v>
      </c>
      <c r="B70" s="78" t="s">
        <v>174</v>
      </c>
      <c r="C70" s="78">
        <v>2020</v>
      </c>
      <c r="D70" s="126" t="s">
        <v>418</v>
      </c>
      <c r="E70" s="78" t="s">
        <v>273</v>
      </c>
      <c r="F70" s="78" t="s">
        <v>266</v>
      </c>
      <c r="G70" s="78" t="s">
        <v>31</v>
      </c>
      <c r="H70" s="78" t="s">
        <v>167</v>
      </c>
      <c r="I70" s="78" t="s">
        <v>111</v>
      </c>
      <c r="J70" s="78" t="s">
        <v>27</v>
      </c>
      <c r="K70" s="78" t="s">
        <v>112</v>
      </c>
      <c r="L70" s="78">
        <v>3</v>
      </c>
      <c r="M70" s="128"/>
      <c r="N70" s="78">
        <v>8</v>
      </c>
      <c r="O70" s="78">
        <v>0.75</v>
      </c>
      <c r="P70" s="78">
        <v>0.75</v>
      </c>
      <c r="Q70" s="16">
        <f t="shared" si="3"/>
        <v>0.75</v>
      </c>
      <c r="R70" s="78">
        <v>12.9</v>
      </c>
      <c r="S70" s="78">
        <v>98</v>
      </c>
      <c r="T70" s="16">
        <f t="shared" si="4"/>
        <v>36</v>
      </c>
      <c r="U70" s="78">
        <v>497</v>
      </c>
      <c r="V70" s="16">
        <f t="shared" si="5"/>
        <v>2236.5</v>
      </c>
      <c r="W70" s="78">
        <v>12</v>
      </c>
      <c r="X70" s="78" t="s">
        <v>28</v>
      </c>
      <c r="Y70" s="78" t="s">
        <v>43</v>
      </c>
      <c r="Z70" s="78" t="s">
        <v>51</v>
      </c>
      <c r="AA70" s="78" t="s">
        <v>64</v>
      </c>
      <c r="AB70" s="78" t="s">
        <v>178</v>
      </c>
    </row>
    <row r="71" spans="1:28" x14ac:dyDescent="0.15">
      <c r="A71" s="78" t="s">
        <v>44</v>
      </c>
      <c r="B71" s="78" t="s">
        <v>174</v>
      </c>
      <c r="C71" s="78">
        <v>2020</v>
      </c>
      <c r="D71" s="126" t="s">
        <v>418</v>
      </c>
      <c r="E71" s="78" t="s">
        <v>197</v>
      </c>
      <c r="F71" s="78" t="s">
        <v>275</v>
      </c>
      <c r="G71" s="78" t="s">
        <v>25</v>
      </c>
      <c r="H71" s="78" t="s">
        <v>113</v>
      </c>
      <c r="I71" s="78" t="s">
        <v>111</v>
      </c>
      <c r="J71" s="78" t="s">
        <v>27</v>
      </c>
      <c r="K71" s="78" t="s">
        <v>112</v>
      </c>
      <c r="L71" s="78">
        <v>1</v>
      </c>
      <c r="M71" s="128"/>
      <c r="N71" s="78">
        <v>1</v>
      </c>
      <c r="O71" s="78">
        <v>1</v>
      </c>
      <c r="P71" s="78">
        <v>1</v>
      </c>
      <c r="Q71" s="16">
        <f t="shared" si="3"/>
        <v>1</v>
      </c>
      <c r="R71" s="78">
        <v>12.7</v>
      </c>
      <c r="S71" s="78">
        <v>107</v>
      </c>
      <c r="T71" s="16">
        <f t="shared" si="4"/>
        <v>33</v>
      </c>
      <c r="U71" s="78">
        <v>98</v>
      </c>
      <c r="V71" s="16">
        <f t="shared" si="5"/>
        <v>3234</v>
      </c>
      <c r="W71" s="78">
        <v>2</v>
      </c>
      <c r="X71" s="78" t="s">
        <v>35</v>
      </c>
      <c r="Y71" s="78" t="s">
        <v>64</v>
      </c>
      <c r="Z71" s="78" t="s">
        <v>43</v>
      </c>
      <c r="AA71" s="78" t="s">
        <v>72</v>
      </c>
      <c r="AB71" s="78" t="s">
        <v>178</v>
      </c>
    </row>
    <row r="72" spans="1:28" x14ac:dyDescent="0.15">
      <c r="A72" s="78" t="s">
        <v>44</v>
      </c>
      <c r="B72" s="78" t="s">
        <v>174</v>
      </c>
      <c r="C72" s="78">
        <v>2020</v>
      </c>
      <c r="D72" s="126" t="s">
        <v>418</v>
      </c>
      <c r="E72" s="78" t="s">
        <v>197</v>
      </c>
      <c r="F72" s="78" t="s">
        <v>275</v>
      </c>
      <c r="G72" s="78" t="s">
        <v>25</v>
      </c>
      <c r="H72" s="78" t="s">
        <v>113</v>
      </c>
      <c r="I72" s="78" t="s">
        <v>111</v>
      </c>
      <c r="J72" s="78" t="s">
        <v>27</v>
      </c>
      <c r="K72" s="78" t="s">
        <v>112</v>
      </c>
      <c r="L72" s="78">
        <v>2</v>
      </c>
      <c r="M72" s="128"/>
      <c r="N72" s="78">
        <v>1</v>
      </c>
      <c r="O72" s="78">
        <v>0.85</v>
      </c>
      <c r="P72" s="78">
        <v>0.75</v>
      </c>
      <c r="Q72" s="16">
        <f t="shared" si="3"/>
        <v>0.8</v>
      </c>
      <c r="R72" s="78">
        <v>13</v>
      </c>
      <c r="S72" s="78">
        <v>111</v>
      </c>
      <c r="T72" s="16">
        <f t="shared" si="4"/>
        <v>33</v>
      </c>
      <c r="U72" s="78">
        <v>98</v>
      </c>
      <c r="V72" s="16">
        <f t="shared" si="5"/>
        <v>3234</v>
      </c>
      <c r="W72" s="78">
        <v>2</v>
      </c>
      <c r="X72" s="78" t="s">
        <v>35</v>
      </c>
      <c r="Y72" s="78" t="s">
        <v>64</v>
      </c>
      <c r="Z72" s="78" t="s">
        <v>43</v>
      </c>
      <c r="AA72" s="78" t="s">
        <v>72</v>
      </c>
      <c r="AB72" s="78" t="s">
        <v>178</v>
      </c>
    </row>
    <row r="73" spans="1:28" x14ac:dyDescent="0.15">
      <c r="A73" s="78" t="s">
        <v>44</v>
      </c>
      <c r="B73" s="78" t="s">
        <v>174</v>
      </c>
      <c r="C73" s="78">
        <v>2020</v>
      </c>
      <c r="D73" s="126" t="s">
        <v>418</v>
      </c>
      <c r="E73" s="78" t="s">
        <v>197</v>
      </c>
      <c r="F73" s="78" t="s">
        <v>275</v>
      </c>
      <c r="G73" s="78" t="s">
        <v>25</v>
      </c>
      <c r="H73" s="78" t="s">
        <v>113</v>
      </c>
      <c r="I73" s="78" t="s">
        <v>111</v>
      </c>
      <c r="J73" s="78" t="s">
        <v>27</v>
      </c>
      <c r="K73" s="78" t="s">
        <v>112</v>
      </c>
      <c r="L73" s="78">
        <v>3</v>
      </c>
      <c r="M73" s="128"/>
      <c r="N73" s="78">
        <v>1</v>
      </c>
      <c r="O73" s="78">
        <v>0.95</v>
      </c>
      <c r="P73" s="78">
        <v>0.8</v>
      </c>
      <c r="Q73" s="16">
        <f t="shared" si="3"/>
        <v>0.875</v>
      </c>
      <c r="R73" s="78">
        <v>13.2</v>
      </c>
      <c r="S73" s="78">
        <v>115</v>
      </c>
      <c r="T73" s="16">
        <f t="shared" si="4"/>
        <v>30</v>
      </c>
      <c r="U73" s="78">
        <v>98</v>
      </c>
      <c r="V73" s="16">
        <f t="shared" si="5"/>
        <v>2940</v>
      </c>
      <c r="W73" s="78">
        <v>2</v>
      </c>
      <c r="X73" s="78" t="s">
        <v>35</v>
      </c>
      <c r="Y73" s="78" t="s">
        <v>64</v>
      </c>
      <c r="Z73" s="78" t="s">
        <v>43</v>
      </c>
      <c r="AA73" s="78" t="s">
        <v>72</v>
      </c>
      <c r="AB73" s="78" t="s">
        <v>178</v>
      </c>
    </row>
    <row r="74" spans="1:28" x14ac:dyDescent="0.15">
      <c r="A74" s="78" t="s">
        <v>44</v>
      </c>
      <c r="B74" s="78" t="s">
        <v>174</v>
      </c>
      <c r="C74" s="78">
        <v>2020</v>
      </c>
      <c r="D74" s="126" t="s">
        <v>418</v>
      </c>
      <c r="E74" s="78" t="s">
        <v>197</v>
      </c>
      <c r="F74" s="78" t="s">
        <v>275</v>
      </c>
      <c r="G74" s="78" t="s">
        <v>25</v>
      </c>
      <c r="H74" s="78" t="s">
        <v>167</v>
      </c>
      <c r="I74" s="78" t="s">
        <v>111</v>
      </c>
      <c r="J74" s="78" t="s">
        <v>27</v>
      </c>
      <c r="K74" s="78" t="s">
        <v>112</v>
      </c>
      <c r="L74" s="78">
        <v>1</v>
      </c>
      <c r="M74" s="128"/>
      <c r="N74" s="78">
        <v>1</v>
      </c>
      <c r="O74" s="78">
        <v>0.7</v>
      </c>
      <c r="P74" s="78">
        <v>0.7</v>
      </c>
      <c r="Q74" s="16">
        <f t="shared" si="3"/>
        <v>0.7</v>
      </c>
      <c r="R74" s="78">
        <v>16</v>
      </c>
      <c r="S74" s="78">
        <v>110</v>
      </c>
      <c r="T74" s="16">
        <f t="shared" si="4"/>
        <v>33</v>
      </c>
      <c r="U74" s="78">
        <v>128</v>
      </c>
      <c r="V74" s="16">
        <f t="shared" si="5"/>
        <v>4224</v>
      </c>
      <c r="W74" s="78">
        <v>2</v>
      </c>
      <c r="X74" s="78" t="s">
        <v>35</v>
      </c>
      <c r="Y74" s="78" t="s">
        <v>64</v>
      </c>
      <c r="Z74" s="78" t="s">
        <v>43</v>
      </c>
      <c r="AA74" s="78" t="s">
        <v>72</v>
      </c>
      <c r="AB74" s="78" t="s">
        <v>178</v>
      </c>
    </row>
    <row r="75" spans="1:28" x14ac:dyDescent="0.15">
      <c r="A75" s="78" t="s">
        <v>44</v>
      </c>
      <c r="B75" s="78" t="s">
        <v>174</v>
      </c>
      <c r="C75" s="78">
        <v>2020</v>
      </c>
      <c r="D75" s="126" t="s">
        <v>418</v>
      </c>
      <c r="E75" s="78" t="s">
        <v>197</v>
      </c>
      <c r="F75" s="78" t="s">
        <v>275</v>
      </c>
      <c r="G75" s="78" t="s">
        <v>25</v>
      </c>
      <c r="H75" s="78" t="s">
        <v>167</v>
      </c>
      <c r="I75" s="78" t="s">
        <v>111</v>
      </c>
      <c r="J75" s="78" t="s">
        <v>27</v>
      </c>
      <c r="K75" s="78" t="s">
        <v>112</v>
      </c>
      <c r="L75" s="78">
        <v>2</v>
      </c>
      <c r="M75" s="128"/>
      <c r="N75" s="78">
        <v>1</v>
      </c>
      <c r="O75" s="78">
        <v>0.8</v>
      </c>
      <c r="P75" s="78">
        <v>0.8</v>
      </c>
      <c r="Q75" s="16">
        <f t="shared" si="3"/>
        <v>0.8</v>
      </c>
      <c r="R75" s="78">
        <v>16.8</v>
      </c>
      <c r="S75" s="78">
        <v>109</v>
      </c>
      <c r="T75" s="16">
        <f t="shared" si="4"/>
        <v>33</v>
      </c>
      <c r="U75" s="78">
        <v>128</v>
      </c>
      <c r="V75" s="16">
        <f t="shared" si="5"/>
        <v>4224</v>
      </c>
      <c r="W75" s="78">
        <v>2</v>
      </c>
      <c r="X75" s="78" t="s">
        <v>35</v>
      </c>
      <c r="Y75" s="78" t="s">
        <v>64</v>
      </c>
      <c r="Z75" s="78" t="s">
        <v>43</v>
      </c>
      <c r="AA75" s="78" t="s">
        <v>72</v>
      </c>
      <c r="AB75" s="78" t="s">
        <v>178</v>
      </c>
    </row>
    <row r="76" spans="1:28" x14ac:dyDescent="0.15">
      <c r="A76" s="78" t="s">
        <v>44</v>
      </c>
      <c r="B76" s="78" t="s">
        <v>174</v>
      </c>
      <c r="C76" s="78">
        <v>2020</v>
      </c>
      <c r="D76" s="126" t="s">
        <v>418</v>
      </c>
      <c r="E76" s="78" t="s">
        <v>197</v>
      </c>
      <c r="F76" s="78" t="s">
        <v>275</v>
      </c>
      <c r="G76" s="78" t="s">
        <v>25</v>
      </c>
      <c r="H76" s="78" t="s">
        <v>167</v>
      </c>
      <c r="I76" s="78" t="s">
        <v>111</v>
      </c>
      <c r="J76" s="78" t="s">
        <v>27</v>
      </c>
      <c r="K76" s="78" t="s">
        <v>112</v>
      </c>
      <c r="L76" s="78">
        <v>3</v>
      </c>
      <c r="M76" s="128"/>
      <c r="N76" s="78">
        <v>1</v>
      </c>
      <c r="O76" s="78">
        <v>0.8</v>
      </c>
      <c r="P76" s="78">
        <v>0.8</v>
      </c>
      <c r="Q76" s="16">
        <f t="shared" si="3"/>
        <v>0.8</v>
      </c>
      <c r="R76" s="78">
        <v>16.3</v>
      </c>
      <c r="S76" s="78">
        <v>105</v>
      </c>
      <c r="T76" s="16">
        <f t="shared" si="4"/>
        <v>33</v>
      </c>
      <c r="U76" s="78">
        <v>128</v>
      </c>
      <c r="V76" s="16">
        <f t="shared" si="5"/>
        <v>4224</v>
      </c>
      <c r="W76" s="78">
        <v>2</v>
      </c>
      <c r="X76" s="78" t="s">
        <v>35</v>
      </c>
      <c r="Y76" s="78" t="s">
        <v>64</v>
      </c>
      <c r="Z76" s="78" t="s">
        <v>43</v>
      </c>
      <c r="AA76" s="78" t="s">
        <v>72</v>
      </c>
      <c r="AB76" s="78" t="s">
        <v>178</v>
      </c>
    </row>
    <row r="77" spans="1:28" x14ac:dyDescent="0.15">
      <c r="A77" s="78" t="s">
        <v>44</v>
      </c>
      <c r="B77" s="78" t="s">
        <v>174</v>
      </c>
      <c r="C77" s="78">
        <v>2020</v>
      </c>
      <c r="D77" s="126" t="s">
        <v>418</v>
      </c>
      <c r="E77" s="78" t="s">
        <v>197</v>
      </c>
      <c r="F77" s="78" t="s">
        <v>275</v>
      </c>
      <c r="G77" s="78" t="s">
        <v>25</v>
      </c>
      <c r="H77" s="78" t="s">
        <v>167</v>
      </c>
      <c r="I77" s="78" t="s">
        <v>111</v>
      </c>
      <c r="J77" s="78" t="s">
        <v>27</v>
      </c>
      <c r="K77" s="78" t="s">
        <v>112</v>
      </c>
      <c r="L77" s="78">
        <v>1</v>
      </c>
      <c r="M77" s="128"/>
      <c r="N77" s="78">
        <v>4</v>
      </c>
      <c r="O77" s="78">
        <v>0.75</v>
      </c>
      <c r="P77" s="78">
        <v>0.8</v>
      </c>
      <c r="Q77" s="16">
        <f t="shared" si="3"/>
        <v>0.77500000000000002</v>
      </c>
      <c r="R77" s="78">
        <v>18.2</v>
      </c>
      <c r="S77" s="78">
        <v>93</v>
      </c>
      <c r="T77" s="16">
        <f t="shared" si="4"/>
        <v>36</v>
      </c>
      <c r="U77" s="78">
        <v>498</v>
      </c>
      <c r="V77" s="16">
        <f t="shared" si="5"/>
        <v>4482</v>
      </c>
      <c r="W77" s="78">
        <v>4</v>
      </c>
      <c r="X77" s="78" t="s">
        <v>35</v>
      </c>
      <c r="Y77" s="78" t="s">
        <v>64</v>
      </c>
      <c r="Z77" s="78" t="s">
        <v>43</v>
      </c>
      <c r="AA77" s="78" t="s">
        <v>72</v>
      </c>
      <c r="AB77" s="78" t="s">
        <v>178</v>
      </c>
    </row>
    <row r="78" spans="1:28" x14ac:dyDescent="0.15">
      <c r="A78" s="78" t="s">
        <v>44</v>
      </c>
      <c r="B78" s="78" t="s">
        <v>174</v>
      </c>
      <c r="C78" s="78">
        <v>2020</v>
      </c>
      <c r="D78" s="126" t="s">
        <v>418</v>
      </c>
      <c r="E78" s="78" t="s">
        <v>197</v>
      </c>
      <c r="F78" s="78" t="s">
        <v>275</v>
      </c>
      <c r="G78" s="78" t="s">
        <v>25</v>
      </c>
      <c r="H78" s="78" t="s">
        <v>167</v>
      </c>
      <c r="I78" s="78" t="s">
        <v>111</v>
      </c>
      <c r="J78" s="78" t="s">
        <v>27</v>
      </c>
      <c r="K78" s="78" t="s">
        <v>112</v>
      </c>
      <c r="L78" s="78">
        <v>2</v>
      </c>
      <c r="M78" s="128"/>
      <c r="N78" s="78">
        <v>4</v>
      </c>
      <c r="O78" s="78">
        <v>0.8</v>
      </c>
      <c r="P78" s="78">
        <v>0.7</v>
      </c>
      <c r="Q78" s="16">
        <f t="shared" si="3"/>
        <v>0.75</v>
      </c>
      <c r="R78" s="78">
        <v>17.100000000000001</v>
      </c>
      <c r="S78" s="78">
        <v>95</v>
      </c>
      <c r="T78" s="16">
        <f t="shared" si="4"/>
        <v>36</v>
      </c>
      <c r="U78" s="78">
        <v>498</v>
      </c>
      <c r="V78" s="16">
        <f t="shared" si="5"/>
        <v>4482</v>
      </c>
      <c r="W78" s="78">
        <v>4</v>
      </c>
      <c r="X78" s="78" t="s">
        <v>35</v>
      </c>
      <c r="Y78" s="78" t="s">
        <v>64</v>
      </c>
      <c r="Z78" s="78" t="s">
        <v>43</v>
      </c>
      <c r="AA78" s="78" t="s">
        <v>72</v>
      </c>
      <c r="AB78" s="78" t="s">
        <v>178</v>
      </c>
    </row>
    <row r="79" spans="1:28" x14ac:dyDescent="0.15">
      <c r="A79" s="78" t="s">
        <v>44</v>
      </c>
      <c r="B79" s="78" t="s">
        <v>174</v>
      </c>
      <c r="C79" s="78">
        <v>2020</v>
      </c>
      <c r="D79" s="126" t="s">
        <v>418</v>
      </c>
      <c r="E79" s="78" t="s">
        <v>197</v>
      </c>
      <c r="F79" s="78" t="s">
        <v>275</v>
      </c>
      <c r="G79" s="78" t="s">
        <v>25</v>
      </c>
      <c r="H79" s="78" t="s">
        <v>167</v>
      </c>
      <c r="I79" s="78" t="s">
        <v>111</v>
      </c>
      <c r="J79" s="78" t="s">
        <v>27</v>
      </c>
      <c r="K79" s="78" t="s">
        <v>112</v>
      </c>
      <c r="L79" s="78">
        <v>3</v>
      </c>
      <c r="M79" s="128"/>
      <c r="N79" s="78">
        <v>4</v>
      </c>
      <c r="O79" s="78">
        <v>0.7</v>
      </c>
      <c r="P79" s="78">
        <v>0.8</v>
      </c>
      <c r="Q79" s="16">
        <f t="shared" si="3"/>
        <v>0.75</v>
      </c>
      <c r="R79" s="78">
        <v>17.100000000000001</v>
      </c>
      <c r="S79" s="78">
        <v>95</v>
      </c>
      <c r="T79" s="16">
        <f t="shared" si="4"/>
        <v>36</v>
      </c>
      <c r="U79" s="78">
        <v>498</v>
      </c>
      <c r="V79" s="16">
        <f t="shared" si="5"/>
        <v>4482</v>
      </c>
      <c r="W79" s="78">
        <v>4</v>
      </c>
      <c r="X79" s="78" t="s">
        <v>35</v>
      </c>
      <c r="Y79" s="78" t="s">
        <v>64</v>
      </c>
      <c r="Z79" s="78" t="s">
        <v>43</v>
      </c>
      <c r="AA79" s="78" t="s">
        <v>72</v>
      </c>
      <c r="AB79" s="78" t="s">
        <v>178</v>
      </c>
    </row>
    <row r="80" spans="1:28" x14ac:dyDescent="0.15">
      <c r="A80" s="78" t="s">
        <v>44</v>
      </c>
      <c r="B80" s="78" t="s">
        <v>174</v>
      </c>
      <c r="C80" s="78">
        <v>2020</v>
      </c>
      <c r="D80" s="126" t="s">
        <v>418</v>
      </c>
      <c r="E80" s="78" t="s">
        <v>197</v>
      </c>
      <c r="F80" s="78" t="s">
        <v>275</v>
      </c>
      <c r="G80" s="78" t="s">
        <v>25</v>
      </c>
      <c r="H80" s="78" t="s">
        <v>167</v>
      </c>
      <c r="I80" s="78" t="s">
        <v>111</v>
      </c>
      <c r="J80" s="78" t="s">
        <v>27</v>
      </c>
      <c r="K80" s="78" t="s">
        <v>112</v>
      </c>
      <c r="L80" s="78">
        <v>1</v>
      </c>
      <c r="M80" s="128"/>
      <c r="N80" s="78">
        <v>3</v>
      </c>
      <c r="O80" s="78">
        <v>0.95</v>
      </c>
      <c r="P80" s="78">
        <v>0.85</v>
      </c>
      <c r="Q80" s="16">
        <f t="shared" si="3"/>
        <v>0.89999999999999991</v>
      </c>
      <c r="R80" s="78">
        <v>16.5</v>
      </c>
      <c r="S80" s="78">
        <v>171</v>
      </c>
      <c r="T80" s="16">
        <f t="shared" si="4"/>
        <v>22</v>
      </c>
      <c r="U80" s="78">
        <v>498</v>
      </c>
      <c r="V80" s="16">
        <f t="shared" si="5"/>
        <v>3652</v>
      </c>
      <c r="W80" s="78">
        <v>1</v>
      </c>
      <c r="X80" s="78" t="s">
        <v>35</v>
      </c>
      <c r="Y80" s="78" t="s">
        <v>64</v>
      </c>
      <c r="Z80" s="78" t="s">
        <v>43</v>
      </c>
      <c r="AA80" s="78" t="s">
        <v>72</v>
      </c>
      <c r="AB80" s="78" t="s">
        <v>178</v>
      </c>
    </row>
    <row r="81" spans="1:28" x14ac:dyDescent="0.15">
      <c r="A81" s="78" t="s">
        <v>44</v>
      </c>
      <c r="B81" s="78" t="s">
        <v>174</v>
      </c>
      <c r="C81" s="78">
        <v>2020</v>
      </c>
      <c r="D81" s="126" t="s">
        <v>418</v>
      </c>
      <c r="E81" s="78" t="s">
        <v>197</v>
      </c>
      <c r="F81" s="78" t="s">
        <v>275</v>
      </c>
      <c r="G81" s="78" t="s">
        <v>25</v>
      </c>
      <c r="H81" s="78" t="s">
        <v>167</v>
      </c>
      <c r="I81" s="78" t="s">
        <v>111</v>
      </c>
      <c r="J81" s="78" t="s">
        <v>27</v>
      </c>
      <c r="K81" s="78" t="s">
        <v>112</v>
      </c>
      <c r="L81" s="78">
        <v>2</v>
      </c>
      <c r="M81" s="128"/>
      <c r="N81" s="78">
        <v>3</v>
      </c>
      <c r="O81" s="78">
        <v>0.75</v>
      </c>
      <c r="P81" s="78">
        <v>0.75</v>
      </c>
      <c r="Q81" s="16">
        <f t="shared" si="3"/>
        <v>0.75</v>
      </c>
      <c r="R81" s="78">
        <v>17</v>
      </c>
      <c r="S81" s="78">
        <v>160</v>
      </c>
      <c r="T81" s="16">
        <f t="shared" si="4"/>
        <v>22</v>
      </c>
      <c r="U81" s="78">
        <v>498</v>
      </c>
      <c r="V81" s="16">
        <f t="shared" si="5"/>
        <v>3652</v>
      </c>
      <c r="W81" s="78">
        <v>1</v>
      </c>
      <c r="X81" s="78" t="s">
        <v>35</v>
      </c>
      <c r="Y81" s="78" t="s">
        <v>64</v>
      </c>
      <c r="Z81" s="78" t="s">
        <v>43</v>
      </c>
      <c r="AA81" s="78" t="s">
        <v>72</v>
      </c>
      <c r="AB81" s="78" t="s">
        <v>178</v>
      </c>
    </row>
    <row r="82" spans="1:28" x14ac:dyDescent="0.15">
      <c r="A82" s="78" t="s">
        <v>44</v>
      </c>
      <c r="B82" s="78" t="s">
        <v>174</v>
      </c>
      <c r="C82" s="78">
        <v>2020</v>
      </c>
      <c r="D82" s="126" t="s">
        <v>418</v>
      </c>
      <c r="E82" s="78" t="s">
        <v>197</v>
      </c>
      <c r="F82" s="78" t="s">
        <v>275</v>
      </c>
      <c r="G82" s="78" t="s">
        <v>25</v>
      </c>
      <c r="H82" s="78" t="s">
        <v>167</v>
      </c>
      <c r="I82" s="78" t="s">
        <v>111</v>
      </c>
      <c r="J82" s="78" t="s">
        <v>27</v>
      </c>
      <c r="K82" s="78" t="s">
        <v>112</v>
      </c>
      <c r="L82" s="78">
        <v>3</v>
      </c>
      <c r="M82" s="128"/>
      <c r="N82" s="78">
        <v>3</v>
      </c>
      <c r="O82" s="78">
        <v>0.85</v>
      </c>
      <c r="P82" s="78">
        <v>0.8</v>
      </c>
      <c r="Q82" s="16">
        <f t="shared" si="3"/>
        <v>0.82499999999999996</v>
      </c>
      <c r="R82" s="78">
        <v>16</v>
      </c>
      <c r="S82" s="78">
        <v>157</v>
      </c>
      <c r="T82" s="16">
        <f t="shared" si="4"/>
        <v>22</v>
      </c>
      <c r="U82" s="78">
        <v>498</v>
      </c>
      <c r="V82" s="16">
        <f t="shared" si="5"/>
        <v>3652</v>
      </c>
      <c r="W82" s="78">
        <v>1</v>
      </c>
      <c r="X82" s="78" t="s">
        <v>35</v>
      </c>
      <c r="Y82" s="78" t="s">
        <v>64</v>
      </c>
      <c r="Z82" s="78" t="s">
        <v>43</v>
      </c>
      <c r="AA82" s="78" t="s">
        <v>72</v>
      </c>
      <c r="AB82" s="78" t="s">
        <v>178</v>
      </c>
    </row>
    <row r="83" spans="1:28" x14ac:dyDescent="0.15">
      <c r="A83" s="78" t="s">
        <v>44</v>
      </c>
      <c r="B83" s="78" t="s">
        <v>174</v>
      </c>
      <c r="C83" s="78">
        <v>2020</v>
      </c>
      <c r="D83" s="126" t="s">
        <v>418</v>
      </c>
      <c r="E83" s="78" t="s">
        <v>197</v>
      </c>
      <c r="F83" s="78" t="s">
        <v>275</v>
      </c>
      <c r="G83" s="78" t="s">
        <v>25</v>
      </c>
      <c r="H83" s="78" t="s">
        <v>167</v>
      </c>
      <c r="I83" s="78" t="s">
        <v>111</v>
      </c>
      <c r="J83" s="78" t="s">
        <v>27</v>
      </c>
      <c r="K83" s="78" t="s">
        <v>112</v>
      </c>
      <c r="L83" s="78">
        <v>1</v>
      </c>
      <c r="M83" s="128"/>
      <c r="N83" s="78">
        <v>8</v>
      </c>
      <c r="O83" s="78">
        <v>0.6</v>
      </c>
      <c r="P83" s="78">
        <v>0.65</v>
      </c>
      <c r="Q83" s="16">
        <f t="shared" si="3"/>
        <v>0.625</v>
      </c>
      <c r="R83" s="78">
        <v>17</v>
      </c>
      <c r="S83" s="78">
        <v>98</v>
      </c>
      <c r="T83" s="16">
        <f t="shared" si="4"/>
        <v>36</v>
      </c>
      <c r="U83" s="78">
        <v>698</v>
      </c>
      <c r="V83" s="16">
        <f t="shared" si="5"/>
        <v>3141</v>
      </c>
      <c r="W83" s="78">
        <v>1</v>
      </c>
      <c r="X83" s="78" t="s">
        <v>35</v>
      </c>
      <c r="Y83" s="78" t="s">
        <v>64</v>
      </c>
      <c r="Z83" s="78" t="s">
        <v>43</v>
      </c>
      <c r="AA83" s="78" t="s">
        <v>72</v>
      </c>
      <c r="AB83" s="78" t="s">
        <v>178</v>
      </c>
    </row>
    <row r="84" spans="1:28" x14ac:dyDescent="0.15">
      <c r="A84" s="78" t="s">
        <v>44</v>
      </c>
      <c r="B84" s="78" t="s">
        <v>174</v>
      </c>
      <c r="C84" s="78">
        <v>2020</v>
      </c>
      <c r="D84" s="126" t="s">
        <v>418</v>
      </c>
      <c r="E84" s="78" t="s">
        <v>197</v>
      </c>
      <c r="F84" s="78" t="s">
        <v>275</v>
      </c>
      <c r="G84" s="78" t="s">
        <v>25</v>
      </c>
      <c r="H84" s="78" t="s">
        <v>167</v>
      </c>
      <c r="I84" s="78" t="s">
        <v>111</v>
      </c>
      <c r="J84" s="78" t="s">
        <v>27</v>
      </c>
      <c r="K84" s="78" t="s">
        <v>112</v>
      </c>
      <c r="L84" s="78">
        <v>2</v>
      </c>
      <c r="M84" s="128"/>
      <c r="N84" s="78">
        <v>8</v>
      </c>
      <c r="O84" s="78">
        <v>0.65</v>
      </c>
      <c r="P84" s="78">
        <v>0.65</v>
      </c>
      <c r="Q84" s="16">
        <f t="shared" si="3"/>
        <v>0.65</v>
      </c>
      <c r="R84" s="78">
        <v>15.5</v>
      </c>
      <c r="S84" s="78">
        <v>103</v>
      </c>
      <c r="T84" s="16">
        <f t="shared" si="4"/>
        <v>33</v>
      </c>
      <c r="U84" s="78">
        <v>698</v>
      </c>
      <c r="V84" s="16">
        <f t="shared" si="5"/>
        <v>2879.25</v>
      </c>
      <c r="W84" s="78">
        <v>1</v>
      </c>
      <c r="X84" s="78" t="s">
        <v>35</v>
      </c>
      <c r="Y84" s="78" t="s">
        <v>64</v>
      </c>
      <c r="Z84" s="78" t="s">
        <v>43</v>
      </c>
      <c r="AA84" s="78" t="s">
        <v>72</v>
      </c>
      <c r="AB84" s="78" t="s">
        <v>178</v>
      </c>
    </row>
    <row r="85" spans="1:28" x14ac:dyDescent="0.15">
      <c r="A85" s="78" t="s">
        <v>44</v>
      </c>
      <c r="B85" s="78" t="s">
        <v>174</v>
      </c>
      <c r="C85" s="78">
        <v>2020</v>
      </c>
      <c r="D85" s="126" t="s">
        <v>418</v>
      </c>
      <c r="E85" s="78" t="s">
        <v>197</v>
      </c>
      <c r="F85" s="78" t="s">
        <v>275</v>
      </c>
      <c r="G85" s="78" t="s">
        <v>25</v>
      </c>
      <c r="H85" s="78" t="s">
        <v>167</v>
      </c>
      <c r="I85" s="78" t="s">
        <v>111</v>
      </c>
      <c r="J85" s="78" t="s">
        <v>27</v>
      </c>
      <c r="K85" s="78" t="s">
        <v>112</v>
      </c>
      <c r="L85" s="78">
        <v>3</v>
      </c>
      <c r="M85" s="128"/>
      <c r="N85" s="78">
        <v>8</v>
      </c>
      <c r="O85" s="78">
        <v>0.65</v>
      </c>
      <c r="P85" s="78">
        <v>0.65</v>
      </c>
      <c r="Q85" s="16">
        <f t="shared" si="3"/>
        <v>0.65</v>
      </c>
      <c r="R85" s="78">
        <v>14.8</v>
      </c>
      <c r="S85" s="78">
        <v>103</v>
      </c>
      <c r="T85" s="16">
        <f t="shared" si="4"/>
        <v>33</v>
      </c>
      <c r="U85" s="78">
        <v>698</v>
      </c>
      <c r="V85" s="16">
        <f t="shared" si="5"/>
        <v>2879.25</v>
      </c>
      <c r="W85" s="78">
        <v>1</v>
      </c>
      <c r="X85" s="78" t="s">
        <v>35</v>
      </c>
      <c r="Y85" s="78" t="s">
        <v>64</v>
      </c>
      <c r="Z85" s="78" t="s">
        <v>43</v>
      </c>
      <c r="AA85" s="78" t="s">
        <v>72</v>
      </c>
      <c r="AB85" s="78" t="s">
        <v>178</v>
      </c>
    </row>
    <row r="86" spans="1:28" x14ac:dyDescent="0.15">
      <c r="A86" s="78" t="s">
        <v>44</v>
      </c>
      <c r="B86" s="78" t="s">
        <v>174</v>
      </c>
      <c r="C86" s="78">
        <v>2020</v>
      </c>
      <c r="D86" s="126" t="s">
        <v>418</v>
      </c>
      <c r="E86" s="78" t="s">
        <v>276</v>
      </c>
      <c r="F86" s="78" t="s">
        <v>275</v>
      </c>
      <c r="G86" s="78" t="s">
        <v>31</v>
      </c>
      <c r="H86" s="78" t="s">
        <v>113</v>
      </c>
      <c r="I86" s="78" t="s">
        <v>111</v>
      </c>
      <c r="J86" s="78" t="s">
        <v>27</v>
      </c>
      <c r="K86" s="78" t="s">
        <v>112</v>
      </c>
      <c r="L86" s="78">
        <v>1</v>
      </c>
      <c r="M86" s="128"/>
      <c r="N86" s="78">
        <v>1</v>
      </c>
      <c r="O86" s="78">
        <v>0.65</v>
      </c>
      <c r="P86" s="78">
        <v>0.7</v>
      </c>
      <c r="Q86" s="16">
        <f t="shared" si="3"/>
        <v>0.67500000000000004</v>
      </c>
      <c r="R86" s="78">
        <v>15.5</v>
      </c>
      <c r="S86" s="78">
        <v>122</v>
      </c>
      <c r="T86" s="16">
        <f t="shared" si="4"/>
        <v>27</v>
      </c>
      <c r="U86" s="78">
        <v>146</v>
      </c>
      <c r="V86" s="16">
        <f t="shared" si="5"/>
        <v>3942</v>
      </c>
      <c r="W86" s="78">
        <v>1</v>
      </c>
      <c r="X86" s="78" t="s">
        <v>35</v>
      </c>
      <c r="Y86" s="78" t="s">
        <v>72</v>
      </c>
      <c r="Z86" s="78" t="s">
        <v>55</v>
      </c>
      <c r="AA86" s="78" t="s">
        <v>36</v>
      </c>
      <c r="AB86" s="78" t="s">
        <v>178</v>
      </c>
    </row>
    <row r="87" spans="1:28" x14ac:dyDescent="0.15">
      <c r="A87" s="78" t="s">
        <v>44</v>
      </c>
      <c r="B87" s="78" t="s">
        <v>174</v>
      </c>
      <c r="C87" s="78">
        <v>2020</v>
      </c>
      <c r="D87" s="126" t="s">
        <v>418</v>
      </c>
      <c r="E87" s="78" t="s">
        <v>276</v>
      </c>
      <c r="F87" s="78" t="s">
        <v>275</v>
      </c>
      <c r="G87" s="78" t="s">
        <v>31</v>
      </c>
      <c r="H87" s="78" t="s">
        <v>113</v>
      </c>
      <c r="I87" s="78" t="s">
        <v>111</v>
      </c>
      <c r="J87" s="78" t="s">
        <v>27</v>
      </c>
      <c r="K87" s="78" t="s">
        <v>112</v>
      </c>
      <c r="L87" s="78">
        <v>2</v>
      </c>
      <c r="M87" s="128"/>
      <c r="N87" s="78">
        <v>1</v>
      </c>
      <c r="O87" s="78">
        <v>0.7</v>
      </c>
      <c r="P87" s="78">
        <v>0.65</v>
      </c>
      <c r="Q87" s="16">
        <f t="shared" si="3"/>
        <v>0.67500000000000004</v>
      </c>
      <c r="R87" s="78">
        <v>13.9</v>
      </c>
      <c r="S87" s="78">
        <v>129</v>
      </c>
      <c r="T87" s="16">
        <f t="shared" si="4"/>
        <v>25</v>
      </c>
      <c r="U87" s="78">
        <v>146</v>
      </c>
      <c r="V87" s="16">
        <f t="shared" si="5"/>
        <v>3650</v>
      </c>
      <c r="W87" s="78">
        <v>1</v>
      </c>
      <c r="X87" s="78" t="s">
        <v>35</v>
      </c>
      <c r="Y87" s="78" t="s">
        <v>72</v>
      </c>
      <c r="Z87" s="78" t="s">
        <v>55</v>
      </c>
      <c r="AA87" s="78" t="s">
        <v>36</v>
      </c>
      <c r="AB87" s="78" t="s">
        <v>178</v>
      </c>
    </row>
    <row r="88" spans="1:28" x14ac:dyDescent="0.15">
      <c r="A88" s="78" t="s">
        <v>44</v>
      </c>
      <c r="B88" s="78" t="s">
        <v>174</v>
      </c>
      <c r="C88" s="78">
        <v>2020</v>
      </c>
      <c r="D88" s="126" t="s">
        <v>418</v>
      </c>
      <c r="E88" s="78" t="s">
        <v>276</v>
      </c>
      <c r="F88" s="78" t="s">
        <v>275</v>
      </c>
      <c r="G88" s="78" t="s">
        <v>31</v>
      </c>
      <c r="H88" s="78" t="s">
        <v>113</v>
      </c>
      <c r="I88" s="78" t="s">
        <v>111</v>
      </c>
      <c r="J88" s="78" t="s">
        <v>27</v>
      </c>
      <c r="K88" s="78" t="s">
        <v>112</v>
      </c>
      <c r="L88" s="78">
        <v>3</v>
      </c>
      <c r="M88" s="128"/>
      <c r="N88" s="78">
        <v>1</v>
      </c>
      <c r="O88" s="78">
        <v>0.8</v>
      </c>
      <c r="P88" s="78">
        <v>0.85</v>
      </c>
      <c r="Q88" s="16">
        <f t="shared" si="3"/>
        <v>0.82499999999999996</v>
      </c>
      <c r="R88" s="78">
        <v>13</v>
      </c>
      <c r="S88" s="78">
        <v>130</v>
      </c>
      <c r="T88" s="16">
        <f t="shared" si="4"/>
        <v>25</v>
      </c>
      <c r="U88" s="78">
        <v>146</v>
      </c>
      <c r="V88" s="16">
        <f t="shared" si="5"/>
        <v>3650</v>
      </c>
      <c r="W88" s="78">
        <v>1</v>
      </c>
      <c r="X88" s="78" t="s">
        <v>35</v>
      </c>
      <c r="Y88" s="78" t="s">
        <v>72</v>
      </c>
      <c r="Z88" s="78" t="s">
        <v>55</v>
      </c>
      <c r="AA88" s="78" t="s">
        <v>36</v>
      </c>
      <c r="AB88" s="78" t="s">
        <v>178</v>
      </c>
    </row>
    <row r="89" spans="1:28" x14ac:dyDescent="0.15">
      <c r="A89" s="78" t="s">
        <v>44</v>
      </c>
      <c r="B89" s="78" t="s">
        <v>174</v>
      </c>
      <c r="C89" s="78">
        <v>2020</v>
      </c>
      <c r="D89" s="126" t="s">
        <v>418</v>
      </c>
      <c r="E89" s="78" t="s">
        <v>276</v>
      </c>
      <c r="F89" s="78" t="s">
        <v>275</v>
      </c>
      <c r="G89" s="78" t="s">
        <v>31</v>
      </c>
      <c r="H89" s="78" t="s">
        <v>113</v>
      </c>
      <c r="I89" s="78" t="s">
        <v>111</v>
      </c>
      <c r="J89" s="78" t="s">
        <v>27</v>
      </c>
      <c r="K89" s="78" t="s">
        <v>112</v>
      </c>
      <c r="L89" s="78">
        <v>1</v>
      </c>
      <c r="M89" s="128"/>
      <c r="N89" s="78">
        <v>3</v>
      </c>
      <c r="O89" s="78">
        <v>0.9</v>
      </c>
      <c r="P89" s="78">
        <v>0.95</v>
      </c>
      <c r="Q89" s="16">
        <f t="shared" si="3"/>
        <v>0.92500000000000004</v>
      </c>
      <c r="R89" s="78">
        <v>15.4</v>
      </c>
      <c r="S89" s="78">
        <v>99</v>
      </c>
      <c r="T89" s="16">
        <f t="shared" si="4"/>
        <v>33</v>
      </c>
      <c r="U89" s="78">
        <v>276</v>
      </c>
      <c r="V89" s="16">
        <f t="shared" si="5"/>
        <v>3036</v>
      </c>
      <c r="W89" s="78">
        <v>1</v>
      </c>
      <c r="X89" s="78" t="s">
        <v>35</v>
      </c>
      <c r="Y89" s="78" t="s">
        <v>72</v>
      </c>
      <c r="Z89" s="78" t="s">
        <v>55</v>
      </c>
      <c r="AA89" s="78" t="s">
        <v>36</v>
      </c>
      <c r="AB89" s="78" t="s">
        <v>178</v>
      </c>
    </row>
    <row r="90" spans="1:28" x14ac:dyDescent="0.15">
      <c r="A90" s="78" t="s">
        <v>44</v>
      </c>
      <c r="B90" s="78" t="s">
        <v>174</v>
      </c>
      <c r="C90" s="78">
        <v>2020</v>
      </c>
      <c r="D90" s="126" t="s">
        <v>418</v>
      </c>
      <c r="E90" s="78" t="s">
        <v>276</v>
      </c>
      <c r="F90" s="78" t="s">
        <v>275</v>
      </c>
      <c r="G90" s="78" t="s">
        <v>31</v>
      </c>
      <c r="H90" s="78" t="s">
        <v>113</v>
      </c>
      <c r="I90" s="78" t="s">
        <v>111</v>
      </c>
      <c r="J90" s="78" t="s">
        <v>27</v>
      </c>
      <c r="K90" s="78" t="s">
        <v>112</v>
      </c>
      <c r="L90" s="78">
        <v>2</v>
      </c>
      <c r="M90" s="128"/>
      <c r="N90" s="78">
        <v>3</v>
      </c>
      <c r="O90" s="78">
        <v>0.9</v>
      </c>
      <c r="P90" s="78">
        <v>0.9</v>
      </c>
      <c r="Q90" s="16">
        <f t="shared" si="3"/>
        <v>0.9</v>
      </c>
      <c r="R90" s="78">
        <v>11.9</v>
      </c>
      <c r="S90" s="78">
        <v>95</v>
      </c>
      <c r="T90" s="16">
        <f t="shared" si="4"/>
        <v>36</v>
      </c>
      <c r="U90" s="78">
        <v>276</v>
      </c>
      <c r="V90" s="16">
        <f t="shared" si="5"/>
        <v>3312</v>
      </c>
      <c r="W90" s="78">
        <v>1</v>
      </c>
      <c r="X90" s="78" t="s">
        <v>35</v>
      </c>
      <c r="Y90" s="78" t="s">
        <v>72</v>
      </c>
      <c r="Z90" s="78" t="s">
        <v>55</v>
      </c>
      <c r="AA90" s="78" t="s">
        <v>36</v>
      </c>
      <c r="AB90" s="78" t="s">
        <v>178</v>
      </c>
    </row>
    <row r="91" spans="1:28" x14ac:dyDescent="0.15">
      <c r="A91" s="78" t="s">
        <v>44</v>
      </c>
      <c r="B91" s="78" t="s">
        <v>174</v>
      </c>
      <c r="C91" s="78">
        <v>2020</v>
      </c>
      <c r="D91" s="126" t="s">
        <v>418</v>
      </c>
      <c r="E91" s="78" t="s">
        <v>276</v>
      </c>
      <c r="F91" s="78" t="s">
        <v>275</v>
      </c>
      <c r="G91" s="78" t="s">
        <v>31</v>
      </c>
      <c r="H91" s="78" t="s">
        <v>113</v>
      </c>
      <c r="I91" s="78" t="s">
        <v>111</v>
      </c>
      <c r="J91" s="78" t="s">
        <v>27</v>
      </c>
      <c r="K91" s="78" t="s">
        <v>112</v>
      </c>
      <c r="L91" s="78">
        <v>3</v>
      </c>
      <c r="M91" s="128"/>
      <c r="N91" s="78">
        <v>3</v>
      </c>
      <c r="O91" s="78">
        <v>1.5</v>
      </c>
      <c r="P91" s="78">
        <v>1.35</v>
      </c>
      <c r="Q91" s="16">
        <f t="shared" si="3"/>
        <v>1.425</v>
      </c>
      <c r="R91" s="78">
        <v>15</v>
      </c>
      <c r="S91" s="78">
        <v>97</v>
      </c>
      <c r="T91" s="16">
        <f t="shared" si="4"/>
        <v>36</v>
      </c>
      <c r="U91" s="78">
        <v>276</v>
      </c>
      <c r="V91" s="16">
        <f t="shared" si="5"/>
        <v>3312</v>
      </c>
      <c r="W91" s="78">
        <v>1</v>
      </c>
      <c r="X91" s="78" t="s">
        <v>35</v>
      </c>
      <c r="Y91" s="78" t="s">
        <v>72</v>
      </c>
      <c r="Z91" s="78" t="s">
        <v>55</v>
      </c>
      <c r="AA91" s="78" t="s">
        <v>36</v>
      </c>
      <c r="AB91" s="78" t="s">
        <v>178</v>
      </c>
    </row>
    <row r="92" spans="1:28" x14ac:dyDescent="0.15">
      <c r="A92" s="78" t="s">
        <v>44</v>
      </c>
      <c r="B92" s="78" t="s">
        <v>174</v>
      </c>
      <c r="C92" s="78">
        <v>2020</v>
      </c>
      <c r="D92" s="126" t="s">
        <v>418</v>
      </c>
      <c r="E92" s="78" t="s">
        <v>276</v>
      </c>
      <c r="F92" s="78" t="s">
        <v>275</v>
      </c>
      <c r="G92" s="78" t="s">
        <v>31</v>
      </c>
      <c r="H92" s="78" t="s">
        <v>167</v>
      </c>
      <c r="I92" s="78" t="s">
        <v>111</v>
      </c>
      <c r="J92" s="78" t="s">
        <v>27</v>
      </c>
      <c r="K92" s="78" t="s">
        <v>112</v>
      </c>
      <c r="L92" s="78">
        <v>1</v>
      </c>
      <c r="M92" s="128"/>
      <c r="N92" s="78">
        <v>1</v>
      </c>
      <c r="O92" s="78">
        <v>0.55000000000000004</v>
      </c>
      <c r="P92" s="78">
        <v>0.6</v>
      </c>
      <c r="Q92" s="16">
        <f t="shared" si="3"/>
        <v>0.57499999999999996</v>
      </c>
      <c r="R92" s="78">
        <v>16.5</v>
      </c>
      <c r="S92" s="78">
        <v>117</v>
      </c>
      <c r="T92" s="16">
        <f t="shared" si="4"/>
        <v>30</v>
      </c>
      <c r="U92" s="78">
        <v>146</v>
      </c>
      <c r="V92" s="16">
        <f t="shared" si="5"/>
        <v>4380</v>
      </c>
      <c r="W92" s="78">
        <v>1</v>
      </c>
      <c r="X92" s="78" t="s">
        <v>35</v>
      </c>
      <c r="Y92" s="78" t="s">
        <v>72</v>
      </c>
      <c r="Z92" s="78" t="s">
        <v>55</v>
      </c>
      <c r="AA92" s="78" t="s">
        <v>36</v>
      </c>
      <c r="AB92" s="78" t="s">
        <v>178</v>
      </c>
    </row>
    <row r="93" spans="1:28" x14ac:dyDescent="0.15">
      <c r="A93" s="78" t="s">
        <v>44</v>
      </c>
      <c r="B93" s="78" t="s">
        <v>174</v>
      </c>
      <c r="C93" s="78">
        <v>2020</v>
      </c>
      <c r="D93" s="126" t="s">
        <v>418</v>
      </c>
      <c r="E93" s="78" t="s">
        <v>276</v>
      </c>
      <c r="F93" s="78" t="s">
        <v>275</v>
      </c>
      <c r="G93" s="78" t="s">
        <v>31</v>
      </c>
      <c r="H93" s="78" t="s">
        <v>167</v>
      </c>
      <c r="I93" s="78" t="s">
        <v>111</v>
      </c>
      <c r="J93" s="78" t="s">
        <v>27</v>
      </c>
      <c r="K93" s="78" t="s">
        <v>112</v>
      </c>
      <c r="L93" s="78">
        <v>2</v>
      </c>
      <c r="M93" s="128"/>
      <c r="N93" s="78">
        <v>1</v>
      </c>
      <c r="O93" s="78">
        <v>0.7</v>
      </c>
      <c r="P93" s="78">
        <v>0.7</v>
      </c>
      <c r="Q93" s="16">
        <f t="shared" si="3"/>
        <v>0.7</v>
      </c>
      <c r="R93" s="78">
        <v>17.5</v>
      </c>
      <c r="S93" s="78">
        <v>121</v>
      </c>
      <c r="T93" s="16">
        <f t="shared" si="4"/>
        <v>27</v>
      </c>
      <c r="U93" s="78">
        <v>146</v>
      </c>
      <c r="V93" s="16">
        <f t="shared" si="5"/>
        <v>3942</v>
      </c>
      <c r="W93" s="78">
        <v>1</v>
      </c>
      <c r="X93" s="78" t="s">
        <v>35</v>
      </c>
      <c r="Y93" s="78" t="s">
        <v>72</v>
      </c>
      <c r="Z93" s="78" t="s">
        <v>55</v>
      </c>
      <c r="AA93" s="78" t="s">
        <v>36</v>
      </c>
      <c r="AB93" s="78" t="s">
        <v>178</v>
      </c>
    </row>
    <row r="94" spans="1:28" x14ac:dyDescent="0.15">
      <c r="A94" s="78" t="s">
        <v>44</v>
      </c>
      <c r="B94" s="78" t="s">
        <v>174</v>
      </c>
      <c r="C94" s="78">
        <v>2020</v>
      </c>
      <c r="D94" s="126" t="s">
        <v>418</v>
      </c>
      <c r="E94" s="78" t="s">
        <v>276</v>
      </c>
      <c r="F94" s="78" t="s">
        <v>275</v>
      </c>
      <c r="G94" s="78" t="s">
        <v>31</v>
      </c>
      <c r="H94" s="78" t="s">
        <v>167</v>
      </c>
      <c r="I94" s="78" t="s">
        <v>111</v>
      </c>
      <c r="J94" s="78" t="s">
        <v>27</v>
      </c>
      <c r="K94" s="78" t="s">
        <v>112</v>
      </c>
      <c r="L94" s="78">
        <v>3</v>
      </c>
      <c r="M94" s="128"/>
      <c r="N94" s="78">
        <v>1</v>
      </c>
      <c r="O94" s="78">
        <v>0.5</v>
      </c>
      <c r="P94" s="78">
        <v>0.5</v>
      </c>
      <c r="Q94" s="16">
        <f t="shared" si="3"/>
        <v>0.5</v>
      </c>
      <c r="R94" s="78">
        <v>15.2</v>
      </c>
      <c r="S94" s="78">
        <v>117</v>
      </c>
      <c r="T94" s="16">
        <f t="shared" si="4"/>
        <v>30</v>
      </c>
      <c r="U94" s="78">
        <v>146</v>
      </c>
      <c r="V94" s="16">
        <f t="shared" si="5"/>
        <v>4380</v>
      </c>
      <c r="W94" s="78">
        <v>1</v>
      </c>
      <c r="X94" s="78" t="s">
        <v>35</v>
      </c>
      <c r="Y94" s="78" t="s">
        <v>72</v>
      </c>
      <c r="Z94" s="78" t="s">
        <v>55</v>
      </c>
      <c r="AA94" s="78" t="s">
        <v>36</v>
      </c>
      <c r="AB94" s="78" t="s">
        <v>178</v>
      </c>
    </row>
    <row r="95" spans="1:28" x14ac:dyDescent="0.15">
      <c r="A95" s="78" t="s">
        <v>44</v>
      </c>
      <c r="B95" s="78" t="s">
        <v>174</v>
      </c>
      <c r="C95" s="78">
        <v>2020</v>
      </c>
      <c r="D95" s="126" t="s">
        <v>418</v>
      </c>
      <c r="E95" s="78" t="s">
        <v>276</v>
      </c>
      <c r="F95" s="78" t="s">
        <v>275</v>
      </c>
      <c r="G95" s="78" t="s">
        <v>31</v>
      </c>
      <c r="H95" s="78" t="s">
        <v>167</v>
      </c>
      <c r="I95" s="78" t="s">
        <v>111</v>
      </c>
      <c r="J95" s="78" t="s">
        <v>27</v>
      </c>
      <c r="K95" s="78" t="s">
        <v>112</v>
      </c>
      <c r="L95" s="78">
        <v>1</v>
      </c>
      <c r="M95" s="128"/>
      <c r="N95" s="78">
        <v>3</v>
      </c>
      <c r="O95" s="78">
        <v>0.7</v>
      </c>
      <c r="P95" s="78">
        <v>0.65</v>
      </c>
      <c r="Q95" s="16">
        <f t="shared" si="3"/>
        <v>0.67500000000000004</v>
      </c>
      <c r="R95" s="78">
        <v>16.3</v>
      </c>
      <c r="S95" s="78">
        <v>107</v>
      </c>
      <c r="T95" s="16">
        <f t="shared" si="4"/>
        <v>33</v>
      </c>
      <c r="U95" s="78">
        <v>368</v>
      </c>
      <c r="V95" s="16">
        <f t="shared" si="5"/>
        <v>4048</v>
      </c>
      <c r="W95" s="78">
        <v>1</v>
      </c>
      <c r="X95" s="78" t="s">
        <v>28</v>
      </c>
      <c r="Y95" s="78" t="s">
        <v>72</v>
      </c>
      <c r="Z95" s="78" t="s">
        <v>55</v>
      </c>
      <c r="AA95" s="78" t="s">
        <v>36</v>
      </c>
      <c r="AB95" s="78" t="s">
        <v>178</v>
      </c>
    </row>
    <row r="96" spans="1:28" x14ac:dyDescent="0.15">
      <c r="A96" s="78" t="s">
        <v>44</v>
      </c>
      <c r="B96" s="78" t="s">
        <v>174</v>
      </c>
      <c r="C96" s="78">
        <v>2020</v>
      </c>
      <c r="D96" s="126" t="s">
        <v>418</v>
      </c>
      <c r="E96" s="78" t="s">
        <v>276</v>
      </c>
      <c r="F96" s="78" t="s">
        <v>275</v>
      </c>
      <c r="G96" s="78" t="s">
        <v>31</v>
      </c>
      <c r="H96" s="78" t="s">
        <v>167</v>
      </c>
      <c r="I96" s="78" t="s">
        <v>111</v>
      </c>
      <c r="J96" s="78" t="s">
        <v>27</v>
      </c>
      <c r="K96" s="78" t="s">
        <v>112</v>
      </c>
      <c r="L96" s="78">
        <v>2</v>
      </c>
      <c r="M96" s="128"/>
      <c r="N96" s="78">
        <v>3</v>
      </c>
      <c r="O96" s="78">
        <v>0.65</v>
      </c>
      <c r="P96" s="78">
        <v>0.7</v>
      </c>
      <c r="Q96" s="16">
        <f t="shared" si="3"/>
        <v>0.67500000000000004</v>
      </c>
      <c r="R96" s="78">
        <v>15.1</v>
      </c>
      <c r="S96" s="78">
        <v>102</v>
      </c>
      <c r="T96" s="16">
        <f t="shared" si="4"/>
        <v>33</v>
      </c>
      <c r="U96" s="78">
        <v>368</v>
      </c>
      <c r="V96" s="16">
        <f t="shared" si="5"/>
        <v>4048</v>
      </c>
      <c r="W96" s="78">
        <v>1</v>
      </c>
      <c r="X96" s="78" t="s">
        <v>28</v>
      </c>
      <c r="Y96" s="78" t="s">
        <v>72</v>
      </c>
      <c r="Z96" s="78" t="s">
        <v>55</v>
      </c>
      <c r="AA96" s="78" t="s">
        <v>36</v>
      </c>
      <c r="AB96" s="78" t="s">
        <v>178</v>
      </c>
    </row>
    <row r="97" spans="1:28" x14ac:dyDescent="0.15">
      <c r="A97" s="78" t="s">
        <v>44</v>
      </c>
      <c r="B97" s="78" t="s">
        <v>174</v>
      </c>
      <c r="C97" s="78">
        <v>2020</v>
      </c>
      <c r="D97" s="126" t="s">
        <v>418</v>
      </c>
      <c r="E97" s="78" t="s">
        <v>276</v>
      </c>
      <c r="F97" s="78" t="s">
        <v>275</v>
      </c>
      <c r="G97" s="78" t="s">
        <v>31</v>
      </c>
      <c r="H97" s="78" t="s">
        <v>167</v>
      </c>
      <c r="I97" s="78" t="s">
        <v>111</v>
      </c>
      <c r="J97" s="78" t="s">
        <v>27</v>
      </c>
      <c r="K97" s="78" t="s">
        <v>112</v>
      </c>
      <c r="L97" s="78">
        <v>3</v>
      </c>
      <c r="M97" s="128"/>
      <c r="N97" s="78">
        <v>3</v>
      </c>
      <c r="O97" s="78">
        <v>0.75</v>
      </c>
      <c r="P97" s="78">
        <v>0.6</v>
      </c>
      <c r="Q97" s="16">
        <f t="shared" si="3"/>
        <v>0.67500000000000004</v>
      </c>
      <c r="R97" s="78">
        <v>14.6</v>
      </c>
      <c r="S97" s="78">
        <v>96</v>
      </c>
      <c r="T97" s="16">
        <f t="shared" si="4"/>
        <v>36</v>
      </c>
      <c r="U97" s="78">
        <v>368</v>
      </c>
      <c r="V97" s="16">
        <f t="shared" si="5"/>
        <v>4416</v>
      </c>
      <c r="W97" s="78">
        <v>1</v>
      </c>
      <c r="X97" s="78" t="s">
        <v>28</v>
      </c>
      <c r="Y97" s="78" t="s">
        <v>72</v>
      </c>
      <c r="Z97" s="78" t="s">
        <v>55</v>
      </c>
      <c r="AA97" s="78" t="s">
        <v>36</v>
      </c>
      <c r="AB97" s="78" t="s">
        <v>178</v>
      </c>
    </row>
    <row r="98" spans="1:28" x14ac:dyDescent="0.15">
      <c r="A98" s="78" t="s">
        <v>44</v>
      </c>
      <c r="B98" s="78" t="s">
        <v>174</v>
      </c>
      <c r="C98" s="78">
        <v>2020</v>
      </c>
      <c r="D98" s="126" t="s">
        <v>418</v>
      </c>
      <c r="E98" s="78" t="s">
        <v>267</v>
      </c>
      <c r="F98" s="78" t="s">
        <v>268</v>
      </c>
      <c r="G98" s="78" t="s">
        <v>31</v>
      </c>
      <c r="H98" s="78" t="s">
        <v>113</v>
      </c>
      <c r="I98" s="78" t="s">
        <v>111</v>
      </c>
      <c r="J98" s="78" t="s">
        <v>27</v>
      </c>
      <c r="K98" s="78" t="s">
        <v>112</v>
      </c>
      <c r="L98" s="78">
        <v>1</v>
      </c>
      <c r="M98" s="128"/>
      <c r="N98" s="78">
        <v>4</v>
      </c>
      <c r="O98" s="78">
        <v>0.65</v>
      </c>
      <c r="P98" s="78">
        <v>0.7</v>
      </c>
      <c r="Q98" s="16">
        <f t="shared" si="3"/>
        <v>0.67500000000000004</v>
      </c>
      <c r="R98" s="78">
        <v>14</v>
      </c>
      <c r="S98" s="78">
        <v>102</v>
      </c>
      <c r="T98" s="16">
        <f t="shared" si="4"/>
        <v>33</v>
      </c>
      <c r="U98" s="78">
        <v>297</v>
      </c>
      <c r="V98" s="16">
        <f t="shared" si="5"/>
        <v>2450.25</v>
      </c>
      <c r="W98" s="78">
        <v>1</v>
      </c>
      <c r="X98" s="78" t="s">
        <v>28</v>
      </c>
      <c r="Y98" s="78" t="s">
        <v>43</v>
      </c>
      <c r="Z98" s="78" t="s">
        <v>76</v>
      </c>
      <c r="AA98" s="78" t="s">
        <v>82</v>
      </c>
      <c r="AB98" s="78" t="s">
        <v>178</v>
      </c>
    </row>
    <row r="99" spans="1:28" x14ac:dyDescent="0.15">
      <c r="A99" s="78" t="s">
        <v>44</v>
      </c>
      <c r="B99" s="78" t="s">
        <v>174</v>
      </c>
      <c r="C99" s="78">
        <v>2020</v>
      </c>
      <c r="D99" s="126" t="s">
        <v>418</v>
      </c>
      <c r="E99" s="78" t="s">
        <v>267</v>
      </c>
      <c r="F99" s="78" t="s">
        <v>268</v>
      </c>
      <c r="G99" s="78" t="s">
        <v>31</v>
      </c>
      <c r="H99" s="78" t="s">
        <v>113</v>
      </c>
      <c r="I99" s="78" t="s">
        <v>111</v>
      </c>
      <c r="J99" s="78" t="s">
        <v>27</v>
      </c>
      <c r="K99" s="78" t="s">
        <v>112</v>
      </c>
      <c r="L99" s="78">
        <v>2</v>
      </c>
      <c r="M99" s="128"/>
      <c r="N99" s="78">
        <v>4</v>
      </c>
      <c r="O99" s="78">
        <v>0.6</v>
      </c>
      <c r="P99" s="78">
        <v>0.8</v>
      </c>
      <c r="Q99" s="16">
        <f t="shared" si="3"/>
        <v>0.7</v>
      </c>
      <c r="R99" s="78">
        <v>12.6</v>
      </c>
      <c r="S99" s="78">
        <v>91</v>
      </c>
      <c r="T99" s="16">
        <f t="shared" si="4"/>
        <v>36</v>
      </c>
      <c r="U99" s="78">
        <v>297</v>
      </c>
      <c r="V99" s="16">
        <f t="shared" si="5"/>
        <v>2673</v>
      </c>
      <c r="W99" s="78">
        <v>1</v>
      </c>
      <c r="X99" s="78" t="s">
        <v>28</v>
      </c>
      <c r="Y99" s="78" t="s">
        <v>43</v>
      </c>
      <c r="Z99" s="78" t="s">
        <v>76</v>
      </c>
      <c r="AA99" s="78" t="s">
        <v>82</v>
      </c>
      <c r="AB99" s="78" t="s">
        <v>178</v>
      </c>
    </row>
    <row r="100" spans="1:28" x14ac:dyDescent="0.15">
      <c r="A100" s="78" t="s">
        <v>44</v>
      </c>
      <c r="B100" s="78" t="s">
        <v>174</v>
      </c>
      <c r="C100" s="78">
        <v>2020</v>
      </c>
      <c r="D100" s="126" t="s">
        <v>418</v>
      </c>
      <c r="E100" s="78" t="s">
        <v>267</v>
      </c>
      <c r="F100" s="78" t="s">
        <v>268</v>
      </c>
      <c r="G100" s="78" t="s">
        <v>31</v>
      </c>
      <c r="H100" s="78" t="s">
        <v>113</v>
      </c>
      <c r="I100" s="78" t="s">
        <v>111</v>
      </c>
      <c r="J100" s="78" t="s">
        <v>27</v>
      </c>
      <c r="K100" s="78" t="s">
        <v>112</v>
      </c>
      <c r="L100" s="78">
        <v>3</v>
      </c>
      <c r="M100" s="128"/>
      <c r="N100" s="78">
        <v>4</v>
      </c>
      <c r="O100" s="78">
        <v>1.1499999999999999</v>
      </c>
      <c r="P100" s="78">
        <v>1.05</v>
      </c>
      <c r="Q100" s="16">
        <f t="shared" si="3"/>
        <v>1.1000000000000001</v>
      </c>
      <c r="R100" s="78">
        <v>13.2</v>
      </c>
      <c r="S100" s="78">
        <v>90</v>
      </c>
      <c r="T100" s="16">
        <f t="shared" si="4"/>
        <v>36</v>
      </c>
      <c r="U100" s="78">
        <v>297</v>
      </c>
      <c r="V100" s="16">
        <f t="shared" si="5"/>
        <v>2673</v>
      </c>
      <c r="W100" s="78">
        <v>1</v>
      </c>
      <c r="X100" s="78" t="s">
        <v>28</v>
      </c>
      <c r="Y100" s="78" t="s">
        <v>43</v>
      </c>
      <c r="Z100" s="78" t="s">
        <v>76</v>
      </c>
      <c r="AA100" s="78" t="s">
        <v>82</v>
      </c>
      <c r="AB100" s="78" t="s">
        <v>178</v>
      </c>
    </row>
    <row r="101" spans="1:28" x14ac:dyDescent="0.15">
      <c r="A101" s="78" t="s">
        <v>44</v>
      </c>
      <c r="B101" s="78" t="s">
        <v>174</v>
      </c>
      <c r="C101" s="78">
        <v>2020</v>
      </c>
      <c r="D101" s="126" t="s">
        <v>418</v>
      </c>
      <c r="E101" s="78" t="s">
        <v>267</v>
      </c>
      <c r="F101" s="78" t="s">
        <v>268</v>
      </c>
      <c r="G101" s="78" t="s">
        <v>31</v>
      </c>
      <c r="H101" s="78" t="s">
        <v>113</v>
      </c>
      <c r="I101" s="78" t="s">
        <v>111</v>
      </c>
      <c r="J101" s="78" t="s">
        <v>27</v>
      </c>
      <c r="K101" s="78" t="s">
        <v>112</v>
      </c>
      <c r="L101" s="78">
        <v>1</v>
      </c>
      <c r="M101" s="128"/>
      <c r="N101" s="78">
        <v>8</v>
      </c>
      <c r="O101" s="78">
        <v>0.75</v>
      </c>
      <c r="P101" s="78">
        <v>0.75</v>
      </c>
      <c r="Q101" s="16">
        <f t="shared" si="3"/>
        <v>0.75</v>
      </c>
      <c r="R101" s="78">
        <v>14.2</v>
      </c>
      <c r="S101" s="78">
        <v>92</v>
      </c>
      <c r="T101" s="16">
        <f t="shared" si="4"/>
        <v>36</v>
      </c>
      <c r="U101" s="78">
        <v>397</v>
      </c>
      <c r="V101" s="16">
        <f t="shared" si="5"/>
        <v>1786.5</v>
      </c>
      <c r="W101" s="78">
        <v>1</v>
      </c>
      <c r="X101" s="78" t="s">
        <v>28</v>
      </c>
      <c r="Y101" s="78" t="s">
        <v>43</v>
      </c>
      <c r="Z101" s="78" t="s">
        <v>76</v>
      </c>
      <c r="AA101" s="78" t="s">
        <v>82</v>
      </c>
      <c r="AB101" s="78" t="s">
        <v>178</v>
      </c>
    </row>
    <row r="102" spans="1:28" x14ac:dyDescent="0.15">
      <c r="A102" s="78" t="s">
        <v>44</v>
      </c>
      <c r="B102" s="78" t="s">
        <v>174</v>
      </c>
      <c r="C102" s="78">
        <v>2020</v>
      </c>
      <c r="D102" s="126" t="s">
        <v>418</v>
      </c>
      <c r="E102" s="78" t="s">
        <v>267</v>
      </c>
      <c r="F102" s="78" t="s">
        <v>268</v>
      </c>
      <c r="G102" s="78" t="s">
        <v>31</v>
      </c>
      <c r="H102" s="78" t="s">
        <v>113</v>
      </c>
      <c r="I102" s="78" t="s">
        <v>111</v>
      </c>
      <c r="J102" s="78" t="s">
        <v>27</v>
      </c>
      <c r="K102" s="78" t="s">
        <v>112</v>
      </c>
      <c r="L102" s="78">
        <v>2</v>
      </c>
      <c r="M102" s="128"/>
      <c r="N102" s="78">
        <v>8</v>
      </c>
      <c r="O102" s="78">
        <v>0.55000000000000004</v>
      </c>
      <c r="P102" s="78">
        <v>0.55000000000000004</v>
      </c>
      <c r="Q102" s="16">
        <f t="shared" si="3"/>
        <v>0.55000000000000004</v>
      </c>
      <c r="R102" s="78">
        <v>12.2</v>
      </c>
      <c r="S102" s="78">
        <v>88</v>
      </c>
      <c r="T102" s="16">
        <f t="shared" si="4"/>
        <v>36</v>
      </c>
      <c r="U102" s="78">
        <v>397</v>
      </c>
      <c r="V102" s="16">
        <f t="shared" si="5"/>
        <v>1786.5</v>
      </c>
      <c r="W102" s="78">
        <v>1</v>
      </c>
      <c r="X102" s="78" t="s">
        <v>28</v>
      </c>
      <c r="Y102" s="78" t="s">
        <v>43</v>
      </c>
      <c r="Z102" s="78" t="s">
        <v>76</v>
      </c>
      <c r="AA102" s="78" t="s">
        <v>82</v>
      </c>
      <c r="AB102" s="78" t="s">
        <v>178</v>
      </c>
    </row>
    <row r="103" spans="1:28" x14ac:dyDescent="0.15">
      <c r="A103" s="78" t="s">
        <v>44</v>
      </c>
      <c r="B103" s="78" t="s">
        <v>174</v>
      </c>
      <c r="C103" s="78">
        <v>2020</v>
      </c>
      <c r="D103" s="126" t="s">
        <v>418</v>
      </c>
      <c r="E103" s="78" t="s">
        <v>267</v>
      </c>
      <c r="F103" s="78" t="s">
        <v>268</v>
      </c>
      <c r="G103" s="78" t="s">
        <v>31</v>
      </c>
      <c r="H103" s="78" t="s">
        <v>113</v>
      </c>
      <c r="I103" s="78" t="s">
        <v>111</v>
      </c>
      <c r="J103" s="78" t="s">
        <v>27</v>
      </c>
      <c r="K103" s="78" t="s">
        <v>112</v>
      </c>
      <c r="L103" s="78">
        <v>3</v>
      </c>
      <c r="M103" s="128"/>
      <c r="N103" s="78">
        <v>8</v>
      </c>
      <c r="O103" s="78">
        <v>0.85</v>
      </c>
      <c r="P103" s="78">
        <v>0.75</v>
      </c>
      <c r="Q103" s="16">
        <f t="shared" si="3"/>
        <v>0.8</v>
      </c>
      <c r="R103" s="78">
        <v>14</v>
      </c>
      <c r="S103" s="78">
        <v>98</v>
      </c>
      <c r="T103" s="16">
        <f t="shared" si="4"/>
        <v>36</v>
      </c>
      <c r="U103" s="78">
        <v>397</v>
      </c>
      <c r="V103" s="16">
        <f t="shared" si="5"/>
        <v>1786.5</v>
      </c>
      <c r="W103" s="78">
        <v>1</v>
      </c>
      <c r="X103" s="78" t="s">
        <v>28</v>
      </c>
      <c r="Y103" s="78" t="s">
        <v>43</v>
      </c>
      <c r="Z103" s="78" t="s">
        <v>76</v>
      </c>
      <c r="AA103" s="78" t="s">
        <v>82</v>
      </c>
      <c r="AB103" s="78" t="s">
        <v>178</v>
      </c>
    </row>
    <row r="104" spans="1:28" x14ac:dyDescent="0.15">
      <c r="A104" s="78" t="s">
        <v>44</v>
      </c>
      <c r="B104" s="78" t="s">
        <v>174</v>
      </c>
      <c r="C104" s="78">
        <v>2020</v>
      </c>
      <c r="D104" s="126" t="s">
        <v>418</v>
      </c>
      <c r="E104" s="78" t="s">
        <v>267</v>
      </c>
      <c r="F104" s="78" t="s">
        <v>268</v>
      </c>
      <c r="G104" s="78" t="s">
        <v>31</v>
      </c>
      <c r="H104" s="78" t="s">
        <v>167</v>
      </c>
      <c r="I104" s="78" t="s">
        <v>111</v>
      </c>
      <c r="J104" s="78" t="s">
        <v>27</v>
      </c>
      <c r="K104" s="78" t="s">
        <v>112</v>
      </c>
      <c r="L104" s="78">
        <v>1</v>
      </c>
      <c r="M104" s="128"/>
      <c r="N104" s="78">
        <v>1</v>
      </c>
      <c r="O104" s="78">
        <v>0.75</v>
      </c>
      <c r="P104" s="78">
        <v>0.8</v>
      </c>
      <c r="Q104" s="16">
        <f t="shared" si="3"/>
        <v>0.77500000000000002</v>
      </c>
      <c r="R104" s="78">
        <v>14.9</v>
      </c>
      <c r="S104" s="78">
        <v>123</v>
      </c>
      <c r="T104" s="16">
        <f t="shared" si="4"/>
        <v>27</v>
      </c>
      <c r="U104" s="78">
        <v>97</v>
      </c>
      <c r="V104" s="16">
        <f t="shared" si="5"/>
        <v>2619</v>
      </c>
      <c r="W104" s="78">
        <v>1</v>
      </c>
      <c r="X104" s="78" t="s">
        <v>28</v>
      </c>
      <c r="Y104" s="78" t="s">
        <v>43</v>
      </c>
      <c r="Z104" s="78" t="s">
        <v>76</v>
      </c>
      <c r="AA104" s="78" t="s">
        <v>82</v>
      </c>
      <c r="AB104" s="78" t="s">
        <v>178</v>
      </c>
    </row>
    <row r="105" spans="1:28" x14ac:dyDescent="0.15">
      <c r="A105" s="78" t="s">
        <v>44</v>
      </c>
      <c r="B105" s="78" t="s">
        <v>174</v>
      </c>
      <c r="C105" s="78">
        <v>2020</v>
      </c>
      <c r="D105" s="126" t="s">
        <v>418</v>
      </c>
      <c r="E105" s="78" t="s">
        <v>267</v>
      </c>
      <c r="F105" s="78" t="s">
        <v>268</v>
      </c>
      <c r="G105" s="78" t="s">
        <v>31</v>
      </c>
      <c r="H105" s="78" t="s">
        <v>167</v>
      </c>
      <c r="I105" s="78" t="s">
        <v>111</v>
      </c>
      <c r="J105" s="78" t="s">
        <v>27</v>
      </c>
      <c r="K105" s="78" t="s">
        <v>112</v>
      </c>
      <c r="L105" s="78">
        <v>2</v>
      </c>
      <c r="M105" s="128"/>
      <c r="N105" s="78">
        <v>1</v>
      </c>
      <c r="O105" s="78">
        <v>0.65</v>
      </c>
      <c r="P105" s="78">
        <v>0.6</v>
      </c>
      <c r="Q105" s="16">
        <f t="shared" si="3"/>
        <v>0.625</v>
      </c>
      <c r="R105" s="78">
        <v>14.5</v>
      </c>
      <c r="S105" s="78">
        <v>119</v>
      </c>
      <c r="T105" s="16">
        <f t="shared" si="4"/>
        <v>30</v>
      </c>
      <c r="U105" s="78">
        <v>97</v>
      </c>
      <c r="V105" s="16">
        <f t="shared" si="5"/>
        <v>2910</v>
      </c>
      <c r="W105" s="78">
        <v>1</v>
      </c>
      <c r="X105" s="78" t="s">
        <v>28</v>
      </c>
      <c r="Y105" s="78" t="s">
        <v>43</v>
      </c>
      <c r="Z105" s="78" t="s">
        <v>76</v>
      </c>
      <c r="AA105" s="78" t="s">
        <v>82</v>
      </c>
      <c r="AB105" s="78" t="s">
        <v>178</v>
      </c>
    </row>
    <row r="106" spans="1:28" x14ac:dyDescent="0.15">
      <c r="A106" s="78" t="s">
        <v>44</v>
      </c>
      <c r="B106" s="78" t="s">
        <v>174</v>
      </c>
      <c r="C106" s="78">
        <v>2020</v>
      </c>
      <c r="D106" s="126" t="s">
        <v>418</v>
      </c>
      <c r="E106" s="78" t="s">
        <v>267</v>
      </c>
      <c r="F106" s="78" t="s">
        <v>268</v>
      </c>
      <c r="G106" s="78" t="s">
        <v>31</v>
      </c>
      <c r="H106" s="78" t="s">
        <v>167</v>
      </c>
      <c r="I106" s="78" t="s">
        <v>111</v>
      </c>
      <c r="J106" s="78" t="s">
        <v>27</v>
      </c>
      <c r="K106" s="78" t="s">
        <v>112</v>
      </c>
      <c r="L106" s="78">
        <v>3</v>
      </c>
      <c r="M106" s="128"/>
      <c r="N106" s="78">
        <v>1</v>
      </c>
      <c r="O106" s="78">
        <v>0.65</v>
      </c>
      <c r="P106" s="78">
        <v>0.6</v>
      </c>
      <c r="Q106" s="16">
        <f t="shared" si="3"/>
        <v>0.625</v>
      </c>
      <c r="R106" s="78">
        <v>15.8</v>
      </c>
      <c r="S106" s="78">
        <v>117</v>
      </c>
      <c r="T106" s="16">
        <f t="shared" si="4"/>
        <v>30</v>
      </c>
      <c r="U106" s="78">
        <v>97</v>
      </c>
      <c r="V106" s="16">
        <f t="shared" si="5"/>
        <v>2910</v>
      </c>
      <c r="W106" s="78">
        <v>1</v>
      </c>
      <c r="X106" s="78" t="s">
        <v>28</v>
      </c>
      <c r="Y106" s="78" t="s">
        <v>43</v>
      </c>
      <c r="Z106" s="78" t="s">
        <v>76</v>
      </c>
      <c r="AA106" s="78" t="s">
        <v>82</v>
      </c>
      <c r="AB106" s="78" t="s">
        <v>178</v>
      </c>
    </row>
    <row r="107" spans="1:28" x14ac:dyDescent="0.15">
      <c r="A107" s="78" t="s">
        <v>44</v>
      </c>
      <c r="B107" s="78" t="s">
        <v>174</v>
      </c>
      <c r="C107" s="78">
        <v>2020</v>
      </c>
      <c r="D107" s="126" t="s">
        <v>418</v>
      </c>
      <c r="E107" s="78" t="s">
        <v>267</v>
      </c>
      <c r="F107" s="78" t="s">
        <v>268</v>
      </c>
      <c r="G107" s="78" t="s">
        <v>31</v>
      </c>
      <c r="H107" s="78" t="s">
        <v>167</v>
      </c>
      <c r="I107" s="78" t="s">
        <v>111</v>
      </c>
      <c r="J107" s="78" t="s">
        <v>27</v>
      </c>
      <c r="K107" s="78" t="s">
        <v>112</v>
      </c>
      <c r="L107" s="78">
        <v>1</v>
      </c>
      <c r="M107" s="128"/>
      <c r="N107" s="78">
        <v>4</v>
      </c>
      <c r="O107" s="78">
        <v>0.85</v>
      </c>
      <c r="P107" s="78">
        <v>0.8</v>
      </c>
      <c r="Q107" s="16">
        <f t="shared" si="3"/>
        <v>0.82499999999999996</v>
      </c>
      <c r="R107" s="78">
        <v>14.4</v>
      </c>
      <c r="S107" s="78">
        <v>102</v>
      </c>
      <c r="T107" s="16">
        <f t="shared" si="4"/>
        <v>33</v>
      </c>
      <c r="U107" s="78">
        <v>397</v>
      </c>
      <c r="V107" s="16">
        <f t="shared" si="5"/>
        <v>3275.25</v>
      </c>
      <c r="W107" s="78">
        <v>1</v>
      </c>
      <c r="X107" s="78" t="s">
        <v>28</v>
      </c>
      <c r="Y107" s="78" t="s">
        <v>43</v>
      </c>
      <c r="Z107" s="78" t="s">
        <v>76</v>
      </c>
      <c r="AA107" s="78" t="s">
        <v>82</v>
      </c>
      <c r="AB107" s="78" t="s">
        <v>178</v>
      </c>
    </row>
    <row r="108" spans="1:28" x14ac:dyDescent="0.15">
      <c r="A108" s="78" t="s">
        <v>44</v>
      </c>
      <c r="B108" s="78" t="s">
        <v>174</v>
      </c>
      <c r="C108" s="78">
        <v>2020</v>
      </c>
      <c r="D108" s="126" t="s">
        <v>418</v>
      </c>
      <c r="E108" s="78" t="s">
        <v>267</v>
      </c>
      <c r="F108" s="78" t="s">
        <v>268</v>
      </c>
      <c r="G108" s="78" t="s">
        <v>31</v>
      </c>
      <c r="H108" s="78" t="s">
        <v>167</v>
      </c>
      <c r="I108" s="78" t="s">
        <v>111</v>
      </c>
      <c r="J108" s="78" t="s">
        <v>27</v>
      </c>
      <c r="K108" s="78" t="s">
        <v>112</v>
      </c>
      <c r="L108" s="78">
        <v>2</v>
      </c>
      <c r="M108" s="128"/>
      <c r="N108" s="78">
        <v>4</v>
      </c>
      <c r="O108" s="78">
        <v>0.8</v>
      </c>
      <c r="P108" s="78">
        <v>0.8</v>
      </c>
      <c r="Q108" s="16">
        <f t="shared" si="3"/>
        <v>0.8</v>
      </c>
      <c r="R108" s="78">
        <v>14</v>
      </c>
      <c r="S108" s="78">
        <v>90</v>
      </c>
      <c r="T108" s="16">
        <f t="shared" si="4"/>
        <v>36</v>
      </c>
      <c r="U108" s="78">
        <v>397</v>
      </c>
      <c r="V108" s="16">
        <f t="shared" si="5"/>
        <v>3573</v>
      </c>
      <c r="W108" s="78">
        <v>1</v>
      </c>
      <c r="X108" s="78" t="s">
        <v>28</v>
      </c>
      <c r="Y108" s="78" t="s">
        <v>43</v>
      </c>
      <c r="Z108" s="78" t="s">
        <v>76</v>
      </c>
      <c r="AA108" s="78" t="s">
        <v>82</v>
      </c>
      <c r="AB108" s="78" t="s">
        <v>178</v>
      </c>
    </row>
    <row r="109" spans="1:28" x14ac:dyDescent="0.15">
      <c r="A109" s="78" t="s">
        <v>44</v>
      </c>
      <c r="B109" s="78" t="s">
        <v>174</v>
      </c>
      <c r="C109" s="78">
        <v>2020</v>
      </c>
      <c r="D109" s="126" t="s">
        <v>418</v>
      </c>
      <c r="E109" s="78" t="s">
        <v>267</v>
      </c>
      <c r="F109" s="78" t="s">
        <v>268</v>
      </c>
      <c r="G109" s="78" t="s">
        <v>31</v>
      </c>
      <c r="H109" s="78" t="s">
        <v>167</v>
      </c>
      <c r="I109" s="78" t="s">
        <v>111</v>
      </c>
      <c r="J109" s="78" t="s">
        <v>27</v>
      </c>
      <c r="K109" s="78" t="s">
        <v>112</v>
      </c>
      <c r="L109" s="78">
        <v>3</v>
      </c>
      <c r="M109" s="128"/>
      <c r="N109" s="78">
        <v>4</v>
      </c>
      <c r="O109" s="78">
        <v>0.6</v>
      </c>
      <c r="P109" s="78">
        <v>0.6</v>
      </c>
      <c r="Q109" s="16">
        <f t="shared" si="3"/>
        <v>0.6</v>
      </c>
      <c r="R109" s="78">
        <v>15.7</v>
      </c>
      <c r="S109" s="78">
        <v>88</v>
      </c>
      <c r="T109" s="16">
        <f t="shared" si="4"/>
        <v>36</v>
      </c>
      <c r="U109" s="78">
        <v>397</v>
      </c>
      <c r="V109" s="16">
        <f t="shared" si="5"/>
        <v>3573</v>
      </c>
      <c r="W109" s="78">
        <v>1</v>
      </c>
      <c r="X109" s="78" t="s">
        <v>28</v>
      </c>
      <c r="Y109" s="78" t="s">
        <v>43</v>
      </c>
      <c r="Z109" s="78" t="s">
        <v>76</v>
      </c>
      <c r="AA109" s="78" t="s">
        <v>82</v>
      </c>
      <c r="AB109" s="78" t="s">
        <v>178</v>
      </c>
    </row>
    <row r="110" spans="1:28" x14ac:dyDescent="0.15">
      <c r="A110" s="78" t="s">
        <v>44</v>
      </c>
      <c r="B110" s="78" t="s">
        <v>174</v>
      </c>
      <c r="C110" s="78">
        <v>2020</v>
      </c>
      <c r="D110" s="126" t="s">
        <v>418</v>
      </c>
      <c r="E110" s="78" t="s">
        <v>267</v>
      </c>
      <c r="F110" s="78" t="s">
        <v>268</v>
      </c>
      <c r="G110" s="78" t="s">
        <v>31</v>
      </c>
      <c r="H110" s="78" t="s">
        <v>167</v>
      </c>
      <c r="I110" s="78" t="s">
        <v>111</v>
      </c>
      <c r="J110" s="78" t="s">
        <v>27</v>
      </c>
      <c r="K110" s="78" t="s">
        <v>112</v>
      </c>
      <c r="L110" s="78">
        <v>1</v>
      </c>
      <c r="M110" s="128"/>
      <c r="N110" s="78">
        <v>8</v>
      </c>
      <c r="O110" s="78">
        <v>0.65</v>
      </c>
      <c r="P110" s="78">
        <v>0.75</v>
      </c>
      <c r="Q110" s="16">
        <f t="shared" si="3"/>
        <v>0.7</v>
      </c>
      <c r="R110" s="78">
        <v>15.4</v>
      </c>
      <c r="S110" s="78">
        <v>97</v>
      </c>
      <c r="T110" s="16">
        <f t="shared" si="4"/>
        <v>36</v>
      </c>
      <c r="U110" s="78">
        <v>497</v>
      </c>
      <c r="V110" s="16">
        <f t="shared" si="5"/>
        <v>2236.5</v>
      </c>
      <c r="W110" s="78">
        <v>1</v>
      </c>
      <c r="X110" s="78" t="s">
        <v>28</v>
      </c>
      <c r="Y110" s="78" t="s">
        <v>43</v>
      </c>
      <c r="Z110" s="78" t="s">
        <v>76</v>
      </c>
      <c r="AA110" s="78" t="s">
        <v>82</v>
      </c>
      <c r="AB110" s="78" t="s">
        <v>178</v>
      </c>
    </row>
    <row r="111" spans="1:28" x14ac:dyDescent="0.15">
      <c r="A111" s="78" t="s">
        <v>44</v>
      </c>
      <c r="B111" s="78" t="s">
        <v>174</v>
      </c>
      <c r="C111" s="78">
        <v>2020</v>
      </c>
      <c r="D111" s="126" t="s">
        <v>418</v>
      </c>
      <c r="E111" s="78" t="s">
        <v>267</v>
      </c>
      <c r="F111" s="78" t="s">
        <v>268</v>
      </c>
      <c r="G111" s="78" t="s">
        <v>31</v>
      </c>
      <c r="H111" s="78" t="s">
        <v>167</v>
      </c>
      <c r="I111" s="78" t="s">
        <v>111</v>
      </c>
      <c r="J111" s="78" t="s">
        <v>27</v>
      </c>
      <c r="K111" s="78" t="s">
        <v>112</v>
      </c>
      <c r="L111" s="78">
        <v>2</v>
      </c>
      <c r="M111" s="128"/>
      <c r="N111" s="78">
        <v>8</v>
      </c>
      <c r="O111" s="78">
        <v>1</v>
      </c>
      <c r="P111" s="78">
        <v>0.95</v>
      </c>
      <c r="Q111" s="16">
        <f t="shared" si="3"/>
        <v>0.97499999999999998</v>
      </c>
      <c r="R111" s="78">
        <v>13.6</v>
      </c>
      <c r="S111" s="78">
        <v>102</v>
      </c>
      <c r="T111" s="16">
        <f t="shared" si="4"/>
        <v>33</v>
      </c>
      <c r="U111" s="78">
        <v>497</v>
      </c>
      <c r="V111" s="16">
        <f t="shared" si="5"/>
        <v>2050.125</v>
      </c>
      <c r="W111" s="78">
        <v>1</v>
      </c>
      <c r="X111" s="78" t="s">
        <v>28</v>
      </c>
      <c r="Y111" s="78" t="s">
        <v>43</v>
      </c>
      <c r="Z111" s="78" t="s">
        <v>76</v>
      </c>
      <c r="AA111" s="78" t="s">
        <v>82</v>
      </c>
      <c r="AB111" s="78" t="s">
        <v>178</v>
      </c>
    </row>
    <row r="112" spans="1:28" x14ac:dyDescent="0.15">
      <c r="A112" s="78" t="s">
        <v>44</v>
      </c>
      <c r="B112" s="78" t="s">
        <v>174</v>
      </c>
      <c r="C112" s="78">
        <v>2020</v>
      </c>
      <c r="D112" s="126" t="s">
        <v>418</v>
      </c>
      <c r="E112" s="78" t="s">
        <v>267</v>
      </c>
      <c r="F112" s="78" t="s">
        <v>268</v>
      </c>
      <c r="G112" s="78" t="s">
        <v>31</v>
      </c>
      <c r="H112" s="78" t="s">
        <v>167</v>
      </c>
      <c r="I112" s="78" t="s">
        <v>111</v>
      </c>
      <c r="J112" s="78" t="s">
        <v>27</v>
      </c>
      <c r="K112" s="78" t="s">
        <v>112</v>
      </c>
      <c r="L112" s="78">
        <v>3</v>
      </c>
      <c r="M112" s="128"/>
      <c r="N112" s="78">
        <v>8</v>
      </c>
      <c r="O112" s="78">
        <v>0.95</v>
      </c>
      <c r="P112" s="78">
        <v>0.95</v>
      </c>
      <c r="Q112" s="16">
        <f t="shared" si="3"/>
        <v>0.95</v>
      </c>
      <c r="R112" s="78">
        <v>13.6</v>
      </c>
      <c r="S112" s="78">
        <v>99</v>
      </c>
      <c r="T112" s="16">
        <f t="shared" si="4"/>
        <v>33</v>
      </c>
      <c r="U112" s="78">
        <v>497</v>
      </c>
      <c r="V112" s="16">
        <f t="shared" si="5"/>
        <v>2050.125</v>
      </c>
      <c r="W112" s="78">
        <v>1</v>
      </c>
      <c r="X112" s="78" t="s">
        <v>28</v>
      </c>
      <c r="Y112" s="78" t="s">
        <v>43</v>
      </c>
      <c r="Z112" s="78" t="s">
        <v>76</v>
      </c>
      <c r="AA112" s="78" t="s">
        <v>82</v>
      </c>
      <c r="AB112" s="78" t="s">
        <v>178</v>
      </c>
    </row>
    <row r="113" spans="1:28" x14ac:dyDescent="0.15">
      <c r="A113" s="78" t="s">
        <v>44</v>
      </c>
      <c r="B113" s="78" t="s">
        <v>174</v>
      </c>
      <c r="C113" s="78">
        <v>2020</v>
      </c>
      <c r="D113" s="126" t="s">
        <v>418</v>
      </c>
      <c r="E113" s="78" t="s">
        <v>269</v>
      </c>
      <c r="F113" s="78" t="s">
        <v>266</v>
      </c>
      <c r="G113" s="78" t="s">
        <v>25</v>
      </c>
      <c r="H113" s="78" t="s">
        <v>113</v>
      </c>
      <c r="I113" s="78" t="s">
        <v>111</v>
      </c>
      <c r="J113" s="78" t="s">
        <v>27</v>
      </c>
      <c r="K113" s="78" t="s">
        <v>112</v>
      </c>
      <c r="L113" s="78">
        <v>1</v>
      </c>
      <c r="M113" s="128"/>
      <c r="N113" s="78">
        <v>1</v>
      </c>
      <c r="O113" s="78">
        <v>0.95</v>
      </c>
      <c r="P113" s="78">
        <v>0.95</v>
      </c>
      <c r="Q113" s="16">
        <f t="shared" si="3"/>
        <v>0.95</v>
      </c>
      <c r="R113" s="78">
        <v>17.3</v>
      </c>
      <c r="S113" s="78">
        <v>142</v>
      </c>
      <c r="T113" s="16">
        <f t="shared" si="4"/>
        <v>22</v>
      </c>
      <c r="U113" s="78">
        <v>78</v>
      </c>
      <c r="V113" s="16">
        <f t="shared" si="5"/>
        <v>1716</v>
      </c>
      <c r="W113" s="78">
        <v>8</v>
      </c>
      <c r="X113" s="78" t="s">
        <v>35</v>
      </c>
      <c r="Y113" s="78" t="s">
        <v>43</v>
      </c>
      <c r="Z113" s="78" t="s">
        <v>72</v>
      </c>
      <c r="AA113" s="78" t="s">
        <v>55</v>
      </c>
      <c r="AB113" s="78" t="s">
        <v>178</v>
      </c>
    </row>
    <row r="114" spans="1:28" x14ac:dyDescent="0.15">
      <c r="A114" s="78" t="s">
        <v>44</v>
      </c>
      <c r="B114" s="78" t="s">
        <v>174</v>
      </c>
      <c r="C114" s="78">
        <v>2020</v>
      </c>
      <c r="D114" s="126" t="s">
        <v>418</v>
      </c>
      <c r="E114" s="78" t="s">
        <v>269</v>
      </c>
      <c r="F114" s="78" t="s">
        <v>266</v>
      </c>
      <c r="G114" s="78" t="s">
        <v>25</v>
      </c>
      <c r="H114" s="78" t="s">
        <v>113</v>
      </c>
      <c r="I114" s="78" t="s">
        <v>111</v>
      </c>
      <c r="J114" s="78" t="s">
        <v>27</v>
      </c>
      <c r="K114" s="78" t="s">
        <v>112</v>
      </c>
      <c r="L114" s="78">
        <v>2</v>
      </c>
      <c r="M114" s="128"/>
      <c r="N114" s="78">
        <v>1</v>
      </c>
      <c r="O114" s="78">
        <v>0.7</v>
      </c>
      <c r="P114" s="78">
        <v>0.7</v>
      </c>
      <c r="Q114" s="16">
        <f t="shared" si="3"/>
        <v>0.7</v>
      </c>
      <c r="R114" s="78">
        <v>18.7</v>
      </c>
      <c r="S114" s="78">
        <v>139</v>
      </c>
      <c r="T114" s="16">
        <f t="shared" si="4"/>
        <v>22</v>
      </c>
      <c r="U114" s="78">
        <v>78</v>
      </c>
      <c r="V114" s="16">
        <f t="shared" si="5"/>
        <v>1716</v>
      </c>
      <c r="W114" s="78">
        <v>8</v>
      </c>
      <c r="X114" s="78" t="s">
        <v>35</v>
      </c>
      <c r="Y114" s="78" t="s">
        <v>43</v>
      </c>
      <c r="Z114" s="78" t="s">
        <v>72</v>
      </c>
      <c r="AA114" s="78" t="s">
        <v>55</v>
      </c>
      <c r="AB114" s="78" t="s">
        <v>178</v>
      </c>
    </row>
    <row r="115" spans="1:28" x14ac:dyDescent="0.15">
      <c r="A115" s="78" t="s">
        <v>44</v>
      </c>
      <c r="B115" s="78" t="s">
        <v>174</v>
      </c>
      <c r="C115" s="78">
        <v>2020</v>
      </c>
      <c r="D115" s="126" t="s">
        <v>418</v>
      </c>
      <c r="E115" s="78" t="s">
        <v>269</v>
      </c>
      <c r="F115" s="78" t="s">
        <v>266</v>
      </c>
      <c r="G115" s="78" t="s">
        <v>25</v>
      </c>
      <c r="H115" s="78" t="s">
        <v>113</v>
      </c>
      <c r="I115" s="78" t="s">
        <v>111</v>
      </c>
      <c r="J115" s="78" t="s">
        <v>27</v>
      </c>
      <c r="K115" s="78" t="s">
        <v>112</v>
      </c>
      <c r="L115" s="78">
        <v>3</v>
      </c>
      <c r="M115" s="128"/>
      <c r="N115" s="78">
        <v>1</v>
      </c>
      <c r="O115" s="78">
        <v>0.95</v>
      </c>
      <c r="P115" s="78">
        <v>0.95</v>
      </c>
      <c r="Q115" s="16">
        <f t="shared" si="3"/>
        <v>0.95</v>
      </c>
      <c r="R115" s="78">
        <v>16.2</v>
      </c>
      <c r="S115" s="78">
        <v>142</v>
      </c>
      <c r="T115" s="16">
        <f t="shared" si="4"/>
        <v>22</v>
      </c>
      <c r="U115" s="78">
        <v>78</v>
      </c>
      <c r="V115" s="16">
        <f t="shared" si="5"/>
        <v>1716</v>
      </c>
      <c r="W115" s="78">
        <v>8</v>
      </c>
      <c r="X115" s="78" t="s">
        <v>35</v>
      </c>
      <c r="Y115" s="78" t="s">
        <v>43</v>
      </c>
      <c r="Z115" s="78" t="s">
        <v>72</v>
      </c>
      <c r="AA115" s="78" t="s">
        <v>55</v>
      </c>
      <c r="AB115" s="78" t="s">
        <v>178</v>
      </c>
    </row>
    <row r="116" spans="1:28" x14ac:dyDescent="0.15">
      <c r="A116" s="78" t="s">
        <v>44</v>
      </c>
      <c r="B116" s="78" t="s">
        <v>174</v>
      </c>
      <c r="C116" s="78">
        <v>2020</v>
      </c>
      <c r="D116" s="126" t="s">
        <v>418</v>
      </c>
      <c r="E116" s="78" t="s">
        <v>269</v>
      </c>
      <c r="F116" s="78" t="s">
        <v>266</v>
      </c>
      <c r="G116" s="78" t="s">
        <v>25</v>
      </c>
      <c r="H116" s="78" t="s">
        <v>167</v>
      </c>
      <c r="I116" s="78" t="s">
        <v>111</v>
      </c>
      <c r="J116" s="78" t="s">
        <v>27</v>
      </c>
      <c r="K116" s="78" t="s">
        <v>112</v>
      </c>
      <c r="L116" s="78">
        <v>1</v>
      </c>
      <c r="M116" s="128"/>
      <c r="N116" s="78">
        <v>1</v>
      </c>
      <c r="O116" s="78">
        <v>1</v>
      </c>
      <c r="P116" s="78">
        <v>0.9</v>
      </c>
      <c r="Q116" s="16">
        <f t="shared" si="3"/>
        <v>0.95</v>
      </c>
      <c r="R116" s="78">
        <v>17.100000000000001</v>
      </c>
      <c r="S116" s="78">
        <v>149</v>
      </c>
      <c r="T116" s="16">
        <f t="shared" si="4"/>
        <v>22</v>
      </c>
      <c r="U116" s="78">
        <v>78</v>
      </c>
      <c r="V116" s="16">
        <f t="shared" si="5"/>
        <v>1716</v>
      </c>
      <c r="W116" s="78">
        <v>8</v>
      </c>
      <c r="X116" s="78" t="s">
        <v>35</v>
      </c>
      <c r="Y116" s="78" t="s">
        <v>43</v>
      </c>
      <c r="Z116" s="78" t="s">
        <v>72</v>
      </c>
      <c r="AA116" s="78" t="s">
        <v>55</v>
      </c>
      <c r="AB116" s="78" t="s">
        <v>178</v>
      </c>
    </row>
    <row r="117" spans="1:28" x14ac:dyDescent="0.15">
      <c r="A117" s="78" t="s">
        <v>44</v>
      </c>
      <c r="B117" s="78" t="s">
        <v>174</v>
      </c>
      <c r="C117" s="78">
        <v>2020</v>
      </c>
      <c r="D117" s="126" t="s">
        <v>418</v>
      </c>
      <c r="E117" s="78" t="s">
        <v>269</v>
      </c>
      <c r="F117" s="78" t="s">
        <v>266</v>
      </c>
      <c r="G117" s="78" t="s">
        <v>25</v>
      </c>
      <c r="H117" s="78" t="s">
        <v>167</v>
      </c>
      <c r="I117" s="78" t="s">
        <v>111</v>
      </c>
      <c r="J117" s="78" t="s">
        <v>27</v>
      </c>
      <c r="K117" s="78" t="s">
        <v>112</v>
      </c>
      <c r="L117" s="78">
        <v>2</v>
      </c>
      <c r="M117" s="128"/>
      <c r="N117" s="78">
        <v>1</v>
      </c>
      <c r="O117" s="78">
        <v>0.6</v>
      </c>
      <c r="P117" s="78">
        <v>0.6</v>
      </c>
      <c r="Q117" s="16">
        <f t="shared" si="3"/>
        <v>0.6</v>
      </c>
      <c r="R117" s="78">
        <v>15.2</v>
      </c>
      <c r="S117" s="78">
        <v>157</v>
      </c>
      <c r="T117" s="16">
        <f t="shared" si="4"/>
        <v>22</v>
      </c>
      <c r="U117" s="78">
        <v>78</v>
      </c>
      <c r="V117" s="16">
        <f t="shared" si="5"/>
        <v>1716</v>
      </c>
      <c r="W117" s="78">
        <v>8</v>
      </c>
      <c r="X117" s="78" t="s">
        <v>35</v>
      </c>
      <c r="Y117" s="78" t="s">
        <v>43</v>
      </c>
      <c r="Z117" s="78" t="s">
        <v>72</v>
      </c>
      <c r="AA117" s="78" t="s">
        <v>55</v>
      </c>
      <c r="AB117" s="78" t="s">
        <v>178</v>
      </c>
    </row>
    <row r="118" spans="1:28" x14ac:dyDescent="0.15">
      <c r="A118" s="78" t="s">
        <v>44</v>
      </c>
      <c r="B118" s="78" t="s">
        <v>174</v>
      </c>
      <c r="C118" s="78">
        <v>2020</v>
      </c>
      <c r="D118" s="126" t="s">
        <v>418</v>
      </c>
      <c r="E118" s="78" t="s">
        <v>269</v>
      </c>
      <c r="F118" s="78" t="s">
        <v>266</v>
      </c>
      <c r="G118" s="78" t="s">
        <v>25</v>
      </c>
      <c r="H118" s="78" t="s">
        <v>167</v>
      </c>
      <c r="I118" s="78" t="s">
        <v>111</v>
      </c>
      <c r="J118" s="78" t="s">
        <v>27</v>
      </c>
      <c r="K118" s="78" t="s">
        <v>112</v>
      </c>
      <c r="L118" s="78">
        <v>3</v>
      </c>
      <c r="M118" s="128"/>
      <c r="N118" s="78">
        <v>1</v>
      </c>
      <c r="O118" s="78">
        <v>0.6</v>
      </c>
      <c r="P118" s="78">
        <v>0.65</v>
      </c>
      <c r="Q118" s="16">
        <f t="shared" si="3"/>
        <v>0.625</v>
      </c>
      <c r="R118" s="78">
        <v>17.8</v>
      </c>
      <c r="S118" s="78">
        <v>158</v>
      </c>
      <c r="T118" s="16">
        <f t="shared" si="4"/>
        <v>22</v>
      </c>
      <c r="U118" s="78">
        <v>78</v>
      </c>
      <c r="V118" s="16">
        <f t="shared" si="5"/>
        <v>1716</v>
      </c>
      <c r="W118" s="78">
        <v>8</v>
      </c>
      <c r="X118" s="78" t="s">
        <v>35</v>
      </c>
      <c r="Y118" s="78" t="s">
        <v>43</v>
      </c>
      <c r="Z118" s="78" t="s">
        <v>72</v>
      </c>
      <c r="AA118" s="78" t="s">
        <v>55</v>
      </c>
      <c r="AB118" s="78" t="s">
        <v>178</v>
      </c>
    </row>
    <row r="119" spans="1:28" x14ac:dyDescent="0.15">
      <c r="A119" s="78" t="s">
        <v>44</v>
      </c>
      <c r="B119" s="78" t="s">
        <v>174</v>
      </c>
      <c r="C119" s="78">
        <v>2020</v>
      </c>
      <c r="D119" s="126" t="s">
        <v>418</v>
      </c>
      <c r="E119" s="78" t="s">
        <v>274</v>
      </c>
      <c r="F119" s="78" t="s">
        <v>266</v>
      </c>
      <c r="G119" s="78" t="s">
        <v>25</v>
      </c>
      <c r="H119" s="78" t="s">
        <v>113</v>
      </c>
      <c r="I119" s="78" t="s">
        <v>111</v>
      </c>
      <c r="J119" s="78" t="s">
        <v>27</v>
      </c>
      <c r="K119" s="78" t="s">
        <v>112</v>
      </c>
      <c r="L119" s="78">
        <v>1</v>
      </c>
      <c r="M119" s="128"/>
      <c r="N119" s="78">
        <v>1</v>
      </c>
      <c r="O119" s="78">
        <v>0.65</v>
      </c>
      <c r="P119" s="78">
        <v>0.65</v>
      </c>
      <c r="Q119" s="16">
        <f t="shared" si="3"/>
        <v>0.65</v>
      </c>
      <c r="R119" s="78">
        <v>14.5</v>
      </c>
      <c r="S119" s="78">
        <v>125</v>
      </c>
      <c r="T119" s="16">
        <f t="shared" si="4"/>
        <v>27</v>
      </c>
      <c r="U119" s="78">
        <v>128</v>
      </c>
      <c r="V119" s="16">
        <f t="shared" si="5"/>
        <v>3456</v>
      </c>
      <c r="W119" s="78">
        <v>1</v>
      </c>
      <c r="X119" s="78" t="s">
        <v>35</v>
      </c>
      <c r="Y119" s="78" t="s">
        <v>43</v>
      </c>
      <c r="Z119" s="78" t="s">
        <v>72</v>
      </c>
      <c r="AA119" s="78" t="s">
        <v>82</v>
      </c>
      <c r="AB119" s="78" t="s">
        <v>178</v>
      </c>
    </row>
    <row r="120" spans="1:28" x14ac:dyDescent="0.15">
      <c r="A120" s="78" t="s">
        <v>44</v>
      </c>
      <c r="B120" s="78" t="s">
        <v>174</v>
      </c>
      <c r="C120" s="78">
        <v>2020</v>
      </c>
      <c r="D120" s="126" t="s">
        <v>418</v>
      </c>
      <c r="E120" s="78" t="s">
        <v>274</v>
      </c>
      <c r="F120" s="78" t="s">
        <v>266</v>
      </c>
      <c r="G120" s="78" t="s">
        <v>25</v>
      </c>
      <c r="H120" s="78" t="s">
        <v>113</v>
      </c>
      <c r="I120" s="78" t="s">
        <v>111</v>
      </c>
      <c r="J120" s="78" t="s">
        <v>27</v>
      </c>
      <c r="K120" s="78" t="s">
        <v>112</v>
      </c>
      <c r="L120" s="78">
        <v>2</v>
      </c>
      <c r="M120" s="128"/>
      <c r="N120" s="78">
        <v>1</v>
      </c>
      <c r="O120" s="78">
        <v>0.5</v>
      </c>
      <c r="P120" s="78">
        <v>0.5</v>
      </c>
      <c r="Q120" s="16">
        <f t="shared" si="3"/>
        <v>0.5</v>
      </c>
      <c r="R120" s="78">
        <v>15.7</v>
      </c>
      <c r="S120" s="78">
        <v>127</v>
      </c>
      <c r="T120" s="16">
        <f t="shared" si="4"/>
        <v>27</v>
      </c>
      <c r="U120" s="78">
        <v>128</v>
      </c>
      <c r="V120" s="16">
        <f t="shared" si="5"/>
        <v>3456</v>
      </c>
      <c r="W120" s="78">
        <v>1</v>
      </c>
      <c r="X120" s="78" t="s">
        <v>35</v>
      </c>
      <c r="Y120" s="78" t="s">
        <v>43</v>
      </c>
      <c r="Z120" s="78" t="s">
        <v>72</v>
      </c>
      <c r="AA120" s="78" t="s">
        <v>82</v>
      </c>
      <c r="AB120" s="78" t="s">
        <v>178</v>
      </c>
    </row>
    <row r="121" spans="1:28" x14ac:dyDescent="0.15">
      <c r="A121" s="78" t="s">
        <v>44</v>
      </c>
      <c r="B121" s="78" t="s">
        <v>174</v>
      </c>
      <c r="C121" s="78">
        <v>2020</v>
      </c>
      <c r="D121" s="126" t="s">
        <v>418</v>
      </c>
      <c r="E121" s="78" t="s">
        <v>274</v>
      </c>
      <c r="F121" s="78" t="s">
        <v>266</v>
      </c>
      <c r="G121" s="78" t="s">
        <v>25</v>
      </c>
      <c r="H121" s="78" t="s">
        <v>113</v>
      </c>
      <c r="I121" s="78" t="s">
        <v>111</v>
      </c>
      <c r="J121" s="78" t="s">
        <v>27</v>
      </c>
      <c r="K121" s="78" t="s">
        <v>112</v>
      </c>
      <c r="L121" s="78">
        <v>3</v>
      </c>
      <c r="M121" s="128"/>
      <c r="N121" s="78">
        <v>1</v>
      </c>
      <c r="O121" s="78">
        <v>0.5</v>
      </c>
      <c r="P121" s="78">
        <v>0.5</v>
      </c>
      <c r="Q121" s="16">
        <f t="shared" si="3"/>
        <v>0.5</v>
      </c>
      <c r="R121" s="78">
        <v>15.6</v>
      </c>
      <c r="S121" s="78">
        <v>123</v>
      </c>
      <c r="T121" s="16">
        <f t="shared" si="4"/>
        <v>27</v>
      </c>
      <c r="U121" s="78">
        <v>128</v>
      </c>
      <c r="V121" s="16">
        <f t="shared" si="5"/>
        <v>3456</v>
      </c>
      <c r="W121" s="78">
        <v>1</v>
      </c>
      <c r="X121" s="78" t="s">
        <v>35</v>
      </c>
      <c r="Y121" s="78" t="s">
        <v>43</v>
      </c>
      <c r="Z121" s="78" t="s">
        <v>72</v>
      </c>
      <c r="AA121" s="78" t="s">
        <v>82</v>
      </c>
      <c r="AB121" s="78" t="s">
        <v>178</v>
      </c>
    </row>
    <row r="122" spans="1:28" x14ac:dyDescent="0.15">
      <c r="A122" s="78" t="s">
        <v>44</v>
      </c>
      <c r="B122" s="78" t="s">
        <v>174</v>
      </c>
      <c r="C122" s="78">
        <v>2020</v>
      </c>
      <c r="D122" s="126" t="s">
        <v>418</v>
      </c>
      <c r="E122" s="78" t="s">
        <v>274</v>
      </c>
      <c r="F122" s="78" t="s">
        <v>266</v>
      </c>
      <c r="G122" s="78" t="s">
        <v>25</v>
      </c>
      <c r="H122" s="78" t="s">
        <v>113</v>
      </c>
      <c r="I122" s="78" t="s">
        <v>111</v>
      </c>
      <c r="J122" s="78" t="s">
        <v>27</v>
      </c>
      <c r="K122" s="78" t="s">
        <v>112</v>
      </c>
      <c r="L122" s="78">
        <v>1</v>
      </c>
      <c r="M122" s="128"/>
      <c r="N122" s="78">
        <v>5</v>
      </c>
      <c r="O122" s="78">
        <v>0.7</v>
      </c>
      <c r="P122" s="78">
        <v>0.7</v>
      </c>
      <c r="Q122" s="16">
        <f t="shared" si="3"/>
        <v>0.7</v>
      </c>
      <c r="R122" s="78">
        <v>14.9</v>
      </c>
      <c r="S122" s="78">
        <v>84</v>
      </c>
      <c r="T122" s="16">
        <f t="shared" si="4"/>
        <v>36</v>
      </c>
      <c r="U122" s="78">
        <v>398</v>
      </c>
      <c r="V122" s="16">
        <f t="shared" si="5"/>
        <v>2865.6</v>
      </c>
      <c r="W122" s="78">
        <v>6</v>
      </c>
      <c r="X122" s="78" t="s">
        <v>35</v>
      </c>
      <c r="Y122" s="78" t="s">
        <v>43</v>
      </c>
      <c r="Z122" s="78" t="s">
        <v>72</v>
      </c>
      <c r="AA122" s="78" t="s">
        <v>82</v>
      </c>
      <c r="AB122" s="78" t="s">
        <v>178</v>
      </c>
    </row>
    <row r="123" spans="1:28" x14ac:dyDescent="0.15">
      <c r="A123" s="78" t="s">
        <v>44</v>
      </c>
      <c r="B123" s="78" t="s">
        <v>174</v>
      </c>
      <c r="C123" s="78">
        <v>2020</v>
      </c>
      <c r="D123" s="126" t="s">
        <v>418</v>
      </c>
      <c r="E123" s="78" t="s">
        <v>274</v>
      </c>
      <c r="F123" s="78" t="s">
        <v>266</v>
      </c>
      <c r="G123" s="78" t="s">
        <v>25</v>
      </c>
      <c r="H123" s="78" t="s">
        <v>113</v>
      </c>
      <c r="I123" s="78" t="s">
        <v>111</v>
      </c>
      <c r="J123" s="78" t="s">
        <v>27</v>
      </c>
      <c r="K123" s="78" t="s">
        <v>112</v>
      </c>
      <c r="L123" s="78">
        <v>2</v>
      </c>
      <c r="M123" s="128"/>
      <c r="N123" s="78">
        <v>5</v>
      </c>
      <c r="O123" s="78">
        <v>0.7</v>
      </c>
      <c r="P123" s="78">
        <v>0.7</v>
      </c>
      <c r="Q123" s="16">
        <f t="shared" si="3"/>
        <v>0.7</v>
      </c>
      <c r="R123" s="78">
        <v>13.4</v>
      </c>
      <c r="S123" s="78">
        <v>103</v>
      </c>
      <c r="T123" s="16">
        <f t="shared" si="4"/>
        <v>33</v>
      </c>
      <c r="U123" s="78">
        <v>398</v>
      </c>
      <c r="V123" s="16">
        <f t="shared" si="5"/>
        <v>2626.7999999999997</v>
      </c>
      <c r="W123" s="78">
        <v>6</v>
      </c>
      <c r="X123" s="78" t="s">
        <v>35</v>
      </c>
      <c r="Y123" s="78" t="s">
        <v>43</v>
      </c>
      <c r="Z123" s="78" t="s">
        <v>72</v>
      </c>
      <c r="AA123" s="78" t="s">
        <v>82</v>
      </c>
      <c r="AB123" s="78" t="s">
        <v>178</v>
      </c>
    </row>
    <row r="124" spans="1:28" x14ac:dyDescent="0.15">
      <c r="A124" s="78" t="s">
        <v>44</v>
      </c>
      <c r="B124" s="78" t="s">
        <v>174</v>
      </c>
      <c r="C124" s="78">
        <v>2020</v>
      </c>
      <c r="D124" s="126" t="s">
        <v>418</v>
      </c>
      <c r="E124" s="78" t="s">
        <v>274</v>
      </c>
      <c r="F124" s="78" t="s">
        <v>266</v>
      </c>
      <c r="G124" s="78" t="s">
        <v>25</v>
      </c>
      <c r="H124" s="78" t="s">
        <v>113</v>
      </c>
      <c r="I124" s="78" t="s">
        <v>111</v>
      </c>
      <c r="J124" s="78" t="s">
        <v>27</v>
      </c>
      <c r="K124" s="78" t="s">
        <v>112</v>
      </c>
      <c r="L124" s="78">
        <v>3</v>
      </c>
      <c r="M124" s="128"/>
      <c r="N124" s="78">
        <v>5</v>
      </c>
      <c r="O124" s="78">
        <v>0.7</v>
      </c>
      <c r="P124" s="78">
        <v>0.7</v>
      </c>
      <c r="Q124" s="16">
        <f t="shared" si="3"/>
        <v>0.7</v>
      </c>
      <c r="R124" s="78">
        <v>14.6</v>
      </c>
      <c r="S124" s="78">
        <v>92</v>
      </c>
      <c r="T124" s="16">
        <f t="shared" si="4"/>
        <v>36</v>
      </c>
      <c r="U124" s="78">
        <v>398</v>
      </c>
      <c r="V124" s="16">
        <f t="shared" si="5"/>
        <v>2865.6</v>
      </c>
      <c r="W124" s="78">
        <v>6</v>
      </c>
      <c r="X124" s="78" t="s">
        <v>35</v>
      </c>
      <c r="Y124" s="78" t="s">
        <v>43</v>
      </c>
      <c r="Z124" s="78" t="s">
        <v>72</v>
      </c>
      <c r="AA124" s="78" t="s">
        <v>82</v>
      </c>
      <c r="AB124" s="78" t="s">
        <v>178</v>
      </c>
    </row>
    <row r="125" spans="1:28" x14ac:dyDescent="0.15">
      <c r="A125" s="78" t="s">
        <v>44</v>
      </c>
      <c r="B125" s="78" t="s">
        <v>174</v>
      </c>
      <c r="C125" s="78">
        <v>2020</v>
      </c>
      <c r="D125" s="126" t="s">
        <v>418</v>
      </c>
      <c r="E125" s="78" t="s">
        <v>274</v>
      </c>
      <c r="F125" s="78" t="s">
        <v>266</v>
      </c>
      <c r="G125" s="78" t="s">
        <v>25</v>
      </c>
      <c r="H125" s="78" t="s">
        <v>167</v>
      </c>
      <c r="I125" s="78" t="s">
        <v>111</v>
      </c>
      <c r="J125" s="78" t="s">
        <v>27</v>
      </c>
      <c r="K125" s="78" t="s">
        <v>112</v>
      </c>
      <c r="L125" s="78">
        <v>1</v>
      </c>
      <c r="M125" s="128"/>
      <c r="N125" s="78">
        <v>1</v>
      </c>
      <c r="O125" s="78">
        <v>0.8</v>
      </c>
      <c r="P125" s="78">
        <v>0.75</v>
      </c>
      <c r="Q125" s="16">
        <f t="shared" si="3"/>
        <v>0.77500000000000002</v>
      </c>
      <c r="R125" s="78">
        <v>13.8</v>
      </c>
      <c r="S125" s="78">
        <v>141</v>
      </c>
      <c r="T125" s="16">
        <f t="shared" si="4"/>
        <v>22</v>
      </c>
      <c r="U125" s="78">
        <v>138</v>
      </c>
      <c r="V125" s="16">
        <f t="shared" si="5"/>
        <v>3036</v>
      </c>
      <c r="W125" s="78">
        <v>18</v>
      </c>
      <c r="X125" s="78" t="s">
        <v>35</v>
      </c>
      <c r="Y125" s="78" t="s">
        <v>43</v>
      </c>
      <c r="Z125" s="78" t="s">
        <v>72</v>
      </c>
      <c r="AA125" s="78" t="s">
        <v>82</v>
      </c>
      <c r="AB125" s="78" t="s">
        <v>178</v>
      </c>
    </row>
    <row r="126" spans="1:28" x14ac:dyDescent="0.15">
      <c r="A126" s="78" t="s">
        <v>44</v>
      </c>
      <c r="B126" s="78" t="s">
        <v>174</v>
      </c>
      <c r="C126" s="78">
        <v>2020</v>
      </c>
      <c r="D126" s="126" t="s">
        <v>418</v>
      </c>
      <c r="E126" s="78" t="s">
        <v>274</v>
      </c>
      <c r="F126" s="78" t="s">
        <v>266</v>
      </c>
      <c r="G126" s="78" t="s">
        <v>25</v>
      </c>
      <c r="H126" s="78" t="s">
        <v>167</v>
      </c>
      <c r="I126" s="78" t="s">
        <v>111</v>
      </c>
      <c r="J126" s="78" t="s">
        <v>27</v>
      </c>
      <c r="K126" s="78" t="s">
        <v>112</v>
      </c>
      <c r="L126" s="78">
        <v>2</v>
      </c>
      <c r="M126" s="128"/>
      <c r="N126" s="78">
        <v>1</v>
      </c>
      <c r="O126" s="78">
        <v>0.65</v>
      </c>
      <c r="P126" s="78">
        <v>0.65</v>
      </c>
      <c r="Q126" s="16">
        <f t="shared" si="3"/>
        <v>0.65</v>
      </c>
      <c r="R126" s="78">
        <v>15.2</v>
      </c>
      <c r="S126" s="78">
        <v>133</v>
      </c>
      <c r="T126" s="16">
        <f t="shared" si="4"/>
        <v>25</v>
      </c>
      <c r="U126" s="78">
        <v>138</v>
      </c>
      <c r="V126" s="16">
        <f t="shared" si="5"/>
        <v>3450</v>
      </c>
      <c r="W126" s="78">
        <v>18</v>
      </c>
      <c r="X126" s="78" t="s">
        <v>35</v>
      </c>
      <c r="Y126" s="78" t="s">
        <v>43</v>
      </c>
      <c r="Z126" s="78" t="s">
        <v>72</v>
      </c>
      <c r="AA126" s="78" t="s">
        <v>82</v>
      </c>
      <c r="AB126" s="78" t="s">
        <v>178</v>
      </c>
    </row>
    <row r="127" spans="1:28" x14ac:dyDescent="0.15">
      <c r="A127" s="78" t="s">
        <v>44</v>
      </c>
      <c r="B127" s="78" t="s">
        <v>174</v>
      </c>
      <c r="C127" s="78">
        <v>2020</v>
      </c>
      <c r="D127" s="126" t="s">
        <v>418</v>
      </c>
      <c r="E127" s="78" t="s">
        <v>274</v>
      </c>
      <c r="F127" s="78" t="s">
        <v>266</v>
      </c>
      <c r="G127" s="78" t="s">
        <v>25</v>
      </c>
      <c r="H127" s="78" t="s">
        <v>167</v>
      </c>
      <c r="I127" s="78" t="s">
        <v>111</v>
      </c>
      <c r="J127" s="78" t="s">
        <v>27</v>
      </c>
      <c r="K127" s="78" t="s">
        <v>112</v>
      </c>
      <c r="L127" s="78">
        <v>3</v>
      </c>
      <c r="M127" s="128"/>
      <c r="N127" s="78">
        <v>1</v>
      </c>
      <c r="O127" s="78">
        <v>0.65</v>
      </c>
      <c r="P127" s="78">
        <v>0.6</v>
      </c>
      <c r="Q127" s="16">
        <f t="shared" si="3"/>
        <v>0.625</v>
      </c>
      <c r="R127" s="78">
        <v>16.899999999999999</v>
      </c>
      <c r="S127" s="78">
        <v>143</v>
      </c>
      <c r="T127" s="16">
        <f t="shared" si="4"/>
        <v>22</v>
      </c>
      <c r="U127" s="78">
        <v>138</v>
      </c>
      <c r="V127" s="16">
        <f t="shared" si="5"/>
        <v>3036</v>
      </c>
      <c r="W127" s="78">
        <v>18</v>
      </c>
      <c r="X127" s="78" t="s">
        <v>35</v>
      </c>
      <c r="Y127" s="78" t="s">
        <v>43</v>
      </c>
      <c r="Z127" s="78" t="s">
        <v>72</v>
      </c>
      <c r="AA127" s="78" t="s">
        <v>82</v>
      </c>
      <c r="AB127" s="78" t="s">
        <v>178</v>
      </c>
    </row>
    <row r="128" spans="1:28" x14ac:dyDescent="0.15">
      <c r="A128" s="78" t="s">
        <v>44</v>
      </c>
      <c r="B128" s="78" t="s">
        <v>174</v>
      </c>
      <c r="C128" s="78">
        <v>2020</v>
      </c>
      <c r="D128" s="126" t="s">
        <v>418</v>
      </c>
      <c r="E128" s="78" t="s">
        <v>274</v>
      </c>
      <c r="F128" s="78" t="s">
        <v>266</v>
      </c>
      <c r="G128" s="78" t="s">
        <v>25</v>
      </c>
      <c r="H128" s="78" t="s">
        <v>167</v>
      </c>
      <c r="I128" s="78" t="s">
        <v>111</v>
      </c>
      <c r="J128" s="78" t="s">
        <v>27</v>
      </c>
      <c r="K128" s="78" t="s">
        <v>112</v>
      </c>
      <c r="L128" s="78">
        <v>1</v>
      </c>
      <c r="M128" s="128"/>
      <c r="N128" s="78">
        <v>5</v>
      </c>
      <c r="O128" s="78">
        <v>0.65</v>
      </c>
      <c r="P128" s="78">
        <v>0.65</v>
      </c>
      <c r="Q128" s="16">
        <f t="shared" si="3"/>
        <v>0.65</v>
      </c>
      <c r="R128" s="78">
        <v>16.600000000000001</v>
      </c>
      <c r="S128" s="78">
        <v>103</v>
      </c>
      <c r="T128" s="16">
        <f t="shared" si="4"/>
        <v>33</v>
      </c>
      <c r="U128" s="78">
        <v>598</v>
      </c>
      <c r="V128" s="16">
        <f t="shared" si="5"/>
        <v>3946.7999999999997</v>
      </c>
      <c r="W128" s="78">
        <v>6</v>
      </c>
      <c r="X128" s="78" t="s">
        <v>35</v>
      </c>
      <c r="Y128" s="78" t="s">
        <v>43</v>
      </c>
      <c r="Z128" s="78" t="s">
        <v>72</v>
      </c>
      <c r="AA128" s="78" t="s">
        <v>82</v>
      </c>
      <c r="AB128" s="78" t="s">
        <v>178</v>
      </c>
    </row>
    <row r="129" spans="1:28" x14ac:dyDescent="0.15">
      <c r="A129" s="78" t="s">
        <v>44</v>
      </c>
      <c r="B129" s="78" t="s">
        <v>174</v>
      </c>
      <c r="C129" s="78">
        <v>2020</v>
      </c>
      <c r="D129" s="126" t="s">
        <v>418</v>
      </c>
      <c r="E129" s="78" t="s">
        <v>274</v>
      </c>
      <c r="F129" s="78" t="s">
        <v>266</v>
      </c>
      <c r="G129" s="78" t="s">
        <v>25</v>
      </c>
      <c r="H129" s="78" t="s">
        <v>167</v>
      </c>
      <c r="I129" s="78" t="s">
        <v>111</v>
      </c>
      <c r="J129" s="78" t="s">
        <v>27</v>
      </c>
      <c r="K129" s="78" t="s">
        <v>112</v>
      </c>
      <c r="L129" s="78">
        <v>2</v>
      </c>
      <c r="M129" s="128"/>
      <c r="N129" s="78">
        <v>5</v>
      </c>
      <c r="O129" s="78">
        <v>0.6</v>
      </c>
      <c r="P129" s="78">
        <v>0.7</v>
      </c>
      <c r="Q129" s="16">
        <f t="shared" si="3"/>
        <v>0.64999999999999991</v>
      </c>
      <c r="R129" s="78">
        <v>15.9</v>
      </c>
      <c r="S129" s="78">
        <v>93</v>
      </c>
      <c r="T129" s="16">
        <f t="shared" si="4"/>
        <v>36</v>
      </c>
      <c r="U129" s="78">
        <v>598</v>
      </c>
      <c r="V129" s="16">
        <f t="shared" si="5"/>
        <v>4305.5999999999995</v>
      </c>
      <c r="W129" s="78">
        <v>6</v>
      </c>
      <c r="X129" s="78" t="s">
        <v>35</v>
      </c>
      <c r="Y129" s="78" t="s">
        <v>43</v>
      </c>
      <c r="Z129" s="78" t="s">
        <v>72</v>
      </c>
      <c r="AA129" s="78" t="s">
        <v>82</v>
      </c>
      <c r="AB129" s="78" t="s">
        <v>178</v>
      </c>
    </row>
    <row r="130" spans="1:28" x14ac:dyDescent="0.15">
      <c r="A130" s="78" t="s">
        <v>44</v>
      </c>
      <c r="B130" s="78" t="s">
        <v>174</v>
      </c>
      <c r="C130" s="78">
        <v>2020</v>
      </c>
      <c r="D130" s="126" t="s">
        <v>418</v>
      </c>
      <c r="E130" s="78" t="s">
        <v>274</v>
      </c>
      <c r="F130" s="78" t="s">
        <v>266</v>
      </c>
      <c r="G130" s="78" t="s">
        <v>25</v>
      </c>
      <c r="H130" s="78" t="s">
        <v>167</v>
      </c>
      <c r="I130" s="78" t="s">
        <v>111</v>
      </c>
      <c r="J130" s="78" t="s">
        <v>27</v>
      </c>
      <c r="K130" s="78" t="s">
        <v>112</v>
      </c>
      <c r="L130" s="78">
        <v>3</v>
      </c>
      <c r="M130" s="128"/>
      <c r="N130" s="78">
        <v>5</v>
      </c>
      <c r="O130" s="78">
        <v>0.75</v>
      </c>
      <c r="P130" s="78">
        <v>0.75</v>
      </c>
      <c r="Q130" s="16">
        <f t="shared" ref="Q130:Q133" si="6">IF(OR(O130="",P130=""),"",AVERAGE(O130,P130))</f>
        <v>0.75</v>
      </c>
      <c r="R130" s="78">
        <v>14.6</v>
      </c>
      <c r="S130" s="78">
        <v>101</v>
      </c>
      <c r="T130" s="16">
        <f t="shared" ref="T130:T133" si="7">IF(H130="","",IF(OR(H130="GREEN",H130="GK"),IF(S130&gt;=$AX$2,VLOOKUP(S130,$AX$2:$AY$10,2,1),""),IF(S130&gt;=$AZ$2,VLOOKUP(S130,$AZ$2:$BA$10,2,1),"")))</f>
        <v>33</v>
      </c>
      <c r="U130" s="78">
        <v>598</v>
      </c>
      <c r="V130" s="16">
        <f t="shared" ref="V130:V133" si="8">IF(OR(N130="",U130="",T130=""),"",U130/N130*T130)</f>
        <v>3946.7999999999997</v>
      </c>
      <c r="W130" s="78">
        <v>6</v>
      </c>
      <c r="X130" s="78" t="s">
        <v>35</v>
      </c>
      <c r="Y130" s="78" t="s">
        <v>43</v>
      </c>
      <c r="Z130" s="78" t="s">
        <v>72</v>
      </c>
      <c r="AA130" s="78" t="s">
        <v>82</v>
      </c>
      <c r="AB130" s="78" t="s">
        <v>178</v>
      </c>
    </row>
    <row r="131" spans="1:28" x14ac:dyDescent="0.15">
      <c r="A131" s="78" t="s">
        <v>44</v>
      </c>
      <c r="B131" s="78" t="s">
        <v>174</v>
      </c>
      <c r="C131" s="78">
        <v>2020</v>
      </c>
      <c r="D131" s="126" t="s">
        <v>418</v>
      </c>
      <c r="E131" s="78" t="s">
        <v>274</v>
      </c>
      <c r="F131" s="78" t="s">
        <v>266</v>
      </c>
      <c r="G131" s="78" t="s">
        <v>25</v>
      </c>
      <c r="H131" s="78" t="s">
        <v>167</v>
      </c>
      <c r="I131" s="78" t="s">
        <v>111</v>
      </c>
      <c r="J131" s="78" t="s">
        <v>27</v>
      </c>
      <c r="K131" s="78" t="s">
        <v>112</v>
      </c>
      <c r="L131" s="78">
        <v>1</v>
      </c>
      <c r="M131" s="128"/>
      <c r="N131" s="78">
        <v>7</v>
      </c>
      <c r="O131" s="78">
        <v>0.7</v>
      </c>
      <c r="P131" s="78">
        <v>0.8</v>
      </c>
      <c r="Q131" s="16">
        <f t="shared" si="6"/>
        <v>0.75</v>
      </c>
      <c r="R131" s="78">
        <v>16</v>
      </c>
      <c r="S131" s="78">
        <v>150</v>
      </c>
      <c r="T131" s="16">
        <f t="shared" si="7"/>
        <v>22</v>
      </c>
      <c r="U131" s="78">
        <v>1000</v>
      </c>
      <c r="V131" s="16">
        <f t="shared" si="8"/>
        <v>3142.8571428571431</v>
      </c>
      <c r="W131" s="78">
        <v>6</v>
      </c>
      <c r="X131" s="78" t="s">
        <v>35</v>
      </c>
      <c r="Y131" s="78" t="s">
        <v>43</v>
      </c>
      <c r="Z131" s="78" t="s">
        <v>72</v>
      </c>
      <c r="AA131" s="78" t="s">
        <v>82</v>
      </c>
      <c r="AB131" s="78" t="s">
        <v>178</v>
      </c>
    </row>
    <row r="132" spans="1:28" x14ac:dyDescent="0.15">
      <c r="A132" s="78" t="s">
        <v>44</v>
      </c>
      <c r="B132" s="78" t="s">
        <v>174</v>
      </c>
      <c r="C132" s="78">
        <v>2020</v>
      </c>
      <c r="D132" s="126" t="s">
        <v>418</v>
      </c>
      <c r="E132" s="78" t="s">
        <v>274</v>
      </c>
      <c r="F132" s="78" t="s">
        <v>266</v>
      </c>
      <c r="G132" s="78" t="s">
        <v>25</v>
      </c>
      <c r="H132" s="78" t="s">
        <v>167</v>
      </c>
      <c r="I132" s="78" t="s">
        <v>111</v>
      </c>
      <c r="J132" s="78" t="s">
        <v>27</v>
      </c>
      <c r="K132" s="78" t="s">
        <v>112</v>
      </c>
      <c r="L132" s="78">
        <v>2</v>
      </c>
      <c r="M132" s="128"/>
      <c r="N132" s="78">
        <v>7</v>
      </c>
      <c r="O132" s="78">
        <v>0.55000000000000004</v>
      </c>
      <c r="P132" s="78">
        <v>0.55000000000000004</v>
      </c>
      <c r="Q132" s="16">
        <f t="shared" si="6"/>
        <v>0.55000000000000004</v>
      </c>
      <c r="R132" s="78">
        <v>17.3</v>
      </c>
      <c r="S132" s="78">
        <v>155</v>
      </c>
      <c r="T132" s="16">
        <f t="shared" si="7"/>
        <v>22</v>
      </c>
      <c r="U132" s="78">
        <v>1000</v>
      </c>
      <c r="V132" s="16">
        <f t="shared" si="8"/>
        <v>3142.8571428571431</v>
      </c>
      <c r="W132" s="78">
        <v>6</v>
      </c>
      <c r="X132" s="78" t="s">
        <v>35</v>
      </c>
      <c r="Y132" s="78" t="s">
        <v>43</v>
      </c>
      <c r="Z132" s="78" t="s">
        <v>72</v>
      </c>
      <c r="AA132" s="78" t="s">
        <v>82</v>
      </c>
      <c r="AB132" s="78" t="s">
        <v>178</v>
      </c>
    </row>
    <row r="133" spans="1:28" x14ac:dyDescent="0.15">
      <c r="A133" s="78" t="s">
        <v>44</v>
      </c>
      <c r="B133" s="78" t="s">
        <v>174</v>
      </c>
      <c r="C133" s="78">
        <v>2020</v>
      </c>
      <c r="D133" s="126" t="s">
        <v>418</v>
      </c>
      <c r="E133" s="78" t="s">
        <v>274</v>
      </c>
      <c r="F133" s="78" t="s">
        <v>266</v>
      </c>
      <c r="G133" s="78" t="s">
        <v>25</v>
      </c>
      <c r="H133" s="78" t="s">
        <v>167</v>
      </c>
      <c r="I133" s="78" t="s">
        <v>111</v>
      </c>
      <c r="J133" s="78" t="s">
        <v>27</v>
      </c>
      <c r="K133" s="78" t="s">
        <v>112</v>
      </c>
      <c r="L133" s="78">
        <v>3</v>
      </c>
      <c r="M133" s="128"/>
      <c r="N133" s="78">
        <v>7</v>
      </c>
      <c r="O133" s="78">
        <v>0.7</v>
      </c>
      <c r="P133" s="78">
        <v>0.75</v>
      </c>
      <c r="Q133" s="16">
        <f t="shared" si="6"/>
        <v>0.72499999999999998</v>
      </c>
      <c r="R133" s="78">
        <v>15.3</v>
      </c>
      <c r="S133" s="78">
        <v>150</v>
      </c>
      <c r="T133" s="16">
        <f t="shared" si="7"/>
        <v>22</v>
      </c>
      <c r="U133" s="78">
        <v>1000</v>
      </c>
      <c r="V133" s="16">
        <f t="shared" si="8"/>
        <v>3142.8571428571431</v>
      </c>
      <c r="W133" s="78">
        <v>6</v>
      </c>
      <c r="X133" s="78" t="s">
        <v>35</v>
      </c>
      <c r="Y133" s="78" t="s">
        <v>43</v>
      </c>
      <c r="Z133" s="78" t="s">
        <v>72</v>
      </c>
      <c r="AA133" s="78" t="s">
        <v>82</v>
      </c>
      <c r="AB133" s="78" t="s">
        <v>178</v>
      </c>
    </row>
    <row r="134" spans="1:28" x14ac:dyDescent="0.15">
      <c r="D134" s="126"/>
      <c r="M134" s="128"/>
    </row>
    <row r="135" spans="1:28" x14ac:dyDescent="0.15">
      <c r="D135" s="126"/>
      <c r="M135" s="128"/>
    </row>
    <row r="136" spans="1:28" x14ac:dyDescent="0.15">
      <c r="D136" s="126"/>
      <c r="M136" s="128"/>
    </row>
    <row r="137" spans="1:28" x14ac:dyDescent="0.15">
      <c r="D137" s="126"/>
      <c r="M137" s="128"/>
    </row>
    <row r="138" spans="1:28" x14ac:dyDescent="0.15">
      <c r="D138" s="126"/>
      <c r="M138" s="128"/>
    </row>
    <row r="139" spans="1:28" x14ac:dyDescent="0.15">
      <c r="D139" s="126"/>
      <c r="M139" s="128"/>
    </row>
    <row r="140" spans="1:28" x14ac:dyDescent="0.15">
      <c r="D140" s="126"/>
      <c r="M140" s="128"/>
    </row>
    <row r="141" spans="1:28" x14ac:dyDescent="0.15">
      <c r="D141" s="126"/>
      <c r="M141" s="128"/>
    </row>
    <row r="142" spans="1:28" x14ac:dyDescent="0.15">
      <c r="D142" s="126"/>
      <c r="M142" s="128"/>
    </row>
    <row r="143" spans="1:28" x14ac:dyDescent="0.15">
      <c r="M143" s="128"/>
    </row>
    <row r="144" spans="1:28" x14ac:dyDescent="0.15">
      <c r="M144" s="128"/>
    </row>
    <row r="145" spans="13:13" x14ac:dyDescent="0.15">
      <c r="M145" s="128"/>
    </row>
    <row r="146" spans="13:13" x14ac:dyDescent="0.15">
      <c r="M146" s="128"/>
    </row>
    <row r="147" spans="13:13" x14ac:dyDescent="0.15">
      <c r="M147" s="128"/>
    </row>
    <row r="148" spans="13:13" x14ac:dyDescent="0.15">
      <c r="M148" s="128"/>
    </row>
  </sheetData>
  <autoFilter ref="A1:BA142"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33C5CEC4-B0AB-49F4-ADE2-FF46A465FDB1}">
      <formula1>0</formula1>
      <formula2>7</formula2>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2E0233E6-E6CA-4815-97EF-759A26B7A872}">
      <formula1>$AV$2:$AV$21</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6408B416-5F38-4651-A9A3-FBC4010EFC68}">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7752CDB0-718E-4564-9777-CDE9C9AA540F}">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BD09C5CD-5B20-4A7A-9D5B-01D0FDEB83D9}">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F5F8FDE-6CA2-4F08-A91B-CDAEE1173691}">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4B204A5-1F21-44AE-A251-E382AB6CCCFC}">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BBEDD206-10BA-44F1-8EFF-D5151FBC00A5}">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9AC6710A-26A0-4E9E-A7F4-9C8D98425BDC}">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2C979619-0563-4EAF-8588-9F1D1C79B495}">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FC44D205-9148-4063-8C5F-581319050CB5}">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7DC3C8C3-EE61-4BB3-977B-3AFC13FD6898}">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D4302A55-D7FD-47F1-8DDA-EBF0EC7130DB}"/>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67612CB0-D08C-4CB7-893D-0F1B677358B5}">
      <formula1>$AE$2:$AE$19</formula1>
    </dataValidation>
    <dataValidation type="list" allowBlank="1" showInputMessage="1" showErrorMessage="1" sqref="H2:H1254" xr:uid="{1159E556-74D3-4D88-A522-62CA1893E603}">
      <formula1>$AL$2:$AL$9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5B4AC7A7-4477-45CB-B969-C5707D508968}">
      <formula1>$AP$2:$AP$27</formula1>
    </dataValidation>
    <dataValidation type="list" allowBlank="1" showInputMessage="1" showErrorMessage="1" sqref="K2:K450" xr:uid="{8AC8C7E1-9929-4775-908F-4AD75789D81D}">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2179023A-B4BC-4911-9538-A3E296F77586}">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6CA13090-1E48-446E-A607-41109CCA10AE}">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10D31-A658-4166-AA7B-B175E93580FA}">
  <dimension ref="A1:BA178"/>
  <sheetViews>
    <sheetView zoomScale="85" zoomScaleNormal="85" workbookViewId="0"/>
  </sheetViews>
  <sheetFormatPr defaultColWidth="9" defaultRowHeight="13.5" x14ac:dyDescent="0.15"/>
  <cols>
    <col min="1" max="3" width="9" style="139"/>
    <col min="4" max="4" width="10.5" style="139" customWidth="1"/>
    <col min="5" max="9" width="9" style="139"/>
    <col min="10" max="11" width="9" style="78"/>
    <col min="12" max="16" width="9" style="139"/>
    <col min="17" max="17" width="9" style="149"/>
    <col min="18" max="18" width="9" style="139"/>
    <col min="19" max="19" width="9.5" style="139" customWidth="1"/>
    <col min="20" max="20" width="9" style="149"/>
    <col min="21" max="21" width="9" style="139"/>
    <col min="22" max="22" width="9" style="149"/>
    <col min="23" max="23" width="10.5" style="139" customWidth="1"/>
    <col min="24" max="32" width="9" style="139"/>
    <col min="33" max="33" width="19.625" style="139" customWidth="1"/>
    <col min="34" max="34" width="9.375" style="139" customWidth="1"/>
    <col min="35" max="259" width="9" style="139"/>
    <col min="260" max="260" width="10.5" style="139" customWidth="1"/>
    <col min="261" max="274" width="9" style="139"/>
    <col min="275" max="275" width="9.5" style="139" customWidth="1"/>
    <col min="276" max="278" width="9" style="139"/>
    <col min="279" max="279" width="10.5" style="139" customWidth="1"/>
    <col min="280" max="515" width="9" style="139"/>
    <col min="516" max="516" width="10.5" style="139" customWidth="1"/>
    <col min="517" max="530" width="9" style="139"/>
    <col min="531" max="531" width="9.5" style="139" customWidth="1"/>
    <col min="532" max="534" width="9" style="139"/>
    <col min="535" max="535" width="10.5" style="139" customWidth="1"/>
    <col min="536" max="771" width="9" style="139"/>
    <col min="772" max="772" width="10.5" style="139" customWidth="1"/>
    <col min="773" max="786" width="9" style="139"/>
    <col min="787" max="787" width="9.5" style="139" customWidth="1"/>
    <col min="788" max="790" width="9" style="139"/>
    <col min="791" max="791" width="10.5" style="139" customWidth="1"/>
    <col min="792" max="1027" width="9" style="139"/>
    <col min="1028" max="1028" width="10.5" style="139" customWidth="1"/>
    <col min="1029" max="1042" width="9" style="139"/>
    <col min="1043" max="1043" width="9.5" style="139" customWidth="1"/>
    <col min="1044" max="1046" width="9" style="139"/>
    <col min="1047" max="1047" width="10.5" style="139" customWidth="1"/>
    <col min="1048" max="1283" width="9" style="139"/>
    <col min="1284" max="1284" width="10.5" style="139" customWidth="1"/>
    <col min="1285" max="1298" width="9" style="139"/>
    <col min="1299" max="1299" width="9.5" style="139" customWidth="1"/>
    <col min="1300" max="1302" width="9" style="139"/>
    <col min="1303" max="1303" width="10.5" style="139" customWidth="1"/>
    <col min="1304" max="1539" width="9" style="139"/>
    <col min="1540" max="1540" width="10.5" style="139" customWidth="1"/>
    <col min="1541" max="1554" width="9" style="139"/>
    <col min="1555" max="1555" width="9.5" style="139" customWidth="1"/>
    <col min="1556" max="1558" width="9" style="139"/>
    <col min="1559" max="1559" width="10.5" style="139" customWidth="1"/>
    <col min="1560" max="1795" width="9" style="139"/>
    <col min="1796" max="1796" width="10.5" style="139" customWidth="1"/>
    <col min="1797" max="1810" width="9" style="139"/>
    <col min="1811" max="1811" width="9.5" style="139" customWidth="1"/>
    <col min="1812" max="1814" width="9" style="139"/>
    <col min="1815" max="1815" width="10.5" style="139" customWidth="1"/>
    <col min="1816" max="2051" width="9" style="139"/>
    <col min="2052" max="2052" width="10.5" style="139" customWidth="1"/>
    <col min="2053" max="2066" width="9" style="139"/>
    <col min="2067" max="2067" width="9.5" style="139" customWidth="1"/>
    <col min="2068" max="2070" width="9" style="139"/>
    <col min="2071" max="2071" width="10.5" style="139" customWidth="1"/>
    <col min="2072" max="2307" width="9" style="139"/>
    <col min="2308" max="2308" width="10.5" style="139" customWidth="1"/>
    <col min="2309" max="2322" width="9" style="139"/>
    <col min="2323" max="2323" width="9.5" style="139" customWidth="1"/>
    <col min="2324" max="2326" width="9" style="139"/>
    <col min="2327" max="2327" width="10.5" style="139" customWidth="1"/>
    <col min="2328" max="2563" width="9" style="139"/>
    <col min="2564" max="2564" width="10.5" style="139" customWidth="1"/>
    <col min="2565" max="2578" width="9" style="139"/>
    <col min="2579" max="2579" width="9.5" style="139" customWidth="1"/>
    <col min="2580" max="2582" width="9" style="139"/>
    <col min="2583" max="2583" width="10.5" style="139" customWidth="1"/>
    <col min="2584" max="2819" width="9" style="139"/>
    <col min="2820" max="2820" width="10.5" style="139" customWidth="1"/>
    <col min="2821" max="2834" width="9" style="139"/>
    <col min="2835" max="2835" width="9.5" style="139" customWidth="1"/>
    <col min="2836" max="2838" width="9" style="139"/>
    <col min="2839" max="2839" width="10.5" style="139" customWidth="1"/>
    <col min="2840" max="3075" width="9" style="139"/>
    <col min="3076" max="3076" width="10.5" style="139" customWidth="1"/>
    <col min="3077" max="3090" width="9" style="139"/>
    <col min="3091" max="3091" width="9.5" style="139" customWidth="1"/>
    <col min="3092" max="3094" width="9" style="139"/>
    <col min="3095" max="3095" width="10.5" style="139" customWidth="1"/>
    <col min="3096" max="3331" width="9" style="139"/>
    <col min="3332" max="3332" width="10.5" style="139" customWidth="1"/>
    <col min="3333" max="3346" width="9" style="139"/>
    <col min="3347" max="3347" width="9.5" style="139" customWidth="1"/>
    <col min="3348" max="3350" width="9" style="139"/>
    <col min="3351" max="3351" width="10.5" style="139" customWidth="1"/>
    <col min="3352" max="3587" width="9" style="139"/>
    <col min="3588" max="3588" width="10.5" style="139" customWidth="1"/>
    <col min="3589" max="3602" width="9" style="139"/>
    <col min="3603" max="3603" width="9.5" style="139" customWidth="1"/>
    <col min="3604" max="3606" width="9" style="139"/>
    <col min="3607" max="3607" width="10.5" style="139" customWidth="1"/>
    <col min="3608" max="3843" width="9" style="139"/>
    <col min="3844" max="3844" width="10.5" style="139" customWidth="1"/>
    <col min="3845" max="3858" width="9" style="139"/>
    <col min="3859" max="3859" width="9.5" style="139" customWidth="1"/>
    <col min="3860" max="3862" width="9" style="139"/>
    <col min="3863" max="3863" width="10.5" style="139" customWidth="1"/>
    <col min="3864" max="4099" width="9" style="139"/>
    <col min="4100" max="4100" width="10.5" style="139" customWidth="1"/>
    <col min="4101" max="4114" width="9" style="139"/>
    <col min="4115" max="4115" width="9.5" style="139" customWidth="1"/>
    <col min="4116" max="4118" width="9" style="139"/>
    <col min="4119" max="4119" width="10.5" style="139" customWidth="1"/>
    <col min="4120" max="4355" width="9" style="139"/>
    <col min="4356" max="4356" width="10.5" style="139" customWidth="1"/>
    <col min="4357" max="4370" width="9" style="139"/>
    <col min="4371" max="4371" width="9.5" style="139" customWidth="1"/>
    <col min="4372" max="4374" width="9" style="139"/>
    <col min="4375" max="4375" width="10.5" style="139" customWidth="1"/>
    <col min="4376" max="4611" width="9" style="139"/>
    <col min="4612" max="4612" width="10.5" style="139" customWidth="1"/>
    <col min="4613" max="4626" width="9" style="139"/>
    <col min="4627" max="4627" width="9.5" style="139" customWidth="1"/>
    <col min="4628" max="4630" width="9" style="139"/>
    <col min="4631" max="4631" width="10.5" style="139" customWidth="1"/>
    <col min="4632" max="4867" width="9" style="139"/>
    <col min="4868" max="4868" width="10.5" style="139" customWidth="1"/>
    <col min="4869" max="4882" width="9" style="139"/>
    <col min="4883" max="4883" width="9.5" style="139" customWidth="1"/>
    <col min="4884" max="4886" width="9" style="139"/>
    <col min="4887" max="4887" width="10.5" style="139" customWidth="1"/>
    <col min="4888" max="5123" width="9" style="139"/>
    <col min="5124" max="5124" width="10.5" style="139" customWidth="1"/>
    <col min="5125" max="5138" width="9" style="139"/>
    <col min="5139" max="5139" width="9.5" style="139" customWidth="1"/>
    <col min="5140" max="5142" width="9" style="139"/>
    <col min="5143" max="5143" width="10.5" style="139" customWidth="1"/>
    <col min="5144" max="5379" width="9" style="139"/>
    <col min="5380" max="5380" width="10.5" style="139" customWidth="1"/>
    <col min="5381" max="5394" width="9" style="139"/>
    <col min="5395" max="5395" width="9.5" style="139" customWidth="1"/>
    <col min="5396" max="5398" width="9" style="139"/>
    <col min="5399" max="5399" width="10.5" style="139" customWidth="1"/>
    <col min="5400" max="5635" width="9" style="139"/>
    <col min="5636" max="5636" width="10.5" style="139" customWidth="1"/>
    <col min="5637" max="5650" width="9" style="139"/>
    <col min="5651" max="5651" width="9.5" style="139" customWidth="1"/>
    <col min="5652" max="5654" width="9" style="139"/>
    <col min="5655" max="5655" width="10.5" style="139" customWidth="1"/>
    <col min="5656" max="5891" width="9" style="139"/>
    <col min="5892" max="5892" width="10.5" style="139" customWidth="1"/>
    <col min="5893" max="5906" width="9" style="139"/>
    <col min="5907" max="5907" width="9.5" style="139" customWidth="1"/>
    <col min="5908" max="5910" width="9" style="139"/>
    <col min="5911" max="5911" width="10.5" style="139" customWidth="1"/>
    <col min="5912" max="6147" width="9" style="139"/>
    <col min="6148" max="6148" width="10.5" style="139" customWidth="1"/>
    <col min="6149" max="6162" width="9" style="139"/>
    <col min="6163" max="6163" width="9.5" style="139" customWidth="1"/>
    <col min="6164" max="6166" width="9" style="139"/>
    <col min="6167" max="6167" width="10.5" style="139" customWidth="1"/>
    <col min="6168" max="6403" width="9" style="139"/>
    <col min="6404" max="6404" width="10.5" style="139" customWidth="1"/>
    <col min="6405" max="6418" width="9" style="139"/>
    <col min="6419" max="6419" width="9.5" style="139" customWidth="1"/>
    <col min="6420" max="6422" width="9" style="139"/>
    <col min="6423" max="6423" width="10.5" style="139" customWidth="1"/>
    <col min="6424" max="6659" width="9" style="139"/>
    <col min="6660" max="6660" width="10.5" style="139" customWidth="1"/>
    <col min="6661" max="6674" width="9" style="139"/>
    <col min="6675" max="6675" width="9.5" style="139" customWidth="1"/>
    <col min="6676" max="6678" width="9" style="139"/>
    <col min="6679" max="6679" width="10.5" style="139" customWidth="1"/>
    <col min="6680" max="6915" width="9" style="139"/>
    <col min="6916" max="6916" width="10.5" style="139" customWidth="1"/>
    <col min="6917" max="6930" width="9" style="139"/>
    <col min="6931" max="6931" width="9.5" style="139" customWidth="1"/>
    <col min="6932" max="6934" width="9" style="139"/>
    <col min="6935" max="6935" width="10.5" style="139" customWidth="1"/>
    <col min="6936" max="7171" width="9" style="139"/>
    <col min="7172" max="7172" width="10.5" style="139" customWidth="1"/>
    <col min="7173" max="7186" width="9" style="139"/>
    <col min="7187" max="7187" width="9.5" style="139" customWidth="1"/>
    <col min="7188" max="7190" width="9" style="139"/>
    <col min="7191" max="7191" width="10.5" style="139" customWidth="1"/>
    <col min="7192" max="7427" width="9" style="139"/>
    <col min="7428" max="7428" width="10.5" style="139" customWidth="1"/>
    <col min="7429" max="7442" width="9" style="139"/>
    <col min="7443" max="7443" width="9.5" style="139" customWidth="1"/>
    <col min="7444" max="7446" width="9" style="139"/>
    <col min="7447" max="7447" width="10.5" style="139" customWidth="1"/>
    <col min="7448" max="7683" width="9" style="139"/>
    <col min="7684" max="7684" width="10.5" style="139" customWidth="1"/>
    <col min="7685" max="7698" width="9" style="139"/>
    <col min="7699" max="7699" width="9.5" style="139" customWidth="1"/>
    <col min="7700" max="7702" width="9" style="139"/>
    <col min="7703" max="7703" width="10.5" style="139" customWidth="1"/>
    <col min="7704" max="7939" width="9" style="139"/>
    <col min="7940" max="7940" width="10.5" style="139" customWidth="1"/>
    <col min="7941" max="7954" width="9" style="139"/>
    <col min="7955" max="7955" width="9.5" style="139" customWidth="1"/>
    <col min="7956" max="7958" width="9" style="139"/>
    <col min="7959" max="7959" width="10.5" style="139" customWidth="1"/>
    <col min="7960" max="8195" width="9" style="139"/>
    <col min="8196" max="8196" width="10.5" style="139" customWidth="1"/>
    <col min="8197" max="8210" width="9" style="139"/>
    <col min="8211" max="8211" width="9.5" style="139" customWidth="1"/>
    <col min="8212" max="8214" width="9" style="139"/>
    <col min="8215" max="8215" width="10.5" style="139" customWidth="1"/>
    <col min="8216" max="8451" width="9" style="139"/>
    <col min="8452" max="8452" width="10.5" style="139" customWidth="1"/>
    <col min="8453" max="8466" width="9" style="139"/>
    <col min="8467" max="8467" width="9.5" style="139" customWidth="1"/>
    <col min="8468" max="8470" width="9" style="139"/>
    <col min="8471" max="8471" width="10.5" style="139" customWidth="1"/>
    <col min="8472" max="8707" width="9" style="139"/>
    <col min="8708" max="8708" width="10.5" style="139" customWidth="1"/>
    <col min="8709" max="8722" width="9" style="139"/>
    <col min="8723" max="8723" width="9.5" style="139" customWidth="1"/>
    <col min="8724" max="8726" width="9" style="139"/>
    <col min="8727" max="8727" width="10.5" style="139" customWidth="1"/>
    <col min="8728" max="8963" width="9" style="139"/>
    <col min="8964" max="8964" width="10.5" style="139" customWidth="1"/>
    <col min="8965" max="8978" width="9" style="139"/>
    <col min="8979" max="8979" width="9.5" style="139" customWidth="1"/>
    <col min="8980" max="8982" width="9" style="139"/>
    <col min="8983" max="8983" width="10.5" style="139" customWidth="1"/>
    <col min="8984" max="9219" width="9" style="139"/>
    <col min="9220" max="9220" width="10.5" style="139" customWidth="1"/>
    <col min="9221" max="9234" width="9" style="139"/>
    <col min="9235" max="9235" width="9.5" style="139" customWidth="1"/>
    <col min="9236" max="9238" width="9" style="139"/>
    <col min="9239" max="9239" width="10.5" style="139" customWidth="1"/>
    <col min="9240" max="9475" width="9" style="139"/>
    <col min="9476" max="9476" width="10.5" style="139" customWidth="1"/>
    <col min="9477" max="9490" width="9" style="139"/>
    <col min="9491" max="9491" width="9.5" style="139" customWidth="1"/>
    <col min="9492" max="9494" width="9" style="139"/>
    <col min="9495" max="9495" width="10.5" style="139" customWidth="1"/>
    <col min="9496" max="9731" width="9" style="139"/>
    <col min="9732" max="9732" width="10.5" style="139" customWidth="1"/>
    <col min="9733" max="9746" width="9" style="139"/>
    <col min="9747" max="9747" width="9.5" style="139" customWidth="1"/>
    <col min="9748" max="9750" width="9" style="139"/>
    <col min="9751" max="9751" width="10.5" style="139" customWidth="1"/>
    <col min="9752" max="9987" width="9" style="139"/>
    <col min="9988" max="9988" width="10.5" style="139" customWidth="1"/>
    <col min="9989" max="10002" width="9" style="139"/>
    <col min="10003" max="10003" width="9.5" style="139" customWidth="1"/>
    <col min="10004" max="10006" width="9" style="139"/>
    <col min="10007" max="10007" width="10.5" style="139" customWidth="1"/>
    <col min="10008" max="10243" width="9" style="139"/>
    <col min="10244" max="10244" width="10.5" style="139" customWidth="1"/>
    <col min="10245" max="10258" width="9" style="139"/>
    <col min="10259" max="10259" width="9.5" style="139" customWidth="1"/>
    <col min="10260" max="10262" width="9" style="139"/>
    <col min="10263" max="10263" width="10.5" style="139" customWidth="1"/>
    <col min="10264" max="10499" width="9" style="139"/>
    <col min="10500" max="10500" width="10.5" style="139" customWidth="1"/>
    <col min="10501" max="10514" width="9" style="139"/>
    <col min="10515" max="10515" width="9.5" style="139" customWidth="1"/>
    <col min="10516" max="10518" width="9" style="139"/>
    <col min="10519" max="10519" width="10.5" style="139" customWidth="1"/>
    <col min="10520" max="10755" width="9" style="139"/>
    <col min="10756" max="10756" width="10.5" style="139" customWidth="1"/>
    <col min="10757" max="10770" width="9" style="139"/>
    <col min="10771" max="10771" width="9.5" style="139" customWidth="1"/>
    <col min="10772" max="10774" width="9" style="139"/>
    <col min="10775" max="10775" width="10.5" style="139" customWidth="1"/>
    <col min="10776" max="11011" width="9" style="139"/>
    <col min="11012" max="11012" width="10.5" style="139" customWidth="1"/>
    <col min="11013" max="11026" width="9" style="139"/>
    <col min="11027" max="11027" width="9.5" style="139" customWidth="1"/>
    <col min="11028" max="11030" width="9" style="139"/>
    <col min="11031" max="11031" width="10.5" style="139" customWidth="1"/>
    <col min="11032" max="11267" width="9" style="139"/>
    <col min="11268" max="11268" width="10.5" style="139" customWidth="1"/>
    <col min="11269" max="11282" width="9" style="139"/>
    <col min="11283" max="11283" width="9.5" style="139" customWidth="1"/>
    <col min="11284" max="11286" width="9" style="139"/>
    <col min="11287" max="11287" width="10.5" style="139" customWidth="1"/>
    <col min="11288" max="11523" width="9" style="139"/>
    <col min="11524" max="11524" width="10.5" style="139" customWidth="1"/>
    <col min="11525" max="11538" width="9" style="139"/>
    <col min="11539" max="11539" width="9.5" style="139" customWidth="1"/>
    <col min="11540" max="11542" width="9" style="139"/>
    <col min="11543" max="11543" width="10.5" style="139" customWidth="1"/>
    <col min="11544" max="11779" width="9" style="139"/>
    <col min="11780" max="11780" width="10.5" style="139" customWidth="1"/>
    <col min="11781" max="11794" width="9" style="139"/>
    <col min="11795" max="11795" width="9.5" style="139" customWidth="1"/>
    <col min="11796" max="11798" width="9" style="139"/>
    <col min="11799" max="11799" width="10.5" style="139" customWidth="1"/>
    <col min="11800" max="12035" width="9" style="139"/>
    <col min="12036" max="12036" width="10.5" style="139" customWidth="1"/>
    <col min="12037" max="12050" width="9" style="139"/>
    <col min="12051" max="12051" width="9.5" style="139" customWidth="1"/>
    <col min="12052" max="12054" width="9" style="139"/>
    <col min="12055" max="12055" width="10.5" style="139" customWidth="1"/>
    <col min="12056" max="12291" width="9" style="139"/>
    <col min="12292" max="12292" width="10.5" style="139" customWidth="1"/>
    <col min="12293" max="12306" width="9" style="139"/>
    <col min="12307" max="12307" width="9.5" style="139" customWidth="1"/>
    <col min="12308" max="12310" width="9" style="139"/>
    <col min="12311" max="12311" width="10.5" style="139" customWidth="1"/>
    <col min="12312" max="12547" width="9" style="139"/>
    <col min="12548" max="12548" width="10.5" style="139" customWidth="1"/>
    <col min="12549" max="12562" width="9" style="139"/>
    <col min="12563" max="12563" width="9.5" style="139" customWidth="1"/>
    <col min="12564" max="12566" width="9" style="139"/>
    <col min="12567" max="12567" width="10.5" style="139" customWidth="1"/>
    <col min="12568" max="12803" width="9" style="139"/>
    <col min="12804" max="12804" width="10.5" style="139" customWidth="1"/>
    <col min="12805" max="12818" width="9" style="139"/>
    <col min="12819" max="12819" width="9.5" style="139" customWidth="1"/>
    <col min="12820" max="12822" width="9" style="139"/>
    <col min="12823" max="12823" width="10.5" style="139" customWidth="1"/>
    <col min="12824" max="13059" width="9" style="139"/>
    <col min="13060" max="13060" width="10.5" style="139" customWidth="1"/>
    <col min="13061" max="13074" width="9" style="139"/>
    <col min="13075" max="13075" width="9.5" style="139" customWidth="1"/>
    <col min="13076" max="13078" width="9" style="139"/>
    <col min="13079" max="13079" width="10.5" style="139" customWidth="1"/>
    <col min="13080" max="13315" width="9" style="139"/>
    <col min="13316" max="13316" width="10.5" style="139" customWidth="1"/>
    <col min="13317" max="13330" width="9" style="139"/>
    <col min="13331" max="13331" width="9.5" style="139" customWidth="1"/>
    <col min="13332" max="13334" width="9" style="139"/>
    <col min="13335" max="13335" width="10.5" style="139" customWidth="1"/>
    <col min="13336" max="13571" width="9" style="139"/>
    <col min="13572" max="13572" width="10.5" style="139" customWidth="1"/>
    <col min="13573" max="13586" width="9" style="139"/>
    <col min="13587" max="13587" width="9.5" style="139" customWidth="1"/>
    <col min="13588" max="13590" width="9" style="139"/>
    <col min="13591" max="13591" width="10.5" style="139" customWidth="1"/>
    <col min="13592" max="13827" width="9" style="139"/>
    <col min="13828" max="13828" width="10.5" style="139" customWidth="1"/>
    <col min="13829" max="13842" width="9" style="139"/>
    <col min="13843" max="13843" width="9.5" style="139" customWidth="1"/>
    <col min="13844" max="13846" width="9" style="139"/>
    <col min="13847" max="13847" width="10.5" style="139" customWidth="1"/>
    <col min="13848" max="14083" width="9" style="139"/>
    <col min="14084" max="14084" width="10.5" style="139" customWidth="1"/>
    <col min="14085" max="14098" width="9" style="139"/>
    <col min="14099" max="14099" width="9.5" style="139" customWidth="1"/>
    <col min="14100" max="14102" width="9" style="139"/>
    <col min="14103" max="14103" width="10.5" style="139" customWidth="1"/>
    <col min="14104" max="14339" width="9" style="139"/>
    <col min="14340" max="14340" width="10.5" style="139" customWidth="1"/>
    <col min="14341" max="14354" width="9" style="139"/>
    <col min="14355" max="14355" width="9.5" style="139" customWidth="1"/>
    <col min="14356" max="14358" width="9" style="139"/>
    <col min="14359" max="14359" width="10.5" style="139" customWidth="1"/>
    <col min="14360" max="14595" width="9" style="139"/>
    <col min="14596" max="14596" width="10.5" style="139" customWidth="1"/>
    <col min="14597" max="14610" width="9" style="139"/>
    <col min="14611" max="14611" width="9.5" style="139" customWidth="1"/>
    <col min="14612" max="14614" width="9" style="139"/>
    <col min="14615" max="14615" width="10.5" style="139" customWidth="1"/>
    <col min="14616" max="14851" width="9" style="139"/>
    <col min="14852" max="14852" width="10.5" style="139" customWidth="1"/>
    <col min="14853" max="14866" width="9" style="139"/>
    <col min="14867" max="14867" width="9.5" style="139" customWidth="1"/>
    <col min="14868" max="14870" width="9" style="139"/>
    <col min="14871" max="14871" width="10.5" style="139" customWidth="1"/>
    <col min="14872" max="15107" width="9" style="139"/>
    <col min="15108" max="15108" width="10.5" style="139" customWidth="1"/>
    <col min="15109" max="15122" width="9" style="139"/>
    <col min="15123" max="15123" width="9.5" style="139" customWidth="1"/>
    <col min="15124" max="15126" width="9" style="139"/>
    <col min="15127" max="15127" width="10.5" style="139" customWidth="1"/>
    <col min="15128" max="15363" width="9" style="139"/>
    <col min="15364" max="15364" width="10.5" style="139" customWidth="1"/>
    <col min="15365" max="15378" width="9" style="139"/>
    <col min="15379" max="15379" width="9.5" style="139" customWidth="1"/>
    <col min="15380" max="15382" width="9" style="139"/>
    <col min="15383" max="15383" width="10.5" style="139" customWidth="1"/>
    <col min="15384" max="15619" width="9" style="139"/>
    <col min="15620" max="15620" width="10.5" style="139" customWidth="1"/>
    <col min="15621" max="15634" width="9" style="139"/>
    <col min="15635" max="15635" width="9.5" style="139" customWidth="1"/>
    <col min="15636" max="15638" width="9" style="139"/>
    <col min="15639" max="15639" width="10.5" style="139" customWidth="1"/>
    <col min="15640" max="15875" width="9" style="139"/>
    <col min="15876" max="15876" width="10.5" style="139" customWidth="1"/>
    <col min="15877" max="15890" width="9" style="139"/>
    <col min="15891" max="15891" width="9.5" style="139" customWidth="1"/>
    <col min="15892" max="15894" width="9" style="139"/>
    <col min="15895" max="15895" width="10.5" style="139" customWidth="1"/>
    <col min="15896" max="16131" width="9" style="139"/>
    <col min="16132" max="16132" width="10.5" style="139" customWidth="1"/>
    <col min="16133" max="16146" width="9" style="139"/>
    <col min="16147" max="16147" width="9.5" style="139" customWidth="1"/>
    <col min="16148" max="16150" width="9" style="139"/>
    <col min="16151" max="16151" width="10.5" style="139" customWidth="1"/>
    <col min="16152" max="16384" width="9" style="139"/>
  </cols>
  <sheetData>
    <row r="1" spans="1:53" ht="45" x14ac:dyDescent="0.15">
      <c r="A1" s="130" t="s">
        <v>0</v>
      </c>
      <c r="B1" s="131" t="s">
        <v>199</v>
      </c>
      <c r="C1" s="131" t="s">
        <v>200</v>
      </c>
      <c r="D1" s="132" t="s">
        <v>2</v>
      </c>
      <c r="E1" s="133" t="s">
        <v>3</v>
      </c>
      <c r="F1" s="133" t="s">
        <v>4</v>
      </c>
      <c r="G1" s="133" t="s">
        <v>5</v>
      </c>
      <c r="H1" s="133" t="s">
        <v>6</v>
      </c>
      <c r="I1" s="133" t="s">
        <v>7</v>
      </c>
      <c r="J1" s="84" t="s">
        <v>8</v>
      </c>
      <c r="K1" s="84" t="s">
        <v>9</v>
      </c>
      <c r="L1" s="132" t="s">
        <v>201</v>
      </c>
      <c r="M1" s="132" t="s">
        <v>202</v>
      </c>
      <c r="N1" s="132" t="s">
        <v>11</v>
      </c>
      <c r="O1" s="132" t="s">
        <v>203</v>
      </c>
      <c r="P1" s="132" t="s">
        <v>204</v>
      </c>
      <c r="Q1" s="134" t="s">
        <v>205</v>
      </c>
      <c r="R1" s="132" t="s">
        <v>206</v>
      </c>
      <c r="S1" s="132" t="s">
        <v>207</v>
      </c>
      <c r="T1" s="134" t="s">
        <v>13</v>
      </c>
      <c r="U1" s="135" t="s">
        <v>92</v>
      </c>
      <c r="V1" s="136" t="s">
        <v>14</v>
      </c>
      <c r="W1" s="132" t="s">
        <v>208</v>
      </c>
      <c r="X1" s="133" t="s">
        <v>16</v>
      </c>
      <c r="Y1" s="133" t="s">
        <v>17</v>
      </c>
      <c r="Z1" s="133" t="s">
        <v>18</v>
      </c>
      <c r="AA1" s="137" t="s">
        <v>19</v>
      </c>
      <c r="AB1" s="138" t="s">
        <v>209</v>
      </c>
      <c r="AE1" s="140" t="s">
        <v>0</v>
      </c>
      <c r="AF1" s="141"/>
      <c r="AG1" s="140" t="s">
        <v>3</v>
      </c>
      <c r="AH1" s="140" t="s">
        <v>4</v>
      </c>
      <c r="AI1" s="141"/>
      <c r="AJ1" s="140" t="s">
        <v>5</v>
      </c>
      <c r="AK1" s="141"/>
      <c r="AL1" s="142" t="s">
        <v>6</v>
      </c>
      <c r="AM1" s="141"/>
      <c r="AN1" s="142" t="s">
        <v>7</v>
      </c>
      <c r="AO1" s="141"/>
      <c r="AP1" s="142" t="s">
        <v>20</v>
      </c>
      <c r="AQ1" s="141"/>
      <c r="AR1" s="142" t="s">
        <v>9</v>
      </c>
      <c r="AS1" s="141"/>
      <c r="AT1" s="143" t="s">
        <v>210</v>
      </c>
      <c r="AU1" s="141"/>
      <c r="AV1" s="142" t="s">
        <v>22</v>
      </c>
      <c r="AX1" s="144" t="s">
        <v>263</v>
      </c>
      <c r="AY1" s="145" t="s">
        <v>212</v>
      </c>
      <c r="AZ1" s="145" t="s">
        <v>264</v>
      </c>
      <c r="BA1" s="146" t="s">
        <v>214</v>
      </c>
    </row>
    <row r="2" spans="1:53" x14ac:dyDescent="0.15">
      <c r="A2" s="139" t="s">
        <v>40</v>
      </c>
      <c r="B2" s="139" t="s">
        <v>174</v>
      </c>
      <c r="C2" s="139">
        <v>2020</v>
      </c>
      <c r="D2" s="147" t="s">
        <v>417</v>
      </c>
      <c r="E2" s="139" t="s">
        <v>280</v>
      </c>
      <c r="F2" s="139" t="s">
        <v>281</v>
      </c>
      <c r="G2" s="139" t="s">
        <v>31</v>
      </c>
      <c r="H2" s="139" t="s">
        <v>113</v>
      </c>
      <c r="I2" s="139" t="s">
        <v>111</v>
      </c>
      <c r="J2" s="78" t="s">
        <v>27</v>
      </c>
      <c r="K2" s="78" t="s">
        <v>112</v>
      </c>
      <c r="L2" s="139">
        <v>1</v>
      </c>
      <c r="N2" s="139">
        <v>1</v>
      </c>
      <c r="O2" s="139">
        <v>0.95</v>
      </c>
      <c r="P2" s="139">
        <v>0.85</v>
      </c>
      <c r="Q2" s="148">
        <f t="shared" ref="Q2:Q65" si="0">IF(OR(O2="",P2=""),"",AVERAGE(O2,P2))</f>
        <v>0.89999999999999991</v>
      </c>
      <c r="R2" s="139">
        <v>17.399999999999999</v>
      </c>
      <c r="S2" s="139">
        <v>118</v>
      </c>
      <c r="T2" s="149">
        <f t="shared" ref="T2:T65" si="1">IF(H2="","",IF(OR(H2="GREEN",H2="GK"),IF(S2&gt;=$AX$2,VLOOKUP(S2,$AX$2:$AY$12,2,1),""),IF(S2&gt;=$AZ$2,VLOOKUP(S2,$AZ$2:$BA$12,2,1),"")))</f>
        <v>30</v>
      </c>
      <c r="U2" s="139">
        <v>78</v>
      </c>
      <c r="V2" s="150">
        <f t="shared" ref="V2:V65" si="2">IF(OR(N2="",U2="",T2=""),"",U2/N2*T2)</f>
        <v>2340</v>
      </c>
      <c r="W2" s="139">
        <v>17</v>
      </c>
      <c r="X2" s="139" t="s">
        <v>35</v>
      </c>
      <c r="Y2" s="139" t="s">
        <v>76</v>
      </c>
      <c r="Z2" s="139" t="s">
        <v>55</v>
      </c>
      <c r="AA2" s="139" t="s">
        <v>43</v>
      </c>
      <c r="AB2" s="139" t="s">
        <v>178</v>
      </c>
      <c r="AE2" s="151" t="s">
        <v>24</v>
      </c>
      <c r="AG2" s="152" t="s">
        <v>240</v>
      </c>
      <c r="AH2" s="152" t="s">
        <v>282</v>
      </c>
      <c r="AJ2" s="152" t="s">
        <v>25</v>
      </c>
      <c r="AL2" s="153" t="s">
        <v>216</v>
      </c>
      <c r="AN2" s="152" t="s">
        <v>26</v>
      </c>
      <c r="AP2" s="152" t="s">
        <v>27</v>
      </c>
      <c r="AR2" s="152" t="s">
        <v>112</v>
      </c>
      <c r="AT2" s="152" t="s">
        <v>28</v>
      </c>
      <c r="AV2" s="152" t="s">
        <v>29</v>
      </c>
      <c r="AX2" s="154">
        <v>1</v>
      </c>
      <c r="AY2" s="155">
        <v>50</v>
      </c>
      <c r="AZ2" s="155">
        <v>1</v>
      </c>
      <c r="BA2" s="156">
        <v>50</v>
      </c>
    </row>
    <row r="3" spans="1:53" x14ac:dyDescent="0.15">
      <c r="A3" s="139" t="s">
        <v>40</v>
      </c>
      <c r="B3" s="139" t="s">
        <v>174</v>
      </c>
      <c r="C3" s="139">
        <v>2020</v>
      </c>
      <c r="D3" s="147" t="s">
        <v>417</v>
      </c>
      <c r="E3" s="139" t="s">
        <v>280</v>
      </c>
      <c r="F3" s="139" t="s">
        <v>281</v>
      </c>
      <c r="G3" s="139" t="s">
        <v>31</v>
      </c>
      <c r="H3" s="139" t="s">
        <v>113</v>
      </c>
      <c r="I3" s="139" t="s">
        <v>111</v>
      </c>
      <c r="J3" s="78" t="s">
        <v>27</v>
      </c>
      <c r="K3" s="78" t="s">
        <v>112</v>
      </c>
      <c r="L3" s="139">
        <v>2</v>
      </c>
      <c r="N3" s="139">
        <v>1</v>
      </c>
      <c r="O3" s="139">
        <v>0.9</v>
      </c>
      <c r="P3" s="139">
        <v>0.9</v>
      </c>
      <c r="Q3" s="148">
        <f t="shared" si="0"/>
        <v>0.9</v>
      </c>
      <c r="R3" s="139">
        <v>17.100000000000001</v>
      </c>
      <c r="S3" s="139">
        <v>106</v>
      </c>
      <c r="T3" s="149">
        <f t="shared" si="1"/>
        <v>33</v>
      </c>
      <c r="U3" s="139">
        <v>78</v>
      </c>
      <c r="V3" s="150">
        <f t="shared" si="2"/>
        <v>2574</v>
      </c>
      <c r="W3" s="139">
        <v>17</v>
      </c>
      <c r="X3" s="139" t="s">
        <v>35</v>
      </c>
      <c r="Y3" s="139" t="s">
        <v>76</v>
      </c>
      <c r="Z3" s="139" t="s">
        <v>55</v>
      </c>
      <c r="AA3" s="139" t="s">
        <v>43</v>
      </c>
      <c r="AB3" s="139" t="s">
        <v>178</v>
      </c>
      <c r="AE3" s="157" t="s">
        <v>30</v>
      </c>
      <c r="AG3" s="152" t="s">
        <v>283</v>
      </c>
      <c r="AH3" s="152" t="s">
        <v>284</v>
      </c>
      <c r="AJ3" s="158" t="s">
        <v>31</v>
      </c>
      <c r="AL3" s="158" t="s">
        <v>218</v>
      </c>
      <c r="AN3" s="158" t="s">
        <v>32</v>
      </c>
      <c r="AP3" s="158" t="s">
        <v>33</v>
      </c>
      <c r="AR3" s="158" t="s">
        <v>34</v>
      </c>
      <c r="AT3" s="158" t="s">
        <v>35</v>
      </c>
      <c r="AV3" s="158" t="s">
        <v>36</v>
      </c>
      <c r="AX3" s="159">
        <v>72</v>
      </c>
      <c r="AY3" s="160">
        <v>46</v>
      </c>
      <c r="AZ3" s="160">
        <v>71</v>
      </c>
      <c r="BA3" s="161">
        <v>42</v>
      </c>
    </row>
    <row r="4" spans="1:53" x14ac:dyDescent="0.15">
      <c r="A4" s="139" t="s">
        <v>40</v>
      </c>
      <c r="B4" s="139" t="s">
        <v>174</v>
      </c>
      <c r="C4" s="139">
        <v>2020</v>
      </c>
      <c r="D4" s="147" t="s">
        <v>417</v>
      </c>
      <c r="E4" s="139" t="s">
        <v>280</v>
      </c>
      <c r="F4" s="139" t="s">
        <v>281</v>
      </c>
      <c r="G4" s="139" t="s">
        <v>31</v>
      </c>
      <c r="H4" s="139" t="s">
        <v>113</v>
      </c>
      <c r="I4" s="139" t="s">
        <v>111</v>
      </c>
      <c r="J4" s="78" t="s">
        <v>27</v>
      </c>
      <c r="K4" s="78" t="s">
        <v>112</v>
      </c>
      <c r="L4" s="139">
        <v>3</v>
      </c>
      <c r="N4" s="139">
        <v>1</v>
      </c>
      <c r="O4" s="139">
        <v>0.85</v>
      </c>
      <c r="P4" s="139">
        <v>0.9</v>
      </c>
      <c r="Q4" s="148">
        <f t="shared" si="0"/>
        <v>0.875</v>
      </c>
      <c r="R4" s="139">
        <v>16.8</v>
      </c>
      <c r="S4" s="139">
        <v>108</v>
      </c>
      <c r="T4" s="149">
        <f t="shared" si="1"/>
        <v>33</v>
      </c>
      <c r="U4" s="139">
        <v>78</v>
      </c>
      <c r="V4" s="150">
        <f t="shared" si="2"/>
        <v>2574</v>
      </c>
      <c r="W4" s="139">
        <v>17</v>
      </c>
      <c r="X4" s="139" t="s">
        <v>35</v>
      </c>
      <c r="Y4" s="139" t="s">
        <v>76</v>
      </c>
      <c r="Z4" s="139" t="s">
        <v>55</v>
      </c>
      <c r="AA4" s="139" t="s">
        <v>43</v>
      </c>
      <c r="AB4" s="139" t="s">
        <v>178</v>
      </c>
      <c r="AE4" s="157" t="s">
        <v>23</v>
      </c>
      <c r="AG4" s="152" t="s">
        <v>285</v>
      </c>
      <c r="AH4" s="152" t="s">
        <v>286</v>
      </c>
      <c r="AJ4" s="162" t="s">
        <v>37</v>
      </c>
      <c r="AL4" s="158" t="s">
        <v>220</v>
      </c>
      <c r="AN4" s="163" t="s">
        <v>221</v>
      </c>
      <c r="AP4" s="158" t="s">
        <v>222</v>
      </c>
      <c r="AR4" s="158" t="s">
        <v>223</v>
      </c>
      <c r="AT4" s="163"/>
      <c r="AV4" s="158" t="s">
        <v>39</v>
      </c>
      <c r="AX4" s="159">
        <v>75</v>
      </c>
      <c r="AY4" s="160">
        <v>42</v>
      </c>
      <c r="AZ4" s="160">
        <v>76</v>
      </c>
      <c r="BA4" s="161">
        <v>39</v>
      </c>
    </row>
    <row r="5" spans="1:53" x14ac:dyDescent="0.15">
      <c r="A5" s="139" t="s">
        <v>40</v>
      </c>
      <c r="B5" s="139" t="s">
        <v>174</v>
      </c>
      <c r="C5" s="139">
        <v>2020</v>
      </c>
      <c r="D5" s="147" t="s">
        <v>417</v>
      </c>
      <c r="E5" s="139" t="s">
        <v>280</v>
      </c>
      <c r="F5" s="139" t="s">
        <v>281</v>
      </c>
      <c r="G5" s="139" t="s">
        <v>31</v>
      </c>
      <c r="H5" s="139" t="s">
        <v>113</v>
      </c>
      <c r="I5" s="139" t="s">
        <v>111</v>
      </c>
      <c r="J5" s="78" t="s">
        <v>27</v>
      </c>
      <c r="K5" s="78" t="s">
        <v>112</v>
      </c>
      <c r="L5" s="139">
        <v>1</v>
      </c>
      <c r="N5" s="139">
        <v>2</v>
      </c>
      <c r="O5" s="139">
        <v>1.35</v>
      </c>
      <c r="P5" s="139">
        <v>1.4</v>
      </c>
      <c r="Q5" s="148">
        <f t="shared" si="0"/>
        <v>1.375</v>
      </c>
      <c r="R5" s="139">
        <v>15</v>
      </c>
      <c r="S5" s="139">
        <v>156</v>
      </c>
      <c r="T5" s="149">
        <f t="shared" si="1"/>
        <v>18</v>
      </c>
      <c r="U5" s="139">
        <v>398</v>
      </c>
      <c r="V5" s="150">
        <f t="shared" si="2"/>
        <v>3582</v>
      </c>
      <c r="W5" s="139">
        <v>17</v>
      </c>
      <c r="X5" s="139" t="s">
        <v>28</v>
      </c>
      <c r="Y5" s="139" t="s">
        <v>76</v>
      </c>
      <c r="Z5" s="139" t="s">
        <v>55</v>
      </c>
      <c r="AA5" s="139" t="s">
        <v>43</v>
      </c>
      <c r="AB5" s="139" t="s">
        <v>178</v>
      </c>
      <c r="AE5" s="157" t="s">
        <v>40</v>
      </c>
      <c r="AG5" s="152" t="s">
        <v>171</v>
      </c>
      <c r="AH5" s="152" t="s">
        <v>287</v>
      </c>
      <c r="AJ5" s="163"/>
      <c r="AL5" s="158" t="s">
        <v>113</v>
      </c>
      <c r="AN5" s="164" t="s">
        <v>111</v>
      </c>
      <c r="AP5" s="158" t="s">
        <v>225</v>
      </c>
      <c r="AR5" s="158" t="s">
        <v>42</v>
      </c>
      <c r="AV5" s="158" t="s">
        <v>43</v>
      </c>
      <c r="AX5" s="159">
        <v>84</v>
      </c>
      <c r="AY5" s="160">
        <v>39</v>
      </c>
      <c r="AZ5" s="160">
        <v>84</v>
      </c>
      <c r="BA5" s="161">
        <v>36</v>
      </c>
    </row>
    <row r="6" spans="1:53" x14ac:dyDescent="0.15">
      <c r="A6" s="139" t="s">
        <v>40</v>
      </c>
      <c r="B6" s="139" t="s">
        <v>174</v>
      </c>
      <c r="C6" s="139">
        <v>2020</v>
      </c>
      <c r="D6" s="147" t="s">
        <v>417</v>
      </c>
      <c r="E6" s="139" t="s">
        <v>280</v>
      </c>
      <c r="F6" s="139" t="s">
        <v>281</v>
      </c>
      <c r="G6" s="139" t="s">
        <v>31</v>
      </c>
      <c r="H6" s="139" t="s">
        <v>113</v>
      </c>
      <c r="I6" s="139" t="s">
        <v>111</v>
      </c>
      <c r="J6" s="78" t="s">
        <v>27</v>
      </c>
      <c r="K6" s="78" t="s">
        <v>112</v>
      </c>
      <c r="L6" s="139">
        <v>2</v>
      </c>
      <c r="N6" s="139">
        <v>2</v>
      </c>
      <c r="O6" s="139">
        <v>1.45</v>
      </c>
      <c r="P6" s="139">
        <v>1.45</v>
      </c>
      <c r="Q6" s="148">
        <f t="shared" si="0"/>
        <v>1.45</v>
      </c>
      <c r="R6" s="139">
        <v>14.4</v>
      </c>
      <c r="S6" s="139">
        <v>150</v>
      </c>
      <c r="T6" s="149">
        <f t="shared" si="1"/>
        <v>22</v>
      </c>
      <c r="U6" s="139">
        <v>398</v>
      </c>
      <c r="V6" s="150">
        <f t="shared" si="2"/>
        <v>4378</v>
      </c>
      <c r="W6" s="139">
        <v>17</v>
      </c>
      <c r="X6" s="139" t="s">
        <v>28</v>
      </c>
      <c r="Y6" s="139" t="s">
        <v>76</v>
      </c>
      <c r="Z6" s="139" t="s">
        <v>55</v>
      </c>
      <c r="AA6" s="139" t="s">
        <v>43</v>
      </c>
      <c r="AB6" s="139" t="s">
        <v>178</v>
      </c>
      <c r="AE6" s="157" t="s">
        <v>44</v>
      </c>
      <c r="AG6" s="152" t="s">
        <v>288</v>
      </c>
      <c r="AH6" s="152" t="s">
        <v>289</v>
      </c>
      <c r="AL6" s="158" t="s">
        <v>227</v>
      </c>
      <c r="AN6" s="164" t="s">
        <v>166</v>
      </c>
      <c r="AP6" s="158" t="s">
        <v>41</v>
      </c>
      <c r="AR6" s="158" t="s">
        <v>46</v>
      </c>
      <c r="AV6" s="158" t="s">
        <v>47</v>
      </c>
      <c r="AX6" s="159">
        <v>97</v>
      </c>
      <c r="AY6" s="160">
        <v>36</v>
      </c>
      <c r="AZ6" s="160">
        <v>99</v>
      </c>
      <c r="BA6" s="161">
        <v>33</v>
      </c>
    </row>
    <row r="7" spans="1:53" x14ac:dyDescent="0.15">
      <c r="A7" s="139" t="s">
        <v>40</v>
      </c>
      <c r="B7" s="139" t="s">
        <v>174</v>
      </c>
      <c r="C7" s="139">
        <v>2020</v>
      </c>
      <c r="D7" s="147" t="s">
        <v>417</v>
      </c>
      <c r="E7" s="139" t="s">
        <v>280</v>
      </c>
      <c r="F7" s="139" t="s">
        <v>281</v>
      </c>
      <c r="G7" s="139" t="s">
        <v>31</v>
      </c>
      <c r="H7" s="139" t="s">
        <v>113</v>
      </c>
      <c r="I7" s="139" t="s">
        <v>111</v>
      </c>
      <c r="J7" s="78" t="s">
        <v>27</v>
      </c>
      <c r="K7" s="78" t="s">
        <v>112</v>
      </c>
      <c r="L7" s="139">
        <v>3</v>
      </c>
      <c r="N7" s="139">
        <v>2</v>
      </c>
      <c r="O7" s="139">
        <v>1.25</v>
      </c>
      <c r="P7" s="139">
        <v>1.3</v>
      </c>
      <c r="Q7" s="148">
        <f t="shared" si="0"/>
        <v>1.2749999999999999</v>
      </c>
      <c r="R7" s="139">
        <v>14.8</v>
      </c>
      <c r="S7" s="139">
        <v>152</v>
      </c>
      <c r="T7" s="149">
        <f t="shared" si="1"/>
        <v>18</v>
      </c>
      <c r="U7" s="139">
        <v>398</v>
      </c>
      <c r="V7" s="150">
        <f t="shared" si="2"/>
        <v>3582</v>
      </c>
      <c r="W7" s="139">
        <v>17</v>
      </c>
      <c r="X7" s="139" t="s">
        <v>28</v>
      </c>
      <c r="Y7" s="139" t="s">
        <v>76</v>
      </c>
      <c r="Z7" s="139" t="s">
        <v>55</v>
      </c>
      <c r="AA7" s="139" t="s">
        <v>43</v>
      </c>
      <c r="AB7" s="139" t="s">
        <v>178</v>
      </c>
      <c r="AE7" s="157" t="s">
        <v>48</v>
      </c>
      <c r="AG7" s="152" t="s">
        <v>290</v>
      </c>
      <c r="AH7" s="152" t="s">
        <v>282</v>
      </c>
      <c r="AL7" s="158" t="s">
        <v>165</v>
      </c>
      <c r="AP7" s="158" t="s">
        <v>45</v>
      </c>
      <c r="AR7" s="158" t="s">
        <v>229</v>
      </c>
      <c r="AV7" s="158" t="s">
        <v>51</v>
      </c>
      <c r="AX7" s="159">
        <v>109</v>
      </c>
      <c r="AY7" s="160">
        <v>33</v>
      </c>
      <c r="AZ7" s="160">
        <v>113</v>
      </c>
      <c r="BA7" s="161">
        <v>30</v>
      </c>
    </row>
    <row r="8" spans="1:53" x14ac:dyDescent="0.15">
      <c r="A8" s="139" t="s">
        <v>40</v>
      </c>
      <c r="B8" s="139" t="s">
        <v>174</v>
      </c>
      <c r="C8" s="139">
        <v>2020</v>
      </c>
      <c r="D8" s="147" t="s">
        <v>417</v>
      </c>
      <c r="E8" s="139" t="s">
        <v>280</v>
      </c>
      <c r="F8" s="139" t="s">
        <v>281</v>
      </c>
      <c r="G8" s="139" t="s">
        <v>31</v>
      </c>
      <c r="H8" s="139" t="s">
        <v>113</v>
      </c>
      <c r="I8" s="139" t="s">
        <v>111</v>
      </c>
      <c r="J8" s="78" t="s">
        <v>27</v>
      </c>
      <c r="K8" s="78" t="s">
        <v>112</v>
      </c>
      <c r="L8" s="139">
        <v>1</v>
      </c>
      <c r="N8" s="139">
        <v>5</v>
      </c>
      <c r="O8" s="139">
        <v>1.1499999999999999</v>
      </c>
      <c r="P8" s="139">
        <v>1.3</v>
      </c>
      <c r="Q8" s="148">
        <f t="shared" si="0"/>
        <v>1.2250000000000001</v>
      </c>
      <c r="R8" s="139">
        <v>15.2</v>
      </c>
      <c r="S8" s="139">
        <v>92</v>
      </c>
      <c r="T8" s="149">
        <f t="shared" si="1"/>
        <v>36</v>
      </c>
      <c r="U8" s="139">
        <v>358</v>
      </c>
      <c r="V8" s="150">
        <f t="shared" si="2"/>
        <v>2577.6</v>
      </c>
      <c r="W8" s="139">
        <v>17</v>
      </c>
      <c r="X8" s="139" t="s">
        <v>35</v>
      </c>
      <c r="Y8" s="139" t="s">
        <v>76</v>
      </c>
      <c r="Z8" s="139" t="s">
        <v>55</v>
      </c>
      <c r="AA8" s="139" t="s">
        <v>43</v>
      </c>
      <c r="AB8" s="139" t="s">
        <v>178</v>
      </c>
      <c r="AE8" s="157" t="s">
        <v>46</v>
      </c>
      <c r="AG8" s="152" t="s">
        <v>291</v>
      </c>
      <c r="AH8" s="152" t="s">
        <v>292</v>
      </c>
      <c r="AL8" s="158" t="s">
        <v>167</v>
      </c>
      <c r="AP8" s="158" t="s">
        <v>49</v>
      </c>
      <c r="AR8" s="158" t="s">
        <v>67</v>
      </c>
      <c r="AV8" s="158" t="s">
        <v>82</v>
      </c>
      <c r="AX8" s="159">
        <v>119</v>
      </c>
      <c r="AY8" s="160">
        <v>30</v>
      </c>
      <c r="AZ8" s="160">
        <v>121</v>
      </c>
      <c r="BA8" s="161">
        <v>27</v>
      </c>
    </row>
    <row r="9" spans="1:53" x14ac:dyDescent="0.15">
      <c r="A9" s="139" t="s">
        <v>40</v>
      </c>
      <c r="B9" s="139" t="s">
        <v>174</v>
      </c>
      <c r="C9" s="139">
        <v>2020</v>
      </c>
      <c r="D9" s="147" t="s">
        <v>417</v>
      </c>
      <c r="E9" s="139" t="s">
        <v>280</v>
      </c>
      <c r="F9" s="139" t="s">
        <v>281</v>
      </c>
      <c r="G9" s="139" t="s">
        <v>31</v>
      </c>
      <c r="H9" s="139" t="s">
        <v>113</v>
      </c>
      <c r="I9" s="139" t="s">
        <v>111</v>
      </c>
      <c r="J9" s="78" t="s">
        <v>27</v>
      </c>
      <c r="K9" s="78" t="s">
        <v>112</v>
      </c>
      <c r="L9" s="139">
        <v>2</v>
      </c>
      <c r="N9" s="139">
        <v>5</v>
      </c>
      <c r="O9" s="139">
        <v>1.25</v>
      </c>
      <c r="P9" s="139">
        <v>1.35</v>
      </c>
      <c r="Q9" s="148">
        <f t="shared" si="0"/>
        <v>1.3</v>
      </c>
      <c r="R9" s="139">
        <v>14.6</v>
      </c>
      <c r="S9" s="139">
        <v>88</v>
      </c>
      <c r="T9" s="149">
        <f t="shared" si="1"/>
        <v>36</v>
      </c>
      <c r="U9" s="139">
        <v>358</v>
      </c>
      <c r="V9" s="150">
        <f t="shared" si="2"/>
        <v>2577.6</v>
      </c>
      <c r="W9" s="139">
        <v>17</v>
      </c>
      <c r="X9" s="139" t="s">
        <v>35</v>
      </c>
      <c r="Y9" s="139" t="s">
        <v>76</v>
      </c>
      <c r="Z9" s="139" t="s">
        <v>55</v>
      </c>
      <c r="AA9" s="139" t="s">
        <v>43</v>
      </c>
      <c r="AB9" s="139" t="s">
        <v>178</v>
      </c>
      <c r="AE9" s="157" t="s">
        <v>232</v>
      </c>
      <c r="AG9" s="152" t="s">
        <v>293</v>
      </c>
      <c r="AH9" s="152" t="s">
        <v>281</v>
      </c>
      <c r="AL9" s="81" t="s">
        <v>235</v>
      </c>
      <c r="AP9" s="158" t="s">
        <v>80</v>
      </c>
      <c r="AR9" s="158" t="s">
        <v>236</v>
      </c>
      <c r="AV9" s="158" t="s">
        <v>86</v>
      </c>
      <c r="AX9" s="159">
        <v>128</v>
      </c>
      <c r="AY9" s="160">
        <v>27</v>
      </c>
      <c r="AZ9" s="160">
        <v>129</v>
      </c>
      <c r="BA9" s="161">
        <v>25</v>
      </c>
    </row>
    <row r="10" spans="1:53" x14ac:dyDescent="0.15">
      <c r="A10" s="139" t="s">
        <v>40</v>
      </c>
      <c r="B10" s="139" t="s">
        <v>174</v>
      </c>
      <c r="C10" s="139">
        <v>2020</v>
      </c>
      <c r="D10" s="147" t="s">
        <v>417</v>
      </c>
      <c r="E10" s="139" t="s">
        <v>280</v>
      </c>
      <c r="F10" s="139" t="s">
        <v>281</v>
      </c>
      <c r="G10" s="139" t="s">
        <v>31</v>
      </c>
      <c r="H10" s="139" t="s">
        <v>113</v>
      </c>
      <c r="I10" s="139" t="s">
        <v>111</v>
      </c>
      <c r="J10" s="78" t="s">
        <v>27</v>
      </c>
      <c r="K10" s="78" t="s">
        <v>112</v>
      </c>
      <c r="L10" s="139">
        <v>3</v>
      </c>
      <c r="N10" s="139">
        <v>5</v>
      </c>
      <c r="O10" s="139">
        <v>1.3</v>
      </c>
      <c r="P10" s="139">
        <v>1.45</v>
      </c>
      <c r="Q10" s="148">
        <f t="shared" si="0"/>
        <v>1.375</v>
      </c>
      <c r="R10" s="139">
        <v>14.4</v>
      </c>
      <c r="S10" s="139">
        <v>87</v>
      </c>
      <c r="T10" s="149">
        <f t="shared" si="1"/>
        <v>36</v>
      </c>
      <c r="U10" s="139">
        <v>358</v>
      </c>
      <c r="V10" s="150">
        <f t="shared" si="2"/>
        <v>2577.6</v>
      </c>
      <c r="W10" s="139">
        <v>17</v>
      </c>
      <c r="X10" s="139" t="s">
        <v>35</v>
      </c>
      <c r="Y10" s="139" t="s">
        <v>76</v>
      </c>
      <c r="Z10" s="139" t="s">
        <v>55</v>
      </c>
      <c r="AA10" s="139" t="s">
        <v>43</v>
      </c>
      <c r="AB10" s="139" t="s">
        <v>178</v>
      </c>
      <c r="AE10" s="157" t="s">
        <v>237</v>
      </c>
      <c r="AG10" s="152" t="s">
        <v>280</v>
      </c>
      <c r="AH10" s="158" t="s">
        <v>281</v>
      </c>
      <c r="AP10" s="158" t="s">
        <v>84</v>
      </c>
      <c r="AR10" s="158" t="s">
        <v>239</v>
      </c>
      <c r="AV10" s="158" t="s">
        <v>90</v>
      </c>
      <c r="AX10" s="159">
        <v>138</v>
      </c>
      <c r="AY10" s="160">
        <v>25</v>
      </c>
      <c r="AZ10" s="160">
        <v>138</v>
      </c>
      <c r="BA10" s="161">
        <v>22</v>
      </c>
    </row>
    <row r="11" spans="1:53" x14ac:dyDescent="0.15">
      <c r="A11" s="139" t="s">
        <v>40</v>
      </c>
      <c r="B11" s="139" t="s">
        <v>174</v>
      </c>
      <c r="C11" s="139">
        <v>2020</v>
      </c>
      <c r="D11" s="147" t="s">
        <v>417</v>
      </c>
      <c r="E11" s="139" t="s">
        <v>280</v>
      </c>
      <c r="F11" s="139" t="s">
        <v>281</v>
      </c>
      <c r="G11" s="139" t="s">
        <v>31</v>
      </c>
      <c r="H11" s="139" t="s">
        <v>167</v>
      </c>
      <c r="I11" s="139" t="s">
        <v>111</v>
      </c>
      <c r="J11" s="78" t="s">
        <v>27</v>
      </c>
      <c r="K11" s="78" t="s">
        <v>112</v>
      </c>
      <c r="L11" s="139">
        <v>1</v>
      </c>
      <c r="N11" s="139">
        <v>1</v>
      </c>
      <c r="O11" s="139">
        <v>0.85</v>
      </c>
      <c r="P11" s="139">
        <v>0.6</v>
      </c>
      <c r="Q11" s="148">
        <f t="shared" si="0"/>
        <v>0.72499999999999998</v>
      </c>
      <c r="R11" s="139">
        <v>16.899999999999999</v>
      </c>
      <c r="S11" s="139">
        <v>134</v>
      </c>
      <c r="T11" s="149">
        <f t="shared" si="1"/>
        <v>25</v>
      </c>
      <c r="U11" s="139">
        <v>138</v>
      </c>
      <c r="V11" s="150">
        <f t="shared" si="2"/>
        <v>3450</v>
      </c>
      <c r="W11" s="139">
        <v>17</v>
      </c>
      <c r="X11" s="139" t="s">
        <v>35</v>
      </c>
      <c r="Y11" s="139" t="s">
        <v>76</v>
      </c>
      <c r="Z11" s="139" t="s">
        <v>55</v>
      </c>
      <c r="AA11" s="139" t="s">
        <v>43</v>
      </c>
      <c r="AB11" s="139" t="s">
        <v>178</v>
      </c>
      <c r="AE11" s="157" t="s">
        <v>54</v>
      </c>
      <c r="AG11" s="152" t="s">
        <v>182</v>
      </c>
      <c r="AH11" s="158" t="s">
        <v>294</v>
      </c>
      <c r="AP11" s="158" t="s">
        <v>88</v>
      </c>
      <c r="AR11" s="158" t="s">
        <v>242</v>
      </c>
      <c r="AV11" s="158" t="s">
        <v>55</v>
      </c>
      <c r="AX11" s="159">
        <v>151</v>
      </c>
      <c r="AY11" s="160">
        <v>22</v>
      </c>
      <c r="AZ11" s="160">
        <v>152</v>
      </c>
      <c r="BA11" s="161">
        <v>18</v>
      </c>
    </row>
    <row r="12" spans="1:53" x14ac:dyDescent="0.15">
      <c r="A12" s="139" t="s">
        <v>40</v>
      </c>
      <c r="B12" s="139" t="s">
        <v>174</v>
      </c>
      <c r="C12" s="139">
        <v>2020</v>
      </c>
      <c r="D12" s="147" t="s">
        <v>417</v>
      </c>
      <c r="E12" s="139" t="s">
        <v>280</v>
      </c>
      <c r="F12" s="139" t="s">
        <v>281</v>
      </c>
      <c r="G12" s="139" t="s">
        <v>31</v>
      </c>
      <c r="H12" s="139" t="s">
        <v>167</v>
      </c>
      <c r="I12" s="139" t="s">
        <v>111</v>
      </c>
      <c r="J12" s="78" t="s">
        <v>27</v>
      </c>
      <c r="K12" s="78" t="s">
        <v>112</v>
      </c>
      <c r="L12" s="139">
        <v>2</v>
      </c>
      <c r="N12" s="139">
        <v>1</v>
      </c>
      <c r="O12" s="139">
        <v>0.7</v>
      </c>
      <c r="P12" s="139">
        <v>0.8</v>
      </c>
      <c r="Q12" s="148">
        <f t="shared" si="0"/>
        <v>0.75</v>
      </c>
      <c r="R12" s="139">
        <v>17.5</v>
      </c>
      <c r="S12" s="139">
        <v>132</v>
      </c>
      <c r="T12" s="149">
        <f t="shared" si="1"/>
        <v>25</v>
      </c>
      <c r="U12" s="139">
        <v>138</v>
      </c>
      <c r="V12" s="150">
        <f t="shared" si="2"/>
        <v>3450</v>
      </c>
      <c r="W12" s="139">
        <v>17</v>
      </c>
      <c r="X12" s="139" t="s">
        <v>35</v>
      </c>
      <c r="Y12" s="139" t="s">
        <v>76</v>
      </c>
      <c r="Z12" s="139" t="s">
        <v>55</v>
      </c>
      <c r="AA12" s="139" t="s">
        <v>43</v>
      </c>
      <c r="AB12" s="139" t="s">
        <v>178</v>
      </c>
      <c r="AE12" s="157" t="s">
        <v>243</v>
      </c>
      <c r="AG12" s="158"/>
      <c r="AH12" s="158"/>
      <c r="AP12" s="158" t="s">
        <v>53</v>
      </c>
      <c r="AR12" s="158" t="s">
        <v>244</v>
      </c>
      <c r="AV12" s="158" t="s">
        <v>58</v>
      </c>
      <c r="AX12" s="165">
        <v>180</v>
      </c>
      <c r="AY12" s="166">
        <v>18</v>
      </c>
      <c r="AZ12" s="166">
        <v>181</v>
      </c>
      <c r="BA12" s="167">
        <v>16</v>
      </c>
    </row>
    <row r="13" spans="1:53" x14ac:dyDescent="0.15">
      <c r="A13" s="139" t="s">
        <v>40</v>
      </c>
      <c r="B13" s="139" t="s">
        <v>174</v>
      </c>
      <c r="C13" s="139">
        <v>2020</v>
      </c>
      <c r="D13" s="147" t="s">
        <v>417</v>
      </c>
      <c r="E13" s="139" t="s">
        <v>280</v>
      </c>
      <c r="F13" s="139" t="s">
        <v>281</v>
      </c>
      <c r="G13" s="139" t="s">
        <v>31</v>
      </c>
      <c r="H13" s="139" t="s">
        <v>167</v>
      </c>
      <c r="I13" s="139" t="s">
        <v>111</v>
      </c>
      <c r="J13" s="78" t="s">
        <v>27</v>
      </c>
      <c r="K13" s="78" t="s">
        <v>112</v>
      </c>
      <c r="L13" s="139">
        <v>3</v>
      </c>
      <c r="N13" s="139">
        <v>1</v>
      </c>
      <c r="O13" s="139">
        <v>0.75</v>
      </c>
      <c r="P13" s="139">
        <v>0.8</v>
      </c>
      <c r="Q13" s="148">
        <f t="shared" si="0"/>
        <v>0.77500000000000002</v>
      </c>
      <c r="R13" s="139">
        <v>17.2</v>
      </c>
      <c r="S13" s="139">
        <v>130</v>
      </c>
      <c r="T13" s="149">
        <f t="shared" si="1"/>
        <v>25</v>
      </c>
      <c r="U13" s="139">
        <v>138</v>
      </c>
      <c r="V13" s="150">
        <f t="shared" si="2"/>
        <v>3450</v>
      </c>
      <c r="W13" s="139">
        <v>17</v>
      </c>
      <c r="X13" s="139" t="s">
        <v>35</v>
      </c>
      <c r="Y13" s="139" t="s">
        <v>76</v>
      </c>
      <c r="Z13" s="139" t="s">
        <v>55</v>
      </c>
      <c r="AA13" s="139" t="s">
        <v>43</v>
      </c>
      <c r="AB13" s="139" t="s">
        <v>178</v>
      </c>
      <c r="AE13" s="157" t="s">
        <v>245</v>
      </c>
      <c r="AG13" s="158"/>
      <c r="AH13" s="158"/>
      <c r="AP13" s="158" t="s">
        <v>57</v>
      </c>
      <c r="AR13" s="158" t="s">
        <v>237</v>
      </c>
      <c r="AV13" s="158" t="s">
        <v>61</v>
      </c>
    </row>
    <row r="14" spans="1:53" x14ac:dyDescent="0.15">
      <c r="A14" s="139" t="s">
        <v>40</v>
      </c>
      <c r="B14" s="139" t="s">
        <v>174</v>
      </c>
      <c r="C14" s="139">
        <v>2020</v>
      </c>
      <c r="D14" s="147" t="s">
        <v>417</v>
      </c>
      <c r="E14" s="139" t="s">
        <v>280</v>
      </c>
      <c r="F14" s="139" t="s">
        <v>281</v>
      </c>
      <c r="G14" s="139" t="s">
        <v>31</v>
      </c>
      <c r="H14" s="139" t="s">
        <v>167</v>
      </c>
      <c r="I14" s="139" t="s">
        <v>111</v>
      </c>
      <c r="J14" s="78" t="s">
        <v>27</v>
      </c>
      <c r="K14" s="78" t="s">
        <v>112</v>
      </c>
      <c r="L14" s="139">
        <v>1</v>
      </c>
      <c r="N14" s="139">
        <v>4</v>
      </c>
      <c r="O14" s="139">
        <v>0.95</v>
      </c>
      <c r="P14" s="139">
        <v>0.75</v>
      </c>
      <c r="Q14" s="148">
        <f t="shared" si="0"/>
        <v>0.85</v>
      </c>
      <c r="R14" s="139">
        <v>17.8</v>
      </c>
      <c r="S14" s="139">
        <v>102</v>
      </c>
      <c r="T14" s="149">
        <f t="shared" si="1"/>
        <v>33</v>
      </c>
      <c r="U14" s="139">
        <v>498</v>
      </c>
      <c r="V14" s="150">
        <f t="shared" si="2"/>
        <v>4108.5</v>
      </c>
      <c r="W14" s="139">
        <v>17</v>
      </c>
      <c r="X14" s="139" t="s">
        <v>28</v>
      </c>
      <c r="Y14" s="139" t="s">
        <v>76</v>
      </c>
      <c r="Z14" s="139" t="s">
        <v>55</v>
      </c>
      <c r="AA14" s="139" t="s">
        <v>43</v>
      </c>
      <c r="AB14" s="139" t="s">
        <v>178</v>
      </c>
      <c r="AE14" s="157" t="s">
        <v>81</v>
      </c>
      <c r="AG14" s="158"/>
      <c r="AH14" s="158"/>
      <c r="AP14" s="158" t="s">
        <v>60</v>
      </c>
      <c r="AR14" s="158" t="s">
        <v>246</v>
      </c>
      <c r="AV14" s="158" t="s">
        <v>64</v>
      </c>
    </row>
    <row r="15" spans="1:53" x14ac:dyDescent="0.15">
      <c r="A15" s="139" t="s">
        <v>40</v>
      </c>
      <c r="B15" s="139" t="s">
        <v>174</v>
      </c>
      <c r="C15" s="139">
        <v>2020</v>
      </c>
      <c r="D15" s="147" t="s">
        <v>417</v>
      </c>
      <c r="E15" s="139" t="s">
        <v>280</v>
      </c>
      <c r="F15" s="139" t="s">
        <v>281</v>
      </c>
      <c r="G15" s="139" t="s">
        <v>31</v>
      </c>
      <c r="H15" s="139" t="s">
        <v>167</v>
      </c>
      <c r="I15" s="139" t="s">
        <v>111</v>
      </c>
      <c r="J15" s="78" t="s">
        <v>27</v>
      </c>
      <c r="K15" s="78" t="s">
        <v>112</v>
      </c>
      <c r="L15" s="139">
        <v>2</v>
      </c>
      <c r="N15" s="139">
        <v>4</v>
      </c>
      <c r="O15" s="139">
        <v>0.75</v>
      </c>
      <c r="P15" s="139">
        <v>0.75</v>
      </c>
      <c r="Q15" s="148">
        <f t="shared" si="0"/>
        <v>0.75</v>
      </c>
      <c r="R15" s="139">
        <v>18.2</v>
      </c>
      <c r="S15" s="139">
        <v>108</v>
      </c>
      <c r="T15" s="149">
        <f t="shared" si="1"/>
        <v>33</v>
      </c>
      <c r="U15" s="139">
        <v>498</v>
      </c>
      <c r="V15" s="150">
        <f t="shared" si="2"/>
        <v>4108.5</v>
      </c>
      <c r="W15" s="139">
        <v>17</v>
      </c>
      <c r="X15" s="139" t="s">
        <v>28</v>
      </c>
      <c r="Y15" s="139" t="s">
        <v>76</v>
      </c>
      <c r="Z15" s="139" t="s">
        <v>55</v>
      </c>
      <c r="AA15" s="139" t="s">
        <v>43</v>
      </c>
      <c r="AB15" s="139" t="s">
        <v>178</v>
      </c>
      <c r="AE15" s="157" t="s">
        <v>247</v>
      </c>
      <c r="AG15" s="158"/>
      <c r="AH15" s="158"/>
      <c r="AP15" s="158" t="s">
        <v>63</v>
      </c>
      <c r="AR15" s="158" t="s">
        <v>66</v>
      </c>
      <c r="AV15" s="158" t="s">
        <v>91</v>
      </c>
    </row>
    <row r="16" spans="1:53" x14ac:dyDescent="0.15">
      <c r="A16" s="139" t="s">
        <v>40</v>
      </c>
      <c r="B16" s="139" t="s">
        <v>174</v>
      </c>
      <c r="C16" s="139">
        <v>2020</v>
      </c>
      <c r="D16" s="147" t="s">
        <v>417</v>
      </c>
      <c r="E16" s="139" t="s">
        <v>280</v>
      </c>
      <c r="F16" s="139" t="s">
        <v>281</v>
      </c>
      <c r="G16" s="139" t="s">
        <v>31</v>
      </c>
      <c r="H16" s="139" t="s">
        <v>167</v>
      </c>
      <c r="I16" s="139" t="s">
        <v>111</v>
      </c>
      <c r="J16" s="78" t="s">
        <v>27</v>
      </c>
      <c r="K16" s="78" t="s">
        <v>112</v>
      </c>
      <c r="L16" s="139">
        <v>3</v>
      </c>
      <c r="N16" s="139">
        <v>4</v>
      </c>
      <c r="O16" s="139">
        <v>0.8</v>
      </c>
      <c r="P16" s="139">
        <v>0.85</v>
      </c>
      <c r="Q16" s="148">
        <f t="shared" si="0"/>
        <v>0.82499999999999996</v>
      </c>
      <c r="R16" s="139">
        <v>17.399999999999999</v>
      </c>
      <c r="S16" s="139">
        <v>106</v>
      </c>
      <c r="T16" s="149">
        <f t="shared" si="1"/>
        <v>33</v>
      </c>
      <c r="U16" s="139">
        <v>498</v>
      </c>
      <c r="V16" s="150">
        <f t="shared" si="2"/>
        <v>4108.5</v>
      </c>
      <c r="W16" s="139">
        <v>17</v>
      </c>
      <c r="X16" s="139" t="s">
        <v>28</v>
      </c>
      <c r="Y16" s="139" t="s">
        <v>76</v>
      </c>
      <c r="Z16" s="139" t="s">
        <v>55</v>
      </c>
      <c r="AA16" s="139" t="s">
        <v>43</v>
      </c>
      <c r="AB16" s="139" t="s">
        <v>178</v>
      </c>
      <c r="AE16" s="157" t="s">
        <v>248</v>
      </c>
      <c r="AG16" s="163"/>
      <c r="AH16" s="163"/>
      <c r="AP16" s="158" t="s">
        <v>66</v>
      </c>
      <c r="AR16" s="158" t="s">
        <v>50</v>
      </c>
      <c r="AV16" s="158" t="s">
        <v>70</v>
      </c>
    </row>
    <row r="17" spans="1:48" x14ac:dyDescent="0.15">
      <c r="A17" s="139" t="s">
        <v>40</v>
      </c>
      <c r="B17" s="139" t="s">
        <v>174</v>
      </c>
      <c r="C17" s="139">
        <v>2020</v>
      </c>
      <c r="D17" s="147" t="s">
        <v>417</v>
      </c>
      <c r="E17" s="139" t="s">
        <v>283</v>
      </c>
      <c r="F17" s="139" t="s">
        <v>284</v>
      </c>
      <c r="G17" s="139" t="s">
        <v>25</v>
      </c>
      <c r="H17" s="139" t="s">
        <v>113</v>
      </c>
      <c r="I17" s="139" t="s">
        <v>111</v>
      </c>
      <c r="J17" s="78" t="s">
        <v>27</v>
      </c>
      <c r="K17" s="78" t="s">
        <v>112</v>
      </c>
      <c r="L17" s="139">
        <v>1</v>
      </c>
      <c r="N17" s="139">
        <v>3</v>
      </c>
      <c r="O17" s="139">
        <v>0.85</v>
      </c>
      <c r="P17" s="139">
        <v>0.8</v>
      </c>
      <c r="Q17" s="148">
        <f t="shared" si="0"/>
        <v>0.82499999999999996</v>
      </c>
      <c r="R17" s="139">
        <v>14.9</v>
      </c>
      <c r="S17" s="139">
        <v>142</v>
      </c>
      <c r="T17" s="149">
        <f t="shared" si="1"/>
        <v>22</v>
      </c>
      <c r="U17" s="139">
        <v>380</v>
      </c>
      <c r="V17" s="150">
        <f t="shared" si="2"/>
        <v>2786.666666666667</v>
      </c>
      <c r="W17" s="139">
        <v>8</v>
      </c>
      <c r="X17" s="139" t="s">
        <v>35</v>
      </c>
      <c r="Y17" s="139" t="s">
        <v>43</v>
      </c>
      <c r="Z17" s="139" t="s">
        <v>36</v>
      </c>
      <c r="AA17" s="139" t="s">
        <v>55</v>
      </c>
      <c r="AB17" s="139" t="s">
        <v>178</v>
      </c>
      <c r="AE17" s="157"/>
      <c r="AP17" s="162"/>
      <c r="AR17" s="158"/>
      <c r="AV17" s="158"/>
    </row>
    <row r="18" spans="1:48" x14ac:dyDescent="0.15">
      <c r="A18" s="139" t="s">
        <v>40</v>
      </c>
      <c r="B18" s="139" t="s">
        <v>174</v>
      </c>
      <c r="C18" s="139">
        <v>2020</v>
      </c>
      <c r="D18" s="147" t="s">
        <v>417</v>
      </c>
      <c r="E18" s="139" t="s">
        <v>283</v>
      </c>
      <c r="F18" s="139" t="s">
        <v>284</v>
      </c>
      <c r="G18" s="139" t="s">
        <v>25</v>
      </c>
      <c r="H18" s="139" t="s">
        <v>113</v>
      </c>
      <c r="I18" s="139" t="s">
        <v>111</v>
      </c>
      <c r="J18" s="78" t="s">
        <v>27</v>
      </c>
      <c r="K18" s="78" t="s">
        <v>112</v>
      </c>
      <c r="L18" s="139">
        <v>2</v>
      </c>
      <c r="N18" s="139">
        <v>3</v>
      </c>
      <c r="O18" s="139">
        <v>0.9</v>
      </c>
      <c r="P18" s="139">
        <v>0.8</v>
      </c>
      <c r="Q18" s="148">
        <f t="shared" si="0"/>
        <v>0.85000000000000009</v>
      </c>
      <c r="R18" s="139">
        <v>15.1</v>
      </c>
      <c r="S18" s="139">
        <v>144</v>
      </c>
      <c r="T18" s="149">
        <f t="shared" si="1"/>
        <v>22</v>
      </c>
      <c r="U18" s="139">
        <v>380</v>
      </c>
      <c r="V18" s="150">
        <f t="shared" si="2"/>
        <v>2786.666666666667</v>
      </c>
      <c r="W18" s="139">
        <v>8</v>
      </c>
      <c r="X18" s="139" t="s">
        <v>35</v>
      </c>
      <c r="Y18" s="139" t="s">
        <v>43</v>
      </c>
      <c r="Z18" s="139" t="s">
        <v>36</v>
      </c>
      <c r="AA18" s="139" t="s">
        <v>55</v>
      </c>
      <c r="AB18" s="139" t="s">
        <v>178</v>
      </c>
      <c r="AE18" s="157"/>
      <c r="AP18" s="162"/>
      <c r="AR18" s="158"/>
      <c r="AV18" s="158"/>
    </row>
    <row r="19" spans="1:48" x14ac:dyDescent="0.15">
      <c r="A19" s="139" t="s">
        <v>40</v>
      </c>
      <c r="B19" s="139" t="s">
        <v>174</v>
      </c>
      <c r="C19" s="139">
        <v>2020</v>
      </c>
      <c r="D19" s="147" t="s">
        <v>417</v>
      </c>
      <c r="E19" s="139" t="s">
        <v>283</v>
      </c>
      <c r="F19" s="139" t="s">
        <v>284</v>
      </c>
      <c r="G19" s="139" t="s">
        <v>25</v>
      </c>
      <c r="H19" s="139" t="s">
        <v>113</v>
      </c>
      <c r="I19" s="139" t="s">
        <v>111</v>
      </c>
      <c r="J19" s="78" t="s">
        <v>27</v>
      </c>
      <c r="K19" s="78" t="s">
        <v>112</v>
      </c>
      <c r="L19" s="139">
        <v>3</v>
      </c>
      <c r="N19" s="139">
        <v>3</v>
      </c>
      <c r="O19" s="139">
        <v>0.85</v>
      </c>
      <c r="P19" s="139">
        <v>0.9</v>
      </c>
      <c r="Q19" s="148">
        <f t="shared" si="0"/>
        <v>0.875</v>
      </c>
      <c r="R19" s="139">
        <v>15.5</v>
      </c>
      <c r="S19" s="139">
        <v>148</v>
      </c>
      <c r="T19" s="149">
        <f t="shared" si="1"/>
        <v>22</v>
      </c>
      <c r="U19" s="139">
        <v>380</v>
      </c>
      <c r="V19" s="150">
        <f t="shared" si="2"/>
        <v>2786.666666666667</v>
      </c>
      <c r="W19" s="139">
        <v>8</v>
      </c>
      <c r="X19" s="139" t="s">
        <v>35</v>
      </c>
      <c r="Y19" s="139" t="s">
        <v>43</v>
      </c>
      <c r="Z19" s="139" t="s">
        <v>36</v>
      </c>
      <c r="AA19" s="139" t="s">
        <v>55</v>
      </c>
      <c r="AB19" s="139" t="s">
        <v>178</v>
      </c>
      <c r="AE19" s="157"/>
      <c r="AP19" s="162"/>
      <c r="AR19" s="158"/>
      <c r="AV19" s="158"/>
    </row>
    <row r="20" spans="1:48" x14ac:dyDescent="0.15">
      <c r="A20" s="139" t="s">
        <v>40</v>
      </c>
      <c r="B20" s="139" t="s">
        <v>174</v>
      </c>
      <c r="C20" s="139">
        <v>2020</v>
      </c>
      <c r="D20" s="147" t="s">
        <v>417</v>
      </c>
      <c r="E20" s="139" t="s">
        <v>283</v>
      </c>
      <c r="F20" s="139" t="s">
        <v>284</v>
      </c>
      <c r="G20" s="139" t="s">
        <v>25</v>
      </c>
      <c r="H20" s="139" t="s">
        <v>113</v>
      </c>
      <c r="I20" s="139" t="s">
        <v>111</v>
      </c>
      <c r="J20" s="78" t="s">
        <v>27</v>
      </c>
      <c r="K20" s="78" t="s">
        <v>112</v>
      </c>
      <c r="L20" s="139">
        <v>1</v>
      </c>
      <c r="N20" s="139">
        <v>4</v>
      </c>
      <c r="O20" s="139">
        <v>0.9</v>
      </c>
      <c r="P20" s="139">
        <v>0.9</v>
      </c>
      <c r="Q20" s="148">
        <f t="shared" si="0"/>
        <v>0.9</v>
      </c>
      <c r="R20" s="139">
        <v>13.1</v>
      </c>
      <c r="S20" s="139">
        <v>92</v>
      </c>
      <c r="T20" s="149">
        <f t="shared" si="1"/>
        <v>36</v>
      </c>
      <c r="U20" s="139">
        <v>498</v>
      </c>
      <c r="V20" s="150">
        <f t="shared" si="2"/>
        <v>4482</v>
      </c>
      <c r="W20" s="139">
        <v>8</v>
      </c>
      <c r="X20" s="139" t="s">
        <v>35</v>
      </c>
      <c r="Y20" s="139" t="s">
        <v>43</v>
      </c>
      <c r="Z20" s="139" t="s">
        <v>36</v>
      </c>
      <c r="AA20" s="139" t="s">
        <v>55</v>
      </c>
      <c r="AB20" s="139" t="s">
        <v>178</v>
      </c>
      <c r="AE20" s="157"/>
      <c r="AP20" s="162"/>
      <c r="AR20" s="158"/>
      <c r="AV20" s="158"/>
    </row>
    <row r="21" spans="1:48" x14ac:dyDescent="0.15">
      <c r="A21" s="139" t="s">
        <v>40</v>
      </c>
      <c r="B21" s="139" t="s">
        <v>174</v>
      </c>
      <c r="C21" s="139">
        <v>2020</v>
      </c>
      <c r="D21" s="147" t="s">
        <v>417</v>
      </c>
      <c r="E21" s="139" t="s">
        <v>283</v>
      </c>
      <c r="F21" s="139" t="s">
        <v>284</v>
      </c>
      <c r="G21" s="139" t="s">
        <v>25</v>
      </c>
      <c r="H21" s="139" t="s">
        <v>113</v>
      </c>
      <c r="I21" s="139" t="s">
        <v>111</v>
      </c>
      <c r="J21" s="78" t="s">
        <v>27</v>
      </c>
      <c r="K21" s="78" t="s">
        <v>112</v>
      </c>
      <c r="L21" s="139">
        <v>2</v>
      </c>
      <c r="N21" s="139">
        <v>4</v>
      </c>
      <c r="O21" s="139">
        <v>0.95</v>
      </c>
      <c r="P21" s="139">
        <v>0.8</v>
      </c>
      <c r="Q21" s="148">
        <f t="shared" si="0"/>
        <v>0.875</v>
      </c>
      <c r="R21" s="139">
        <v>13.5</v>
      </c>
      <c r="S21" s="139">
        <v>94</v>
      </c>
      <c r="T21" s="149">
        <f t="shared" si="1"/>
        <v>36</v>
      </c>
      <c r="U21" s="139">
        <v>498</v>
      </c>
      <c r="V21" s="150">
        <f t="shared" si="2"/>
        <v>4482</v>
      </c>
      <c r="W21" s="139">
        <v>8</v>
      </c>
      <c r="X21" s="139" t="s">
        <v>35</v>
      </c>
      <c r="Y21" s="139" t="s">
        <v>43</v>
      </c>
      <c r="Z21" s="139" t="s">
        <v>36</v>
      </c>
      <c r="AA21" s="139" t="s">
        <v>55</v>
      </c>
      <c r="AB21" s="139" t="s">
        <v>178</v>
      </c>
      <c r="AE21" s="157"/>
      <c r="AP21" s="162"/>
      <c r="AR21" s="158"/>
      <c r="AV21" s="158"/>
    </row>
    <row r="22" spans="1:48" x14ac:dyDescent="0.15">
      <c r="A22" s="139" t="s">
        <v>40</v>
      </c>
      <c r="B22" s="139" t="s">
        <v>174</v>
      </c>
      <c r="C22" s="139">
        <v>2020</v>
      </c>
      <c r="D22" s="147" t="s">
        <v>417</v>
      </c>
      <c r="E22" s="139" t="s">
        <v>283</v>
      </c>
      <c r="F22" s="139" t="s">
        <v>284</v>
      </c>
      <c r="G22" s="139" t="s">
        <v>25</v>
      </c>
      <c r="H22" s="139" t="s">
        <v>113</v>
      </c>
      <c r="I22" s="139" t="s">
        <v>111</v>
      </c>
      <c r="J22" s="78" t="s">
        <v>27</v>
      </c>
      <c r="K22" s="78" t="s">
        <v>112</v>
      </c>
      <c r="L22" s="139">
        <v>3</v>
      </c>
      <c r="N22" s="139">
        <v>4</v>
      </c>
      <c r="O22" s="139">
        <v>0.85</v>
      </c>
      <c r="P22" s="139">
        <v>0.8</v>
      </c>
      <c r="Q22" s="148">
        <f t="shared" si="0"/>
        <v>0.82499999999999996</v>
      </c>
      <c r="R22" s="139">
        <v>14.2</v>
      </c>
      <c r="S22" s="139">
        <v>97</v>
      </c>
      <c r="T22" s="149">
        <f t="shared" si="1"/>
        <v>36</v>
      </c>
      <c r="U22" s="139">
        <v>498</v>
      </c>
      <c r="V22" s="150">
        <f t="shared" si="2"/>
        <v>4482</v>
      </c>
      <c r="W22" s="139">
        <v>8</v>
      </c>
      <c r="X22" s="139" t="s">
        <v>35</v>
      </c>
      <c r="Y22" s="139" t="s">
        <v>43</v>
      </c>
      <c r="Z22" s="139" t="s">
        <v>36</v>
      </c>
      <c r="AA22" s="139" t="s">
        <v>55</v>
      </c>
      <c r="AB22" s="139" t="s">
        <v>178</v>
      </c>
      <c r="AE22" s="157"/>
      <c r="AP22" s="162"/>
      <c r="AR22" s="158"/>
      <c r="AV22" s="158"/>
    </row>
    <row r="23" spans="1:48" x14ac:dyDescent="0.15">
      <c r="A23" s="139" t="s">
        <v>40</v>
      </c>
      <c r="B23" s="139" t="s">
        <v>174</v>
      </c>
      <c r="C23" s="139">
        <v>2020</v>
      </c>
      <c r="D23" s="147" t="s">
        <v>417</v>
      </c>
      <c r="E23" s="139" t="s">
        <v>283</v>
      </c>
      <c r="F23" s="139" t="s">
        <v>284</v>
      </c>
      <c r="G23" s="139" t="s">
        <v>25</v>
      </c>
      <c r="H23" s="139" t="s">
        <v>167</v>
      </c>
      <c r="I23" s="139" t="s">
        <v>111</v>
      </c>
      <c r="J23" s="78" t="s">
        <v>27</v>
      </c>
      <c r="K23" s="78" t="s">
        <v>112</v>
      </c>
      <c r="L23" s="139">
        <v>1</v>
      </c>
      <c r="N23" s="139">
        <v>3</v>
      </c>
      <c r="O23" s="139">
        <v>0.7</v>
      </c>
      <c r="P23" s="139">
        <v>0.8</v>
      </c>
      <c r="Q23" s="148">
        <f t="shared" si="0"/>
        <v>0.75</v>
      </c>
      <c r="R23" s="139">
        <v>16.5</v>
      </c>
      <c r="S23" s="139">
        <v>136</v>
      </c>
      <c r="T23" s="149">
        <f t="shared" si="1"/>
        <v>25</v>
      </c>
      <c r="U23" s="139">
        <v>380</v>
      </c>
      <c r="V23" s="150">
        <f t="shared" si="2"/>
        <v>3166.666666666667</v>
      </c>
      <c r="W23" s="139">
        <v>8</v>
      </c>
      <c r="X23" s="139" t="s">
        <v>35</v>
      </c>
      <c r="Y23" s="139" t="s">
        <v>43</v>
      </c>
      <c r="Z23" s="139" t="s">
        <v>36</v>
      </c>
      <c r="AA23" s="139" t="s">
        <v>55</v>
      </c>
      <c r="AB23" s="139" t="s">
        <v>178</v>
      </c>
      <c r="AE23" s="157"/>
      <c r="AP23" s="162"/>
      <c r="AR23" s="158"/>
      <c r="AV23" s="158"/>
    </row>
    <row r="24" spans="1:48" x14ac:dyDescent="0.15">
      <c r="A24" s="139" t="s">
        <v>40</v>
      </c>
      <c r="B24" s="139" t="s">
        <v>174</v>
      </c>
      <c r="C24" s="139">
        <v>2020</v>
      </c>
      <c r="D24" s="147" t="s">
        <v>417</v>
      </c>
      <c r="E24" s="139" t="s">
        <v>283</v>
      </c>
      <c r="F24" s="139" t="s">
        <v>284</v>
      </c>
      <c r="G24" s="139" t="s">
        <v>25</v>
      </c>
      <c r="H24" s="139" t="s">
        <v>167</v>
      </c>
      <c r="I24" s="139" t="s">
        <v>111</v>
      </c>
      <c r="J24" s="78" t="s">
        <v>27</v>
      </c>
      <c r="K24" s="78" t="s">
        <v>112</v>
      </c>
      <c r="L24" s="139">
        <v>2</v>
      </c>
      <c r="N24" s="139">
        <v>3</v>
      </c>
      <c r="O24" s="139">
        <v>0.75</v>
      </c>
      <c r="P24" s="139">
        <v>0.75</v>
      </c>
      <c r="Q24" s="148">
        <f t="shared" si="0"/>
        <v>0.75</v>
      </c>
      <c r="R24" s="139">
        <v>17.3</v>
      </c>
      <c r="S24" s="139">
        <v>140</v>
      </c>
      <c r="T24" s="149">
        <f t="shared" si="1"/>
        <v>22</v>
      </c>
      <c r="U24" s="139">
        <v>380</v>
      </c>
      <c r="V24" s="150">
        <f t="shared" si="2"/>
        <v>2786.666666666667</v>
      </c>
      <c r="W24" s="139">
        <v>8</v>
      </c>
      <c r="X24" s="139" t="s">
        <v>35</v>
      </c>
      <c r="Y24" s="139" t="s">
        <v>43</v>
      </c>
      <c r="Z24" s="139" t="s">
        <v>36</v>
      </c>
      <c r="AA24" s="139" t="s">
        <v>55</v>
      </c>
      <c r="AB24" s="139" t="s">
        <v>178</v>
      </c>
      <c r="AE24" s="157"/>
      <c r="AP24" s="162"/>
      <c r="AR24" s="158"/>
      <c r="AV24" s="158"/>
    </row>
    <row r="25" spans="1:48" x14ac:dyDescent="0.15">
      <c r="A25" s="139" t="s">
        <v>40</v>
      </c>
      <c r="B25" s="139" t="s">
        <v>174</v>
      </c>
      <c r="C25" s="139">
        <v>2020</v>
      </c>
      <c r="D25" s="147" t="s">
        <v>417</v>
      </c>
      <c r="E25" s="139" t="s">
        <v>283</v>
      </c>
      <c r="F25" s="139" t="s">
        <v>284</v>
      </c>
      <c r="G25" s="139" t="s">
        <v>25</v>
      </c>
      <c r="H25" s="139" t="s">
        <v>167</v>
      </c>
      <c r="I25" s="139" t="s">
        <v>111</v>
      </c>
      <c r="J25" s="78" t="s">
        <v>27</v>
      </c>
      <c r="K25" s="78" t="s">
        <v>112</v>
      </c>
      <c r="L25" s="139">
        <v>3</v>
      </c>
      <c r="N25" s="139">
        <v>3</v>
      </c>
      <c r="O25" s="139">
        <v>0.65</v>
      </c>
      <c r="P25" s="139">
        <v>0.7</v>
      </c>
      <c r="Q25" s="148">
        <f t="shared" si="0"/>
        <v>0.67500000000000004</v>
      </c>
      <c r="R25" s="139">
        <v>17.7</v>
      </c>
      <c r="S25" s="139">
        <v>150</v>
      </c>
      <c r="T25" s="149">
        <f t="shared" si="1"/>
        <v>22</v>
      </c>
      <c r="U25" s="139">
        <v>380</v>
      </c>
      <c r="V25" s="150">
        <f t="shared" si="2"/>
        <v>2786.666666666667</v>
      </c>
      <c r="W25" s="139">
        <v>8</v>
      </c>
      <c r="X25" s="139" t="s">
        <v>35</v>
      </c>
      <c r="Y25" s="139" t="s">
        <v>43</v>
      </c>
      <c r="Z25" s="139" t="s">
        <v>36</v>
      </c>
      <c r="AA25" s="139" t="s">
        <v>55</v>
      </c>
      <c r="AB25" s="139" t="s">
        <v>178</v>
      </c>
      <c r="AE25" s="157"/>
      <c r="AP25" s="162"/>
      <c r="AR25" s="158"/>
      <c r="AV25" s="158"/>
    </row>
    <row r="26" spans="1:48" x14ac:dyDescent="0.15">
      <c r="A26" s="139" t="s">
        <v>40</v>
      </c>
      <c r="B26" s="139" t="s">
        <v>174</v>
      </c>
      <c r="C26" s="139">
        <v>2020</v>
      </c>
      <c r="D26" s="147" t="s">
        <v>417</v>
      </c>
      <c r="E26" s="139" t="s">
        <v>283</v>
      </c>
      <c r="F26" s="139" t="s">
        <v>284</v>
      </c>
      <c r="G26" s="139" t="s">
        <v>25</v>
      </c>
      <c r="H26" s="139" t="s">
        <v>167</v>
      </c>
      <c r="I26" s="139" t="s">
        <v>111</v>
      </c>
      <c r="J26" s="78" t="s">
        <v>27</v>
      </c>
      <c r="K26" s="78" t="s">
        <v>112</v>
      </c>
      <c r="L26" s="139">
        <v>1</v>
      </c>
      <c r="N26" s="139">
        <v>4</v>
      </c>
      <c r="O26" s="139">
        <v>0.65</v>
      </c>
      <c r="P26" s="139">
        <v>0.75</v>
      </c>
      <c r="Q26" s="148">
        <f t="shared" si="0"/>
        <v>0.7</v>
      </c>
      <c r="R26" s="139">
        <v>14.9</v>
      </c>
      <c r="S26" s="139">
        <v>108</v>
      </c>
      <c r="T26" s="149">
        <f t="shared" si="1"/>
        <v>33</v>
      </c>
      <c r="U26" s="139">
        <v>498</v>
      </c>
      <c r="V26" s="150">
        <f t="shared" si="2"/>
        <v>4108.5</v>
      </c>
      <c r="W26" s="139">
        <v>8</v>
      </c>
      <c r="X26" s="139" t="s">
        <v>35</v>
      </c>
      <c r="Y26" s="139" t="s">
        <v>43</v>
      </c>
      <c r="Z26" s="139" t="s">
        <v>36</v>
      </c>
      <c r="AA26" s="139" t="s">
        <v>55</v>
      </c>
      <c r="AB26" s="139" t="s">
        <v>178</v>
      </c>
      <c r="AE26" s="157"/>
      <c r="AP26" s="162"/>
      <c r="AR26" s="158"/>
      <c r="AV26" s="158"/>
    </row>
    <row r="27" spans="1:48" x14ac:dyDescent="0.15">
      <c r="A27" s="139" t="s">
        <v>40</v>
      </c>
      <c r="B27" s="139" t="s">
        <v>174</v>
      </c>
      <c r="C27" s="139">
        <v>2020</v>
      </c>
      <c r="D27" s="147" t="s">
        <v>417</v>
      </c>
      <c r="E27" s="139" t="s">
        <v>283</v>
      </c>
      <c r="F27" s="139" t="s">
        <v>284</v>
      </c>
      <c r="G27" s="139" t="s">
        <v>25</v>
      </c>
      <c r="H27" s="139" t="s">
        <v>167</v>
      </c>
      <c r="I27" s="139" t="s">
        <v>111</v>
      </c>
      <c r="J27" s="78" t="s">
        <v>27</v>
      </c>
      <c r="K27" s="78" t="s">
        <v>112</v>
      </c>
      <c r="L27" s="139">
        <v>2</v>
      </c>
      <c r="N27" s="139">
        <v>4</v>
      </c>
      <c r="O27" s="139">
        <v>0.8</v>
      </c>
      <c r="P27" s="139">
        <v>0.7</v>
      </c>
      <c r="Q27" s="148">
        <f t="shared" si="0"/>
        <v>0.75</v>
      </c>
      <c r="R27" s="139">
        <v>15.3</v>
      </c>
      <c r="S27" s="139">
        <v>110</v>
      </c>
      <c r="T27" s="149">
        <f t="shared" si="1"/>
        <v>33</v>
      </c>
      <c r="U27" s="139">
        <v>498</v>
      </c>
      <c r="V27" s="150">
        <f t="shared" si="2"/>
        <v>4108.5</v>
      </c>
      <c r="W27" s="139">
        <v>8</v>
      </c>
      <c r="X27" s="139" t="s">
        <v>35</v>
      </c>
      <c r="Y27" s="139" t="s">
        <v>43</v>
      </c>
      <c r="Z27" s="139" t="s">
        <v>36</v>
      </c>
      <c r="AA27" s="139" t="s">
        <v>55</v>
      </c>
      <c r="AB27" s="139" t="s">
        <v>178</v>
      </c>
      <c r="AE27" s="157"/>
      <c r="AP27" s="162"/>
      <c r="AR27" s="158"/>
      <c r="AV27" s="158"/>
    </row>
    <row r="28" spans="1:48" x14ac:dyDescent="0.15">
      <c r="A28" s="139" t="s">
        <v>40</v>
      </c>
      <c r="B28" s="139" t="s">
        <v>174</v>
      </c>
      <c r="C28" s="139">
        <v>2020</v>
      </c>
      <c r="D28" s="147" t="s">
        <v>417</v>
      </c>
      <c r="E28" s="139" t="s">
        <v>283</v>
      </c>
      <c r="F28" s="139" t="s">
        <v>284</v>
      </c>
      <c r="G28" s="139" t="s">
        <v>25</v>
      </c>
      <c r="H28" s="139" t="s">
        <v>167</v>
      </c>
      <c r="I28" s="139" t="s">
        <v>111</v>
      </c>
      <c r="J28" s="78" t="s">
        <v>27</v>
      </c>
      <c r="K28" s="78" t="s">
        <v>112</v>
      </c>
      <c r="L28" s="139">
        <v>3</v>
      </c>
      <c r="N28" s="139">
        <v>4</v>
      </c>
      <c r="O28" s="139">
        <v>0.75</v>
      </c>
      <c r="P28" s="139">
        <v>0.75</v>
      </c>
      <c r="Q28" s="148">
        <f t="shared" si="0"/>
        <v>0.75</v>
      </c>
      <c r="R28" s="139">
        <v>15.8</v>
      </c>
      <c r="S28" s="139">
        <v>112</v>
      </c>
      <c r="T28" s="149">
        <f t="shared" si="1"/>
        <v>33</v>
      </c>
      <c r="U28" s="139">
        <v>498</v>
      </c>
      <c r="V28" s="150">
        <f t="shared" si="2"/>
        <v>4108.5</v>
      </c>
      <c r="W28" s="139">
        <v>8</v>
      </c>
      <c r="X28" s="139" t="s">
        <v>35</v>
      </c>
      <c r="Y28" s="139" t="s">
        <v>43</v>
      </c>
      <c r="Z28" s="139" t="s">
        <v>36</v>
      </c>
      <c r="AA28" s="139" t="s">
        <v>55</v>
      </c>
      <c r="AB28" s="139" t="s">
        <v>178</v>
      </c>
      <c r="AE28" s="157"/>
      <c r="AP28" s="162"/>
      <c r="AR28" s="158"/>
      <c r="AV28" s="158"/>
    </row>
    <row r="29" spans="1:48" x14ac:dyDescent="0.15">
      <c r="A29" s="139" t="s">
        <v>40</v>
      </c>
      <c r="B29" s="139" t="s">
        <v>174</v>
      </c>
      <c r="C29" s="139">
        <v>2020</v>
      </c>
      <c r="D29" s="147" t="s">
        <v>417</v>
      </c>
      <c r="E29" s="139" t="s">
        <v>182</v>
      </c>
      <c r="F29" s="139" t="s">
        <v>294</v>
      </c>
      <c r="G29" s="139" t="s">
        <v>25</v>
      </c>
      <c r="H29" s="139" t="s">
        <v>113</v>
      </c>
      <c r="I29" s="139" t="s">
        <v>111</v>
      </c>
      <c r="J29" s="78" t="s">
        <v>27</v>
      </c>
      <c r="K29" s="78" t="s">
        <v>112</v>
      </c>
      <c r="L29" s="139">
        <v>1</v>
      </c>
      <c r="N29" s="139">
        <v>1</v>
      </c>
      <c r="O29" s="139">
        <v>0.75</v>
      </c>
      <c r="P29" s="139">
        <v>0.85</v>
      </c>
      <c r="Q29" s="148">
        <f t="shared" si="0"/>
        <v>0.8</v>
      </c>
      <c r="R29" s="139">
        <v>15.4</v>
      </c>
      <c r="S29" s="139">
        <v>110</v>
      </c>
      <c r="T29" s="149">
        <f t="shared" si="1"/>
        <v>33</v>
      </c>
      <c r="U29" s="139">
        <v>98</v>
      </c>
      <c r="V29" s="150">
        <f t="shared" si="2"/>
        <v>3234</v>
      </c>
      <c r="W29" s="139">
        <v>32</v>
      </c>
      <c r="X29" s="139" t="s">
        <v>35</v>
      </c>
      <c r="Y29" s="139" t="s">
        <v>43</v>
      </c>
      <c r="Z29" s="139" t="s">
        <v>55</v>
      </c>
      <c r="AA29" s="139" t="s">
        <v>76</v>
      </c>
      <c r="AB29" s="139" t="s">
        <v>178</v>
      </c>
      <c r="AE29" s="157" t="s">
        <v>249</v>
      </c>
      <c r="AP29" s="162" t="s">
        <v>250</v>
      </c>
      <c r="AR29" s="158" t="s">
        <v>81</v>
      </c>
      <c r="AV29" s="158" t="s">
        <v>72</v>
      </c>
    </row>
    <row r="30" spans="1:48" x14ac:dyDescent="0.15">
      <c r="A30" s="139" t="s">
        <v>40</v>
      </c>
      <c r="B30" s="139" t="s">
        <v>174</v>
      </c>
      <c r="C30" s="139">
        <v>2020</v>
      </c>
      <c r="D30" s="147" t="s">
        <v>417</v>
      </c>
      <c r="E30" s="139" t="s">
        <v>182</v>
      </c>
      <c r="F30" s="139" t="s">
        <v>294</v>
      </c>
      <c r="G30" s="139" t="s">
        <v>25</v>
      </c>
      <c r="H30" s="139" t="s">
        <v>113</v>
      </c>
      <c r="I30" s="139" t="s">
        <v>111</v>
      </c>
      <c r="J30" s="78" t="s">
        <v>27</v>
      </c>
      <c r="K30" s="78" t="s">
        <v>112</v>
      </c>
      <c r="L30" s="139">
        <v>2</v>
      </c>
      <c r="N30" s="139">
        <v>1</v>
      </c>
      <c r="O30" s="139">
        <v>0.8</v>
      </c>
      <c r="P30" s="139">
        <v>0.7</v>
      </c>
      <c r="Q30" s="148">
        <f t="shared" si="0"/>
        <v>0.75</v>
      </c>
      <c r="R30" s="139">
        <v>16</v>
      </c>
      <c r="S30" s="139">
        <v>112</v>
      </c>
      <c r="T30" s="149">
        <f t="shared" si="1"/>
        <v>33</v>
      </c>
      <c r="U30" s="139">
        <v>98</v>
      </c>
      <c r="V30" s="150">
        <f t="shared" si="2"/>
        <v>3234</v>
      </c>
      <c r="W30" s="139">
        <v>32</v>
      </c>
      <c r="X30" s="139" t="s">
        <v>35</v>
      </c>
      <c r="Y30" s="139" t="s">
        <v>43</v>
      </c>
      <c r="Z30" s="139" t="s">
        <v>55</v>
      </c>
      <c r="AA30" s="139" t="s">
        <v>76</v>
      </c>
      <c r="AB30" s="139" t="s">
        <v>178</v>
      </c>
      <c r="AE30" s="157" t="s">
        <v>242</v>
      </c>
      <c r="AP30" s="162" t="s">
        <v>251</v>
      </c>
      <c r="AR30" s="158" t="s">
        <v>85</v>
      </c>
      <c r="AV30" s="158" t="s">
        <v>74</v>
      </c>
    </row>
    <row r="31" spans="1:48" x14ac:dyDescent="0.15">
      <c r="A31" s="139" t="s">
        <v>40</v>
      </c>
      <c r="B31" s="139" t="s">
        <v>174</v>
      </c>
      <c r="C31" s="139">
        <v>2020</v>
      </c>
      <c r="D31" s="147" t="s">
        <v>417</v>
      </c>
      <c r="E31" s="139" t="s">
        <v>182</v>
      </c>
      <c r="F31" s="139" t="s">
        <v>294</v>
      </c>
      <c r="G31" s="139" t="s">
        <v>25</v>
      </c>
      <c r="H31" s="139" t="s">
        <v>113</v>
      </c>
      <c r="I31" s="139" t="s">
        <v>111</v>
      </c>
      <c r="J31" s="78" t="s">
        <v>27</v>
      </c>
      <c r="K31" s="78" t="s">
        <v>112</v>
      </c>
      <c r="L31" s="139">
        <v>3</v>
      </c>
      <c r="N31" s="139">
        <v>1</v>
      </c>
      <c r="O31" s="139">
        <v>0.8</v>
      </c>
      <c r="P31" s="139">
        <v>0.65</v>
      </c>
      <c r="Q31" s="148">
        <f t="shared" si="0"/>
        <v>0.72500000000000009</v>
      </c>
      <c r="R31" s="139">
        <v>16.5</v>
      </c>
      <c r="S31" s="139">
        <v>114</v>
      </c>
      <c r="T31" s="149">
        <f t="shared" si="1"/>
        <v>30</v>
      </c>
      <c r="U31" s="139">
        <v>98</v>
      </c>
      <c r="V31" s="150">
        <f t="shared" si="2"/>
        <v>2940</v>
      </c>
      <c r="W31" s="139">
        <v>32</v>
      </c>
      <c r="X31" s="139" t="s">
        <v>35</v>
      </c>
      <c r="Y31" s="139" t="s">
        <v>43</v>
      </c>
      <c r="Z31" s="139" t="s">
        <v>55</v>
      </c>
      <c r="AA31" s="139" t="s">
        <v>76</v>
      </c>
      <c r="AB31" s="139" t="s">
        <v>178</v>
      </c>
      <c r="AE31" s="168" t="s">
        <v>236</v>
      </c>
      <c r="AP31" s="162" t="s">
        <v>252</v>
      </c>
      <c r="AR31" s="158" t="s">
        <v>253</v>
      </c>
      <c r="AV31" s="158" t="s">
        <v>76</v>
      </c>
    </row>
    <row r="32" spans="1:48" x14ac:dyDescent="0.15">
      <c r="A32" s="139" t="s">
        <v>40</v>
      </c>
      <c r="B32" s="139" t="s">
        <v>174</v>
      </c>
      <c r="C32" s="139">
        <v>2020</v>
      </c>
      <c r="D32" s="147" t="s">
        <v>417</v>
      </c>
      <c r="E32" s="139" t="s">
        <v>182</v>
      </c>
      <c r="F32" s="139" t="s">
        <v>294</v>
      </c>
      <c r="G32" s="139" t="s">
        <v>25</v>
      </c>
      <c r="H32" s="139" t="s">
        <v>113</v>
      </c>
      <c r="I32" s="139" t="s">
        <v>111</v>
      </c>
      <c r="J32" s="78" t="s">
        <v>27</v>
      </c>
      <c r="K32" s="78" t="s">
        <v>112</v>
      </c>
      <c r="L32" s="139">
        <v>1</v>
      </c>
      <c r="N32" s="139">
        <v>10</v>
      </c>
      <c r="O32" s="139">
        <v>0.6</v>
      </c>
      <c r="P32" s="139">
        <v>0.6</v>
      </c>
      <c r="Q32" s="148">
        <f t="shared" si="0"/>
        <v>0.6</v>
      </c>
      <c r="R32" s="139">
        <v>16.2</v>
      </c>
      <c r="S32" s="139">
        <v>112</v>
      </c>
      <c r="T32" s="149">
        <f t="shared" si="1"/>
        <v>33</v>
      </c>
      <c r="U32" s="139">
        <v>598</v>
      </c>
      <c r="V32" s="150">
        <f t="shared" si="2"/>
        <v>1973.3999999999999</v>
      </c>
      <c r="W32" s="139">
        <v>32</v>
      </c>
      <c r="X32" s="139" t="s">
        <v>35</v>
      </c>
      <c r="Y32" s="139" t="s">
        <v>43</v>
      </c>
      <c r="Z32" s="139" t="s">
        <v>55</v>
      </c>
      <c r="AA32" s="139" t="s">
        <v>76</v>
      </c>
      <c r="AB32" s="139" t="s">
        <v>178</v>
      </c>
      <c r="AE32" s="168"/>
      <c r="AP32" s="162" t="s">
        <v>254</v>
      </c>
      <c r="AR32" s="158" t="s">
        <v>89</v>
      </c>
      <c r="AV32" s="162" t="s">
        <v>255</v>
      </c>
    </row>
    <row r="33" spans="1:48" x14ac:dyDescent="0.15">
      <c r="A33" s="139" t="s">
        <v>40</v>
      </c>
      <c r="B33" s="139" t="s">
        <v>174</v>
      </c>
      <c r="C33" s="139">
        <v>2020</v>
      </c>
      <c r="D33" s="147" t="s">
        <v>417</v>
      </c>
      <c r="E33" s="139" t="s">
        <v>182</v>
      </c>
      <c r="F33" s="139" t="s">
        <v>294</v>
      </c>
      <c r="G33" s="139" t="s">
        <v>25</v>
      </c>
      <c r="H33" s="139" t="s">
        <v>113</v>
      </c>
      <c r="I33" s="139" t="s">
        <v>111</v>
      </c>
      <c r="J33" s="78" t="s">
        <v>27</v>
      </c>
      <c r="K33" s="78" t="s">
        <v>112</v>
      </c>
      <c r="L33" s="139">
        <v>2</v>
      </c>
      <c r="N33" s="139">
        <v>10</v>
      </c>
      <c r="O33" s="139">
        <v>0.25</v>
      </c>
      <c r="P33" s="139">
        <v>0.25</v>
      </c>
      <c r="Q33" s="148">
        <f t="shared" si="0"/>
        <v>0.25</v>
      </c>
      <c r="R33" s="139">
        <v>15</v>
      </c>
      <c r="S33" s="139">
        <v>104</v>
      </c>
      <c r="T33" s="149">
        <f t="shared" si="1"/>
        <v>33</v>
      </c>
      <c r="U33" s="139">
        <v>598</v>
      </c>
      <c r="V33" s="150">
        <f t="shared" si="2"/>
        <v>1973.3999999999999</v>
      </c>
      <c r="W33" s="139">
        <v>32</v>
      </c>
      <c r="X33" s="139" t="s">
        <v>35</v>
      </c>
      <c r="Y33" s="139" t="s">
        <v>43</v>
      </c>
      <c r="Z33" s="139" t="s">
        <v>55</v>
      </c>
      <c r="AA33" s="139" t="s">
        <v>76</v>
      </c>
      <c r="AB33" s="139" t="s">
        <v>178</v>
      </c>
      <c r="AE33" s="163"/>
      <c r="AP33" s="162" t="s">
        <v>256</v>
      </c>
      <c r="AR33" s="158" t="s">
        <v>54</v>
      </c>
      <c r="AV33" s="162" t="s">
        <v>257</v>
      </c>
    </row>
    <row r="34" spans="1:48" x14ac:dyDescent="0.15">
      <c r="A34" s="139" t="s">
        <v>40</v>
      </c>
      <c r="B34" s="139" t="s">
        <v>174</v>
      </c>
      <c r="C34" s="139">
        <v>2020</v>
      </c>
      <c r="D34" s="147" t="s">
        <v>417</v>
      </c>
      <c r="E34" s="139" t="s">
        <v>182</v>
      </c>
      <c r="F34" s="139" t="s">
        <v>294</v>
      </c>
      <c r="G34" s="139" t="s">
        <v>25</v>
      </c>
      <c r="H34" s="139" t="s">
        <v>113</v>
      </c>
      <c r="I34" s="139" t="s">
        <v>111</v>
      </c>
      <c r="J34" s="78" t="s">
        <v>27</v>
      </c>
      <c r="K34" s="78" t="s">
        <v>112</v>
      </c>
      <c r="L34" s="139">
        <v>3</v>
      </c>
      <c r="N34" s="139">
        <v>10</v>
      </c>
      <c r="O34" s="139">
        <v>0.55000000000000004</v>
      </c>
      <c r="P34" s="139">
        <v>0.6</v>
      </c>
      <c r="Q34" s="148">
        <f t="shared" si="0"/>
        <v>0.57499999999999996</v>
      </c>
      <c r="R34" s="139">
        <v>15.6</v>
      </c>
      <c r="S34" s="139">
        <v>108</v>
      </c>
      <c r="T34" s="149">
        <f t="shared" si="1"/>
        <v>33</v>
      </c>
      <c r="U34" s="139">
        <v>598</v>
      </c>
      <c r="V34" s="150">
        <f t="shared" si="2"/>
        <v>1973.3999999999999</v>
      </c>
      <c r="W34" s="139">
        <v>32</v>
      </c>
      <c r="X34" s="139" t="s">
        <v>35</v>
      </c>
      <c r="Y34" s="139" t="s">
        <v>43</v>
      </c>
      <c r="Z34" s="139" t="s">
        <v>55</v>
      </c>
      <c r="AA34" s="139" t="s">
        <v>76</v>
      </c>
      <c r="AB34" s="139" t="s">
        <v>178</v>
      </c>
      <c r="AP34" s="162" t="s">
        <v>258</v>
      </c>
      <c r="AR34" s="158" t="s">
        <v>69</v>
      </c>
      <c r="AV34" s="162"/>
    </row>
    <row r="35" spans="1:48" x14ac:dyDescent="0.15">
      <c r="A35" s="139" t="s">
        <v>40</v>
      </c>
      <c r="B35" s="139" t="s">
        <v>174</v>
      </c>
      <c r="C35" s="139">
        <v>2020</v>
      </c>
      <c r="D35" s="147" t="s">
        <v>417</v>
      </c>
      <c r="E35" s="139" t="s">
        <v>182</v>
      </c>
      <c r="F35" s="139" t="s">
        <v>294</v>
      </c>
      <c r="G35" s="139" t="s">
        <v>25</v>
      </c>
      <c r="H35" s="139" t="s">
        <v>167</v>
      </c>
      <c r="I35" s="139" t="s">
        <v>111</v>
      </c>
      <c r="J35" s="78" t="s">
        <v>27</v>
      </c>
      <c r="K35" s="78" t="s">
        <v>112</v>
      </c>
      <c r="L35" s="139">
        <v>1</v>
      </c>
      <c r="N35" s="139">
        <v>1</v>
      </c>
      <c r="O35" s="139">
        <v>0.6</v>
      </c>
      <c r="P35" s="139">
        <v>0.75</v>
      </c>
      <c r="Q35" s="148">
        <f t="shared" si="0"/>
        <v>0.67500000000000004</v>
      </c>
      <c r="R35" s="139">
        <v>15.9</v>
      </c>
      <c r="S35" s="139">
        <v>98</v>
      </c>
      <c r="T35" s="149">
        <f t="shared" si="1"/>
        <v>36</v>
      </c>
      <c r="U35" s="139">
        <v>98</v>
      </c>
      <c r="V35" s="150">
        <f t="shared" si="2"/>
        <v>3528</v>
      </c>
      <c r="W35" s="139">
        <v>32</v>
      </c>
      <c r="X35" s="139" t="s">
        <v>35</v>
      </c>
      <c r="Y35" s="139" t="s">
        <v>43</v>
      </c>
      <c r="Z35" s="139" t="s">
        <v>55</v>
      </c>
      <c r="AA35" s="139" t="s">
        <v>76</v>
      </c>
      <c r="AB35" s="139" t="s">
        <v>178</v>
      </c>
      <c r="AP35" s="162" t="s">
        <v>277</v>
      </c>
      <c r="AR35" s="158" t="s">
        <v>48</v>
      </c>
    </row>
    <row r="36" spans="1:48" x14ac:dyDescent="0.15">
      <c r="A36" s="139" t="s">
        <v>40</v>
      </c>
      <c r="B36" s="139" t="s">
        <v>174</v>
      </c>
      <c r="C36" s="139">
        <v>2020</v>
      </c>
      <c r="D36" s="147" t="s">
        <v>417</v>
      </c>
      <c r="E36" s="139" t="s">
        <v>182</v>
      </c>
      <c r="F36" s="139" t="s">
        <v>294</v>
      </c>
      <c r="G36" s="139" t="s">
        <v>25</v>
      </c>
      <c r="H36" s="139" t="s">
        <v>167</v>
      </c>
      <c r="I36" s="139" t="s">
        <v>111</v>
      </c>
      <c r="J36" s="78" t="s">
        <v>27</v>
      </c>
      <c r="K36" s="78" t="s">
        <v>112</v>
      </c>
      <c r="L36" s="139">
        <v>2</v>
      </c>
      <c r="N36" s="139">
        <v>1</v>
      </c>
      <c r="O36" s="139">
        <v>0.7</v>
      </c>
      <c r="P36" s="139">
        <v>0.7</v>
      </c>
      <c r="Q36" s="148">
        <f t="shared" si="0"/>
        <v>0.7</v>
      </c>
      <c r="R36" s="139">
        <v>16.100000000000001</v>
      </c>
      <c r="S36" s="139">
        <v>102</v>
      </c>
      <c r="T36" s="149">
        <f t="shared" si="1"/>
        <v>33</v>
      </c>
      <c r="U36" s="139">
        <v>98</v>
      </c>
      <c r="V36" s="150">
        <f t="shared" si="2"/>
        <v>3234</v>
      </c>
      <c r="W36" s="139">
        <v>32</v>
      </c>
      <c r="X36" s="139" t="s">
        <v>35</v>
      </c>
      <c r="Y36" s="139" t="s">
        <v>43</v>
      </c>
      <c r="Z36" s="139" t="s">
        <v>55</v>
      </c>
      <c r="AA36" s="139" t="s">
        <v>76</v>
      </c>
      <c r="AB36" s="139" t="s">
        <v>178</v>
      </c>
      <c r="AP36" s="162" t="s">
        <v>278</v>
      </c>
      <c r="AR36" s="158" t="s">
        <v>77</v>
      </c>
    </row>
    <row r="37" spans="1:48" x14ac:dyDescent="0.15">
      <c r="A37" s="139" t="s">
        <v>40</v>
      </c>
      <c r="B37" s="139" t="s">
        <v>174</v>
      </c>
      <c r="C37" s="139">
        <v>2020</v>
      </c>
      <c r="D37" s="147" t="s">
        <v>417</v>
      </c>
      <c r="E37" s="139" t="s">
        <v>182</v>
      </c>
      <c r="F37" s="139" t="s">
        <v>294</v>
      </c>
      <c r="G37" s="139" t="s">
        <v>25</v>
      </c>
      <c r="H37" s="139" t="s">
        <v>167</v>
      </c>
      <c r="I37" s="139" t="s">
        <v>111</v>
      </c>
      <c r="J37" s="78" t="s">
        <v>27</v>
      </c>
      <c r="K37" s="78" t="s">
        <v>112</v>
      </c>
      <c r="L37" s="139">
        <v>3</v>
      </c>
      <c r="N37" s="139">
        <v>1</v>
      </c>
      <c r="O37" s="139">
        <v>0.65</v>
      </c>
      <c r="P37" s="139">
        <v>0.65</v>
      </c>
      <c r="Q37" s="148">
        <f t="shared" si="0"/>
        <v>0.65</v>
      </c>
      <c r="R37" s="139">
        <v>16.399999999999999</v>
      </c>
      <c r="S37" s="139">
        <v>108</v>
      </c>
      <c r="T37" s="149">
        <f t="shared" si="1"/>
        <v>33</v>
      </c>
      <c r="U37" s="139">
        <v>98</v>
      </c>
      <c r="V37" s="150">
        <f t="shared" si="2"/>
        <v>3234</v>
      </c>
      <c r="W37" s="139">
        <v>32</v>
      </c>
      <c r="X37" s="139" t="s">
        <v>35</v>
      </c>
      <c r="Y37" s="139" t="s">
        <v>43</v>
      </c>
      <c r="Z37" s="139" t="s">
        <v>55</v>
      </c>
      <c r="AA37" s="139" t="s">
        <v>76</v>
      </c>
      <c r="AB37" s="139" t="s">
        <v>178</v>
      </c>
      <c r="AP37" s="162" t="s">
        <v>279</v>
      </c>
      <c r="AR37" s="162" t="s">
        <v>40</v>
      </c>
    </row>
    <row r="38" spans="1:48" x14ac:dyDescent="0.15">
      <c r="A38" s="139" t="s">
        <v>40</v>
      </c>
      <c r="B38" s="139" t="s">
        <v>174</v>
      </c>
      <c r="C38" s="139">
        <v>2020</v>
      </c>
      <c r="D38" s="147" t="s">
        <v>417</v>
      </c>
      <c r="E38" s="139" t="s">
        <v>182</v>
      </c>
      <c r="F38" s="139" t="s">
        <v>294</v>
      </c>
      <c r="G38" s="139" t="s">
        <v>25</v>
      </c>
      <c r="H38" s="139" t="s">
        <v>167</v>
      </c>
      <c r="I38" s="139" t="s">
        <v>111</v>
      </c>
      <c r="J38" s="78" t="s">
        <v>27</v>
      </c>
      <c r="K38" s="78" t="s">
        <v>112</v>
      </c>
      <c r="L38" s="139">
        <v>1</v>
      </c>
      <c r="N38" s="139">
        <v>2</v>
      </c>
      <c r="O38" s="139">
        <v>0.75</v>
      </c>
      <c r="P38" s="139">
        <v>0.8</v>
      </c>
      <c r="Q38" s="148">
        <f t="shared" si="0"/>
        <v>0.77500000000000002</v>
      </c>
      <c r="R38" s="139">
        <v>17.2</v>
      </c>
      <c r="S38" s="139">
        <v>158</v>
      </c>
      <c r="T38" s="149">
        <f t="shared" si="1"/>
        <v>18</v>
      </c>
      <c r="U38" s="139">
        <v>398</v>
      </c>
      <c r="V38" s="150">
        <f t="shared" si="2"/>
        <v>3582</v>
      </c>
      <c r="W38" s="139">
        <v>32</v>
      </c>
      <c r="X38" s="139" t="s">
        <v>35</v>
      </c>
      <c r="Y38" s="139" t="s">
        <v>43</v>
      </c>
      <c r="Z38" s="139" t="s">
        <v>55</v>
      </c>
      <c r="AA38" s="139" t="s">
        <v>76</v>
      </c>
      <c r="AB38" s="139" t="s">
        <v>178</v>
      </c>
      <c r="AP38" s="162" t="s">
        <v>259</v>
      </c>
      <c r="AR38" s="139" t="s">
        <v>260</v>
      </c>
    </row>
    <row r="39" spans="1:48" x14ac:dyDescent="0.15">
      <c r="A39" s="139" t="s">
        <v>40</v>
      </c>
      <c r="B39" s="139" t="s">
        <v>174</v>
      </c>
      <c r="C39" s="139">
        <v>2020</v>
      </c>
      <c r="D39" s="147" t="s">
        <v>417</v>
      </c>
      <c r="E39" s="139" t="s">
        <v>182</v>
      </c>
      <c r="F39" s="139" t="s">
        <v>294</v>
      </c>
      <c r="G39" s="139" t="s">
        <v>25</v>
      </c>
      <c r="H39" s="139" t="s">
        <v>167</v>
      </c>
      <c r="I39" s="139" t="s">
        <v>111</v>
      </c>
      <c r="J39" s="78" t="s">
        <v>27</v>
      </c>
      <c r="K39" s="78" t="s">
        <v>112</v>
      </c>
      <c r="L39" s="139">
        <v>2</v>
      </c>
      <c r="N39" s="139">
        <v>2</v>
      </c>
      <c r="O39" s="139">
        <v>0.8</v>
      </c>
      <c r="P39" s="139">
        <v>0.7</v>
      </c>
      <c r="Q39" s="148">
        <f t="shared" si="0"/>
        <v>0.75</v>
      </c>
      <c r="R39" s="139">
        <v>17.899999999999999</v>
      </c>
      <c r="S39" s="139">
        <v>170</v>
      </c>
      <c r="T39" s="149">
        <f t="shared" si="1"/>
        <v>18</v>
      </c>
      <c r="U39" s="139">
        <v>398</v>
      </c>
      <c r="V39" s="150">
        <f t="shared" si="2"/>
        <v>3582</v>
      </c>
      <c r="W39" s="139">
        <v>32</v>
      </c>
      <c r="X39" s="139" t="s">
        <v>35</v>
      </c>
      <c r="Y39" s="139" t="s">
        <v>43</v>
      </c>
      <c r="Z39" s="139" t="s">
        <v>55</v>
      </c>
      <c r="AA39" s="139" t="s">
        <v>76</v>
      </c>
      <c r="AB39" s="139" t="s">
        <v>178</v>
      </c>
      <c r="AP39" s="27" t="s">
        <v>261</v>
      </c>
      <c r="AQ39" s="78"/>
      <c r="AR39" s="81" t="s">
        <v>295</v>
      </c>
    </row>
    <row r="40" spans="1:48" x14ac:dyDescent="0.15">
      <c r="A40" s="139" t="s">
        <v>40</v>
      </c>
      <c r="B40" s="139" t="s">
        <v>174</v>
      </c>
      <c r="C40" s="139">
        <v>2020</v>
      </c>
      <c r="D40" s="147" t="s">
        <v>417</v>
      </c>
      <c r="E40" s="139" t="s">
        <v>182</v>
      </c>
      <c r="F40" s="139" t="s">
        <v>294</v>
      </c>
      <c r="G40" s="139" t="s">
        <v>25</v>
      </c>
      <c r="H40" s="139" t="s">
        <v>167</v>
      </c>
      <c r="I40" s="139" t="s">
        <v>111</v>
      </c>
      <c r="J40" s="78" t="s">
        <v>27</v>
      </c>
      <c r="K40" s="78" t="s">
        <v>112</v>
      </c>
      <c r="L40" s="139">
        <v>3</v>
      </c>
      <c r="N40" s="139">
        <v>2</v>
      </c>
      <c r="O40" s="139">
        <v>0.7</v>
      </c>
      <c r="P40" s="139">
        <v>0.75</v>
      </c>
      <c r="Q40" s="148">
        <f t="shared" si="0"/>
        <v>0.72499999999999998</v>
      </c>
      <c r="R40" s="139">
        <v>18.3</v>
      </c>
      <c r="S40" s="139">
        <v>160</v>
      </c>
      <c r="T40" s="149">
        <f t="shared" si="1"/>
        <v>18</v>
      </c>
      <c r="U40" s="139">
        <v>398</v>
      </c>
      <c r="V40" s="150">
        <f t="shared" si="2"/>
        <v>3582</v>
      </c>
      <c r="W40" s="139">
        <v>32</v>
      </c>
      <c r="X40" s="139" t="s">
        <v>35</v>
      </c>
      <c r="Y40" s="139" t="s">
        <v>43</v>
      </c>
      <c r="Z40" s="139" t="s">
        <v>55</v>
      </c>
      <c r="AA40" s="139" t="s">
        <v>76</v>
      </c>
      <c r="AB40" s="139" t="s">
        <v>178</v>
      </c>
      <c r="AP40" s="27" t="s">
        <v>296</v>
      </c>
      <c r="AQ40" s="78"/>
      <c r="AR40" s="81" t="s">
        <v>297</v>
      </c>
    </row>
    <row r="41" spans="1:48" x14ac:dyDescent="0.15">
      <c r="A41" s="139" t="s">
        <v>40</v>
      </c>
      <c r="B41" s="139" t="s">
        <v>174</v>
      </c>
      <c r="C41" s="139">
        <v>2020</v>
      </c>
      <c r="D41" s="147" t="s">
        <v>417</v>
      </c>
      <c r="E41" s="139" t="s">
        <v>171</v>
      </c>
      <c r="F41" s="139" t="s">
        <v>287</v>
      </c>
      <c r="G41" s="139" t="s">
        <v>25</v>
      </c>
      <c r="H41" s="139" t="s">
        <v>113</v>
      </c>
      <c r="I41" s="139" t="s">
        <v>111</v>
      </c>
      <c r="J41" s="78" t="s">
        <v>27</v>
      </c>
      <c r="K41" s="78" t="s">
        <v>112</v>
      </c>
      <c r="L41" s="139">
        <v>1</v>
      </c>
      <c r="N41" s="139">
        <v>1</v>
      </c>
      <c r="O41" s="139">
        <v>0.55000000000000004</v>
      </c>
      <c r="P41" s="139">
        <v>0.6</v>
      </c>
      <c r="Q41" s="148">
        <f t="shared" si="0"/>
        <v>0.57499999999999996</v>
      </c>
      <c r="R41" s="139">
        <v>16.399999999999999</v>
      </c>
      <c r="S41" s="139">
        <v>128</v>
      </c>
      <c r="T41" s="149">
        <f t="shared" si="1"/>
        <v>27</v>
      </c>
      <c r="U41" s="139">
        <v>128</v>
      </c>
      <c r="V41" s="150">
        <f t="shared" si="2"/>
        <v>3456</v>
      </c>
      <c r="W41" s="139">
        <v>12</v>
      </c>
      <c r="X41" s="139" t="s">
        <v>35</v>
      </c>
      <c r="Y41" s="139" t="s">
        <v>43</v>
      </c>
      <c r="Z41" s="139" t="s">
        <v>55</v>
      </c>
      <c r="AA41" s="139" t="s">
        <v>76</v>
      </c>
      <c r="AB41" s="139" t="s">
        <v>178</v>
      </c>
      <c r="AP41" s="27" t="s">
        <v>298</v>
      </c>
      <c r="AQ41" s="78"/>
      <c r="AR41" s="28"/>
    </row>
    <row r="42" spans="1:48" x14ac:dyDescent="0.15">
      <c r="A42" s="139" t="s">
        <v>40</v>
      </c>
      <c r="B42" s="139" t="s">
        <v>174</v>
      </c>
      <c r="C42" s="139">
        <v>2020</v>
      </c>
      <c r="D42" s="147" t="s">
        <v>417</v>
      </c>
      <c r="E42" s="139" t="s">
        <v>171</v>
      </c>
      <c r="F42" s="139" t="s">
        <v>287</v>
      </c>
      <c r="G42" s="139" t="s">
        <v>25</v>
      </c>
      <c r="H42" s="139" t="s">
        <v>113</v>
      </c>
      <c r="I42" s="139" t="s">
        <v>111</v>
      </c>
      <c r="J42" s="78" t="s">
        <v>27</v>
      </c>
      <c r="K42" s="78" t="s">
        <v>112</v>
      </c>
      <c r="L42" s="139">
        <v>2</v>
      </c>
      <c r="N42" s="139">
        <v>1</v>
      </c>
      <c r="O42" s="139">
        <v>0.25</v>
      </c>
      <c r="P42" s="139">
        <v>0.6</v>
      </c>
      <c r="Q42" s="148">
        <f t="shared" si="0"/>
        <v>0.42499999999999999</v>
      </c>
      <c r="R42" s="139">
        <v>15.7</v>
      </c>
      <c r="S42" s="139">
        <v>122</v>
      </c>
      <c r="T42" s="149">
        <f t="shared" si="1"/>
        <v>27</v>
      </c>
      <c r="U42" s="139">
        <v>128</v>
      </c>
      <c r="V42" s="150">
        <f t="shared" si="2"/>
        <v>3456</v>
      </c>
      <c r="W42" s="139">
        <v>12</v>
      </c>
      <c r="X42" s="139" t="s">
        <v>35</v>
      </c>
      <c r="Y42" s="139" t="s">
        <v>43</v>
      </c>
      <c r="Z42" s="139" t="s">
        <v>55</v>
      </c>
      <c r="AA42" s="139" t="s">
        <v>76</v>
      </c>
      <c r="AB42" s="139" t="s">
        <v>178</v>
      </c>
    </row>
    <row r="43" spans="1:48" x14ac:dyDescent="0.15">
      <c r="A43" s="139" t="s">
        <v>40</v>
      </c>
      <c r="B43" s="139" t="s">
        <v>174</v>
      </c>
      <c r="C43" s="139">
        <v>2020</v>
      </c>
      <c r="D43" s="147" t="s">
        <v>417</v>
      </c>
      <c r="E43" s="139" t="s">
        <v>171</v>
      </c>
      <c r="F43" s="139" t="s">
        <v>287</v>
      </c>
      <c r="G43" s="139" t="s">
        <v>25</v>
      </c>
      <c r="H43" s="139" t="s">
        <v>113</v>
      </c>
      <c r="I43" s="139" t="s">
        <v>111</v>
      </c>
      <c r="J43" s="78" t="s">
        <v>27</v>
      </c>
      <c r="K43" s="78" t="s">
        <v>112</v>
      </c>
      <c r="L43" s="139">
        <v>3</v>
      </c>
      <c r="N43" s="139">
        <v>1</v>
      </c>
      <c r="O43" s="139">
        <v>0.65</v>
      </c>
      <c r="P43" s="139">
        <v>0.6</v>
      </c>
      <c r="Q43" s="148">
        <f t="shared" si="0"/>
        <v>0.625</v>
      </c>
      <c r="R43" s="139">
        <v>16.600000000000001</v>
      </c>
      <c r="S43" s="139">
        <v>128</v>
      </c>
      <c r="T43" s="149">
        <f t="shared" si="1"/>
        <v>27</v>
      </c>
      <c r="U43" s="139">
        <v>128</v>
      </c>
      <c r="V43" s="150">
        <f t="shared" si="2"/>
        <v>3456</v>
      </c>
      <c r="W43" s="139">
        <v>12</v>
      </c>
      <c r="X43" s="139" t="s">
        <v>35</v>
      </c>
      <c r="Y43" s="139" t="s">
        <v>43</v>
      </c>
      <c r="Z43" s="139" t="s">
        <v>55</v>
      </c>
      <c r="AA43" s="139" t="s">
        <v>76</v>
      </c>
      <c r="AB43" s="139" t="s">
        <v>178</v>
      </c>
    </row>
    <row r="44" spans="1:48" x14ac:dyDescent="0.15">
      <c r="A44" s="139" t="s">
        <v>40</v>
      </c>
      <c r="B44" s="139" t="s">
        <v>174</v>
      </c>
      <c r="C44" s="139">
        <v>2020</v>
      </c>
      <c r="D44" s="147" t="s">
        <v>417</v>
      </c>
      <c r="E44" s="139" t="s">
        <v>171</v>
      </c>
      <c r="F44" s="139" t="s">
        <v>287</v>
      </c>
      <c r="G44" s="139" t="s">
        <v>25</v>
      </c>
      <c r="H44" s="139" t="s">
        <v>113</v>
      </c>
      <c r="I44" s="139" t="s">
        <v>111</v>
      </c>
      <c r="J44" s="78" t="s">
        <v>27</v>
      </c>
      <c r="K44" s="78" t="s">
        <v>112</v>
      </c>
      <c r="L44" s="139">
        <v>1</v>
      </c>
      <c r="N44" s="139">
        <v>5</v>
      </c>
      <c r="O44" s="139">
        <v>0.75</v>
      </c>
      <c r="P44" s="139">
        <v>0.85</v>
      </c>
      <c r="Q44" s="148">
        <f t="shared" si="0"/>
        <v>0.8</v>
      </c>
      <c r="R44" s="139">
        <v>14.9</v>
      </c>
      <c r="S44" s="139">
        <v>83</v>
      </c>
      <c r="T44" s="149">
        <f t="shared" si="1"/>
        <v>39</v>
      </c>
      <c r="U44" s="139">
        <v>398</v>
      </c>
      <c r="V44" s="150">
        <f t="shared" si="2"/>
        <v>3104.3999999999996</v>
      </c>
      <c r="W44" s="139">
        <v>12</v>
      </c>
      <c r="X44" s="139" t="s">
        <v>35</v>
      </c>
      <c r="Y44" s="139" t="s">
        <v>43</v>
      </c>
      <c r="Z44" s="139" t="s">
        <v>55</v>
      </c>
      <c r="AA44" s="139" t="s">
        <v>76</v>
      </c>
      <c r="AB44" s="139" t="s">
        <v>178</v>
      </c>
    </row>
    <row r="45" spans="1:48" x14ac:dyDescent="0.15">
      <c r="A45" s="139" t="s">
        <v>40</v>
      </c>
      <c r="B45" s="139" t="s">
        <v>174</v>
      </c>
      <c r="C45" s="139">
        <v>2020</v>
      </c>
      <c r="D45" s="147" t="s">
        <v>417</v>
      </c>
      <c r="E45" s="139" t="s">
        <v>171</v>
      </c>
      <c r="F45" s="139" t="s">
        <v>287</v>
      </c>
      <c r="G45" s="139" t="s">
        <v>25</v>
      </c>
      <c r="H45" s="139" t="s">
        <v>113</v>
      </c>
      <c r="I45" s="139" t="s">
        <v>111</v>
      </c>
      <c r="J45" s="78" t="s">
        <v>27</v>
      </c>
      <c r="K45" s="78" t="s">
        <v>112</v>
      </c>
      <c r="L45" s="139">
        <v>2</v>
      </c>
      <c r="N45" s="139">
        <v>5</v>
      </c>
      <c r="O45" s="139">
        <v>0.65</v>
      </c>
      <c r="P45" s="139">
        <v>0.7</v>
      </c>
      <c r="Q45" s="148">
        <f t="shared" si="0"/>
        <v>0.67500000000000004</v>
      </c>
      <c r="R45" s="139">
        <v>15.6</v>
      </c>
      <c r="S45" s="139">
        <v>88</v>
      </c>
      <c r="T45" s="149">
        <f t="shared" si="1"/>
        <v>36</v>
      </c>
      <c r="U45" s="139">
        <v>398</v>
      </c>
      <c r="V45" s="150">
        <f t="shared" si="2"/>
        <v>2865.6</v>
      </c>
      <c r="W45" s="139">
        <v>12</v>
      </c>
      <c r="X45" s="139" t="s">
        <v>35</v>
      </c>
      <c r="Y45" s="139" t="s">
        <v>43</v>
      </c>
      <c r="Z45" s="139" t="s">
        <v>55</v>
      </c>
      <c r="AA45" s="139" t="s">
        <v>76</v>
      </c>
      <c r="AB45" s="139" t="s">
        <v>178</v>
      </c>
    </row>
    <row r="46" spans="1:48" x14ac:dyDescent="0.15">
      <c r="A46" s="139" t="s">
        <v>40</v>
      </c>
      <c r="B46" s="139" t="s">
        <v>174</v>
      </c>
      <c r="C46" s="139">
        <v>2020</v>
      </c>
      <c r="D46" s="147" t="s">
        <v>417</v>
      </c>
      <c r="E46" s="139" t="s">
        <v>171</v>
      </c>
      <c r="F46" s="139" t="s">
        <v>287</v>
      </c>
      <c r="G46" s="139" t="s">
        <v>25</v>
      </c>
      <c r="H46" s="139" t="s">
        <v>113</v>
      </c>
      <c r="I46" s="139" t="s">
        <v>111</v>
      </c>
      <c r="J46" s="78" t="s">
        <v>27</v>
      </c>
      <c r="K46" s="78" t="s">
        <v>112</v>
      </c>
      <c r="L46" s="139">
        <v>3</v>
      </c>
      <c r="N46" s="139">
        <v>5</v>
      </c>
      <c r="O46" s="139">
        <v>0.7</v>
      </c>
      <c r="P46" s="139">
        <v>0.8</v>
      </c>
      <c r="Q46" s="148">
        <f t="shared" si="0"/>
        <v>0.75</v>
      </c>
      <c r="R46" s="139">
        <v>15.2</v>
      </c>
      <c r="S46" s="139">
        <v>86</v>
      </c>
      <c r="T46" s="149">
        <f t="shared" si="1"/>
        <v>36</v>
      </c>
      <c r="U46" s="139">
        <v>398</v>
      </c>
      <c r="V46" s="150">
        <f t="shared" si="2"/>
        <v>2865.6</v>
      </c>
      <c r="W46" s="139">
        <v>12</v>
      </c>
      <c r="X46" s="139" t="s">
        <v>35</v>
      </c>
      <c r="Y46" s="139" t="s">
        <v>43</v>
      </c>
      <c r="Z46" s="139" t="s">
        <v>55</v>
      </c>
      <c r="AA46" s="139" t="s">
        <v>76</v>
      </c>
      <c r="AB46" s="139" t="s">
        <v>178</v>
      </c>
    </row>
    <row r="47" spans="1:48" x14ac:dyDescent="0.15">
      <c r="A47" s="139" t="s">
        <v>40</v>
      </c>
      <c r="B47" s="139" t="s">
        <v>174</v>
      </c>
      <c r="C47" s="139">
        <v>2020</v>
      </c>
      <c r="D47" s="147" t="s">
        <v>417</v>
      </c>
      <c r="E47" s="139" t="s">
        <v>171</v>
      </c>
      <c r="F47" s="139" t="s">
        <v>287</v>
      </c>
      <c r="G47" s="139" t="s">
        <v>25</v>
      </c>
      <c r="H47" s="139" t="s">
        <v>113</v>
      </c>
      <c r="I47" s="139" t="s">
        <v>111</v>
      </c>
      <c r="J47" s="78" t="s">
        <v>27</v>
      </c>
      <c r="K47" s="78" t="s">
        <v>112</v>
      </c>
      <c r="L47" s="139">
        <v>1</v>
      </c>
      <c r="N47" s="139">
        <v>8</v>
      </c>
      <c r="O47" s="139">
        <v>0.85</v>
      </c>
      <c r="P47" s="139">
        <v>0.95</v>
      </c>
      <c r="Q47" s="148">
        <f t="shared" si="0"/>
        <v>0.89999999999999991</v>
      </c>
      <c r="R47" s="139">
        <v>14.2</v>
      </c>
      <c r="S47" s="139">
        <v>94</v>
      </c>
      <c r="T47" s="149">
        <f t="shared" si="1"/>
        <v>36</v>
      </c>
      <c r="U47" s="139">
        <v>498</v>
      </c>
      <c r="V47" s="150">
        <f t="shared" si="2"/>
        <v>2241</v>
      </c>
      <c r="W47" s="139">
        <v>12</v>
      </c>
      <c r="X47" s="139" t="s">
        <v>35</v>
      </c>
      <c r="Y47" s="139" t="s">
        <v>43</v>
      </c>
      <c r="Z47" s="139" t="s">
        <v>55</v>
      </c>
      <c r="AA47" s="139" t="s">
        <v>82</v>
      </c>
      <c r="AB47" s="139" t="s">
        <v>178</v>
      </c>
    </row>
    <row r="48" spans="1:48" x14ac:dyDescent="0.15">
      <c r="A48" s="139" t="s">
        <v>40</v>
      </c>
      <c r="B48" s="139" t="s">
        <v>174</v>
      </c>
      <c r="C48" s="139">
        <v>2020</v>
      </c>
      <c r="D48" s="147" t="s">
        <v>417</v>
      </c>
      <c r="E48" s="139" t="s">
        <v>171</v>
      </c>
      <c r="F48" s="139" t="s">
        <v>287</v>
      </c>
      <c r="G48" s="139" t="s">
        <v>25</v>
      </c>
      <c r="H48" s="139" t="s">
        <v>113</v>
      </c>
      <c r="I48" s="139" t="s">
        <v>111</v>
      </c>
      <c r="J48" s="78" t="s">
        <v>27</v>
      </c>
      <c r="K48" s="78" t="s">
        <v>112</v>
      </c>
      <c r="L48" s="139">
        <v>2</v>
      </c>
      <c r="N48" s="139">
        <v>8</v>
      </c>
      <c r="O48" s="139">
        <v>0.9</v>
      </c>
      <c r="P48" s="139">
        <v>0.9</v>
      </c>
      <c r="Q48" s="148">
        <f t="shared" si="0"/>
        <v>0.9</v>
      </c>
      <c r="R48" s="139">
        <v>14</v>
      </c>
      <c r="S48" s="139">
        <v>95</v>
      </c>
      <c r="T48" s="149">
        <f t="shared" si="1"/>
        <v>36</v>
      </c>
      <c r="U48" s="139">
        <v>498</v>
      </c>
      <c r="V48" s="150">
        <f t="shared" si="2"/>
        <v>2241</v>
      </c>
      <c r="W48" s="139">
        <v>12</v>
      </c>
      <c r="X48" s="139" t="s">
        <v>35</v>
      </c>
      <c r="Y48" s="139" t="s">
        <v>43</v>
      </c>
      <c r="Z48" s="139" t="s">
        <v>55</v>
      </c>
      <c r="AA48" s="139" t="s">
        <v>82</v>
      </c>
      <c r="AB48" s="139" t="s">
        <v>178</v>
      </c>
    </row>
    <row r="49" spans="1:28" x14ac:dyDescent="0.15">
      <c r="A49" s="139" t="s">
        <v>40</v>
      </c>
      <c r="B49" s="139" t="s">
        <v>174</v>
      </c>
      <c r="C49" s="139">
        <v>2020</v>
      </c>
      <c r="D49" s="147" t="s">
        <v>417</v>
      </c>
      <c r="E49" s="139" t="s">
        <v>171</v>
      </c>
      <c r="F49" s="139" t="s">
        <v>287</v>
      </c>
      <c r="G49" s="139" t="s">
        <v>25</v>
      </c>
      <c r="H49" s="139" t="s">
        <v>113</v>
      </c>
      <c r="I49" s="139" t="s">
        <v>111</v>
      </c>
      <c r="J49" s="78" t="s">
        <v>27</v>
      </c>
      <c r="K49" s="78" t="s">
        <v>112</v>
      </c>
      <c r="L49" s="139">
        <v>3</v>
      </c>
      <c r="N49" s="139">
        <v>8</v>
      </c>
      <c r="O49" s="139">
        <v>0.85</v>
      </c>
      <c r="P49" s="139">
        <v>0.8</v>
      </c>
      <c r="Q49" s="148">
        <f t="shared" si="0"/>
        <v>0.82499999999999996</v>
      </c>
      <c r="R49" s="139">
        <v>15.1</v>
      </c>
      <c r="S49" s="139">
        <v>98</v>
      </c>
      <c r="T49" s="149">
        <f t="shared" si="1"/>
        <v>36</v>
      </c>
      <c r="U49" s="139">
        <v>498</v>
      </c>
      <c r="V49" s="150">
        <f t="shared" si="2"/>
        <v>2241</v>
      </c>
      <c r="W49" s="139">
        <v>12</v>
      </c>
      <c r="X49" s="139" t="s">
        <v>35</v>
      </c>
      <c r="Y49" s="139" t="s">
        <v>43</v>
      </c>
      <c r="Z49" s="139" t="s">
        <v>55</v>
      </c>
      <c r="AA49" s="139" t="s">
        <v>82</v>
      </c>
      <c r="AB49" s="139" t="s">
        <v>178</v>
      </c>
    </row>
    <row r="50" spans="1:28" x14ac:dyDescent="0.15">
      <c r="A50" s="139" t="s">
        <v>40</v>
      </c>
      <c r="B50" s="139" t="s">
        <v>174</v>
      </c>
      <c r="C50" s="139">
        <v>2020</v>
      </c>
      <c r="D50" s="147" t="s">
        <v>417</v>
      </c>
      <c r="E50" s="139" t="s">
        <v>171</v>
      </c>
      <c r="F50" s="139" t="s">
        <v>287</v>
      </c>
      <c r="G50" s="139" t="s">
        <v>25</v>
      </c>
      <c r="H50" s="139" t="s">
        <v>113</v>
      </c>
      <c r="I50" s="139" t="s">
        <v>166</v>
      </c>
      <c r="J50" s="78" t="s">
        <v>27</v>
      </c>
      <c r="K50" s="78" t="s">
        <v>112</v>
      </c>
      <c r="L50" s="139">
        <v>1</v>
      </c>
      <c r="N50" s="139">
        <v>2</v>
      </c>
      <c r="O50" s="139">
        <v>0.75</v>
      </c>
      <c r="P50" s="139">
        <v>1.05</v>
      </c>
      <c r="Q50" s="148">
        <f t="shared" si="0"/>
        <v>0.9</v>
      </c>
      <c r="R50" s="139">
        <v>18.899999999999999</v>
      </c>
      <c r="S50" s="139">
        <v>114</v>
      </c>
      <c r="T50" s="149">
        <f t="shared" si="1"/>
        <v>30</v>
      </c>
      <c r="U50" s="139">
        <v>298</v>
      </c>
      <c r="V50" s="150">
        <f t="shared" si="2"/>
        <v>4470</v>
      </c>
      <c r="W50" s="139">
        <v>12</v>
      </c>
      <c r="X50" s="139" t="s">
        <v>35</v>
      </c>
      <c r="Y50" s="139" t="s">
        <v>43</v>
      </c>
      <c r="Z50" s="139" t="s">
        <v>55</v>
      </c>
      <c r="AA50" s="139" t="s">
        <v>82</v>
      </c>
      <c r="AB50" s="139" t="s">
        <v>178</v>
      </c>
    </row>
    <row r="51" spans="1:28" x14ac:dyDescent="0.15">
      <c r="A51" s="139" t="s">
        <v>40</v>
      </c>
      <c r="B51" s="139" t="s">
        <v>174</v>
      </c>
      <c r="C51" s="139">
        <v>2020</v>
      </c>
      <c r="D51" s="147" t="s">
        <v>417</v>
      </c>
      <c r="E51" s="139" t="s">
        <v>171</v>
      </c>
      <c r="F51" s="139" t="s">
        <v>287</v>
      </c>
      <c r="G51" s="139" t="s">
        <v>25</v>
      </c>
      <c r="H51" s="139" t="s">
        <v>113</v>
      </c>
      <c r="I51" s="139" t="s">
        <v>166</v>
      </c>
      <c r="J51" s="78" t="s">
        <v>27</v>
      </c>
      <c r="K51" s="78" t="s">
        <v>112</v>
      </c>
      <c r="L51" s="139">
        <v>2</v>
      </c>
      <c r="N51" s="139">
        <v>2</v>
      </c>
      <c r="O51" s="139">
        <v>0.85</v>
      </c>
      <c r="P51" s="139">
        <v>0.75</v>
      </c>
      <c r="Q51" s="148">
        <f t="shared" si="0"/>
        <v>0.8</v>
      </c>
      <c r="R51" s="139">
        <v>17.7</v>
      </c>
      <c r="S51" s="139">
        <v>120</v>
      </c>
      <c r="T51" s="149">
        <f t="shared" si="1"/>
        <v>30</v>
      </c>
      <c r="U51" s="139">
        <v>298</v>
      </c>
      <c r="V51" s="150">
        <f t="shared" si="2"/>
        <v>4470</v>
      </c>
      <c r="W51" s="139">
        <v>12</v>
      </c>
      <c r="X51" s="139" t="s">
        <v>35</v>
      </c>
      <c r="Y51" s="139" t="s">
        <v>43</v>
      </c>
      <c r="Z51" s="139" t="s">
        <v>55</v>
      </c>
      <c r="AA51" s="139" t="s">
        <v>82</v>
      </c>
      <c r="AB51" s="139" t="s">
        <v>178</v>
      </c>
    </row>
    <row r="52" spans="1:28" x14ac:dyDescent="0.15">
      <c r="A52" s="139" t="s">
        <v>40</v>
      </c>
      <c r="B52" s="139" t="s">
        <v>174</v>
      </c>
      <c r="C52" s="139">
        <v>2020</v>
      </c>
      <c r="D52" s="147" t="s">
        <v>417</v>
      </c>
      <c r="E52" s="139" t="s">
        <v>171</v>
      </c>
      <c r="F52" s="139" t="s">
        <v>287</v>
      </c>
      <c r="G52" s="139" t="s">
        <v>25</v>
      </c>
      <c r="H52" s="139" t="s">
        <v>113</v>
      </c>
      <c r="I52" s="139" t="s">
        <v>166</v>
      </c>
      <c r="J52" s="78" t="s">
        <v>27</v>
      </c>
      <c r="K52" s="78" t="s">
        <v>112</v>
      </c>
      <c r="L52" s="139">
        <v>3</v>
      </c>
      <c r="N52" s="139">
        <v>2</v>
      </c>
      <c r="O52" s="139">
        <v>0.8</v>
      </c>
      <c r="P52" s="139">
        <v>0.8</v>
      </c>
      <c r="Q52" s="148">
        <f t="shared" si="0"/>
        <v>0.8</v>
      </c>
      <c r="R52" s="139">
        <v>17.5</v>
      </c>
      <c r="S52" s="139">
        <v>120</v>
      </c>
      <c r="T52" s="149">
        <f t="shared" si="1"/>
        <v>30</v>
      </c>
      <c r="U52" s="139">
        <v>298</v>
      </c>
      <c r="V52" s="150">
        <f t="shared" si="2"/>
        <v>4470</v>
      </c>
      <c r="W52" s="139">
        <v>12</v>
      </c>
      <c r="X52" s="139" t="s">
        <v>35</v>
      </c>
      <c r="Y52" s="139" t="s">
        <v>43</v>
      </c>
      <c r="Z52" s="139" t="s">
        <v>55</v>
      </c>
      <c r="AA52" s="139" t="s">
        <v>82</v>
      </c>
      <c r="AB52" s="139" t="s">
        <v>178</v>
      </c>
    </row>
    <row r="53" spans="1:28" x14ac:dyDescent="0.15">
      <c r="A53" s="139" t="s">
        <v>40</v>
      </c>
      <c r="B53" s="139" t="s">
        <v>174</v>
      </c>
      <c r="C53" s="139">
        <v>2020</v>
      </c>
      <c r="D53" s="147" t="s">
        <v>417</v>
      </c>
      <c r="E53" s="139" t="s">
        <v>171</v>
      </c>
      <c r="F53" s="139" t="s">
        <v>287</v>
      </c>
      <c r="G53" s="139" t="s">
        <v>25</v>
      </c>
      <c r="H53" s="139" t="s">
        <v>167</v>
      </c>
      <c r="I53" s="139" t="s">
        <v>111</v>
      </c>
      <c r="J53" s="78" t="s">
        <v>27</v>
      </c>
      <c r="K53" s="78" t="s">
        <v>112</v>
      </c>
      <c r="L53" s="139">
        <v>1</v>
      </c>
      <c r="N53" s="139">
        <v>1</v>
      </c>
      <c r="O53" s="139">
        <v>1.1000000000000001</v>
      </c>
      <c r="P53" s="139">
        <v>1</v>
      </c>
      <c r="Q53" s="148">
        <f t="shared" si="0"/>
        <v>1.05</v>
      </c>
      <c r="R53" s="139">
        <v>17.5</v>
      </c>
      <c r="S53" s="139">
        <v>122</v>
      </c>
      <c r="T53" s="149">
        <f t="shared" si="1"/>
        <v>27</v>
      </c>
      <c r="U53" s="139">
        <v>128</v>
      </c>
      <c r="V53" s="150">
        <f t="shared" si="2"/>
        <v>3456</v>
      </c>
      <c r="W53" s="139">
        <v>12</v>
      </c>
      <c r="X53" s="139" t="s">
        <v>35</v>
      </c>
      <c r="Y53" s="139" t="s">
        <v>43</v>
      </c>
      <c r="Z53" s="139" t="s">
        <v>55</v>
      </c>
      <c r="AA53" s="139" t="s">
        <v>82</v>
      </c>
      <c r="AB53" s="139" t="s">
        <v>178</v>
      </c>
    </row>
    <row r="54" spans="1:28" x14ac:dyDescent="0.15">
      <c r="A54" s="139" t="s">
        <v>40</v>
      </c>
      <c r="B54" s="139" t="s">
        <v>174</v>
      </c>
      <c r="C54" s="139">
        <v>2020</v>
      </c>
      <c r="D54" s="147" t="s">
        <v>417</v>
      </c>
      <c r="E54" s="139" t="s">
        <v>171</v>
      </c>
      <c r="F54" s="139" t="s">
        <v>287</v>
      </c>
      <c r="G54" s="139" t="s">
        <v>25</v>
      </c>
      <c r="H54" s="139" t="s">
        <v>167</v>
      </c>
      <c r="I54" s="139" t="s">
        <v>111</v>
      </c>
      <c r="J54" s="78" t="s">
        <v>27</v>
      </c>
      <c r="K54" s="78" t="s">
        <v>112</v>
      </c>
      <c r="L54" s="139">
        <v>2</v>
      </c>
      <c r="N54" s="139">
        <v>1</v>
      </c>
      <c r="O54" s="139">
        <v>1.05</v>
      </c>
      <c r="P54" s="139">
        <v>1.1000000000000001</v>
      </c>
      <c r="Q54" s="148">
        <f t="shared" si="0"/>
        <v>1.0750000000000002</v>
      </c>
      <c r="R54" s="139">
        <v>16.899999999999999</v>
      </c>
      <c r="S54" s="139">
        <v>122</v>
      </c>
      <c r="T54" s="149">
        <f t="shared" si="1"/>
        <v>27</v>
      </c>
      <c r="U54" s="139">
        <v>128</v>
      </c>
      <c r="V54" s="150">
        <f t="shared" si="2"/>
        <v>3456</v>
      </c>
      <c r="W54" s="139">
        <v>12</v>
      </c>
      <c r="X54" s="139" t="s">
        <v>35</v>
      </c>
      <c r="Y54" s="139" t="s">
        <v>43</v>
      </c>
      <c r="Z54" s="139" t="s">
        <v>55</v>
      </c>
      <c r="AA54" s="139" t="s">
        <v>82</v>
      </c>
      <c r="AB54" s="139" t="s">
        <v>178</v>
      </c>
    </row>
    <row r="55" spans="1:28" x14ac:dyDescent="0.15">
      <c r="A55" s="139" t="s">
        <v>40</v>
      </c>
      <c r="B55" s="139" t="s">
        <v>174</v>
      </c>
      <c r="C55" s="139">
        <v>2020</v>
      </c>
      <c r="D55" s="147" t="s">
        <v>417</v>
      </c>
      <c r="E55" s="139" t="s">
        <v>171</v>
      </c>
      <c r="F55" s="139" t="s">
        <v>287</v>
      </c>
      <c r="G55" s="139" t="s">
        <v>25</v>
      </c>
      <c r="H55" s="139" t="s">
        <v>167</v>
      </c>
      <c r="I55" s="139" t="s">
        <v>111</v>
      </c>
      <c r="J55" s="78" t="s">
        <v>27</v>
      </c>
      <c r="K55" s="78" t="s">
        <v>112</v>
      </c>
      <c r="L55" s="139">
        <v>3</v>
      </c>
      <c r="N55" s="139">
        <v>1</v>
      </c>
      <c r="O55" s="139">
        <v>0.95</v>
      </c>
      <c r="P55" s="139">
        <v>1</v>
      </c>
      <c r="Q55" s="148">
        <f t="shared" si="0"/>
        <v>0.97499999999999998</v>
      </c>
      <c r="R55" s="139">
        <v>17.8</v>
      </c>
      <c r="S55" s="139">
        <v>124</v>
      </c>
      <c r="T55" s="149">
        <f t="shared" si="1"/>
        <v>27</v>
      </c>
      <c r="U55" s="139">
        <v>128</v>
      </c>
      <c r="V55" s="150">
        <f t="shared" si="2"/>
        <v>3456</v>
      </c>
      <c r="W55" s="139">
        <v>12</v>
      </c>
      <c r="X55" s="139" t="s">
        <v>35</v>
      </c>
      <c r="Y55" s="139" t="s">
        <v>43</v>
      </c>
      <c r="Z55" s="139" t="s">
        <v>55</v>
      </c>
      <c r="AA55" s="139" t="s">
        <v>82</v>
      </c>
      <c r="AB55" s="139" t="s">
        <v>178</v>
      </c>
    </row>
    <row r="56" spans="1:28" x14ac:dyDescent="0.15">
      <c r="A56" s="139" t="s">
        <v>40</v>
      </c>
      <c r="B56" s="139" t="s">
        <v>174</v>
      </c>
      <c r="C56" s="139">
        <v>2020</v>
      </c>
      <c r="D56" s="147" t="s">
        <v>417</v>
      </c>
      <c r="E56" s="139" t="s">
        <v>171</v>
      </c>
      <c r="F56" s="139" t="s">
        <v>287</v>
      </c>
      <c r="G56" s="139" t="s">
        <v>25</v>
      </c>
      <c r="H56" s="139" t="s">
        <v>167</v>
      </c>
      <c r="I56" s="139" t="s">
        <v>111</v>
      </c>
      <c r="J56" s="78" t="s">
        <v>27</v>
      </c>
      <c r="K56" s="78" t="s">
        <v>112</v>
      </c>
      <c r="L56" s="139">
        <v>1</v>
      </c>
      <c r="N56" s="139">
        <v>5</v>
      </c>
      <c r="O56" s="139">
        <v>1.05</v>
      </c>
      <c r="P56" s="139">
        <v>1.1499999999999999</v>
      </c>
      <c r="Q56" s="148">
        <f t="shared" si="0"/>
        <v>1.1000000000000001</v>
      </c>
      <c r="R56" s="139">
        <v>14</v>
      </c>
      <c r="S56" s="139">
        <v>81</v>
      </c>
      <c r="T56" s="149">
        <f t="shared" si="1"/>
        <v>39</v>
      </c>
      <c r="U56" s="139">
        <v>498</v>
      </c>
      <c r="V56" s="150">
        <f t="shared" si="2"/>
        <v>3884.3999999999996</v>
      </c>
      <c r="W56" s="139">
        <v>12</v>
      </c>
      <c r="X56" s="139" t="s">
        <v>35</v>
      </c>
      <c r="Y56" s="139" t="s">
        <v>43</v>
      </c>
      <c r="Z56" s="139" t="s">
        <v>55</v>
      </c>
      <c r="AA56" s="139" t="s">
        <v>82</v>
      </c>
      <c r="AB56" s="139" t="s">
        <v>178</v>
      </c>
    </row>
    <row r="57" spans="1:28" x14ac:dyDescent="0.15">
      <c r="A57" s="139" t="s">
        <v>40</v>
      </c>
      <c r="B57" s="139" t="s">
        <v>174</v>
      </c>
      <c r="C57" s="139">
        <v>2020</v>
      </c>
      <c r="D57" s="147" t="s">
        <v>417</v>
      </c>
      <c r="E57" s="139" t="s">
        <v>171</v>
      </c>
      <c r="F57" s="139" t="s">
        <v>287</v>
      </c>
      <c r="G57" s="139" t="s">
        <v>25</v>
      </c>
      <c r="H57" s="139" t="s">
        <v>167</v>
      </c>
      <c r="I57" s="139" t="s">
        <v>111</v>
      </c>
      <c r="J57" s="78" t="s">
        <v>27</v>
      </c>
      <c r="K57" s="78" t="s">
        <v>112</v>
      </c>
      <c r="L57" s="139">
        <v>2</v>
      </c>
      <c r="N57" s="139">
        <v>5</v>
      </c>
      <c r="O57" s="139">
        <v>1.1000000000000001</v>
      </c>
      <c r="P57" s="139">
        <v>1</v>
      </c>
      <c r="Q57" s="148">
        <f t="shared" si="0"/>
        <v>1.05</v>
      </c>
      <c r="R57" s="139">
        <v>14.4</v>
      </c>
      <c r="S57" s="139">
        <v>82</v>
      </c>
      <c r="T57" s="149">
        <f t="shared" si="1"/>
        <v>39</v>
      </c>
      <c r="U57" s="139">
        <v>498</v>
      </c>
      <c r="V57" s="150">
        <f t="shared" si="2"/>
        <v>3884.3999999999996</v>
      </c>
      <c r="W57" s="139">
        <v>12</v>
      </c>
      <c r="X57" s="139" t="s">
        <v>35</v>
      </c>
      <c r="Y57" s="139" t="s">
        <v>43</v>
      </c>
      <c r="Z57" s="139" t="s">
        <v>55</v>
      </c>
      <c r="AA57" s="139" t="s">
        <v>82</v>
      </c>
      <c r="AB57" s="139" t="s">
        <v>178</v>
      </c>
    </row>
    <row r="58" spans="1:28" x14ac:dyDescent="0.15">
      <c r="A58" s="139" t="s">
        <v>40</v>
      </c>
      <c r="B58" s="139" t="s">
        <v>174</v>
      </c>
      <c r="C58" s="139">
        <v>2020</v>
      </c>
      <c r="D58" s="147" t="s">
        <v>417</v>
      </c>
      <c r="E58" s="139" t="s">
        <v>171</v>
      </c>
      <c r="F58" s="139" t="s">
        <v>287</v>
      </c>
      <c r="G58" s="139" t="s">
        <v>25</v>
      </c>
      <c r="H58" s="139" t="s">
        <v>167</v>
      </c>
      <c r="I58" s="139" t="s">
        <v>111</v>
      </c>
      <c r="J58" s="78" t="s">
        <v>27</v>
      </c>
      <c r="K58" s="78" t="s">
        <v>112</v>
      </c>
      <c r="L58" s="139">
        <v>3</v>
      </c>
      <c r="N58" s="139">
        <v>5</v>
      </c>
      <c r="O58" s="139">
        <v>0.95</v>
      </c>
      <c r="P58" s="139">
        <v>1.1499999999999999</v>
      </c>
      <c r="Q58" s="148">
        <f t="shared" si="0"/>
        <v>1.0499999999999998</v>
      </c>
      <c r="R58" s="139">
        <v>15.1</v>
      </c>
      <c r="S58" s="139">
        <v>91</v>
      </c>
      <c r="T58" s="149">
        <f t="shared" si="1"/>
        <v>36</v>
      </c>
      <c r="U58" s="139">
        <v>498</v>
      </c>
      <c r="V58" s="150">
        <f t="shared" si="2"/>
        <v>3585.6</v>
      </c>
      <c r="W58" s="139">
        <v>12</v>
      </c>
      <c r="X58" s="139" t="s">
        <v>35</v>
      </c>
      <c r="Y58" s="139" t="s">
        <v>43</v>
      </c>
      <c r="Z58" s="139" t="s">
        <v>55</v>
      </c>
      <c r="AA58" s="139" t="s">
        <v>82</v>
      </c>
      <c r="AB58" s="139" t="s">
        <v>178</v>
      </c>
    </row>
    <row r="59" spans="1:28" x14ac:dyDescent="0.15">
      <c r="A59" s="139" t="s">
        <v>40</v>
      </c>
      <c r="B59" s="139" t="s">
        <v>174</v>
      </c>
      <c r="C59" s="139">
        <v>2020</v>
      </c>
      <c r="D59" s="147" t="s">
        <v>417</v>
      </c>
      <c r="E59" s="139" t="s">
        <v>171</v>
      </c>
      <c r="F59" s="139" t="s">
        <v>287</v>
      </c>
      <c r="G59" s="139" t="s">
        <v>25</v>
      </c>
      <c r="H59" s="139" t="s">
        <v>167</v>
      </c>
      <c r="I59" s="139" t="s">
        <v>166</v>
      </c>
      <c r="J59" s="78" t="s">
        <v>27</v>
      </c>
      <c r="K59" s="78" t="s">
        <v>112</v>
      </c>
      <c r="L59" s="139">
        <v>1</v>
      </c>
      <c r="N59" s="139">
        <v>2</v>
      </c>
      <c r="O59" s="139">
        <v>0.5</v>
      </c>
      <c r="P59" s="139">
        <v>0.55000000000000004</v>
      </c>
      <c r="Q59" s="148">
        <f t="shared" si="0"/>
        <v>0.52500000000000002</v>
      </c>
      <c r="R59" s="139">
        <v>17.899999999999999</v>
      </c>
      <c r="S59" s="139">
        <v>140</v>
      </c>
      <c r="T59" s="149">
        <f t="shared" si="1"/>
        <v>22</v>
      </c>
      <c r="U59" s="139">
        <v>398</v>
      </c>
      <c r="V59" s="150">
        <f t="shared" si="2"/>
        <v>4378</v>
      </c>
      <c r="W59" s="139">
        <v>12</v>
      </c>
      <c r="X59" s="139" t="s">
        <v>35</v>
      </c>
      <c r="Y59" s="139" t="s">
        <v>43</v>
      </c>
      <c r="Z59" s="139" t="s">
        <v>55</v>
      </c>
      <c r="AA59" s="139" t="s">
        <v>82</v>
      </c>
      <c r="AB59" s="139" t="s">
        <v>178</v>
      </c>
    </row>
    <row r="60" spans="1:28" x14ac:dyDescent="0.15">
      <c r="A60" s="139" t="s">
        <v>40</v>
      </c>
      <c r="B60" s="139" t="s">
        <v>174</v>
      </c>
      <c r="C60" s="139">
        <v>2020</v>
      </c>
      <c r="D60" s="147" t="s">
        <v>417</v>
      </c>
      <c r="E60" s="139" t="s">
        <v>171</v>
      </c>
      <c r="F60" s="139" t="s">
        <v>287</v>
      </c>
      <c r="G60" s="139" t="s">
        <v>25</v>
      </c>
      <c r="H60" s="139" t="s">
        <v>167</v>
      </c>
      <c r="I60" s="139" t="s">
        <v>166</v>
      </c>
      <c r="J60" s="78" t="s">
        <v>27</v>
      </c>
      <c r="K60" s="78" t="s">
        <v>112</v>
      </c>
      <c r="L60" s="139">
        <v>2</v>
      </c>
      <c r="N60" s="139">
        <v>2</v>
      </c>
      <c r="O60" s="139">
        <v>0.5</v>
      </c>
      <c r="P60" s="139">
        <v>0.25</v>
      </c>
      <c r="Q60" s="148">
        <f t="shared" si="0"/>
        <v>0.375</v>
      </c>
      <c r="R60" s="139">
        <v>18</v>
      </c>
      <c r="S60" s="139">
        <v>138</v>
      </c>
      <c r="T60" s="149">
        <f t="shared" si="1"/>
        <v>22</v>
      </c>
      <c r="U60" s="139">
        <v>398</v>
      </c>
      <c r="V60" s="150">
        <f t="shared" si="2"/>
        <v>4378</v>
      </c>
      <c r="W60" s="139">
        <v>12</v>
      </c>
      <c r="X60" s="139" t="s">
        <v>35</v>
      </c>
      <c r="Y60" s="139" t="s">
        <v>43</v>
      </c>
      <c r="Z60" s="139" t="s">
        <v>55</v>
      </c>
      <c r="AA60" s="139" t="s">
        <v>82</v>
      </c>
      <c r="AB60" s="139" t="s">
        <v>178</v>
      </c>
    </row>
    <row r="61" spans="1:28" x14ac:dyDescent="0.15">
      <c r="A61" s="139" t="s">
        <v>40</v>
      </c>
      <c r="B61" s="139" t="s">
        <v>174</v>
      </c>
      <c r="C61" s="139">
        <v>2020</v>
      </c>
      <c r="D61" s="147" t="s">
        <v>417</v>
      </c>
      <c r="E61" s="139" t="s">
        <v>171</v>
      </c>
      <c r="F61" s="139" t="s">
        <v>287</v>
      </c>
      <c r="G61" s="139" t="s">
        <v>25</v>
      </c>
      <c r="H61" s="139" t="s">
        <v>167</v>
      </c>
      <c r="I61" s="139" t="s">
        <v>166</v>
      </c>
      <c r="J61" s="78" t="s">
        <v>27</v>
      </c>
      <c r="K61" s="78" t="s">
        <v>112</v>
      </c>
      <c r="L61" s="139">
        <v>3</v>
      </c>
      <c r="N61" s="139">
        <v>2</v>
      </c>
      <c r="O61" s="139">
        <v>0.6</v>
      </c>
      <c r="P61" s="139">
        <v>0.55000000000000004</v>
      </c>
      <c r="Q61" s="148">
        <f t="shared" si="0"/>
        <v>0.57499999999999996</v>
      </c>
      <c r="R61" s="139">
        <v>18.3</v>
      </c>
      <c r="S61" s="139">
        <v>146</v>
      </c>
      <c r="T61" s="149">
        <f t="shared" si="1"/>
        <v>22</v>
      </c>
      <c r="U61" s="139">
        <v>398</v>
      </c>
      <c r="V61" s="150">
        <f t="shared" si="2"/>
        <v>4378</v>
      </c>
      <c r="W61" s="139">
        <v>12</v>
      </c>
      <c r="X61" s="139" t="s">
        <v>35</v>
      </c>
      <c r="Y61" s="139" t="s">
        <v>43</v>
      </c>
      <c r="Z61" s="139" t="s">
        <v>55</v>
      </c>
      <c r="AA61" s="139" t="s">
        <v>82</v>
      </c>
      <c r="AB61" s="139" t="s">
        <v>178</v>
      </c>
    </row>
    <row r="62" spans="1:28" x14ac:dyDescent="0.15">
      <c r="A62" s="139" t="s">
        <v>40</v>
      </c>
      <c r="B62" s="139" t="s">
        <v>174</v>
      </c>
      <c r="C62" s="139">
        <v>2020</v>
      </c>
      <c r="D62" s="147" t="s">
        <v>417</v>
      </c>
      <c r="E62" s="139" t="s">
        <v>288</v>
      </c>
      <c r="F62" s="139" t="s">
        <v>289</v>
      </c>
      <c r="G62" s="139" t="s">
        <v>25</v>
      </c>
      <c r="H62" s="139" t="s">
        <v>113</v>
      </c>
      <c r="I62" s="139" t="s">
        <v>111</v>
      </c>
      <c r="J62" s="78" t="s">
        <v>27</v>
      </c>
      <c r="K62" s="78" t="s">
        <v>112</v>
      </c>
      <c r="L62" s="139">
        <v>1</v>
      </c>
      <c r="N62" s="139">
        <v>1</v>
      </c>
      <c r="O62" s="139">
        <v>0.9</v>
      </c>
      <c r="P62" s="139">
        <v>0.9</v>
      </c>
      <c r="Q62" s="148">
        <f t="shared" si="0"/>
        <v>0.9</v>
      </c>
      <c r="R62" s="139">
        <v>16.100000000000001</v>
      </c>
      <c r="S62" s="139">
        <v>134</v>
      </c>
      <c r="T62" s="149">
        <f t="shared" si="1"/>
        <v>25</v>
      </c>
      <c r="U62" s="139">
        <v>98</v>
      </c>
      <c r="V62" s="150">
        <f t="shared" si="2"/>
        <v>2450</v>
      </c>
      <c r="W62" s="139">
        <v>17</v>
      </c>
      <c r="X62" s="139" t="s">
        <v>35</v>
      </c>
      <c r="Y62" s="139" t="s">
        <v>55</v>
      </c>
      <c r="Z62" s="139" t="s">
        <v>43</v>
      </c>
      <c r="AA62" s="139" t="s">
        <v>64</v>
      </c>
      <c r="AB62" s="139" t="s">
        <v>178</v>
      </c>
    </row>
    <row r="63" spans="1:28" x14ac:dyDescent="0.15">
      <c r="A63" s="139" t="s">
        <v>40</v>
      </c>
      <c r="B63" s="139" t="s">
        <v>174</v>
      </c>
      <c r="C63" s="139">
        <v>2020</v>
      </c>
      <c r="D63" s="147" t="s">
        <v>417</v>
      </c>
      <c r="E63" s="139" t="s">
        <v>288</v>
      </c>
      <c r="F63" s="139" t="s">
        <v>289</v>
      </c>
      <c r="G63" s="139" t="s">
        <v>25</v>
      </c>
      <c r="H63" s="139" t="s">
        <v>113</v>
      </c>
      <c r="I63" s="139" t="s">
        <v>111</v>
      </c>
      <c r="J63" s="78" t="s">
        <v>27</v>
      </c>
      <c r="K63" s="78" t="s">
        <v>112</v>
      </c>
      <c r="L63" s="139">
        <v>2</v>
      </c>
      <c r="N63" s="139">
        <v>1</v>
      </c>
      <c r="O63" s="139">
        <v>0.95</v>
      </c>
      <c r="P63" s="139">
        <v>1</v>
      </c>
      <c r="Q63" s="148">
        <f t="shared" si="0"/>
        <v>0.97499999999999998</v>
      </c>
      <c r="R63" s="139">
        <v>15.8</v>
      </c>
      <c r="S63" s="139">
        <v>132</v>
      </c>
      <c r="T63" s="149">
        <f t="shared" si="1"/>
        <v>25</v>
      </c>
      <c r="U63" s="139">
        <v>98</v>
      </c>
      <c r="V63" s="150">
        <f t="shared" si="2"/>
        <v>2450</v>
      </c>
      <c r="W63" s="139">
        <v>17</v>
      </c>
      <c r="X63" s="139" t="s">
        <v>35</v>
      </c>
      <c r="Y63" s="139" t="s">
        <v>55</v>
      </c>
      <c r="Z63" s="139" t="s">
        <v>43</v>
      </c>
      <c r="AA63" s="139" t="s">
        <v>64</v>
      </c>
      <c r="AB63" s="139" t="s">
        <v>178</v>
      </c>
    </row>
    <row r="64" spans="1:28" x14ac:dyDescent="0.15">
      <c r="A64" s="139" t="s">
        <v>40</v>
      </c>
      <c r="B64" s="139" t="s">
        <v>174</v>
      </c>
      <c r="C64" s="139">
        <v>2020</v>
      </c>
      <c r="D64" s="147" t="s">
        <v>417</v>
      </c>
      <c r="E64" s="139" t="s">
        <v>288</v>
      </c>
      <c r="F64" s="139" t="s">
        <v>289</v>
      </c>
      <c r="G64" s="139" t="s">
        <v>25</v>
      </c>
      <c r="H64" s="139" t="s">
        <v>113</v>
      </c>
      <c r="I64" s="139" t="s">
        <v>111</v>
      </c>
      <c r="J64" s="78" t="s">
        <v>27</v>
      </c>
      <c r="K64" s="78" t="s">
        <v>112</v>
      </c>
      <c r="L64" s="139">
        <v>3</v>
      </c>
      <c r="N64" s="139">
        <v>1</v>
      </c>
      <c r="O64" s="139">
        <v>1.05</v>
      </c>
      <c r="P64" s="139">
        <v>1.05</v>
      </c>
      <c r="Q64" s="148">
        <f t="shared" si="0"/>
        <v>1.05</v>
      </c>
      <c r="R64" s="139">
        <v>15.3</v>
      </c>
      <c r="S64" s="139">
        <v>126</v>
      </c>
      <c r="T64" s="149">
        <f t="shared" si="1"/>
        <v>27</v>
      </c>
      <c r="U64" s="139">
        <v>98</v>
      </c>
      <c r="V64" s="150">
        <f t="shared" si="2"/>
        <v>2646</v>
      </c>
      <c r="W64" s="139">
        <v>17</v>
      </c>
      <c r="X64" s="139" t="s">
        <v>35</v>
      </c>
      <c r="Y64" s="139" t="s">
        <v>55</v>
      </c>
      <c r="Z64" s="139" t="s">
        <v>43</v>
      </c>
      <c r="AA64" s="139" t="s">
        <v>64</v>
      </c>
      <c r="AB64" s="139" t="s">
        <v>178</v>
      </c>
    </row>
    <row r="65" spans="1:28" x14ac:dyDescent="0.15">
      <c r="A65" s="139" t="s">
        <v>40</v>
      </c>
      <c r="B65" s="139" t="s">
        <v>174</v>
      </c>
      <c r="C65" s="139">
        <v>2020</v>
      </c>
      <c r="D65" s="147" t="s">
        <v>417</v>
      </c>
      <c r="E65" s="139" t="s">
        <v>288</v>
      </c>
      <c r="F65" s="139" t="s">
        <v>289</v>
      </c>
      <c r="G65" s="139" t="s">
        <v>25</v>
      </c>
      <c r="H65" s="139" t="s">
        <v>113</v>
      </c>
      <c r="I65" s="139" t="s">
        <v>111</v>
      </c>
      <c r="J65" s="78" t="s">
        <v>27</v>
      </c>
      <c r="K65" s="78" t="s">
        <v>112</v>
      </c>
      <c r="L65" s="139">
        <v>1</v>
      </c>
      <c r="N65" s="139">
        <v>4</v>
      </c>
      <c r="O65" s="139">
        <v>0.65</v>
      </c>
      <c r="P65" s="139">
        <v>0.75</v>
      </c>
      <c r="Q65" s="148">
        <f t="shared" si="0"/>
        <v>0.7</v>
      </c>
      <c r="R65" s="139">
        <v>14.4</v>
      </c>
      <c r="S65" s="139">
        <v>86</v>
      </c>
      <c r="T65" s="149">
        <f t="shared" si="1"/>
        <v>36</v>
      </c>
      <c r="U65" s="139">
        <v>398</v>
      </c>
      <c r="V65" s="150">
        <f t="shared" si="2"/>
        <v>3582</v>
      </c>
      <c r="W65" s="139">
        <v>17</v>
      </c>
      <c r="X65" s="139" t="s">
        <v>35</v>
      </c>
      <c r="Y65" s="139" t="s">
        <v>55</v>
      </c>
      <c r="Z65" s="139" t="s">
        <v>43</v>
      </c>
      <c r="AA65" s="139" t="s">
        <v>64</v>
      </c>
      <c r="AB65" s="139" t="s">
        <v>178</v>
      </c>
    </row>
    <row r="66" spans="1:28" x14ac:dyDescent="0.15">
      <c r="A66" s="139" t="s">
        <v>40</v>
      </c>
      <c r="B66" s="139" t="s">
        <v>174</v>
      </c>
      <c r="C66" s="139">
        <v>2020</v>
      </c>
      <c r="D66" s="147" t="s">
        <v>417</v>
      </c>
      <c r="E66" s="139" t="s">
        <v>288</v>
      </c>
      <c r="F66" s="139" t="s">
        <v>289</v>
      </c>
      <c r="G66" s="139" t="s">
        <v>25</v>
      </c>
      <c r="H66" s="139" t="s">
        <v>113</v>
      </c>
      <c r="I66" s="139" t="s">
        <v>111</v>
      </c>
      <c r="J66" s="78" t="s">
        <v>27</v>
      </c>
      <c r="K66" s="78" t="s">
        <v>112</v>
      </c>
      <c r="L66" s="139">
        <v>2</v>
      </c>
      <c r="N66" s="139">
        <v>4</v>
      </c>
      <c r="O66" s="139">
        <v>0.7</v>
      </c>
      <c r="P66" s="139">
        <v>0.7</v>
      </c>
      <c r="Q66" s="148">
        <f t="shared" ref="Q66:Q129" si="3">IF(OR(O66="",P66=""),"",AVERAGE(O66,P66))</f>
        <v>0.7</v>
      </c>
      <c r="R66" s="139">
        <v>15</v>
      </c>
      <c r="S66" s="139">
        <v>90</v>
      </c>
      <c r="T66" s="149">
        <f t="shared" ref="T66:T129" si="4">IF(H66="","",IF(OR(H66="GREEN",H66="GK"),IF(S66&gt;=$AX$2,VLOOKUP(S66,$AX$2:$AY$12,2,1),""),IF(S66&gt;=$AZ$2,VLOOKUP(S66,$AZ$2:$BA$12,2,1),"")))</f>
        <v>36</v>
      </c>
      <c r="U66" s="139">
        <v>398</v>
      </c>
      <c r="V66" s="150">
        <f t="shared" ref="V66:V129" si="5">IF(OR(N66="",U66="",T66=""),"",U66/N66*T66)</f>
        <v>3582</v>
      </c>
      <c r="W66" s="139">
        <v>17</v>
      </c>
      <c r="X66" s="139" t="s">
        <v>35</v>
      </c>
      <c r="Y66" s="139" t="s">
        <v>55</v>
      </c>
      <c r="Z66" s="139" t="s">
        <v>43</v>
      </c>
      <c r="AA66" s="139" t="s">
        <v>64</v>
      </c>
      <c r="AB66" s="139" t="s">
        <v>178</v>
      </c>
    </row>
    <row r="67" spans="1:28" x14ac:dyDescent="0.15">
      <c r="A67" s="139" t="s">
        <v>40</v>
      </c>
      <c r="B67" s="139" t="s">
        <v>174</v>
      </c>
      <c r="C67" s="139">
        <v>2020</v>
      </c>
      <c r="D67" s="147" t="s">
        <v>417</v>
      </c>
      <c r="E67" s="139" t="s">
        <v>288</v>
      </c>
      <c r="F67" s="139" t="s">
        <v>289</v>
      </c>
      <c r="G67" s="139" t="s">
        <v>25</v>
      </c>
      <c r="H67" s="139" t="s">
        <v>113</v>
      </c>
      <c r="I67" s="139" t="s">
        <v>111</v>
      </c>
      <c r="J67" s="78" t="s">
        <v>27</v>
      </c>
      <c r="K67" s="78" t="s">
        <v>112</v>
      </c>
      <c r="L67" s="139">
        <v>3</v>
      </c>
      <c r="N67" s="139">
        <v>4</v>
      </c>
      <c r="O67" s="139">
        <v>0.75</v>
      </c>
      <c r="P67" s="139">
        <v>0.7</v>
      </c>
      <c r="Q67" s="148">
        <f t="shared" si="3"/>
        <v>0.72499999999999998</v>
      </c>
      <c r="R67" s="139">
        <v>15.6</v>
      </c>
      <c r="S67" s="139">
        <v>104</v>
      </c>
      <c r="T67" s="149">
        <f t="shared" si="4"/>
        <v>33</v>
      </c>
      <c r="U67" s="139">
        <v>398</v>
      </c>
      <c r="V67" s="150">
        <f t="shared" si="5"/>
        <v>3283.5</v>
      </c>
      <c r="W67" s="139">
        <v>17</v>
      </c>
      <c r="X67" s="139" t="s">
        <v>35</v>
      </c>
      <c r="Y67" s="139" t="s">
        <v>55</v>
      </c>
      <c r="Z67" s="139" t="s">
        <v>43</v>
      </c>
      <c r="AA67" s="139" t="s">
        <v>64</v>
      </c>
      <c r="AB67" s="139" t="s">
        <v>178</v>
      </c>
    </row>
    <row r="68" spans="1:28" x14ac:dyDescent="0.15">
      <c r="A68" s="139" t="s">
        <v>40</v>
      </c>
      <c r="B68" s="139" t="s">
        <v>174</v>
      </c>
      <c r="C68" s="139">
        <v>2020</v>
      </c>
      <c r="D68" s="147" t="s">
        <v>417</v>
      </c>
      <c r="E68" s="139" t="s">
        <v>288</v>
      </c>
      <c r="F68" s="139" t="s">
        <v>289</v>
      </c>
      <c r="G68" s="139" t="s">
        <v>25</v>
      </c>
      <c r="H68" s="139" t="s">
        <v>165</v>
      </c>
      <c r="I68" s="139" t="s">
        <v>111</v>
      </c>
      <c r="J68" s="78" t="s">
        <v>27</v>
      </c>
      <c r="K68" s="78" t="s">
        <v>112</v>
      </c>
      <c r="L68" s="139">
        <v>1</v>
      </c>
      <c r="N68" s="139">
        <v>5</v>
      </c>
      <c r="O68" s="139">
        <v>0.7</v>
      </c>
      <c r="P68" s="139">
        <v>0.7</v>
      </c>
      <c r="Q68" s="148">
        <f t="shared" si="3"/>
        <v>0.7</v>
      </c>
      <c r="R68" s="139">
        <v>17.8</v>
      </c>
      <c r="S68" s="139">
        <v>75</v>
      </c>
      <c r="T68" s="149">
        <f t="shared" si="4"/>
        <v>42</v>
      </c>
      <c r="U68" s="139">
        <v>498</v>
      </c>
      <c r="V68" s="150">
        <f t="shared" si="5"/>
        <v>4183.2</v>
      </c>
      <c r="W68" s="139">
        <v>17</v>
      </c>
      <c r="X68" s="139" t="s">
        <v>35</v>
      </c>
      <c r="Y68" s="139" t="s">
        <v>55</v>
      </c>
      <c r="Z68" s="139" t="s">
        <v>43</v>
      </c>
      <c r="AA68" s="139" t="s">
        <v>64</v>
      </c>
      <c r="AB68" s="139" t="s">
        <v>178</v>
      </c>
    </row>
    <row r="69" spans="1:28" x14ac:dyDescent="0.15">
      <c r="A69" s="139" t="s">
        <v>40</v>
      </c>
      <c r="B69" s="139" t="s">
        <v>174</v>
      </c>
      <c r="C69" s="139">
        <v>2020</v>
      </c>
      <c r="D69" s="147" t="s">
        <v>417</v>
      </c>
      <c r="E69" s="139" t="s">
        <v>288</v>
      </c>
      <c r="F69" s="139" t="s">
        <v>289</v>
      </c>
      <c r="G69" s="139" t="s">
        <v>25</v>
      </c>
      <c r="H69" s="139" t="s">
        <v>165</v>
      </c>
      <c r="I69" s="139" t="s">
        <v>111</v>
      </c>
      <c r="J69" s="78" t="s">
        <v>27</v>
      </c>
      <c r="K69" s="78" t="s">
        <v>112</v>
      </c>
      <c r="L69" s="139">
        <v>2</v>
      </c>
      <c r="N69" s="139">
        <v>5</v>
      </c>
      <c r="O69" s="139">
        <v>0.65</v>
      </c>
      <c r="P69" s="139">
        <v>0.7</v>
      </c>
      <c r="Q69" s="148">
        <f t="shared" si="3"/>
        <v>0.67500000000000004</v>
      </c>
      <c r="R69" s="139">
        <v>18.2</v>
      </c>
      <c r="S69" s="139">
        <v>80</v>
      </c>
      <c r="T69" s="149">
        <f t="shared" si="4"/>
        <v>39</v>
      </c>
      <c r="U69" s="139">
        <v>498</v>
      </c>
      <c r="V69" s="150">
        <f t="shared" si="5"/>
        <v>3884.3999999999996</v>
      </c>
      <c r="W69" s="139">
        <v>17</v>
      </c>
      <c r="X69" s="139" t="s">
        <v>35</v>
      </c>
      <c r="Y69" s="139" t="s">
        <v>55</v>
      </c>
      <c r="Z69" s="139" t="s">
        <v>43</v>
      </c>
      <c r="AA69" s="139" t="s">
        <v>64</v>
      </c>
      <c r="AB69" s="139" t="s">
        <v>178</v>
      </c>
    </row>
    <row r="70" spans="1:28" ht="14.1" customHeight="1" x14ac:dyDescent="0.15">
      <c r="A70" s="139" t="s">
        <v>40</v>
      </c>
      <c r="B70" s="139" t="s">
        <v>174</v>
      </c>
      <c r="C70" s="139">
        <v>2020</v>
      </c>
      <c r="D70" s="147" t="s">
        <v>417</v>
      </c>
      <c r="E70" s="139" t="s">
        <v>288</v>
      </c>
      <c r="F70" s="139" t="s">
        <v>289</v>
      </c>
      <c r="G70" s="139" t="s">
        <v>25</v>
      </c>
      <c r="H70" s="139" t="s">
        <v>165</v>
      </c>
      <c r="I70" s="139" t="s">
        <v>111</v>
      </c>
      <c r="J70" s="78" t="s">
        <v>27</v>
      </c>
      <c r="K70" s="78" t="s">
        <v>112</v>
      </c>
      <c r="L70" s="139">
        <v>3</v>
      </c>
      <c r="N70" s="139">
        <v>5</v>
      </c>
      <c r="O70" s="139">
        <v>0.7</v>
      </c>
      <c r="P70" s="139">
        <v>0.65</v>
      </c>
      <c r="Q70" s="148">
        <f t="shared" si="3"/>
        <v>0.67500000000000004</v>
      </c>
      <c r="R70" s="139">
        <v>17.399999999999999</v>
      </c>
      <c r="S70" s="139">
        <v>73</v>
      </c>
      <c r="T70" s="149">
        <f t="shared" si="4"/>
        <v>42</v>
      </c>
      <c r="U70" s="139">
        <v>498</v>
      </c>
      <c r="V70" s="150">
        <f t="shared" si="5"/>
        <v>4183.2</v>
      </c>
      <c r="W70" s="139">
        <v>17</v>
      </c>
      <c r="X70" s="139" t="s">
        <v>35</v>
      </c>
      <c r="Y70" s="139" t="s">
        <v>55</v>
      </c>
      <c r="Z70" s="139" t="s">
        <v>43</v>
      </c>
      <c r="AA70" s="139" t="s">
        <v>64</v>
      </c>
      <c r="AB70" s="139" t="s">
        <v>178</v>
      </c>
    </row>
    <row r="71" spans="1:28" x14ac:dyDescent="0.15">
      <c r="A71" s="139" t="s">
        <v>40</v>
      </c>
      <c r="B71" s="139" t="s">
        <v>174</v>
      </c>
      <c r="C71" s="139">
        <v>2020</v>
      </c>
      <c r="D71" s="147" t="s">
        <v>417</v>
      </c>
      <c r="E71" s="139" t="s">
        <v>288</v>
      </c>
      <c r="F71" s="139" t="s">
        <v>289</v>
      </c>
      <c r="G71" s="139" t="s">
        <v>25</v>
      </c>
      <c r="H71" s="139" t="s">
        <v>167</v>
      </c>
      <c r="I71" s="139" t="s">
        <v>111</v>
      </c>
      <c r="J71" s="78" t="s">
        <v>27</v>
      </c>
      <c r="K71" s="78" t="s">
        <v>112</v>
      </c>
      <c r="L71" s="139">
        <v>1</v>
      </c>
      <c r="N71" s="139">
        <v>1</v>
      </c>
      <c r="O71" s="139">
        <v>0.7</v>
      </c>
      <c r="P71" s="139">
        <v>0.8</v>
      </c>
      <c r="Q71" s="148">
        <f t="shared" si="3"/>
        <v>0.75</v>
      </c>
      <c r="R71" s="139">
        <v>17.100000000000001</v>
      </c>
      <c r="S71" s="139">
        <v>136</v>
      </c>
      <c r="T71" s="149">
        <f t="shared" si="4"/>
        <v>25</v>
      </c>
      <c r="U71" s="139">
        <v>98</v>
      </c>
      <c r="V71" s="150">
        <f t="shared" si="5"/>
        <v>2450</v>
      </c>
      <c r="W71" s="139">
        <v>17</v>
      </c>
      <c r="X71" s="139" t="s">
        <v>35</v>
      </c>
      <c r="Y71" s="139" t="s">
        <v>55</v>
      </c>
      <c r="Z71" s="139" t="s">
        <v>43</v>
      </c>
      <c r="AA71" s="139" t="s">
        <v>64</v>
      </c>
      <c r="AB71" s="139" t="s">
        <v>178</v>
      </c>
    </row>
    <row r="72" spans="1:28" x14ac:dyDescent="0.15">
      <c r="A72" s="139" t="s">
        <v>40</v>
      </c>
      <c r="B72" s="139" t="s">
        <v>174</v>
      </c>
      <c r="C72" s="139">
        <v>2020</v>
      </c>
      <c r="D72" s="147" t="s">
        <v>417</v>
      </c>
      <c r="E72" s="139" t="s">
        <v>288</v>
      </c>
      <c r="F72" s="139" t="s">
        <v>289</v>
      </c>
      <c r="G72" s="139" t="s">
        <v>25</v>
      </c>
      <c r="H72" s="139" t="s">
        <v>167</v>
      </c>
      <c r="I72" s="139" t="s">
        <v>111</v>
      </c>
      <c r="J72" s="78" t="s">
        <v>27</v>
      </c>
      <c r="K72" s="78" t="s">
        <v>112</v>
      </c>
      <c r="L72" s="139">
        <v>2</v>
      </c>
      <c r="N72" s="139">
        <v>1</v>
      </c>
      <c r="O72" s="139">
        <v>0.8</v>
      </c>
      <c r="P72" s="139">
        <v>0.8</v>
      </c>
      <c r="Q72" s="148">
        <f t="shared" si="3"/>
        <v>0.8</v>
      </c>
      <c r="R72" s="139">
        <v>16.5</v>
      </c>
      <c r="S72" s="139">
        <v>136</v>
      </c>
      <c r="T72" s="149">
        <f t="shared" si="4"/>
        <v>25</v>
      </c>
      <c r="U72" s="139">
        <v>98</v>
      </c>
      <c r="V72" s="150">
        <f t="shared" si="5"/>
        <v>2450</v>
      </c>
      <c r="W72" s="139">
        <v>17</v>
      </c>
      <c r="X72" s="139" t="s">
        <v>35</v>
      </c>
      <c r="Y72" s="139" t="s">
        <v>55</v>
      </c>
      <c r="Z72" s="139" t="s">
        <v>43</v>
      </c>
      <c r="AA72" s="139" t="s">
        <v>64</v>
      </c>
      <c r="AB72" s="139" t="s">
        <v>178</v>
      </c>
    </row>
    <row r="73" spans="1:28" x14ac:dyDescent="0.15">
      <c r="A73" s="139" t="s">
        <v>40</v>
      </c>
      <c r="B73" s="139" t="s">
        <v>174</v>
      </c>
      <c r="C73" s="139">
        <v>2020</v>
      </c>
      <c r="D73" s="147" t="s">
        <v>417</v>
      </c>
      <c r="E73" s="139" t="s">
        <v>288</v>
      </c>
      <c r="F73" s="139" t="s">
        <v>289</v>
      </c>
      <c r="G73" s="139" t="s">
        <v>25</v>
      </c>
      <c r="H73" s="139" t="s">
        <v>167</v>
      </c>
      <c r="I73" s="139" t="s">
        <v>111</v>
      </c>
      <c r="J73" s="78" t="s">
        <v>27</v>
      </c>
      <c r="K73" s="78" t="s">
        <v>112</v>
      </c>
      <c r="L73" s="139">
        <v>3</v>
      </c>
      <c r="N73" s="139">
        <v>1</v>
      </c>
      <c r="O73" s="139">
        <v>0.75</v>
      </c>
      <c r="P73" s="139">
        <v>0.75</v>
      </c>
      <c r="Q73" s="148">
        <f t="shared" si="3"/>
        <v>0.75</v>
      </c>
      <c r="R73" s="139">
        <v>16.899999999999999</v>
      </c>
      <c r="S73" s="139">
        <v>136</v>
      </c>
      <c r="T73" s="149">
        <f t="shared" si="4"/>
        <v>25</v>
      </c>
      <c r="U73" s="139">
        <v>98</v>
      </c>
      <c r="V73" s="150">
        <f t="shared" si="5"/>
        <v>2450</v>
      </c>
      <c r="W73" s="139">
        <v>17</v>
      </c>
      <c r="X73" s="139" t="s">
        <v>35</v>
      </c>
      <c r="Y73" s="139" t="s">
        <v>55</v>
      </c>
      <c r="Z73" s="139" t="s">
        <v>43</v>
      </c>
      <c r="AA73" s="139" t="s">
        <v>64</v>
      </c>
      <c r="AB73" s="139" t="s">
        <v>178</v>
      </c>
    </row>
    <row r="74" spans="1:28" x14ac:dyDescent="0.15">
      <c r="A74" s="139" t="s">
        <v>40</v>
      </c>
      <c r="B74" s="139" t="s">
        <v>174</v>
      </c>
      <c r="C74" s="139">
        <v>2020</v>
      </c>
      <c r="D74" s="147" t="s">
        <v>417</v>
      </c>
      <c r="E74" s="139" t="s">
        <v>288</v>
      </c>
      <c r="F74" s="139" t="s">
        <v>289</v>
      </c>
      <c r="G74" s="139" t="s">
        <v>25</v>
      </c>
      <c r="H74" s="139" t="s">
        <v>167</v>
      </c>
      <c r="I74" s="139" t="s">
        <v>111</v>
      </c>
      <c r="J74" s="78" t="s">
        <v>27</v>
      </c>
      <c r="K74" s="78" t="s">
        <v>112</v>
      </c>
      <c r="L74" s="139">
        <v>1</v>
      </c>
      <c r="N74" s="139">
        <v>2</v>
      </c>
      <c r="O74" s="139">
        <v>0.85</v>
      </c>
      <c r="P74" s="139">
        <v>0.75</v>
      </c>
      <c r="Q74" s="148">
        <f t="shared" si="3"/>
        <v>0.8</v>
      </c>
      <c r="R74" s="139">
        <v>15.3</v>
      </c>
      <c r="S74" s="139">
        <v>85</v>
      </c>
      <c r="T74" s="149">
        <f t="shared" si="4"/>
        <v>36</v>
      </c>
      <c r="U74" s="139">
        <v>398</v>
      </c>
      <c r="V74" s="149">
        <f t="shared" si="5"/>
        <v>7164</v>
      </c>
      <c r="W74" s="139">
        <v>17</v>
      </c>
      <c r="X74" s="139" t="s">
        <v>35</v>
      </c>
      <c r="Y74" s="139" t="s">
        <v>55</v>
      </c>
      <c r="Z74" s="139" t="s">
        <v>43</v>
      </c>
      <c r="AA74" s="139" t="s">
        <v>64</v>
      </c>
      <c r="AB74" s="139" t="s">
        <v>178</v>
      </c>
    </row>
    <row r="75" spans="1:28" x14ac:dyDescent="0.15">
      <c r="A75" s="139" t="s">
        <v>40</v>
      </c>
      <c r="B75" s="139" t="s">
        <v>174</v>
      </c>
      <c r="C75" s="139">
        <v>2020</v>
      </c>
      <c r="D75" s="147" t="s">
        <v>417</v>
      </c>
      <c r="E75" s="139" t="s">
        <v>288</v>
      </c>
      <c r="F75" s="139" t="s">
        <v>289</v>
      </c>
      <c r="G75" s="139" t="s">
        <v>25</v>
      </c>
      <c r="H75" s="139" t="s">
        <v>167</v>
      </c>
      <c r="I75" s="139" t="s">
        <v>111</v>
      </c>
      <c r="J75" s="78" t="s">
        <v>27</v>
      </c>
      <c r="K75" s="78" t="s">
        <v>112</v>
      </c>
      <c r="L75" s="139">
        <v>2</v>
      </c>
      <c r="N75" s="139">
        <v>2</v>
      </c>
      <c r="O75" s="139">
        <v>0.8</v>
      </c>
      <c r="P75" s="139">
        <v>0.8</v>
      </c>
      <c r="Q75" s="148">
        <f t="shared" si="3"/>
        <v>0.8</v>
      </c>
      <c r="R75" s="139">
        <v>15.5</v>
      </c>
      <c r="S75" s="139">
        <v>85</v>
      </c>
      <c r="T75" s="149">
        <f t="shared" si="4"/>
        <v>36</v>
      </c>
      <c r="U75" s="139">
        <v>398</v>
      </c>
      <c r="V75" s="149">
        <f t="shared" si="5"/>
        <v>7164</v>
      </c>
      <c r="W75" s="139">
        <v>17</v>
      </c>
      <c r="X75" s="139" t="s">
        <v>35</v>
      </c>
      <c r="Y75" s="139" t="s">
        <v>55</v>
      </c>
      <c r="Z75" s="139" t="s">
        <v>43</v>
      </c>
      <c r="AA75" s="139" t="s">
        <v>64</v>
      </c>
      <c r="AB75" s="139" t="s">
        <v>178</v>
      </c>
    </row>
    <row r="76" spans="1:28" x14ac:dyDescent="0.15">
      <c r="A76" s="139" t="s">
        <v>40</v>
      </c>
      <c r="B76" s="139" t="s">
        <v>174</v>
      </c>
      <c r="C76" s="139">
        <v>2020</v>
      </c>
      <c r="D76" s="147" t="s">
        <v>417</v>
      </c>
      <c r="E76" s="139" t="s">
        <v>288</v>
      </c>
      <c r="F76" s="139" t="s">
        <v>289</v>
      </c>
      <c r="G76" s="139" t="s">
        <v>25</v>
      </c>
      <c r="H76" s="139" t="s">
        <v>167</v>
      </c>
      <c r="I76" s="139" t="s">
        <v>111</v>
      </c>
      <c r="J76" s="78" t="s">
        <v>27</v>
      </c>
      <c r="K76" s="78" t="s">
        <v>112</v>
      </c>
      <c r="L76" s="139">
        <v>3</v>
      </c>
      <c r="N76" s="139">
        <v>2</v>
      </c>
      <c r="O76" s="139">
        <v>0.75</v>
      </c>
      <c r="P76" s="139">
        <v>0.7</v>
      </c>
      <c r="Q76" s="148">
        <f t="shared" si="3"/>
        <v>0.72499999999999998</v>
      </c>
      <c r="R76" s="139">
        <v>16.100000000000001</v>
      </c>
      <c r="S76" s="139">
        <v>100</v>
      </c>
      <c r="T76" s="149">
        <f t="shared" si="4"/>
        <v>33</v>
      </c>
      <c r="U76" s="139">
        <v>398</v>
      </c>
      <c r="V76" s="149">
        <f t="shared" si="5"/>
        <v>6567</v>
      </c>
      <c r="W76" s="139">
        <v>17</v>
      </c>
      <c r="X76" s="139" t="s">
        <v>35</v>
      </c>
      <c r="Y76" s="139" t="s">
        <v>55</v>
      </c>
      <c r="Z76" s="139" t="s">
        <v>43</v>
      </c>
      <c r="AA76" s="139" t="s">
        <v>64</v>
      </c>
      <c r="AB76" s="139" t="s">
        <v>178</v>
      </c>
    </row>
    <row r="77" spans="1:28" x14ac:dyDescent="0.15">
      <c r="A77" s="139" t="s">
        <v>40</v>
      </c>
      <c r="B77" s="139" t="s">
        <v>174</v>
      </c>
      <c r="C77" s="139">
        <v>2020</v>
      </c>
      <c r="D77" s="147" t="s">
        <v>417</v>
      </c>
      <c r="E77" s="139" t="s">
        <v>288</v>
      </c>
      <c r="F77" s="139" t="s">
        <v>289</v>
      </c>
      <c r="G77" s="139" t="s">
        <v>25</v>
      </c>
      <c r="H77" s="139" t="s">
        <v>167</v>
      </c>
      <c r="I77" s="139" t="s">
        <v>111</v>
      </c>
      <c r="J77" s="78" t="s">
        <v>27</v>
      </c>
      <c r="K77" s="78" t="s">
        <v>112</v>
      </c>
      <c r="L77" s="139">
        <v>1</v>
      </c>
      <c r="N77" s="139">
        <v>4</v>
      </c>
      <c r="O77" s="139">
        <v>0.6</v>
      </c>
      <c r="P77" s="139">
        <v>0.6</v>
      </c>
      <c r="Q77" s="148">
        <f t="shared" si="3"/>
        <v>0.6</v>
      </c>
      <c r="R77" s="139">
        <v>17.2</v>
      </c>
      <c r="S77" s="139">
        <v>156</v>
      </c>
      <c r="T77" s="149">
        <f t="shared" si="4"/>
        <v>18</v>
      </c>
      <c r="U77" s="139">
        <v>498</v>
      </c>
      <c r="V77" s="149">
        <f t="shared" si="5"/>
        <v>2241</v>
      </c>
      <c r="W77" s="139">
        <v>17</v>
      </c>
      <c r="X77" s="139" t="s">
        <v>35</v>
      </c>
      <c r="Y77" s="139" t="s">
        <v>55</v>
      </c>
      <c r="Z77" s="139" t="s">
        <v>43</v>
      </c>
      <c r="AA77" s="139" t="s">
        <v>64</v>
      </c>
      <c r="AB77" s="139" t="s">
        <v>178</v>
      </c>
    </row>
    <row r="78" spans="1:28" x14ac:dyDescent="0.15">
      <c r="A78" s="139" t="s">
        <v>40</v>
      </c>
      <c r="B78" s="139" t="s">
        <v>174</v>
      </c>
      <c r="C78" s="139">
        <v>2020</v>
      </c>
      <c r="D78" s="147" t="s">
        <v>417</v>
      </c>
      <c r="E78" s="139" t="s">
        <v>288</v>
      </c>
      <c r="F78" s="139" t="s">
        <v>289</v>
      </c>
      <c r="G78" s="139" t="s">
        <v>25</v>
      </c>
      <c r="H78" s="139" t="s">
        <v>167</v>
      </c>
      <c r="I78" s="139" t="s">
        <v>111</v>
      </c>
      <c r="J78" s="78" t="s">
        <v>27</v>
      </c>
      <c r="K78" s="78" t="s">
        <v>112</v>
      </c>
      <c r="L78" s="139">
        <v>2</v>
      </c>
      <c r="N78" s="139">
        <v>4</v>
      </c>
      <c r="O78" s="139">
        <v>0.55000000000000004</v>
      </c>
      <c r="P78" s="139">
        <v>0.5</v>
      </c>
      <c r="Q78" s="148">
        <f t="shared" si="3"/>
        <v>0.52500000000000002</v>
      </c>
      <c r="R78" s="139">
        <v>17.5</v>
      </c>
      <c r="S78" s="139">
        <v>154</v>
      </c>
      <c r="T78" s="149">
        <f t="shared" si="4"/>
        <v>18</v>
      </c>
      <c r="U78" s="139">
        <v>498</v>
      </c>
      <c r="V78" s="149">
        <f t="shared" si="5"/>
        <v>2241</v>
      </c>
      <c r="W78" s="139">
        <v>17</v>
      </c>
      <c r="X78" s="139" t="s">
        <v>35</v>
      </c>
      <c r="Y78" s="139" t="s">
        <v>55</v>
      </c>
      <c r="Z78" s="139" t="s">
        <v>43</v>
      </c>
      <c r="AA78" s="139" t="s">
        <v>64</v>
      </c>
      <c r="AB78" s="139" t="s">
        <v>178</v>
      </c>
    </row>
    <row r="79" spans="1:28" x14ac:dyDescent="0.15">
      <c r="A79" s="139" t="s">
        <v>40</v>
      </c>
      <c r="B79" s="139" t="s">
        <v>174</v>
      </c>
      <c r="C79" s="139">
        <v>2020</v>
      </c>
      <c r="D79" s="147" t="s">
        <v>417</v>
      </c>
      <c r="E79" s="139" t="s">
        <v>288</v>
      </c>
      <c r="F79" s="139" t="s">
        <v>289</v>
      </c>
      <c r="G79" s="139" t="s">
        <v>25</v>
      </c>
      <c r="H79" s="139" t="s">
        <v>167</v>
      </c>
      <c r="I79" s="139" t="s">
        <v>111</v>
      </c>
      <c r="J79" s="78" t="s">
        <v>27</v>
      </c>
      <c r="K79" s="78" t="s">
        <v>112</v>
      </c>
      <c r="L79" s="139">
        <v>3</v>
      </c>
      <c r="N79" s="139">
        <v>4</v>
      </c>
      <c r="O79" s="139">
        <v>0.6</v>
      </c>
      <c r="P79" s="139">
        <v>0.65</v>
      </c>
      <c r="Q79" s="148">
        <f t="shared" si="3"/>
        <v>0.625</v>
      </c>
      <c r="R79" s="139">
        <v>18.3</v>
      </c>
      <c r="S79" s="139">
        <v>166</v>
      </c>
      <c r="T79" s="149">
        <f t="shared" si="4"/>
        <v>18</v>
      </c>
      <c r="U79" s="139">
        <v>498</v>
      </c>
      <c r="V79" s="149">
        <f t="shared" si="5"/>
        <v>2241</v>
      </c>
      <c r="W79" s="139">
        <v>17</v>
      </c>
      <c r="X79" s="139" t="s">
        <v>35</v>
      </c>
      <c r="Y79" s="139" t="s">
        <v>55</v>
      </c>
      <c r="Z79" s="139" t="s">
        <v>43</v>
      </c>
      <c r="AA79" s="139" t="s">
        <v>64</v>
      </c>
      <c r="AB79" s="139" t="s">
        <v>178</v>
      </c>
    </row>
    <row r="80" spans="1:28" x14ac:dyDescent="0.15">
      <c r="A80" s="139" t="s">
        <v>40</v>
      </c>
      <c r="B80" s="139" t="s">
        <v>174</v>
      </c>
      <c r="C80" s="139">
        <v>2020</v>
      </c>
      <c r="D80" s="147" t="s">
        <v>417</v>
      </c>
      <c r="E80" s="139" t="s">
        <v>240</v>
      </c>
      <c r="F80" s="139" t="s">
        <v>282</v>
      </c>
      <c r="G80" s="139" t="s">
        <v>25</v>
      </c>
      <c r="H80" s="139" t="s">
        <v>113</v>
      </c>
      <c r="I80" s="139" t="s">
        <v>111</v>
      </c>
      <c r="J80" s="78" t="s">
        <v>27</v>
      </c>
      <c r="K80" s="78" t="s">
        <v>112</v>
      </c>
      <c r="L80" s="139">
        <v>1</v>
      </c>
      <c r="N80" s="139">
        <v>1</v>
      </c>
      <c r="O80" s="139">
        <v>0.7</v>
      </c>
      <c r="P80" s="139">
        <v>0.7</v>
      </c>
      <c r="Q80" s="148">
        <f t="shared" si="3"/>
        <v>0.7</v>
      </c>
      <c r="R80" s="139">
        <v>16.600000000000001</v>
      </c>
      <c r="S80" s="139">
        <v>112</v>
      </c>
      <c r="T80" s="149">
        <f t="shared" si="4"/>
        <v>33</v>
      </c>
      <c r="U80" s="139">
        <v>97</v>
      </c>
      <c r="V80" s="149">
        <f t="shared" si="5"/>
        <v>3201</v>
      </c>
      <c r="W80" s="139">
        <v>16</v>
      </c>
      <c r="X80" s="139" t="s">
        <v>35</v>
      </c>
      <c r="Y80" s="139" t="s">
        <v>43</v>
      </c>
      <c r="Z80" s="139" t="s">
        <v>82</v>
      </c>
      <c r="AA80" s="139" t="s">
        <v>55</v>
      </c>
      <c r="AB80" s="139" t="s">
        <v>178</v>
      </c>
    </row>
    <row r="81" spans="1:28" x14ac:dyDescent="0.15">
      <c r="A81" s="139" t="s">
        <v>40</v>
      </c>
      <c r="B81" s="139" t="s">
        <v>174</v>
      </c>
      <c r="C81" s="139">
        <v>2020</v>
      </c>
      <c r="D81" s="147" t="s">
        <v>417</v>
      </c>
      <c r="E81" s="139" t="s">
        <v>240</v>
      </c>
      <c r="F81" s="139" t="s">
        <v>282</v>
      </c>
      <c r="G81" s="139" t="s">
        <v>25</v>
      </c>
      <c r="H81" s="139" t="s">
        <v>113</v>
      </c>
      <c r="I81" s="139" t="s">
        <v>111</v>
      </c>
      <c r="J81" s="78" t="s">
        <v>27</v>
      </c>
      <c r="K81" s="78" t="s">
        <v>112</v>
      </c>
      <c r="L81" s="139">
        <v>2</v>
      </c>
      <c r="N81" s="139">
        <v>1</v>
      </c>
      <c r="O81" s="139">
        <v>0.75</v>
      </c>
      <c r="P81" s="139">
        <v>0.8</v>
      </c>
      <c r="Q81" s="148">
        <f t="shared" si="3"/>
        <v>0.77500000000000002</v>
      </c>
      <c r="R81" s="139">
        <v>16.100000000000001</v>
      </c>
      <c r="S81" s="139">
        <v>108</v>
      </c>
      <c r="T81" s="149">
        <f t="shared" si="4"/>
        <v>33</v>
      </c>
      <c r="U81" s="139">
        <v>97</v>
      </c>
      <c r="V81" s="149">
        <f t="shared" si="5"/>
        <v>3201</v>
      </c>
      <c r="W81" s="139">
        <v>16</v>
      </c>
      <c r="X81" s="139" t="s">
        <v>35</v>
      </c>
      <c r="Y81" s="139" t="s">
        <v>43</v>
      </c>
      <c r="Z81" s="139" t="s">
        <v>82</v>
      </c>
      <c r="AA81" s="139" t="s">
        <v>55</v>
      </c>
      <c r="AB81" s="139" t="s">
        <v>178</v>
      </c>
    </row>
    <row r="82" spans="1:28" x14ac:dyDescent="0.15">
      <c r="A82" s="139" t="s">
        <v>40</v>
      </c>
      <c r="B82" s="139" t="s">
        <v>174</v>
      </c>
      <c r="C82" s="139">
        <v>2020</v>
      </c>
      <c r="D82" s="147" t="s">
        <v>417</v>
      </c>
      <c r="E82" s="139" t="s">
        <v>240</v>
      </c>
      <c r="F82" s="139" t="s">
        <v>282</v>
      </c>
      <c r="G82" s="139" t="s">
        <v>25</v>
      </c>
      <c r="H82" s="139" t="s">
        <v>113</v>
      </c>
      <c r="I82" s="139" t="s">
        <v>111</v>
      </c>
      <c r="J82" s="78" t="s">
        <v>27</v>
      </c>
      <c r="K82" s="78" t="s">
        <v>112</v>
      </c>
      <c r="L82" s="139">
        <v>3</v>
      </c>
      <c r="N82" s="139">
        <v>1</v>
      </c>
      <c r="O82" s="139">
        <v>0.8</v>
      </c>
      <c r="P82" s="139">
        <v>0.75</v>
      </c>
      <c r="Q82" s="148">
        <f t="shared" si="3"/>
        <v>0.77500000000000002</v>
      </c>
      <c r="R82" s="139">
        <v>15.3</v>
      </c>
      <c r="S82" s="139">
        <v>106</v>
      </c>
      <c r="T82" s="149">
        <f t="shared" si="4"/>
        <v>33</v>
      </c>
      <c r="U82" s="139">
        <v>97</v>
      </c>
      <c r="V82" s="149">
        <f t="shared" si="5"/>
        <v>3201</v>
      </c>
      <c r="W82" s="139">
        <v>16</v>
      </c>
      <c r="X82" s="139" t="s">
        <v>35</v>
      </c>
      <c r="Y82" s="139" t="s">
        <v>43</v>
      </c>
      <c r="Z82" s="139" t="s">
        <v>82</v>
      </c>
      <c r="AA82" s="139" t="s">
        <v>55</v>
      </c>
      <c r="AB82" s="139" t="s">
        <v>178</v>
      </c>
    </row>
    <row r="83" spans="1:28" x14ac:dyDescent="0.15">
      <c r="A83" s="139" t="s">
        <v>40</v>
      </c>
      <c r="B83" s="139" t="s">
        <v>174</v>
      </c>
      <c r="C83" s="139">
        <v>2020</v>
      </c>
      <c r="D83" s="147" t="s">
        <v>417</v>
      </c>
      <c r="E83" s="139" t="s">
        <v>240</v>
      </c>
      <c r="F83" s="139" t="s">
        <v>282</v>
      </c>
      <c r="G83" s="139" t="s">
        <v>25</v>
      </c>
      <c r="H83" s="139" t="s">
        <v>113</v>
      </c>
      <c r="I83" s="139" t="s">
        <v>111</v>
      </c>
      <c r="J83" s="78" t="s">
        <v>27</v>
      </c>
      <c r="K83" s="78" t="s">
        <v>112</v>
      </c>
      <c r="L83" s="139">
        <v>1</v>
      </c>
      <c r="N83" s="139">
        <v>5</v>
      </c>
      <c r="O83" s="139">
        <v>0.9</v>
      </c>
      <c r="P83" s="139">
        <v>0.95</v>
      </c>
      <c r="Q83" s="148">
        <f t="shared" si="3"/>
        <v>0.92500000000000004</v>
      </c>
      <c r="R83" s="139">
        <v>15.7</v>
      </c>
      <c r="S83" s="139">
        <v>73</v>
      </c>
      <c r="T83" s="149">
        <f t="shared" si="4"/>
        <v>42</v>
      </c>
      <c r="U83" s="139">
        <v>297</v>
      </c>
      <c r="V83" s="149">
        <f t="shared" si="5"/>
        <v>2494.7999999999997</v>
      </c>
      <c r="W83" s="139">
        <v>16</v>
      </c>
      <c r="X83" s="139" t="s">
        <v>35</v>
      </c>
      <c r="Y83" s="139" t="s">
        <v>43</v>
      </c>
      <c r="Z83" s="139" t="s">
        <v>82</v>
      </c>
      <c r="AA83" s="139" t="s">
        <v>55</v>
      </c>
      <c r="AB83" s="139" t="s">
        <v>178</v>
      </c>
    </row>
    <row r="84" spans="1:28" x14ac:dyDescent="0.15">
      <c r="A84" s="139" t="s">
        <v>40</v>
      </c>
      <c r="B84" s="139" t="s">
        <v>174</v>
      </c>
      <c r="C84" s="139">
        <v>2020</v>
      </c>
      <c r="D84" s="147" t="s">
        <v>417</v>
      </c>
      <c r="E84" s="139" t="s">
        <v>240</v>
      </c>
      <c r="F84" s="139" t="s">
        <v>282</v>
      </c>
      <c r="G84" s="139" t="s">
        <v>25</v>
      </c>
      <c r="H84" s="139" t="s">
        <v>113</v>
      </c>
      <c r="I84" s="139" t="s">
        <v>111</v>
      </c>
      <c r="J84" s="78" t="s">
        <v>27</v>
      </c>
      <c r="K84" s="78" t="s">
        <v>112</v>
      </c>
      <c r="L84" s="139">
        <v>2</v>
      </c>
      <c r="N84" s="139">
        <v>5</v>
      </c>
      <c r="O84" s="139">
        <v>0.9</v>
      </c>
      <c r="P84" s="139">
        <v>0.9</v>
      </c>
      <c r="Q84" s="148">
        <f t="shared" si="3"/>
        <v>0.9</v>
      </c>
      <c r="R84" s="139">
        <v>15.5</v>
      </c>
      <c r="S84" s="139">
        <v>76</v>
      </c>
      <c r="T84" s="149">
        <f t="shared" si="4"/>
        <v>39</v>
      </c>
      <c r="U84" s="139">
        <v>297</v>
      </c>
      <c r="V84" s="149">
        <f t="shared" si="5"/>
        <v>2316.6</v>
      </c>
      <c r="W84" s="139">
        <v>16</v>
      </c>
      <c r="X84" s="139" t="s">
        <v>35</v>
      </c>
      <c r="Y84" s="139" t="s">
        <v>43</v>
      </c>
      <c r="Z84" s="139" t="s">
        <v>82</v>
      </c>
      <c r="AA84" s="139" t="s">
        <v>55</v>
      </c>
      <c r="AB84" s="139" t="s">
        <v>178</v>
      </c>
    </row>
    <row r="85" spans="1:28" x14ac:dyDescent="0.15">
      <c r="A85" s="139" t="s">
        <v>40</v>
      </c>
      <c r="B85" s="139" t="s">
        <v>174</v>
      </c>
      <c r="C85" s="139">
        <v>2020</v>
      </c>
      <c r="D85" s="147" t="s">
        <v>417</v>
      </c>
      <c r="E85" s="139" t="s">
        <v>240</v>
      </c>
      <c r="F85" s="139" t="s">
        <v>282</v>
      </c>
      <c r="G85" s="139" t="s">
        <v>25</v>
      </c>
      <c r="H85" s="139" t="s">
        <v>113</v>
      </c>
      <c r="I85" s="139" t="s">
        <v>111</v>
      </c>
      <c r="J85" s="78" t="s">
        <v>27</v>
      </c>
      <c r="K85" s="78" t="s">
        <v>112</v>
      </c>
      <c r="L85" s="139">
        <v>3</v>
      </c>
      <c r="N85" s="139">
        <v>5</v>
      </c>
      <c r="O85" s="139">
        <v>0.85</v>
      </c>
      <c r="P85" s="139">
        <v>1</v>
      </c>
      <c r="Q85" s="148">
        <f t="shared" si="3"/>
        <v>0.92500000000000004</v>
      </c>
      <c r="R85" s="139">
        <v>14.8</v>
      </c>
      <c r="S85" s="139">
        <v>74</v>
      </c>
      <c r="T85" s="149">
        <f t="shared" si="4"/>
        <v>42</v>
      </c>
      <c r="U85" s="139">
        <v>297</v>
      </c>
      <c r="V85" s="149">
        <f t="shared" si="5"/>
        <v>2494.7999999999997</v>
      </c>
      <c r="W85" s="139">
        <v>16</v>
      </c>
      <c r="X85" s="139" t="s">
        <v>35</v>
      </c>
      <c r="Y85" s="139" t="s">
        <v>43</v>
      </c>
      <c r="Z85" s="139" t="s">
        <v>82</v>
      </c>
      <c r="AA85" s="139" t="s">
        <v>55</v>
      </c>
      <c r="AB85" s="139" t="s">
        <v>178</v>
      </c>
    </row>
    <row r="86" spans="1:28" x14ac:dyDescent="0.15">
      <c r="A86" s="139" t="s">
        <v>40</v>
      </c>
      <c r="B86" s="139" t="s">
        <v>174</v>
      </c>
      <c r="C86" s="139">
        <v>2020</v>
      </c>
      <c r="D86" s="147" t="s">
        <v>417</v>
      </c>
      <c r="E86" s="139" t="s">
        <v>240</v>
      </c>
      <c r="F86" s="139" t="s">
        <v>282</v>
      </c>
      <c r="G86" s="139" t="s">
        <v>25</v>
      </c>
      <c r="H86" s="139" t="s">
        <v>113</v>
      </c>
      <c r="I86" s="139" t="s">
        <v>111</v>
      </c>
      <c r="J86" s="78" t="s">
        <v>27</v>
      </c>
      <c r="K86" s="78" t="s">
        <v>112</v>
      </c>
      <c r="L86" s="139">
        <v>1</v>
      </c>
      <c r="N86" s="139">
        <v>8</v>
      </c>
      <c r="O86" s="139">
        <v>0.9</v>
      </c>
      <c r="P86" s="139">
        <v>1</v>
      </c>
      <c r="Q86" s="148">
        <f t="shared" si="3"/>
        <v>0.95</v>
      </c>
      <c r="R86" s="139">
        <v>12.4</v>
      </c>
      <c r="S86" s="139">
        <v>76</v>
      </c>
      <c r="T86" s="149">
        <f t="shared" si="4"/>
        <v>39</v>
      </c>
      <c r="U86" s="139">
        <v>397</v>
      </c>
      <c r="V86" s="149">
        <f t="shared" si="5"/>
        <v>1935.375</v>
      </c>
      <c r="W86" s="139">
        <v>16</v>
      </c>
      <c r="X86" s="139" t="s">
        <v>35</v>
      </c>
      <c r="Y86" s="139" t="s">
        <v>43</v>
      </c>
      <c r="Z86" s="139" t="s">
        <v>82</v>
      </c>
      <c r="AA86" s="139" t="s">
        <v>55</v>
      </c>
      <c r="AB86" s="139" t="s">
        <v>178</v>
      </c>
    </row>
    <row r="87" spans="1:28" x14ac:dyDescent="0.15">
      <c r="A87" s="139" t="s">
        <v>40</v>
      </c>
      <c r="B87" s="139" t="s">
        <v>174</v>
      </c>
      <c r="C87" s="139">
        <v>2020</v>
      </c>
      <c r="D87" s="147" t="s">
        <v>417</v>
      </c>
      <c r="E87" s="139" t="s">
        <v>240</v>
      </c>
      <c r="F87" s="139" t="s">
        <v>282</v>
      </c>
      <c r="G87" s="139" t="s">
        <v>25</v>
      </c>
      <c r="H87" s="139" t="s">
        <v>113</v>
      </c>
      <c r="I87" s="139" t="s">
        <v>111</v>
      </c>
      <c r="J87" s="78" t="s">
        <v>27</v>
      </c>
      <c r="K87" s="78" t="s">
        <v>112</v>
      </c>
      <c r="L87" s="139">
        <v>2</v>
      </c>
      <c r="N87" s="139">
        <v>8</v>
      </c>
      <c r="O87" s="139">
        <v>0.9</v>
      </c>
      <c r="P87" s="139">
        <v>0.95</v>
      </c>
      <c r="Q87" s="148">
        <f t="shared" si="3"/>
        <v>0.92500000000000004</v>
      </c>
      <c r="R87" s="139">
        <v>12.8</v>
      </c>
      <c r="S87" s="139">
        <v>82</v>
      </c>
      <c r="T87" s="149">
        <f t="shared" si="4"/>
        <v>39</v>
      </c>
      <c r="U87" s="139">
        <v>397</v>
      </c>
      <c r="V87" s="149">
        <f t="shared" si="5"/>
        <v>1935.375</v>
      </c>
      <c r="W87" s="139">
        <v>16</v>
      </c>
      <c r="X87" s="139" t="s">
        <v>35</v>
      </c>
      <c r="Y87" s="139" t="s">
        <v>43</v>
      </c>
      <c r="Z87" s="139" t="s">
        <v>82</v>
      </c>
      <c r="AA87" s="139" t="s">
        <v>55</v>
      </c>
      <c r="AB87" s="139" t="s">
        <v>178</v>
      </c>
    </row>
    <row r="88" spans="1:28" x14ac:dyDescent="0.15">
      <c r="A88" s="139" t="s">
        <v>40</v>
      </c>
      <c r="B88" s="139" t="s">
        <v>174</v>
      </c>
      <c r="C88" s="139">
        <v>2020</v>
      </c>
      <c r="D88" s="147" t="s">
        <v>417</v>
      </c>
      <c r="E88" s="139" t="s">
        <v>240</v>
      </c>
      <c r="F88" s="139" t="s">
        <v>282</v>
      </c>
      <c r="G88" s="139" t="s">
        <v>25</v>
      </c>
      <c r="H88" s="139" t="s">
        <v>113</v>
      </c>
      <c r="I88" s="139" t="s">
        <v>111</v>
      </c>
      <c r="J88" s="78" t="s">
        <v>27</v>
      </c>
      <c r="K88" s="78" t="s">
        <v>112</v>
      </c>
      <c r="L88" s="139">
        <v>3</v>
      </c>
      <c r="N88" s="139">
        <v>8</v>
      </c>
      <c r="O88" s="139">
        <v>0.85</v>
      </c>
      <c r="P88" s="139">
        <v>0.95</v>
      </c>
      <c r="Q88" s="148">
        <f t="shared" si="3"/>
        <v>0.89999999999999991</v>
      </c>
      <c r="R88" s="139">
        <v>12.6</v>
      </c>
      <c r="S88" s="139">
        <v>81</v>
      </c>
      <c r="T88" s="149">
        <f t="shared" si="4"/>
        <v>39</v>
      </c>
      <c r="U88" s="139">
        <v>397</v>
      </c>
      <c r="V88" s="149">
        <f t="shared" si="5"/>
        <v>1935.375</v>
      </c>
      <c r="W88" s="139">
        <v>16</v>
      </c>
      <c r="X88" s="139" t="s">
        <v>35</v>
      </c>
      <c r="Y88" s="139" t="s">
        <v>43</v>
      </c>
      <c r="Z88" s="139" t="s">
        <v>82</v>
      </c>
      <c r="AA88" s="139" t="s">
        <v>55</v>
      </c>
      <c r="AB88" s="139" t="s">
        <v>178</v>
      </c>
    </row>
    <row r="89" spans="1:28" x14ac:dyDescent="0.15">
      <c r="A89" s="139" t="s">
        <v>40</v>
      </c>
      <c r="B89" s="139" t="s">
        <v>174</v>
      </c>
      <c r="C89" s="139">
        <v>2020</v>
      </c>
      <c r="D89" s="147" t="s">
        <v>417</v>
      </c>
      <c r="E89" s="139" t="s">
        <v>240</v>
      </c>
      <c r="F89" s="139" t="s">
        <v>282</v>
      </c>
      <c r="G89" s="139" t="s">
        <v>25</v>
      </c>
      <c r="H89" s="139" t="s">
        <v>167</v>
      </c>
      <c r="I89" s="139" t="s">
        <v>111</v>
      </c>
      <c r="J89" s="78" t="s">
        <v>27</v>
      </c>
      <c r="K89" s="78" t="s">
        <v>112</v>
      </c>
      <c r="L89" s="139">
        <v>1</v>
      </c>
      <c r="N89" s="139">
        <v>1</v>
      </c>
      <c r="O89" s="139">
        <v>0.8</v>
      </c>
      <c r="P89" s="139">
        <v>0.8</v>
      </c>
      <c r="Q89" s="148">
        <f t="shared" si="3"/>
        <v>0.8</v>
      </c>
      <c r="R89" s="139">
        <v>18.100000000000001</v>
      </c>
      <c r="S89" s="139">
        <v>132</v>
      </c>
      <c r="T89" s="149">
        <f t="shared" si="4"/>
        <v>25</v>
      </c>
      <c r="U89" s="139">
        <v>97</v>
      </c>
      <c r="V89" s="149">
        <f t="shared" si="5"/>
        <v>2425</v>
      </c>
      <c r="W89" s="139">
        <v>16</v>
      </c>
      <c r="X89" s="139" t="s">
        <v>35</v>
      </c>
      <c r="Y89" s="139" t="s">
        <v>43</v>
      </c>
      <c r="Z89" s="139" t="s">
        <v>82</v>
      </c>
      <c r="AA89" s="139" t="s">
        <v>55</v>
      </c>
      <c r="AB89" s="139" t="s">
        <v>178</v>
      </c>
    </row>
    <row r="90" spans="1:28" x14ac:dyDescent="0.15">
      <c r="A90" s="139" t="s">
        <v>40</v>
      </c>
      <c r="B90" s="139" t="s">
        <v>174</v>
      </c>
      <c r="C90" s="139">
        <v>2020</v>
      </c>
      <c r="D90" s="147" t="s">
        <v>417</v>
      </c>
      <c r="E90" s="139" t="s">
        <v>240</v>
      </c>
      <c r="F90" s="139" t="s">
        <v>282</v>
      </c>
      <c r="G90" s="139" t="s">
        <v>25</v>
      </c>
      <c r="H90" s="139" t="s">
        <v>167</v>
      </c>
      <c r="I90" s="139" t="s">
        <v>111</v>
      </c>
      <c r="J90" s="78" t="s">
        <v>27</v>
      </c>
      <c r="K90" s="78" t="s">
        <v>112</v>
      </c>
      <c r="L90" s="139">
        <v>2</v>
      </c>
      <c r="N90" s="139">
        <v>1</v>
      </c>
      <c r="O90" s="139">
        <v>0.85</v>
      </c>
      <c r="P90" s="139">
        <v>0.85</v>
      </c>
      <c r="Q90" s="148">
        <f t="shared" si="3"/>
        <v>0.85</v>
      </c>
      <c r="R90" s="139">
        <v>17.3</v>
      </c>
      <c r="S90" s="139">
        <v>130</v>
      </c>
      <c r="T90" s="149">
        <f t="shared" si="4"/>
        <v>25</v>
      </c>
      <c r="U90" s="139">
        <v>97</v>
      </c>
      <c r="V90" s="149">
        <f t="shared" si="5"/>
        <v>2425</v>
      </c>
      <c r="W90" s="139">
        <v>16</v>
      </c>
      <c r="X90" s="139" t="s">
        <v>35</v>
      </c>
      <c r="Y90" s="139" t="s">
        <v>43</v>
      </c>
      <c r="Z90" s="139" t="s">
        <v>82</v>
      </c>
      <c r="AA90" s="139" t="s">
        <v>55</v>
      </c>
      <c r="AB90" s="139" t="s">
        <v>178</v>
      </c>
    </row>
    <row r="91" spans="1:28" x14ac:dyDescent="0.15">
      <c r="A91" s="139" t="s">
        <v>40</v>
      </c>
      <c r="B91" s="139" t="s">
        <v>174</v>
      </c>
      <c r="C91" s="139">
        <v>2020</v>
      </c>
      <c r="D91" s="147" t="s">
        <v>417</v>
      </c>
      <c r="E91" s="139" t="s">
        <v>240</v>
      </c>
      <c r="F91" s="139" t="s">
        <v>282</v>
      </c>
      <c r="G91" s="139" t="s">
        <v>25</v>
      </c>
      <c r="H91" s="139" t="s">
        <v>167</v>
      </c>
      <c r="I91" s="139" t="s">
        <v>111</v>
      </c>
      <c r="J91" s="78" t="s">
        <v>27</v>
      </c>
      <c r="K91" s="78" t="s">
        <v>112</v>
      </c>
      <c r="L91" s="139">
        <v>3</v>
      </c>
      <c r="N91" s="139">
        <v>1</v>
      </c>
      <c r="O91" s="139">
        <v>0.9</v>
      </c>
      <c r="P91" s="139">
        <v>0.75</v>
      </c>
      <c r="Q91" s="148">
        <f t="shared" si="3"/>
        <v>0.82499999999999996</v>
      </c>
      <c r="R91" s="139">
        <v>17.600000000000001</v>
      </c>
      <c r="S91" s="139">
        <v>132</v>
      </c>
      <c r="T91" s="149">
        <f t="shared" si="4"/>
        <v>25</v>
      </c>
      <c r="U91" s="139">
        <v>97</v>
      </c>
      <c r="V91" s="149">
        <f t="shared" si="5"/>
        <v>2425</v>
      </c>
      <c r="W91" s="139">
        <v>16</v>
      </c>
      <c r="X91" s="139" t="s">
        <v>35</v>
      </c>
      <c r="Y91" s="139" t="s">
        <v>43</v>
      </c>
      <c r="Z91" s="139" t="s">
        <v>82</v>
      </c>
      <c r="AA91" s="139" t="s">
        <v>55</v>
      </c>
      <c r="AB91" s="139" t="s">
        <v>178</v>
      </c>
    </row>
    <row r="92" spans="1:28" x14ac:dyDescent="0.15">
      <c r="A92" s="139" t="s">
        <v>40</v>
      </c>
      <c r="B92" s="139" t="s">
        <v>174</v>
      </c>
      <c r="C92" s="139">
        <v>2020</v>
      </c>
      <c r="D92" s="147" t="s">
        <v>417</v>
      </c>
      <c r="E92" s="139" t="s">
        <v>240</v>
      </c>
      <c r="F92" s="139" t="s">
        <v>282</v>
      </c>
      <c r="G92" s="139" t="s">
        <v>25</v>
      </c>
      <c r="H92" s="139" t="s">
        <v>167</v>
      </c>
      <c r="I92" s="139" t="s">
        <v>111</v>
      </c>
      <c r="J92" s="78" t="s">
        <v>27</v>
      </c>
      <c r="K92" s="78" t="s">
        <v>112</v>
      </c>
      <c r="L92" s="139">
        <v>1</v>
      </c>
      <c r="N92" s="139">
        <v>4</v>
      </c>
      <c r="O92" s="139">
        <v>0.6</v>
      </c>
      <c r="P92" s="139">
        <v>0.6</v>
      </c>
      <c r="Q92" s="148">
        <f t="shared" si="3"/>
        <v>0.6</v>
      </c>
      <c r="R92" s="139">
        <v>16.2</v>
      </c>
      <c r="S92" s="139">
        <v>92</v>
      </c>
      <c r="T92" s="149">
        <f t="shared" si="4"/>
        <v>36</v>
      </c>
      <c r="U92" s="139">
        <v>377</v>
      </c>
      <c r="V92" s="149">
        <f t="shared" si="5"/>
        <v>3393</v>
      </c>
      <c r="W92" s="139">
        <v>16</v>
      </c>
      <c r="X92" s="139" t="s">
        <v>35</v>
      </c>
      <c r="Y92" s="139" t="s">
        <v>43</v>
      </c>
      <c r="Z92" s="139" t="s">
        <v>82</v>
      </c>
      <c r="AA92" s="139" t="s">
        <v>55</v>
      </c>
      <c r="AB92" s="139" t="s">
        <v>178</v>
      </c>
    </row>
    <row r="93" spans="1:28" x14ac:dyDescent="0.15">
      <c r="A93" s="139" t="s">
        <v>40</v>
      </c>
      <c r="B93" s="139" t="s">
        <v>174</v>
      </c>
      <c r="C93" s="139">
        <v>2020</v>
      </c>
      <c r="D93" s="147" t="s">
        <v>417</v>
      </c>
      <c r="E93" s="139" t="s">
        <v>240</v>
      </c>
      <c r="F93" s="139" t="s">
        <v>282</v>
      </c>
      <c r="G93" s="139" t="s">
        <v>25</v>
      </c>
      <c r="H93" s="139" t="s">
        <v>167</v>
      </c>
      <c r="I93" s="139" t="s">
        <v>111</v>
      </c>
      <c r="J93" s="78" t="s">
        <v>27</v>
      </c>
      <c r="K93" s="78" t="s">
        <v>112</v>
      </c>
      <c r="L93" s="139">
        <v>2</v>
      </c>
      <c r="N93" s="139">
        <v>4</v>
      </c>
      <c r="O93" s="139">
        <v>0.65</v>
      </c>
      <c r="P93" s="139">
        <v>0.8</v>
      </c>
      <c r="Q93" s="148">
        <f t="shared" si="3"/>
        <v>0.72500000000000009</v>
      </c>
      <c r="R93" s="139">
        <v>15.4</v>
      </c>
      <c r="S93" s="139">
        <v>90</v>
      </c>
      <c r="T93" s="149">
        <f t="shared" si="4"/>
        <v>36</v>
      </c>
      <c r="U93" s="139">
        <v>377</v>
      </c>
      <c r="V93" s="149">
        <f t="shared" si="5"/>
        <v>3393</v>
      </c>
      <c r="W93" s="139">
        <v>16</v>
      </c>
      <c r="X93" s="139" t="s">
        <v>35</v>
      </c>
      <c r="Y93" s="139" t="s">
        <v>43</v>
      </c>
      <c r="Z93" s="139" t="s">
        <v>82</v>
      </c>
      <c r="AA93" s="139" t="s">
        <v>55</v>
      </c>
      <c r="AB93" s="139" t="s">
        <v>178</v>
      </c>
    </row>
    <row r="94" spans="1:28" x14ac:dyDescent="0.15">
      <c r="A94" s="139" t="s">
        <v>40</v>
      </c>
      <c r="B94" s="139" t="s">
        <v>174</v>
      </c>
      <c r="C94" s="139">
        <v>2020</v>
      </c>
      <c r="D94" s="147" t="s">
        <v>417</v>
      </c>
      <c r="E94" s="139" t="s">
        <v>240</v>
      </c>
      <c r="F94" s="139" t="s">
        <v>282</v>
      </c>
      <c r="G94" s="139" t="s">
        <v>25</v>
      </c>
      <c r="H94" s="139" t="s">
        <v>167</v>
      </c>
      <c r="I94" s="139" t="s">
        <v>111</v>
      </c>
      <c r="J94" s="78" t="s">
        <v>27</v>
      </c>
      <c r="K94" s="78" t="s">
        <v>112</v>
      </c>
      <c r="L94" s="139">
        <v>3</v>
      </c>
      <c r="N94" s="139">
        <v>4</v>
      </c>
      <c r="O94" s="139">
        <v>0.7</v>
      </c>
      <c r="P94" s="139">
        <v>0.75</v>
      </c>
      <c r="Q94" s="148">
        <f t="shared" si="3"/>
        <v>0.72499999999999998</v>
      </c>
      <c r="R94" s="139">
        <v>15.1</v>
      </c>
      <c r="S94" s="139">
        <v>84</v>
      </c>
      <c r="T94" s="149">
        <f t="shared" si="4"/>
        <v>36</v>
      </c>
      <c r="U94" s="139">
        <v>377</v>
      </c>
      <c r="V94" s="149">
        <f t="shared" si="5"/>
        <v>3393</v>
      </c>
      <c r="W94" s="139">
        <v>16</v>
      </c>
      <c r="X94" s="139" t="s">
        <v>35</v>
      </c>
      <c r="Y94" s="139" t="s">
        <v>43</v>
      </c>
      <c r="Z94" s="139" t="s">
        <v>82</v>
      </c>
      <c r="AA94" s="139" t="s">
        <v>55</v>
      </c>
      <c r="AB94" s="139" t="s">
        <v>178</v>
      </c>
    </row>
    <row r="95" spans="1:28" x14ac:dyDescent="0.15">
      <c r="A95" s="139" t="s">
        <v>40</v>
      </c>
      <c r="B95" s="139" t="s">
        <v>174</v>
      </c>
      <c r="C95" s="139">
        <v>2020</v>
      </c>
      <c r="D95" s="147" t="s">
        <v>417</v>
      </c>
      <c r="E95" s="139" t="s">
        <v>290</v>
      </c>
      <c r="F95" s="139" t="s">
        <v>282</v>
      </c>
      <c r="G95" s="139" t="s">
        <v>25</v>
      </c>
      <c r="H95" s="139" t="s">
        <v>113</v>
      </c>
      <c r="I95" s="139" t="s">
        <v>111</v>
      </c>
      <c r="J95" s="78" t="s">
        <v>27</v>
      </c>
      <c r="K95" s="78" t="s">
        <v>112</v>
      </c>
      <c r="L95" s="139">
        <v>1</v>
      </c>
      <c r="N95" s="139">
        <v>1</v>
      </c>
      <c r="O95" s="139">
        <v>0.8</v>
      </c>
      <c r="P95" s="139">
        <v>0.8</v>
      </c>
      <c r="Q95" s="148">
        <f t="shared" si="3"/>
        <v>0.8</v>
      </c>
      <c r="R95" s="139">
        <v>16.100000000000001</v>
      </c>
      <c r="S95" s="139">
        <v>144</v>
      </c>
      <c r="T95" s="149">
        <f t="shared" si="4"/>
        <v>22</v>
      </c>
      <c r="U95" s="139">
        <v>128</v>
      </c>
      <c r="V95" s="149">
        <f t="shared" si="5"/>
        <v>2816</v>
      </c>
      <c r="W95" s="139">
        <v>14</v>
      </c>
      <c r="X95" s="139" t="s">
        <v>35</v>
      </c>
      <c r="Y95" s="139" t="s">
        <v>55</v>
      </c>
      <c r="Z95" s="139" t="s">
        <v>82</v>
      </c>
      <c r="AA95" s="139" t="s">
        <v>43</v>
      </c>
      <c r="AB95" s="139" t="s">
        <v>178</v>
      </c>
    </row>
    <row r="96" spans="1:28" x14ac:dyDescent="0.15">
      <c r="A96" s="139" t="s">
        <v>40</v>
      </c>
      <c r="B96" s="139" t="s">
        <v>174</v>
      </c>
      <c r="C96" s="139">
        <v>2020</v>
      </c>
      <c r="D96" s="147" t="s">
        <v>417</v>
      </c>
      <c r="E96" s="139" t="s">
        <v>290</v>
      </c>
      <c r="F96" s="139" t="s">
        <v>282</v>
      </c>
      <c r="G96" s="139" t="s">
        <v>25</v>
      </c>
      <c r="H96" s="139" t="s">
        <v>113</v>
      </c>
      <c r="I96" s="139" t="s">
        <v>111</v>
      </c>
      <c r="J96" s="78" t="s">
        <v>27</v>
      </c>
      <c r="K96" s="78" t="s">
        <v>112</v>
      </c>
      <c r="L96" s="139">
        <v>2</v>
      </c>
      <c r="N96" s="139">
        <v>1</v>
      </c>
      <c r="O96" s="139">
        <v>0.8</v>
      </c>
      <c r="P96" s="139">
        <v>0.75</v>
      </c>
      <c r="Q96" s="148">
        <f t="shared" si="3"/>
        <v>0.77500000000000002</v>
      </c>
      <c r="R96" s="139">
        <v>15.7</v>
      </c>
      <c r="S96" s="139">
        <v>140</v>
      </c>
      <c r="T96" s="149">
        <f t="shared" si="4"/>
        <v>22</v>
      </c>
      <c r="U96" s="139">
        <v>128</v>
      </c>
      <c r="V96" s="149">
        <f t="shared" si="5"/>
        <v>2816</v>
      </c>
      <c r="W96" s="139">
        <v>14</v>
      </c>
      <c r="X96" s="139" t="s">
        <v>35</v>
      </c>
      <c r="Y96" s="139" t="s">
        <v>55</v>
      </c>
      <c r="Z96" s="139" t="s">
        <v>82</v>
      </c>
      <c r="AA96" s="139" t="s">
        <v>43</v>
      </c>
      <c r="AB96" s="139" t="s">
        <v>178</v>
      </c>
    </row>
    <row r="97" spans="1:28" x14ac:dyDescent="0.15">
      <c r="A97" s="139" t="s">
        <v>40</v>
      </c>
      <c r="B97" s="139" t="s">
        <v>174</v>
      </c>
      <c r="C97" s="139">
        <v>2020</v>
      </c>
      <c r="D97" s="147" t="s">
        <v>417</v>
      </c>
      <c r="E97" s="139" t="s">
        <v>290</v>
      </c>
      <c r="F97" s="139" t="s">
        <v>282</v>
      </c>
      <c r="G97" s="139" t="s">
        <v>25</v>
      </c>
      <c r="H97" s="139" t="s">
        <v>113</v>
      </c>
      <c r="I97" s="139" t="s">
        <v>111</v>
      </c>
      <c r="J97" s="78" t="s">
        <v>27</v>
      </c>
      <c r="K97" s="78" t="s">
        <v>112</v>
      </c>
      <c r="L97" s="139">
        <v>3</v>
      </c>
      <c r="N97" s="139">
        <v>1</v>
      </c>
      <c r="O97" s="139">
        <v>0.7</v>
      </c>
      <c r="P97" s="139">
        <v>0.85</v>
      </c>
      <c r="Q97" s="148">
        <f t="shared" si="3"/>
        <v>0.77499999999999991</v>
      </c>
      <c r="R97" s="139">
        <v>16.5</v>
      </c>
      <c r="S97" s="139">
        <v>146</v>
      </c>
      <c r="T97" s="149">
        <f t="shared" si="4"/>
        <v>22</v>
      </c>
      <c r="U97" s="139">
        <v>128</v>
      </c>
      <c r="V97" s="149">
        <f t="shared" si="5"/>
        <v>2816</v>
      </c>
      <c r="W97" s="139">
        <v>14</v>
      </c>
      <c r="X97" s="139" t="s">
        <v>35</v>
      </c>
      <c r="Y97" s="139" t="s">
        <v>55</v>
      </c>
      <c r="Z97" s="139" t="s">
        <v>82</v>
      </c>
      <c r="AA97" s="139" t="s">
        <v>43</v>
      </c>
      <c r="AB97" s="139" t="s">
        <v>178</v>
      </c>
    </row>
    <row r="98" spans="1:28" x14ac:dyDescent="0.15">
      <c r="A98" s="139" t="s">
        <v>40</v>
      </c>
      <c r="B98" s="139" t="s">
        <v>174</v>
      </c>
      <c r="C98" s="139">
        <v>2020</v>
      </c>
      <c r="D98" s="147" t="s">
        <v>417</v>
      </c>
      <c r="E98" s="139" t="s">
        <v>290</v>
      </c>
      <c r="F98" s="139" t="s">
        <v>282</v>
      </c>
      <c r="G98" s="139" t="s">
        <v>25</v>
      </c>
      <c r="H98" s="139" t="s">
        <v>113</v>
      </c>
      <c r="I98" s="139" t="s">
        <v>111</v>
      </c>
      <c r="J98" s="78" t="s">
        <v>27</v>
      </c>
      <c r="K98" s="78" t="s">
        <v>112</v>
      </c>
      <c r="L98" s="139">
        <v>1</v>
      </c>
      <c r="N98" s="139">
        <v>4</v>
      </c>
      <c r="O98" s="139">
        <v>0.75</v>
      </c>
      <c r="P98" s="139">
        <v>0.7</v>
      </c>
      <c r="Q98" s="148">
        <f t="shared" si="3"/>
        <v>0.72499999999999998</v>
      </c>
      <c r="R98" s="139">
        <v>16.2</v>
      </c>
      <c r="S98" s="139">
        <v>100</v>
      </c>
      <c r="T98" s="149">
        <f t="shared" si="4"/>
        <v>33</v>
      </c>
      <c r="U98" s="139">
        <v>398</v>
      </c>
      <c r="V98" s="149">
        <f t="shared" si="5"/>
        <v>3283.5</v>
      </c>
      <c r="W98" s="139">
        <v>14</v>
      </c>
      <c r="X98" s="139" t="s">
        <v>35</v>
      </c>
      <c r="Y98" s="139" t="s">
        <v>55</v>
      </c>
      <c r="Z98" s="139" t="s">
        <v>82</v>
      </c>
      <c r="AA98" s="139" t="s">
        <v>43</v>
      </c>
      <c r="AB98" s="139" t="s">
        <v>178</v>
      </c>
    </row>
    <row r="99" spans="1:28" x14ac:dyDescent="0.15">
      <c r="A99" s="139" t="s">
        <v>40</v>
      </c>
      <c r="B99" s="139" t="s">
        <v>174</v>
      </c>
      <c r="C99" s="139">
        <v>2020</v>
      </c>
      <c r="D99" s="147" t="s">
        <v>417</v>
      </c>
      <c r="E99" s="139" t="s">
        <v>290</v>
      </c>
      <c r="F99" s="139" t="s">
        <v>282</v>
      </c>
      <c r="G99" s="139" t="s">
        <v>25</v>
      </c>
      <c r="H99" s="139" t="s">
        <v>113</v>
      </c>
      <c r="I99" s="139" t="s">
        <v>111</v>
      </c>
      <c r="J99" s="78" t="s">
        <v>27</v>
      </c>
      <c r="K99" s="78" t="s">
        <v>112</v>
      </c>
      <c r="L99" s="139">
        <v>2</v>
      </c>
      <c r="N99" s="139">
        <v>4</v>
      </c>
      <c r="O99" s="139">
        <v>0.8</v>
      </c>
      <c r="P99" s="139">
        <v>0.85</v>
      </c>
      <c r="Q99" s="148">
        <f t="shared" si="3"/>
        <v>0.82499999999999996</v>
      </c>
      <c r="R99" s="139">
        <v>14.8</v>
      </c>
      <c r="S99" s="139">
        <v>95</v>
      </c>
      <c r="T99" s="149">
        <f t="shared" si="4"/>
        <v>36</v>
      </c>
      <c r="U99" s="139">
        <v>398</v>
      </c>
      <c r="V99" s="149">
        <f t="shared" si="5"/>
        <v>3582</v>
      </c>
      <c r="W99" s="139">
        <v>14</v>
      </c>
      <c r="X99" s="139" t="s">
        <v>35</v>
      </c>
      <c r="Y99" s="139" t="s">
        <v>55</v>
      </c>
      <c r="Z99" s="139" t="s">
        <v>82</v>
      </c>
      <c r="AA99" s="139" t="s">
        <v>43</v>
      </c>
      <c r="AB99" s="139" t="s">
        <v>178</v>
      </c>
    </row>
    <row r="100" spans="1:28" x14ac:dyDescent="0.15">
      <c r="A100" s="139" t="s">
        <v>40</v>
      </c>
      <c r="B100" s="139" t="s">
        <v>174</v>
      </c>
      <c r="C100" s="139">
        <v>2020</v>
      </c>
      <c r="D100" s="147" t="s">
        <v>417</v>
      </c>
      <c r="E100" s="139" t="s">
        <v>290</v>
      </c>
      <c r="F100" s="139" t="s">
        <v>282</v>
      </c>
      <c r="G100" s="139" t="s">
        <v>25</v>
      </c>
      <c r="H100" s="139" t="s">
        <v>113</v>
      </c>
      <c r="I100" s="139" t="s">
        <v>111</v>
      </c>
      <c r="J100" s="78" t="s">
        <v>27</v>
      </c>
      <c r="K100" s="78" t="s">
        <v>112</v>
      </c>
      <c r="L100" s="139">
        <v>3</v>
      </c>
      <c r="N100" s="139">
        <v>4</v>
      </c>
      <c r="O100" s="139">
        <v>0.8</v>
      </c>
      <c r="P100" s="139">
        <v>0.8</v>
      </c>
      <c r="Q100" s="148">
        <f t="shared" si="3"/>
        <v>0.8</v>
      </c>
      <c r="R100" s="139">
        <v>15.3</v>
      </c>
      <c r="S100" s="139">
        <v>97</v>
      </c>
      <c r="T100" s="149">
        <f t="shared" si="4"/>
        <v>36</v>
      </c>
      <c r="U100" s="139">
        <v>398</v>
      </c>
      <c r="V100" s="149">
        <f t="shared" si="5"/>
        <v>3582</v>
      </c>
      <c r="W100" s="139">
        <v>14</v>
      </c>
      <c r="X100" s="139" t="s">
        <v>35</v>
      </c>
      <c r="Y100" s="139" t="s">
        <v>55</v>
      </c>
      <c r="Z100" s="139" t="s">
        <v>82</v>
      </c>
      <c r="AA100" s="139" t="s">
        <v>43</v>
      </c>
      <c r="AB100" s="139" t="s">
        <v>178</v>
      </c>
    </row>
    <row r="101" spans="1:28" x14ac:dyDescent="0.15">
      <c r="A101" s="139" t="s">
        <v>40</v>
      </c>
      <c r="B101" s="139" t="s">
        <v>174</v>
      </c>
      <c r="C101" s="139">
        <v>2020</v>
      </c>
      <c r="D101" s="147" t="s">
        <v>417</v>
      </c>
      <c r="E101" s="139" t="s">
        <v>290</v>
      </c>
      <c r="F101" s="139" t="s">
        <v>282</v>
      </c>
      <c r="G101" s="139" t="s">
        <v>25</v>
      </c>
      <c r="H101" s="139" t="s">
        <v>113</v>
      </c>
      <c r="I101" s="139" t="s">
        <v>111</v>
      </c>
      <c r="J101" s="78" t="s">
        <v>27</v>
      </c>
      <c r="K101" s="78" t="s">
        <v>112</v>
      </c>
      <c r="L101" s="139">
        <v>1</v>
      </c>
      <c r="N101" s="139">
        <v>5</v>
      </c>
      <c r="O101" s="139">
        <v>0.95</v>
      </c>
      <c r="P101" s="139">
        <v>0.9</v>
      </c>
      <c r="Q101" s="148">
        <f t="shared" si="3"/>
        <v>0.92500000000000004</v>
      </c>
      <c r="R101" s="139">
        <v>14</v>
      </c>
      <c r="S101" s="139">
        <v>118</v>
      </c>
      <c r="T101" s="149">
        <f t="shared" si="4"/>
        <v>30</v>
      </c>
      <c r="U101" s="139">
        <v>398</v>
      </c>
      <c r="V101" s="149">
        <f t="shared" si="5"/>
        <v>2388</v>
      </c>
      <c r="W101" s="139">
        <v>14</v>
      </c>
      <c r="X101" s="139" t="s">
        <v>35</v>
      </c>
      <c r="Y101" s="139" t="s">
        <v>55</v>
      </c>
      <c r="Z101" s="139" t="s">
        <v>82</v>
      </c>
      <c r="AA101" s="139" t="s">
        <v>43</v>
      </c>
      <c r="AB101" s="139" t="s">
        <v>178</v>
      </c>
    </row>
    <row r="102" spans="1:28" x14ac:dyDescent="0.15">
      <c r="A102" s="139" t="s">
        <v>40</v>
      </c>
      <c r="B102" s="139" t="s">
        <v>174</v>
      </c>
      <c r="C102" s="139">
        <v>2020</v>
      </c>
      <c r="D102" s="147" t="s">
        <v>417</v>
      </c>
      <c r="E102" s="139" t="s">
        <v>290</v>
      </c>
      <c r="F102" s="139" t="s">
        <v>282</v>
      </c>
      <c r="G102" s="139" t="s">
        <v>25</v>
      </c>
      <c r="H102" s="139" t="s">
        <v>113</v>
      </c>
      <c r="I102" s="139" t="s">
        <v>111</v>
      </c>
      <c r="J102" s="78" t="s">
        <v>27</v>
      </c>
      <c r="K102" s="78" t="s">
        <v>112</v>
      </c>
      <c r="L102" s="139">
        <v>2</v>
      </c>
      <c r="N102" s="139">
        <v>5</v>
      </c>
      <c r="O102" s="139">
        <v>0.95</v>
      </c>
      <c r="P102" s="139">
        <v>1.05</v>
      </c>
      <c r="Q102" s="148">
        <f t="shared" si="3"/>
        <v>1</v>
      </c>
      <c r="R102" s="139">
        <v>13.7</v>
      </c>
      <c r="S102" s="139">
        <v>114</v>
      </c>
      <c r="T102" s="149">
        <f t="shared" si="4"/>
        <v>30</v>
      </c>
      <c r="U102" s="139">
        <v>398</v>
      </c>
      <c r="V102" s="149">
        <f t="shared" si="5"/>
        <v>2388</v>
      </c>
      <c r="W102" s="139">
        <v>14</v>
      </c>
      <c r="X102" s="139" t="s">
        <v>35</v>
      </c>
      <c r="Y102" s="139" t="s">
        <v>55</v>
      </c>
      <c r="Z102" s="139" t="s">
        <v>82</v>
      </c>
      <c r="AA102" s="139" t="s">
        <v>43</v>
      </c>
      <c r="AB102" s="139" t="s">
        <v>178</v>
      </c>
    </row>
    <row r="103" spans="1:28" x14ac:dyDescent="0.15">
      <c r="A103" s="139" t="s">
        <v>40</v>
      </c>
      <c r="B103" s="139" t="s">
        <v>174</v>
      </c>
      <c r="C103" s="139">
        <v>2020</v>
      </c>
      <c r="D103" s="147" t="s">
        <v>417</v>
      </c>
      <c r="E103" s="139" t="s">
        <v>290</v>
      </c>
      <c r="F103" s="139" t="s">
        <v>282</v>
      </c>
      <c r="G103" s="139" t="s">
        <v>25</v>
      </c>
      <c r="H103" s="139" t="s">
        <v>113</v>
      </c>
      <c r="I103" s="139" t="s">
        <v>111</v>
      </c>
      <c r="J103" s="78" t="s">
        <v>27</v>
      </c>
      <c r="K103" s="78" t="s">
        <v>112</v>
      </c>
      <c r="L103" s="139">
        <v>3</v>
      </c>
      <c r="N103" s="139">
        <v>5</v>
      </c>
      <c r="O103" s="139">
        <v>1</v>
      </c>
      <c r="P103" s="139">
        <v>0.95</v>
      </c>
      <c r="Q103" s="148">
        <f t="shared" si="3"/>
        <v>0.97499999999999998</v>
      </c>
      <c r="R103" s="139">
        <v>13.5</v>
      </c>
      <c r="S103" s="139">
        <v>112</v>
      </c>
      <c r="T103" s="149">
        <f t="shared" si="4"/>
        <v>33</v>
      </c>
      <c r="U103" s="139">
        <v>398</v>
      </c>
      <c r="V103" s="149">
        <f t="shared" si="5"/>
        <v>2626.7999999999997</v>
      </c>
      <c r="W103" s="139">
        <v>14</v>
      </c>
      <c r="X103" s="139" t="s">
        <v>35</v>
      </c>
      <c r="Y103" s="139" t="s">
        <v>55</v>
      </c>
      <c r="Z103" s="139" t="s">
        <v>82</v>
      </c>
      <c r="AA103" s="139" t="s">
        <v>43</v>
      </c>
      <c r="AB103" s="139" t="s">
        <v>178</v>
      </c>
    </row>
    <row r="104" spans="1:28" x14ac:dyDescent="0.15">
      <c r="A104" s="139" t="s">
        <v>40</v>
      </c>
      <c r="B104" s="139" t="s">
        <v>174</v>
      </c>
      <c r="C104" s="139">
        <v>2020</v>
      </c>
      <c r="D104" s="147" t="s">
        <v>417</v>
      </c>
      <c r="E104" s="139" t="s">
        <v>290</v>
      </c>
      <c r="F104" s="139" t="s">
        <v>282</v>
      </c>
      <c r="G104" s="139" t="s">
        <v>25</v>
      </c>
      <c r="H104" s="139" t="s">
        <v>113</v>
      </c>
      <c r="I104" s="139" t="s">
        <v>166</v>
      </c>
      <c r="J104" s="78" t="s">
        <v>27</v>
      </c>
      <c r="K104" s="78" t="s">
        <v>112</v>
      </c>
      <c r="L104" s="139">
        <v>1</v>
      </c>
      <c r="N104" s="139">
        <v>4</v>
      </c>
      <c r="O104" s="139">
        <v>0.55000000000000004</v>
      </c>
      <c r="P104" s="139">
        <v>0.6</v>
      </c>
      <c r="Q104" s="148">
        <f t="shared" si="3"/>
        <v>0.57499999999999996</v>
      </c>
      <c r="R104" s="139">
        <v>15.6</v>
      </c>
      <c r="S104" s="139">
        <v>104</v>
      </c>
      <c r="T104" s="149">
        <f t="shared" si="4"/>
        <v>33</v>
      </c>
      <c r="U104" s="139">
        <v>398</v>
      </c>
      <c r="V104" s="149">
        <f t="shared" si="5"/>
        <v>3283.5</v>
      </c>
      <c r="W104" s="139">
        <v>14</v>
      </c>
      <c r="X104" s="139" t="s">
        <v>35</v>
      </c>
      <c r="Y104" s="139" t="s">
        <v>55</v>
      </c>
      <c r="Z104" s="139" t="s">
        <v>82</v>
      </c>
      <c r="AA104" s="139" t="s">
        <v>43</v>
      </c>
      <c r="AB104" s="139" t="s">
        <v>178</v>
      </c>
    </row>
    <row r="105" spans="1:28" x14ac:dyDescent="0.15">
      <c r="A105" s="139" t="s">
        <v>40</v>
      </c>
      <c r="B105" s="139" t="s">
        <v>174</v>
      </c>
      <c r="C105" s="139">
        <v>2020</v>
      </c>
      <c r="D105" s="147" t="s">
        <v>417</v>
      </c>
      <c r="E105" s="139" t="s">
        <v>290</v>
      </c>
      <c r="F105" s="139" t="s">
        <v>282</v>
      </c>
      <c r="G105" s="139" t="s">
        <v>25</v>
      </c>
      <c r="H105" s="139" t="s">
        <v>113</v>
      </c>
      <c r="I105" s="139" t="s">
        <v>166</v>
      </c>
      <c r="J105" s="78" t="s">
        <v>27</v>
      </c>
      <c r="K105" s="78" t="s">
        <v>112</v>
      </c>
      <c r="L105" s="139">
        <v>2</v>
      </c>
      <c r="N105" s="139">
        <v>4</v>
      </c>
      <c r="O105" s="139">
        <v>0.25</v>
      </c>
      <c r="P105" s="139">
        <v>0.25</v>
      </c>
      <c r="Q105" s="148">
        <f t="shared" si="3"/>
        <v>0.25</v>
      </c>
      <c r="R105" s="139">
        <v>14.6</v>
      </c>
      <c r="S105" s="139">
        <v>97</v>
      </c>
      <c r="T105" s="149">
        <f t="shared" si="4"/>
        <v>36</v>
      </c>
      <c r="U105" s="139">
        <v>398</v>
      </c>
      <c r="V105" s="149">
        <f t="shared" si="5"/>
        <v>3582</v>
      </c>
      <c r="W105" s="139">
        <v>14</v>
      </c>
      <c r="X105" s="139" t="s">
        <v>35</v>
      </c>
      <c r="Y105" s="139" t="s">
        <v>55</v>
      </c>
      <c r="Z105" s="139" t="s">
        <v>82</v>
      </c>
      <c r="AA105" s="139" t="s">
        <v>43</v>
      </c>
      <c r="AB105" s="139" t="s">
        <v>178</v>
      </c>
    </row>
    <row r="106" spans="1:28" x14ac:dyDescent="0.15">
      <c r="A106" s="139" t="s">
        <v>40</v>
      </c>
      <c r="B106" s="139" t="s">
        <v>174</v>
      </c>
      <c r="C106" s="139">
        <v>2020</v>
      </c>
      <c r="D106" s="147" t="s">
        <v>417</v>
      </c>
      <c r="E106" s="139" t="s">
        <v>290</v>
      </c>
      <c r="F106" s="139" t="s">
        <v>282</v>
      </c>
      <c r="G106" s="139" t="s">
        <v>25</v>
      </c>
      <c r="H106" s="139" t="s">
        <v>113</v>
      </c>
      <c r="I106" s="139" t="s">
        <v>166</v>
      </c>
      <c r="J106" s="78" t="s">
        <v>27</v>
      </c>
      <c r="K106" s="78" t="s">
        <v>112</v>
      </c>
      <c r="L106" s="139">
        <v>3</v>
      </c>
      <c r="N106" s="139">
        <v>4</v>
      </c>
      <c r="O106" s="139">
        <v>0.5</v>
      </c>
      <c r="P106" s="139">
        <v>0.5</v>
      </c>
      <c r="Q106" s="148">
        <f t="shared" si="3"/>
        <v>0.5</v>
      </c>
      <c r="R106" s="139">
        <v>15.2</v>
      </c>
      <c r="S106" s="139">
        <v>97</v>
      </c>
      <c r="T106" s="149">
        <f t="shared" si="4"/>
        <v>36</v>
      </c>
      <c r="U106" s="139">
        <v>398</v>
      </c>
      <c r="V106" s="149">
        <f t="shared" si="5"/>
        <v>3582</v>
      </c>
      <c r="W106" s="139">
        <v>14</v>
      </c>
      <c r="X106" s="139" t="s">
        <v>35</v>
      </c>
      <c r="Y106" s="139" t="s">
        <v>55</v>
      </c>
      <c r="Z106" s="139" t="s">
        <v>82</v>
      </c>
      <c r="AA106" s="139" t="s">
        <v>43</v>
      </c>
      <c r="AB106" s="139" t="s">
        <v>178</v>
      </c>
    </row>
    <row r="107" spans="1:28" x14ac:dyDescent="0.15">
      <c r="A107" s="139" t="s">
        <v>40</v>
      </c>
      <c r="B107" s="139" t="s">
        <v>174</v>
      </c>
      <c r="C107" s="139">
        <v>2020</v>
      </c>
      <c r="D107" s="147" t="s">
        <v>417</v>
      </c>
      <c r="E107" s="139" t="s">
        <v>290</v>
      </c>
      <c r="F107" s="139" t="s">
        <v>282</v>
      </c>
      <c r="G107" s="139" t="s">
        <v>25</v>
      </c>
      <c r="H107" s="139" t="s">
        <v>167</v>
      </c>
      <c r="I107" s="139" t="s">
        <v>111</v>
      </c>
      <c r="J107" s="78" t="s">
        <v>27</v>
      </c>
      <c r="K107" s="78" t="s">
        <v>112</v>
      </c>
      <c r="L107" s="139">
        <v>1</v>
      </c>
      <c r="N107" s="139">
        <v>1</v>
      </c>
      <c r="O107" s="139">
        <v>0.75</v>
      </c>
      <c r="P107" s="139">
        <v>0.9</v>
      </c>
      <c r="Q107" s="148">
        <f t="shared" si="3"/>
        <v>0.82499999999999996</v>
      </c>
      <c r="R107" s="139">
        <v>16.7</v>
      </c>
      <c r="S107" s="139">
        <v>140</v>
      </c>
      <c r="T107" s="149">
        <f t="shared" si="4"/>
        <v>22</v>
      </c>
      <c r="U107" s="139">
        <v>158</v>
      </c>
      <c r="V107" s="149">
        <f t="shared" si="5"/>
        <v>3476</v>
      </c>
      <c r="W107" s="139">
        <v>14</v>
      </c>
      <c r="X107" s="139" t="s">
        <v>35</v>
      </c>
      <c r="Y107" s="139" t="s">
        <v>55</v>
      </c>
      <c r="Z107" s="139" t="s">
        <v>82</v>
      </c>
      <c r="AA107" s="139" t="s">
        <v>43</v>
      </c>
      <c r="AB107" s="139" t="s">
        <v>178</v>
      </c>
    </row>
    <row r="108" spans="1:28" x14ac:dyDescent="0.15">
      <c r="A108" s="139" t="s">
        <v>40</v>
      </c>
      <c r="B108" s="139" t="s">
        <v>174</v>
      </c>
      <c r="C108" s="139">
        <v>2020</v>
      </c>
      <c r="D108" s="147" t="s">
        <v>417</v>
      </c>
      <c r="E108" s="139" t="s">
        <v>290</v>
      </c>
      <c r="F108" s="139" t="s">
        <v>282</v>
      </c>
      <c r="G108" s="139" t="s">
        <v>25</v>
      </c>
      <c r="H108" s="139" t="s">
        <v>167</v>
      </c>
      <c r="I108" s="139" t="s">
        <v>111</v>
      </c>
      <c r="J108" s="78" t="s">
        <v>27</v>
      </c>
      <c r="K108" s="78" t="s">
        <v>112</v>
      </c>
      <c r="L108" s="139">
        <v>2</v>
      </c>
      <c r="N108" s="139">
        <v>1</v>
      </c>
      <c r="O108" s="139">
        <v>0.8</v>
      </c>
      <c r="P108" s="139">
        <v>0.8</v>
      </c>
      <c r="Q108" s="148">
        <f t="shared" si="3"/>
        <v>0.8</v>
      </c>
      <c r="R108" s="139">
        <v>17.100000000000001</v>
      </c>
      <c r="S108" s="139">
        <v>142</v>
      </c>
      <c r="T108" s="149">
        <f t="shared" si="4"/>
        <v>22</v>
      </c>
      <c r="U108" s="139">
        <v>158</v>
      </c>
      <c r="V108" s="149">
        <f t="shared" si="5"/>
        <v>3476</v>
      </c>
      <c r="W108" s="139">
        <v>14</v>
      </c>
      <c r="X108" s="139" t="s">
        <v>35</v>
      </c>
      <c r="Y108" s="139" t="s">
        <v>55</v>
      </c>
      <c r="Z108" s="139" t="s">
        <v>82</v>
      </c>
      <c r="AA108" s="139" t="s">
        <v>43</v>
      </c>
      <c r="AB108" s="139" t="s">
        <v>178</v>
      </c>
    </row>
    <row r="109" spans="1:28" x14ac:dyDescent="0.15">
      <c r="A109" s="139" t="s">
        <v>40</v>
      </c>
      <c r="B109" s="139" t="s">
        <v>174</v>
      </c>
      <c r="C109" s="139">
        <v>2020</v>
      </c>
      <c r="D109" s="147" t="s">
        <v>417</v>
      </c>
      <c r="E109" s="139" t="s">
        <v>290</v>
      </c>
      <c r="F109" s="139" t="s">
        <v>282</v>
      </c>
      <c r="G109" s="139" t="s">
        <v>25</v>
      </c>
      <c r="H109" s="139" t="s">
        <v>167</v>
      </c>
      <c r="I109" s="139" t="s">
        <v>111</v>
      </c>
      <c r="J109" s="78" t="s">
        <v>27</v>
      </c>
      <c r="K109" s="78" t="s">
        <v>112</v>
      </c>
      <c r="L109" s="139">
        <v>3</v>
      </c>
      <c r="N109" s="139">
        <v>1</v>
      </c>
      <c r="O109" s="139">
        <v>0.85</v>
      </c>
      <c r="P109" s="139">
        <v>0.7</v>
      </c>
      <c r="Q109" s="148">
        <f t="shared" si="3"/>
        <v>0.77499999999999991</v>
      </c>
      <c r="R109" s="139">
        <v>17.7</v>
      </c>
      <c r="S109" s="139">
        <v>146</v>
      </c>
      <c r="T109" s="149">
        <f t="shared" si="4"/>
        <v>22</v>
      </c>
      <c r="U109" s="139">
        <v>158</v>
      </c>
      <c r="V109" s="149">
        <f t="shared" si="5"/>
        <v>3476</v>
      </c>
      <c r="W109" s="139">
        <v>14</v>
      </c>
      <c r="X109" s="139" t="s">
        <v>35</v>
      </c>
      <c r="Y109" s="139" t="s">
        <v>55</v>
      </c>
      <c r="Z109" s="139" t="s">
        <v>82</v>
      </c>
      <c r="AA109" s="139" t="s">
        <v>43</v>
      </c>
      <c r="AB109" s="139" t="s">
        <v>178</v>
      </c>
    </row>
    <row r="110" spans="1:28" x14ac:dyDescent="0.15">
      <c r="A110" s="139" t="s">
        <v>40</v>
      </c>
      <c r="B110" s="139" t="s">
        <v>174</v>
      </c>
      <c r="C110" s="139">
        <v>2020</v>
      </c>
      <c r="D110" s="147" t="s">
        <v>417</v>
      </c>
      <c r="E110" s="139" t="s">
        <v>290</v>
      </c>
      <c r="F110" s="139" t="s">
        <v>282</v>
      </c>
      <c r="G110" s="139" t="s">
        <v>25</v>
      </c>
      <c r="H110" s="139" t="s">
        <v>167</v>
      </c>
      <c r="I110" s="139" t="s">
        <v>111</v>
      </c>
      <c r="J110" s="78" t="s">
        <v>27</v>
      </c>
      <c r="K110" s="78" t="s">
        <v>112</v>
      </c>
      <c r="L110" s="139">
        <v>1</v>
      </c>
      <c r="N110" s="139">
        <v>3</v>
      </c>
      <c r="O110" s="139">
        <v>0.75</v>
      </c>
      <c r="P110" s="139">
        <v>0.8</v>
      </c>
      <c r="Q110" s="148">
        <f t="shared" si="3"/>
        <v>0.77500000000000002</v>
      </c>
      <c r="R110" s="139">
        <v>16</v>
      </c>
      <c r="S110" s="139">
        <v>120</v>
      </c>
      <c r="T110" s="149">
        <f t="shared" si="4"/>
        <v>30</v>
      </c>
      <c r="U110" s="139">
        <v>398</v>
      </c>
      <c r="V110" s="149">
        <f t="shared" si="5"/>
        <v>3979.9999999999995</v>
      </c>
      <c r="W110" s="139">
        <v>14</v>
      </c>
      <c r="X110" s="139" t="s">
        <v>35</v>
      </c>
      <c r="Y110" s="139" t="s">
        <v>55</v>
      </c>
      <c r="Z110" s="139" t="s">
        <v>82</v>
      </c>
      <c r="AA110" s="139" t="s">
        <v>43</v>
      </c>
      <c r="AB110" s="139" t="s">
        <v>178</v>
      </c>
    </row>
    <row r="111" spans="1:28" x14ac:dyDescent="0.15">
      <c r="A111" s="139" t="s">
        <v>40</v>
      </c>
      <c r="B111" s="139" t="s">
        <v>174</v>
      </c>
      <c r="C111" s="139">
        <v>2020</v>
      </c>
      <c r="D111" s="147" t="s">
        <v>417</v>
      </c>
      <c r="E111" s="139" t="s">
        <v>290</v>
      </c>
      <c r="F111" s="139" t="s">
        <v>282</v>
      </c>
      <c r="G111" s="139" t="s">
        <v>25</v>
      </c>
      <c r="H111" s="139" t="s">
        <v>167</v>
      </c>
      <c r="I111" s="139" t="s">
        <v>111</v>
      </c>
      <c r="J111" s="78" t="s">
        <v>27</v>
      </c>
      <c r="K111" s="78" t="s">
        <v>112</v>
      </c>
      <c r="L111" s="139">
        <v>2</v>
      </c>
      <c r="N111" s="139">
        <v>3</v>
      </c>
      <c r="O111" s="139">
        <v>0.75</v>
      </c>
      <c r="P111" s="139">
        <v>0.7</v>
      </c>
      <c r="Q111" s="148">
        <f t="shared" si="3"/>
        <v>0.72499999999999998</v>
      </c>
      <c r="R111" s="139">
        <v>16.399999999999999</v>
      </c>
      <c r="S111" s="139">
        <v>122</v>
      </c>
      <c r="T111" s="149">
        <f t="shared" si="4"/>
        <v>27</v>
      </c>
      <c r="U111" s="139">
        <v>398</v>
      </c>
      <c r="V111" s="149">
        <f t="shared" si="5"/>
        <v>3581.9999999999995</v>
      </c>
      <c r="W111" s="139">
        <v>14</v>
      </c>
      <c r="X111" s="139" t="s">
        <v>35</v>
      </c>
      <c r="Y111" s="139" t="s">
        <v>55</v>
      </c>
      <c r="Z111" s="139" t="s">
        <v>82</v>
      </c>
      <c r="AA111" s="139" t="s">
        <v>43</v>
      </c>
      <c r="AB111" s="139" t="s">
        <v>178</v>
      </c>
    </row>
    <row r="112" spans="1:28" x14ac:dyDescent="0.15">
      <c r="A112" s="139" t="s">
        <v>40</v>
      </c>
      <c r="B112" s="139" t="s">
        <v>174</v>
      </c>
      <c r="C112" s="139">
        <v>2020</v>
      </c>
      <c r="D112" s="147" t="s">
        <v>417</v>
      </c>
      <c r="E112" s="139" t="s">
        <v>290</v>
      </c>
      <c r="F112" s="139" t="s">
        <v>282</v>
      </c>
      <c r="G112" s="139" t="s">
        <v>25</v>
      </c>
      <c r="H112" s="139" t="s">
        <v>167</v>
      </c>
      <c r="I112" s="139" t="s">
        <v>111</v>
      </c>
      <c r="J112" s="78" t="s">
        <v>27</v>
      </c>
      <c r="K112" s="78" t="s">
        <v>112</v>
      </c>
      <c r="L112" s="139">
        <v>3</v>
      </c>
      <c r="N112" s="139">
        <v>3</v>
      </c>
      <c r="O112" s="139">
        <v>0.7</v>
      </c>
      <c r="P112" s="139">
        <v>0.7</v>
      </c>
      <c r="Q112" s="148">
        <f t="shared" si="3"/>
        <v>0.7</v>
      </c>
      <c r="R112" s="139">
        <v>16.7</v>
      </c>
      <c r="S112" s="139">
        <v>120</v>
      </c>
      <c r="T112" s="149">
        <f t="shared" si="4"/>
        <v>30</v>
      </c>
      <c r="U112" s="139">
        <v>398</v>
      </c>
      <c r="V112" s="149">
        <f t="shared" si="5"/>
        <v>3979.9999999999995</v>
      </c>
      <c r="W112" s="139">
        <v>14</v>
      </c>
      <c r="X112" s="139" t="s">
        <v>35</v>
      </c>
      <c r="Y112" s="139" t="s">
        <v>55</v>
      </c>
      <c r="Z112" s="139" t="s">
        <v>82</v>
      </c>
      <c r="AA112" s="139" t="s">
        <v>43</v>
      </c>
      <c r="AB112" s="139" t="s">
        <v>178</v>
      </c>
    </row>
    <row r="113" spans="1:28" x14ac:dyDescent="0.15">
      <c r="A113" s="139" t="s">
        <v>40</v>
      </c>
      <c r="B113" s="139" t="s">
        <v>174</v>
      </c>
      <c r="C113" s="139">
        <v>2020</v>
      </c>
      <c r="D113" s="147" t="s">
        <v>417</v>
      </c>
      <c r="E113" s="139" t="s">
        <v>290</v>
      </c>
      <c r="F113" s="139" t="s">
        <v>282</v>
      </c>
      <c r="G113" s="139" t="s">
        <v>25</v>
      </c>
      <c r="H113" s="139" t="s">
        <v>167</v>
      </c>
      <c r="I113" s="139" t="s">
        <v>111</v>
      </c>
      <c r="J113" s="78" t="s">
        <v>27</v>
      </c>
      <c r="K113" s="78" t="s">
        <v>112</v>
      </c>
      <c r="L113" s="139">
        <v>1</v>
      </c>
      <c r="N113" s="139">
        <v>6</v>
      </c>
      <c r="O113" s="139">
        <v>0.8</v>
      </c>
      <c r="P113" s="139">
        <v>0.75</v>
      </c>
      <c r="Q113" s="148">
        <f t="shared" si="3"/>
        <v>0.77500000000000002</v>
      </c>
      <c r="R113" s="139">
        <v>18.2</v>
      </c>
      <c r="S113" s="139">
        <v>142</v>
      </c>
      <c r="T113" s="149">
        <f t="shared" si="4"/>
        <v>22</v>
      </c>
      <c r="U113" s="139">
        <v>880</v>
      </c>
      <c r="V113" s="149">
        <f t="shared" si="5"/>
        <v>3226.6666666666665</v>
      </c>
      <c r="W113" s="139">
        <v>14</v>
      </c>
      <c r="X113" s="139" t="s">
        <v>35</v>
      </c>
      <c r="Y113" s="139" t="s">
        <v>55</v>
      </c>
      <c r="Z113" s="139" t="s">
        <v>82</v>
      </c>
      <c r="AA113" s="139" t="s">
        <v>43</v>
      </c>
      <c r="AB113" s="139" t="s">
        <v>178</v>
      </c>
    </row>
    <row r="114" spans="1:28" x14ac:dyDescent="0.15">
      <c r="A114" s="139" t="s">
        <v>40</v>
      </c>
      <c r="B114" s="139" t="s">
        <v>174</v>
      </c>
      <c r="C114" s="139">
        <v>2020</v>
      </c>
      <c r="D114" s="147" t="s">
        <v>417</v>
      </c>
      <c r="E114" s="139" t="s">
        <v>290</v>
      </c>
      <c r="F114" s="139" t="s">
        <v>282</v>
      </c>
      <c r="G114" s="139" t="s">
        <v>25</v>
      </c>
      <c r="H114" s="139" t="s">
        <v>167</v>
      </c>
      <c r="I114" s="139" t="s">
        <v>111</v>
      </c>
      <c r="J114" s="78" t="s">
        <v>27</v>
      </c>
      <c r="K114" s="78" t="s">
        <v>112</v>
      </c>
      <c r="L114" s="139">
        <v>2</v>
      </c>
      <c r="N114" s="139">
        <v>6</v>
      </c>
      <c r="O114" s="139">
        <v>0.7</v>
      </c>
      <c r="P114" s="139">
        <v>0.8</v>
      </c>
      <c r="Q114" s="148">
        <f t="shared" si="3"/>
        <v>0.75</v>
      </c>
      <c r="R114" s="139">
        <v>17.600000000000001</v>
      </c>
      <c r="S114" s="139">
        <v>138</v>
      </c>
      <c r="T114" s="149">
        <f t="shared" si="4"/>
        <v>22</v>
      </c>
      <c r="U114" s="139">
        <v>880</v>
      </c>
      <c r="V114" s="149">
        <f t="shared" si="5"/>
        <v>3226.6666666666665</v>
      </c>
      <c r="W114" s="139">
        <v>14</v>
      </c>
      <c r="X114" s="139" t="s">
        <v>35</v>
      </c>
      <c r="Y114" s="139" t="s">
        <v>55</v>
      </c>
      <c r="Z114" s="139" t="s">
        <v>82</v>
      </c>
      <c r="AA114" s="139" t="s">
        <v>43</v>
      </c>
      <c r="AB114" s="139" t="s">
        <v>178</v>
      </c>
    </row>
    <row r="115" spans="1:28" x14ac:dyDescent="0.15">
      <c r="A115" s="139" t="s">
        <v>40</v>
      </c>
      <c r="B115" s="139" t="s">
        <v>174</v>
      </c>
      <c r="C115" s="139">
        <v>2020</v>
      </c>
      <c r="D115" s="147" t="s">
        <v>417</v>
      </c>
      <c r="E115" s="139" t="s">
        <v>290</v>
      </c>
      <c r="F115" s="139" t="s">
        <v>282</v>
      </c>
      <c r="G115" s="139" t="s">
        <v>25</v>
      </c>
      <c r="H115" s="139" t="s">
        <v>167</v>
      </c>
      <c r="I115" s="139" t="s">
        <v>111</v>
      </c>
      <c r="J115" s="78" t="s">
        <v>27</v>
      </c>
      <c r="K115" s="78" t="s">
        <v>112</v>
      </c>
      <c r="L115" s="139">
        <v>3</v>
      </c>
      <c r="N115" s="139">
        <v>6</v>
      </c>
      <c r="O115" s="139">
        <v>0.7</v>
      </c>
      <c r="P115" s="139">
        <v>0.7</v>
      </c>
      <c r="Q115" s="148">
        <f t="shared" si="3"/>
        <v>0.7</v>
      </c>
      <c r="R115" s="139">
        <v>17.3</v>
      </c>
      <c r="S115" s="139">
        <v>136</v>
      </c>
      <c r="T115" s="149">
        <f t="shared" si="4"/>
        <v>25</v>
      </c>
      <c r="U115" s="139">
        <v>880</v>
      </c>
      <c r="V115" s="149">
        <f t="shared" si="5"/>
        <v>3666.6666666666665</v>
      </c>
      <c r="W115" s="139">
        <v>14</v>
      </c>
      <c r="X115" s="139" t="s">
        <v>35</v>
      </c>
      <c r="Y115" s="139" t="s">
        <v>55</v>
      </c>
      <c r="Z115" s="139" t="s">
        <v>82</v>
      </c>
      <c r="AA115" s="139" t="s">
        <v>43</v>
      </c>
      <c r="AB115" s="139" t="s">
        <v>178</v>
      </c>
    </row>
    <row r="116" spans="1:28" x14ac:dyDescent="0.15">
      <c r="A116" s="139" t="s">
        <v>40</v>
      </c>
      <c r="B116" s="139" t="s">
        <v>174</v>
      </c>
      <c r="C116" s="139">
        <v>2020</v>
      </c>
      <c r="D116" s="147" t="s">
        <v>417</v>
      </c>
      <c r="E116" s="139" t="s">
        <v>290</v>
      </c>
      <c r="F116" s="139" t="s">
        <v>282</v>
      </c>
      <c r="G116" s="139" t="s">
        <v>25</v>
      </c>
      <c r="H116" s="139" t="s">
        <v>167</v>
      </c>
      <c r="I116" s="139" t="s">
        <v>166</v>
      </c>
      <c r="J116" s="78" t="s">
        <v>27</v>
      </c>
      <c r="K116" s="78" t="s">
        <v>112</v>
      </c>
      <c r="L116" s="139">
        <v>1</v>
      </c>
      <c r="N116" s="139">
        <v>4</v>
      </c>
      <c r="O116" s="139">
        <v>0.65</v>
      </c>
      <c r="P116" s="139">
        <v>0.85</v>
      </c>
      <c r="Q116" s="148">
        <f t="shared" si="3"/>
        <v>0.75</v>
      </c>
      <c r="R116" s="139">
        <v>15.3</v>
      </c>
      <c r="S116" s="139">
        <v>92</v>
      </c>
      <c r="T116" s="149">
        <f t="shared" si="4"/>
        <v>36</v>
      </c>
      <c r="U116" s="139">
        <v>498</v>
      </c>
      <c r="V116" s="149">
        <f t="shared" si="5"/>
        <v>4482</v>
      </c>
      <c r="W116" s="139">
        <v>14</v>
      </c>
      <c r="X116" s="139" t="s">
        <v>35</v>
      </c>
      <c r="Y116" s="139" t="s">
        <v>55</v>
      </c>
      <c r="Z116" s="139" t="s">
        <v>82</v>
      </c>
      <c r="AA116" s="139" t="s">
        <v>43</v>
      </c>
      <c r="AB116" s="139" t="s">
        <v>178</v>
      </c>
    </row>
    <row r="117" spans="1:28" x14ac:dyDescent="0.15">
      <c r="A117" s="139" t="s">
        <v>40</v>
      </c>
      <c r="B117" s="139" t="s">
        <v>174</v>
      </c>
      <c r="C117" s="139">
        <v>2020</v>
      </c>
      <c r="D117" s="147" t="s">
        <v>417</v>
      </c>
      <c r="E117" s="139" t="s">
        <v>290</v>
      </c>
      <c r="F117" s="139" t="s">
        <v>282</v>
      </c>
      <c r="G117" s="139" t="s">
        <v>25</v>
      </c>
      <c r="H117" s="139" t="s">
        <v>167</v>
      </c>
      <c r="I117" s="139" t="s">
        <v>166</v>
      </c>
      <c r="J117" s="78" t="s">
        <v>27</v>
      </c>
      <c r="K117" s="78" t="s">
        <v>112</v>
      </c>
      <c r="L117" s="139">
        <v>2</v>
      </c>
      <c r="N117" s="139">
        <v>4</v>
      </c>
      <c r="O117" s="139">
        <v>0.65</v>
      </c>
      <c r="P117" s="139">
        <v>0.7</v>
      </c>
      <c r="Q117" s="148">
        <f t="shared" si="3"/>
        <v>0.67500000000000004</v>
      </c>
      <c r="R117" s="139">
        <v>16.7</v>
      </c>
      <c r="S117" s="139">
        <v>104</v>
      </c>
      <c r="T117" s="149">
        <f t="shared" si="4"/>
        <v>33</v>
      </c>
      <c r="U117" s="139">
        <v>498</v>
      </c>
      <c r="V117" s="149">
        <f t="shared" si="5"/>
        <v>4108.5</v>
      </c>
      <c r="W117" s="139">
        <v>14</v>
      </c>
      <c r="X117" s="139" t="s">
        <v>35</v>
      </c>
      <c r="Y117" s="139" t="s">
        <v>55</v>
      </c>
      <c r="Z117" s="139" t="s">
        <v>82</v>
      </c>
      <c r="AA117" s="139" t="s">
        <v>43</v>
      </c>
      <c r="AB117" s="139" t="s">
        <v>178</v>
      </c>
    </row>
    <row r="118" spans="1:28" x14ac:dyDescent="0.15">
      <c r="A118" s="139" t="s">
        <v>40</v>
      </c>
      <c r="B118" s="139" t="s">
        <v>174</v>
      </c>
      <c r="C118" s="139">
        <v>2020</v>
      </c>
      <c r="D118" s="147" t="s">
        <v>417</v>
      </c>
      <c r="E118" s="139" t="s">
        <v>290</v>
      </c>
      <c r="F118" s="139" t="s">
        <v>282</v>
      </c>
      <c r="G118" s="139" t="s">
        <v>25</v>
      </c>
      <c r="H118" s="139" t="s">
        <v>167</v>
      </c>
      <c r="I118" s="139" t="s">
        <v>166</v>
      </c>
      <c r="J118" s="78" t="s">
        <v>27</v>
      </c>
      <c r="K118" s="78" t="s">
        <v>112</v>
      </c>
      <c r="L118" s="139">
        <v>3</v>
      </c>
      <c r="N118" s="139">
        <v>4</v>
      </c>
      <c r="O118" s="139">
        <v>0.7</v>
      </c>
      <c r="P118" s="139">
        <v>0.7</v>
      </c>
      <c r="Q118" s="148">
        <f t="shared" si="3"/>
        <v>0.7</v>
      </c>
      <c r="R118" s="139">
        <v>15.9</v>
      </c>
      <c r="S118" s="139">
        <v>96</v>
      </c>
      <c r="T118" s="149">
        <f t="shared" si="4"/>
        <v>36</v>
      </c>
      <c r="U118" s="139">
        <v>498</v>
      </c>
      <c r="V118" s="149">
        <f t="shared" si="5"/>
        <v>4482</v>
      </c>
      <c r="W118" s="139">
        <v>14</v>
      </c>
      <c r="X118" s="139" t="s">
        <v>35</v>
      </c>
      <c r="Y118" s="139" t="s">
        <v>55</v>
      </c>
      <c r="Z118" s="139" t="s">
        <v>82</v>
      </c>
      <c r="AA118" s="139" t="s">
        <v>43</v>
      </c>
      <c r="AB118" s="139" t="s">
        <v>178</v>
      </c>
    </row>
    <row r="119" spans="1:28" x14ac:dyDescent="0.15">
      <c r="A119" s="139" t="s">
        <v>40</v>
      </c>
      <c r="B119" s="139" t="s">
        <v>174</v>
      </c>
      <c r="C119" s="139">
        <v>2020</v>
      </c>
      <c r="D119" s="147" t="s">
        <v>417</v>
      </c>
      <c r="E119" s="139" t="s">
        <v>285</v>
      </c>
      <c r="F119" s="139" t="s">
        <v>286</v>
      </c>
      <c r="G119" s="139" t="s">
        <v>31</v>
      </c>
      <c r="H119" s="139" t="s">
        <v>113</v>
      </c>
      <c r="I119" s="139" t="s">
        <v>111</v>
      </c>
      <c r="J119" s="78" t="s">
        <v>27</v>
      </c>
      <c r="K119" s="78" t="s">
        <v>112</v>
      </c>
      <c r="L119" s="139">
        <v>1</v>
      </c>
      <c r="N119" s="139">
        <v>1</v>
      </c>
      <c r="O119" s="139">
        <v>1</v>
      </c>
      <c r="P119" s="139">
        <v>1.25</v>
      </c>
      <c r="Q119" s="148">
        <f t="shared" si="3"/>
        <v>1.125</v>
      </c>
      <c r="R119" s="139">
        <v>16.5</v>
      </c>
      <c r="S119" s="139">
        <v>130</v>
      </c>
      <c r="T119" s="149">
        <f t="shared" si="4"/>
        <v>25</v>
      </c>
      <c r="U119" s="139">
        <v>128</v>
      </c>
      <c r="V119" s="149">
        <f t="shared" si="5"/>
        <v>3200</v>
      </c>
      <c r="W119" s="139">
        <v>8</v>
      </c>
      <c r="X119" s="139" t="s">
        <v>35</v>
      </c>
      <c r="Y119" s="139" t="s">
        <v>55</v>
      </c>
      <c r="Z119" s="139" t="s">
        <v>43</v>
      </c>
      <c r="AA119" s="139" t="s">
        <v>72</v>
      </c>
      <c r="AB119" s="139" t="s">
        <v>178</v>
      </c>
    </row>
    <row r="120" spans="1:28" x14ac:dyDescent="0.15">
      <c r="A120" s="139" t="s">
        <v>40</v>
      </c>
      <c r="B120" s="139" t="s">
        <v>174</v>
      </c>
      <c r="C120" s="139">
        <v>2020</v>
      </c>
      <c r="D120" s="147" t="s">
        <v>417</v>
      </c>
      <c r="E120" s="139" t="s">
        <v>285</v>
      </c>
      <c r="F120" s="139" t="s">
        <v>286</v>
      </c>
      <c r="G120" s="139" t="s">
        <v>31</v>
      </c>
      <c r="H120" s="139" t="s">
        <v>113</v>
      </c>
      <c r="I120" s="139" t="s">
        <v>111</v>
      </c>
      <c r="J120" s="78" t="s">
        <v>27</v>
      </c>
      <c r="K120" s="78" t="s">
        <v>112</v>
      </c>
      <c r="L120" s="139">
        <v>2</v>
      </c>
      <c r="N120" s="139">
        <v>1</v>
      </c>
      <c r="O120" s="139">
        <v>1.2</v>
      </c>
      <c r="P120" s="139">
        <v>1.1499999999999999</v>
      </c>
      <c r="Q120" s="148">
        <f t="shared" si="3"/>
        <v>1.1749999999999998</v>
      </c>
      <c r="R120" s="139">
        <v>16.8</v>
      </c>
      <c r="S120" s="139">
        <v>134</v>
      </c>
      <c r="T120" s="149">
        <f t="shared" si="4"/>
        <v>25</v>
      </c>
      <c r="U120" s="139">
        <v>128</v>
      </c>
      <c r="V120" s="149">
        <f t="shared" si="5"/>
        <v>3200</v>
      </c>
      <c r="W120" s="139">
        <v>8</v>
      </c>
      <c r="X120" s="139" t="s">
        <v>35</v>
      </c>
      <c r="Y120" s="139" t="s">
        <v>55</v>
      </c>
      <c r="Z120" s="139" t="s">
        <v>43</v>
      </c>
      <c r="AA120" s="139" t="s">
        <v>72</v>
      </c>
      <c r="AB120" s="139" t="s">
        <v>178</v>
      </c>
    </row>
    <row r="121" spans="1:28" x14ac:dyDescent="0.15">
      <c r="A121" s="139" t="s">
        <v>40</v>
      </c>
      <c r="B121" s="139" t="s">
        <v>174</v>
      </c>
      <c r="C121" s="139">
        <v>2020</v>
      </c>
      <c r="D121" s="147" t="s">
        <v>417</v>
      </c>
      <c r="E121" s="139" t="s">
        <v>285</v>
      </c>
      <c r="F121" s="139" t="s">
        <v>286</v>
      </c>
      <c r="G121" s="139" t="s">
        <v>31</v>
      </c>
      <c r="H121" s="139" t="s">
        <v>113</v>
      </c>
      <c r="I121" s="139" t="s">
        <v>111</v>
      </c>
      <c r="J121" s="78" t="s">
        <v>27</v>
      </c>
      <c r="K121" s="78" t="s">
        <v>112</v>
      </c>
      <c r="L121" s="139">
        <v>3</v>
      </c>
      <c r="N121" s="139">
        <v>1</v>
      </c>
      <c r="O121" s="139">
        <v>0.95</v>
      </c>
      <c r="P121" s="139">
        <v>1.05</v>
      </c>
      <c r="Q121" s="148">
        <f t="shared" si="3"/>
        <v>1</v>
      </c>
      <c r="R121" s="139">
        <v>17.100000000000001</v>
      </c>
      <c r="S121" s="139">
        <v>136</v>
      </c>
      <c r="T121" s="149">
        <f t="shared" si="4"/>
        <v>25</v>
      </c>
      <c r="U121" s="139">
        <v>128</v>
      </c>
      <c r="V121" s="149">
        <f t="shared" si="5"/>
        <v>3200</v>
      </c>
      <c r="W121" s="139">
        <v>8</v>
      </c>
      <c r="X121" s="139" t="s">
        <v>35</v>
      </c>
      <c r="Y121" s="139" t="s">
        <v>55</v>
      </c>
      <c r="Z121" s="139" t="s">
        <v>43</v>
      </c>
      <c r="AA121" s="139" t="s">
        <v>72</v>
      </c>
      <c r="AB121" s="139" t="s">
        <v>178</v>
      </c>
    </row>
    <row r="122" spans="1:28" x14ac:dyDescent="0.15">
      <c r="A122" s="139" t="s">
        <v>40</v>
      </c>
      <c r="B122" s="139" t="s">
        <v>174</v>
      </c>
      <c r="C122" s="139">
        <v>2020</v>
      </c>
      <c r="D122" s="147" t="s">
        <v>417</v>
      </c>
      <c r="E122" s="139" t="s">
        <v>285</v>
      </c>
      <c r="F122" s="139" t="s">
        <v>286</v>
      </c>
      <c r="G122" s="139" t="s">
        <v>31</v>
      </c>
      <c r="H122" s="139" t="s">
        <v>113</v>
      </c>
      <c r="I122" s="139" t="s">
        <v>111</v>
      </c>
      <c r="J122" s="78" t="s">
        <v>27</v>
      </c>
      <c r="K122" s="78" t="s">
        <v>112</v>
      </c>
      <c r="L122" s="139">
        <v>1</v>
      </c>
      <c r="N122" s="139">
        <v>4</v>
      </c>
      <c r="O122" s="139">
        <v>1</v>
      </c>
      <c r="P122" s="139">
        <v>0.9</v>
      </c>
      <c r="Q122" s="148">
        <f t="shared" si="3"/>
        <v>0.95</v>
      </c>
      <c r="R122" s="139">
        <v>15.2</v>
      </c>
      <c r="S122" s="139">
        <v>98</v>
      </c>
      <c r="T122" s="149">
        <f t="shared" si="4"/>
        <v>36</v>
      </c>
      <c r="U122" s="139">
        <v>398</v>
      </c>
      <c r="V122" s="149">
        <f t="shared" si="5"/>
        <v>3582</v>
      </c>
      <c r="W122" s="139">
        <v>8</v>
      </c>
      <c r="X122" s="139" t="s">
        <v>35</v>
      </c>
      <c r="Y122" s="139" t="s">
        <v>55</v>
      </c>
      <c r="Z122" s="139" t="s">
        <v>43</v>
      </c>
      <c r="AA122" s="139" t="s">
        <v>72</v>
      </c>
      <c r="AB122" s="139" t="s">
        <v>178</v>
      </c>
    </row>
    <row r="123" spans="1:28" x14ac:dyDescent="0.15">
      <c r="A123" s="139" t="s">
        <v>40</v>
      </c>
      <c r="B123" s="139" t="s">
        <v>174</v>
      </c>
      <c r="C123" s="139">
        <v>2020</v>
      </c>
      <c r="D123" s="147" t="s">
        <v>417</v>
      </c>
      <c r="E123" s="139" t="s">
        <v>285</v>
      </c>
      <c r="F123" s="139" t="s">
        <v>286</v>
      </c>
      <c r="G123" s="139" t="s">
        <v>31</v>
      </c>
      <c r="H123" s="139" t="s">
        <v>113</v>
      </c>
      <c r="I123" s="139" t="s">
        <v>111</v>
      </c>
      <c r="J123" s="78" t="s">
        <v>27</v>
      </c>
      <c r="K123" s="78" t="s">
        <v>112</v>
      </c>
      <c r="L123" s="139">
        <v>2</v>
      </c>
      <c r="N123" s="139">
        <v>4</v>
      </c>
      <c r="O123" s="139">
        <v>0.95</v>
      </c>
      <c r="P123" s="139">
        <v>0.95</v>
      </c>
      <c r="Q123" s="148">
        <f t="shared" si="3"/>
        <v>0.95</v>
      </c>
      <c r="R123" s="139">
        <v>15.5</v>
      </c>
      <c r="S123" s="139">
        <v>100</v>
      </c>
      <c r="T123" s="149">
        <f t="shared" si="4"/>
        <v>33</v>
      </c>
      <c r="U123" s="139">
        <v>398</v>
      </c>
      <c r="V123" s="149">
        <f t="shared" si="5"/>
        <v>3283.5</v>
      </c>
      <c r="W123" s="139">
        <v>8</v>
      </c>
      <c r="X123" s="139" t="s">
        <v>35</v>
      </c>
      <c r="Y123" s="139" t="s">
        <v>55</v>
      </c>
      <c r="Z123" s="139" t="s">
        <v>43</v>
      </c>
      <c r="AA123" s="139" t="s">
        <v>72</v>
      </c>
      <c r="AB123" s="139" t="s">
        <v>178</v>
      </c>
    </row>
    <row r="124" spans="1:28" x14ac:dyDescent="0.15">
      <c r="A124" s="139" t="s">
        <v>40</v>
      </c>
      <c r="B124" s="139" t="s">
        <v>174</v>
      </c>
      <c r="C124" s="139">
        <v>2020</v>
      </c>
      <c r="D124" s="147" t="s">
        <v>417</v>
      </c>
      <c r="E124" s="139" t="s">
        <v>285</v>
      </c>
      <c r="F124" s="139" t="s">
        <v>286</v>
      </c>
      <c r="G124" s="139" t="s">
        <v>31</v>
      </c>
      <c r="H124" s="139" t="s">
        <v>113</v>
      </c>
      <c r="I124" s="139" t="s">
        <v>111</v>
      </c>
      <c r="J124" s="78" t="s">
        <v>27</v>
      </c>
      <c r="K124" s="78" t="s">
        <v>112</v>
      </c>
      <c r="L124" s="139">
        <v>3</v>
      </c>
      <c r="N124" s="139">
        <v>4</v>
      </c>
      <c r="O124" s="139">
        <v>0.9</v>
      </c>
      <c r="P124" s="139">
        <v>0.95</v>
      </c>
      <c r="Q124" s="148">
        <f t="shared" si="3"/>
        <v>0.92500000000000004</v>
      </c>
      <c r="R124" s="139">
        <v>16.100000000000001</v>
      </c>
      <c r="S124" s="139">
        <v>103</v>
      </c>
      <c r="T124" s="149">
        <f t="shared" si="4"/>
        <v>33</v>
      </c>
      <c r="U124" s="139">
        <v>398</v>
      </c>
      <c r="V124" s="149">
        <f t="shared" si="5"/>
        <v>3283.5</v>
      </c>
      <c r="W124" s="139">
        <v>8</v>
      </c>
      <c r="X124" s="139" t="s">
        <v>35</v>
      </c>
      <c r="Y124" s="139" t="s">
        <v>55</v>
      </c>
      <c r="Z124" s="139" t="s">
        <v>43</v>
      </c>
      <c r="AA124" s="139" t="s">
        <v>72</v>
      </c>
      <c r="AB124" s="139" t="s">
        <v>178</v>
      </c>
    </row>
    <row r="125" spans="1:28" x14ac:dyDescent="0.15">
      <c r="A125" s="139" t="s">
        <v>40</v>
      </c>
      <c r="B125" s="139" t="s">
        <v>174</v>
      </c>
      <c r="C125" s="139">
        <v>2020</v>
      </c>
      <c r="D125" s="147" t="s">
        <v>417</v>
      </c>
      <c r="E125" s="139" t="s">
        <v>285</v>
      </c>
      <c r="F125" s="139" t="s">
        <v>286</v>
      </c>
      <c r="G125" s="139" t="s">
        <v>31</v>
      </c>
      <c r="H125" s="139" t="s">
        <v>167</v>
      </c>
      <c r="I125" s="139" t="s">
        <v>111</v>
      </c>
      <c r="J125" s="78" t="s">
        <v>27</v>
      </c>
      <c r="K125" s="78" t="s">
        <v>112</v>
      </c>
      <c r="L125" s="139">
        <v>1</v>
      </c>
      <c r="N125" s="139">
        <v>1</v>
      </c>
      <c r="O125" s="139">
        <v>0.75</v>
      </c>
      <c r="P125" s="139">
        <v>0.75</v>
      </c>
      <c r="Q125" s="148">
        <f t="shared" si="3"/>
        <v>0.75</v>
      </c>
      <c r="R125" s="139">
        <v>16.399999999999999</v>
      </c>
      <c r="S125" s="139">
        <v>128</v>
      </c>
      <c r="T125" s="149">
        <f t="shared" si="4"/>
        <v>27</v>
      </c>
      <c r="U125" s="139">
        <v>128</v>
      </c>
      <c r="V125" s="149">
        <f t="shared" si="5"/>
        <v>3456</v>
      </c>
      <c r="W125" s="139">
        <v>8</v>
      </c>
      <c r="X125" s="139" t="s">
        <v>35</v>
      </c>
      <c r="Y125" s="139" t="s">
        <v>55</v>
      </c>
      <c r="Z125" s="139" t="s">
        <v>43</v>
      </c>
      <c r="AA125" s="139" t="s">
        <v>72</v>
      </c>
      <c r="AB125" s="139" t="s">
        <v>178</v>
      </c>
    </row>
    <row r="126" spans="1:28" x14ac:dyDescent="0.15">
      <c r="A126" s="139" t="s">
        <v>40</v>
      </c>
      <c r="B126" s="139" t="s">
        <v>174</v>
      </c>
      <c r="C126" s="139">
        <v>2020</v>
      </c>
      <c r="D126" s="147" t="s">
        <v>417</v>
      </c>
      <c r="E126" s="139" t="s">
        <v>285</v>
      </c>
      <c r="F126" s="139" t="s">
        <v>286</v>
      </c>
      <c r="G126" s="139" t="s">
        <v>31</v>
      </c>
      <c r="H126" s="139" t="s">
        <v>167</v>
      </c>
      <c r="I126" s="139" t="s">
        <v>111</v>
      </c>
      <c r="J126" s="78" t="s">
        <v>27</v>
      </c>
      <c r="K126" s="78" t="s">
        <v>112</v>
      </c>
      <c r="L126" s="139">
        <v>2</v>
      </c>
      <c r="N126" s="139">
        <v>1</v>
      </c>
      <c r="O126" s="139">
        <v>0.7</v>
      </c>
      <c r="P126" s="139">
        <v>0.7</v>
      </c>
      <c r="Q126" s="148">
        <f t="shared" si="3"/>
        <v>0.7</v>
      </c>
      <c r="R126" s="139">
        <v>16.899999999999999</v>
      </c>
      <c r="S126" s="139">
        <v>132</v>
      </c>
      <c r="T126" s="149">
        <f t="shared" si="4"/>
        <v>25</v>
      </c>
      <c r="U126" s="139">
        <v>128</v>
      </c>
      <c r="V126" s="149">
        <f t="shared" si="5"/>
        <v>3200</v>
      </c>
      <c r="W126" s="139">
        <v>8</v>
      </c>
      <c r="X126" s="139" t="s">
        <v>35</v>
      </c>
      <c r="Y126" s="139" t="s">
        <v>55</v>
      </c>
      <c r="Z126" s="139" t="s">
        <v>43</v>
      </c>
      <c r="AA126" s="139" t="s">
        <v>72</v>
      </c>
      <c r="AB126" s="139" t="s">
        <v>178</v>
      </c>
    </row>
    <row r="127" spans="1:28" x14ac:dyDescent="0.15">
      <c r="A127" s="139" t="s">
        <v>40</v>
      </c>
      <c r="B127" s="139" t="s">
        <v>174</v>
      </c>
      <c r="C127" s="139">
        <v>2020</v>
      </c>
      <c r="D127" s="147" t="s">
        <v>417</v>
      </c>
      <c r="E127" s="139" t="s">
        <v>285</v>
      </c>
      <c r="F127" s="139" t="s">
        <v>286</v>
      </c>
      <c r="G127" s="139" t="s">
        <v>31</v>
      </c>
      <c r="H127" s="139" t="s">
        <v>167</v>
      </c>
      <c r="I127" s="139" t="s">
        <v>111</v>
      </c>
      <c r="J127" s="78" t="s">
        <v>27</v>
      </c>
      <c r="K127" s="78" t="s">
        <v>112</v>
      </c>
      <c r="L127" s="139">
        <v>3</v>
      </c>
      <c r="N127" s="139">
        <v>1</v>
      </c>
      <c r="O127" s="139">
        <v>0.65</v>
      </c>
      <c r="P127" s="139">
        <v>0.8</v>
      </c>
      <c r="Q127" s="148">
        <f t="shared" si="3"/>
        <v>0.72500000000000009</v>
      </c>
      <c r="R127" s="139">
        <v>17.3</v>
      </c>
      <c r="S127" s="139">
        <v>132</v>
      </c>
      <c r="T127" s="149">
        <f t="shared" si="4"/>
        <v>25</v>
      </c>
      <c r="U127" s="139">
        <v>128</v>
      </c>
      <c r="V127" s="149">
        <f t="shared" si="5"/>
        <v>3200</v>
      </c>
      <c r="W127" s="139">
        <v>8</v>
      </c>
      <c r="X127" s="139" t="s">
        <v>35</v>
      </c>
      <c r="Y127" s="139" t="s">
        <v>55</v>
      </c>
      <c r="Z127" s="139" t="s">
        <v>43</v>
      </c>
      <c r="AA127" s="139" t="s">
        <v>72</v>
      </c>
      <c r="AB127" s="139" t="s">
        <v>178</v>
      </c>
    </row>
    <row r="128" spans="1:28" x14ac:dyDescent="0.15">
      <c r="A128" s="139" t="s">
        <v>40</v>
      </c>
      <c r="B128" s="139" t="s">
        <v>174</v>
      </c>
      <c r="C128" s="139">
        <v>2020</v>
      </c>
      <c r="D128" s="147" t="s">
        <v>417</v>
      </c>
      <c r="E128" s="139" t="s">
        <v>285</v>
      </c>
      <c r="F128" s="139" t="s">
        <v>286</v>
      </c>
      <c r="G128" s="139" t="s">
        <v>31</v>
      </c>
      <c r="H128" s="139" t="s">
        <v>167</v>
      </c>
      <c r="I128" s="139" t="s">
        <v>111</v>
      </c>
      <c r="J128" s="78" t="s">
        <v>27</v>
      </c>
      <c r="K128" s="78" t="s">
        <v>112</v>
      </c>
      <c r="L128" s="139">
        <v>1</v>
      </c>
      <c r="N128" s="139">
        <v>4</v>
      </c>
      <c r="O128" s="139">
        <v>0.75</v>
      </c>
      <c r="P128" s="139">
        <v>0.9</v>
      </c>
      <c r="Q128" s="148">
        <f t="shared" si="3"/>
        <v>0.82499999999999996</v>
      </c>
      <c r="R128" s="139">
        <v>14</v>
      </c>
      <c r="S128" s="139">
        <v>99</v>
      </c>
      <c r="T128" s="149">
        <f t="shared" si="4"/>
        <v>33</v>
      </c>
      <c r="U128" s="139">
        <v>398</v>
      </c>
      <c r="V128" s="149">
        <f t="shared" si="5"/>
        <v>3283.5</v>
      </c>
      <c r="W128" s="139">
        <v>8</v>
      </c>
      <c r="X128" s="139" t="s">
        <v>35</v>
      </c>
      <c r="Y128" s="139" t="s">
        <v>55</v>
      </c>
      <c r="Z128" s="139" t="s">
        <v>43</v>
      </c>
      <c r="AA128" s="139" t="s">
        <v>72</v>
      </c>
      <c r="AB128" s="139" t="s">
        <v>178</v>
      </c>
    </row>
    <row r="129" spans="1:28" x14ac:dyDescent="0.15">
      <c r="A129" s="139" t="s">
        <v>40</v>
      </c>
      <c r="B129" s="139" t="s">
        <v>174</v>
      </c>
      <c r="C129" s="139">
        <v>2020</v>
      </c>
      <c r="D129" s="147" t="s">
        <v>417</v>
      </c>
      <c r="E129" s="139" t="s">
        <v>285</v>
      </c>
      <c r="F129" s="139" t="s">
        <v>286</v>
      </c>
      <c r="G129" s="139" t="s">
        <v>31</v>
      </c>
      <c r="H129" s="139" t="s">
        <v>167</v>
      </c>
      <c r="I129" s="139" t="s">
        <v>111</v>
      </c>
      <c r="J129" s="78" t="s">
        <v>27</v>
      </c>
      <c r="K129" s="78" t="s">
        <v>112</v>
      </c>
      <c r="L129" s="139">
        <v>2</v>
      </c>
      <c r="N129" s="139">
        <v>4</v>
      </c>
      <c r="O129" s="139">
        <v>0.8</v>
      </c>
      <c r="P129" s="139">
        <v>0.8</v>
      </c>
      <c r="Q129" s="148">
        <f t="shared" si="3"/>
        <v>0.8</v>
      </c>
      <c r="R129" s="139">
        <v>14.5</v>
      </c>
      <c r="S129" s="139">
        <v>102</v>
      </c>
      <c r="T129" s="149">
        <f t="shared" si="4"/>
        <v>33</v>
      </c>
      <c r="U129" s="139">
        <v>398</v>
      </c>
      <c r="V129" s="149">
        <f t="shared" si="5"/>
        <v>3283.5</v>
      </c>
      <c r="W129" s="139">
        <v>8</v>
      </c>
      <c r="X129" s="139" t="s">
        <v>35</v>
      </c>
      <c r="Y129" s="139" t="s">
        <v>55</v>
      </c>
      <c r="Z129" s="139" t="s">
        <v>43</v>
      </c>
      <c r="AA129" s="139" t="s">
        <v>72</v>
      </c>
      <c r="AB129" s="139" t="s">
        <v>178</v>
      </c>
    </row>
    <row r="130" spans="1:28" x14ac:dyDescent="0.15">
      <c r="A130" s="139" t="s">
        <v>40</v>
      </c>
      <c r="B130" s="139" t="s">
        <v>174</v>
      </c>
      <c r="C130" s="139">
        <v>2020</v>
      </c>
      <c r="D130" s="147" t="s">
        <v>417</v>
      </c>
      <c r="E130" s="139" t="s">
        <v>285</v>
      </c>
      <c r="F130" s="139" t="s">
        <v>286</v>
      </c>
      <c r="G130" s="139" t="s">
        <v>31</v>
      </c>
      <c r="H130" s="139" t="s">
        <v>167</v>
      </c>
      <c r="I130" s="139" t="s">
        <v>111</v>
      </c>
      <c r="J130" s="78" t="s">
        <v>27</v>
      </c>
      <c r="K130" s="78" t="s">
        <v>112</v>
      </c>
      <c r="L130" s="139">
        <v>3</v>
      </c>
      <c r="N130" s="139">
        <v>4</v>
      </c>
      <c r="O130" s="139">
        <v>0.8</v>
      </c>
      <c r="P130" s="139">
        <v>0.7</v>
      </c>
      <c r="Q130" s="148">
        <f t="shared" ref="Q130:Q178" si="6">IF(OR(O130="",P130=""),"",AVERAGE(O130,P130))</f>
        <v>0.75</v>
      </c>
      <c r="R130" s="139">
        <v>15.2</v>
      </c>
      <c r="S130" s="139">
        <v>104</v>
      </c>
      <c r="T130" s="149">
        <f t="shared" ref="T130:T178" si="7">IF(H130="","",IF(OR(H130="GREEN",H130="GK"),IF(S130&gt;=$AX$2,VLOOKUP(S130,$AX$2:$AY$12,2,1),""),IF(S130&gt;=$AZ$2,VLOOKUP(S130,$AZ$2:$BA$12,2,1),"")))</f>
        <v>33</v>
      </c>
      <c r="U130" s="139">
        <v>398</v>
      </c>
      <c r="V130" s="149">
        <f t="shared" ref="V130:V178" si="8">IF(OR(N130="",U130="",T130=""),"",U130/N130*T130)</f>
        <v>3283.5</v>
      </c>
      <c r="W130" s="139">
        <v>8</v>
      </c>
      <c r="X130" s="139" t="s">
        <v>35</v>
      </c>
      <c r="Y130" s="139" t="s">
        <v>55</v>
      </c>
      <c r="Z130" s="139" t="s">
        <v>43</v>
      </c>
      <c r="AA130" s="139" t="s">
        <v>72</v>
      </c>
      <c r="AB130" s="139" t="s">
        <v>178</v>
      </c>
    </row>
    <row r="131" spans="1:28" x14ac:dyDescent="0.15">
      <c r="A131" s="139" t="s">
        <v>40</v>
      </c>
      <c r="B131" s="139" t="s">
        <v>174</v>
      </c>
      <c r="C131" s="139">
        <v>2020</v>
      </c>
      <c r="D131" s="147" t="s">
        <v>417</v>
      </c>
      <c r="E131" s="139" t="s">
        <v>291</v>
      </c>
      <c r="F131" s="139" t="s">
        <v>292</v>
      </c>
      <c r="G131" s="139" t="s">
        <v>25</v>
      </c>
      <c r="H131" s="139" t="s">
        <v>113</v>
      </c>
      <c r="I131" s="139" t="s">
        <v>111</v>
      </c>
      <c r="J131" s="78" t="s">
        <v>27</v>
      </c>
      <c r="K131" s="78" t="s">
        <v>112</v>
      </c>
      <c r="L131" s="139">
        <v>1</v>
      </c>
      <c r="N131" s="139">
        <v>1</v>
      </c>
      <c r="O131" s="139">
        <v>1.1000000000000001</v>
      </c>
      <c r="P131" s="139">
        <v>1.2</v>
      </c>
      <c r="Q131" s="148">
        <f t="shared" si="6"/>
        <v>1.1499999999999999</v>
      </c>
      <c r="R131" s="139">
        <v>16.7</v>
      </c>
      <c r="S131" s="139">
        <v>128</v>
      </c>
      <c r="T131" s="149">
        <f t="shared" si="7"/>
        <v>27</v>
      </c>
      <c r="U131" s="139">
        <v>128</v>
      </c>
      <c r="V131" s="149">
        <f t="shared" si="8"/>
        <v>3456</v>
      </c>
      <c r="W131" s="139">
        <v>12</v>
      </c>
      <c r="X131" s="139" t="s">
        <v>35</v>
      </c>
      <c r="Y131" s="139" t="s">
        <v>82</v>
      </c>
      <c r="Z131" s="139" t="s">
        <v>43</v>
      </c>
      <c r="AA131" s="139" t="s">
        <v>55</v>
      </c>
      <c r="AB131" s="139" t="s">
        <v>178</v>
      </c>
    </row>
    <row r="132" spans="1:28" x14ac:dyDescent="0.15">
      <c r="A132" s="139" t="s">
        <v>40</v>
      </c>
      <c r="B132" s="139" t="s">
        <v>174</v>
      </c>
      <c r="C132" s="139">
        <v>2020</v>
      </c>
      <c r="D132" s="147" t="s">
        <v>417</v>
      </c>
      <c r="E132" s="139" t="s">
        <v>291</v>
      </c>
      <c r="F132" s="139" t="s">
        <v>292</v>
      </c>
      <c r="G132" s="139" t="s">
        <v>25</v>
      </c>
      <c r="H132" s="139" t="s">
        <v>113</v>
      </c>
      <c r="I132" s="139" t="s">
        <v>111</v>
      </c>
      <c r="J132" s="78" t="s">
        <v>27</v>
      </c>
      <c r="K132" s="78" t="s">
        <v>112</v>
      </c>
      <c r="L132" s="139">
        <v>2</v>
      </c>
      <c r="N132" s="139">
        <v>1</v>
      </c>
      <c r="O132" s="139">
        <v>1</v>
      </c>
      <c r="P132" s="139">
        <v>1.1000000000000001</v>
      </c>
      <c r="Q132" s="148">
        <f t="shared" si="6"/>
        <v>1.05</v>
      </c>
      <c r="R132" s="139">
        <v>17.100000000000001</v>
      </c>
      <c r="S132" s="139">
        <v>134</v>
      </c>
      <c r="T132" s="149">
        <f t="shared" si="7"/>
        <v>25</v>
      </c>
      <c r="U132" s="139">
        <v>128</v>
      </c>
      <c r="V132" s="149">
        <f t="shared" si="8"/>
        <v>3200</v>
      </c>
      <c r="W132" s="139">
        <v>12</v>
      </c>
      <c r="X132" s="139" t="s">
        <v>35</v>
      </c>
      <c r="Y132" s="139" t="s">
        <v>82</v>
      </c>
      <c r="Z132" s="139" t="s">
        <v>43</v>
      </c>
      <c r="AA132" s="139" t="s">
        <v>55</v>
      </c>
      <c r="AB132" s="139" t="s">
        <v>178</v>
      </c>
    </row>
    <row r="133" spans="1:28" x14ac:dyDescent="0.15">
      <c r="A133" s="139" t="s">
        <v>40</v>
      </c>
      <c r="B133" s="139" t="s">
        <v>174</v>
      </c>
      <c r="C133" s="139">
        <v>2020</v>
      </c>
      <c r="D133" s="147" t="s">
        <v>417</v>
      </c>
      <c r="E133" s="139" t="s">
        <v>291</v>
      </c>
      <c r="F133" s="139" t="s">
        <v>292</v>
      </c>
      <c r="G133" s="139" t="s">
        <v>25</v>
      </c>
      <c r="H133" s="139" t="s">
        <v>113</v>
      </c>
      <c r="I133" s="139" t="s">
        <v>111</v>
      </c>
      <c r="J133" s="78" t="s">
        <v>27</v>
      </c>
      <c r="K133" s="78" t="s">
        <v>112</v>
      </c>
      <c r="L133" s="139">
        <v>3</v>
      </c>
      <c r="N133" s="139">
        <v>1</v>
      </c>
      <c r="O133" s="139">
        <v>1.1499999999999999</v>
      </c>
      <c r="P133" s="139">
        <v>1.1499999999999999</v>
      </c>
      <c r="Q133" s="148">
        <f t="shared" si="6"/>
        <v>1.1499999999999999</v>
      </c>
      <c r="R133" s="139">
        <v>16.399999999999999</v>
      </c>
      <c r="S133" s="139">
        <v>126</v>
      </c>
      <c r="T133" s="149">
        <f t="shared" si="7"/>
        <v>27</v>
      </c>
      <c r="U133" s="139">
        <v>128</v>
      </c>
      <c r="V133" s="149">
        <f t="shared" si="8"/>
        <v>3456</v>
      </c>
      <c r="W133" s="139">
        <v>12</v>
      </c>
      <c r="X133" s="139" t="s">
        <v>35</v>
      </c>
      <c r="Y133" s="139" t="s">
        <v>82</v>
      </c>
      <c r="Z133" s="139" t="s">
        <v>43</v>
      </c>
      <c r="AA133" s="139" t="s">
        <v>55</v>
      </c>
      <c r="AB133" s="139" t="s">
        <v>178</v>
      </c>
    </row>
    <row r="134" spans="1:28" x14ac:dyDescent="0.15">
      <c r="A134" s="139" t="s">
        <v>40</v>
      </c>
      <c r="B134" s="139" t="s">
        <v>174</v>
      </c>
      <c r="C134" s="139">
        <v>2020</v>
      </c>
      <c r="D134" s="147" t="s">
        <v>417</v>
      </c>
      <c r="E134" s="139" t="s">
        <v>291</v>
      </c>
      <c r="F134" s="139" t="s">
        <v>292</v>
      </c>
      <c r="G134" s="139" t="s">
        <v>25</v>
      </c>
      <c r="H134" s="139" t="s">
        <v>113</v>
      </c>
      <c r="I134" s="139" t="s">
        <v>111</v>
      </c>
      <c r="J134" s="78" t="s">
        <v>27</v>
      </c>
      <c r="K134" s="78" t="s">
        <v>112</v>
      </c>
      <c r="L134" s="139">
        <v>1</v>
      </c>
      <c r="N134" s="139">
        <v>4</v>
      </c>
      <c r="O134" s="139">
        <v>0.65</v>
      </c>
      <c r="P134" s="139">
        <v>0.7</v>
      </c>
      <c r="Q134" s="148">
        <f t="shared" si="6"/>
        <v>0.67500000000000004</v>
      </c>
      <c r="R134" s="139">
        <v>13.9</v>
      </c>
      <c r="S134" s="139">
        <v>102</v>
      </c>
      <c r="U134" s="139">
        <v>398</v>
      </c>
      <c r="V134" s="149" t="str">
        <f t="shared" si="8"/>
        <v/>
      </c>
      <c r="W134" s="139">
        <v>12</v>
      </c>
      <c r="X134" s="139" t="s">
        <v>35</v>
      </c>
      <c r="Y134" s="139" t="s">
        <v>82</v>
      </c>
      <c r="Z134" s="139" t="s">
        <v>43</v>
      </c>
      <c r="AA134" s="139" t="s">
        <v>55</v>
      </c>
      <c r="AB134" s="139" t="s">
        <v>178</v>
      </c>
    </row>
    <row r="135" spans="1:28" x14ac:dyDescent="0.15">
      <c r="A135" s="139" t="s">
        <v>40</v>
      </c>
      <c r="B135" s="139" t="s">
        <v>174</v>
      </c>
      <c r="C135" s="139">
        <v>2020</v>
      </c>
      <c r="D135" s="147" t="s">
        <v>417</v>
      </c>
      <c r="E135" s="139" t="s">
        <v>291</v>
      </c>
      <c r="F135" s="139" t="s">
        <v>292</v>
      </c>
      <c r="G135" s="139" t="s">
        <v>25</v>
      </c>
      <c r="H135" s="139" t="s">
        <v>113</v>
      </c>
      <c r="I135" s="139" t="s">
        <v>111</v>
      </c>
      <c r="J135" s="78" t="s">
        <v>27</v>
      </c>
      <c r="K135" s="78" t="s">
        <v>112</v>
      </c>
      <c r="L135" s="139">
        <v>2</v>
      </c>
      <c r="N135" s="139">
        <v>4</v>
      </c>
      <c r="O135" s="139">
        <v>0.6</v>
      </c>
      <c r="P135" s="139">
        <v>0.6</v>
      </c>
      <c r="Q135" s="148">
        <f t="shared" si="6"/>
        <v>0.6</v>
      </c>
      <c r="R135" s="139">
        <v>14.2</v>
      </c>
      <c r="S135" s="139">
        <v>102</v>
      </c>
      <c r="T135" s="149">
        <f t="shared" si="7"/>
        <v>33</v>
      </c>
      <c r="U135" s="139">
        <v>398</v>
      </c>
      <c r="V135" s="149">
        <f t="shared" si="8"/>
        <v>3283.5</v>
      </c>
      <c r="W135" s="139">
        <v>12</v>
      </c>
      <c r="X135" s="139" t="s">
        <v>35</v>
      </c>
      <c r="Y135" s="139" t="s">
        <v>82</v>
      </c>
      <c r="Z135" s="139" t="s">
        <v>43</v>
      </c>
      <c r="AA135" s="139" t="s">
        <v>55</v>
      </c>
      <c r="AB135" s="139" t="s">
        <v>178</v>
      </c>
    </row>
    <row r="136" spans="1:28" x14ac:dyDescent="0.15">
      <c r="A136" s="139" t="s">
        <v>40</v>
      </c>
      <c r="B136" s="139" t="s">
        <v>174</v>
      </c>
      <c r="C136" s="139">
        <v>2020</v>
      </c>
      <c r="D136" s="147" t="s">
        <v>417</v>
      </c>
      <c r="E136" s="139" t="s">
        <v>291</v>
      </c>
      <c r="F136" s="139" t="s">
        <v>292</v>
      </c>
      <c r="G136" s="139" t="s">
        <v>25</v>
      </c>
      <c r="H136" s="139" t="s">
        <v>113</v>
      </c>
      <c r="I136" s="139" t="s">
        <v>111</v>
      </c>
      <c r="J136" s="78" t="s">
        <v>27</v>
      </c>
      <c r="K136" s="78" t="s">
        <v>112</v>
      </c>
      <c r="L136" s="139">
        <v>3</v>
      </c>
      <c r="N136" s="139">
        <v>4</v>
      </c>
      <c r="O136" s="139">
        <v>0.65</v>
      </c>
      <c r="P136" s="139">
        <v>0.55000000000000004</v>
      </c>
      <c r="Q136" s="148">
        <f t="shared" si="6"/>
        <v>0.60000000000000009</v>
      </c>
      <c r="R136" s="139">
        <v>14.5</v>
      </c>
      <c r="S136" s="139">
        <v>106</v>
      </c>
      <c r="T136" s="149">
        <f t="shared" si="7"/>
        <v>33</v>
      </c>
      <c r="U136" s="139">
        <v>398</v>
      </c>
      <c r="V136" s="149">
        <f t="shared" si="8"/>
        <v>3283.5</v>
      </c>
      <c r="W136" s="139">
        <v>12</v>
      </c>
      <c r="X136" s="139" t="s">
        <v>35</v>
      </c>
      <c r="Y136" s="139" t="s">
        <v>82</v>
      </c>
      <c r="Z136" s="139" t="s">
        <v>43</v>
      </c>
      <c r="AA136" s="139" t="s">
        <v>55</v>
      </c>
      <c r="AB136" s="139" t="s">
        <v>178</v>
      </c>
    </row>
    <row r="137" spans="1:28" x14ac:dyDescent="0.15">
      <c r="A137" s="139" t="s">
        <v>40</v>
      </c>
      <c r="B137" s="139" t="s">
        <v>174</v>
      </c>
      <c r="C137" s="139">
        <v>2020</v>
      </c>
      <c r="D137" s="147" t="s">
        <v>417</v>
      </c>
      <c r="E137" s="139" t="s">
        <v>291</v>
      </c>
      <c r="F137" s="139" t="s">
        <v>292</v>
      </c>
      <c r="G137" s="139" t="s">
        <v>25</v>
      </c>
      <c r="H137" s="139" t="s">
        <v>113</v>
      </c>
      <c r="I137" s="139" t="s">
        <v>111</v>
      </c>
      <c r="J137" s="78" t="s">
        <v>27</v>
      </c>
      <c r="K137" s="78" t="s">
        <v>112</v>
      </c>
      <c r="L137" s="139">
        <v>1</v>
      </c>
      <c r="N137" s="139">
        <v>8</v>
      </c>
      <c r="O137" s="139">
        <v>1.05</v>
      </c>
      <c r="P137" s="139">
        <v>0.9</v>
      </c>
      <c r="Q137" s="148">
        <f t="shared" si="6"/>
        <v>0.97500000000000009</v>
      </c>
      <c r="R137" s="139">
        <v>16.3</v>
      </c>
      <c r="S137" s="139">
        <v>99</v>
      </c>
      <c r="T137" s="149">
        <f t="shared" si="7"/>
        <v>33</v>
      </c>
      <c r="U137" s="139">
        <v>498</v>
      </c>
      <c r="V137" s="149">
        <f t="shared" si="8"/>
        <v>2054.25</v>
      </c>
      <c r="W137" s="139">
        <v>12</v>
      </c>
      <c r="X137" s="139" t="s">
        <v>35</v>
      </c>
      <c r="Y137" s="139" t="s">
        <v>82</v>
      </c>
      <c r="Z137" s="139" t="s">
        <v>43</v>
      </c>
      <c r="AA137" s="139" t="s">
        <v>55</v>
      </c>
      <c r="AB137" s="139" t="s">
        <v>178</v>
      </c>
    </row>
    <row r="138" spans="1:28" x14ac:dyDescent="0.15">
      <c r="A138" s="139" t="s">
        <v>40</v>
      </c>
      <c r="B138" s="139" t="s">
        <v>174</v>
      </c>
      <c r="C138" s="139">
        <v>2020</v>
      </c>
      <c r="D138" s="147" t="s">
        <v>417</v>
      </c>
      <c r="E138" s="139" t="s">
        <v>291</v>
      </c>
      <c r="F138" s="139" t="s">
        <v>292</v>
      </c>
      <c r="G138" s="139" t="s">
        <v>25</v>
      </c>
      <c r="H138" s="139" t="s">
        <v>113</v>
      </c>
      <c r="I138" s="139" t="s">
        <v>111</v>
      </c>
      <c r="J138" s="78" t="s">
        <v>27</v>
      </c>
      <c r="K138" s="78" t="s">
        <v>112</v>
      </c>
      <c r="L138" s="139">
        <v>2</v>
      </c>
      <c r="N138" s="139">
        <v>8</v>
      </c>
      <c r="O138" s="139">
        <v>0.95</v>
      </c>
      <c r="P138" s="139">
        <v>1</v>
      </c>
      <c r="Q138" s="148">
        <f t="shared" si="6"/>
        <v>0.97499999999999998</v>
      </c>
      <c r="R138" s="139">
        <v>16</v>
      </c>
      <c r="S138" s="139">
        <v>96</v>
      </c>
      <c r="T138" s="149">
        <f t="shared" si="7"/>
        <v>36</v>
      </c>
      <c r="U138" s="139">
        <v>498</v>
      </c>
      <c r="V138" s="149">
        <f t="shared" si="8"/>
        <v>2241</v>
      </c>
      <c r="W138" s="139">
        <v>12</v>
      </c>
      <c r="X138" s="139" t="s">
        <v>35</v>
      </c>
      <c r="Y138" s="139" t="s">
        <v>82</v>
      </c>
      <c r="Z138" s="139" t="s">
        <v>43</v>
      </c>
      <c r="AA138" s="139" t="s">
        <v>55</v>
      </c>
      <c r="AB138" s="139" t="s">
        <v>178</v>
      </c>
    </row>
    <row r="139" spans="1:28" x14ac:dyDescent="0.15">
      <c r="A139" s="139" t="s">
        <v>40</v>
      </c>
      <c r="B139" s="139" t="s">
        <v>174</v>
      </c>
      <c r="C139" s="139">
        <v>2020</v>
      </c>
      <c r="D139" s="147" t="s">
        <v>417</v>
      </c>
      <c r="E139" s="139" t="s">
        <v>291</v>
      </c>
      <c r="F139" s="139" t="s">
        <v>292</v>
      </c>
      <c r="G139" s="139" t="s">
        <v>25</v>
      </c>
      <c r="H139" s="139" t="s">
        <v>113</v>
      </c>
      <c r="I139" s="139" t="s">
        <v>111</v>
      </c>
      <c r="J139" s="78" t="s">
        <v>27</v>
      </c>
      <c r="K139" s="78" t="s">
        <v>112</v>
      </c>
      <c r="L139" s="139">
        <v>3</v>
      </c>
      <c r="N139" s="139">
        <v>8</v>
      </c>
      <c r="O139" s="139">
        <v>0.9</v>
      </c>
      <c r="P139" s="139">
        <v>0.95</v>
      </c>
      <c r="Q139" s="148">
        <f t="shared" si="6"/>
        <v>0.92500000000000004</v>
      </c>
      <c r="R139" s="139">
        <v>15.9</v>
      </c>
      <c r="S139" s="139">
        <v>98</v>
      </c>
      <c r="T139" s="149">
        <f t="shared" si="7"/>
        <v>36</v>
      </c>
      <c r="U139" s="139">
        <v>498</v>
      </c>
      <c r="V139" s="149">
        <f t="shared" si="8"/>
        <v>2241</v>
      </c>
      <c r="W139" s="139">
        <v>12</v>
      </c>
      <c r="X139" s="139" t="s">
        <v>35</v>
      </c>
      <c r="Y139" s="139" t="s">
        <v>82</v>
      </c>
      <c r="Z139" s="139" t="s">
        <v>43</v>
      </c>
      <c r="AA139" s="139" t="s">
        <v>55</v>
      </c>
      <c r="AB139" s="139" t="s">
        <v>178</v>
      </c>
    </row>
    <row r="140" spans="1:28" x14ac:dyDescent="0.15">
      <c r="A140" s="139" t="s">
        <v>40</v>
      </c>
      <c r="B140" s="139" t="s">
        <v>174</v>
      </c>
      <c r="C140" s="139">
        <v>2020</v>
      </c>
      <c r="D140" s="147" t="s">
        <v>417</v>
      </c>
      <c r="E140" s="139" t="s">
        <v>291</v>
      </c>
      <c r="F140" s="139" t="s">
        <v>292</v>
      </c>
      <c r="G140" s="139" t="s">
        <v>25</v>
      </c>
      <c r="H140" s="139" t="s">
        <v>167</v>
      </c>
      <c r="I140" s="139" t="s">
        <v>111</v>
      </c>
      <c r="J140" s="78" t="s">
        <v>27</v>
      </c>
      <c r="K140" s="78" t="s">
        <v>112</v>
      </c>
      <c r="L140" s="139">
        <v>1</v>
      </c>
      <c r="N140" s="139">
        <v>1</v>
      </c>
      <c r="O140" s="139">
        <v>0.95</v>
      </c>
      <c r="P140" s="139">
        <v>1.05</v>
      </c>
      <c r="Q140" s="148">
        <f t="shared" si="6"/>
        <v>1</v>
      </c>
      <c r="R140" s="139">
        <v>16.100000000000001</v>
      </c>
      <c r="S140" s="139">
        <v>142</v>
      </c>
      <c r="T140" s="149">
        <f t="shared" si="7"/>
        <v>22</v>
      </c>
      <c r="U140" s="139">
        <v>128</v>
      </c>
      <c r="V140" s="149">
        <f t="shared" si="8"/>
        <v>2816</v>
      </c>
      <c r="W140" s="139">
        <v>12</v>
      </c>
      <c r="X140" s="139" t="s">
        <v>35</v>
      </c>
      <c r="Y140" s="139" t="s">
        <v>82</v>
      </c>
      <c r="Z140" s="139" t="s">
        <v>43</v>
      </c>
      <c r="AA140" s="139" t="s">
        <v>55</v>
      </c>
      <c r="AB140" s="139" t="s">
        <v>178</v>
      </c>
    </row>
    <row r="141" spans="1:28" x14ac:dyDescent="0.15">
      <c r="A141" s="139" t="s">
        <v>40</v>
      </c>
      <c r="B141" s="139" t="s">
        <v>174</v>
      </c>
      <c r="C141" s="139">
        <v>2020</v>
      </c>
      <c r="D141" s="147" t="s">
        <v>417</v>
      </c>
      <c r="E141" s="139" t="s">
        <v>291</v>
      </c>
      <c r="F141" s="139" t="s">
        <v>292</v>
      </c>
      <c r="G141" s="139" t="s">
        <v>25</v>
      </c>
      <c r="H141" s="139" t="s">
        <v>167</v>
      </c>
      <c r="I141" s="139" t="s">
        <v>111</v>
      </c>
      <c r="J141" s="78" t="s">
        <v>27</v>
      </c>
      <c r="K141" s="78" t="s">
        <v>112</v>
      </c>
      <c r="L141" s="139">
        <v>2</v>
      </c>
      <c r="N141" s="139">
        <v>1</v>
      </c>
      <c r="O141" s="139">
        <v>1</v>
      </c>
      <c r="P141" s="139">
        <v>1</v>
      </c>
      <c r="Q141" s="148">
        <f t="shared" si="6"/>
        <v>1</v>
      </c>
      <c r="R141" s="139">
        <v>15.5</v>
      </c>
      <c r="S141" s="139">
        <v>132</v>
      </c>
      <c r="T141" s="149">
        <f t="shared" si="7"/>
        <v>25</v>
      </c>
      <c r="U141" s="139">
        <v>128</v>
      </c>
      <c r="V141" s="149">
        <f t="shared" si="8"/>
        <v>3200</v>
      </c>
      <c r="W141" s="139">
        <v>12</v>
      </c>
      <c r="X141" s="139" t="s">
        <v>35</v>
      </c>
      <c r="Y141" s="139" t="s">
        <v>82</v>
      </c>
      <c r="Z141" s="139" t="s">
        <v>43</v>
      </c>
      <c r="AA141" s="139" t="s">
        <v>55</v>
      </c>
      <c r="AB141" s="139" t="s">
        <v>178</v>
      </c>
    </row>
    <row r="142" spans="1:28" x14ac:dyDescent="0.15">
      <c r="A142" s="139" t="s">
        <v>40</v>
      </c>
      <c r="B142" s="139" t="s">
        <v>174</v>
      </c>
      <c r="C142" s="139">
        <v>2020</v>
      </c>
      <c r="D142" s="147" t="s">
        <v>417</v>
      </c>
      <c r="E142" s="139" t="s">
        <v>291</v>
      </c>
      <c r="F142" s="139" t="s">
        <v>292</v>
      </c>
      <c r="G142" s="139" t="s">
        <v>25</v>
      </c>
      <c r="H142" s="139" t="s">
        <v>167</v>
      </c>
      <c r="I142" s="139" t="s">
        <v>111</v>
      </c>
      <c r="J142" s="78" t="s">
        <v>27</v>
      </c>
      <c r="K142" s="78" t="s">
        <v>112</v>
      </c>
      <c r="L142" s="139">
        <v>3</v>
      </c>
      <c r="N142" s="139">
        <v>1</v>
      </c>
      <c r="O142" s="139">
        <v>0.85</v>
      </c>
      <c r="P142" s="139">
        <v>0.9</v>
      </c>
      <c r="Q142" s="148">
        <f t="shared" si="6"/>
        <v>0.875</v>
      </c>
      <c r="R142" s="139">
        <v>16.8</v>
      </c>
      <c r="S142" s="139">
        <v>142</v>
      </c>
      <c r="T142" s="149">
        <f t="shared" si="7"/>
        <v>22</v>
      </c>
      <c r="U142" s="139">
        <v>128</v>
      </c>
      <c r="V142" s="149">
        <f t="shared" si="8"/>
        <v>2816</v>
      </c>
      <c r="W142" s="139">
        <v>12</v>
      </c>
      <c r="X142" s="139" t="s">
        <v>35</v>
      </c>
      <c r="Y142" s="139" t="s">
        <v>82</v>
      </c>
      <c r="Z142" s="139" t="s">
        <v>43</v>
      </c>
      <c r="AA142" s="139" t="s">
        <v>55</v>
      </c>
      <c r="AB142" s="139" t="s">
        <v>178</v>
      </c>
    </row>
    <row r="143" spans="1:28" x14ac:dyDescent="0.15">
      <c r="A143" s="139" t="s">
        <v>40</v>
      </c>
      <c r="B143" s="139" t="s">
        <v>174</v>
      </c>
      <c r="C143" s="139">
        <v>2020</v>
      </c>
      <c r="D143" s="147" t="s">
        <v>417</v>
      </c>
      <c r="E143" s="139" t="s">
        <v>291</v>
      </c>
      <c r="F143" s="139" t="s">
        <v>292</v>
      </c>
      <c r="G143" s="139" t="s">
        <v>25</v>
      </c>
      <c r="H143" s="139" t="s">
        <v>167</v>
      </c>
      <c r="I143" s="139" t="s">
        <v>111</v>
      </c>
      <c r="J143" s="78" t="s">
        <v>27</v>
      </c>
      <c r="K143" s="78" t="s">
        <v>112</v>
      </c>
      <c r="L143" s="139">
        <v>1</v>
      </c>
      <c r="N143" s="139">
        <v>4</v>
      </c>
      <c r="O143" s="139">
        <v>0.75</v>
      </c>
      <c r="P143" s="139">
        <v>0.85</v>
      </c>
      <c r="Q143" s="148">
        <f t="shared" si="6"/>
        <v>0.8</v>
      </c>
      <c r="R143" s="139">
        <v>15.3</v>
      </c>
      <c r="S143" s="139">
        <v>116</v>
      </c>
      <c r="T143" s="149">
        <f t="shared" si="7"/>
        <v>30</v>
      </c>
      <c r="U143" s="139">
        <v>498</v>
      </c>
      <c r="V143" s="149">
        <f t="shared" si="8"/>
        <v>3735</v>
      </c>
      <c r="W143" s="139">
        <v>12</v>
      </c>
      <c r="X143" s="139" t="s">
        <v>35</v>
      </c>
      <c r="Y143" s="139" t="s">
        <v>82</v>
      </c>
      <c r="Z143" s="139" t="s">
        <v>43</v>
      </c>
      <c r="AA143" s="139" t="s">
        <v>55</v>
      </c>
      <c r="AB143" s="139" t="s">
        <v>178</v>
      </c>
    </row>
    <row r="144" spans="1:28" x14ac:dyDescent="0.15">
      <c r="A144" s="139" t="s">
        <v>40</v>
      </c>
      <c r="B144" s="139" t="s">
        <v>174</v>
      </c>
      <c r="C144" s="139">
        <v>2020</v>
      </c>
      <c r="D144" s="147" t="s">
        <v>417</v>
      </c>
      <c r="E144" s="139" t="s">
        <v>291</v>
      </c>
      <c r="F144" s="139" t="s">
        <v>292</v>
      </c>
      <c r="G144" s="139" t="s">
        <v>25</v>
      </c>
      <c r="H144" s="139" t="s">
        <v>167</v>
      </c>
      <c r="I144" s="139" t="s">
        <v>111</v>
      </c>
      <c r="J144" s="78" t="s">
        <v>27</v>
      </c>
      <c r="K144" s="78" t="s">
        <v>112</v>
      </c>
      <c r="L144" s="139">
        <v>2</v>
      </c>
      <c r="N144" s="139">
        <v>4</v>
      </c>
      <c r="O144" s="139">
        <v>0.75</v>
      </c>
      <c r="P144" s="139">
        <v>0.75</v>
      </c>
      <c r="Q144" s="148">
        <f t="shared" si="6"/>
        <v>0.75</v>
      </c>
      <c r="R144" s="139">
        <v>15.1</v>
      </c>
      <c r="S144" s="139">
        <v>114</v>
      </c>
      <c r="T144" s="149">
        <f t="shared" si="7"/>
        <v>30</v>
      </c>
      <c r="U144" s="139">
        <v>498</v>
      </c>
      <c r="V144" s="149">
        <f t="shared" si="8"/>
        <v>3735</v>
      </c>
      <c r="W144" s="139">
        <v>12</v>
      </c>
      <c r="X144" s="139" t="s">
        <v>35</v>
      </c>
      <c r="Y144" s="139" t="s">
        <v>82</v>
      </c>
      <c r="Z144" s="139" t="s">
        <v>43</v>
      </c>
      <c r="AA144" s="139" t="s">
        <v>55</v>
      </c>
      <c r="AB144" s="139" t="s">
        <v>178</v>
      </c>
    </row>
    <row r="145" spans="1:28" x14ac:dyDescent="0.15">
      <c r="A145" s="139" t="s">
        <v>40</v>
      </c>
      <c r="B145" s="139" t="s">
        <v>174</v>
      </c>
      <c r="C145" s="139">
        <v>2020</v>
      </c>
      <c r="D145" s="147" t="s">
        <v>417</v>
      </c>
      <c r="E145" s="139" t="s">
        <v>291</v>
      </c>
      <c r="F145" s="139" t="s">
        <v>292</v>
      </c>
      <c r="G145" s="139" t="s">
        <v>25</v>
      </c>
      <c r="H145" s="139" t="s">
        <v>167</v>
      </c>
      <c r="I145" s="139" t="s">
        <v>111</v>
      </c>
      <c r="J145" s="78" t="s">
        <v>27</v>
      </c>
      <c r="K145" s="78" t="s">
        <v>112</v>
      </c>
      <c r="L145" s="139">
        <v>3</v>
      </c>
      <c r="N145" s="139">
        <v>4</v>
      </c>
      <c r="O145" s="139">
        <v>0.7</v>
      </c>
      <c r="P145" s="139">
        <v>0.7</v>
      </c>
      <c r="Q145" s="148">
        <f t="shared" si="6"/>
        <v>0.7</v>
      </c>
      <c r="R145" s="139">
        <v>16.899999999999999</v>
      </c>
      <c r="S145" s="139">
        <v>118</v>
      </c>
      <c r="T145" s="149">
        <f t="shared" si="7"/>
        <v>30</v>
      </c>
      <c r="U145" s="139">
        <v>498</v>
      </c>
      <c r="V145" s="149">
        <f t="shared" si="8"/>
        <v>3735</v>
      </c>
      <c r="W145" s="139">
        <v>12</v>
      </c>
      <c r="X145" s="139" t="s">
        <v>35</v>
      </c>
      <c r="Y145" s="139" t="s">
        <v>82</v>
      </c>
      <c r="Z145" s="139" t="s">
        <v>43</v>
      </c>
      <c r="AA145" s="139" t="s">
        <v>55</v>
      </c>
      <c r="AB145" s="139" t="s">
        <v>178</v>
      </c>
    </row>
    <row r="146" spans="1:28" x14ac:dyDescent="0.15">
      <c r="A146" s="139" t="s">
        <v>40</v>
      </c>
      <c r="B146" s="139" t="s">
        <v>174</v>
      </c>
      <c r="C146" s="139">
        <v>2020</v>
      </c>
      <c r="D146" s="147" t="s">
        <v>417</v>
      </c>
      <c r="E146" s="139" t="s">
        <v>291</v>
      </c>
      <c r="F146" s="139" t="s">
        <v>292</v>
      </c>
      <c r="G146" s="139" t="s">
        <v>25</v>
      </c>
      <c r="H146" s="139" t="s">
        <v>167</v>
      </c>
      <c r="I146" s="139" t="s">
        <v>111</v>
      </c>
      <c r="J146" s="78" t="s">
        <v>27</v>
      </c>
      <c r="K146" s="78" t="s">
        <v>112</v>
      </c>
      <c r="L146" s="139">
        <v>1</v>
      </c>
      <c r="N146" s="139">
        <v>8</v>
      </c>
      <c r="O146" s="139">
        <v>0.65</v>
      </c>
      <c r="P146" s="139">
        <v>0.5</v>
      </c>
      <c r="Q146" s="148">
        <f t="shared" si="6"/>
        <v>0.57499999999999996</v>
      </c>
      <c r="R146" s="139">
        <v>18.399999999999999</v>
      </c>
      <c r="S146" s="139">
        <v>98</v>
      </c>
      <c r="T146" s="149">
        <f t="shared" si="7"/>
        <v>36</v>
      </c>
      <c r="U146" s="139">
        <v>780</v>
      </c>
      <c r="V146" s="149">
        <f t="shared" si="8"/>
        <v>3510</v>
      </c>
      <c r="W146" s="139">
        <v>12</v>
      </c>
      <c r="X146" s="139" t="s">
        <v>35</v>
      </c>
      <c r="Y146" s="139" t="s">
        <v>82</v>
      </c>
      <c r="Z146" s="139" t="s">
        <v>43</v>
      </c>
      <c r="AA146" s="139" t="s">
        <v>55</v>
      </c>
      <c r="AB146" s="139" t="s">
        <v>178</v>
      </c>
    </row>
    <row r="147" spans="1:28" x14ac:dyDescent="0.15">
      <c r="A147" s="139" t="s">
        <v>40</v>
      </c>
      <c r="B147" s="139" t="s">
        <v>174</v>
      </c>
      <c r="C147" s="139">
        <v>2020</v>
      </c>
      <c r="D147" s="147" t="s">
        <v>417</v>
      </c>
      <c r="E147" s="139" t="s">
        <v>291</v>
      </c>
      <c r="F147" s="139" t="s">
        <v>292</v>
      </c>
      <c r="G147" s="139" t="s">
        <v>25</v>
      </c>
      <c r="H147" s="139" t="s">
        <v>167</v>
      </c>
      <c r="I147" s="139" t="s">
        <v>111</v>
      </c>
      <c r="J147" s="78" t="s">
        <v>27</v>
      </c>
      <c r="K147" s="78" t="s">
        <v>112</v>
      </c>
      <c r="L147" s="139">
        <v>2</v>
      </c>
      <c r="N147" s="139">
        <v>8</v>
      </c>
      <c r="O147" s="139">
        <v>0.55000000000000004</v>
      </c>
      <c r="P147" s="139">
        <v>0.5</v>
      </c>
      <c r="Q147" s="148">
        <f t="shared" si="6"/>
        <v>0.52500000000000002</v>
      </c>
      <c r="R147" s="139">
        <v>20</v>
      </c>
      <c r="S147" s="139">
        <v>87</v>
      </c>
      <c r="T147" s="149">
        <f t="shared" si="7"/>
        <v>36</v>
      </c>
      <c r="U147" s="139">
        <v>780</v>
      </c>
      <c r="V147" s="149">
        <f t="shared" si="8"/>
        <v>3510</v>
      </c>
      <c r="W147" s="139">
        <v>12</v>
      </c>
      <c r="X147" s="139" t="s">
        <v>35</v>
      </c>
      <c r="Y147" s="139" t="s">
        <v>82</v>
      </c>
      <c r="Z147" s="139" t="s">
        <v>43</v>
      </c>
      <c r="AA147" s="139" t="s">
        <v>55</v>
      </c>
      <c r="AB147" s="139" t="s">
        <v>178</v>
      </c>
    </row>
    <row r="148" spans="1:28" x14ac:dyDescent="0.15">
      <c r="A148" s="139" t="s">
        <v>40</v>
      </c>
      <c r="B148" s="139" t="s">
        <v>174</v>
      </c>
      <c r="C148" s="139">
        <v>2020</v>
      </c>
      <c r="D148" s="147" t="s">
        <v>417</v>
      </c>
      <c r="E148" s="139" t="s">
        <v>291</v>
      </c>
      <c r="F148" s="139" t="s">
        <v>292</v>
      </c>
      <c r="G148" s="139" t="s">
        <v>25</v>
      </c>
      <c r="H148" s="139" t="s">
        <v>167</v>
      </c>
      <c r="I148" s="139" t="s">
        <v>111</v>
      </c>
      <c r="J148" s="78" t="s">
        <v>27</v>
      </c>
      <c r="K148" s="78" t="s">
        <v>112</v>
      </c>
      <c r="L148" s="139">
        <v>3</v>
      </c>
      <c r="N148" s="139">
        <v>8</v>
      </c>
      <c r="O148" s="139">
        <v>0.6</v>
      </c>
      <c r="P148" s="139">
        <v>0.55000000000000004</v>
      </c>
      <c r="Q148" s="148">
        <f t="shared" si="6"/>
        <v>0.57499999999999996</v>
      </c>
      <c r="R148" s="139">
        <v>17.899999999999999</v>
      </c>
      <c r="S148" s="139">
        <v>91</v>
      </c>
      <c r="T148" s="149">
        <f t="shared" si="7"/>
        <v>36</v>
      </c>
      <c r="U148" s="139">
        <v>780</v>
      </c>
      <c r="V148" s="149">
        <f t="shared" si="8"/>
        <v>3510</v>
      </c>
      <c r="W148" s="139">
        <v>12</v>
      </c>
      <c r="X148" s="139" t="s">
        <v>35</v>
      </c>
      <c r="Y148" s="139" t="s">
        <v>82</v>
      </c>
      <c r="Z148" s="139" t="s">
        <v>43</v>
      </c>
      <c r="AA148" s="139" t="s">
        <v>55</v>
      </c>
      <c r="AB148" s="139" t="s">
        <v>178</v>
      </c>
    </row>
    <row r="149" spans="1:28" x14ac:dyDescent="0.15">
      <c r="A149" s="139" t="s">
        <v>40</v>
      </c>
      <c r="B149" s="139" t="s">
        <v>174</v>
      </c>
      <c r="C149" s="139">
        <v>2020</v>
      </c>
      <c r="D149" s="147" t="s">
        <v>417</v>
      </c>
      <c r="E149" s="139" t="s">
        <v>293</v>
      </c>
      <c r="F149" s="139" t="s">
        <v>281</v>
      </c>
      <c r="G149" s="139" t="s">
        <v>25</v>
      </c>
      <c r="H149" s="139" t="s">
        <v>113</v>
      </c>
      <c r="I149" s="139" t="s">
        <v>111</v>
      </c>
      <c r="J149" s="78" t="s">
        <v>27</v>
      </c>
      <c r="K149" s="78" t="s">
        <v>112</v>
      </c>
      <c r="L149" s="139">
        <v>1</v>
      </c>
      <c r="N149" s="139">
        <v>1</v>
      </c>
      <c r="O149" s="139">
        <v>0.75</v>
      </c>
      <c r="P149" s="139">
        <v>0.7</v>
      </c>
      <c r="Q149" s="148">
        <f t="shared" si="6"/>
        <v>0.72499999999999998</v>
      </c>
      <c r="R149" s="139">
        <v>13.7</v>
      </c>
      <c r="S149" s="139">
        <v>120</v>
      </c>
      <c r="T149" s="149">
        <f t="shared" si="7"/>
        <v>30</v>
      </c>
      <c r="U149" s="139">
        <v>78</v>
      </c>
      <c r="V149" s="149">
        <f t="shared" si="8"/>
        <v>2340</v>
      </c>
      <c r="W149" s="139">
        <v>12</v>
      </c>
      <c r="X149" s="139" t="s">
        <v>35</v>
      </c>
      <c r="Y149" s="139" t="s">
        <v>43</v>
      </c>
      <c r="Z149" s="139" t="s">
        <v>55</v>
      </c>
      <c r="AA149" s="139" t="s">
        <v>36</v>
      </c>
      <c r="AB149" s="139" t="s">
        <v>178</v>
      </c>
    </row>
    <row r="150" spans="1:28" x14ac:dyDescent="0.15">
      <c r="A150" s="139" t="s">
        <v>40</v>
      </c>
      <c r="B150" s="139" t="s">
        <v>174</v>
      </c>
      <c r="C150" s="139">
        <v>2020</v>
      </c>
      <c r="D150" s="147" t="s">
        <v>417</v>
      </c>
      <c r="E150" s="139" t="s">
        <v>293</v>
      </c>
      <c r="F150" s="139" t="s">
        <v>281</v>
      </c>
      <c r="G150" s="139" t="s">
        <v>25</v>
      </c>
      <c r="H150" s="139" t="s">
        <v>113</v>
      </c>
      <c r="I150" s="139" t="s">
        <v>111</v>
      </c>
      <c r="J150" s="78" t="s">
        <v>27</v>
      </c>
      <c r="K150" s="78" t="s">
        <v>112</v>
      </c>
      <c r="L150" s="139">
        <v>2</v>
      </c>
      <c r="N150" s="139">
        <v>1</v>
      </c>
      <c r="O150" s="139">
        <v>0.8</v>
      </c>
      <c r="P150" s="139">
        <v>0.85</v>
      </c>
      <c r="Q150" s="148">
        <f t="shared" si="6"/>
        <v>0.82499999999999996</v>
      </c>
      <c r="R150" s="139">
        <v>13.1</v>
      </c>
      <c r="S150" s="139">
        <v>116</v>
      </c>
      <c r="T150" s="149">
        <f t="shared" si="7"/>
        <v>30</v>
      </c>
      <c r="U150" s="139">
        <v>78</v>
      </c>
      <c r="V150" s="149">
        <f t="shared" si="8"/>
        <v>2340</v>
      </c>
      <c r="W150" s="139">
        <v>12</v>
      </c>
      <c r="X150" s="139" t="s">
        <v>35</v>
      </c>
      <c r="Y150" s="139" t="s">
        <v>43</v>
      </c>
      <c r="Z150" s="139" t="s">
        <v>55</v>
      </c>
      <c r="AA150" s="139" t="s">
        <v>36</v>
      </c>
      <c r="AB150" s="139" t="s">
        <v>178</v>
      </c>
    </row>
    <row r="151" spans="1:28" x14ac:dyDescent="0.15">
      <c r="A151" s="139" t="s">
        <v>40</v>
      </c>
      <c r="B151" s="139" t="s">
        <v>174</v>
      </c>
      <c r="C151" s="139">
        <v>2020</v>
      </c>
      <c r="D151" s="147" t="s">
        <v>417</v>
      </c>
      <c r="E151" s="139" t="s">
        <v>293</v>
      </c>
      <c r="F151" s="139" t="s">
        <v>281</v>
      </c>
      <c r="G151" s="139" t="s">
        <v>25</v>
      </c>
      <c r="H151" s="139" t="s">
        <v>113</v>
      </c>
      <c r="I151" s="139" t="s">
        <v>111</v>
      </c>
      <c r="J151" s="78" t="s">
        <v>27</v>
      </c>
      <c r="K151" s="78" t="s">
        <v>112</v>
      </c>
      <c r="L151" s="139">
        <v>3</v>
      </c>
      <c r="N151" s="139">
        <v>1</v>
      </c>
      <c r="O151" s="139">
        <v>0.95</v>
      </c>
      <c r="P151" s="139">
        <v>0.95</v>
      </c>
      <c r="Q151" s="148">
        <f t="shared" si="6"/>
        <v>0.95</v>
      </c>
      <c r="R151" s="139">
        <v>12.3</v>
      </c>
      <c r="S151" s="139">
        <v>112</v>
      </c>
      <c r="T151" s="149">
        <f t="shared" si="7"/>
        <v>33</v>
      </c>
      <c r="U151" s="139">
        <v>78</v>
      </c>
      <c r="V151" s="149">
        <f t="shared" si="8"/>
        <v>2574</v>
      </c>
      <c r="W151" s="139">
        <v>12</v>
      </c>
      <c r="X151" s="139" t="s">
        <v>35</v>
      </c>
      <c r="Y151" s="139" t="s">
        <v>43</v>
      </c>
      <c r="Z151" s="139" t="s">
        <v>55</v>
      </c>
      <c r="AA151" s="139" t="s">
        <v>36</v>
      </c>
      <c r="AB151" s="139" t="s">
        <v>178</v>
      </c>
    </row>
    <row r="152" spans="1:28" x14ac:dyDescent="0.15">
      <c r="A152" s="139" t="s">
        <v>40</v>
      </c>
      <c r="B152" s="139" t="s">
        <v>174</v>
      </c>
      <c r="C152" s="139">
        <v>2020</v>
      </c>
      <c r="D152" s="147" t="s">
        <v>417</v>
      </c>
      <c r="E152" s="139" t="s">
        <v>293</v>
      </c>
      <c r="F152" s="139" t="s">
        <v>281</v>
      </c>
      <c r="G152" s="139" t="s">
        <v>25</v>
      </c>
      <c r="H152" s="139" t="s">
        <v>113</v>
      </c>
      <c r="I152" s="139" t="s">
        <v>111</v>
      </c>
      <c r="J152" s="78" t="s">
        <v>27</v>
      </c>
      <c r="K152" s="78" t="s">
        <v>112</v>
      </c>
      <c r="L152" s="139">
        <v>1</v>
      </c>
      <c r="N152" s="139">
        <v>8</v>
      </c>
      <c r="O152" s="139">
        <v>0.7</v>
      </c>
      <c r="P152" s="139">
        <v>0.6</v>
      </c>
      <c r="Q152" s="148">
        <f t="shared" si="6"/>
        <v>0.64999999999999991</v>
      </c>
      <c r="R152" s="139">
        <v>15.2</v>
      </c>
      <c r="S152" s="139">
        <v>90</v>
      </c>
      <c r="T152" s="149">
        <f t="shared" si="7"/>
        <v>36</v>
      </c>
      <c r="U152" s="139">
        <v>698</v>
      </c>
      <c r="V152" s="149">
        <f t="shared" si="8"/>
        <v>3141</v>
      </c>
      <c r="W152" s="139">
        <v>12</v>
      </c>
      <c r="X152" s="139" t="s">
        <v>35</v>
      </c>
      <c r="Y152" s="139" t="s">
        <v>43</v>
      </c>
      <c r="Z152" s="139" t="s">
        <v>55</v>
      </c>
      <c r="AA152" s="139" t="s">
        <v>36</v>
      </c>
      <c r="AB152" s="139" t="s">
        <v>178</v>
      </c>
    </row>
    <row r="153" spans="1:28" x14ac:dyDescent="0.15">
      <c r="A153" s="139" t="s">
        <v>40</v>
      </c>
      <c r="B153" s="139" t="s">
        <v>174</v>
      </c>
      <c r="C153" s="139">
        <v>2020</v>
      </c>
      <c r="D153" s="147" t="s">
        <v>417</v>
      </c>
      <c r="E153" s="139" t="s">
        <v>293</v>
      </c>
      <c r="F153" s="139" t="s">
        <v>281</v>
      </c>
      <c r="G153" s="139" t="s">
        <v>25</v>
      </c>
      <c r="H153" s="139" t="s">
        <v>113</v>
      </c>
      <c r="I153" s="139" t="s">
        <v>111</v>
      </c>
      <c r="J153" s="78" t="s">
        <v>27</v>
      </c>
      <c r="K153" s="78" t="s">
        <v>112</v>
      </c>
      <c r="L153" s="139">
        <v>2</v>
      </c>
      <c r="N153" s="139">
        <v>8</v>
      </c>
      <c r="O153" s="139">
        <v>0.6</v>
      </c>
      <c r="P153" s="139">
        <v>0.65</v>
      </c>
      <c r="Q153" s="148">
        <f t="shared" si="6"/>
        <v>0.625</v>
      </c>
      <c r="R153" s="139">
        <v>14.5</v>
      </c>
      <c r="S153" s="139">
        <v>85</v>
      </c>
      <c r="T153" s="149">
        <f t="shared" si="7"/>
        <v>36</v>
      </c>
      <c r="U153" s="139">
        <v>698</v>
      </c>
      <c r="V153" s="149">
        <f t="shared" si="8"/>
        <v>3141</v>
      </c>
      <c r="W153" s="139">
        <v>12</v>
      </c>
      <c r="X153" s="139" t="s">
        <v>35</v>
      </c>
      <c r="Y153" s="139" t="s">
        <v>43</v>
      </c>
      <c r="Z153" s="139" t="s">
        <v>55</v>
      </c>
      <c r="AA153" s="139" t="s">
        <v>36</v>
      </c>
      <c r="AB153" s="139" t="s">
        <v>178</v>
      </c>
    </row>
    <row r="154" spans="1:28" x14ac:dyDescent="0.15">
      <c r="A154" s="139" t="s">
        <v>40</v>
      </c>
      <c r="B154" s="139" t="s">
        <v>174</v>
      </c>
      <c r="C154" s="139">
        <v>2020</v>
      </c>
      <c r="D154" s="147" t="s">
        <v>417</v>
      </c>
      <c r="E154" s="139" t="s">
        <v>293</v>
      </c>
      <c r="F154" s="139" t="s">
        <v>281</v>
      </c>
      <c r="G154" s="139" t="s">
        <v>25</v>
      </c>
      <c r="H154" s="139" t="s">
        <v>113</v>
      </c>
      <c r="I154" s="139" t="s">
        <v>111</v>
      </c>
      <c r="J154" s="78" t="s">
        <v>27</v>
      </c>
      <c r="K154" s="78" t="s">
        <v>112</v>
      </c>
      <c r="L154" s="139">
        <v>3</v>
      </c>
      <c r="N154" s="139">
        <v>8</v>
      </c>
      <c r="O154" s="139">
        <v>0.65</v>
      </c>
      <c r="P154" s="139">
        <v>0.65</v>
      </c>
      <c r="Q154" s="148">
        <f t="shared" si="6"/>
        <v>0.65</v>
      </c>
      <c r="R154" s="139">
        <v>14.8</v>
      </c>
      <c r="S154" s="139">
        <v>87</v>
      </c>
      <c r="T154" s="149">
        <f t="shared" si="7"/>
        <v>36</v>
      </c>
      <c r="U154" s="139">
        <v>698</v>
      </c>
      <c r="V154" s="149">
        <f t="shared" si="8"/>
        <v>3141</v>
      </c>
      <c r="W154" s="139">
        <v>12</v>
      </c>
      <c r="X154" s="139" t="s">
        <v>35</v>
      </c>
      <c r="Y154" s="139" t="s">
        <v>43</v>
      </c>
      <c r="Z154" s="139" t="s">
        <v>55</v>
      </c>
      <c r="AA154" s="139" t="s">
        <v>36</v>
      </c>
      <c r="AB154" s="139" t="s">
        <v>178</v>
      </c>
    </row>
    <row r="155" spans="1:28" x14ac:dyDescent="0.15">
      <c r="A155" s="139" t="s">
        <v>40</v>
      </c>
      <c r="B155" s="139" t="s">
        <v>174</v>
      </c>
      <c r="C155" s="139">
        <v>2020</v>
      </c>
      <c r="D155" s="147" t="s">
        <v>417</v>
      </c>
      <c r="E155" s="139" t="s">
        <v>293</v>
      </c>
      <c r="F155" s="139" t="s">
        <v>281</v>
      </c>
      <c r="G155" s="139" t="s">
        <v>25</v>
      </c>
      <c r="H155" s="139" t="s">
        <v>165</v>
      </c>
      <c r="I155" s="139" t="s">
        <v>111</v>
      </c>
      <c r="J155" s="78" t="s">
        <v>27</v>
      </c>
      <c r="K155" s="78" t="s">
        <v>112</v>
      </c>
      <c r="L155" s="139">
        <v>1</v>
      </c>
      <c r="N155" s="139">
        <v>5</v>
      </c>
      <c r="O155" s="139">
        <v>0.6</v>
      </c>
      <c r="P155" s="139">
        <v>0.5</v>
      </c>
      <c r="Q155" s="148">
        <f t="shared" si="6"/>
        <v>0.55000000000000004</v>
      </c>
      <c r="R155" s="139">
        <v>19.399999999999999</v>
      </c>
      <c r="S155" s="139">
        <v>87</v>
      </c>
      <c r="T155" s="149">
        <f t="shared" si="7"/>
        <v>36</v>
      </c>
      <c r="U155" s="139">
        <v>398</v>
      </c>
      <c r="V155" s="149">
        <f t="shared" si="8"/>
        <v>2865.6</v>
      </c>
      <c r="W155" s="139">
        <v>12</v>
      </c>
      <c r="X155" s="139" t="s">
        <v>35</v>
      </c>
      <c r="Y155" s="139" t="s">
        <v>43</v>
      </c>
      <c r="Z155" s="139" t="s">
        <v>55</v>
      </c>
      <c r="AA155" s="139" t="s">
        <v>36</v>
      </c>
      <c r="AB155" s="139" t="s">
        <v>178</v>
      </c>
    </row>
    <row r="156" spans="1:28" x14ac:dyDescent="0.15">
      <c r="A156" s="139" t="s">
        <v>40</v>
      </c>
      <c r="B156" s="139" t="s">
        <v>174</v>
      </c>
      <c r="C156" s="139">
        <v>2020</v>
      </c>
      <c r="D156" s="147" t="s">
        <v>417</v>
      </c>
      <c r="E156" s="139" t="s">
        <v>293</v>
      </c>
      <c r="F156" s="139" t="s">
        <v>281</v>
      </c>
      <c r="G156" s="139" t="s">
        <v>25</v>
      </c>
      <c r="H156" s="139" t="s">
        <v>165</v>
      </c>
      <c r="I156" s="139" t="s">
        <v>111</v>
      </c>
      <c r="J156" s="78" t="s">
        <v>27</v>
      </c>
      <c r="K156" s="78" t="s">
        <v>112</v>
      </c>
      <c r="L156" s="139">
        <v>2</v>
      </c>
      <c r="N156" s="139">
        <v>5</v>
      </c>
      <c r="O156" s="139">
        <v>0.55000000000000004</v>
      </c>
      <c r="P156" s="139">
        <v>0.6</v>
      </c>
      <c r="Q156" s="148">
        <f t="shared" si="6"/>
        <v>0.57499999999999996</v>
      </c>
      <c r="R156" s="139">
        <v>19.3</v>
      </c>
      <c r="S156" s="139">
        <v>86</v>
      </c>
      <c r="T156" s="149">
        <f t="shared" si="7"/>
        <v>36</v>
      </c>
      <c r="U156" s="139">
        <v>398</v>
      </c>
      <c r="V156" s="149">
        <f t="shared" si="8"/>
        <v>2865.6</v>
      </c>
      <c r="W156" s="139">
        <v>12</v>
      </c>
      <c r="X156" s="139" t="s">
        <v>35</v>
      </c>
      <c r="Y156" s="139" t="s">
        <v>43</v>
      </c>
      <c r="Z156" s="139" t="s">
        <v>55</v>
      </c>
      <c r="AA156" s="139" t="s">
        <v>36</v>
      </c>
      <c r="AB156" s="139" t="s">
        <v>178</v>
      </c>
    </row>
    <row r="157" spans="1:28" x14ac:dyDescent="0.15">
      <c r="A157" s="139" t="s">
        <v>40</v>
      </c>
      <c r="B157" s="139" t="s">
        <v>174</v>
      </c>
      <c r="C157" s="139">
        <v>2020</v>
      </c>
      <c r="D157" s="147" t="s">
        <v>417</v>
      </c>
      <c r="E157" s="139" t="s">
        <v>293</v>
      </c>
      <c r="F157" s="139" t="s">
        <v>281</v>
      </c>
      <c r="G157" s="139" t="s">
        <v>25</v>
      </c>
      <c r="H157" s="139" t="s">
        <v>165</v>
      </c>
      <c r="I157" s="139" t="s">
        <v>111</v>
      </c>
      <c r="J157" s="78" t="s">
        <v>27</v>
      </c>
      <c r="K157" s="78" t="s">
        <v>112</v>
      </c>
      <c r="L157" s="139">
        <v>3</v>
      </c>
      <c r="N157" s="139">
        <v>5</v>
      </c>
      <c r="O157" s="139">
        <v>0.6</v>
      </c>
      <c r="P157" s="139">
        <v>0.6</v>
      </c>
      <c r="Q157" s="148">
        <f t="shared" si="6"/>
        <v>0.6</v>
      </c>
      <c r="R157" s="139">
        <v>20.2</v>
      </c>
      <c r="S157" s="139">
        <v>86</v>
      </c>
      <c r="T157" s="149">
        <f t="shared" si="7"/>
        <v>36</v>
      </c>
      <c r="U157" s="139">
        <v>398</v>
      </c>
      <c r="V157" s="149">
        <f t="shared" si="8"/>
        <v>2865.6</v>
      </c>
      <c r="W157" s="139">
        <v>12</v>
      </c>
      <c r="X157" s="139" t="s">
        <v>35</v>
      </c>
      <c r="Y157" s="139" t="s">
        <v>43</v>
      </c>
      <c r="Z157" s="139" t="s">
        <v>55</v>
      </c>
      <c r="AA157" s="139" t="s">
        <v>36</v>
      </c>
      <c r="AB157" s="139" t="s">
        <v>178</v>
      </c>
    </row>
    <row r="158" spans="1:28" x14ac:dyDescent="0.15">
      <c r="A158" s="139" t="s">
        <v>40</v>
      </c>
      <c r="B158" s="139" t="s">
        <v>174</v>
      </c>
      <c r="C158" s="139">
        <v>2020</v>
      </c>
      <c r="D158" s="147" t="s">
        <v>417</v>
      </c>
      <c r="E158" s="139" t="s">
        <v>293</v>
      </c>
      <c r="F158" s="139" t="s">
        <v>281</v>
      </c>
      <c r="G158" s="139" t="s">
        <v>25</v>
      </c>
      <c r="H158" s="139" t="s">
        <v>167</v>
      </c>
      <c r="I158" s="139" t="s">
        <v>111</v>
      </c>
      <c r="J158" s="78" t="s">
        <v>27</v>
      </c>
      <c r="K158" s="78" t="s">
        <v>112</v>
      </c>
      <c r="L158" s="139">
        <v>1</v>
      </c>
      <c r="N158" s="139">
        <v>1</v>
      </c>
      <c r="O158" s="139">
        <v>0.65</v>
      </c>
      <c r="P158" s="139">
        <v>0.5</v>
      </c>
      <c r="Q158" s="148">
        <f t="shared" si="6"/>
        <v>0.57499999999999996</v>
      </c>
      <c r="R158" s="139">
        <v>17.5</v>
      </c>
      <c r="S158" s="139">
        <v>120</v>
      </c>
      <c r="T158" s="149">
        <f t="shared" si="7"/>
        <v>30</v>
      </c>
      <c r="U158" s="139">
        <v>98</v>
      </c>
      <c r="V158" s="149">
        <f t="shared" si="8"/>
        <v>2940</v>
      </c>
      <c r="W158" s="139">
        <v>12</v>
      </c>
      <c r="X158" s="139" t="s">
        <v>35</v>
      </c>
      <c r="Y158" s="139" t="s">
        <v>43</v>
      </c>
      <c r="Z158" s="139" t="s">
        <v>55</v>
      </c>
      <c r="AA158" s="139" t="s">
        <v>36</v>
      </c>
      <c r="AB158" s="139" t="s">
        <v>178</v>
      </c>
    </row>
    <row r="159" spans="1:28" x14ac:dyDescent="0.15">
      <c r="A159" s="139" t="s">
        <v>40</v>
      </c>
      <c r="B159" s="139" t="s">
        <v>174</v>
      </c>
      <c r="C159" s="139">
        <v>2020</v>
      </c>
      <c r="D159" s="147" t="s">
        <v>417</v>
      </c>
      <c r="E159" s="139" t="s">
        <v>293</v>
      </c>
      <c r="F159" s="139" t="s">
        <v>281</v>
      </c>
      <c r="G159" s="139" t="s">
        <v>25</v>
      </c>
      <c r="H159" s="139" t="s">
        <v>167</v>
      </c>
      <c r="I159" s="139" t="s">
        <v>111</v>
      </c>
      <c r="J159" s="78" t="s">
        <v>27</v>
      </c>
      <c r="K159" s="78" t="s">
        <v>112</v>
      </c>
      <c r="L159" s="139">
        <v>2</v>
      </c>
      <c r="N159" s="139">
        <v>1</v>
      </c>
      <c r="O159" s="139">
        <v>0.7</v>
      </c>
      <c r="P159" s="139">
        <v>0.65</v>
      </c>
      <c r="Q159" s="148">
        <f t="shared" si="6"/>
        <v>0.67500000000000004</v>
      </c>
      <c r="R159" s="139">
        <v>16.8</v>
      </c>
      <c r="S159" s="139">
        <v>122</v>
      </c>
      <c r="T159" s="149">
        <f t="shared" si="7"/>
        <v>27</v>
      </c>
      <c r="U159" s="139">
        <v>98</v>
      </c>
      <c r="V159" s="149">
        <f t="shared" si="8"/>
        <v>2646</v>
      </c>
      <c r="W159" s="139">
        <v>12</v>
      </c>
      <c r="X159" s="139" t="s">
        <v>35</v>
      </c>
      <c r="Y159" s="139" t="s">
        <v>43</v>
      </c>
      <c r="Z159" s="139" t="s">
        <v>55</v>
      </c>
      <c r="AA159" s="139" t="s">
        <v>36</v>
      </c>
      <c r="AB159" s="139" t="s">
        <v>178</v>
      </c>
    </row>
    <row r="160" spans="1:28" x14ac:dyDescent="0.15">
      <c r="A160" s="139" t="s">
        <v>40</v>
      </c>
      <c r="B160" s="139" t="s">
        <v>174</v>
      </c>
      <c r="C160" s="139">
        <v>2020</v>
      </c>
      <c r="D160" s="147" t="s">
        <v>417</v>
      </c>
      <c r="E160" s="139" t="s">
        <v>293</v>
      </c>
      <c r="F160" s="139" t="s">
        <v>281</v>
      </c>
      <c r="G160" s="139" t="s">
        <v>25</v>
      </c>
      <c r="H160" s="139" t="s">
        <v>167</v>
      </c>
      <c r="I160" s="139" t="s">
        <v>111</v>
      </c>
      <c r="J160" s="78" t="s">
        <v>27</v>
      </c>
      <c r="K160" s="78" t="s">
        <v>112</v>
      </c>
      <c r="L160" s="139">
        <v>3</v>
      </c>
      <c r="N160" s="139">
        <v>1</v>
      </c>
      <c r="O160" s="139">
        <v>0.7</v>
      </c>
      <c r="P160" s="139">
        <v>0.7</v>
      </c>
      <c r="Q160" s="148">
        <f t="shared" si="6"/>
        <v>0.7</v>
      </c>
      <c r="R160" s="139">
        <v>16.5</v>
      </c>
      <c r="S160" s="139">
        <v>122</v>
      </c>
      <c r="T160" s="149">
        <f t="shared" si="7"/>
        <v>27</v>
      </c>
      <c r="U160" s="139">
        <v>98</v>
      </c>
      <c r="V160" s="149">
        <f t="shared" si="8"/>
        <v>2646</v>
      </c>
      <c r="W160" s="139">
        <v>12</v>
      </c>
      <c r="X160" s="139" t="s">
        <v>35</v>
      </c>
      <c r="Y160" s="139" t="s">
        <v>43</v>
      </c>
      <c r="Z160" s="139" t="s">
        <v>55</v>
      </c>
      <c r="AA160" s="139" t="s">
        <v>36</v>
      </c>
      <c r="AB160" s="139" t="s">
        <v>178</v>
      </c>
    </row>
    <row r="161" spans="1:28" x14ac:dyDescent="0.15">
      <c r="A161" s="139" t="s">
        <v>40</v>
      </c>
      <c r="B161" s="139" t="s">
        <v>174</v>
      </c>
      <c r="C161" s="139">
        <v>2020</v>
      </c>
      <c r="D161" s="147" t="s">
        <v>417</v>
      </c>
      <c r="E161" s="139" t="s">
        <v>293</v>
      </c>
      <c r="F161" s="139" t="s">
        <v>281</v>
      </c>
      <c r="G161" s="139" t="s">
        <v>25</v>
      </c>
      <c r="H161" s="139" t="s">
        <v>167</v>
      </c>
      <c r="I161" s="139" t="s">
        <v>111</v>
      </c>
      <c r="J161" s="78" t="s">
        <v>27</v>
      </c>
      <c r="K161" s="78" t="s">
        <v>112</v>
      </c>
      <c r="L161" s="139">
        <v>1</v>
      </c>
      <c r="N161" s="139">
        <v>4</v>
      </c>
      <c r="O161" s="139">
        <v>0.8</v>
      </c>
      <c r="P161" s="139">
        <v>0.85</v>
      </c>
      <c r="Q161" s="148">
        <f t="shared" si="6"/>
        <v>0.82499999999999996</v>
      </c>
      <c r="R161" s="139">
        <v>16.600000000000001</v>
      </c>
      <c r="S161" s="139">
        <v>88</v>
      </c>
      <c r="T161" s="149">
        <f t="shared" si="7"/>
        <v>36</v>
      </c>
      <c r="U161" s="139">
        <v>398</v>
      </c>
      <c r="V161" s="149">
        <f t="shared" si="8"/>
        <v>3582</v>
      </c>
      <c r="W161" s="139">
        <v>12</v>
      </c>
      <c r="X161" s="139" t="s">
        <v>35</v>
      </c>
      <c r="Y161" s="139" t="s">
        <v>43</v>
      </c>
      <c r="Z161" s="139" t="s">
        <v>55</v>
      </c>
      <c r="AA161" s="139" t="s">
        <v>36</v>
      </c>
      <c r="AB161" s="139" t="s">
        <v>178</v>
      </c>
    </row>
    <row r="162" spans="1:28" x14ac:dyDescent="0.15">
      <c r="A162" s="139" t="s">
        <v>40</v>
      </c>
      <c r="B162" s="139" t="s">
        <v>174</v>
      </c>
      <c r="C162" s="139">
        <v>2020</v>
      </c>
      <c r="D162" s="147" t="s">
        <v>417</v>
      </c>
      <c r="E162" s="139" t="s">
        <v>293</v>
      </c>
      <c r="F162" s="139" t="s">
        <v>281</v>
      </c>
      <c r="G162" s="139" t="s">
        <v>25</v>
      </c>
      <c r="H162" s="139" t="s">
        <v>167</v>
      </c>
      <c r="I162" s="139" t="s">
        <v>111</v>
      </c>
      <c r="J162" s="78" t="s">
        <v>27</v>
      </c>
      <c r="K162" s="78" t="s">
        <v>112</v>
      </c>
      <c r="L162" s="139">
        <v>2</v>
      </c>
      <c r="N162" s="139">
        <v>4</v>
      </c>
      <c r="O162" s="139">
        <v>0.8</v>
      </c>
      <c r="P162" s="139">
        <v>0.7</v>
      </c>
      <c r="Q162" s="148">
        <f t="shared" si="6"/>
        <v>0.75</v>
      </c>
      <c r="R162" s="139">
        <v>17.3</v>
      </c>
      <c r="S162" s="139">
        <v>94</v>
      </c>
      <c r="T162" s="149">
        <f t="shared" si="7"/>
        <v>36</v>
      </c>
      <c r="U162" s="139">
        <v>398</v>
      </c>
      <c r="V162" s="149">
        <f t="shared" si="8"/>
        <v>3582</v>
      </c>
      <c r="W162" s="139">
        <v>12</v>
      </c>
      <c r="X162" s="139" t="s">
        <v>35</v>
      </c>
      <c r="Y162" s="139" t="s">
        <v>43</v>
      </c>
      <c r="Z162" s="139" t="s">
        <v>55</v>
      </c>
      <c r="AA162" s="139" t="s">
        <v>36</v>
      </c>
      <c r="AB162" s="139" t="s">
        <v>178</v>
      </c>
    </row>
    <row r="163" spans="1:28" x14ac:dyDescent="0.15">
      <c r="A163" s="139" t="s">
        <v>40</v>
      </c>
      <c r="B163" s="139" t="s">
        <v>174</v>
      </c>
      <c r="C163" s="139">
        <v>2020</v>
      </c>
      <c r="D163" s="147" t="s">
        <v>417</v>
      </c>
      <c r="E163" s="139" t="s">
        <v>293</v>
      </c>
      <c r="F163" s="139" t="s">
        <v>281</v>
      </c>
      <c r="G163" s="139" t="s">
        <v>25</v>
      </c>
      <c r="H163" s="139" t="s">
        <v>167</v>
      </c>
      <c r="I163" s="139" t="s">
        <v>111</v>
      </c>
      <c r="J163" s="78" t="s">
        <v>27</v>
      </c>
      <c r="K163" s="78" t="s">
        <v>112</v>
      </c>
      <c r="L163" s="139">
        <v>3</v>
      </c>
      <c r="N163" s="139">
        <v>4</v>
      </c>
      <c r="O163" s="139">
        <v>0.85</v>
      </c>
      <c r="P163" s="139">
        <v>0.9</v>
      </c>
      <c r="Q163" s="148">
        <f t="shared" si="6"/>
        <v>0.875</v>
      </c>
      <c r="R163" s="139">
        <v>16.899999999999999</v>
      </c>
      <c r="S163" s="139">
        <v>85</v>
      </c>
      <c r="T163" s="149">
        <f t="shared" si="7"/>
        <v>36</v>
      </c>
      <c r="U163" s="139">
        <v>398</v>
      </c>
      <c r="V163" s="149">
        <f t="shared" si="8"/>
        <v>3582</v>
      </c>
      <c r="W163" s="139">
        <v>12</v>
      </c>
      <c r="X163" s="139" t="s">
        <v>35</v>
      </c>
      <c r="Y163" s="139" t="s">
        <v>43</v>
      </c>
      <c r="Z163" s="139" t="s">
        <v>55</v>
      </c>
      <c r="AA163" s="139" t="s">
        <v>36</v>
      </c>
      <c r="AB163" s="139" t="s">
        <v>178</v>
      </c>
    </row>
    <row r="164" spans="1:28" x14ac:dyDescent="0.15">
      <c r="A164" s="139" t="s">
        <v>40</v>
      </c>
      <c r="B164" s="139" t="s">
        <v>174</v>
      </c>
      <c r="C164" s="139">
        <v>2020</v>
      </c>
      <c r="D164" s="147" t="s">
        <v>417</v>
      </c>
      <c r="E164" s="139" t="s">
        <v>293</v>
      </c>
      <c r="F164" s="139" t="s">
        <v>281</v>
      </c>
      <c r="G164" s="139" t="s">
        <v>25</v>
      </c>
      <c r="H164" s="139" t="s">
        <v>167</v>
      </c>
      <c r="I164" s="139" t="s">
        <v>111</v>
      </c>
      <c r="J164" s="78" t="s">
        <v>27</v>
      </c>
      <c r="K164" s="78" t="s">
        <v>112</v>
      </c>
      <c r="L164" s="139">
        <v>1</v>
      </c>
      <c r="N164" s="139">
        <v>8</v>
      </c>
      <c r="O164" s="139">
        <v>0.7</v>
      </c>
      <c r="P164" s="139">
        <v>0.65</v>
      </c>
      <c r="Q164" s="148">
        <f t="shared" si="6"/>
        <v>0.67500000000000004</v>
      </c>
      <c r="R164" s="139">
        <v>16.2</v>
      </c>
      <c r="S164" s="139">
        <v>100</v>
      </c>
      <c r="T164" s="149">
        <f t="shared" si="7"/>
        <v>33</v>
      </c>
      <c r="U164" s="139">
        <v>698</v>
      </c>
      <c r="V164" s="149">
        <f t="shared" si="8"/>
        <v>2879.25</v>
      </c>
      <c r="W164" s="139">
        <v>12</v>
      </c>
      <c r="X164" s="139" t="s">
        <v>35</v>
      </c>
      <c r="Y164" s="139" t="s">
        <v>43</v>
      </c>
      <c r="Z164" s="139" t="s">
        <v>55</v>
      </c>
      <c r="AA164" s="139" t="s">
        <v>36</v>
      </c>
      <c r="AB164" s="139" t="s">
        <v>178</v>
      </c>
    </row>
    <row r="165" spans="1:28" x14ac:dyDescent="0.15">
      <c r="A165" s="139" t="s">
        <v>40</v>
      </c>
      <c r="B165" s="139" t="s">
        <v>174</v>
      </c>
      <c r="C165" s="139">
        <v>2020</v>
      </c>
      <c r="D165" s="147" t="s">
        <v>417</v>
      </c>
      <c r="E165" s="139" t="s">
        <v>293</v>
      </c>
      <c r="F165" s="139" t="s">
        <v>281</v>
      </c>
      <c r="G165" s="139" t="s">
        <v>25</v>
      </c>
      <c r="H165" s="139" t="s">
        <v>167</v>
      </c>
      <c r="I165" s="139" t="s">
        <v>111</v>
      </c>
      <c r="J165" s="78" t="s">
        <v>27</v>
      </c>
      <c r="K165" s="78" t="s">
        <v>112</v>
      </c>
      <c r="L165" s="139">
        <v>2</v>
      </c>
      <c r="N165" s="139">
        <v>8</v>
      </c>
      <c r="O165" s="139">
        <v>0.75</v>
      </c>
      <c r="P165" s="139">
        <v>0.75</v>
      </c>
      <c r="Q165" s="148">
        <f t="shared" si="6"/>
        <v>0.75</v>
      </c>
      <c r="R165" s="139">
        <v>15.3</v>
      </c>
      <c r="S165" s="139">
        <v>98</v>
      </c>
      <c r="T165" s="149">
        <f t="shared" si="7"/>
        <v>36</v>
      </c>
      <c r="U165" s="139">
        <v>698</v>
      </c>
      <c r="V165" s="149">
        <f t="shared" si="8"/>
        <v>3141</v>
      </c>
      <c r="W165" s="139">
        <v>12</v>
      </c>
      <c r="X165" s="139" t="s">
        <v>35</v>
      </c>
      <c r="Y165" s="139" t="s">
        <v>43</v>
      </c>
      <c r="Z165" s="139" t="s">
        <v>55</v>
      </c>
      <c r="AA165" s="139" t="s">
        <v>36</v>
      </c>
      <c r="AB165" s="139" t="s">
        <v>178</v>
      </c>
    </row>
    <row r="166" spans="1:28" x14ac:dyDescent="0.15">
      <c r="A166" s="139" t="s">
        <v>40</v>
      </c>
      <c r="B166" s="139" t="s">
        <v>174</v>
      </c>
      <c r="C166" s="139">
        <v>2020</v>
      </c>
      <c r="D166" s="147" t="s">
        <v>417</v>
      </c>
      <c r="E166" s="139" t="s">
        <v>293</v>
      </c>
      <c r="F166" s="139" t="s">
        <v>281</v>
      </c>
      <c r="G166" s="139" t="s">
        <v>25</v>
      </c>
      <c r="H166" s="139" t="s">
        <v>167</v>
      </c>
      <c r="I166" s="139" t="s">
        <v>111</v>
      </c>
      <c r="J166" s="78" t="s">
        <v>27</v>
      </c>
      <c r="K166" s="78" t="s">
        <v>112</v>
      </c>
      <c r="L166" s="139">
        <v>3</v>
      </c>
      <c r="N166" s="139">
        <v>8</v>
      </c>
      <c r="O166" s="139">
        <v>0.8</v>
      </c>
      <c r="P166" s="139">
        <v>0.7</v>
      </c>
      <c r="Q166" s="148">
        <f t="shared" si="6"/>
        <v>0.75</v>
      </c>
      <c r="R166" s="139">
        <v>15.5</v>
      </c>
      <c r="S166" s="139">
        <v>98</v>
      </c>
      <c r="T166" s="149">
        <f t="shared" si="7"/>
        <v>36</v>
      </c>
      <c r="U166" s="139">
        <v>698</v>
      </c>
      <c r="V166" s="149">
        <f t="shared" si="8"/>
        <v>3141</v>
      </c>
      <c r="W166" s="139">
        <v>12</v>
      </c>
      <c r="X166" s="139" t="s">
        <v>35</v>
      </c>
      <c r="Y166" s="139" t="s">
        <v>43</v>
      </c>
      <c r="Z166" s="139" t="s">
        <v>55</v>
      </c>
      <c r="AA166" s="139" t="s">
        <v>36</v>
      </c>
      <c r="AB166" s="139" t="s">
        <v>178</v>
      </c>
    </row>
    <row r="167" spans="1:28" x14ac:dyDescent="0.15">
      <c r="D167" s="147"/>
      <c r="Q167" s="148" t="str">
        <f t="shared" si="6"/>
        <v/>
      </c>
      <c r="T167" s="149" t="str">
        <f t="shared" si="7"/>
        <v/>
      </c>
      <c r="V167" s="149" t="str">
        <f t="shared" si="8"/>
        <v/>
      </c>
    </row>
    <row r="168" spans="1:28" x14ac:dyDescent="0.15">
      <c r="D168" s="147"/>
      <c r="Q168" s="148" t="str">
        <f t="shared" si="6"/>
        <v/>
      </c>
      <c r="T168" s="149" t="str">
        <f t="shared" si="7"/>
        <v/>
      </c>
      <c r="V168" s="149" t="str">
        <f t="shared" si="8"/>
        <v/>
      </c>
    </row>
    <row r="169" spans="1:28" x14ac:dyDescent="0.15">
      <c r="D169" s="147"/>
      <c r="Q169" s="148" t="str">
        <f t="shared" si="6"/>
        <v/>
      </c>
      <c r="T169" s="149" t="str">
        <f t="shared" si="7"/>
        <v/>
      </c>
      <c r="V169" s="149" t="str">
        <f t="shared" si="8"/>
        <v/>
      </c>
    </row>
    <row r="170" spans="1:28" x14ac:dyDescent="0.15">
      <c r="D170" s="147"/>
      <c r="Q170" s="148" t="str">
        <f t="shared" si="6"/>
        <v/>
      </c>
      <c r="T170" s="149" t="str">
        <f t="shared" si="7"/>
        <v/>
      </c>
      <c r="V170" s="149" t="str">
        <f t="shared" si="8"/>
        <v/>
      </c>
    </row>
    <row r="171" spans="1:28" x14ac:dyDescent="0.15">
      <c r="D171" s="147"/>
      <c r="Q171" s="148" t="str">
        <f t="shared" si="6"/>
        <v/>
      </c>
      <c r="T171" s="149" t="str">
        <f t="shared" si="7"/>
        <v/>
      </c>
      <c r="V171" s="149" t="str">
        <f t="shared" si="8"/>
        <v/>
      </c>
    </row>
    <row r="172" spans="1:28" x14ac:dyDescent="0.15">
      <c r="D172" s="147"/>
      <c r="Q172" s="148" t="str">
        <f t="shared" si="6"/>
        <v/>
      </c>
      <c r="T172" s="149" t="str">
        <f t="shared" si="7"/>
        <v/>
      </c>
      <c r="V172" s="149" t="str">
        <f t="shared" si="8"/>
        <v/>
      </c>
    </row>
    <row r="173" spans="1:28" x14ac:dyDescent="0.15">
      <c r="D173" s="147"/>
      <c r="Q173" s="148" t="str">
        <f t="shared" si="6"/>
        <v/>
      </c>
      <c r="T173" s="149" t="str">
        <f t="shared" si="7"/>
        <v/>
      </c>
      <c r="V173" s="149" t="str">
        <f t="shared" si="8"/>
        <v/>
      </c>
    </row>
    <row r="174" spans="1:28" x14ac:dyDescent="0.15">
      <c r="D174" s="147"/>
      <c r="Q174" s="148" t="str">
        <f t="shared" si="6"/>
        <v/>
      </c>
      <c r="T174" s="149" t="str">
        <f t="shared" si="7"/>
        <v/>
      </c>
      <c r="V174" s="149" t="str">
        <f t="shared" si="8"/>
        <v/>
      </c>
    </row>
    <row r="175" spans="1:28" x14ac:dyDescent="0.15">
      <c r="D175" s="147"/>
      <c r="Q175" s="148" t="str">
        <f t="shared" si="6"/>
        <v/>
      </c>
      <c r="T175" s="149" t="str">
        <f t="shared" si="7"/>
        <v/>
      </c>
      <c r="V175" s="149" t="str">
        <f t="shared" si="8"/>
        <v/>
      </c>
    </row>
    <row r="176" spans="1:28" x14ac:dyDescent="0.15">
      <c r="D176" s="147"/>
      <c r="Q176" s="148" t="str">
        <f t="shared" si="6"/>
        <v/>
      </c>
      <c r="T176" s="149" t="str">
        <f t="shared" si="7"/>
        <v/>
      </c>
      <c r="V176" s="149" t="str">
        <f t="shared" si="8"/>
        <v/>
      </c>
    </row>
    <row r="177" spans="4:22" x14ac:dyDescent="0.15">
      <c r="D177" s="147"/>
      <c r="Q177" s="148" t="str">
        <f t="shared" si="6"/>
        <v/>
      </c>
      <c r="T177" s="149" t="str">
        <f t="shared" si="7"/>
        <v/>
      </c>
      <c r="V177" s="149" t="str">
        <f t="shared" si="8"/>
        <v/>
      </c>
    </row>
    <row r="178" spans="4:22" x14ac:dyDescent="0.15">
      <c r="D178" s="147"/>
      <c r="Q178" s="148" t="str">
        <f t="shared" si="6"/>
        <v/>
      </c>
      <c r="T178" s="149" t="str">
        <f t="shared" si="7"/>
        <v/>
      </c>
      <c r="V178" s="149" t="str">
        <f t="shared" si="8"/>
        <v/>
      </c>
    </row>
  </sheetData>
  <autoFilter ref="A1:BA178" xr:uid="{00000000-0009-0000-0000-000000000000}"/>
  <phoneticPr fontId="3"/>
  <dataValidations count="18">
    <dataValidation type="decimal" allowBlank="1" showInputMessage="1" showErrorMessage="1" error="硬度を正しく入力して下さい。" sqref="O2:P509" xr:uid="{7A0D171F-B7F5-438C-87C7-B947BD979CF2}">
      <formula1>0</formula1>
      <formula2>7</formula2>
    </dataValidation>
    <dataValidation type="list" allowBlank="1" showInputMessage="1" showErrorMessage="1" sqref="JU2:JW88 ANI2:ANK88 BQW2:BQY88 CUK2:CUM88 DXY2:DYA88 FBM2:FBO88 GFA2:GFC88 HIO2:HIQ88 IMC2:IME88 JPQ2:JPS88 KTE2:KTG88 LWS2:LWU88 NAG2:NAI88 ODU2:ODW88 PHI2:PHK88 QKW2:QKY88 ROK2:ROM88 SRY2:SSA88 TVM2:TVO88 UZA2:UZC88 WCO2:WCQ88 TQ2:TS88 AXE2:AXG88 CAS2:CAU88 DEG2:DEI88 EHU2:EHW88 FLI2:FLK88 GOW2:GOY88 HSK2:HSM88 IVY2:IWA88 JZM2:JZO88 LDA2:LDC88 MGO2:MGQ88 NKC2:NKE88 ONQ2:ONS88 PRE2:PRG88 QUS2:QUU88 RYG2:RYI88 TBU2:TBW88 UFI2:UFK88 VIW2:VIY88 WMK2:WMM88 ADM2:ADO88 BHA2:BHC88 CKO2:CKQ88 DOC2:DOE88 ERQ2:ERS88 FVE2:FVG88 GYS2:GYU88 ICG2:ICI88 JFU2:JFW88 KJI2:KJK88 LMW2:LMY88 MQK2:MQM88 NTY2:NUA88 OXM2:OXO88 QBA2:QBC88 REO2:REQ88 SIC2:SIE88 TLQ2:TLS88 UPE2:UPG88 VSS2:VSU88 WWG2:WWI88 Y983051:AA983128 ADM983051:ADO983128 BHA983051:BHC983128 CKO983051:CKQ983128 DOC983051:DOE983128 ERQ983051:ERS983128 FVE983051:FVG983128 GYS983051:GYU983128 ICG983051:ICI983128 JFU983051:JFW983128 KJI983051:KJK983128 LMW983051:LMY983128 MQK983051:MQM983128 NTY983051:NUA983128 OXM983051:OXO983128 QBA983051:QBC983128 REO983051:REQ983128 SIC983051:SIE983128 TLQ983051:TLS983128 UPE983051:UPG983128 VSS983051:VSU983128 WWG983051:WWI983128 Y65547:AA65624 ADM65547:ADO65624 BHA65547:BHC65624 CKO65547:CKQ65624 DOC65547:DOE65624 ERQ65547:ERS65624 FVE65547:FVG65624 GYS65547:GYU65624 ICG65547:ICI65624 JFU65547:JFW65624 KJI65547:KJK65624 LMW65547:LMY65624 MQK65547:MQM65624 NTY65547:NUA65624 OXM65547:OXO65624 QBA65547:QBC65624 REO65547:REQ65624 SIC65547:SIE65624 TLQ65547:TLS65624 UPE65547:UPG65624 VSS65547:VSU65624 WWG65547:WWI65624 JU65547:JW65624 ANI65547:ANK65624 BQW65547:BQY65624 CUK65547:CUM65624 DXY65547:DYA65624 FBM65547:FBO65624 GFA65547:GFC65624 HIO65547:HIQ65624 IMC65547:IME65624 JPQ65547:JPS65624 KTE65547:KTG65624 LWS65547:LWU65624 NAG65547:NAI65624 ODU65547:ODW65624 PHI65547:PHK65624 QKW65547:QKY65624 ROK65547:ROM65624 SRY65547:SSA65624 TVM65547:TVO65624 UZA65547:UZC65624 WCO65547:WCQ65624 TQ65547:TS65624 AXE65547:AXG65624 CAS65547:CAU65624 DEG65547:DEI65624 EHU65547:EHW65624 FLI65547:FLK65624 GOW65547:GOY65624 HSK65547:HSM65624 IVY65547:IWA65624 JZM65547:JZO65624 LDA65547:LDC65624 MGO65547:MGQ65624 NKC65547:NKE65624 ONQ65547:ONS65624 PRE65547:PRG65624 QUS65547:QUU65624 RYG65547:RYI65624 TBU65547:TBW65624 UFI65547:UFK65624 VIW65547:VIY65624 WMK65547:WMM65624 Y131083:AA131160 ADM131083:ADO131160 BHA131083:BHC131160 CKO131083:CKQ131160 DOC131083:DOE131160 ERQ131083:ERS131160 FVE131083:FVG131160 GYS131083:GYU131160 ICG131083:ICI131160 JFU131083:JFW131160 KJI131083:KJK131160 LMW131083:LMY131160 MQK131083:MQM131160 NTY131083:NUA131160 OXM131083:OXO131160 QBA131083:QBC131160 REO131083:REQ131160 SIC131083:SIE131160 TLQ131083:TLS131160 UPE131083:UPG131160 VSS131083:VSU131160 WWG131083:WWI131160 JU131083:JW131160 ANI131083:ANK131160 BQW131083:BQY131160 CUK131083:CUM131160 DXY131083:DYA131160 FBM131083:FBO131160 GFA131083:GFC131160 HIO131083:HIQ131160 IMC131083:IME131160 JPQ131083:JPS131160 KTE131083:KTG131160 LWS131083:LWU131160 NAG131083:NAI131160 ODU131083:ODW131160 PHI131083:PHK131160 QKW131083:QKY131160 ROK131083:ROM131160 SRY131083:SSA131160 TVM131083:TVO131160 UZA131083:UZC131160 WCO131083:WCQ131160 TQ131083:TS131160 AXE131083:AXG131160 CAS131083:CAU131160 DEG131083:DEI131160 EHU131083:EHW131160 FLI131083:FLK131160 GOW131083:GOY131160 HSK131083:HSM131160 IVY131083:IWA131160 JZM131083:JZO131160 LDA131083:LDC131160 MGO131083:MGQ131160 NKC131083:NKE131160 ONQ131083:ONS131160 PRE131083:PRG131160 QUS131083:QUU131160 RYG131083:RYI131160 TBU131083:TBW131160 UFI131083:UFK131160 VIW131083:VIY131160 WMK131083:WMM131160 Y196619:AA196696 ADM196619:ADO196696 BHA196619:BHC196696 CKO196619:CKQ196696 DOC196619:DOE196696 ERQ196619:ERS196696 FVE196619:FVG196696 GYS196619:GYU196696 ICG196619:ICI196696 JFU196619:JFW196696 KJI196619:KJK196696 LMW196619:LMY196696 MQK196619:MQM196696 NTY196619:NUA196696 OXM196619:OXO196696 QBA196619:QBC196696 REO196619:REQ196696 SIC196619:SIE196696 TLQ196619:TLS196696 UPE196619:UPG196696 VSS196619:VSU196696 WWG196619:WWI196696 JU196619:JW196696 ANI196619:ANK196696 BQW196619:BQY196696 CUK196619:CUM196696 DXY196619:DYA196696 FBM196619:FBO196696 GFA196619:GFC196696 HIO196619:HIQ196696 IMC196619:IME196696 JPQ196619:JPS196696 KTE196619:KTG196696 LWS196619:LWU196696 NAG196619:NAI196696 ODU196619:ODW196696 PHI196619:PHK196696 QKW196619:QKY196696 ROK196619:ROM196696 SRY196619:SSA196696 TVM196619:TVO196696 UZA196619:UZC196696 WCO196619:WCQ196696 TQ196619:TS196696 AXE196619:AXG196696 CAS196619:CAU196696 DEG196619:DEI196696 EHU196619:EHW196696 FLI196619:FLK196696 GOW196619:GOY196696 HSK196619:HSM196696 IVY196619:IWA196696 JZM196619:JZO196696 LDA196619:LDC196696 MGO196619:MGQ196696 NKC196619:NKE196696 ONQ196619:ONS196696 PRE196619:PRG196696 QUS196619:QUU196696 RYG196619:RYI196696 TBU196619:TBW196696 UFI196619:UFK196696 VIW196619:VIY196696 WMK196619:WMM196696 Y262155:AA262232 ADM262155:ADO262232 BHA262155:BHC262232 CKO262155:CKQ262232 DOC262155:DOE262232 ERQ262155:ERS262232 FVE262155:FVG262232 GYS262155:GYU262232 ICG262155:ICI262232 JFU262155:JFW262232 KJI262155:KJK262232 LMW262155:LMY262232 MQK262155:MQM262232 NTY262155:NUA262232 OXM262155:OXO262232 QBA262155:QBC262232 REO262155:REQ262232 SIC262155:SIE262232 TLQ262155:TLS262232 UPE262155:UPG262232 VSS262155:VSU262232 WWG262155:WWI262232 JU262155:JW262232 ANI262155:ANK262232 BQW262155:BQY262232 CUK262155:CUM262232 DXY262155:DYA262232 FBM262155:FBO262232 GFA262155:GFC262232 HIO262155:HIQ262232 IMC262155:IME262232 JPQ262155:JPS262232 KTE262155:KTG262232 LWS262155:LWU262232 NAG262155:NAI262232 ODU262155:ODW262232 PHI262155:PHK262232 QKW262155:QKY262232 ROK262155:ROM262232 SRY262155:SSA262232 TVM262155:TVO262232 UZA262155:UZC262232 WCO262155:WCQ262232 TQ262155:TS262232 AXE262155:AXG262232 CAS262155:CAU262232 DEG262155:DEI262232 EHU262155:EHW262232 FLI262155:FLK262232 GOW262155:GOY262232 HSK262155:HSM262232 IVY262155:IWA262232 JZM262155:JZO262232 LDA262155:LDC262232 MGO262155:MGQ262232 NKC262155:NKE262232 ONQ262155:ONS262232 PRE262155:PRG262232 QUS262155:QUU262232 RYG262155:RYI262232 TBU262155:TBW262232 UFI262155:UFK262232 VIW262155:VIY262232 WMK262155:WMM262232 Y327691:AA327768 ADM327691:ADO327768 BHA327691:BHC327768 CKO327691:CKQ327768 DOC327691:DOE327768 ERQ327691:ERS327768 FVE327691:FVG327768 GYS327691:GYU327768 ICG327691:ICI327768 JFU327691:JFW327768 KJI327691:KJK327768 LMW327691:LMY327768 MQK327691:MQM327768 NTY327691:NUA327768 OXM327691:OXO327768 QBA327691:QBC327768 REO327691:REQ327768 SIC327691:SIE327768 TLQ327691:TLS327768 UPE327691:UPG327768 VSS327691:VSU327768 WWG327691:WWI327768 JU327691:JW327768 ANI327691:ANK327768 BQW327691:BQY327768 CUK327691:CUM327768 DXY327691:DYA327768 FBM327691:FBO327768 GFA327691:GFC327768 HIO327691:HIQ327768 IMC327691:IME327768 JPQ327691:JPS327768 KTE327691:KTG327768 LWS327691:LWU327768 NAG327691:NAI327768 ODU327691:ODW327768 PHI327691:PHK327768 QKW327691:QKY327768 ROK327691:ROM327768 SRY327691:SSA327768 TVM327691:TVO327768 UZA327691:UZC327768 WCO327691:WCQ327768 TQ327691:TS327768 AXE327691:AXG327768 CAS327691:CAU327768 DEG327691:DEI327768 EHU327691:EHW327768 FLI327691:FLK327768 GOW327691:GOY327768 HSK327691:HSM327768 IVY327691:IWA327768 JZM327691:JZO327768 LDA327691:LDC327768 MGO327691:MGQ327768 NKC327691:NKE327768 ONQ327691:ONS327768 PRE327691:PRG327768 QUS327691:QUU327768 RYG327691:RYI327768 TBU327691:TBW327768 UFI327691:UFK327768 VIW327691:VIY327768 WMK327691:WMM327768 Y393227:AA393304 ADM393227:ADO393304 BHA393227:BHC393304 CKO393227:CKQ393304 DOC393227:DOE393304 ERQ393227:ERS393304 FVE393227:FVG393304 GYS393227:GYU393304 ICG393227:ICI393304 JFU393227:JFW393304 KJI393227:KJK393304 LMW393227:LMY393304 MQK393227:MQM393304 NTY393227:NUA393304 OXM393227:OXO393304 QBA393227:QBC393304 REO393227:REQ393304 SIC393227:SIE393304 TLQ393227:TLS393304 UPE393227:UPG393304 VSS393227:VSU393304 WWG393227:WWI393304 JU393227:JW393304 ANI393227:ANK393304 BQW393227:BQY393304 CUK393227:CUM393304 DXY393227:DYA393304 FBM393227:FBO393304 GFA393227:GFC393304 HIO393227:HIQ393304 IMC393227:IME393304 JPQ393227:JPS393304 KTE393227:KTG393304 LWS393227:LWU393304 NAG393227:NAI393304 ODU393227:ODW393304 PHI393227:PHK393304 QKW393227:QKY393304 ROK393227:ROM393304 SRY393227:SSA393304 TVM393227:TVO393304 UZA393227:UZC393304 WCO393227:WCQ393304 TQ393227:TS393304 AXE393227:AXG393304 CAS393227:CAU393304 DEG393227:DEI393304 EHU393227:EHW393304 FLI393227:FLK393304 GOW393227:GOY393304 HSK393227:HSM393304 IVY393227:IWA393304 JZM393227:JZO393304 LDA393227:LDC393304 MGO393227:MGQ393304 NKC393227:NKE393304 ONQ393227:ONS393304 PRE393227:PRG393304 QUS393227:QUU393304 RYG393227:RYI393304 TBU393227:TBW393304 UFI393227:UFK393304 VIW393227:VIY393304 WMK393227:WMM393304 Y458763:AA458840 ADM458763:ADO458840 BHA458763:BHC458840 CKO458763:CKQ458840 DOC458763:DOE458840 ERQ458763:ERS458840 FVE458763:FVG458840 GYS458763:GYU458840 ICG458763:ICI458840 JFU458763:JFW458840 KJI458763:KJK458840 LMW458763:LMY458840 MQK458763:MQM458840 NTY458763:NUA458840 OXM458763:OXO458840 QBA458763:QBC458840 REO458763:REQ458840 SIC458763:SIE458840 TLQ458763:TLS458840 UPE458763:UPG458840 VSS458763:VSU458840 WWG458763:WWI458840 JU458763:JW458840 ANI458763:ANK458840 BQW458763:BQY458840 CUK458763:CUM458840 DXY458763:DYA458840 FBM458763:FBO458840 GFA458763:GFC458840 HIO458763:HIQ458840 IMC458763:IME458840 JPQ458763:JPS458840 KTE458763:KTG458840 LWS458763:LWU458840 NAG458763:NAI458840 ODU458763:ODW458840 PHI458763:PHK458840 QKW458763:QKY458840 ROK458763:ROM458840 SRY458763:SSA458840 TVM458763:TVO458840 UZA458763:UZC458840 WCO458763:WCQ458840 TQ458763:TS458840 AXE458763:AXG458840 CAS458763:CAU458840 DEG458763:DEI458840 EHU458763:EHW458840 FLI458763:FLK458840 GOW458763:GOY458840 HSK458763:HSM458840 IVY458763:IWA458840 JZM458763:JZO458840 LDA458763:LDC458840 MGO458763:MGQ458840 NKC458763:NKE458840 ONQ458763:ONS458840 PRE458763:PRG458840 QUS458763:QUU458840 RYG458763:RYI458840 TBU458763:TBW458840 UFI458763:UFK458840 VIW458763:VIY458840 WMK458763:WMM458840 Y524299:AA524376 ADM524299:ADO524376 BHA524299:BHC524376 CKO524299:CKQ524376 DOC524299:DOE524376 ERQ524299:ERS524376 FVE524299:FVG524376 GYS524299:GYU524376 ICG524299:ICI524376 JFU524299:JFW524376 KJI524299:KJK524376 LMW524299:LMY524376 MQK524299:MQM524376 NTY524299:NUA524376 OXM524299:OXO524376 QBA524299:QBC524376 REO524299:REQ524376 SIC524299:SIE524376 TLQ524299:TLS524376 UPE524299:UPG524376 VSS524299:VSU524376 WWG524299:WWI524376 JU524299:JW524376 ANI524299:ANK524376 BQW524299:BQY524376 CUK524299:CUM524376 DXY524299:DYA524376 FBM524299:FBO524376 GFA524299:GFC524376 HIO524299:HIQ524376 IMC524299:IME524376 JPQ524299:JPS524376 KTE524299:KTG524376 LWS524299:LWU524376 NAG524299:NAI524376 ODU524299:ODW524376 PHI524299:PHK524376 QKW524299:QKY524376 ROK524299:ROM524376 SRY524299:SSA524376 TVM524299:TVO524376 UZA524299:UZC524376 WCO524299:WCQ524376 TQ524299:TS524376 AXE524299:AXG524376 CAS524299:CAU524376 DEG524299:DEI524376 EHU524299:EHW524376 FLI524299:FLK524376 GOW524299:GOY524376 HSK524299:HSM524376 IVY524299:IWA524376 JZM524299:JZO524376 LDA524299:LDC524376 MGO524299:MGQ524376 NKC524299:NKE524376 ONQ524299:ONS524376 PRE524299:PRG524376 QUS524299:QUU524376 RYG524299:RYI524376 TBU524299:TBW524376 UFI524299:UFK524376 VIW524299:VIY524376 WMK524299:WMM524376 Y589835:AA589912 ADM589835:ADO589912 BHA589835:BHC589912 CKO589835:CKQ589912 DOC589835:DOE589912 ERQ589835:ERS589912 FVE589835:FVG589912 GYS589835:GYU589912 ICG589835:ICI589912 JFU589835:JFW589912 KJI589835:KJK589912 LMW589835:LMY589912 MQK589835:MQM589912 NTY589835:NUA589912 OXM589835:OXO589912 QBA589835:QBC589912 REO589835:REQ589912 SIC589835:SIE589912 TLQ589835:TLS589912 UPE589835:UPG589912 VSS589835:VSU589912 WWG589835:WWI589912 JU589835:JW589912 ANI589835:ANK589912 BQW589835:BQY589912 CUK589835:CUM589912 DXY589835:DYA589912 FBM589835:FBO589912 GFA589835:GFC589912 HIO589835:HIQ589912 IMC589835:IME589912 JPQ589835:JPS589912 KTE589835:KTG589912 LWS589835:LWU589912 NAG589835:NAI589912 ODU589835:ODW589912 PHI589835:PHK589912 QKW589835:QKY589912 ROK589835:ROM589912 SRY589835:SSA589912 TVM589835:TVO589912 UZA589835:UZC589912 WCO589835:WCQ589912 TQ589835:TS589912 AXE589835:AXG589912 CAS589835:CAU589912 DEG589835:DEI589912 EHU589835:EHW589912 FLI589835:FLK589912 GOW589835:GOY589912 HSK589835:HSM589912 IVY589835:IWA589912 JZM589835:JZO589912 LDA589835:LDC589912 MGO589835:MGQ589912 NKC589835:NKE589912 ONQ589835:ONS589912 PRE589835:PRG589912 QUS589835:QUU589912 RYG589835:RYI589912 TBU589835:TBW589912 UFI589835:UFK589912 VIW589835:VIY589912 WMK589835:WMM589912 Y655371:AA655448 ADM655371:ADO655448 BHA655371:BHC655448 CKO655371:CKQ655448 DOC655371:DOE655448 ERQ655371:ERS655448 FVE655371:FVG655448 GYS655371:GYU655448 ICG655371:ICI655448 JFU655371:JFW655448 KJI655371:KJK655448 LMW655371:LMY655448 MQK655371:MQM655448 NTY655371:NUA655448 OXM655371:OXO655448 QBA655371:QBC655448 REO655371:REQ655448 SIC655371:SIE655448 TLQ655371:TLS655448 UPE655371:UPG655448 VSS655371:VSU655448 WWG655371:WWI655448 JU655371:JW655448 ANI655371:ANK655448 BQW655371:BQY655448 CUK655371:CUM655448 DXY655371:DYA655448 FBM655371:FBO655448 GFA655371:GFC655448 HIO655371:HIQ655448 IMC655371:IME655448 JPQ655371:JPS655448 KTE655371:KTG655448 LWS655371:LWU655448 NAG655371:NAI655448 ODU655371:ODW655448 PHI655371:PHK655448 QKW655371:QKY655448 ROK655371:ROM655448 SRY655371:SSA655448 TVM655371:TVO655448 UZA655371:UZC655448 WCO655371:WCQ655448 TQ655371:TS655448 AXE655371:AXG655448 CAS655371:CAU655448 DEG655371:DEI655448 EHU655371:EHW655448 FLI655371:FLK655448 GOW655371:GOY655448 HSK655371:HSM655448 IVY655371:IWA655448 JZM655371:JZO655448 LDA655371:LDC655448 MGO655371:MGQ655448 NKC655371:NKE655448 ONQ655371:ONS655448 PRE655371:PRG655448 QUS655371:QUU655448 RYG655371:RYI655448 TBU655371:TBW655448 UFI655371:UFK655448 VIW655371:VIY655448 WMK655371:WMM655448 Y720907:AA720984 ADM720907:ADO720984 BHA720907:BHC720984 CKO720907:CKQ720984 DOC720907:DOE720984 ERQ720907:ERS720984 FVE720907:FVG720984 GYS720907:GYU720984 ICG720907:ICI720984 JFU720907:JFW720984 KJI720907:KJK720984 LMW720907:LMY720984 MQK720907:MQM720984 NTY720907:NUA720984 OXM720907:OXO720984 QBA720907:QBC720984 REO720907:REQ720984 SIC720907:SIE720984 TLQ720907:TLS720984 UPE720907:UPG720984 VSS720907:VSU720984 WWG720907:WWI720984 JU720907:JW720984 ANI720907:ANK720984 BQW720907:BQY720984 CUK720907:CUM720984 DXY720907:DYA720984 FBM720907:FBO720984 GFA720907:GFC720984 HIO720907:HIQ720984 IMC720907:IME720984 JPQ720907:JPS720984 KTE720907:KTG720984 LWS720907:LWU720984 NAG720907:NAI720984 ODU720907:ODW720984 PHI720907:PHK720984 QKW720907:QKY720984 ROK720907:ROM720984 SRY720907:SSA720984 TVM720907:TVO720984 UZA720907:UZC720984 WCO720907:WCQ720984 TQ720907:TS720984 AXE720907:AXG720984 CAS720907:CAU720984 DEG720907:DEI720984 EHU720907:EHW720984 FLI720907:FLK720984 GOW720907:GOY720984 HSK720907:HSM720984 IVY720907:IWA720984 JZM720907:JZO720984 LDA720907:LDC720984 MGO720907:MGQ720984 NKC720907:NKE720984 ONQ720907:ONS720984 PRE720907:PRG720984 QUS720907:QUU720984 RYG720907:RYI720984 TBU720907:TBW720984 UFI720907:UFK720984 VIW720907:VIY720984 WMK720907:WMM720984 Y786443:AA786520 ADM786443:ADO786520 BHA786443:BHC786520 CKO786443:CKQ786520 DOC786443:DOE786520 ERQ786443:ERS786520 FVE786443:FVG786520 GYS786443:GYU786520 ICG786443:ICI786520 JFU786443:JFW786520 KJI786443:KJK786520 LMW786443:LMY786520 MQK786443:MQM786520 NTY786443:NUA786520 OXM786443:OXO786520 QBA786443:QBC786520 REO786443:REQ786520 SIC786443:SIE786520 TLQ786443:TLS786520 UPE786443:UPG786520 VSS786443:VSU786520 WWG786443:WWI786520 JU786443:JW786520 ANI786443:ANK786520 BQW786443:BQY786520 CUK786443:CUM786520 DXY786443:DYA786520 FBM786443:FBO786520 GFA786443:GFC786520 HIO786443:HIQ786520 IMC786443:IME786520 JPQ786443:JPS786520 KTE786443:KTG786520 LWS786443:LWU786520 NAG786443:NAI786520 ODU786443:ODW786520 PHI786443:PHK786520 QKW786443:QKY786520 ROK786443:ROM786520 SRY786443:SSA786520 TVM786443:TVO786520 UZA786443:UZC786520 WCO786443:WCQ786520 TQ786443:TS786520 AXE786443:AXG786520 CAS786443:CAU786520 DEG786443:DEI786520 EHU786443:EHW786520 FLI786443:FLK786520 GOW786443:GOY786520 HSK786443:HSM786520 IVY786443:IWA786520 JZM786443:JZO786520 LDA786443:LDC786520 MGO786443:MGQ786520 NKC786443:NKE786520 ONQ786443:ONS786520 PRE786443:PRG786520 QUS786443:QUU786520 RYG786443:RYI786520 TBU786443:TBW786520 UFI786443:UFK786520 VIW786443:VIY786520 WMK786443:WMM786520 Y851979:AA852056 ADM851979:ADO852056 BHA851979:BHC852056 CKO851979:CKQ852056 DOC851979:DOE852056 ERQ851979:ERS852056 FVE851979:FVG852056 GYS851979:GYU852056 ICG851979:ICI852056 JFU851979:JFW852056 KJI851979:KJK852056 LMW851979:LMY852056 MQK851979:MQM852056 NTY851979:NUA852056 OXM851979:OXO852056 QBA851979:QBC852056 REO851979:REQ852056 SIC851979:SIE852056 TLQ851979:TLS852056 UPE851979:UPG852056 VSS851979:VSU852056 WWG851979:WWI852056 JU851979:JW852056 ANI851979:ANK852056 BQW851979:BQY852056 CUK851979:CUM852056 DXY851979:DYA852056 FBM851979:FBO852056 GFA851979:GFC852056 HIO851979:HIQ852056 IMC851979:IME852056 JPQ851979:JPS852056 KTE851979:KTG852056 LWS851979:LWU852056 NAG851979:NAI852056 ODU851979:ODW852056 PHI851979:PHK852056 QKW851979:QKY852056 ROK851979:ROM852056 SRY851979:SSA852056 TVM851979:TVO852056 UZA851979:UZC852056 WCO851979:WCQ852056 TQ851979:TS852056 AXE851979:AXG852056 CAS851979:CAU852056 DEG851979:DEI852056 EHU851979:EHW852056 FLI851979:FLK852056 GOW851979:GOY852056 HSK851979:HSM852056 IVY851979:IWA852056 JZM851979:JZO852056 LDA851979:LDC852056 MGO851979:MGQ852056 NKC851979:NKE852056 ONQ851979:ONS852056 PRE851979:PRG852056 QUS851979:QUU852056 RYG851979:RYI852056 TBU851979:TBW852056 UFI851979:UFK852056 VIW851979:VIY852056 WMK851979:WMM852056 Y917515:AA917592 ADM917515:ADO917592 BHA917515:BHC917592 CKO917515:CKQ917592 DOC917515:DOE917592 ERQ917515:ERS917592 FVE917515:FVG917592 GYS917515:GYU917592 ICG917515:ICI917592 JFU917515:JFW917592 KJI917515:KJK917592 LMW917515:LMY917592 MQK917515:MQM917592 NTY917515:NUA917592 OXM917515:OXO917592 QBA917515:QBC917592 REO917515:REQ917592 SIC917515:SIE917592 TLQ917515:TLS917592 UPE917515:UPG917592 VSS917515:VSU917592 WWG917515:WWI917592 JU917515:JW917592 ANI917515:ANK917592 BQW917515:BQY917592 CUK917515:CUM917592 DXY917515:DYA917592 FBM917515:FBO917592 GFA917515:GFC917592 HIO917515:HIQ917592 IMC917515:IME917592 JPQ917515:JPS917592 KTE917515:KTG917592 LWS917515:LWU917592 NAG917515:NAI917592 ODU917515:ODW917592 PHI917515:PHK917592 QKW917515:QKY917592 ROK917515:ROM917592 SRY917515:SSA917592 TVM917515:TVO917592 UZA917515:UZC917592 WCO917515:WCQ917592 TQ917515:TS917592 AXE917515:AXG917592 CAS917515:CAU917592 DEG917515:DEI917592 EHU917515:EHW917592 FLI917515:FLK917592 GOW917515:GOY917592 HSK917515:HSM917592 IVY917515:IWA917592 JZM917515:JZO917592 LDA917515:LDC917592 MGO917515:MGQ917592 NKC917515:NKE917592 ONQ917515:ONS917592 PRE917515:PRG917592 QUS917515:QUU917592 RYG917515:RYI917592 TBU917515:TBW917592 UFI917515:UFK917592 VIW917515:VIY917592 WMK917515:WMM917592 JU983051:JW983128 ANI983051:ANK983128 BQW983051:BQY983128 CUK983051:CUM983128 DXY983051:DYA983128 FBM983051:FBO983128 GFA983051:GFC983128 HIO983051:HIQ983128 IMC983051:IME983128 JPQ983051:JPS983128 KTE983051:KTG983128 LWS983051:LWU983128 NAG983051:NAI983128 ODU983051:ODW983128 PHI983051:PHK983128 QKW983051:QKY983128 ROK983051:ROM983128 SRY983051:SSA983128 TVM983051:TVO983128 UZA983051:UZC983128 WCO983051:WCQ983128 TQ983051:TS983128 AXE983051:AXG983128 CAS983051:CAU983128 DEG983051:DEI983128 EHU983051:EHW983128 FLI983051:FLK983128 GOW983051:GOY983128 HSK983051:HSM983128 IVY983051:IWA983128 JZM983051:JZO983128 LDA983051:LDC983128 MGO983051:MGQ983128 NKC983051:NKE983128 ONQ983051:ONS983128 PRE983051:PRG983128 QUS983051:QUU983128 RYG983051:RYI983128 TBU983051:TBW983128 UFI983051:UFK983128 VIW983051:VIY983128 WMK983051:WMM983128" xr:uid="{6DA91E98-D3A6-43C4-A0E4-B42E654EDDDF}">
      <formula1>$AV$2:$AV$32</formula1>
    </dataValidation>
    <dataValidation type="list" allowBlank="1" showInputMessage="1" showErrorMessage="1" sqref="X2:X509 X65547:X65624 X131083:X131160 X196619:X196696 X262155:X262232 X327691:X327768 X393227:X393304 X458763:X458840 X524299:X524376 X589835:X589912 X655371:X655448 X720907:X720984 X786443:X786520 X851979:X852056 X917515:X917592 X983051:X983128 JT2:JT88 JT65547:JT65624 JT131083:JT131160 JT196619:JT196696 JT262155:JT262232 JT327691:JT327768 JT393227:JT393304 JT458763:JT458840 JT524299:JT524376 JT589835:JT589912 JT655371:JT655448 JT720907:JT720984 JT786443:JT786520 JT851979:JT852056 JT917515:JT917592 JT983051:JT983128 TP2:TP88 TP65547:TP65624 TP131083:TP131160 TP196619:TP196696 TP262155:TP262232 TP327691:TP327768 TP393227:TP393304 TP458763:TP458840 TP524299:TP524376 TP589835:TP589912 TP655371:TP655448 TP720907:TP720984 TP786443:TP786520 TP851979:TP852056 TP917515:TP917592 TP983051:TP983128 ADL2:ADL88 ADL65547:ADL65624 ADL131083:ADL131160 ADL196619:ADL196696 ADL262155:ADL262232 ADL327691:ADL327768 ADL393227:ADL393304 ADL458763:ADL458840 ADL524299:ADL524376 ADL589835:ADL589912 ADL655371:ADL655448 ADL720907:ADL720984 ADL786443:ADL786520 ADL851979:ADL852056 ADL917515:ADL917592 ADL983051:ADL983128 ANH2:ANH88 ANH65547:ANH65624 ANH131083:ANH131160 ANH196619:ANH196696 ANH262155:ANH262232 ANH327691:ANH327768 ANH393227:ANH393304 ANH458763:ANH458840 ANH524299:ANH524376 ANH589835:ANH589912 ANH655371:ANH655448 ANH720907:ANH720984 ANH786443:ANH786520 ANH851979:ANH852056 ANH917515:ANH917592 ANH983051:ANH983128 AXD2:AXD88 AXD65547:AXD65624 AXD131083:AXD131160 AXD196619:AXD196696 AXD262155:AXD262232 AXD327691:AXD327768 AXD393227:AXD393304 AXD458763:AXD458840 AXD524299:AXD524376 AXD589835:AXD589912 AXD655371:AXD655448 AXD720907:AXD720984 AXD786443:AXD786520 AXD851979:AXD852056 AXD917515:AXD917592 AXD983051:AXD983128 BGZ2:BGZ88 BGZ65547:BGZ65624 BGZ131083:BGZ131160 BGZ196619:BGZ196696 BGZ262155:BGZ262232 BGZ327691:BGZ327768 BGZ393227:BGZ393304 BGZ458763:BGZ458840 BGZ524299:BGZ524376 BGZ589835:BGZ589912 BGZ655371:BGZ655448 BGZ720907:BGZ720984 BGZ786443:BGZ786520 BGZ851979:BGZ852056 BGZ917515:BGZ917592 BGZ983051:BGZ983128 BQV2:BQV88 BQV65547:BQV65624 BQV131083:BQV131160 BQV196619:BQV196696 BQV262155:BQV262232 BQV327691:BQV327768 BQV393227:BQV393304 BQV458763:BQV458840 BQV524299:BQV524376 BQV589835:BQV589912 BQV655371:BQV655448 BQV720907:BQV720984 BQV786443:BQV786520 BQV851979:BQV852056 BQV917515:BQV917592 BQV983051:BQV983128 CAR2:CAR88 CAR65547:CAR65624 CAR131083:CAR131160 CAR196619:CAR196696 CAR262155:CAR262232 CAR327691:CAR327768 CAR393227:CAR393304 CAR458763:CAR458840 CAR524299:CAR524376 CAR589835:CAR589912 CAR655371:CAR655448 CAR720907:CAR720984 CAR786443:CAR786520 CAR851979:CAR852056 CAR917515:CAR917592 CAR983051:CAR983128 CKN2:CKN88 CKN65547:CKN65624 CKN131083:CKN131160 CKN196619:CKN196696 CKN262155:CKN262232 CKN327691:CKN327768 CKN393227:CKN393304 CKN458763:CKN458840 CKN524299:CKN524376 CKN589835:CKN589912 CKN655371:CKN655448 CKN720907:CKN720984 CKN786443:CKN786520 CKN851979:CKN852056 CKN917515:CKN917592 CKN983051:CKN983128 CUJ2:CUJ88 CUJ65547:CUJ65624 CUJ131083:CUJ131160 CUJ196619:CUJ196696 CUJ262155:CUJ262232 CUJ327691:CUJ327768 CUJ393227:CUJ393304 CUJ458763:CUJ458840 CUJ524299:CUJ524376 CUJ589835:CUJ589912 CUJ655371:CUJ655448 CUJ720907:CUJ720984 CUJ786443:CUJ786520 CUJ851979:CUJ852056 CUJ917515:CUJ917592 CUJ983051:CUJ983128 DEF2:DEF88 DEF65547:DEF65624 DEF131083:DEF131160 DEF196619:DEF196696 DEF262155:DEF262232 DEF327691:DEF327768 DEF393227:DEF393304 DEF458763:DEF458840 DEF524299:DEF524376 DEF589835:DEF589912 DEF655371:DEF655448 DEF720907:DEF720984 DEF786443:DEF786520 DEF851979:DEF852056 DEF917515:DEF917592 DEF983051:DEF983128 DOB2:DOB88 DOB65547:DOB65624 DOB131083:DOB131160 DOB196619:DOB196696 DOB262155:DOB262232 DOB327691:DOB327768 DOB393227:DOB393304 DOB458763:DOB458840 DOB524299:DOB524376 DOB589835:DOB589912 DOB655371:DOB655448 DOB720907:DOB720984 DOB786443:DOB786520 DOB851979:DOB852056 DOB917515:DOB917592 DOB983051:DOB983128 DXX2:DXX88 DXX65547:DXX65624 DXX131083:DXX131160 DXX196619:DXX196696 DXX262155:DXX262232 DXX327691:DXX327768 DXX393227:DXX393304 DXX458763:DXX458840 DXX524299:DXX524376 DXX589835:DXX589912 DXX655371:DXX655448 DXX720907:DXX720984 DXX786443:DXX786520 DXX851979:DXX852056 DXX917515:DXX917592 DXX983051:DXX983128 EHT2:EHT88 EHT65547:EHT65624 EHT131083:EHT131160 EHT196619:EHT196696 EHT262155:EHT262232 EHT327691:EHT327768 EHT393227:EHT393304 EHT458763:EHT458840 EHT524299:EHT524376 EHT589835:EHT589912 EHT655371:EHT655448 EHT720907:EHT720984 EHT786443:EHT786520 EHT851979:EHT852056 EHT917515:EHT917592 EHT983051:EHT983128 ERP2:ERP88 ERP65547:ERP65624 ERP131083:ERP131160 ERP196619:ERP196696 ERP262155:ERP262232 ERP327691:ERP327768 ERP393227:ERP393304 ERP458763:ERP458840 ERP524299:ERP524376 ERP589835:ERP589912 ERP655371:ERP655448 ERP720907:ERP720984 ERP786443:ERP786520 ERP851979:ERP852056 ERP917515:ERP917592 ERP983051:ERP983128 FBL2:FBL88 FBL65547:FBL65624 FBL131083:FBL131160 FBL196619:FBL196696 FBL262155:FBL262232 FBL327691:FBL327768 FBL393227:FBL393304 FBL458763:FBL458840 FBL524299:FBL524376 FBL589835:FBL589912 FBL655371:FBL655448 FBL720907:FBL720984 FBL786443:FBL786520 FBL851979:FBL852056 FBL917515:FBL917592 FBL983051:FBL983128 FLH2:FLH88 FLH65547:FLH65624 FLH131083:FLH131160 FLH196619:FLH196696 FLH262155:FLH262232 FLH327691:FLH327768 FLH393227:FLH393304 FLH458763:FLH458840 FLH524299:FLH524376 FLH589835:FLH589912 FLH655371:FLH655448 FLH720907:FLH720984 FLH786443:FLH786520 FLH851979:FLH852056 FLH917515:FLH917592 FLH983051:FLH983128 FVD2:FVD88 FVD65547:FVD65624 FVD131083:FVD131160 FVD196619:FVD196696 FVD262155:FVD262232 FVD327691:FVD327768 FVD393227:FVD393304 FVD458763:FVD458840 FVD524299:FVD524376 FVD589835:FVD589912 FVD655371:FVD655448 FVD720907:FVD720984 FVD786443:FVD786520 FVD851979:FVD852056 FVD917515:FVD917592 FVD983051:FVD983128 GEZ2:GEZ88 GEZ65547:GEZ65624 GEZ131083:GEZ131160 GEZ196619:GEZ196696 GEZ262155:GEZ262232 GEZ327691:GEZ327768 GEZ393227:GEZ393304 GEZ458763:GEZ458840 GEZ524299:GEZ524376 GEZ589835:GEZ589912 GEZ655371:GEZ655448 GEZ720907:GEZ720984 GEZ786443:GEZ786520 GEZ851979:GEZ852056 GEZ917515:GEZ917592 GEZ983051:GEZ983128 GOV2:GOV88 GOV65547:GOV65624 GOV131083:GOV131160 GOV196619:GOV196696 GOV262155:GOV262232 GOV327691:GOV327768 GOV393227:GOV393304 GOV458763:GOV458840 GOV524299:GOV524376 GOV589835:GOV589912 GOV655371:GOV655448 GOV720907:GOV720984 GOV786443:GOV786520 GOV851979:GOV852056 GOV917515:GOV917592 GOV983051:GOV983128 GYR2:GYR88 GYR65547:GYR65624 GYR131083:GYR131160 GYR196619:GYR196696 GYR262155:GYR262232 GYR327691:GYR327768 GYR393227:GYR393304 GYR458763:GYR458840 GYR524299:GYR524376 GYR589835:GYR589912 GYR655371:GYR655448 GYR720907:GYR720984 GYR786443:GYR786520 GYR851979:GYR852056 GYR917515:GYR917592 GYR983051:GYR983128 HIN2:HIN88 HIN65547:HIN65624 HIN131083:HIN131160 HIN196619:HIN196696 HIN262155:HIN262232 HIN327691:HIN327768 HIN393227:HIN393304 HIN458763:HIN458840 HIN524299:HIN524376 HIN589835:HIN589912 HIN655371:HIN655448 HIN720907:HIN720984 HIN786443:HIN786520 HIN851979:HIN852056 HIN917515:HIN917592 HIN983051:HIN983128 HSJ2:HSJ88 HSJ65547:HSJ65624 HSJ131083:HSJ131160 HSJ196619:HSJ196696 HSJ262155:HSJ262232 HSJ327691:HSJ327768 HSJ393227:HSJ393304 HSJ458763:HSJ458840 HSJ524299:HSJ524376 HSJ589835:HSJ589912 HSJ655371:HSJ655448 HSJ720907:HSJ720984 HSJ786443:HSJ786520 HSJ851979:HSJ852056 HSJ917515:HSJ917592 HSJ983051:HSJ983128 ICF2:ICF88 ICF65547:ICF65624 ICF131083:ICF131160 ICF196619:ICF196696 ICF262155:ICF262232 ICF327691:ICF327768 ICF393227:ICF393304 ICF458763:ICF458840 ICF524299:ICF524376 ICF589835:ICF589912 ICF655371:ICF655448 ICF720907:ICF720984 ICF786443:ICF786520 ICF851979:ICF852056 ICF917515:ICF917592 ICF983051:ICF983128 IMB2:IMB88 IMB65547:IMB65624 IMB131083:IMB131160 IMB196619:IMB196696 IMB262155:IMB262232 IMB327691:IMB327768 IMB393227:IMB393304 IMB458763:IMB458840 IMB524299:IMB524376 IMB589835:IMB589912 IMB655371:IMB655448 IMB720907:IMB720984 IMB786443:IMB786520 IMB851979:IMB852056 IMB917515:IMB917592 IMB983051:IMB983128 IVX2:IVX88 IVX65547:IVX65624 IVX131083:IVX131160 IVX196619:IVX196696 IVX262155:IVX262232 IVX327691:IVX327768 IVX393227:IVX393304 IVX458763:IVX458840 IVX524299:IVX524376 IVX589835:IVX589912 IVX655371:IVX655448 IVX720907:IVX720984 IVX786443:IVX786520 IVX851979:IVX852056 IVX917515:IVX917592 IVX983051:IVX983128 JFT2:JFT88 JFT65547:JFT65624 JFT131083:JFT131160 JFT196619:JFT196696 JFT262155:JFT262232 JFT327691:JFT327768 JFT393227:JFT393304 JFT458763:JFT458840 JFT524299:JFT524376 JFT589835:JFT589912 JFT655371:JFT655448 JFT720907:JFT720984 JFT786443:JFT786520 JFT851979:JFT852056 JFT917515:JFT917592 JFT983051:JFT983128 JPP2:JPP88 JPP65547:JPP65624 JPP131083:JPP131160 JPP196619:JPP196696 JPP262155:JPP262232 JPP327691:JPP327768 JPP393227:JPP393304 JPP458763:JPP458840 JPP524299:JPP524376 JPP589835:JPP589912 JPP655371:JPP655448 JPP720907:JPP720984 JPP786443:JPP786520 JPP851979:JPP852056 JPP917515:JPP917592 JPP983051:JPP983128 JZL2:JZL88 JZL65547:JZL65624 JZL131083:JZL131160 JZL196619:JZL196696 JZL262155:JZL262232 JZL327691:JZL327768 JZL393227:JZL393304 JZL458763:JZL458840 JZL524299:JZL524376 JZL589835:JZL589912 JZL655371:JZL655448 JZL720907:JZL720984 JZL786443:JZL786520 JZL851979:JZL852056 JZL917515:JZL917592 JZL983051:JZL983128 KJH2:KJH88 KJH65547:KJH65624 KJH131083:KJH131160 KJH196619:KJH196696 KJH262155:KJH262232 KJH327691:KJH327768 KJH393227:KJH393304 KJH458763:KJH458840 KJH524299:KJH524376 KJH589835:KJH589912 KJH655371:KJH655448 KJH720907:KJH720984 KJH786443:KJH786520 KJH851979:KJH852056 KJH917515:KJH917592 KJH983051:KJH983128 KTD2:KTD88 KTD65547:KTD65624 KTD131083:KTD131160 KTD196619:KTD196696 KTD262155:KTD262232 KTD327691:KTD327768 KTD393227:KTD393304 KTD458763:KTD458840 KTD524299:KTD524376 KTD589835:KTD589912 KTD655371:KTD655448 KTD720907:KTD720984 KTD786443:KTD786520 KTD851979:KTD852056 KTD917515:KTD917592 KTD983051:KTD983128 LCZ2:LCZ88 LCZ65547:LCZ65624 LCZ131083:LCZ131160 LCZ196619:LCZ196696 LCZ262155:LCZ262232 LCZ327691:LCZ327768 LCZ393227:LCZ393304 LCZ458763:LCZ458840 LCZ524299:LCZ524376 LCZ589835:LCZ589912 LCZ655371:LCZ655448 LCZ720907:LCZ720984 LCZ786443:LCZ786520 LCZ851979:LCZ852056 LCZ917515:LCZ917592 LCZ983051:LCZ983128 LMV2:LMV88 LMV65547:LMV65624 LMV131083:LMV131160 LMV196619:LMV196696 LMV262155:LMV262232 LMV327691:LMV327768 LMV393227:LMV393304 LMV458763:LMV458840 LMV524299:LMV524376 LMV589835:LMV589912 LMV655371:LMV655448 LMV720907:LMV720984 LMV786443:LMV786520 LMV851979:LMV852056 LMV917515:LMV917592 LMV983051:LMV983128 LWR2:LWR88 LWR65547:LWR65624 LWR131083:LWR131160 LWR196619:LWR196696 LWR262155:LWR262232 LWR327691:LWR327768 LWR393227:LWR393304 LWR458763:LWR458840 LWR524299:LWR524376 LWR589835:LWR589912 LWR655371:LWR655448 LWR720907:LWR720984 LWR786443:LWR786520 LWR851979:LWR852056 LWR917515:LWR917592 LWR983051:LWR983128 MGN2:MGN88 MGN65547:MGN65624 MGN131083:MGN131160 MGN196619:MGN196696 MGN262155:MGN262232 MGN327691:MGN327768 MGN393227:MGN393304 MGN458763:MGN458840 MGN524299:MGN524376 MGN589835:MGN589912 MGN655371:MGN655448 MGN720907:MGN720984 MGN786443:MGN786520 MGN851979:MGN852056 MGN917515:MGN917592 MGN983051:MGN983128 MQJ2:MQJ88 MQJ65547:MQJ65624 MQJ131083:MQJ131160 MQJ196619:MQJ196696 MQJ262155:MQJ262232 MQJ327691:MQJ327768 MQJ393227:MQJ393304 MQJ458763:MQJ458840 MQJ524299:MQJ524376 MQJ589835:MQJ589912 MQJ655371:MQJ655448 MQJ720907:MQJ720984 MQJ786443:MQJ786520 MQJ851979:MQJ852056 MQJ917515:MQJ917592 MQJ983051:MQJ983128 NAF2:NAF88 NAF65547:NAF65624 NAF131083:NAF131160 NAF196619:NAF196696 NAF262155:NAF262232 NAF327691:NAF327768 NAF393227:NAF393304 NAF458763:NAF458840 NAF524299:NAF524376 NAF589835:NAF589912 NAF655371:NAF655448 NAF720907:NAF720984 NAF786443:NAF786520 NAF851979:NAF852056 NAF917515:NAF917592 NAF983051:NAF983128 NKB2:NKB88 NKB65547:NKB65624 NKB131083:NKB131160 NKB196619:NKB196696 NKB262155:NKB262232 NKB327691:NKB327768 NKB393227:NKB393304 NKB458763:NKB458840 NKB524299:NKB524376 NKB589835:NKB589912 NKB655371:NKB655448 NKB720907:NKB720984 NKB786443:NKB786520 NKB851979:NKB852056 NKB917515:NKB917592 NKB983051:NKB983128 NTX2:NTX88 NTX65547:NTX65624 NTX131083:NTX131160 NTX196619:NTX196696 NTX262155:NTX262232 NTX327691:NTX327768 NTX393227:NTX393304 NTX458763:NTX458840 NTX524299:NTX524376 NTX589835:NTX589912 NTX655371:NTX655448 NTX720907:NTX720984 NTX786443:NTX786520 NTX851979:NTX852056 NTX917515:NTX917592 NTX983051:NTX983128 ODT2:ODT88 ODT65547:ODT65624 ODT131083:ODT131160 ODT196619:ODT196696 ODT262155:ODT262232 ODT327691:ODT327768 ODT393227:ODT393304 ODT458763:ODT458840 ODT524299:ODT524376 ODT589835:ODT589912 ODT655371:ODT655448 ODT720907:ODT720984 ODT786443:ODT786520 ODT851979:ODT852056 ODT917515:ODT917592 ODT983051:ODT983128 ONP2:ONP88 ONP65547:ONP65624 ONP131083:ONP131160 ONP196619:ONP196696 ONP262155:ONP262232 ONP327691:ONP327768 ONP393227:ONP393304 ONP458763:ONP458840 ONP524299:ONP524376 ONP589835:ONP589912 ONP655371:ONP655448 ONP720907:ONP720984 ONP786443:ONP786520 ONP851979:ONP852056 ONP917515:ONP917592 ONP983051:ONP983128 OXL2:OXL88 OXL65547:OXL65624 OXL131083:OXL131160 OXL196619:OXL196696 OXL262155:OXL262232 OXL327691:OXL327768 OXL393227:OXL393304 OXL458763:OXL458840 OXL524299:OXL524376 OXL589835:OXL589912 OXL655371:OXL655448 OXL720907:OXL720984 OXL786443:OXL786520 OXL851979:OXL852056 OXL917515:OXL917592 OXL983051:OXL983128 PHH2:PHH88 PHH65547:PHH65624 PHH131083:PHH131160 PHH196619:PHH196696 PHH262155:PHH262232 PHH327691:PHH327768 PHH393227:PHH393304 PHH458763:PHH458840 PHH524299:PHH524376 PHH589835:PHH589912 PHH655371:PHH655448 PHH720907:PHH720984 PHH786443:PHH786520 PHH851979:PHH852056 PHH917515:PHH917592 PHH983051:PHH983128 PRD2:PRD88 PRD65547:PRD65624 PRD131083:PRD131160 PRD196619:PRD196696 PRD262155:PRD262232 PRD327691:PRD327768 PRD393227:PRD393304 PRD458763:PRD458840 PRD524299:PRD524376 PRD589835:PRD589912 PRD655371:PRD655448 PRD720907:PRD720984 PRD786443:PRD786520 PRD851979:PRD852056 PRD917515:PRD917592 PRD983051:PRD983128 QAZ2:QAZ88 QAZ65547:QAZ65624 QAZ131083:QAZ131160 QAZ196619:QAZ196696 QAZ262155:QAZ262232 QAZ327691:QAZ327768 QAZ393227:QAZ393304 QAZ458763:QAZ458840 QAZ524299:QAZ524376 QAZ589835:QAZ589912 QAZ655371:QAZ655448 QAZ720907:QAZ720984 QAZ786443:QAZ786520 QAZ851979:QAZ852056 QAZ917515:QAZ917592 QAZ983051:QAZ983128 QKV2:QKV88 QKV65547:QKV65624 QKV131083:QKV131160 QKV196619:QKV196696 QKV262155:QKV262232 QKV327691:QKV327768 QKV393227:QKV393304 QKV458763:QKV458840 QKV524299:QKV524376 QKV589835:QKV589912 QKV655371:QKV655448 QKV720907:QKV720984 QKV786443:QKV786520 QKV851979:QKV852056 QKV917515:QKV917592 QKV983051:QKV983128 QUR2:QUR88 QUR65547:QUR65624 QUR131083:QUR131160 QUR196619:QUR196696 QUR262155:QUR262232 QUR327691:QUR327768 QUR393227:QUR393304 QUR458763:QUR458840 QUR524299:QUR524376 QUR589835:QUR589912 QUR655371:QUR655448 QUR720907:QUR720984 QUR786443:QUR786520 QUR851979:QUR852056 QUR917515:QUR917592 QUR983051:QUR983128 REN2:REN88 REN65547:REN65624 REN131083:REN131160 REN196619:REN196696 REN262155:REN262232 REN327691:REN327768 REN393227:REN393304 REN458763:REN458840 REN524299:REN524376 REN589835:REN589912 REN655371:REN655448 REN720907:REN720984 REN786443:REN786520 REN851979:REN852056 REN917515:REN917592 REN983051:REN983128 ROJ2:ROJ88 ROJ65547:ROJ65624 ROJ131083:ROJ131160 ROJ196619:ROJ196696 ROJ262155:ROJ262232 ROJ327691:ROJ327768 ROJ393227:ROJ393304 ROJ458763:ROJ458840 ROJ524299:ROJ524376 ROJ589835:ROJ589912 ROJ655371:ROJ655448 ROJ720907:ROJ720984 ROJ786443:ROJ786520 ROJ851979:ROJ852056 ROJ917515:ROJ917592 ROJ983051:ROJ983128 RYF2:RYF88 RYF65547:RYF65624 RYF131083:RYF131160 RYF196619:RYF196696 RYF262155:RYF262232 RYF327691:RYF327768 RYF393227:RYF393304 RYF458763:RYF458840 RYF524299:RYF524376 RYF589835:RYF589912 RYF655371:RYF655448 RYF720907:RYF720984 RYF786443:RYF786520 RYF851979:RYF852056 RYF917515:RYF917592 RYF983051:RYF983128 SIB2:SIB88 SIB65547:SIB65624 SIB131083:SIB131160 SIB196619:SIB196696 SIB262155:SIB262232 SIB327691:SIB327768 SIB393227:SIB393304 SIB458763:SIB458840 SIB524299:SIB524376 SIB589835:SIB589912 SIB655371:SIB655448 SIB720907:SIB720984 SIB786443:SIB786520 SIB851979:SIB852056 SIB917515:SIB917592 SIB983051:SIB983128 SRX2:SRX88 SRX65547:SRX65624 SRX131083:SRX131160 SRX196619:SRX196696 SRX262155:SRX262232 SRX327691:SRX327768 SRX393227:SRX393304 SRX458763:SRX458840 SRX524299:SRX524376 SRX589835:SRX589912 SRX655371:SRX655448 SRX720907:SRX720984 SRX786443:SRX786520 SRX851979:SRX852056 SRX917515:SRX917592 SRX983051:SRX983128 TBT2:TBT88 TBT65547:TBT65624 TBT131083:TBT131160 TBT196619:TBT196696 TBT262155:TBT262232 TBT327691:TBT327768 TBT393227:TBT393304 TBT458763:TBT458840 TBT524299:TBT524376 TBT589835:TBT589912 TBT655371:TBT655448 TBT720907:TBT720984 TBT786443:TBT786520 TBT851979:TBT852056 TBT917515:TBT917592 TBT983051:TBT983128 TLP2:TLP88 TLP65547:TLP65624 TLP131083:TLP131160 TLP196619:TLP196696 TLP262155:TLP262232 TLP327691:TLP327768 TLP393227:TLP393304 TLP458763:TLP458840 TLP524299:TLP524376 TLP589835:TLP589912 TLP655371:TLP655448 TLP720907:TLP720984 TLP786443:TLP786520 TLP851979:TLP852056 TLP917515:TLP917592 TLP983051:TLP983128 TVL2:TVL88 TVL65547:TVL65624 TVL131083:TVL131160 TVL196619:TVL196696 TVL262155:TVL262232 TVL327691:TVL327768 TVL393227:TVL393304 TVL458763:TVL458840 TVL524299:TVL524376 TVL589835:TVL589912 TVL655371:TVL655448 TVL720907:TVL720984 TVL786443:TVL786520 TVL851979:TVL852056 TVL917515:TVL917592 TVL983051:TVL983128 UFH2:UFH88 UFH65547:UFH65624 UFH131083:UFH131160 UFH196619:UFH196696 UFH262155:UFH262232 UFH327691:UFH327768 UFH393227:UFH393304 UFH458763:UFH458840 UFH524299:UFH524376 UFH589835:UFH589912 UFH655371:UFH655448 UFH720907:UFH720984 UFH786443:UFH786520 UFH851979:UFH852056 UFH917515:UFH917592 UFH983051:UFH983128 UPD2:UPD88 UPD65547:UPD65624 UPD131083:UPD131160 UPD196619:UPD196696 UPD262155:UPD262232 UPD327691:UPD327768 UPD393227:UPD393304 UPD458763:UPD458840 UPD524299:UPD524376 UPD589835:UPD589912 UPD655371:UPD655448 UPD720907:UPD720984 UPD786443:UPD786520 UPD851979:UPD852056 UPD917515:UPD917592 UPD983051:UPD983128 UYZ2:UYZ88 UYZ65547:UYZ65624 UYZ131083:UYZ131160 UYZ196619:UYZ196696 UYZ262155:UYZ262232 UYZ327691:UYZ327768 UYZ393227:UYZ393304 UYZ458763:UYZ458840 UYZ524299:UYZ524376 UYZ589835:UYZ589912 UYZ655371:UYZ655448 UYZ720907:UYZ720984 UYZ786443:UYZ786520 UYZ851979:UYZ852056 UYZ917515:UYZ917592 UYZ983051:UYZ983128 VIV2:VIV88 VIV65547:VIV65624 VIV131083:VIV131160 VIV196619:VIV196696 VIV262155:VIV262232 VIV327691:VIV327768 VIV393227:VIV393304 VIV458763:VIV458840 VIV524299:VIV524376 VIV589835:VIV589912 VIV655371:VIV655448 VIV720907:VIV720984 VIV786443:VIV786520 VIV851979:VIV852056 VIV917515:VIV917592 VIV983051:VIV983128 VSR2:VSR88 VSR65547:VSR65624 VSR131083:VSR131160 VSR196619:VSR196696 VSR262155:VSR262232 VSR327691:VSR327768 VSR393227:VSR393304 VSR458763:VSR458840 VSR524299:VSR524376 VSR589835:VSR589912 VSR655371:VSR655448 VSR720907:VSR720984 VSR786443:VSR786520 VSR851979:VSR852056 VSR917515:VSR917592 VSR983051:VSR983128 WCN2:WCN88 WCN65547:WCN65624 WCN131083:WCN131160 WCN196619:WCN196696 WCN262155:WCN262232 WCN327691:WCN327768 WCN393227:WCN393304 WCN458763:WCN458840 WCN524299:WCN524376 WCN589835:WCN589912 WCN655371:WCN655448 WCN720907:WCN720984 WCN786443:WCN786520 WCN851979:WCN852056 WCN917515:WCN917592 WCN983051:WCN983128 WMJ2:WMJ88 WMJ65547:WMJ65624 WMJ131083:WMJ131160 WMJ196619:WMJ196696 WMJ262155:WMJ262232 WMJ327691:WMJ327768 WMJ393227:WMJ393304 WMJ458763:WMJ458840 WMJ524299:WMJ524376 WMJ589835:WMJ589912 WMJ655371:WMJ655448 WMJ720907:WMJ720984 WMJ786443:WMJ786520 WMJ851979:WMJ852056 WMJ917515:WMJ917592 WMJ983051:WMJ983128 WWF2:WWF88 WWF65547:WWF65624 WWF131083:WWF131160 WWF196619:WWF196696 WWF262155:WWF262232 WWF327691:WWF327768 WWF393227:WWF393304 WWF458763:WWF458840 WWF524299:WWF524376 WWF589835:WWF589912 WWF655371:WWF655448 WWF720907:WWF720984 WWF786443:WWF786520 WWF851979:WWF852056 WWF917515:WWF917592 WWF983051:WWF983128" xr:uid="{66A3837F-8225-4A1E-A355-580D4EFAA4C4}">
      <formula1>$AT$2:$AT$3</formula1>
    </dataValidation>
    <dataValidation type="list" allowBlank="1" showInputMessage="1" showErrorMessage="1" sqref="J65544:J65622 J131080:J131158 J196616:J196694 J262152:J262230 J327688:J327766 J393224:J393302 J458760:J458838 J524296:J524374 J589832:J589910 J655368:J655446 J720904:J720982 J786440:J786518 J851976:J852054 J917512:J917590 J983048:J983126" xr:uid="{819222D5-F78D-4012-A8DE-5DF3371E0D0B}">
      <formula1>$AP$2:$AP$15</formula1>
    </dataValidation>
    <dataValidation type="list" allowBlank="1" showInputMessage="1" showErrorMessage="1" sqref="H65547:H65624 H131083:H131160 H196619:H196696 H262155:H262232 H327691:H327768 H393227:H393304 H458763:H458840 H524299:H524376 H589835:H589912 H655371:H655448 H720907:H720984 H786443:H786520 H851979:H852056 H917515:H917592 H983051:H983128 JD2:JD88 JD65547:JD65624 JD131083:JD131160 JD196619:JD196696 JD262155:JD262232 JD327691:JD327768 JD393227:JD393304 JD458763:JD458840 JD524299:JD524376 JD589835:JD589912 JD655371:JD655448 JD720907:JD720984 JD786443:JD786520 JD851979:JD852056 JD917515:JD917592 JD983051:JD983128 SZ2:SZ88 SZ65547:SZ65624 SZ131083:SZ131160 SZ196619:SZ196696 SZ262155:SZ262232 SZ327691:SZ327768 SZ393227:SZ393304 SZ458763:SZ458840 SZ524299:SZ524376 SZ589835:SZ589912 SZ655371:SZ655448 SZ720907:SZ720984 SZ786443:SZ786520 SZ851979:SZ852056 SZ917515:SZ917592 SZ983051:SZ983128 ACV2:ACV88 ACV65547:ACV65624 ACV131083:ACV131160 ACV196619:ACV196696 ACV262155:ACV262232 ACV327691:ACV327768 ACV393227:ACV393304 ACV458763:ACV458840 ACV524299:ACV524376 ACV589835:ACV589912 ACV655371:ACV655448 ACV720907:ACV720984 ACV786443:ACV786520 ACV851979:ACV852056 ACV917515:ACV917592 ACV983051:ACV983128 AMR2:AMR88 AMR65547:AMR65624 AMR131083:AMR131160 AMR196619:AMR196696 AMR262155:AMR262232 AMR327691:AMR327768 AMR393227:AMR393304 AMR458763:AMR458840 AMR524299:AMR524376 AMR589835:AMR589912 AMR655371:AMR655448 AMR720907:AMR720984 AMR786443:AMR786520 AMR851979:AMR852056 AMR917515:AMR917592 AMR983051:AMR983128 AWN2:AWN88 AWN65547:AWN65624 AWN131083:AWN131160 AWN196619:AWN196696 AWN262155:AWN262232 AWN327691:AWN327768 AWN393227:AWN393304 AWN458763:AWN458840 AWN524299:AWN524376 AWN589835:AWN589912 AWN655371:AWN655448 AWN720907:AWN720984 AWN786443:AWN786520 AWN851979:AWN852056 AWN917515:AWN917592 AWN983051:AWN983128 BGJ2:BGJ88 BGJ65547:BGJ65624 BGJ131083:BGJ131160 BGJ196619:BGJ196696 BGJ262155:BGJ262232 BGJ327691:BGJ327768 BGJ393227:BGJ393304 BGJ458763:BGJ458840 BGJ524299:BGJ524376 BGJ589835:BGJ589912 BGJ655371:BGJ655448 BGJ720907:BGJ720984 BGJ786443:BGJ786520 BGJ851979:BGJ852056 BGJ917515:BGJ917592 BGJ983051:BGJ983128 BQF2:BQF88 BQF65547:BQF65624 BQF131083:BQF131160 BQF196619:BQF196696 BQF262155:BQF262232 BQF327691:BQF327768 BQF393227:BQF393304 BQF458763:BQF458840 BQF524299:BQF524376 BQF589835:BQF589912 BQF655371:BQF655448 BQF720907:BQF720984 BQF786443:BQF786520 BQF851979:BQF852056 BQF917515:BQF917592 BQF983051:BQF983128 CAB2:CAB88 CAB65547:CAB65624 CAB131083:CAB131160 CAB196619:CAB196696 CAB262155:CAB262232 CAB327691:CAB327768 CAB393227:CAB393304 CAB458763:CAB458840 CAB524299:CAB524376 CAB589835:CAB589912 CAB655371:CAB655448 CAB720907:CAB720984 CAB786443:CAB786520 CAB851979:CAB852056 CAB917515:CAB917592 CAB983051:CAB983128 CJX2:CJX88 CJX65547:CJX65624 CJX131083:CJX131160 CJX196619:CJX196696 CJX262155:CJX262232 CJX327691:CJX327768 CJX393227:CJX393304 CJX458763:CJX458840 CJX524299:CJX524376 CJX589835:CJX589912 CJX655371:CJX655448 CJX720907:CJX720984 CJX786443:CJX786520 CJX851979:CJX852056 CJX917515:CJX917592 CJX983051:CJX983128 CTT2:CTT88 CTT65547:CTT65624 CTT131083:CTT131160 CTT196619:CTT196696 CTT262155:CTT262232 CTT327691:CTT327768 CTT393227:CTT393304 CTT458763:CTT458840 CTT524299:CTT524376 CTT589835:CTT589912 CTT655371:CTT655448 CTT720907:CTT720984 CTT786443:CTT786520 CTT851979:CTT852056 CTT917515:CTT917592 CTT983051:CTT983128 DDP2:DDP88 DDP65547:DDP65624 DDP131083:DDP131160 DDP196619:DDP196696 DDP262155:DDP262232 DDP327691:DDP327768 DDP393227:DDP393304 DDP458763:DDP458840 DDP524299:DDP524376 DDP589835:DDP589912 DDP655371:DDP655448 DDP720907:DDP720984 DDP786443:DDP786520 DDP851979:DDP852056 DDP917515:DDP917592 DDP983051:DDP983128 DNL2:DNL88 DNL65547:DNL65624 DNL131083:DNL131160 DNL196619:DNL196696 DNL262155:DNL262232 DNL327691:DNL327768 DNL393227:DNL393304 DNL458763:DNL458840 DNL524299:DNL524376 DNL589835:DNL589912 DNL655371:DNL655448 DNL720907:DNL720984 DNL786443:DNL786520 DNL851979:DNL852056 DNL917515:DNL917592 DNL983051:DNL983128 DXH2:DXH88 DXH65547:DXH65624 DXH131083:DXH131160 DXH196619:DXH196696 DXH262155:DXH262232 DXH327691:DXH327768 DXH393227:DXH393304 DXH458763:DXH458840 DXH524299:DXH524376 DXH589835:DXH589912 DXH655371:DXH655448 DXH720907:DXH720984 DXH786443:DXH786520 DXH851979:DXH852056 DXH917515:DXH917592 DXH983051:DXH983128 EHD2:EHD88 EHD65547:EHD65624 EHD131083:EHD131160 EHD196619:EHD196696 EHD262155:EHD262232 EHD327691:EHD327768 EHD393227:EHD393304 EHD458763:EHD458840 EHD524299:EHD524376 EHD589835:EHD589912 EHD655371:EHD655448 EHD720907:EHD720984 EHD786443:EHD786520 EHD851979:EHD852056 EHD917515:EHD917592 EHD983051:EHD983128 EQZ2:EQZ88 EQZ65547:EQZ65624 EQZ131083:EQZ131160 EQZ196619:EQZ196696 EQZ262155:EQZ262232 EQZ327691:EQZ327768 EQZ393227:EQZ393304 EQZ458763:EQZ458840 EQZ524299:EQZ524376 EQZ589835:EQZ589912 EQZ655371:EQZ655448 EQZ720907:EQZ720984 EQZ786443:EQZ786520 EQZ851979:EQZ852056 EQZ917515:EQZ917592 EQZ983051:EQZ983128 FAV2:FAV88 FAV65547:FAV65624 FAV131083:FAV131160 FAV196619:FAV196696 FAV262155:FAV262232 FAV327691:FAV327768 FAV393227:FAV393304 FAV458763:FAV458840 FAV524299:FAV524376 FAV589835:FAV589912 FAV655371:FAV655448 FAV720907:FAV720984 FAV786443:FAV786520 FAV851979:FAV852056 FAV917515:FAV917592 FAV983051:FAV983128 FKR2:FKR88 FKR65547:FKR65624 FKR131083:FKR131160 FKR196619:FKR196696 FKR262155:FKR262232 FKR327691:FKR327768 FKR393227:FKR393304 FKR458763:FKR458840 FKR524299:FKR524376 FKR589835:FKR589912 FKR655371:FKR655448 FKR720907:FKR720984 FKR786443:FKR786520 FKR851979:FKR852056 FKR917515:FKR917592 FKR983051:FKR983128 FUN2:FUN88 FUN65547:FUN65624 FUN131083:FUN131160 FUN196619:FUN196696 FUN262155:FUN262232 FUN327691:FUN327768 FUN393227:FUN393304 FUN458763:FUN458840 FUN524299:FUN524376 FUN589835:FUN589912 FUN655371:FUN655448 FUN720907:FUN720984 FUN786443:FUN786520 FUN851979:FUN852056 FUN917515:FUN917592 FUN983051:FUN983128 GEJ2:GEJ88 GEJ65547:GEJ65624 GEJ131083:GEJ131160 GEJ196619:GEJ196696 GEJ262155:GEJ262232 GEJ327691:GEJ327768 GEJ393227:GEJ393304 GEJ458763:GEJ458840 GEJ524299:GEJ524376 GEJ589835:GEJ589912 GEJ655371:GEJ655448 GEJ720907:GEJ720984 GEJ786443:GEJ786520 GEJ851979:GEJ852056 GEJ917515:GEJ917592 GEJ983051:GEJ983128 GOF2:GOF88 GOF65547:GOF65624 GOF131083:GOF131160 GOF196619:GOF196696 GOF262155:GOF262232 GOF327691:GOF327768 GOF393227:GOF393304 GOF458763:GOF458840 GOF524299:GOF524376 GOF589835:GOF589912 GOF655371:GOF655448 GOF720907:GOF720984 GOF786443:GOF786520 GOF851979:GOF852056 GOF917515:GOF917592 GOF983051:GOF983128 GYB2:GYB88 GYB65547:GYB65624 GYB131083:GYB131160 GYB196619:GYB196696 GYB262155:GYB262232 GYB327691:GYB327768 GYB393227:GYB393304 GYB458763:GYB458840 GYB524299:GYB524376 GYB589835:GYB589912 GYB655371:GYB655448 GYB720907:GYB720984 GYB786443:GYB786520 GYB851979:GYB852056 GYB917515:GYB917592 GYB983051:GYB983128 HHX2:HHX88 HHX65547:HHX65624 HHX131083:HHX131160 HHX196619:HHX196696 HHX262155:HHX262232 HHX327691:HHX327768 HHX393227:HHX393304 HHX458763:HHX458840 HHX524299:HHX524376 HHX589835:HHX589912 HHX655371:HHX655448 HHX720907:HHX720984 HHX786443:HHX786520 HHX851979:HHX852056 HHX917515:HHX917592 HHX983051:HHX983128 HRT2:HRT88 HRT65547:HRT65624 HRT131083:HRT131160 HRT196619:HRT196696 HRT262155:HRT262232 HRT327691:HRT327768 HRT393227:HRT393304 HRT458763:HRT458840 HRT524299:HRT524376 HRT589835:HRT589912 HRT655371:HRT655448 HRT720907:HRT720984 HRT786443:HRT786520 HRT851979:HRT852056 HRT917515:HRT917592 HRT983051:HRT983128 IBP2:IBP88 IBP65547:IBP65624 IBP131083:IBP131160 IBP196619:IBP196696 IBP262155:IBP262232 IBP327691:IBP327768 IBP393227:IBP393304 IBP458763:IBP458840 IBP524299:IBP524376 IBP589835:IBP589912 IBP655371:IBP655448 IBP720907:IBP720984 IBP786443:IBP786520 IBP851979:IBP852056 IBP917515:IBP917592 IBP983051:IBP983128 ILL2:ILL88 ILL65547:ILL65624 ILL131083:ILL131160 ILL196619:ILL196696 ILL262155:ILL262232 ILL327691:ILL327768 ILL393227:ILL393304 ILL458763:ILL458840 ILL524299:ILL524376 ILL589835:ILL589912 ILL655371:ILL655448 ILL720907:ILL720984 ILL786443:ILL786520 ILL851979:ILL852056 ILL917515:ILL917592 ILL983051:ILL983128 IVH2:IVH88 IVH65547:IVH65624 IVH131083:IVH131160 IVH196619:IVH196696 IVH262155:IVH262232 IVH327691:IVH327768 IVH393227:IVH393304 IVH458763:IVH458840 IVH524299:IVH524376 IVH589835:IVH589912 IVH655371:IVH655448 IVH720907:IVH720984 IVH786443:IVH786520 IVH851979:IVH852056 IVH917515:IVH917592 IVH983051:IVH983128 JFD2:JFD88 JFD65547:JFD65624 JFD131083:JFD131160 JFD196619:JFD196696 JFD262155:JFD262232 JFD327691:JFD327768 JFD393227:JFD393304 JFD458763:JFD458840 JFD524299:JFD524376 JFD589835:JFD589912 JFD655371:JFD655448 JFD720907:JFD720984 JFD786443:JFD786520 JFD851979:JFD852056 JFD917515:JFD917592 JFD983051:JFD983128 JOZ2:JOZ88 JOZ65547:JOZ65624 JOZ131083:JOZ131160 JOZ196619:JOZ196696 JOZ262155:JOZ262232 JOZ327691:JOZ327768 JOZ393227:JOZ393304 JOZ458763:JOZ458840 JOZ524299:JOZ524376 JOZ589835:JOZ589912 JOZ655371:JOZ655448 JOZ720907:JOZ720984 JOZ786443:JOZ786520 JOZ851979:JOZ852056 JOZ917515:JOZ917592 JOZ983051:JOZ983128 JYV2:JYV88 JYV65547:JYV65624 JYV131083:JYV131160 JYV196619:JYV196696 JYV262155:JYV262232 JYV327691:JYV327768 JYV393227:JYV393304 JYV458763:JYV458840 JYV524299:JYV524376 JYV589835:JYV589912 JYV655371:JYV655448 JYV720907:JYV720984 JYV786443:JYV786520 JYV851979:JYV852056 JYV917515:JYV917592 JYV983051:JYV983128 KIR2:KIR88 KIR65547:KIR65624 KIR131083:KIR131160 KIR196619:KIR196696 KIR262155:KIR262232 KIR327691:KIR327768 KIR393227:KIR393304 KIR458763:KIR458840 KIR524299:KIR524376 KIR589835:KIR589912 KIR655371:KIR655448 KIR720907:KIR720984 KIR786443:KIR786520 KIR851979:KIR852056 KIR917515:KIR917592 KIR983051:KIR983128 KSN2:KSN88 KSN65547:KSN65624 KSN131083:KSN131160 KSN196619:KSN196696 KSN262155:KSN262232 KSN327691:KSN327768 KSN393227:KSN393304 KSN458763:KSN458840 KSN524299:KSN524376 KSN589835:KSN589912 KSN655371:KSN655448 KSN720907:KSN720984 KSN786443:KSN786520 KSN851979:KSN852056 KSN917515:KSN917592 KSN983051:KSN983128 LCJ2:LCJ88 LCJ65547:LCJ65624 LCJ131083:LCJ131160 LCJ196619:LCJ196696 LCJ262155:LCJ262232 LCJ327691:LCJ327768 LCJ393227:LCJ393304 LCJ458763:LCJ458840 LCJ524299:LCJ524376 LCJ589835:LCJ589912 LCJ655371:LCJ655448 LCJ720907:LCJ720984 LCJ786443:LCJ786520 LCJ851979:LCJ852056 LCJ917515:LCJ917592 LCJ983051:LCJ983128 LMF2:LMF88 LMF65547:LMF65624 LMF131083:LMF131160 LMF196619:LMF196696 LMF262155:LMF262232 LMF327691:LMF327768 LMF393227:LMF393304 LMF458763:LMF458840 LMF524299:LMF524376 LMF589835:LMF589912 LMF655371:LMF655448 LMF720907:LMF720984 LMF786443:LMF786520 LMF851979:LMF852056 LMF917515:LMF917592 LMF983051:LMF983128 LWB2:LWB88 LWB65547:LWB65624 LWB131083:LWB131160 LWB196619:LWB196696 LWB262155:LWB262232 LWB327691:LWB327768 LWB393227:LWB393304 LWB458763:LWB458840 LWB524299:LWB524376 LWB589835:LWB589912 LWB655371:LWB655448 LWB720907:LWB720984 LWB786443:LWB786520 LWB851979:LWB852056 LWB917515:LWB917592 LWB983051:LWB983128 MFX2:MFX88 MFX65547:MFX65624 MFX131083:MFX131160 MFX196619:MFX196696 MFX262155:MFX262232 MFX327691:MFX327768 MFX393227:MFX393304 MFX458763:MFX458840 MFX524299:MFX524376 MFX589835:MFX589912 MFX655371:MFX655448 MFX720907:MFX720984 MFX786443:MFX786520 MFX851979:MFX852056 MFX917515:MFX917592 MFX983051:MFX983128 MPT2:MPT88 MPT65547:MPT65624 MPT131083:MPT131160 MPT196619:MPT196696 MPT262155:MPT262232 MPT327691:MPT327768 MPT393227:MPT393304 MPT458763:MPT458840 MPT524299:MPT524376 MPT589835:MPT589912 MPT655371:MPT655448 MPT720907:MPT720984 MPT786443:MPT786520 MPT851979:MPT852056 MPT917515:MPT917592 MPT983051:MPT983128 MZP2:MZP88 MZP65547:MZP65624 MZP131083:MZP131160 MZP196619:MZP196696 MZP262155:MZP262232 MZP327691:MZP327768 MZP393227:MZP393304 MZP458763:MZP458840 MZP524299:MZP524376 MZP589835:MZP589912 MZP655371:MZP655448 MZP720907:MZP720984 MZP786443:MZP786520 MZP851979:MZP852056 MZP917515:MZP917592 MZP983051:MZP983128 NJL2:NJL88 NJL65547:NJL65624 NJL131083:NJL131160 NJL196619:NJL196696 NJL262155:NJL262232 NJL327691:NJL327768 NJL393227:NJL393304 NJL458763:NJL458840 NJL524299:NJL524376 NJL589835:NJL589912 NJL655371:NJL655448 NJL720907:NJL720984 NJL786443:NJL786520 NJL851979:NJL852056 NJL917515:NJL917592 NJL983051:NJL983128 NTH2:NTH88 NTH65547:NTH65624 NTH131083:NTH131160 NTH196619:NTH196696 NTH262155:NTH262232 NTH327691:NTH327768 NTH393227:NTH393304 NTH458763:NTH458840 NTH524299:NTH524376 NTH589835:NTH589912 NTH655371:NTH655448 NTH720907:NTH720984 NTH786443:NTH786520 NTH851979:NTH852056 NTH917515:NTH917592 NTH983051:NTH983128 ODD2:ODD88 ODD65547:ODD65624 ODD131083:ODD131160 ODD196619:ODD196696 ODD262155:ODD262232 ODD327691:ODD327768 ODD393227:ODD393304 ODD458763:ODD458840 ODD524299:ODD524376 ODD589835:ODD589912 ODD655371:ODD655448 ODD720907:ODD720984 ODD786443:ODD786520 ODD851979:ODD852056 ODD917515:ODD917592 ODD983051:ODD983128 OMZ2:OMZ88 OMZ65547:OMZ65624 OMZ131083:OMZ131160 OMZ196619:OMZ196696 OMZ262155:OMZ262232 OMZ327691:OMZ327768 OMZ393227:OMZ393304 OMZ458763:OMZ458840 OMZ524299:OMZ524376 OMZ589835:OMZ589912 OMZ655371:OMZ655448 OMZ720907:OMZ720984 OMZ786443:OMZ786520 OMZ851979:OMZ852056 OMZ917515:OMZ917592 OMZ983051:OMZ983128 OWV2:OWV88 OWV65547:OWV65624 OWV131083:OWV131160 OWV196619:OWV196696 OWV262155:OWV262232 OWV327691:OWV327768 OWV393227:OWV393304 OWV458763:OWV458840 OWV524299:OWV524376 OWV589835:OWV589912 OWV655371:OWV655448 OWV720907:OWV720984 OWV786443:OWV786520 OWV851979:OWV852056 OWV917515:OWV917592 OWV983051:OWV983128 PGR2:PGR88 PGR65547:PGR65624 PGR131083:PGR131160 PGR196619:PGR196696 PGR262155:PGR262232 PGR327691:PGR327768 PGR393227:PGR393304 PGR458763:PGR458840 PGR524299:PGR524376 PGR589835:PGR589912 PGR655371:PGR655448 PGR720907:PGR720984 PGR786443:PGR786520 PGR851979:PGR852056 PGR917515:PGR917592 PGR983051:PGR983128 PQN2:PQN88 PQN65547:PQN65624 PQN131083:PQN131160 PQN196619:PQN196696 PQN262155:PQN262232 PQN327691:PQN327768 PQN393227:PQN393304 PQN458763:PQN458840 PQN524299:PQN524376 PQN589835:PQN589912 PQN655371:PQN655448 PQN720907:PQN720984 PQN786443:PQN786520 PQN851979:PQN852056 PQN917515:PQN917592 PQN983051:PQN983128 QAJ2:QAJ88 QAJ65547:QAJ65624 QAJ131083:QAJ131160 QAJ196619:QAJ196696 QAJ262155:QAJ262232 QAJ327691:QAJ327768 QAJ393227:QAJ393304 QAJ458763:QAJ458840 QAJ524299:QAJ524376 QAJ589835:QAJ589912 QAJ655371:QAJ655448 QAJ720907:QAJ720984 QAJ786443:QAJ786520 QAJ851979:QAJ852056 QAJ917515:QAJ917592 QAJ983051:QAJ983128 QKF2:QKF88 QKF65547:QKF65624 QKF131083:QKF131160 QKF196619:QKF196696 QKF262155:QKF262232 QKF327691:QKF327768 QKF393227:QKF393304 QKF458763:QKF458840 QKF524299:QKF524376 QKF589835:QKF589912 QKF655371:QKF655448 QKF720907:QKF720984 QKF786443:QKF786520 QKF851979:QKF852056 QKF917515:QKF917592 QKF983051:QKF983128 QUB2:QUB88 QUB65547:QUB65624 QUB131083:QUB131160 QUB196619:QUB196696 QUB262155:QUB262232 QUB327691:QUB327768 QUB393227:QUB393304 QUB458763:QUB458840 QUB524299:QUB524376 QUB589835:QUB589912 QUB655371:QUB655448 QUB720907:QUB720984 QUB786443:QUB786520 QUB851979:QUB852056 QUB917515:QUB917592 QUB983051:QUB983128 RDX2:RDX88 RDX65547:RDX65624 RDX131083:RDX131160 RDX196619:RDX196696 RDX262155:RDX262232 RDX327691:RDX327768 RDX393227:RDX393304 RDX458763:RDX458840 RDX524299:RDX524376 RDX589835:RDX589912 RDX655371:RDX655448 RDX720907:RDX720984 RDX786443:RDX786520 RDX851979:RDX852056 RDX917515:RDX917592 RDX983051:RDX983128 RNT2:RNT88 RNT65547:RNT65624 RNT131083:RNT131160 RNT196619:RNT196696 RNT262155:RNT262232 RNT327691:RNT327768 RNT393227:RNT393304 RNT458763:RNT458840 RNT524299:RNT524376 RNT589835:RNT589912 RNT655371:RNT655448 RNT720907:RNT720984 RNT786443:RNT786520 RNT851979:RNT852056 RNT917515:RNT917592 RNT983051:RNT983128 RXP2:RXP88 RXP65547:RXP65624 RXP131083:RXP131160 RXP196619:RXP196696 RXP262155:RXP262232 RXP327691:RXP327768 RXP393227:RXP393304 RXP458763:RXP458840 RXP524299:RXP524376 RXP589835:RXP589912 RXP655371:RXP655448 RXP720907:RXP720984 RXP786443:RXP786520 RXP851979:RXP852056 RXP917515:RXP917592 RXP983051:RXP983128 SHL2:SHL88 SHL65547:SHL65624 SHL131083:SHL131160 SHL196619:SHL196696 SHL262155:SHL262232 SHL327691:SHL327768 SHL393227:SHL393304 SHL458763:SHL458840 SHL524299:SHL524376 SHL589835:SHL589912 SHL655371:SHL655448 SHL720907:SHL720984 SHL786443:SHL786520 SHL851979:SHL852056 SHL917515:SHL917592 SHL983051:SHL983128 SRH2:SRH88 SRH65547:SRH65624 SRH131083:SRH131160 SRH196619:SRH196696 SRH262155:SRH262232 SRH327691:SRH327768 SRH393227:SRH393304 SRH458763:SRH458840 SRH524299:SRH524376 SRH589835:SRH589912 SRH655371:SRH655448 SRH720907:SRH720984 SRH786443:SRH786520 SRH851979:SRH852056 SRH917515:SRH917592 SRH983051:SRH983128 TBD2:TBD88 TBD65547:TBD65624 TBD131083:TBD131160 TBD196619:TBD196696 TBD262155:TBD262232 TBD327691:TBD327768 TBD393227:TBD393304 TBD458763:TBD458840 TBD524299:TBD524376 TBD589835:TBD589912 TBD655371:TBD655448 TBD720907:TBD720984 TBD786443:TBD786520 TBD851979:TBD852056 TBD917515:TBD917592 TBD983051:TBD983128 TKZ2:TKZ88 TKZ65547:TKZ65624 TKZ131083:TKZ131160 TKZ196619:TKZ196696 TKZ262155:TKZ262232 TKZ327691:TKZ327768 TKZ393227:TKZ393304 TKZ458763:TKZ458840 TKZ524299:TKZ524376 TKZ589835:TKZ589912 TKZ655371:TKZ655448 TKZ720907:TKZ720984 TKZ786443:TKZ786520 TKZ851979:TKZ852056 TKZ917515:TKZ917592 TKZ983051:TKZ983128 TUV2:TUV88 TUV65547:TUV65624 TUV131083:TUV131160 TUV196619:TUV196696 TUV262155:TUV262232 TUV327691:TUV327768 TUV393227:TUV393304 TUV458763:TUV458840 TUV524299:TUV524376 TUV589835:TUV589912 TUV655371:TUV655448 TUV720907:TUV720984 TUV786443:TUV786520 TUV851979:TUV852056 TUV917515:TUV917592 TUV983051:TUV983128 UER2:UER88 UER65547:UER65624 UER131083:UER131160 UER196619:UER196696 UER262155:UER262232 UER327691:UER327768 UER393227:UER393304 UER458763:UER458840 UER524299:UER524376 UER589835:UER589912 UER655371:UER655448 UER720907:UER720984 UER786443:UER786520 UER851979:UER852056 UER917515:UER917592 UER983051:UER983128 UON2:UON88 UON65547:UON65624 UON131083:UON131160 UON196619:UON196696 UON262155:UON262232 UON327691:UON327768 UON393227:UON393304 UON458763:UON458840 UON524299:UON524376 UON589835:UON589912 UON655371:UON655448 UON720907:UON720984 UON786443:UON786520 UON851979:UON852056 UON917515:UON917592 UON983051:UON983128 UYJ2:UYJ88 UYJ65547:UYJ65624 UYJ131083:UYJ131160 UYJ196619:UYJ196696 UYJ262155:UYJ262232 UYJ327691:UYJ327768 UYJ393227:UYJ393304 UYJ458763:UYJ458840 UYJ524299:UYJ524376 UYJ589835:UYJ589912 UYJ655371:UYJ655448 UYJ720907:UYJ720984 UYJ786443:UYJ786520 UYJ851979:UYJ852056 UYJ917515:UYJ917592 UYJ983051:UYJ983128 VIF2:VIF88 VIF65547:VIF65624 VIF131083:VIF131160 VIF196619:VIF196696 VIF262155:VIF262232 VIF327691:VIF327768 VIF393227:VIF393304 VIF458763:VIF458840 VIF524299:VIF524376 VIF589835:VIF589912 VIF655371:VIF655448 VIF720907:VIF720984 VIF786443:VIF786520 VIF851979:VIF852056 VIF917515:VIF917592 VIF983051:VIF983128 VSB2:VSB88 VSB65547:VSB65624 VSB131083:VSB131160 VSB196619:VSB196696 VSB262155:VSB262232 VSB327691:VSB327768 VSB393227:VSB393304 VSB458763:VSB458840 VSB524299:VSB524376 VSB589835:VSB589912 VSB655371:VSB655448 VSB720907:VSB720984 VSB786443:VSB786520 VSB851979:VSB852056 VSB917515:VSB917592 VSB983051:VSB983128 WBX2:WBX88 WBX65547:WBX65624 WBX131083:WBX131160 WBX196619:WBX196696 WBX262155:WBX262232 WBX327691:WBX327768 WBX393227:WBX393304 WBX458763:WBX458840 WBX524299:WBX524376 WBX589835:WBX589912 WBX655371:WBX655448 WBX720907:WBX720984 WBX786443:WBX786520 WBX851979:WBX852056 WBX917515:WBX917592 WBX983051:WBX983128 WLT2:WLT88 WLT65547:WLT65624 WLT131083:WLT131160 WLT196619:WLT196696 WLT262155:WLT262232 WLT327691:WLT327768 WLT393227:WLT393304 WLT458763:WLT458840 WLT524299:WLT524376 WLT589835:WLT589912 WLT655371:WLT655448 WLT720907:WLT720984 WLT786443:WLT786520 WLT851979:WLT852056 WLT917515:WLT917592 WLT983051:WLT983128 WVP2:WVP88 WVP65547:WVP65624 WVP131083:WVP131160 WVP196619:WVP196696 WVP262155:WVP262232 WVP327691:WVP327768 WVP393227:WVP393304 WVP458763:WVP458840 WVP524299:WVP524376 WVP589835:WVP589912 WVP655371:WVP655448 WVP720907:WVP720984 WVP786443:WVP786520 WVP851979:WVP852056 WVP917515:WVP917592 WVP983051:WVP983128" xr:uid="{7B11DA96-C028-4F6D-8339-6A742D965458}">
      <formula1>$AL$4:$AL$12</formula1>
    </dataValidation>
    <dataValidation type="list" allowBlank="1" showInputMessage="1" showErrorMessage="1" sqref="F2:F740 F65547:F65624 F131083:F131160 F196619:F196696 F262155:F262232 F327691:F327768 F393227:F393304 F458763:F458840 F524299:F524376 F589835:F589912 F655371:F655448 F720907:F720984 F786443:F786520 F851979:F852056 F917515:F917592 F983051:F983128 JB2:JB88 JB65547:JB65624 JB131083:JB131160 JB196619:JB196696 JB262155:JB262232 JB327691:JB327768 JB393227:JB393304 JB458763:JB458840 JB524299:JB524376 JB589835:JB589912 JB655371:JB655448 JB720907:JB720984 JB786443:JB786520 JB851979:JB852056 JB917515:JB917592 JB983051:JB983128 SX2:SX88 SX65547:SX65624 SX131083:SX131160 SX196619:SX196696 SX262155:SX262232 SX327691:SX327768 SX393227:SX393304 SX458763:SX458840 SX524299:SX524376 SX589835:SX589912 SX655371:SX655448 SX720907:SX720984 SX786443:SX786520 SX851979:SX852056 SX917515:SX917592 SX983051:SX983128 ACT2:ACT88 ACT65547:ACT65624 ACT131083:ACT131160 ACT196619:ACT196696 ACT262155:ACT262232 ACT327691:ACT327768 ACT393227:ACT393304 ACT458763:ACT458840 ACT524299:ACT524376 ACT589835:ACT589912 ACT655371:ACT655448 ACT720907:ACT720984 ACT786443:ACT786520 ACT851979:ACT852056 ACT917515:ACT917592 ACT983051:ACT983128 AMP2:AMP88 AMP65547:AMP65624 AMP131083:AMP131160 AMP196619:AMP196696 AMP262155:AMP262232 AMP327691:AMP327768 AMP393227:AMP393304 AMP458763:AMP458840 AMP524299:AMP524376 AMP589835:AMP589912 AMP655371:AMP655448 AMP720907:AMP720984 AMP786443:AMP786520 AMP851979:AMP852056 AMP917515:AMP917592 AMP983051:AMP983128 AWL2:AWL88 AWL65547:AWL65624 AWL131083:AWL131160 AWL196619:AWL196696 AWL262155:AWL262232 AWL327691:AWL327768 AWL393227:AWL393304 AWL458763:AWL458840 AWL524299:AWL524376 AWL589835:AWL589912 AWL655371:AWL655448 AWL720907:AWL720984 AWL786443:AWL786520 AWL851979:AWL852056 AWL917515:AWL917592 AWL983051:AWL983128 BGH2:BGH88 BGH65547:BGH65624 BGH131083:BGH131160 BGH196619:BGH196696 BGH262155:BGH262232 BGH327691:BGH327768 BGH393227:BGH393304 BGH458763:BGH458840 BGH524299:BGH524376 BGH589835:BGH589912 BGH655371:BGH655448 BGH720907:BGH720984 BGH786443:BGH786520 BGH851979:BGH852056 BGH917515:BGH917592 BGH983051:BGH983128 BQD2:BQD88 BQD65547:BQD65624 BQD131083:BQD131160 BQD196619:BQD196696 BQD262155:BQD262232 BQD327691:BQD327768 BQD393227:BQD393304 BQD458763:BQD458840 BQD524299:BQD524376 BQD589835:BQD589912 BQD655371:BQD655448 BQD720907:BQD720984 BQD786443:BQD786520 BQD851979:BQD852056 BQD917515:BQD917592 BQD983051:BQD983128 BZZ2:BZZ88 BZZ65547:BZZ65624 BZZ131083:BZZ131160 BZZ196619:BZZ196696 BZZ262155:BZZ262232 BZZ327691:BZZ327768 BZZ393227:BZZ393304 BZZ458763:BZZ458840 BZZ524299:BZZ524376 BZZ589835:BZZ589912 BZZ655371:BZZ655448 BZZ720907:BZZ720984 BZZ786443:BZZ786520 BZZ851979:BZZ852056 BZZ917515:BZZ917592 BZZ983051:BZZ983128 CJV2:CJV88 CJV65547:CJV65624 CJV131083:CJV131160 CJV196619:CJV196696 CJV262155:CJV262232 CJV327691:CJV327768 CJV393227:CJV393304 CJV458763:CJV458840 CJV524299:CJV524376 CJV589835:CJV589912 CJV655371:CJV655448 CJV720907:CJV720984 CJV786443:CJV786520 CJV851979:CJV852056 CJV917515:CJV917592 CJV983051:CJV983128 CTR2:CTR88 CTR65547:CTR65624 CTR131083:CTR131160 CTR196619:CTR196696 CTR262155:CTR262232 CTR327691:CTR327768 CTR393227:CTR393304 CTR458763:CTR458840 CTR524299:CTR524376 CTR589835:CTR589912 CTR655371:CTR655448 CTR720907:CTR720984 CTR786443:CTR786520 CTR851979:CTR852056 CTR917515:CTR917592 CTR983051:CTR983128 DDN2:DDN88 DDN65547:DDN65624 DDN131083:DDN131160 DDN196619:DDN196696 DDN262155:DDN262232 DDN327691:DDN327768 DDN393227:DDN393304 DDN458763:DDN458840 DDN524299:DDN524376 DDN589835:DDN589912 DDN655371:DDN655448 DDN720907:DDN720984 DDN786443:DDN786520 DDN851979:DDN852056 DDN917515:DDN917592 DDN983051:DDN983128 DNJ2:DNJ88 DNJ65547:DNJ65624 DNJ131083:DNJ131160 DNJ196619:DNJ196696 DNJ262155:DNJ262232 DNJ327691:DNJ327768 DNJ393227:DNJ393304 DNJ458763:DNJ458840 DNJ524299:DNJ524376 DNJ589835:DNJ589912 DNJ655371:DNJ655448 DNJ720907:DNJ720984 DNJ786443:DNJ786520 DNJ851979:DNJ852056 DNJ917515:DNJ917592 DNJ983051:DNJ983128 DXF2:DXF88 DXF65547:DXF65624 DXF131083:DXF131160 DXF196619:DXF196696 DXF262155:DXF262232 DXF327691:DXF327768 DXF393227:DXF393304 DXF458763:DXF458840 DXF524299:DXF524376 DXF589835:DXF589912 DXF655371:DXF655448 DXF720907:DXF720984 DXF786443:DXF786520 DXF851979:DXF852056 DXF917515:DXF917592 DXF983051:DXF983128 EHB2:EHB88 EHB65547:EHB65624 EHB131083:EHB131160 EHB196619:EHB196696 EHB262155:EHB262232 EHB327691:EHB327768 EHB393227:EHB393304 EHB458763:EHB458840 EHB524299:EHB524376 EHB589835:EHB589912 EHB655371:EHB655448 EHB720907:EHB720984 EHB786443:EHB786520 EHB851979:EHB852056 EHB917515:EHB917592 EHB983051:EHB983128 EQX2:EQX88 EQX65547:EQX65624 EQX131083:EQX131160 EQX196619:EQX196696 EQX262155:EQX262232 EQX327691:EQX327768 EQX393227:EQX393304 EQX458763:EQX458840 EQX524299:EQX524376 EQX589835:EQX589912 EQX655371:EQX655448 EQX720907:EQX720984 EQX786443:EQX786520 EQX851979:EQX852056 EQX917515:EQX917592 EQX983051:EQX983128 FAT2:FAT88 FAT65547:FAT65624 FAT131083:FAT131160 FAT196619:FAT196696 FAT262155:FAT262232 FAT327691:FAT327768 FAT393227:FAT393304 FAT458763:FAT458840 FAT524299:FAT524376 FAT589835:FAT589912 FAT655371:FAT655448 FAT720907:FAT720984 FAT786443:FAT786520 FAT851979:FAT852056 FAT917515:FAT917592 FAT983051:FAT983128 FKP2:FKP88 FKP65547:FKP65624 FKP131083:FKP131160 FKP196619:FKP196696 FKP262155:FKP262232 FKP327691:FKP327768 FKP393227:FKP393304 FKP458763:FKP458840 FKP524299:FKP524376 FKP589835:FKP589912 FKP655371:FKP655448 FKP720907:FKP720984 FKP786443:FKP786520 FKP851979:FKP852056 FKP917515:FKP917592 FKP983051:FKP983128 FUL2:FUL88 FUL65547:FUL65624 FUL131083:FUL131160 FUL196619:FUL196696 FUL262155:FUL262232 FUL327691:FUL327768 FUL393227:FUL393304 FUL458763:FUL458840 FUL524299:FUL524376 FUL589835:FUL589912 FUL655371:FUL655448 FUL720907:FUL720984 FUL786443:FUL786520 FUL851979:FUL852056 FUL917515:FUL917592 FUL983051:FUL983128 GEH2:GEH88 GEH65547:GEH65624 GEH131083:GEH131160 GEH196619:GEH196696 GEH262155:GEH262232 GEH327691:GEH327768 GEH393227:GEH393304 GEH458763:GEH458840 GEH524299:GEH524376 GEH589835:GEH589912 GEH655371:GEH655448 GEH720907:GEH720984 GEH786443:GEH786520 GEH851979:GEH852056 GEH917515:GEH917592 GEH983051:GEH983128 GOD2:GOD88 GOD65547:GOD65624 GOD131083:GOD131160 GOD196619:GOD196696 GOD262155:GOD262232 GOD327691:GOD327768 GOD393227:GOD393304 GOD458763:GOD458840 GOD524299:GOD524376 GOD589835:GOD589912 GOD655371:GOD655448 GOD720907:GOD720984 GOD786443:GOD786520 GOD851979:GOD852056 GOD917515:GOD917592 GOD983051:GOD983128 GXZ2:GXZ88 GXZ65547:GXZ65624 GXZ131083:GXZ131160 GXZ196619:GXZ196696 GXZ262155:GXZ262232 GXZ327691:GXZ327768 GXZ393227:GXZ393304 GXZ458763:GXZ458840 GXZ524299:GXZ524376 GXZ589835:GXZ589912 GXZ655371:GXZ655448 GXZ720907:GXZ720984 GXZ786443:GXZ786520 GXZ851979:GXZ852056 GXZ917515:GXZ917592 GXZ983051:GXZ983128 HHV2:HHV88 HHV65547:HHV65624 HHV131083:HHV131160 HHV196619:HHV196696 HHV262155:HHV262232 HHV327691:HHV327768 HHV393227:HHV393304 HHV458763:HHV458840 HHV524299:HHV524376 HHV589835:HHV589912 HHV655371:HHV655448 HHV720907:HHV720984 HHV786443:HHV786520 HHV851979:HHV852056 HHV917515:HHV917592 HHV983051:HHV983128 HRR2:HRR88 HRR65547:HRR65624 HRR131083:HRR131160 HRR196619:HRR196696 HRR262155:HRR262232 HRR327691:HRR327768 HRR393227:HRR393304 HRR458763:HRR458840 HRR524299:HRR524376 HRR589835:HRR589912 HRR655371:HRR655448 HRR720907:HRR720984 HRR786443:HRR786520 HRR851979:HRR852056 HRR917515:HRR917592 HRR983051:HRR983128 IBN2:IBN88 IBN65547:IBN65624 IBN131083:IBN131160 IBN196619:IBN196696 IBN262155:IBN262232 IBN327691:IBN327768 IBN393227:IBN393304 IBN458763:IBN458840 IBN524299:IBN524376 IBN589835:IBN589912 IBN655371:IBN655448 IBN720907:IBN720984 IBN786443:IBN786520 IBN851979:IBN852056 IBN917515:IBN917592 IBN983051:IBN983128 ILJ2:ILJ88 ILJ65547:ILJ65624 ILJ131083:ILJ131160 ILJ196619:ILJ196696 ILJ262155:ILJ262232 ILJ327691:ILJ327768 ILJ393227:ILJ393304 ILJ458763:ILJ458840 ILJ524299:ILJ524376 ILJ589835:ILJ589912 ILJ655371:ILJ655448 ILJ720907:ILJ720984 ILJ786443:ILJ786520 ILJ851979:ILJ852056 ILJ917515:ILJ917592 ILJ983051:ILJ983128 IVF2:IVF88 IVF65547:IVF65624 IVF131083:IVF131160 IVF196619:IVF196696 IVF262155:IVF262232 IVF327691:IVF327768 IVF393227:IVF393304 IVF458763:IVF458840 IVF524299:IVF524376 IVF589835:IVF589912 IVF655371:IVF655448 IVF720907:IVF720984 IVF786443:IVF786520 IVF851979:IVF852056 IVF917515:IVF917592 IVF983051:IVF983128 JFB2:JFB88 JFB65547:JFB65624 JFB131083:JFB131160 JFB196619:JFB196696 JFB262155:JFB262232 JFB327691:JFB327768 JFB393227:JFB393304 JFB458763:JFB458840 JFB524299:JFB524376 JFB589835:JFB589912 JFB655371:JFB655448 JFB720907:JFB720984 JFB786443:JFB786520 JFB851979:JFB852056 JFB917515:JFB917592 JFB983051:JFB983128 JOX2:JOX88 JOX65547:JOX65624 JOX131083:JOX131160 JOX196619:JOX196696 JOX262155:JOX262232 JOX327691:JOX327768 JOX393227:JOX393304 JOX458763:JOX458840 JOX524299:JOX524376 JOX589835:JOX589912 JOX655371:JOX655448 JOX720907:JOX720984 JOX786443:JOX786520 JOX851979:JOX852056 JOX917515:JOX917592 JOX983051:JOX983128 JYT2:JYT88 JYT65547:JYT65624 JYT131083:JYT131160 JYT196619:JYT196696 JYT262155:JYT262232 JYT327691:JYT327768 JYT393227:JYT393304 JYT458763:JYT458840 JYT524299:JYT524376 JYT589835:JYT589912 JYT655371:JYT655448 JYT720907:JYT720984 JYT786443:JYT786520 JYT851979:JYT852056 JYT917515:JYT917592 JYT983051:JYT983128 KIP2:KIP88 KIP65547:KIP65624 KIP131083:KIP131160 KIP196619:KIP196696 KIP262155:KIP262232 KIP327691:KIP327768 KIP393227:KIP393304 KIP458763:KIP458840 KIP524299:KIP524376 KIP589835:KIP589912 KIP655371:KIP655448 KIP720907:KIP720984 KIP786443:KIP786520 KIP851979:KIP852056 KIP917515:KIP917592 KIP983051:KIP983128 KSL2:KSL88 KSL65547:KSL65624 KSL131083:KSL131160 KSL196619:KSL196696 KSL262155:KSL262232 KSL327691:KSL327768 KSL393227:KSL393304 KSL458763:KSL458840 KSL524299:KSL524376 KSL589835:KSL589912 KSL655371:KSL655448 KSL720907:KSL720984 KSL786443:KSL786520 KSL851979:KSL852056 KSL917515:KSL917592 KSL983051:KSL983128 LCH2:LCH88 LCH65547:LCH65624 LCH131083:LCH131160 LCH196619:LCH196696 LCH262155:LCH262232 LCH327691:LCH327768 LCH393227:LCH393304 LCH458763:LCH458840 LCH524299:LCH524376 LCH589835:LCH589912 LCH655371:LCH655448 LCH720907:LCH720984 LCH786443:LCH786520 LCH851979:LCH852056 LCH917515:LCH917592 LCH983051:LCH983128 LMD2:LMD88 LMD65547:LMD65624 LMD131083:LMD131160 LMD196619:LMD196696 LMD262155:LMD262232 LMD327691:LMD327768 LMD393227:LMD393304 LMD458763:LMD458840 LMD524299:LMD524376 LMD589835:LMD589912 LMD655371:LMD655448 LMD720907:LMD720984 LMD786443:LMD786520 LMD851979:LMD852056 LMD917515:LMD917592 LMD983051:LMD983128 LVZ2:LVZ88 LVZ65547:LVZ65624 LVZ131083:LVZ131160 LVZ196619:LVZ196696 LVZ262155:LVZ262232 LVZ327691:LVZ327768 LVZ393227:LVZ393304 LVZ458763:LVZ458840 LVZ524299:LVZ524376 LVZ589835:LVZ589912 LVZ655371:LVZ655448 LVZ720907:LVZ720984 LVZ786443:LVZ786520 LVZ851979:LVZ852056 LVZ917515:LVZ917592 LVZ983051:LVZ983128 MFV2:MFV88 MFV65547:MFV65624 MFV131083:MFV131160 MFV196619:MFV196696 MFV262155:MFV262232 MFV327691:MFV327768 MFV393227:MFV393304 MFV458763:MFV458840 MFV524299:MFV524376 MFV589835:MFV589912 MFV655371:MFV655448 MFV720907:MFV720984 MFV786443:MFV786520 MFV851979:MFV852056 MFV917515:MFV917592 MFV983051:MFV983128 MPR2:MPR88 MPR65547:MPR65624 MPR131083:MPR131160 MPR196619:MPR196696 MPR262155:MPR262232 MPR327691:MPR327768 MPR393227:MPR393304 MPR458763:MPR458840 MPR524299:MPR524376 MPR589835:MPR589912 MPR655371:MPR655448 MPR720907:MPR720984 MPR786443:MPR786520 MPR851979:MPR852056 MPR917515:MPR917592 MPR983051:MPR983128 MZN2:MZN88 MZN65547:MZN65624 MZN131083:MZN131160 MZN196619:MZN196696 MZN262155:MZN262232 MZN327691:MZN327768 MZN393227:MZN393304 MZN458763:MZN458840 MZN524299:MZN524376 MZN589835:MZN589912 MZN655371:MZN655448 MZN720907:MZN720984 MZN786443:MZN786520 MZN851979:MZN852056 MZN917515:MZN917592 MZN983051:MZN983128 NJJ2:NJJ88 NJJ65547:NJJ65624 NJJ131083:NJJ131160 NJJ196619:NJJ196696 NJJ262155:NJJ262232 NJJ327691:NJJ327768 NJJ393227:NJJ393304 NJJ458763:NJJ458840 NJJ524299:NJJ524376 NJJ589835:NJJ589912 NJJ655371:NJJ655448 NJJ720907:NJJ720984 NJJ786443:NJJ786520 NJJ851979:NJJ852056 NJJ917515:NJJ917592 NJJ983051:NJJ983128 NTF2:NTF88 NTF65547:NTF65624 NTF131083:NTF131160 NTF196619:NTF196696 NTF262155:NTF262232 NTF327691:NTF327768 NTF393227:NTF393304 NTF458763:NTF458840 NTF524299:NTF524376 NTF589835:NTF589912 NTF655371:NTF655448 NTF720907:NTF720984 NTF786443:NTF786520 NTF851979:NTF852056 NTF917515:NTF917592 NTF983051:NTF983128 ODB2:ODB88 ODB65547:ODB65624 ODB131083:ODB131160 ODB196619:ODB196696 ODB262155:ODB262232 ODB327691:ODB327768 ODB393227:ODB393304 ODB458763:ODB458840 ODB524299:ODB524376 ODB589835:ODB589912 ODB655371:ODB655448 ODB720907:ODB720984 ODB786443:ODB786520 ODB851979:ODB852056 ODB917515:ODB917592 ODB983051:ODB983128 OMX2:OMX88 OMX65547:OMX65624 OMX131083:OMX131160 OMX196619:OMX196696 OMX262155:OMX262232 OMX327691:OMX327768 OMX393227:OMX393304 OMX458763:OMX458840 OMX524299:OMX524376 OMX589835:OMX589912 OMX655371:OMX655448 OMX720907:OMX720984 OMX786443:OMX786520 OMX851979:OMX852056 OMX917515:OMX917592 OMX983051:OMX983128 OWT2:OWT88 OWT65547:OWT65624 OWT131083:OWT131160 OWT196619:OWT196696 OWT262155:OWT262232 OWT327691:OWT327768 OWT393227:OWT393304 OWT458763:OWT458840 OWT524299:OWT524376 OWT589835:OWT589912 OWT655371:OWT655448 OWT720907:OWT720984 OWT786443:OWT786520 OWT851979:OWT852056 OWT917515:OWT917592 OWT983051:OWT983128 PGP2:PGP88 PGP65547:PGP65624 PGP131083:PGP131160 PGP196619:PGP196696 PGP262155:PGP262232 PGP327691:PGP327768 PGP393227:PGP393304 PGP458763:PGP458840 PGP524299:PGP524376 PGP589835:PGP589912 PGP655371:PGP655448 PGP720907:PGP720984 PGP786443:PGP786520 PGP851979:PGP852056 PGP917515:PGP917592 PGP983051:PGP983128 PQL2:PQL88 PQL65547:PQL65624 PQL131083:PQL131160 PQL196619:PQL196696 PQL262155:PQL262232 PQL327691:PQL327768 PQL393227:PQL393304 PQL458763:PQL458840 PQL524299:PQL524376 PQL589835:PQL589912 PQL655371:PQL655448 PQL720907:PQL720984 PQL786443:PQL786520 PQL851979:PQL852056 PQL917515:PQL917592 PQL983051:PQL983128 QAH2:QAH88 QAH65547:QAH65624 QAH131083:QAH131160 QAH196619:QAH196696 QAH262155:QAH262232 QAH327691:QAH327768 QAH393227:QAH393304 QAH458763:QAH458840 QAH524299:QAH524376 QAH589835:QAH589912 QAH655371:QAH655448 QAH720907:QAH720984 QAH786443:QAH786520 QAH851979:QAH852056 QAH917515:QAH917592 QAH983051:QAH983128 QKD2:QKD88 QKD65547:QKD65624 QKD131083:QKD131160 QKD196619:QKD196696 QKD262155:QKD262232 QKD327691:QKD327768 QKD393227:QKD393304 QKD458763:QKD458840 QKD524299:QKD524376 QKD589835:QKD589912 QKD655371:QKD655448 QKD720907:QKD720984 QKD786443:QKD786520 QKD851979:QKD852056 QKD917515:QKD917592 QKD983051:QKD983128 QTZ2:QTZ88 QTZ65547:QTZ65624 QTZ131083:QTZ131160 QTZ196619:QTZ196696 QTZ262155:QTZ262232 QTZ327691:QTZ327768 QTZ393227:QTZ393304 QTZ458763:QTZ458840 QTZ524299:QTZ524376 QTZ589835:QTZ589912 QTZ655371:QTZ655448 QTZ720907:QTZ720984 QTZ786443:QTZ786520 QTZ851979:QTZ852056 QTZ917515:QTZ917592 QTZ983051:QTZ983128 RDV2:RDV88 RDV65547:RDV65624 RDV131083:RDV131160 RDV196619:RDV196696 RDV262155:RDV262232 RDV327691:RDV327768 RDV393227:RDV393304 RDV458763:RDV458840 RDV524299:RDV524376 RDV589835:RDV589912 RDV655371:RDV655448 RDV720907:RDV720984 RDV786443:RDV786520 RDV851979:RDV852056 RDV917515:RDV917592 RDV983051:RDV983128 RNR2:RNR88 RNR65547:RNR65624 RNR131083:RNR131160 RNR196619:RNR196696 RNR262155:RNR262232 RNR327691:RNR327768 RNR393227:RNR393304 RNR458763:RNR458840 RNR524299:RNR524376 RNR589835:RNR589912 RNR655371:RNR655448 RNR720907:RNR720984 RNR786443:RNR786520 RNR851979:RNR852056 RNR917515:RNR917592 RNR983051:RNR983128 RXN2:RXN88 RXN65547:RXN65624 RXN131083:RXN131160 RXN196619:RXN196696 RXN262155:RXN262232 RXN327691:RXN327768 RXN393227:RXN393304 RXN458763:RXN458840 RXN524299:RXN524376 RXN589835:RXN589912 RXN655371:RXN655448 RXN720907:RXN720984 RXN786443:RXN786520 RXN851979:RXN852056 RXN917515:RXN917592 RXN983051:RXN983128 SHJ2:SHJ88 SHJ65547:SHJ65624 SHJ131083:SHJ131160 SHJ196619:SHJ196696 SHJ262155:SHJ262232 SHJ327691:SHJ327768 SHJ393227:SHJ393304 SHJ458763:SHJ458840 SHJ524299:SHJ524376 SHJ589835:SHJ589912 SHJ655371:SHJ655448 SHJ720907:SHJ720984 SHJ786443:SHJ786520 SHJ851979:SHJ852056 SHJ917515:SHJ917592 SHJ983051:SHJ983128 SRF2:SRF88 SRF65547:SRF65624 SRF131083:SRF131160 SRF196619:SRF196696 SRF262155:SRF262232 SRF327691:SRF327768 SRF393227:SRF393304 SRF458763:SRF458840 SRF524299:SRF524376 SRF589835:SRF589912 SRF655371:SRF655448 SRF720907:SRF720984 SRF786443:SRF786520 SRF851979:SRF852056 SRF917515:SRF917592 SRF983051:SRF983128 TBB2:TBB88 TBB65547:TBB65624 TBB131083:TBB131160 TBB196619:TBB196696 TBB262155:TBB262232 TBB327691:TBB327768 TBB393227:TBB393304 TBB458763:TBB458840 TBB524299:TBB524376 TBB589835:TBB589912 TBB655371:TBB655448 TBB720907:TBB720984 TBB786443:TBB786520 TBB851979:TBB852056 TBB917515:TBB917592 TBB983051:TBB983128 TKX2:TKX88 TKX65547:TKX65624 TKX131083:TKX131160 TKX196619:TKX196696 TKX262155:TKX262232 TKX327691:TKX327768 TKX393227:TKX393304 TKX458763:TKX458840 TKX524299:TKX524376 TKX589835:TKX589912 TKX655371:TKX655448 TKX720907:TKX720984 TKX786443:TKX786520 TKX851979:TKX852056 TKX917515:TKX917592 TKX983051:TKX983128 TUT2:TUT88 TUT65547:TUT65624 TUT131083:TUT131160 TUT196619:TUT196696 TUT262155:TUT262232 TUT327691:TUT327768 TUT393227:TUT393304 TUT458763:TUT458840 TUT524299:TUT524376 TUT589835:TUT589912 TUT655371:TUT655448 TUT720907:TUT720984 TUT786443:TUT786520 TUT851979:TUT852056 TUT917515:TUT917592 TUT983051:TUT983128 UEP2:UEP88 UEP65547:UEP65624 UEP131083:UEP131160 UEP196619:UEP196696 UEP262155:UEP262232 UEP327691:UEP327768 UEP393227:UEP393304 UEP458763:UEP458840 UEP524299:UEP524376 UEP589835:UEP589912 UEP655371:UEP655448 UEP720907:UEP720984 UEP786443:UEP786520 UEP851979:UEP852056 UEP917515:UEP917592 UEP983051:UEP983128 UOL2:UOL88 UOL65547:UOL65624 UOL131083:UOL131160 UOL196619:UOL196696 UOL262155:UOL262232 UOL327691:UOL327768 UOL393227:UOL393304 UOL458763:UOL458840 UOL524299:UOL524376 UOL589835:UOL589912 UOL655371:UOL655448 UOL720907:UOL720984 UOL786443:UOL786520 UOL851979:UOL852056 UOL917515:UOL917592 UOL983051:UOL983128 UYH2:UYH88 UYH65547:UYH65624 UYH131083:UYH131160 UYH196619:UYH196696 UYH262155:UYH262232 UYH327691:UYH327768 UYH393227:UYH393304 UYH458763:UYH458840 UYH524299:UYH524376 UYH589835:UYH589912 UYH655371:UYH655448 UYH720907:UYH720984 UYH786443:UYH786520 UYH851979:UYH852056 UYH917515:UYH917592 UYH983051:UYH983128 VID2:VID88 VID65547:VID65624 VID131083:VID131160 VID196619:VID196696 VID262155:VID262232 VID327691:VID327768 VID393227:VID393304 VID458763:VID458840 VID524299:VID524376 VID589835:VID589912 VID655371:VID655448 VID720907:VID720984 VID786443:VID786520 VID851979:VID852056 VID917515:VID917592 VID983051:VID983128 VRZ2:VRZ88 VRZ65547:VRZ65624 VRZ131083:VRZ131160 VRZ196619:VRZ196696 VRZ262155:VRZ262232 VRZ327691:VRZ327768 VRZ393227:VRZ393304 VRZ458763:VRZ458840 VRZ524299:VRZ524376 VRZ589835:VRZ589912 VRZ655371:VRZ655448 VRZ720907:VRZ720984 VRZ786443:VRZ786520 VRZ851979:VRZ852056 VRZ917515:VRZ917592 VRZ983051:VRZ983128 WBV2:WBV88 WBV65547:WBV65624 WBV131083:WBV131160 WBV196619:WBV196696 WBV262155:WBV262232 WBV327691:WBV327768 WBV393227:WBV393304 WBV458763:WBV458840 WBV524299:WBV524376 WBV589835:WBV589912 WBV655371:WBV655448 WBV720907:WBV720984 WBV786443:WBV786520 WBV851979:WBV852056 WBV917515:WBV917592 WBV983051:WBV983128 WLR2:WLR88 WLR65547:WLR65624 WLR131083:WLR131160 WLR196619:WLR196696 WLR262155:WLR262232 WLR327691:WLR327768 WLR393227:WLR393304 WLR458763:WLR458840 WLR524299:WLR524376 WLR589835:WLR589912 WLR655371:WLR655448 WLR720907:WLR720984 WLR786443:WLR786520 WLR851979:WLR852056 WLR917515:WLR917592 WLR983051:WLR983128 WVN2:WVN88 WVN65547:WVN65624 WVN131083:WVN131160 WVN196619:WVN196696 WVN262155:WVN262232 WVN327691:WVN327768 WVN393227:WVN393304 WVN458763:WVN458840 WVN524299:WVN524376 WVN589835:WVN589912 WVN655371:WVN655448 WVN720907:WVN720984 WVN786443:WVN786520 WVN851979:WVN852056 WVN917515:WVN917592 WVN983051:WVN983128" xr:uid="{EBDD7E21-0B3B-4BB4-B9AE-2923ECEC3380}">
      <formula1>$AH$2:$AH$11</formula1>
    </dataValidation>
    <dataValidation type="list" allowBlank="1" showInputMessage="1" showErrorMessage="1" sqref="K2:K1009" xr:uid="{3CCE8FE6-3656-4772-B08A-1F2323A1E2BB}">
      <formula1>$AR$2:$AR$40</formula1>
    </dataValidation>
    <dataValidation type="list" allowBlank="1" showInputMessage="1" showErrorMessage="1" sqref="I2:I509 I65547:I65624 I131083:I131160 I196619:I196696 I262155:I262232 I327691:I327768 I393227:I393304 I458763:I458840 I524299:I524376 I589835:I589912 I655371:I655448 I720907:I720984 I786443:I786520 I851979:I852056 I917515:I917592 I983051:I983128 JE2:JE88 JE65547:JE65624 JE131083:JE131160 JE196619:JE196696 JE262155:JE262232 JE327691:JE327768 JE393227:JE393304 JE458763:JE458840 JE524299:JE524376 JE589835:JE589912 JE655371:JE655448 JE720907:JE720984 JE786443:JE786520 JE851979:JE852056 JE917515:JE917592 JE983051:JE983128 TA2:TA88 TA65547:TA65624 TA131083:TA131160 TA196619:TA196696 TA262155:TA262232 TA327691:TA327768 TA393227:TA393304 TA458763:TA458840 TA524299:TA524376 TA589835:TA589912 TA655371:TA655448 TA720907:TA720984 TA786443:TA786520 TA851979:TA852056 TA917515:TA917592 TA983051:TA983128 ACW2:ACW88 ACW65547:ACW65624 ACW131083:ACW131160 ACW196619:ACW196696 ACW262155:ACW262232 ACW327691:ACW327768 ACW393227:ACW393304 ACW458763:ACW458840 ACW524299:ACW524376 ACW589835:ACW589912 ACW655371:ACW655448 ACW720907:ACW720984 ACW786443:ACW786520 ACW851979:ACW852056 ACW917515:ACW917592 ACW983051:ACW983128 AMS2:AMS88 AMS65547:AMS65624 AMS131083:AMS131160 AMS196619:AMS196696 AMS262155:AMS262232 AMS327691:AMS327768 AMS393227:AMS393304 AMS458763:AMS458840 AMS524299:AMS524376 AMS589835:AMS589912 AMS655371:AMS655448 AMS720907:AMS720984 AMS786443:AMS786520 AMS851979:AMS852056 AMS917515:AMS917592 AMS983051:AMS983128 AWO2:AWO88 AWO65547:AWO65624 AWO131083:AWO131160 AWO196619:AWO196696 AWO262155:AWO262232 AWO327691:AWO327768 AWO393227:AWO393304 AWO458763:AWO458840 AWO524299:AWO524376 AWO589835:AWO589912 AWO655371:AWO655448 AWO720907:AWO720984 AWO786443:AWO786520 AWO851979:AWO852056 AWO917515:AWO917592 AWO983051:AWO983128 BGK2:BGK88 BGK65547:BGK65624 BGK131083:BGK131160 BGK196619:BGK196696 BGK262155:BGK262232 BGK327691:BGK327768 BGK393227:BGK393304 BGK458763:BGK458840 BGK524299:BGK524376 BGK589835:BGK589912 BGK655371:BGK655448 BGK720907:BGK720984 BGK786443:BGK786520 BGK851979:BGK852056 BGK917515:BGK917592 BGK983051:BGK983128 BQG2:BQG88 BQG65547:BQG65624 BQG131083:BQG131160 BQG196619:BQG196696 BQG262155:BQG262232 BQG327691:BQG327768 BQG393227:BQG393304 BQG458763:BQG458840 BQG524299:BQG524376 BQG589835:BQG589912 BQG655371:BQG655448 BQG720907:BQG720984 BQG786443:BQG786520 BQG851979:BQG852056 BQG917515:BQG917592 BQG983051:BQG983128 CAC2:CAC88 CAC65547:CAC65624 CAC131083:CAC131160 CAC196619:CAC196696 CAC262155:CAC262232 CAC327691:CAC327768 CAC393227:CAC393304 CAC458763:CAC458840 CAC524299:CAC524376 CAC589835:CAC589912 CAC655371:CAC655448 CAC720907:CAC720984 CAC786443:CAC786520 CAC851979:CAC852056 CAC917515:CAC917592 CAC983051:CAC983128 CJY2:CJY88 CJY65547:CJY65624 CJY131083:CJY131160 CJY196619:CJY196696 CJY262155:CJY262232 CJY327691:CJY327768 CJY393227:CJY393304 CJY458763:CJY458840 CJY524299:CJY524376 CJY589835:CJY589912 CJY655371:CJY655448 CJY720907:CJY720984 CJY786443:CJY786520 CJY851979:CJY852056 CJY917515:CJY917592 CJY983051:CJY983128 CTU2:CTU88 CTU65547:CTU65624 CTU131083:CTU131160 CTU196619:CTU196696 CTU262155:CTU262232 CTU327691:CTU327768 CTU393227:CTU393304 CTU458763:CTU458840 CTU524299:CTU524376 CTU589835:CTU589912 CTU655371:CTU655448 CTU720907:CTU720984 CTU786443:CTU786520 CTU851979:CTU852056 CTU917515:CTU917592 CTU983051:CTU983128 DDQ2:DDQ88 DDQ65547:DDQ65624 DDQ131083:DDQ131160 DDQ196619:DDQ196696 DDQ262155:DDQ262232 DDQ327691:DDQ327768 DDQ393227:DDQ393304 DDQ458763:DDQ458840 DDQ524299:DDQ524376 DDQ589835:DDQ589912 DDQ655371:DDQ655448 DDQ720907:DDQ720984 DDQ786443:DDQ786520 DDQ851979:DDQ852056 DDQ917515:DDQ917592 DDQ983051:DDQ983128 DNM2:DNM88 DNM65547:DNM65624 DNM131083:DNM131160 DNM196619:DNM196696 DNM262155:DNM262232 DNM327691:DNM327768 DNM393227:DNM393304 DNM458763:DNM458840 DNM524299:DNM524376 DNM589835:DNM589912 DNM655371:DNM655448 DNM720907:DNM720984 DNM786443:DNM786520 DNM851979:DNM852056 DNM917515:DNM917592 DNM983051:DNM983128 DXI2:DXI88 DXI65547:DXI65624 DXI131083:DXI131160 DXI196619:DXI196696 DXI262155:DXI262232 DXI327691:DXI327768 DXI393227:DXI393304 DXI458763:DXI458840 DXI524299:DXI524376 DXI589835:DXI589912 DXI655371:DXI655448 DXI720907:DXI720984 DXI786443:DXI786520 DXI851979:DXI852056 DXI917515:DXI917592 DXI983051:DXI983128 EHE2:EHE88 EHE65547:EHE65624 EHE131083:EHE131160 EHE196619:EHE196696 EHE262155:EHE262232 EHE327691:EHE327768 EHE393227:EHE393304 EHE458763:EHE458840 EHE524299:EHE524376 EHE589835:EHE589912 EHE655371:EHE655448 EHE720907:EHE720984 EHE786443:EHE786520 EHE851979:EHE852056 EHE917515:EHE917592 EHE983051:EHE983128 ERA2:ERA88 ERA65547:ERA65624 ERA131083:ERA131160 ERA196619:ERA196696 ERA262155:ERA262232 ERA327691:ERA327768 ERA393227:ERA393304 ERA458763:ERA458840 ERA524299:ERA524376 ERA589835:ERA589912 ERA655371:ERA655448 ERA720907:ERA720984 ERA786443:ERA786520 ERA851979:ERA852056 ERA917515:ERA917592 ERA983051:ERA983128 FAW2:FAW88 FAW65547:FAW65624 FAW131083:FAW131160 FAW196619:FAW196696 FAW262155:FAW262232 FAW327691:FAW327768 FAW393227:FAW393304 FAW458763:FAW458840 FAW524299:FAW524376 FAW589835:FAW589912 FAW655371:FAW655448 FAW720907:FAW720984 FAW786443:FAW786520 FAW851979:FAW852056 FAW917515:FAW917592 FAW983051:FAW983128 FKS2:FKS88 FKS65547:FKS65624 FKS131083:FKS131160 FKS196619:FKS196696 FKS262155:FKS262232 FKS327691:FKS327768 FKS393227:FKS393304 FKS458763:FKS458840 FKS524299:FKS524376 FKS589835:FKS589912 FKS655371:FKS655448 FKS720907:FKS720984 FKS786443:FKS786520 FKS851979:FKS852056 FKS917515:FKS917592 FKS983051:FKS983128 FUO2:FUO88 FUO65547:FUO65624 FUO131083:FUO131160 FUO196619:FUO196696 FUO262155:FUO262232 FUO327691:FUO327768 FUO393227:FUO393304 FUO458763:FUO458840 FUO524299:FUO524376 FUO589835:FUO589912 FUO655371:FUO655448 FUO720907:FUO720984 FUO786443:FUO786520 FUO851979:FUO852056 FUO917515:FUO917592 FUO983051:FUO983128 GEK2:GEK88 GEK65547:GEK65624 GEK131083:GEK131160 GEK196619:GEK196696 GEK262155:GEK262232 GEK327691:GEK327768 GEK393227:GEK393304 GEK458763:GEK458840 GEK524299:GEK524376 GEK589835:GEK589912 GEK655371:GEK655448 GEK720907:GEK720984 GEK786443:GEK786520 GEK851979:GEK852056 GEK917515:GEK917592 GEK983051:GEK983128 GOG2:GOG88 GOG65547:GOG65624 GOG131083:GOG131160 GOG196619:GOG196696 GOG262155:GOG262232 GOG327691:GOG327768 GOG393227:GOG393304 GOG458763:GOG458840 GOG524299:GOG524376 GOG589835:GOG589912 GOG655371:GOG655448 GOG720907:GOG720984 GOG786443:GOG786520 GOG851979:GOG852056 GOG917515:GOG917592 GOG983051:GOG983128 GYC2:GYC88 GYC65547:GYC65624 GYC131083:GYC131160 GYC196619:GYC196696 GYC262155:GYC262232 GYC327691:GYC327768 GYC393227:GYC393304 GYC458763:GYC458840 GYC524299:GYC524376 GYC589835:GYC589912 GYC655371:GYC655448 GYC720907:GYC720984 GYC786443:GYC786520 GYC851979:GYC852056 GYC917515:GYC917592 GYC983051:GYC983128 HHY2:HHY88 HHY65547:HHY65624 HHY131083:HHY131160 HHY196619:HHY196696 HHY262155:HHY262232 HHY327691:HHY327768 HHY393227:HHY393304 HHY458763:HHY458840 HHY524299:HHY524376 HHY589835:HHY589912 HHY655371:HHY655448 HHY720907:HHY720984 HHY786443:HHY786520 HHY851979:HHY852056 HHY917515:HHY917592 HHY983051:HHY983128 HRU2:HRU88 HRU65547:HRU65624 HRU131083:HRU131160 HRU196619:HRU196696 HRU262155:HRU262232 HRU327691:HRU327768 HRU393227:HRU393304 HRU458763:HRU458840 HRU524299:HRU524376 HRU589835:HRU589912 HRU655371:HRU655448 HRU720907:HRU720984 HRU786443:HRU786520 HRU851979:HRU852056 HRU917515:HRU917592 HRU983051:HRU983128 IBQ2:IBQ88 IBQ65547:IBQ65624 IBQ131083:IBQ131160 IBQ196619:IBQ196696 IBQ262155:IBQ262232 IBQ327691:IBQ327768 IBQ393227:IBQ393304 IBQ458763:IBQ458840 IBQ524299:IBQ524376 IBQ589835:IBQ589912 IBQ655371:IBQ655448 IBQ720907:IBQ720984 IBQ786443:IBQ786520 IBQ851979:IBQ852056 IBQ917515:IBQ917592 IBQ983051:IBQ983128 ILM2:ILM88 ILM65547:ILM65624 ILM131083:ILM131160 ILM196619:ILM196696 ILM262155:ILM262232 ILM327691:ILM327768 ILM393227:ILM393304 ILM458763:ILM458840 ILM524299:ILM524376 ILM589835:ILM589912 ILM655371:ILM655448 ILM720907:ILM720984 ILM786443:ILM786520 ILM851979:ILM852056 ILM917515:ILM917592 ILM983051:ILM983128 IVI2:IVI88 IVI65547:IVI65624 IVI131083:IVI131160 IVI196619:IVI196696 IVI262155:IVI262232 IVI327691:IVI327768 IVI393227:IVI393304 IVI458763:IVI458840 IVI524299:IVI524376 IVI589835:IVI589912 IVI655371:IVI655448 IVI720907:IVI720984 IVI786443:IVI786520 IVI851979:IVI852056 IVI917515:IVI917592 IVI983051:IVI983128 JFE2:JFE88 JFE65547:JFE65624 JFE131083:JFE131160 JFE196619:JFE196696 JFE262155:JFE262232 JFE327691:JFE327768 JFE393227:JFE393304 JFE458763:JFE458840 JFE524299:JFE524376 JFE589835:JFE589912 JFE655371:JFE655448 JFE720907:JFE720984 JFE786443:JFE786520 JFE851979:JFE852056 JFE917515:JFE917592 JFE983051:JFE983128 JPA2:JPA88 JPA65547:JPA65624 JPA131083:JPA131160 JPA196619:JPA196696 JPA262155:JPA262232 JPA327691:JPA327768 JPA393227:JPA393304 JPA458763:JPA458840 JPA524299:JPA524376 JPA589835:JPA589912 JPA655371:JPA655448 JPA720907:JPA720984 JPA786443:JPA786520 JPA851979:JPA852056 JPA917515:JPA917592 JPA983051:JPA983128 JYW2:JYW88 JYW65547:JYW65624 JYW131083:JYW131160 JYW196619:JYW196696 JYW262155:JYW262232 JYW327691:JYW327768 JYW393227:JYW393304 JYW458763:JYW458840 JYW524299:JYW524376 JYW589835:JYW589912 JYW655371:JYW655448 JYW720907:JYW720984 JYW786443:JYW786520 JYW851979:JYW852056 JYW917515:JYW917592 JYW983051:JYW983128 KIS2:KIS88 KIS65547:KIS65624 KIS131083:KIS131160 KIS196619:KIS196696 KIS262155:KIS262232 KIS327691:KIS327768 KIS393227:KIS393304 KIS458763:KIS458840 KIS524299:KIS524376 KIS589835:KIS589912 KIS655371:KIS655448 KIS720907:KIS720984 KIS786443:KIS786520 KIS851979:KIS852056 KIS917515:KIS917592 KIS983051:KIS983128 KSO2:KSO88 KSO65547:KSO65624 KSO131083:KSO131160 KSO196619:KSO196696 KSO262155:KSO262232 KSO327691:KSO327768 KSO393227:KSO393304 KSO458763:KSO458840 KSO524299:KSO524376 KSO589835:KSO589912 KSO655371:KSO655448 KSO720907:KSO720984 KSO786443:KSO786520 KSO851979:KSO852056 KSO917515:KSO917592 KSO983051:KSO983128 LCK2:LCK88 LCK65547:LCK65624 LCK131083:LCK131160 LCK196619:LCK196696 LCK262155:LCK262232 LCK327691:LCK327768 LCK393227:LCK393304 LCK458763:LCK458840 LCK524299:LCK524376 LCK589835:LCK589912 LCK655371:LCK655448 LCK720907:LCK720984 LCK786443:LCK786520 LCK851979:LCK852056 LCK917515:LCK917592 LCK983051:LCK983128 LMG2:LMG88 LMG65547:LMG65624 LMG131083:LMG131160 LMG196619:LMG196696 LMG262155:LMG262232 LMG327691:LMG327768 LMG393227:LMG393304 LMG458763:LMG458840 LMG524299:LMG524376 LMG589835:LMG589912 LMG655371:LMG655448 LMG720907:LMG720984 LMG786443:LMG786520 LMG851979:LMG852056 LMG917515:LMG917592 LMG983051:LMG983128 LWC2:LWC88 LWC65547:LWC65624 LWC131083:LWC131160 LWC196619:LWC196696 LWC262155:LWC262232 LWC327691:LWC327768 LWC393227:LWC393304 LWC458763:LWC458840 LWC524299:LWC524376 LWC589835:LWC589912 LWC655371:LWC655448 LWC720907:LWC720984 LWC786443:LWC786520 LWC851979:LWC852056 LWC917515:LWC917592 LWC983051:LWC983128 MFY2:MFY88 MFY65547:MFY65624 MFY131083:MFY131160 MFY196619:MFY196696 MFY262155:MFY262232 MFY327691:MFY327768 MFY393227:MFY393304 MFY458763:MFY458840 MFY524299:MFY524376 MFY589835:MFY589912 MFY655371:MFY655448 MFY720907:MFY720984 MFY786443:MFY786520 MFY851979:MFY852056 MFY917515:MFY917592 MFY983051:MFY983128 MPU2:MPU88 MPU65547:MPU65624 MPU131083:MPU131160 MPU196619:MPU196696 MPU262155:MPU262232 MPU327691:MPU327768 MPU393227:MPU393304 MPU458763:MPU458840 MPU524299:MPU524376 MPU589835:MPU589912 MPU655371:MPU655448 MPU720907:MPU720984 MPU786443:MPU786520 MPU851979:MPU852056 MPU917515:MPU917592 MPU983051:MPU983128 MZQ2:MZQ88 MZQ65547:MZQ65624 MZQ131083:MZQ131160 MZQ196619:MZQ196696 MZQ262155:MZQ262232 MZQ327691:MZQ327768 MZQ393227:MZQ393304 MZQ458763:MZQ458840 MZQ524299:MZQ524376 MZQ589835:MZQ589912 MZQ655371:MZQ655448 MZQ720907:MZQ720984 MZQ786443:MZQ786520 MZQ851979:MZQ852056 MZQ917515:MZQ917592 MZQ983051:MZQ983128 NJM2:NJM88 NJM65547:NJM65624 NJM131083:NJM131160 NJM196619:NJM196696 NJM262155:NJM262232 NJM327691:NJM327768 NJM393227:NJM393304 NJM458763:NJM458840 NJM524299:NJM524376 NJM589835:NJM589912 NJM655371:NJM655448 NJM720907:NJM720984 NJM786443:NJM786520 NJM851979:NJM852056 NJM917515:NJM917592 NJM983051:NJM983128 NTI2:NTI88 NTI65547:NTI65624 NTI131083:NTI131160 NTI196619:NTI196696 NTI262155:NTI262232 NTI327691:NTI327768 NTI393227:NTI393304 NTI458763:NTI458840 NTI524299:NTI524376 NTI589835:NTI589912 NTI655371:NTI655448 NTI720907:NTI720984 NTI786443:NTI786520 NTI851979:NTI852056 NTI917515:NTI917592 NTI983051:NTI983128 ODE2:ODE88 ODE65547:ODE65624 ODE131083:ODE131160 ODE196619:ODE196696 ODE262155:ODE262232 ODE327691:ODE327768 ODE393227:ODE393304 ODE458763:ODE458840 ODE524299:ODE524376 ODE589835:ODE589912 ODE655371:ODE655448 ODE720907:ODE720984 ODE786443:ODE786520 ODE851979:ODE852056 ODE917515:ODE917592 ODE983051:ODE983128 ONA2:ONA88 ONA65547:ONA65624 ONA131083:ONA131160 ONA196619:ONA196696 ONA262155:ONA262232 ONA327691:ONA327768 ONA393227:ONA393304 ONA458763:ONA458840 ONA524299:ONA524376 ONA589835:ONA589912 ONA655371:ONA655448 ONA720907:ONA720984 ONA786443:ONA786520 ONA851979:ONA852056 ONA917515:ONA917592 ONA983051:ONA983128 OWW2:OWW88 OWW65547:OWW65624 OWW131083:OWW131160 OWW196619:OWW196696 OWW262155:OWW262232 OWW327691:OWW327768 OWW393227:OWW393304 OWW458763:OWW458840 OWW524299:OWW524376 OWW589835:OWW589912 OWW655371:OWW655448 OWW720907:OWW720984 OWW786443:OWW786520 OWW851979:OWW852056 OWW917515:OWW917592 OWW983051:OWW983128 PGS2:PGS88 PGS65547:PGS65624 PGS131083:PGS131160 PGS196619:PGS196696 PGS262155:PGS262232 PGS327691:PGS327768 PGS393227:PGS393304 PGS458763:PGS458840 PGS524299:PGS524376 PGS589835:PGS589912 PGS655371:PGS655448 PGS720907:PGS720984 PGS786443:PGS786520 PGS851979:PGS852056 PGS917515:PGS917592 PGS983051:PGS983128 PQO2:PQO88 PQO65547:PQO65624 PQO131083:PQO131160 PQO196619:PQO196696 PQO262155:PQO262232 PQO327691:PQO327768 PQO393227:PQO393304 PQO458763:PQO458840 PQO524299:PQO524376 PQO589835:PQO589912 PQO655371:PQO655448 PQO720907:PQO720984 PQO786443:PQO786520 PQO851979:PQO852056 PQO917515:PQO917592 PQO983051:PQO983128 QAK2:QAK88 QAK65547:QAK65624 QAK131083:QAK131160 QAK196619:QAK196696 QAK262155:QAK262232 QAK327691:QAK327768 QAK393227:QAK393304 QAK458763:QAK458840 QAK524299:QAK524376 QAK589835:QAK589912 QAK655371:QAK655448 QAK720907:QAK720984 QAK786443:QAK786520 QAK851979:QAK852056 QAK917515:QAK917592 QAK983051:QAK983128 QKG2:QKG88 QKG65547:QKG65624 QKG131083:QKG131160 QKG196619:QKG196696 QKG262155:QKG262232 QKG327691:QKG327768 QKG393227:QKG393304 QKG458763:QKG458840 QKG524299:QKG524376 QKG589835:QKG589912 QKG655371:QKG655448 QKG720907:QKG720984 QKG786443:QKG786520 QKG851979:QKG852056 QKG917515:QKG917592 QKG983051:QKG983128 QUC2:QUC88 QUC65547:QUC65624 QUC131083:QUC131160 QUC196619:QUC196696 QUC262155:QUC262232 QUC327691:QUC327768 QUC393227:QUC393304 QUC458763:QUC458840 QUC524299:QUC524376 QUC589835:QUC589912 QUC655371:QUC655448 QUC720907:QUC720984 QUC786443:QUC786520 QUC851979:QUC852056 QUC917515:QUC917592 QUC983051:QUC983128 RDY2:RDY88 RDY65547:RDY65624 RDY131083:RDY131160 RDY196619:RDY196696 RDY262155:RDY262232 RDY327691:RDY327768 RDY393227:RDY393304 RDY458763:RDY458840 RDY524299:RDY524376 RDY589835:RDY589912 RDY655371:RDY655448 RDY720907:RDY720984 RDY786443:RDY786520 RDY851979:RDY852056 RDY917515:RDY917592 RDY983051:RDY983128 RNU2:RNU88 RNU65547:RNU65624 RNU131083:RNU131160 RNU196619:RNU196696 RNU262155:RNU262232 RNU327691:RNU327768 RNU393227:RNU393304 RNU458763:RNU458840 RNU524299:RNU524376 RNU589835:RNU589912 RNU655371:RNU655448 RNU720907:RNU720984 RNU786443:RNU786520 RNU851979:RNU852056 RNU917515:RNU917592 RNU983051:RNU983128 RXQ2:RXQ88 RXQ65547:RXQ65624 RXQ131083:RXQ131160 RXQ196619:RXQ196696 RXQ262155:RXQ262232 RXQ327691:RXQ327768 RXQ393227:RXQ393304 RXQ458763:RXQ458840 RXQ524299:RXQ524376 RXQ589835:RXQ589912 RXQ655371:RXQ655448 RXQ720907:RXQ720984 RXQ786443:RXQ786520 RXQ851979:RXQ852056 RXQ917515:RXQ917592 RXQ983051:RXQ983128 SHM2:SHM88 SHM65547:SHM65624 SHM131083:SHM131160 SHM196619:SHM196696 SHM262155:SHM262232 SHM327691:SHM327768 SHM393227:SHM393304 SHM458763:SHM458840 SHM524299:SHM524376 SHM589835:SHM589912 SHM655371:SHM655448 SHM720907:SHM720984 SHM786443:SHM786520 SHM851979:SHM852056 SHM917515:SHM917592 SHM983051:SHM983128 SRI2:SRI88 SRI65547:SRI65624 SRI131083:SRI131160 SRI196619:SRI196696 SRI262155:SRI262232 SRI327691:SRI327768 SRI393227:SRI393304 SRI458763:SRI458840 SRI524299:SRI524376 SRI589835:SRI589912 SRI655371:SRI655448 SRI720907:SRI720984 SRI786443:SRI786520 SRI851979:SRI852056 SRI917515:SRI917592 SRI983051:SRI983128 TBE2:TBE88 TBE65547:TBE65624 TBE131083:TBE131160 TBE196619:TBE196696 TBE262155:TBE262232 TBE327691:TBE327768 TBE393227:TBE393304 TBE458763:TBE458840 TBE524299:TBE524376 TBE589835:TBE589912 TBE655371:TBE655448 TBE720907:TBE720984 TBE786443:TBE786520 TBE851979:TBE852056 TBE917515:TBE917592 TBE983051:TBE983128 TLA2:TLA88 TLA65547:TLA65624 TLA131083:TLA131160 TLA196619:TLA196696 TLA262155:TLA262232 TLA327691:TLA327768 TLA393227:TLA393304 TLA458763:TLA458840 TLA524299:TLA524376 TLA589835:TLA589912 TLA655371:TLA655448 TLA720907:TLA720984 TLA786443:TLA786520 TLA851979:TLA852056 TLA917515:TLA917592 TLA983051:TLA983128 TUW2:TUW88 TUW65547:TUW65624 TUW131083:TUW131160 TUW196619:TUW196696 TUW262155:TUW262232 TUW327691:TUW327768 TUW393227:TUW393304 TUW458763:TUW458840 TUW524299:TUW524376 TUW589835:TUW589912 TUW655371:TUW655448 TUW720907:TUW720984 TUW786443:TUW786520 TUW851979:TUW852056 TUW917515:TUW917592 TUW983051:TUW983128 UES2:UES88 UES65547:UES65624 UES131083:UES131160 UES196619:UES196696 UES262155:UES262232 UES327691:UES327768 UES393227:UES393304 UES458763:UES458840 UES524299:UES524376 UES589835:UES589912 UES655371:UES655448 UES720907:UES720984 UES786443:UES786520 UES851979:UES852056 UES917515:UES917592 UES983051:UES983128 UOO2:UOO88 UOO65547:UOO65624 UOO131083:UOO131160 UOO196619:UOO196696 UOO262155:UOO262232 UOO327691:UOO327768 UOO393227:UOO393304 UOO458763:UOO458840 UOO524299:UOO524376 UOO589835:UOO589912 UOO655371:UOO655448 UOO720907:UOO720984 UOO786443:UOO786520 UOO851979:UOO852056 UOO917515:UOO917592 UOO983051:UOO983128 UYK2:UYK88 UYK65547:UYK65624 UYK131083:UYK131160 UYK196619:UYK196696 UYK262155:UYK262232 UYK327691:UYK327768 UYK393227:UYK393304 UYK458763:UYK458840 UYK524299:UYK524376 UYK589835:UYK589912 UYK655371:UYK655448 UYK720907:UYK720984 UYK786443:UYK786520 UYK851979:UYK852056 UYK917515:UYK917592 UYK983051:UYK983128 VIG2:VIG88 VIG65547:VIG65624 VIG131083:VIG131160 VIG196619:VIG196696 VIG262155:VIG262232 VIG327691:VIG327768 VIG393227:VIG393304 VIG458763:VIG458840 VIG524299:VIG524376 VIG589835:VIG589912 VIG655371:VIG655448 VIG720907:VIG720984 VIG786443:VIG786520 VIG851979:VIG852056 VIG917515:VIG917592 VIG983051:VIG983128 VSC2:VSC88 VSC65547:VSC65624 VSC131083:VSC131160 VSC196619:VSC196696 VSC262155:VSC262232 VSC327691:VSC327768 VSC393227:VSC393304 VSC458763:VSC458840 VSC524299:VSC524376 VSC589835:VSC589912 VSC655371:VSC655448 VSC720907:VSC720984 VSC786443:VSC786520 VSC851979:VSC852056 VSC917515:VSC917592 VSC983051:VSC983128 WBY2:WBY88 WBY65547:WBY65624 WBY131083:WBY131160 WBY196619:WBY196696 WBY262155:WBY262232 WBY327691:WBY327768 WBY393227:WBY393304 WBY458763:WBY458840 WBY524299:WBY524376 WBY589835:WBY589912 WBY655371:WBY655448 WBY720907:WBY720984 WBY786443:WBY786520 WBY851979:WBY852056 WBY917515:WBY917592 WBY983051:WBY983128 WLU2:WLU88 WLU65547:WLU65624 WLU131083:WLU131160 WLU196619:WLU196696 WLU262155:WLU262232 WLU327691:WLU327768 WLU393227:WLU393304 WLU458763:WLU458840 WLU524299:WLU524376 WLU589835:WLU589912 WLU655371:WLU655448 WLU720907:WLU720984 WLU786443:WLU786520 WLU851979:WLU852056 WLU917515:WLU917592 WLU983051:WLU983128 WVQ2:WVQ88 WVQ65547:WVQ65624 WVQ131083:WVQ131160 WVQ196619:WVQ196696 WVQ262155:WVQ262232 WVQ327691:WVQ327768 WVQ393227:WVQ393304 WVQ458763:WVQ458840 WVQ524299:WVQ524376 WVQ589835:WVQ589912 WVQ655371:WVQ655448 WVQ720907:WVQ720984 WVQ786443:WVQ786520 WVQ851979:WVQ852056 WVQ917515:WVQ917592 WVQ983051:WVQ983128" xr:uid="{45254881-80D3-4A04-BD96-9A2845063F2F}">
      <formula1>$AN$5:$AN$6</formula1>
    </dataValidation>
    <dataValidation type="list" allowBlank="1" showInputMessage="1" showErrorMessage="1" sqref="JG2:JG88 JG65547:JG65624 JG131083:JG131160 JG196619:JG196696 JG262155:JG262232 JG327691:JG327768 JG393227:JG393304 JG458763:JG458840 JG524299:JG524376 JG589835:JG589912 JG655371:JG655448 JG720907:JG720984 JG786443:JG786520 JG851979:JG852056 JG917515:JG917592 JG983051:JG983128 TC2:TC88 TC65547:TC65624 TC131083:TC131160 TC196619:TC196696 TC262155:TC262232 TC327691:TC327768 TC393227:TC393304 TC458763:TC458840 TC524299:TC524376 TC589835:TC589912 TC655371:TC655448 TC720907:TC720984 TC786443:TC786520 TC851979:TC852056 TC917515:TC917592 TC983051:TC983128 ACY2:ACY88 ACY65547:ACY65624 ACY131083:ACY131160 ACY196619:ACY196696 ACY262155:ACY262232 ACY327691:ACY327768 ACY393227:ACY393304 ACY458763:ACY458840 ACY524299:ACY524376 ACY589835:ACY589912 ACY655371:ACY655448 ACY720907:ACY720984 ACY786443:ACY786520 ACY851979:ACY852056 ACY917515:ACY917592 ACY983051:ACY983128 AMU2:AMU88 AMU65547:AMU65624 AMU131083:AMU131160 AMU196619:AMU196696 AMU262155:AMU262232 AMU327691:AMU327768 AMU393227:AMU393304 AMU458763:AMU458840 AMU524299:AMU524376 AMU589835:AMU589912 AMU655371:AMU655448 AMU720907:AMU720984 AMU786443:AMU786520 AMU851979:AMU852056 AMU917515:AMU917592 AMU983051:AMU983128 AWQ2:AWQ88 AWQ65547:AWQ65624 AWQ131083:AWQ131160 AWQ196619:AWQ196696 AWQ262155:AWQ262232 AWQ327691:AWQ327768 AWQ393227:AWQ393304 AWQ458763:AWQ458840 AWQ524299:AWQ524376 AWQ589835:AWQ589912 AWQ655371:AWQ655448 AWQ720907:AWQ720984 AWQ786443:AWQ786520 AWQ851979:AWQ852056 AWQ917515:AWQ917592 AWQ983051:AWQ983128 BGM2:BGM88 BGM65547:BGM65624 BGM131083:BGM131160 BGM196619:BGM196696 BGM262155:BGM262232 BGM327691:BGM327768 BGM393227:BGM393304 BGM458763:BGM458840 BGM524299:BGM524376 BGM589835:BGM589912 BGM655371:BGM655448 BGM720907:BGM720984 BGM786443:BGM786520 BGM851979:BGM852056 BGM917515:BGM917592 BGM983051:BGM983128 BQI2:BQI88 BQI65547:BQI65624 BQI131083:BQI131160 BQI196619:BQI196696 BQI262155:BQI262232 BQI327691:BQI327768 BQI393227:BQI393304 BQI458763:BQI458840 BQI524299:BQI524376 BQI589835:BQI589912 BQI655371:BQI655448 BQI720907:BQI720984 BQI786443:BQI786520 BQI851979:BQI852056 BQI917515:BQI917592 BQI983051:BQI983128 CAE2:CAE88 CAE65547:CAE65624 CAE131083:CAE131160 CAE196619:CAE196696 CAE262155:CAE262232 CAE327691:CAE327768 CAE393227:CAE393304 CAE458763:CAE458840 CAE524299:CAE524376 CAE589835:CAE589912 CAE655371:CAE655448 CAE720907:CAE720984 CAE786443:CAE786520 CAE851979:CAE852056 CAE917515:CAE917592 CAE983051:CAE983128 CKA2:CKA88 CKA65547:CKA65624 CKA131083:CKA131160 CKA196619:CKA196696 CKA262155:CKA262232 CKA327691:CKA327768 CKA393227:CKA393304 CKA458763:CKA458840 CKA524299:CKA524376 CKA589835:CKA589912 CKA655371:CKA655448 CKA720907:CKA720984 CKA786443:CKA786520 CKA851979:CKA852056 CKA917515:CKA917592 CKA983051:CKA983128 CTW2:CTW88 CTW65547:CTW65624 CTW131083:CTW131160 CTW196619:CTW196696 CTW262155:CTW262232 CTW327691:CTW327768 CTW393227:CTW393304 CTW458763:CTW458840 CTW524299:CTW524376 CTW589835:CTW589912 CTW655371:CTW655448 CTW720907:CTW720984 CTW786443:CTW786520 CTW851979:CTW852056 CTW917515:CTW917592 CTW983051:CTW983128 DDS2:DDS88 DDS65547:DDS65624 DDS131083:DDS131160 DDS196619:DDS196696 DDS262155:DDS262232 DDS327691:DDS327768 DDS393227:DDS393304 DDS458763:DDS458840 DDS524299:DDS524376 DDS589835:DDS589912 DDS655371:DDS655448 DDS720907:DDS720984 DDS786443:DDS786520 DDS851979:DDS852056 DDS917515:DDS917592 DDS983051:DDS983128 DNO2:DNO88 DNO65547:DNO65624 DNO131083:DNO131160 DNO196619:DNO196696 DNO262155:DNO262232 DNO327691:DNO327768 DNO393227:DNO393304 DNO458763:DNO458840 DNO524299:DNO524376 DNO589835:DNO589912 DNO655371:DNO655448 DNO720907:DNO720984 DNO786443:DNO786520 DNO851979:DNO852056 DNO917515:DNO917592 DNO983051:DNO983128 DXK2:DXK88 DXK65547:DXK65624 DXK131083:DXK131160 DXK196619:DXK196696 DXK262155:DXK262232 DXK327691:DXK327768 DXK393227:DXK393304 DXK458763:DXK458840 DXK524299:DXK524376 DXK589835:DXK589912 DXK655371:DXK655448 DXK720907:DXK720984 DXK786443:DXK786520 DXK851979:DXK852056 DXK917515:DXK917592 DXK983051:DXK983128 EHG2:EHG88 EHG65547:EHG65624 EHG131083:EHG131160 EHG196619:EHG196696 EHG262155:EHG262232 EHG327691:EHG327768 EHG393227:EHG393304 EHG458763:EHG458840 EHG524299:EHG524376 EHG589835:EHG589912 EHG655371:EHG655448 EHG720907:EHG720984 EHG786443:EHG786520 EHG851979:EHG852056 EHG917515:EHG917592 EHG983051:EHG983128 ERC2:ERC88 ERC65547:ERC65624 ERC131083:ERC131160 ERC196619:ERC196696 ERC262155:ERC262232 ERC327691:ERC327768 ERC393227:ERC393304 ERC458763:ERC458840 ERC524299:ERC524376 ERC589835:ERC589912 ERC655371:ERC655448 ERC720907:ERC720984 ERC786443:ERC786520 ERC851979:ERC852056 ERC917515:ERC917592 ERC983051:ERC983128 FAY2:FAY88 FAY65547:FAY65624 FAY131083:FAY131160 FAY196619:FAY196696 FAY262155:FAY262232 FAY327691:FAY327768 FAY393227:FAY393304 FAY458763:FAY458840 FAY524299:FAY524376 FAY589835:FAY589912 FAY655371:FAY655448 FAY720907:FAY720984 FAY786443:FAY786520 FAY851979:FAY852056 FAY917515:FAY917592 FAY983051:FAY983128 FKU2:FKU88 FKU65547:FKU65624 FKU131083:FKU131160 FKU196619:FKU196696 FKU262155:FKU262232 FKU327691:FKU327768 FKU393227:FKU393304 FKU458763:FKU458840 FKU524299:FKU524376 FKU589835:FKU589912 FKU655371:FKU655448 FKU720907:FKU720984 FKU786443:FKU786520 FKU851979:FKU852056 FKU917515:FKU917592 FKU983051:FKU983128 FUQ2:FUQ88 FUQ65547:FUQ65624 FUQ131083:FUQ131160 FUQ196619:FUQ196696 FUQ262155:FUQ262232 FUQ327691:FUQ327768 FUQ393227:FUQ393304 FUQ458763:FUQ458840 FUQ524299:FUQ524376 FUQ589835:FUQ589912 FUQ655371:FUQ655448 FUQ720907:FUQ720984 FUQ786443:FUQ786520 FUQ851979:FUQ852056 FUQ917515:FUQ917592 FUQ983051:FUQ983128 GEM2:GEM88 GEM65547:GEM65624 GEM131083:GEM131160 GEM196619:GEM196696 GEM262155:GEM262232 GEM327691:GEM327768 GEM393227:GEM393304 GEM458763:GEM458840 GEM524299:GEM524376 GEM589835:GEM589912 GEM655371:GEM655448 GEM720907:GEM720984 GEM786443:GEM786520 GEM851979:GEM852056 GEM917515:GEM917592 GEM983051:GEM983128 GOI2:GOI88 GOI65547:GOI65624 GOI131083:GOI131160 GOI196619:GOI196696 GOI262155:GOI262232 GOI327691:GOI327768 GOI393227:GOI393304 GOI458763:GOI458840 GOI524299:GOI524376 GOI589835:GOI589912 GOI655371:GOI655448 GOI720907:GOI720984 GOI786443:GOI786520 GOI851979:GOI852056 GOI917515:GOI917592 GOI983051:GOI983128 GYE2:GYE88 GYE65547:GYE65624 GYE131083:GYE131160 GYE196619:GYE196696 GYE262155:GYE262232 GYE327691:GYE327768 GYE393227:GYE393304 GYE458763:GYE458840 GYE524299:GYE524376 GYE589835:GYE589912 GYE655371:GYE655448 GYE720907:GYE720984 GYE786443:GYE786520 GYE851979:GYE852056 GYE917515:GYE917592 GYE983051:GYE983128 HIA2:HIA88 HIA65547:HIA65624 HIA131083:HIA131160 HIA196619:HIA196696 HIA262155:HIA262232 HIA327691:HIA327768 HIA393227:HIA393304 HIA458763:HIA458840 HIA524299:HIA524376 HIA589835:HIA589912 HIA655371:HIA655448 HIA720907:HIA720984 HIA786443:HIA786520 HIA851979:HIA852056 HIA917515:HIA917592 HIA983051:HIA983128 HRW2:HRW88 HRW65547:HRW65624 HRW131083:HRW131160 HRW196619:HRW196696 HRW262155:HRW262232 HRW327691:HRW327768 HRW393227:HRW393304 HRW458763:HRW458840 HRW524299:HRW524376 HRW589835:HRW589912 HRW655371:HRW655448 HRW720907:HRW720984 HRW786443:HRW786520 HRW851979:HRW852056 HRW917515:HRW917592 HRW983051:HRW983128 IBS2:IBS88 IBS65547:IBS65624 IBS131083:IBS131160 IBS196619:IBS196696 IBS262155:IBS262232 IBS327691:IBS327768 IBS393227:IBS393304 IBS458763:IBS458840 IBS524299:IBS524376 IBS589835:IBS589912 IBS655371:IBS655448 IBS720907:IBS720984 IBS786443:IBS786520 IBS851979:IBS852056 IBS917515:IBS917592 IBS983051:IBS983128 ILO2:ILO88 ILO65547:ILO65624 ILO131083:ILO131160 ILO196619:ILO196696 ILO262155:ILO262232 ILO327691:ILO327768 ILO393227:ILO393304 ILO458763:ILO458840 ILO524299:ILO524376 ILO589835:ILO589912 ILO655371:ILO655448 ILO720907:ILO720984 ILO786443:ILO786520 ILO851979:ILO852056 ILO917515:ILO917592 ILO983051:ILO983128 IVK2:IVK88 IVK65547:IVK65624 IVK131083:IVK131160 IVK196619:IVK196696 IVK262155:IVK262232 IVK327691:IVK327768 IVK393227:IVK393304 IVK458763:IVK458840 IVK524299:IVK524376 IVK589835:IVK589912 IVK655371:IVK655448 IVK720907:IVK720984 IVK786443:IVK786520 IVK851979:IVK852056 IVK917515:IVK917592 IVK983051:IVK983128 JFG2:JFG88 JFG65547:JFG65624 JFG131083:JFG131160 JFG196619:JFG196696 JFG262155:JFG262232 JFG327691:JFG327768 JFG393227:JFG393304 JFG458763:JFG458840 JFG524299:JFG524376 JFG589835:JFG589912 JFG655371:JFG655448 JFG720907:JFG720984 JFG786443:JFG786520 JFG851979:JFG852056 JFG917515:JFG917592 JFG983051:JFG983128 JPC2:JPC88 JPC65547:JPC65624 JPC131083:JPC131160 JPC196619:JPC196696 JPC262155:JPC262232 JPC327691:JPC327768 JPC393227:JPC393304 JPC458763:JPC458840 JPC524299:JPC524376 JPC589835:JPC589912 JPC655371:JPC655448 JPC720907:JPC720984 JPC786443:JPC786520 JPC851979:JPC852056 JPC917515:JPC917592 JPC983051:JPC983128 JYY2:JYY88 JYY65547:JYY65624 JYY131083:JYY131160 JYY196619:JYY196696 JYY262155:JYY262232 JYY327691:JYY327768 JYY393227:JYY393304 JYY458763:JYY458840 JYY524299:JYY524376 JYY589835:JYY589912 JYY655371:JYY655448 JYY720907:JYY720984 JYY786443:JYY786520 JYY851979:JYY852056 JYY917515:JYY917592 JYY983051:JYY983128 KIU2:KIU88 KIU65547:KIU65624 KIU131083:KIU131160 KIU196619:KIU196696 KIU262155:KIU262232 KIU327691:KIU327768 KIU393227:KIU393304 KIU458763:KIU458840 KIU524299:KIU524376 KIU589835:KIU589912 KIU655371:KIU655448 KIU720907:KIU720984 KIU786443:KIU786520 KIU851979:KIU852056 KIU917515:KIU917592 KIU983051:KIU983128 KSQ2:KSQ88 KSQ65547:KSQ65624 KSQ131083:KSQ131160 KSQ196619:KSQ196696 KSQ262155:KSQ262232 KSQ327691:KSQ327768 KSQ393227:KSQ393304 KSQ458763:KSQ458840 KSQ524299:KSQ524376 KSQ589835:KSQ589912 KSQ655371:KSQ655448 KSQ720907:KSQ720984 KSQ786443:KSQ786520 KSQ851979:KSQ852056 KSQ917515:KSQ917592 KSQ983051:KSQ983128 LCM2:LCM88 LCM65547:LCM65624 LCM131083:LCM131160 LCM196619:LCM196696 LCM262155:LCM262232 LCM327691:LCM327768 LCM393227:LCM393304 LCM458763:LCM458840 LCM524299:LCM524376 LCM589835:LCM589912 LCM655371:LCM655448 LCM720907:LCM720984 LCM786443:LCM786520 LCM851979:LCM852056 LCM917515:LCM917592 LCM983051:LCM983128 LMI2:LMI88 LMI65547:LMI65624 LMI131083:LMI131160 LMI196619:LMI196696 LMI262155:LMI262232 LMI327691:LMI327768 LMI393227:LMI393304 LMI458763:LMI458840 LMI524299:LMI524376 LMI589835:LMI589912 LMI655371:LMI655448 LMI720907:LMI720984 LMI786443:LMI786520 LMI851979:LMI852056 LMI917515:LMI917592 LMI983051:LMI983128 LWE2:LWE88 LWE65547:LWE65624 LWE131083:LWE131160 LWE196619:LWE196696 LWE262155:LWE262232 LWE327691:LWE327768 LWE393227:LWE393304 LWE458763:LWE458840 LWE524299:LWE524376 LWE589835:LWE589912 LWE655371:LWE655448 LWE720907:LWE720984 LWE786443:LWE786520 LWE851979:LWE852056 LWE917515:LWE917592 LWE983051:LWE983128 MGA2:MGA88 MGA65547:MGA65624 MGA131083:MGA131160 MGA196619:MGA196696 MGA262155:MGA262232 MGA327691:MGA327768 MGA393227:MGA393304 MGA458763:MGA458840 MGA524299:MGA524376 MGA589835:MGA589912 MGA655371:MGA655448 MGA720907:MGA720984 MGA786443:MGA786520 MGA851979:MGA852056 MGA917515:MGA917592 MGA983051:MGA983128 MPW2:MPW88 MPW65547:MPW65624 MPW131083:MPW131160 MPW196619:MPW196696 MPW262155:MPW262232 MPW327691:MPW327768 MPW393227:MPW393304 MPW458763:MPW458840 MPW524299:MPW524376 MPW589835:MPW589912 MPW655371:MPW655448 MPW720907:MPW720984 MPW786443:MPW786520 MPW851979:MPW852056 MPW917515:MPW917592 MPW983051:MPW983128 MZS2:MZS88 MZS65547:MZS65624 MZS131083:MZS131160 MZS196619:MZS196696 MZS262155:MZS262232 MZS327691:MZS327768 MZS393227:MZS393304 MZS458763:MZS458840 MZS524299:MZS524376 MZS589835:MZS589912 MZS655371:MZS655448 MZS720907:MZS720984 MZS786443:MZS786520 MZS851979:MZS852056 MZS917515:MZS917592 MZS983051:MZS983128 NJO2:NJO88 NJO65547:NJO65624 NJO131083:NJO131160 NJO196619:NJO196696 NJO262155:NJO262232 NJO327691:NJO327768 NJO393227:NJO393304 NJO458763:NJO458840 NJO524299:NJO524376 NJO589835:NJO589912 NJO655371:NJO655448 NJO720907:NJO720984 NJO786443:NJO786520 NJO851979:NJO852056 NJO917515:NJO917592 NJO983051:NJO983128 NTK2:NTK88 NTK65547:NTK65624 NTK131083:NTK131160 NTK196619:NTK196696 NTK262155:NTK262232 NTK327691:NTK327768 NTK393227:NTK393304 NTK458763:NTK458840 NTK524299:NTK524376 NTK589835:NTK589912 NTK655371:NTK655448 NTK720907:NTK720984 NTK786443:NTK786520 NTK851979:NTK852056 NTK917515:NTK917592 NTK983051:NTK983128 ODG2:ODG88 ODG65547:ODG65624 ODG131083:ODG131160 ODG196619:ODG196696 ODG262155:ODG262232 ODG327691:ODG327768 ODG393227:ODG393304 ODG458763:ODG458840 ODG524299:ODG524376 ODG589835:ODG589912 ODG655371:ODG655448 ODG720907:ODG720984 ODG786443:ODG786520 ODG851979:ODG852056 ODG917515:ODG917592 ODG983051:ODG983128 ONC2:ONC88 ONC65547:ONC65624 ONC131083:ONC131160 ONC196619:ONC196696 ONC262155:ONC262232 ONC327691:ONC327768 ONC393227:ONC393304 ONC458763:ONC458840 ONC524299:ONC524376 ONC589835:ONC589912 ONC655371:ONC655448 ONC720907:ONC720984 ONC786443:ONC786520 ONC851979:ONC852056 ONC917515:ONC917592 ONC983051:ONC983128 OWY2:OWY88 OWY65547:OWY65624 OWY131083:OWY131160 OWY196619:OWY196696 OWY262155:OWY262232 OWY327691:OWY327768 OWY393227:OWY393304 OWY458763:OWY458840 OWY524299:OWY524376 OWY589835:OWY589912 OWY655371:OWY655448 OWY720907:OWY720984 OWY786443:OWY786520 OWY851979:OWY852056 OWY917515:OWY917592 OWY983051:OWY983128 PGU2:PGU88 PGU65547:PGU65624 PGU131083:PGU131160 PGU196619:PGU196696 PGU262155:PGU262232 PGU327691:PGU327768 PGU393227:PGU393304 PGU458763:PGU458840 PGU524299:PGU524376 PGU589835:PGU589912 PGU655371:PGU655448 PGU720907:PGU720984 PGU786443:PGU786520 PGU851979:PGU852056 PGU917515:PGU917592 PGU983051:PGU983128 PQQ2:PQQ88 PQQ65547:PQQ65624 PQQ131083:PQQ131160 PQQ196619:PQQ196696 PQQ262155:PQQ262232 PQQ327691:PQQ327768 PQQ393227:PQQ393304 PQQ458763:PQQ458840 PQQ524299:PQQ524376 PQQ589835:PQQ589912 PQQ655371:PQQ655448 PQQ720907:PQQ720984 PQQ786443:PQQ786520 PQQ851979:PQQ852056 PQQ917515:PQQ917592 PQQ983051:PQQ983128 QAM2:QAM88 QAM65547:QAM65624 QAM131083:QAM131160 QAM196619:QAM196696 QAM262155:QAM262232 QAM327691:QAM327768 QAM393227:QAM393304 QAM458763:QAM458840 QAM524299:QAM524376 QAM589835:QAM589912 QAM655371:QAM655448 QAM720907:QAM720984 QAM786443:QAM786520 QAM851979:QAM852056 QAM917515:QAM917592 QAM983051:QAM983128 QKI2:QKI88 QKI65547:QKI65624 QKI131083:QKI131160 QKI196619:QKI196696 QKI262155:QKI262232 QKI327691:QKI327768 QKI393227:QKI393304 QKI458763:QKI458840 QKI524299:QKI524376 QKI589835:QKI589912 QKI655371:QKI655448 QKI720907:QKI720984 QKI786443:QKI786520 QKI851979:QKI852056 QKI917515:QKI917592 QKI983051:QKI983128 QUE2:QUE88 QUE65547:QUE65624 QUE131083:QUE131160 QUE196619:QUE196696 QUE262155:QUE262232 QUE327691:QUE327768 QUE393227:QUE393304 QUE458763:QUE458840 QUE524299:QUE524376 QUE589835:QUE589912 QUE655371:QUE655448 QUE720907:QUE720984 QUE786443:QUE786520 QUE851979:QUE852056 QUE917515:QUE917592 QUE983051:QUE983128 REA2:REA88 REA65547:REA65624 REA131083:REA131160 REA196619:REA196696 REA262155:REA262232 REA327691:REA327768 REA393227:REA393304 REA458763:REA458840 REA524299:REA524376 REA589835:REA589912 REA655371:REA655448 REA720907:REA720984 REA786443:REA786520 REA851979:REA852056 REA917515:REA917592 REA983051:REA983128 RNW2:RNW88 RNW65547:RNW65624 RNW131083:RNW131160 RNW196619:RNW196696 RNW262155:RNW262232 RNW327691:RNW327768 RNW393227:RNW393304 RNW458763:RNW458840 RNW524299:RNW524376 RNW589835:RNW589912 RNW655371:RNW655448 RNW720907:RNW720984 RNW786443:RNW786520 RNW851979:RNW852056 RNW917515:RNW917592 RNW983051:RNW983128 RXS2:RXS88 RXS65547:RXS65624 RXS131083:RXS131160 RXS196619:RXS196696 RXS262155:RXS262232 RXS327691:RXS327768 RXS393227:RXS393304 RXS458763:RXS458840 RXS524299:RXS524376 RXS589835:RXS589912 RXS655371:RXS655448 RXS720907:RXS720984 RXS786443:RXS786520 RXS851979:RXS852056 RXS917515:RXS917592 RXS983051:RXS983128 SHO2:SHO88 SHO65547:SHO65624 SHO131083:SHO131160 SHO196619:SHO196696 SHO262155:SHO262232 SHO327691:SHO327768 SHO393227:SHO393304 SHO458763:SHO458840 SHO524299:SHO524376 SHO589835:SHO589912 SHO655371:SHO655448 SHO720907:SHO720984 SHO786443:SHO786520 SHO851979:SHO852056 SHO917515:SHO917592 SHO983051:SHO983128 SRK2:SRK88 SRK65547:SRK65624 SRK131083:SRK131160 SRK196619:SRK196696 SRK262155:SRK262232 SRK327691:SRK327768 SRK393227:SRK393304 SRK458763:SRK458840 SRK524299:SRK524376 SRK589835:SRK589912 SRK655371:SRK655448 SRK720907:SRK720984 SRK786443:SRK786520 SRK851979:SRK852056 SRK917515:SRK917592 SRK983051:SRK983128 TBG2:TBG88 TBG65547:TBG65624 TBG131083:TBG131160 TBG196619:TBG196696 TBG262155:TBG262232 TBG327691:TBG327768 TBG393227:TBG393304 TBG458763:TBG458840 TBG524299:TBG524376 TBG589835:TBG589912 TBG655371:TBG655448 TBG720907:TBG720984 TBG786443:TBG786520 TBG851979:TBG852056 TBG917515:TBG917592 TBG983051:TBG983128 TLC2:TLC88 TLC65547:TLC65624 TLC131083:TLC131160 TLC196619:TLC196696 TLC262155:TLC262232 TLC327691:TLC327768 TLC393227:TLC393304 TLC458763:TLC458840 TLC524299:TLC524376 TLC589835:TLC589912 TLC655371:TLC655448 TLC720907:TLC720984 TLC786443:TLC786520 TLC851979:TLC852056 TLC917515:TLC917592 TLC983051:TLC983128 TUY2:TUY88 TUY65547:TUY65624 TUY131083:TUY131160 TUY196619:TUY196696 TUY262155:TUY262232 TUY327691:TUY327768 TUY393227:TUY393304 TUY458763:TUY458840 TUY524299:TUY524376 TUY589835:TUY589912 TUY655371:TUY655448 TUY720907:TUY720984 TUY786443:TUY786520 TUY851979:TUY852056 TUY917515:TUY917592 TUY983051:TUY983128 UEU2:UEU88 UEU65547:UEU65624 UEU131083:UEU131160 UEU196619:UEU196696 UEU262155:UEU262232 UEU327691:UEU327768 UEU393227:UEU393304 UEU458763:UEU458840 UEU524299:UEU524376 UEU589835:UEU589912 UEU655371:UEU655448 UEU720907:UEU720984 UEU786443:UEU786520 UEU851979:UEU852056 UEU917515:UEU917592 UEU983051:UEU983128 UOQ2:UOQ88 UOQ65547:UOQ65624 UOQ131083:UOQ131160 UOQ196619:UOQ196696 UOQ262155:UOQ262232 UOQ327691:UOQ327768 UOQ393227:UOQ393304 UOQ458763:UOQ458840 UOQ524299:UOQ524376 UOQ589835:UOQ589912 UOQ655371:UOQ655448 UOQ720907:UOQ720984 UOQ786443:UOQ786520 UOQ851979:UOQ852056 UOQ917515:UOQ917592 UOQ983051:UOQ983128 UYM2:UYM88 UYM65547:UYM65624 UYM131083:UYM131160 UYM196619:UYM196696 UYM262155:UYM262232 UYM327691:UYM327768 UYM393227:UYM393304 UYM458763:UYM458840 UYM524299:UYM524376 UYM589835:UYM589912 UYM655371:UYM655448 UYM720907:UYM720984 UYM786443:UYM786520 UYM851979:UYM852056 UYM917515:UYM917592 UYM983051:UYM983128 VII2:VII88 VII65547:VII65624 VII131083:VII131160 VII196619:VII196696 VII262155:VII262232 VII327691:VII327768 VII393227:VII393304 VII458763:VII458840 VII524299:VII524376 VII589835:VII589912 VII655371:VII655448 VII720907:VII720984 VII786443:VII786520 VII851979:VII852056 VII917515:VII917592 VII983051:VII983128 VSE2:VSE88 VSE65547:VSE65624 VSE131083:VSE131160 VSE196619:VSE196696 VSE262155:VSE262232 VSE327691:VSE327768 VSE393227:VSE393304 VSE458763:VSE458840 VSE524299:VSE524376 VSE589835:VSE589912 VSE655371:VSE655448 VSE720907:VSE720984 VSE786443:VSE786520 VSE851979:VSE852056 VSE917515:VSE917592 VSE983051:VSE983128 WCA2:WCA88 WCA65547:WCA65624 WCA131083:WCA131160 WCA196619:WCA196696 WCA262155:WCA262232 WCA327691:WCA327768 WCA393227:WCA393304 WCA458763:WCA458840 WCA524299:WCA524376 WCA589835:WCA589912 WCA655371:WCA655448 WCA720907:WCA720984 WCA786443:WCA786520 WCA851979:WCA852056 WCA917515:WCA917592 WCA983051:WCA983128 WLW2:WLW88 WLW65547:WLW65624 WLW131083:WLW131160 WLW196619:WLW196696 WLW262155:WLW262232 WLW327691:WLW327768 WLW393227:WLW393304 WLW458763:WLW458840 WLW524299:WLW524376 WLW589835:WLW589912 WLW655371:WLW655448 WLW720907:WLW720984 WLW786443:WLW786520 WLW851979:WLW852056 WLW917515:WLW917592 WLW983051:WLW983128 WVS2:WVS88 WVS65547:WVS65624 WVS131083:WVS131160 WVS196619:WVS196696 WVS262155:WVS262232 WVS327691:WVS327768 WVS393227:WVS393304 WVS458763:WVS458840 WVS524299:WVS524376 WVS589835:WVS589912 WVS655371:WVS655448 WVS720907:WVS720984 WVS786443:WVS786520 WVS851979:WVS852056 WVS917515:WVS917592 WVS983051:WVS983128" xr:uid="{08B162C7-A309-4144-9B80-74ADBC94C4B2}">
      <formula1>$AR$2:$AR$37</formula1>
    </dataValidation>
    <dataValidation type="list" allowBlank="1" showInputMessage="1" showErrorMessage="1" sqref="H2:H1162" xr:uid="{1FDBE959-E68C-41A2-8885-945636418D26}">
      <formula1>$AL$2:$AL$9</formula1>
    </dataValidation>
    <dataValidation type="list" allowBlank="1" showInputMessage="1" showErrorMessage="1" sqref="K65544:K65622 K131080:K131158 K196616:K196694 K262152:K262230 K327688:K327766 K393224:K393302 K458760:K458838 K524296:K524374 K589832:K589910 K655368:K655446 K720904:K720982 K786440:K786518 K851976:K852054 K917512:K917590 K983048:K983126" xr:uid="{F386A303-B387-4109-95E1-092AC84B2920}">
      <formula1>$AR$2:$AR$42</formula1>
    </dataValidation>
    <dataValidation type="list" allowBlank="1" showInputMessage="1" showErrorMessage="1" sqref="JF2:JF88 JF65547:JF65624 JF131083:JF131160 JF196619:JF196696 JF262155:JF262232 JF327691:JF327768 JF393227:JF393304 JF458763:JF458840 JF524299:JF524376 JF589835:JF589912 JF655371:JF655448 JF720907:JF720984 JF786443:JF786520 JF851979:JF852056 JF917515:JF917592 JF983051:JF983128 TB2:TB88 TB65547:TB65624 TB131083:TB131160 TB196619:TB196696 TB262155:TB262232 TB327691:TB327768 TB393227:TB393304 TB458763:TB458840 TB524299:TB524376 TB589835:TB589912 TB655371:TB655448 TB720907:TB720984 TB786443:TB786520 TB851979:TB852056 TB917515:TB917592 TB983051:TB983128 ACX2:ACX88 ACX65547:ACX65624 ACX131083:ACX131160 ACX196619:ACX196696 ACX262155:ACX262232 ACX327691:ACX327768 ACX393227:ACX393304 ACX458763:ACX458840 ACX524299:ACX524376 ACX589835:ACX589912 ACX655371:ACX655448 ACX720907:ACX720984 ACX786443:ACX786520 ACX851979:ACX852056 ACX917515:ACX917592 ACX983051:ACX983128 AMT2:AMT88 AMT65547:AMT65624 AMT131083:AMT131160 AMT196619:AMT196696 AMT262155:AMT262232 AMT327691:AMT327768 AMT393227:AMT393304 AMT458763:AMT458840 AMT524299:AMT524376 AMT589835:AMT589912 AMT655371:AMT655448 AMT720907:AMT720984 AMT786443:AMT786520 AMT851979:AMT852056 AMT917515:AMT917592 AMT983051:AMT983128 AWP2:AWP88 AWP65547:AWP65624 AWP131083:AWP131160 AWP196619:AWP196696 AWP262155:AWP262232 AWP327691:AWP327768 AWP393227:AWP393304 AWP458763:AWP458840 AWP524299:AWP524376 AWP589835:AWP589912 AWP655371:AWP655448 AWP720907:AWP720984 AWP786443:AWP786520 AWP851979:AWP852056 AWP917515:AWP917592 AWP983051:AWP983128 BGL2:BGL88 BGL65547:BGL65624 BGL131083:BGL131160 BGL196619:BGL196696 BGL262155:BGL262232 BGL327691:BGL327768 BGL393227:BGL393304 BGL458763:BGL458840 BGL524299:BGL524376 BGL589835:BGL589912 BGL655371:BGL655448 BGL720907:BGL720984 BGL786443:BGL786520 BGL851979:BGL852056 BGL917515:BGL917592 BGL983051:BGL983128 BQH2:BQH88 BQH65547:BQH65624 BQH131083:BQH131160 BQH196619:BQH196696 BQH262155:BQH262232 BQH327691:BQH327768 BQH393227:BQH393304 BQH458763:BQH458840 BQH524299:BQH524376 BQH589835:BQH589912 BQH655371:BQH655448 BQH720907:BQH720984 BQH786443:BQH786520 BQH851979:BQH852056 BQH917515:BQH917592 BQH983051:BQH983128 CAD2:CAD88 CAD65547:CAD65624 CAD131083:CAD131160 CAD196619:CAD196696 CAD262155:CAD262232 CAD327691:CAD327768 CAD393227:CAD393304 CAD458763:CAD458840 CAD524299:CAD524376 CAD589835:CAD589912 CAD655371:CAD655448 CAD720907:CAD720984 CAD786443:CAD786520 CAD851979:CAD852056 CAD917515:CAD917592 CAD983051:CAD983128 CJZ2:CJZ88 CJZ65547:CJZ65624 CJZ131083:CJZ131160 CJZ196619:CJZ196696 CJZ262155:CJZ262232 CJZ327691:CJZ327768 CJZ393227:CJZ393304 CJZ458763:CJZ458840 CJZ524299:CJZ524376 CJZ589835:CJZ589912 CJZ655371:CJZ655448 CJZ720907:CJZ720984 CJZ786443:CJZ786520 CJZ851979:CJZ852056 CJZ917515:CJZ917592 CJZ983051:CJZ983128 CTV2:CTV88 CTV65547:CTV65624 CTV131083:CTV131160 CTV196619:CTV196696 CTV262155:CTV262232 CTV327691:CTV327768 CTV393227:CTV393304 CTV458763:CTV458840 CTV524299:CTV524376 CTV589835:CTV589912 CTV655371:CTV655448 CTV720907:CTV720984 CTV786443:CTV786520 CTV851979:CTV852056 CTV917515:CTV917592 CTV983051:CTV983128 DDR2:DDR88 DDR65547:DDR65624 DDR131083:DDR131160 DDR196619:DDR196696 DDR262155:DDR262232 DDR327691:DDR327768 DDR393227:DDR393304 DDR458763:DDR458840 DDR524299:DDR524376 DDR589835:DDR589912 DDR655371:DDR655448 DDR720907:DDR720984 DDR786443:DDR786520 DDR851979:DDR852056 DDR917515:DDR917592 DDR983051:DDR983128 DNN2:DNN88 DNN65547:DNN65624 DNN131083:DNN131160 DNN196619:DNN196696 DNN262155:DNN262232 DNN327691:DNN327768 DNN393227:DNN393304 DNN458763:DNN458840 DNN524299:DNN524376 DNN589835:DNN589912 DNN655371:DNN655448 DNN720907:DNN720984 DNN786443:DNN786520 DNN851979:DNN852056 DNN917515:DNN917592 DNN983051:DNN983128 DXJ2:DXJ88 DXJ65547:DXJ65624 DXJ131083:DXJ131160 DXJ196619:DXJ196696 DXJ262155:DXJ262232 DXJ327691:DXJ327768 DXJ393227:DXJ393304 DXJ458763:DXJ458840 DXJ524299:DXJ524376 DXJ589835:DXJ589912 DXJ655371:DXJ655448 DXJ720907:DXJ720984 DXJ786443:DXJ786520 DXJ851979:DXJ852056 DXJ917515:DXJ917592 DXJ983051:DXJ983128 EHF2:EHF88 EHF65547:EHF65624 EHF131083:EHF131160 EHF196619:EHF196696 EHF262155:EHF262232 EHF327691:EHF327768 EHF393227:EHF393304 EHF458763:EHF458840 EHF524299:EHF524376 EHF589835:EHF589912 EHF655371:EHF655448 EHF720907:EHF720984 EHF786443:EHF786520 EHF851979:EHF852056 EHF917515:EHF917592 EHF983051:EHF983128 ERB2:ERB88 ERB65547:ERB65624 ERB131083:ERB131160 ERB196619:ERB196696 ERB262155:ERB262232 ERB327691:ERB327768 ERB393227:ERB393304 ERB458763:ERB458840 ERB524299:ERB524376 ERB589835:ERB589912 ERB655371:ERB655448 ERB720907:ERB720984 ERB786443:ERB786520 ERB851979:ERB852056 ERB917515:ERB917592 ERB983051:ERB983128 FAX2:FAX88 FAX65547:FAX65624 FAX131083:FAX131160 FAX196619:FAX196696 FAX262155:FAX262232 FAX327691:FAX327768 FAX393227:FAX393304 FAX458763:FAX458840 FAX524299:FAX524376 FAX589835:FAX589912 FAX655371:FAX655448 FAX720907:FAX720984 FAX786443:FAX786520 FAX851979:FAX852056 FAX917515:FAX917592 FAX983051:FAX983128 FKT2:FKT88 FKT65547:FKT65624 FKT131083:FKT131160 FKT196619:FKT196696 FKT262155:FKT262232 FKT327691:FKT327768 FKT393227:FKT393304 FKT458763:FKT458840 FKT524299:FKT524376 FKT589835:FKT589912 FKT655371:FKT655448 FKT720907:FKT720984 FKT786443:FKT786520 FKT851979:FKT852056 FKT917515:FKT917592 FKT983051:FKT983128 FUP2:FUP88 FUP65547:FUP65624 FUP131083:FUP131160 FUP196619:FUP196696 FUP262155:FUP262232 FUP327691:FUP327768 FUP393227:FUP393304 FUP458763:FUP458840 FUP524299:FUP524376 FUP589835:FUP589912 FUP655371:FUP655448 FUP720907:FUP720984 FUP786443:FUP786520 FUP851979:FUP852056 FUP917515:FUP917592 FUP983051:FUP983128 GEL2:GEL88 GEL65547:GEL65624 GEL131083:GEL131160 GEL196619:GEL196696 GEL262155:GEL262232 GEL327691:GEL327768 GEL393227:GEL393304 GEL458763:GEL458840 GEL524299:GEL524376 GEL589835:GEL589912 GEL655371:GEL655448 GEL720907:GEL720984 GEL786443:GEL786520 GEL851979:GEL852056 GEL917515:GEL917592 GEL983051:GEL983128 GOH2:GOH88 GOH65547:GOH65624 GOH131083:GOH131160 GOH196619:GOH196696 GOH262155:GOH262232 GOH327691:GOH327768 GOH393227:GOH393304 GOH458763:GOH458840 GOH524299:GOH524376 GOH589835:GOH589912 GOH655371:GOH655448 GOH720907:GOH720984 GOH786443:GOH786520 GOH851979:GOH852056 GOH917515:GOH917592 GOH983051:GOH983128 GYD2:GYD88 GYD65547:GYD65624 GYD131083:GYD131160 GYD196619:GYD196696 GYD262155:GYD262232 GYD327691:GYD327768 GYD393227:GYD393304 GYD458763:GYD458840 GYD524299:GYD524376 GYD589835:GYD589912 GYD655371:GYD655448 GYD720907:GYD720984 GYD786443:GYD786520 GYD851979:GYD852056 GYD917515:GYD917592 GYD983051:GYD983128 HHZ2:HHZ88 HHZ65547:HHZ65624 HHZ131083:HHZ131160 HHZ196619:HHZ196696 HHZ262155:HHZ262232 HHZ327691:HHZ327768 HHZ393227:HHZ393304 HHZ458763:HHZ458840 HHZ524299:HHZ524376 HHZ589835:HHZ589912 HHZ655371:HHZ655448 HHZ720907:HHZ720984 HHZ786443:HHZ786520 HHZ851979:HHZ852056 HHZ917515:HHZ917592 HHZ983051:HHZ983128 HRV2:HRV88 HRV65547:HRV65624 HRV131083:HRV131160 HRV196619:HRV196696 HRV262155:HRV262232 HRV327691:HRV327768 HRV393227:HRV393304 HRV458763:HRV458840 HRV524299:HRV524376 HRV589835:HRV589912 HRV655371:HRV655448 HRV720907:HRV720984 HRV786443:HRV786520 HRV851979:HRV852056 HRV917515:HRV917592 HRV983051:HRV983128 IBR2:IBR88 IBR65547:IBR65624 IBR131083:IBR131160 IBR196619:IBR196696 IBR262155:IBR262232 IBR327691:IBR327768 IBR393227:IBR393304 IBR458763:IBR458840 IBR524299:IBR524376 IBR589835:IBR589912 IBR655371:IBR655448 IBR720907:IBR720984 IBR786443:IBR786520 IBR851979:IBR852056 IBR917515:IBR917592 IBR983051:IBR983128 ILN2:ILN88 ILN65547:ILN65624 ILN131083:ILN131160 ILN196619:ILN196696 ILN262155:ILN262232 ILN327691:ILN327768 ILN393227:ILN393304 ILN458763:ILN458840 ILN524299:ILN524376 ILN589835:ILN589912 ILN655371:ILN655448 ILN720907:ILN720984 ILN786443:ILN786520 ILN851979:ILN852056 ILN917515:ILN917592 ILN983051:ILN983128 IVJ2:IVJ88 IVJ65547:IVJ65624 IVJ131083:IVJ131160 IVJ196619:IVJ196696 IVJ262155:IVJ262232 IVJ327691:IVJ327768 IVJ393227:IVJ393304 IVJ458763:IVJ458840 IVJ524299:IVJ524376 IVJ589835:IVJ589912 IVJ655371:IVJ655448 IVJ720907:IVJ720984 IVJ786443:IVJ786520 IVJ851979:IVJ852056 IVJ917515:IVJ917592 IVJ983051:IVJ983128 JFF2:JFF88 JFF65547:JFF65624 JFF131083:JFF131160 JFF196619:JFF196696 JFF262155:JFF262232 JFF327691:JFF327768 JFF393227:JFF393304 JFF458763:JFF458840 JFF524299:JFF524376 JFF589835:JFF589912 JFF655371:JFF655448 JFF720907:JFF720984 JFF786443:JFF786520 JFF851979:JFF852056 JFF917515:JFF917592 JFF983051:JFF983128 JPB2:JPB88 JPB65547:JPB65624 JPB131083:JPB131160 JPB196619:JPB196696 JPB262155:JPB262232 JPB327691:JPB327768 JPB393227:JPB393304 JPB458763:JPB458840 JPB524299:JPB524376 JPB589835:JPB589912 JPB655371:JPB655448 JPB720907:JPB720984 JPB786443:JPB786520 JPB851979:JPB852056 JPB917515:JPB917592 JPB983051:JPB983128 JYX2:JYX88 JYX65547:JYX65624 JYX131083:JYX131160 JYX196619:JYX196696 JYX262155:JYX262232 JYX327691:JYX327768 JYX393227:JYX393304 JYX458763:JYX458840 JYX524299:JYX524376 JYX589835:JYX589912 JYX655371:JYX655448 JYX720907:JYX720984 JYX786443:JYX786520 JYX851979:JYX852056 JYX917515:JYX917592 JYX983051:JYX983128 KIT2:KIT88 KIT65547:KIT65624 KIT131083:KIT131160 KIT196619:KIT196696 KIT262155:KIT262232 KIT327691:KIT327768 KIT393227:KIT393304 KIT458763:KIT458840 KIT524299:KIT524376 KIT589835:KIT589912 KIT655371:KIT655448 KIT720907:KIT720984 KIT786443:KIT786520 KIT851979:KIT852056 KIT917515:KIT917592 KIT983051:KIT983128 KSP2:KSP88 KSP65547:KSP65624 KSP131083:KSP131160 KSP196619:KSP196696 KSP262155:KSP262232 KSP327691:KSP327768 KSP393227:KSP393304 KSP458763:KSP458840 KSP524299:KSP524376 KSP589835:KSP589912 KSP655371:KSP655448 KSP720907:KSP720984 KSP786443:KSP786520 KSP851979:KSP852056 KSP917515:KSP917592 KSP983051:KSP983128 LCL2:LCL88 LCL65547:LCL65624 LCL131083:LCL131160 LCL196619:LCL196696 LCL262155:LCL262232 LCL327691:LCL327768 LCL393227:LCL393304 LCL458763:LCL458840 LCL524299:LCL524376 LCL589835:LCL589912 LCL655371:LCL655448 LCL720907:LCL720984 LCL786443:LCL786520 LCL851979:LCL852056 LCL917515:LCL917592 LCL983051:LCL983128 LMH2:LMH88 LMH65547:LMH65624 LMH131083:LMH131160 LMH196619:LMH196696 LMH262155:LMH262232 LMH327691:LMH327768 LMH393227:LMH393304 LMH458763:LMH458840 LMH524299:LMH524376 LMH589835:LMH589912 LMH655371:LMH655448 LMH720907:LMH720984 LMH786443:LMH786520 LMH851979:LMH852056 LMH917515:LMH917592 LMH983051:LMH983128 LWD2:LWD88 LWD65547:LWD65624 LWD131083:LWD131160 LWD196619:LWD196696 LWD262155:LWD262232 LWD327691:LWD327768 LWD393227:LWD393304 LWD458763:LWD458840 LWD524299:LWD524376 LWD589835:LWD589912 LWD655371:LWD655448 LWD720907:LWD720984 LWD786443:LWD786520 LWD851979:LWD852056 LWD917515:LWD917592 LWD983051:LWD983128 MFZ2:MFZ88 MFZ65547:MFZ65624 MFZ131083:MFZ131160 MFZ196619:MFZ196696 MFZ262155:MFZ262232 MFZ327691:MFZ327768 MFZ393227:MFZ393304 MFZ458763:MFZ458840 MFZ524299:MFZ524376 MFZ589835:MFZ589912 MFZ655371:MFZ655448 MFZ720907:MFZ720984 MFZ786443:MFZ786520 MFZ851979:MFZ852056 MFZ917515:MFZ917592 MFZ983051:MFZ983128 MPV2:MPV88 MPV65547:MPV65624 MPV131083:MPV131160 MPV196619:MPV196696 MPV262155:MPV262232 MPV327691:MPV327768 MPV393227:MPV393304 MPV458763:MPV458840 MPV524299:MPV524376 MPV589835:MPV589912 MPV655371:MPV655448 MPV720907:MPV720984 MPV786443:MPV786520 MPV851979:MPV852056 MPV917515:MPV917592 MPV983051:MPV983128 MZR2:MZR88 MZR65547:MZR65624 MZR131083:MZR131160 MZR196619:MZR196696 MZR262155:MZR262232 MZR327691:MZR327768 MZR393227:MZR393304 MZR458763:MZR458840 MZR524299:MZR524376 MZR589835:MZR589912 MZR655371:MZR655448 MZR720907:MZR720984 MZR786443:MZR786520 MZR851979:MZR852056 MZR917515:MZR917592 MZR983051:MZR983128 NJN2:NJN88 NJN65547:NJN65624 NJN131083:NJN131160 NJN196619:NJN196696 NJN262155:NJN262232 NJN327691:NJN327768 NJN393227:NJN393304 NJN458763:NJN458840 NJN524299:NJN524376 NJN589835:NJN589912 NJN655371:NJN655448 NJN720907:NJN720984 NJN786443:NJN786520 NJN851979:NJN852056 NJN917515:NJN917592 NJN983051:NJN983128 NTJ2:NTJ88 NTJ65547:NTJ65624 NTJ131083:NTJ131160 NTJ196619:NTJ196696 NTJ262155:NTJ262232 NTJ327691:NTJ327768 NTJ393227:NTJ393304 NTJ458763:NTJ458840 NTJ524299:NTJ524376 NTJ589835:NTJ589912 NTJ655371:NTJ655448 NTJ720907:NTJ720984 NTJ786443:NTJ786520 NTJ851979:NTJ852056 NTJ917515:NTJ917592 NTJ983051:NTJ983128 ODF2:ODF88 ODF65547:ODF65624 ODF131083:ODF131160 ODF196619:ODF196696 ODF262155:ODF262232 ODF327691:ODF327768 ODF393227:ODF393304 ODF458763:ODF458840 ODF524299:ODF524376 ODF589835:ODF589912 ODF655371:ODF655448 ODF720907:ODF720984 ODF786443:ODF786520 ODF851979:ODF852056 ODF917515:ODF917592 ODF983051:ODF983128 ONB2:ONB88 ONB65547:ONB65624 ONB131083:ONB131160 ONB196619:ONB196696 ONB262155:ONB262232 ONB327691:ONB327768 ONB393227:ONB393304 ONB458763:ONB458840 ONB524299:ONB524376 ONB589835:ONB589912 ONB655371:ONB655448 ONB720907:ONB720984 ONB786443:ONB786520 ONB851979:ONB852056 ONB917515:ONB917592 ONB983051:ONB983128 OWX2:OWX88 OWX65547:OWX65624 OWX131083:OWX131160 OWX196619:OWX196696 OWX262155:OWX262232 OWX327691:OWX327768 OWX393227:OWX393304 OWX458763:OWX458840 OWX524299:OWX524376 OWX589835:OWX589912 OWX655371:OWX655448 OWX720907:OWX720984 OWX786443:OWX786520 OWX851979:OWX852056 OWX917515:OWX917592 OWX983051:OWX983128 PGT2:PGT88 PGT65547:PGT65624 PGT131083:PGT131160 PGT196619:PGT196696 PGT262155:PGT262232 PGT327691:PGT327768 PGT393227:PGT393304 PGT458763:PGT458840 PGT524299:PGT524376 PGT589835:PGT589912 PGT655371:PGT655448 PGT720907:PGT720984 PGT786443:PGT786520 PGT851979:PGT852056 PGT917515:PGT917592 PGT983051:PGT983128 PQP2:PQP88 PQP65547:PQP65624 PQP131083:PQP131160 PQP196619:PQP196696 PQP262155:PQP262232 PQP327691:PQP327768 PQP393227:PQP393304 PQP458763:PQP458840 PQP524299:PQP524376 PQP589835:PQP589912 PQP655371:PQP655448 PQP720907:PQP720984 PQP786443:PQP786520 PQP851979:PQP852056 PQP917515:PQP917592 PQP983051:PQP983128 QAL2:QAL88 QAL65547:QAL65624 QAL131083:QAL131160 QAL196619:QAL196696 QAL262155:QAL262232 QAL327691:QAL327768 QAL393227:QAL393304 QAL458763:QAL458840 QAL524299:QAL524376 QAL589835:QAL589912 QAL655371:QAL655448 QAL720907:QAL720984 QAL786443:QAL786520 QAL851979:QAL852056 QAL917515:QAL917592 QAL983051:QAL983128 QKH2:QKH88 QKH65547:QKH65624 QKH131083:QKH131160 QKH196619:QKH196696 QKH262155:QKH262232 QKH327691:QKH327768 QKH393227:QKH393304 QKH458763:QKH458840 QKH524299:QKH524376 QKH589835:QKH589912 QKH655371:QKH655448 QKH720907:QKH720984 QKH786443:QKH786520 QKH851979:QKH852056 QKH917515:QKH917592 QKH983051:QKH983128 QUD2:QUD88 QUD65547:QUD65624 QUD131083:QUD131160 QUD196619:QUD196696 QUD262155:QUD262232 QUD327691:QUD327768 QUD393227:QUD393304 QUD458763:QUD458840 QUD524299:QUD524376 QUD589835:QUD589912 QUD655371:QUD655448 QUD720907:QUD720984 QUD786443:QUD786520 QUD851979:QUD852056 QUD917515:QUD917592 QUD983051:QUD983128 RDZ2:RDZ88 RDZ65547:RDZ65624 RDZ131083:RDZ131160 RDZ196619:RDZ196696 RDZ262155:RDZ262232 RDZ327691:RDZ327768 RDZ393227:RDZ393304 RDZ458763:RDZ458840 RDZ524299:RDZ524376 RDZ589835:RDZ589912 RDZ655371:RDZ655448 RDZ720907:RDZ720984 RDZ786443:RDZ786520 RDZ851979:RDZ852056 RDZ917515:RDZ917592 RDZ983051:RDZ983128 RNV2:RNV88 RNV65547:RNV65624 RNV131083:RNV131160 RNV196619:RNV196696 RNV262155:RNV262232 RNV327691:RNV327768 RNV393227:RNV393304 RNV458763:RNV458840 RNV524299:RNV524376 RNV589835:RNV589912 RNV655371:RNV655448 RNV720907:RNV720984 RNV786443:RNV786520 RNV851979:RNV852056 RNV917515:RNV917592 RNV983051:RNV983128 RXR2:RXR88 RXR65547:RXR65624 RXR131083:RXR131160 RXR196619:RXR196696 RXR262155:RXR262232 RXR327691:RXR327768 RXR393227:RXR393304 RXR458763:RXR458840 RXR524299:RXR524376 RXR589835:RXR589912 RXR655371:RXR655448 RXR720907:RXR720984 RXR786443:RXR786520 RXR851979:RXR852056 RXR917515:RXR917592 RXR983051:RXR983128 SHN2:SHN88 SHN65547:SHN65624 SHN131083:SHN131160 SHN196619:SHN196696 SHN262155:SHN262232 SHN327691:SHN327768 SHN393227:SHN393304 SHN458763:SHN458840 SHN524299:SHN524376 SHN589835:SHN589912 SHN655371:SHN655448 SHN720907:SHN720984 SHN786443:SHN786520 SHN851979:SHN852056 SHN917515:SHN917592 SHN983051:SHN983128 SRJ2:SRJ88 SRJ65547:SRJ65624 SRJ131083:SRJ131160 SRJ196619:SRJ196696 SRJ262155:SRJ262232 SRJ327691:SRJ327768 SRJ393227:SRJ393304 SRJ458763:SRJ458840 SRJ524299:SRJ524376 SRJ589835:SRJ589912 SRJ655371:SRJ655448 SRJ720907:SRJ720984 SRJ786443:SRJ786520 SRJ851979:SRJ852056 SRJ917515:SRJ917592 SRJ983051:SRJ983128 TBF2:TBF88 TBF65547:TBF65624 TBF131083:TBF131160 TBF196619:TBF196696 TBF262155:TBF262232 TBF327691:TBF327768 TBF393227:TBF393304 TBF458763:TBF458840 TBF524299:TBF524376 TBF589835:TBF589912 TBF655371:TBF655448 TBF720907:TBF720984 TBF786443:TBF786520 TBF851979:TBF852056 TBF917515:TBF917592 TBF983051:TBF983128 TLB2:TLB88 TLB65547:TLB65624 TLB131083:TLB131160 TLB196619:TLB196696 TLB262155:TLB262232 TLB327691:TLB327768 TLB393227:TLB393304 TLB458763:TLB458840 TLB524299:TLB524376 TLB589835:TLB589912 TLB655371:TLB655448 TLB720907:TLB720984 TLB786443:TLB786520 TLB851979:TLB852056 TLB917515:TLB917592 TLB983051:TLB983128 TUX2:TUX88 TUX65547:TUX65624 TUX131083:TUX131160 TUX196619:TUX196696 TUX262155:TUX262232 TUX327691:TUX327768 TUX393227:TUX393304 TUX458763:TUX458840 TUX524299:TUX524376 TUX589835:TUX589912 TUX655371:TUX655448 TUX720907:TUX720984 TUX786443:TUX786520 TUX851979:TUX852056 TUX917515:TUX917592 TUX983051:TUX983128 UET2:UET88 UET65547:UET65624 UET131083:UET131160 UET196619:UET196696 UET262155:UET262232 UET327691:UET327768 UET393227:UET393304 UET458763:UET458840 UET524299:UET524376 UET589835:UET589912 UET655371:UET655448 UET720907:UET720984 UET786443:UET786520 UET851979:UET852056 UET917515:UET917592 UET983051:UET983128 UOP2:UOP88 UOP65547:UOP65624 UOP131083:UOP131160 UOP196619:UOP196696 UOP262155:UOP262232 UOP327691:UOP327768 UOP393227:UOP393304 UOP458763:UOP458840 UOP524299:UOP524376 UOP589835:UOP589912 UOP655371:UOP655448 UOP720907:UOP720984 UOP786443:UOP786520 UOP851979:UOP852056 UOP917515:UOP917592 UOP983051:UOP983128 UYL2:UYL88 UYL65547:UYL65624 UYL131083:UYL131160 UYL196619:UYL196696 UYL262155:UYL262232 UYL327691:UYL327768 UYL393227:UYL393304 UYL458763:UYL458840 UYL524299:UYL524376 UYL589835:UYL589912 UYL655371:UYL655448 UYL720907:UYL720984 UYL786443:UYL786520 UYL851979:UYL852056 UYL917515:UYL917592 UYL983051:UYL983128 VIH2:VIH88 VIH65547:VIH65624 VIH131083:VIH131160 VIH196619:VIH196696 VIH262155:VIH262232 VIH327691:VIH327768 VIH393227:VIH393304 VIH458763:VIH458840 VIH524299:VIH524376 VIH589835:VIH589912 VIH655371:VIH655448 VIH720907:VIH720984 VIH786443:VIH786520 VIH851979:VIH852056 VIH917515:VIH917592 VIH983051:VIH983128 VSD2:VSD88 VSD65547:VSD65624 VSD131083:VSD131160 VSD196619:VSD196696 VSD262155:VSD262232 VSD327691:VSD327768 VSD393227:VSD393304 VSD458763:VSD458840 VSD524299:VSD524376 VSD589835:VSD589912 VSD655371:VSD655448 VSD720907:VSD720984 VSD786443:VSD786520 VSD851979:VSD852056 VSD917515:VSD917592 VSD983051:VSD983128 WBZ2:WBZ88 WBZ65547:WBZ65624 WBZ131083:WBZ131160 WBZ196619:WBZ196696 WBZ262155:WBZ262232 WBZ327691:WBZ327768 WBZ393227:WBZ393304 WBZ458763:WBZ458840 WBZ524299:WBZ524376 WBZ589835:WBZ589912 WBZ655371:WBZ655448 WBZ720907:WBZ720984 WBZ786443:WBZ786520 WBZ851979:WBZ852056 WBZ917515:WBZ917592 WBZ983051:WBZ983128 WLV2:WLV88 WLV65547:WLV65624 WLV131083:WLV131160 WLV196619:WLV196696 WLV262155:WLV262232 WLV327691:WLV327768 WLV393227:WLV393304 WLV458763:WLV458840 WLV524299:WLV524376 WLV589835:WLV589912 WLV655371:WLV655448 WLV720907:WLV720984 WLV786443:WLV786520 WLV851979:WLV852056 WLV917515:WLV917592 WLV983051:WLV983128 WVR2:WVR88 WVR65547:WVR65624 WVR131083:WVR131160 WVR196619:WVR196696 WVR262155:WVR262232 WVR327691:WVR327768 WVR393227:WVR393304 WVR458763:WVR458840 WVR524299:WVR524376 WVR589835:WVR589912 WVR655371:WVR655448 WVR720907:WVR720984 WVR786443:WVR786520 WVR851979:WVR852056 WVR917515:WVR917592 WVR983051:WVR983128" xr:uid="{E87CF839-1BBB-49BF-9A22-B37E309B2A87}">
      <formula1>$AP$2:$AP$39</formula1>
    </dataValidation>
    <dataValidation type="list" allowBlank="1" showInputMessage="1" showErrorMessage="1" sqref="G2:G509 G65547:G65624 G131083:G131160 G196619:G196696 G262155:G262232 G327691:G327768 G393227:G393304 G458763:G458840 G524299:G524376 G589835:G589912 G655371:G655448 G720907:G720984 G786443:G786520 G851979:G852056 G917515:G917592 G983051:G983128 JC2:JC88 JC65547:JC65624 JC131083:JC131160 JC196619:JC196696 JC262155:JC262232 JC327691:JC327768 JC393227:JC393304 JC458763:JC458840 JC524299:JC524376 JC589835:JC589912 JC655371:JC655448 JC720907:JC720984 JC786443:JC786520 JC851979:JC852056 JC917515:JC917592 JC983051:JC983128 SY2:SY88 SY65547:SY65624 SY131083:SY131160 SY196619:SY196696 SY262155:SY262232 SY327691:SY327768 SY393227:SY393304 SY458763:SY458840 SY524299:SY524376 SY589835:SY589912 SY655371:SY655448 SY720907:SY720984 SY786443:SY786520 SY851979:SY852056 SY917515:SY917592 SY983051:SY983128 ACU2:ACU88 ACU65547:ACU65624 ACU131083:ACU131160 ACU196619:ACU196696 ACU262155:ACU262232 ACU327691:ACU327768 ACU393227:ACU393304 ACU458763:ACU458840 ACU524299:ACU524376 ACU589835:ACU589912 ACU655371:ACU655448 ACU720907:ACU720984 ACU786443:ACU786520 ACU851979:ACU852056 ACU917515:ACU917592 ACU983051:ACU983128 AMQ2:AMQ88 AMQ65547:AMQ65624 AMQ131083:AMQ131160 AMQ196619:AMQ196696 AMQ262155:AMQ262232 AMQ327691:AMQ327768 AMQ393227:AMQ393304 AMQ458763:AMQ458840 AMQ524299:AMQ524376 AMQ589835:AMQ589912 AMQ655371:AMQ655448 AMQ720907:AMQ720984 AMQ786443:AMQ786520 AMQ851979:AMQ852056 AMQ917515:AMQ917592 AMQ983051:AMQ983128 AWM2:AWM88 AWM65547:AWM65624 AWM131083:AWM131160 AWM196619:AWM196696 AWM262155:AWM262232 AWM327691:AWM327768 AWM393227:AWM393304 AWM458763:AWM458840 AWM524299:AWM524376 AWM589835:AWM589912 AWM655371:AWM655448 AWM720907:AWM720984 AWM786443:AWM786520 AWM851979:AWM852056 AWM917515:AWM917592 AWM983051:AWM983128 BGI2:BGI88 BGI65547:BGI65624 BGI131083:BGI131160 BGI196619:BGI196696 BGI262155:BGI262232 BGI327691:BGI327768 BGI393227:BGI393304 BGI458763:BGI458840 BGI524299:BGI524376 BGI589835:BGI589912 BGI655371:BGI655448 BGI720907:BGI720984 BGI786443:BGI786520 BGI851979:BGI852056 BGI917515:BGI917592 BGI983051:BGI983128 BQE2:BQE88 BQE65547:BQE65624 BQE131083:BQE131160 BQE196619:BQE196696 BQE262155:BQE262232 BQE327691:BQE327768 BQE393227:BQE393304 BQE458763:BQE458840 BQE524299:BQE524376 BQE589835:BQE589912 BQE655371:BQE655448 BQE720907:BQE720984 BQE786443:BQE786520 BQE851979:BQE852056 BQE917515:BQE917592 BQE983051:BQE983128 CAA2:CAA88 CAA65547:CAA65624 CAA131083:CAA131160 CAA196619:CAA196696 CAA262155:CAA262232 CAA327691:CAA327768 CAA393227:CAA393304 CAA458763:CAA458840 CAA524299:CAA524376 CAA589835:CAA589912 CAA655371:CAA655448 CAA720907:CAA720984 CAA786443:CAA786520 CAA851979:CAA852056 CAA917515:CAA917592 CAA983051:CAA983128 CJW2:CJW88 CJW65547:CJW65624 CJW131083:CJW131160 CJW196619:CJW196696 CJW262155:CJW262232 CJW327691:CJW327768 CJW393227:CJW393304 CJW458763:CJW458840 CJW524299:CJW524376 CJW589835:CJW589912 CJW655371:CJW655448 CJW720907:CJW720984 CJW786443:CJW786520 CJW851979:CJW852056 CJW917515:CJW917592 CJW983051:CJW983128 CTS2:CTS88 CTS65547:CTS65624 CTS131083:CTS131160 CTS196619:CTS196696 CTS262155:CTS262232 CTS327691:CTS327768 CTS393227:CTS393304 CTS458763:CTS458840 CTS524299:CTS524376 CTS589835:CTS589912 CTS655371:CTS655448 CTS720907:CTS720984 CTS786443:CTS786520 CTS851979:CTS852056 CTS917515:CTS917592 CTS983051:CTS983128 DDO2:DDO88 DDO65547:DDO65624 DDO131083:DDO131160 DDO196619:DDO196696 DDO262155:DDO262232 DDO327691:DDO327768 DDO393227:DDO393304 DDO458763:DDO458840 DDO524299:DDO524376 DDO589835:DDO589912 DDO655371:DDO655448 DDO720907:DDO720984 DDO786443:DDO786520 DDO851979:DDO852056 DDO917515:DDO917592 DDO983051:DDO983128 DNK2:DNK88 DNK65547:DNK65624 DNK131083:DNK131160 DNK196619:DNK196696 DNK262155:DNK262232 DNK327691:DNK327768 DNK393227:DNK393304 DNK458763:DNK458840 DNK524299:DNK524376 DNK589835:DNK589912 DNK655371:DNK655448 DNK720907:DNK720984 DNK786443:DNK786520 DNK851979:DNK852056 DNK917515:DNK917592 DNK983051:DNK983128 DXG2:DXG88 DXG65547:DXG65624 DXG131083:DXG131160 DXG196619:DXG196696 DXG262155:DXG262232 DXG327691:DXG327768 DXG393227:DXG393304 DXG458763:DXG458840 DXG524299:DXG524376 DXG589835:DXG589912 DXG655371:DXG655448 DXG720907:DXG720984 DXG786443:DXG786520 DXG851979:DXG852056 DXG917515:DXG917592 DXG983051:DXG983128 EHC2:EHC88 EHC65547:EHC65624 EHC131083:EHC131160 EHC196619:EHC196696 EHC262155:EHC262232 EHC327691:EHC327768 EHC393227:EHC393304 EHC458763:EHC458840 EHC524299:EHC524376 EHC589835:EHC589912 EHC655371:EHC655448 EHC720907:EHC720984 EHC786443:EHC786520 EHC851979:EHC852056 EHC917515:EHC917592 EHC983051:EHC983128 EQY2:EQY88 EQY65547:EQY65624 EQY131083:EQY131160 EQY196619:EQY196696 EQY262155:EQY262232 EQY327691:EQY327768 EQY393227:EQY393304 EQY458763:EQY458840 EQY524299:EQY524376 EQY589835:EQY589912 EQY655371:EQY655448 EQY720907:EQY720984 EQY786443:EQY786520 EQY851979:EQY852056 EQY917515:EQY917592 EQY983051:EQY983128 FAU2:FAU88 FAU65547:FAU65624 FAU131083:FAU131160 FAU196619:FAU196696 FAU262155:FAU262232 FAU327691:FAU327768 FAU393227:FAU393304 FAU458763:FAU458840 FAU524299:FAU524376 FAU589835:FAU589912 FAU655371:FAU655448 FAU720907:FAU720984 FAU786443:FAU786520 FAU851979:FAU852056 FAU917515:FAU917592 FAU983051:FAU983128 FKQ2:FKQ88 FKQ65547:FKQ65624 FKQ131083:FKQ131160 FKQ196619:FKQ196696 FKQ262155:FKQ262232 FKQ327691:FKQ327768 FKQ393227:FKQ393304 FKQ458763:FKQ458840 FKQ524299:FKQ524376 FKQ589835:FKQ589912 FKQ655371:FKQ655448 FKQ720907:FKQ720984 FKQ786443:FKQ786520 FKQ851979:FKQ852056 FKQ917515:FKQ917592 FKQ983051:FKQ983128 FUM2:FUM88 FUM65547:FUM65624 FUM131083:FUM131160 FUM196619:FUM196696 FUM262155:FUM262232 FUM327691:FUM327768 FUM393227:FUM393304 FUM458763:FUM458840 FUM524299:FUM524376 FUM589835:FUM589912 FUM655371:FUM655448 FUM720907:FUM720984 FUM786443:FUM786520 FUM851979:FUM852056 FUM917515:FUM917592 FUM983051:FUM983128 GEI2:GEI88 GEI65547:GEI65624 GEI131083:GEI131160 GEI196619:GEI196696 GEI262155:GEI262232 GEI327691:GEI327768 GEI393227:GEI393304 GEI458763:GEI458840 GEI524299:GEI524376 GEI589835:GEI589912 GEI655371:GEI655448 GEI720907:GEI720984 GEI786443:GEI786520 GEI851979:GEI852056 GEI917515:GEI917592 GEI983051:GEI983128 GOE2:GOE88 GOE65547:GOE65624 GOE131083:GOE131160 GOE196619:GOE196696 GOE262155:GOE262232 GOE327691:GOE327768 GOE393227:GOE393304 GOE458763:GOE458840 GOE524299:GOE524376 GOE589835:GOE589912 GOE655371:GOE655448 GOE720907:GOE720984 GOE786443:GOE786520 GOE851979:GOE852056 GOE917515:GOE917592 GOE983051:GOE983128 GYA2:GYA88 GYA65547:GYA65624 GYA131083:GYA131160 GYA196619:GYA196696 GYA262155:GYA262232 GYA327691:GYA327768 GYA393227:GYA393304 GYA458763:GYA458840 GYA524299:GYA524376 GYA589835:GYA589912 GYA655371:GYA655448 GYA720907:GYA720984 GYA786443:GYA786520 GYA851979:GYA852056 GYA917515:GYA917592 GYA983051:GYA983128 HHW2:HHW88 HHW65547:HHW65624 HHW131083:HHW131160 HHW196619:HHW196696 HHW262155:HHW262232 HHW327691:HHW327768 HHW393227:HHW393304 HHW458763:HHW458840 HHW524299:HHW524376 HHW589835:HHW589912 HHW655371:HHW655448 HHW720907:HHW720984 HHW786443:HHW786520 HHW851979:HHW852056 HHW917515:HHW917592 HHW983051:HHW983128 HRS2:HRS88 HRS65547:HRS65624 HRS131083:HRS131160 HRS196619:HRS196696 HRS262155:HRS262232 HRS327691:HRS327768 HRS393227:HRS393304 HRS458763:HRS458840 HRS524299:HRS524376 HRS589835:HRS589912 HRS655371:HRS655448 HRS720907:HRS720984 HRS786443:HRS786520 HRS851979:HRS852056 HRS917515:HRS917592 HRS983051:HRS983128 IBO2:IBO88 IBO65547:IBO65624 IBO131083:IBO131160 IBO196619:IBO196696 IBO262155:IBO262232 IBO327691:IBO327768 IBO393227:IBO393304 IBO458763:IBO458840 IBO524299:IBO524376 IBO589835:IBO589912 IBO655371:IBO655448 IBO720907:IBO720984 IBO786443:IBO786520 IBO851979:IBO852056 IBO917515:IBO917592 IBO983051:IBO983128 ILK2:ILK88 ILK65547:ILK65624 ILK131083:ILK131160 ILK196619:ILK196696 ILK262155:ILK262232 ILK327691:ILK327768 ILK393227:ILK393304 ILK458763:ILK458840 ILK524299:ILK524376 ILK589835:ILK589912 ILK655371:ILK655448 ILK720907:ILK720984 ILK786443:ILK786520 ILK851979:ILK852056 ILK917515:ILK917592 ILK983051:ILK983128 IVG2:IVG88 IVG65547:IVG65624 IVG131083:IVG131160 IVG196619:IVG196696 IVG262155:IVG262232 IVG327691:IVG327768 IVG393227:IVG393304 IVG458763:IVG458840 IVG524299:IVG524376 IVG589835:IVG589912 IVG655371:IVG655448 IVG720907:IVG720984 IVG786443:IVG786520 IVG851979:IVG852056 IVG917515:IVG917592 IVG983051:IVG983128 JFC2:JFC88 JFC65547:JFC65624 JFC131083:JFC131160 JFC196619:JFC196696 JFC262155:JFC262232 JFC327691:JFC327768 JFC393227:JFC393304 JFC458763:JFC458840 JFC524299:JFC524376 JFC589835:JFC589912 JFC655371:JFC655448 JFC720907:JFC720984 JFC786443:JFC786520 JFC851979:JFC852056 JFC917515:JFC917592 JFC983051:JFC983128 JOY2:JOY88 JOY65547:JOY65624 JOY131083:JOY131160 JOY196619:JOY196696 JOY262155:JOY262232 JOY327691:JOY327768 JOY393227:JOY393304 JOY458763:JOY458840 JOY524299:JOY524376 JOY589835:JOY589912 JOY655371:JOY655448 JOY720907:JOY720984 JOY786443:JOY786520 JOY851979:JOY852056 JOY917515:JOY917592 JOY983051:JOY983128 JYU2:JYU88 JYU65547:JYU65624 JYU131083:JYU131160 JYU196619:JYU196696 JYU262155:JYU262232 JYU327691:JYU327768 JYU393227:JYU393304 JYU458763:JYU458840 JYU524299:JYU524376 JYU589835:JYU589912 JYU655371:JYU655448 JYU720907:JYU720984 JYU786443:JYU786520 JYU851979:JYU852056 JYU917515:JYU917592 JYU983051:JYU983128 KIQ2:KIQ88 KIQ65547:KIQ65624 KIQ131083:KIQ131160 KIQ196619:KIQ196696 KIQ262155:KIQ262232 KIQ327691:KIQ327768 KIQ393227:KIQ393304 KIQ458763:KIQ458840 KIQ524299:KIQ524376 KIQ589835:KIQ589912 KIQ655371:KIQ655448 KIQ720907:KIQ720984 KIQ786443:KIQ786520 KIQ851979:KIQ852056 KIQ917515:KIQ917592 KIQ983051:KIQ983128 KSM2:KSM88 KSM65547:KSM65624 KSM131083:KSM131160 KSM196619:KSM196696 KSM262155:KSM262232 KSM327691:KSM327768 KSM393227:KSM393304 KSM458763:KSM458840 KSM524299:KSM524376 KSM589835:KSM589912 KSM655371:KSM655448 KSM720907:KSM720984 KSM786443:KSM786520 KSM851979:KSM852056 KSM917515:KSM917592 KSM983051:KSM983128 LCI2:LCI88 LCI65547:LCI65624 LCI131083:LCI131160 LCI196619:LCI196696 LCI262155:LCI262232 LCI327691:LCI327768 LCI393227:LCI393304 LCI458763:LCI458840 LCI524299:LCI524376 LCI589835:LCI589912 LCI655371:LCI655448 LCI720907:LCI720984 LCI786443:LCI786520 LCI851979:LCI852056 LCI917515:LCI917592 LCI983051:LCI983128 LME2:LME88 LME65547:LME65624 LME131083:LME131160 LME196619:LME196696 LME262155:LME262232 LME327691:LME327768 LME393227:LME393304 LME458763:LME458840 LME524299:LME524376 LME589835:LME589912 LME655371:LME655448 LME720907:LME720984 LME786443:LME786520 LME851979:LME852056 LME917515:LME917592 LME983051:LME983128 LWA2:LWA88 LWA65547:LWA65624 LWA131083:LWA131160 LWA196619:LWA196696 LWA262155:LWA262232 LWA327691:LWA327768 LWA393227:LWA393304 LWA458763:LWA458840 LWA524299:LWA524376 LWA589835:LWA589912 LWA655371:LWA655448 LWA720907:LWA720984 LWA786443:LWA786520 LWA851979:LWA852056 LWA917515:LWA917592 LWA983051:LWA983128 MFW2:MFW88 MFW65547:MFW65624 MFW131083:MFW131160 MFW196619:MFW196696 MFW262155:MFW262232 MFW327691:MFW327768 MFW393227:MFW393304 MFW458763:MFW458840 MFW524299:MFW524376 MFW589835:MFW589912 MFW655371:MFW655448 MFW720907:MFW720984 MFW786443:MFW786520 MFW851979:MFW852056 MFW917515:MFW917592 MFW983051:MFW983128 MPS2:MPS88 MPS65547:MPS65624 MPS131083:MPS131160 MPS196619:MPS196696 MPS262155:MPS262232 MPS327691:MPS327768 MPS393227:MPS393304 MPS458763:MPS458840 MPS524299:MPS524376 MPS589835:MPS589912 MPS655371:MPS655448 MPS720907:MPS720984 MPS786443:MPS786520 MPS851979:MPS852056 MPS917515:MPS917592 MPS983051:MPS983128 MZO2:MZO88 MZO65547:MZO65624 MZO131083:MZO131160 MZO196619:MZO196696 MZO262155:MZO262232 MZO327691:MZO327768 MZO393227:MZO393304 MZO458763:MZO458840 MZO524299:MZO524376 MZO589835:MZO589912 MZO655371:MZO655448 MZO720907:MZO720984 MZO786443:MZO786520 MZO851979:MZO852056 MZO917515:MZO917592 MZO983051:MZO983128 NJK2:NJK88 NJK65547:NJK65624 NJK131083:NJK131160 NJK196619:NJK196696 NJK262155:NJK262232 NJK327691:NJK327768 NJK393227:NJK393304 NJK458763:NJK458840 NJK524299:NJK524376 NJK589835:NJK589912 NJK655371:NJK655448 NJK720907:NJK720984 NJK786443:NJK786520 NJK851979:NJK852056 NJK917515:NJK917592 NJK983051:NJK983128 NTG2:NTG88 NTG65547:NTG65624 NTG131083:NTG131160 NTG196619:NTG196696 NTG262155:NTG262232 NTG327691:NTG327768 NTG393227:NTG393304 NTG458763:NTG458840 NTG524299:NTG524376 NTG589835:NTG589912 NTG655371:NTG655448 NTG720907:NTG720984 NTG786443:NTG786520 NTG851979:NTG852056 NTG917515:NTG917592 NTG983051:NTG983128 ODC2:ODC88 ODC65547:ODC65624 ODC131083:ODC131160 ODC196619:ODC196696 ODC262155:ODC262232 ODC327691:ODC327768 ODC393227:ODC393304 ODC458763:ODC458840 ODC524299:ODC524376 ODC589835:ODC589912 ODC655371:ODC655448 ODC720907:ODC720984 ODC786443:ODC786520 ODC851979:ODC852056 ODC917515:ODC917592 ODC983051:ODC983128 OMY2:OMY88 OMY65547:OMY65624 OMY131083:OMY131160 OMY196619:OMY196696 OMY262155:OMY262232 OMY327691:OMY327768 OMY393227:OMY393304 OMY458763:OMY458840 OMY524299:OMY524376 OMY589835:OMY589912 OMY655371:OMY655448 OMY720907:OMY720984 OMY786443:OMY786520 OMY851979:OMY852056 OMY917515:OMY917592 OMY983051:OMY983128 OWU2:OWU88 OWU65547:OWU65624 OWU131083:OWU131160 OWU196619:OWU196696 OWU262155:OWU262232 OWU327691:OWU327768 OWU393227:OWU393304 OWU458763:OWU458840 OWU524299:OWU524376 OWU589835:OWU589912 OWU655371:OWU655448 OWU720907:OWU720984 OWU786443:OWU786520 OWU851979:OWU852056 OWU917515:OWU917592 OWU983051:OWU983128 PGQ2:PGQ88 PGQ65547:PGQ65624 PGQ131083:PGQ131160 PGQ196619:PGQ196696 PGQ262155:PGQ262232 PGQ327691:PGQ327768 PGQ393227:PGQ393304 PGQ458763:PGQ458840 PGQ524299:PGQ524376 PGQ589835:PGQ589912 PGQ655371:PGQ655448 PGQ720907:PGQ720984 PGQ786443:PGQ786520 PGQ851979:PGQ852056 PGQ917515:PGQ917592 PGQ983051:PGQ983128 PQM2:PQM88 PQM65547:PQM65624 PQM131083:PQM131160 PQM196619:PQM196696 PQM262155:PQM262232 PQM327691:PQM327768 PQM393227:PQM393304 PQM458763:PQM458840 PQM524299:PQM524376 PQM589835:PQM589912 PQM655371:PQM655448 PQM720907:PQM720984 PQM786443:PQM786520 PQM851979:PQM852056 PQM917515:PQM917592 PQM983051:PQM983128 QAI2:QAI88 QAI65547:QAI65624 QAI131083:QAI131160 QAI196619:QAI196696 QAI262155:QAI262232 QAI327691:QAI327768 QAI393227:QAI393304 QAI458763:QAI458840 QAI524299:QAI524376 QAI589835:QAI589912 QAI655371:QAI655448 QAI720907:QAI720984 QAI786443:QAI786520 QAI851979:QAI852056 QAI917515:QAI917592 QAI983051:QAI983128 QKE2:QKE88 QKE65547:QKE65624 QKE131083:QKE131160 QKE196619:QKE196696 QKE262155:QKE262232 QKE327691:QKE327768 QKE393227:QKE393304 QKE458763:QKE458840 QKE524299:QKE524376 QKE589835:QKE589912 QKE655371:QKE655448 QKE720907:QKE720984 QKE786443:QKE786520 QKE851979:QKE852056 QKE917515:QKE917592 QKE983051:QKE983128 QUA2:QUA88 QUA65547:QUA65624 QUA131083:QUA131160 QUA196619:QUA196696 QUA262155:QUA262232 QUA327691:QUA327768 QUA393227:QUA393304 QUA458763:QUA458840 QUA524299:QUA524376 QUA589835:QUA589912 QUA655371:QUA655448 QUA720907:QUA720984 QUA786443:QUA786520 QUA851979:QUA852056 QUA917515:QUA917592 QUA983051:QUA983128 RDW2:RDW88 RDW65547:RDW65624 RDW131083:RDW131160 RDW196619:RDW196696 RDW262155:RDW262232 RDW327691:RDW327768 RDW393227:RDW393304 RDW458763:RDW458840 RDW524299:RDW524376 RDW589835:RDW589912 RDW655371:RDW655448 RDW720907:RDW720984 RDW786443:RDW786520 RDW851979:RDW852056 RDW917515:RDW917592 RDW983051:RDW983128 RNS2:RNS88 RNS65547:RNS65624 RNS131083:RNS131160 RNS196619:RNS196696 RNS262155:RNS262232 RNS327691:RNS327768 RNS393227:RNS393304 RNS458763:RNS458840 RNS524299:RNS524376 RNS589835:RNS589912 RNS655371:RNS655448 RNS720907:RNS720984 RNS786443:RNS786520 RNS851979:RNS852056 RNS917515:RNS917592 RNS983051:RNS983128 RXO2:RXO88 RXO65547:RXO65624 RXO131083:RXO131160 RXO196619:RXO196696 RXO262155:RXO262232 RXO327691:RXO327768 RXO393227:RXO393304 RXO458763:RXO458840 RXO524299:RXO524376 RXO589835:RXO589912 RXO655371:RXO655448 RXO720907:RXO720984 RXO786443:RXO786520 RXO851979:RXO852056 RXO917515:RXO917592 RXO983051:RXO983128 SHK2:SHK88 SHK65547:SHK65624 SHK131083:SHK131160 SHK196619:SHK196696 SHK262155:SHK262232 SHK327691:SHK327768 SHK393227:SHK393304 SHK458763:SHK458840 SHK524299:SHK524376 SHK589835:SHK589912 SHK655371:SHK655448 SHK720907:SHK720984 SHK786443:SHK786520 SHK851979:SHK852056 SHK917515:SHK917592 SHK983051:SHK983128 SRG2:SRG88 SRG65547:SRG65624 SRG131083:SRG131160 SRG196619:SRG196696 SRG262155:SRG262232 SRG327691:SRG327768 SRG393227:SRG393304 SRG458763:SRG458840 SRG524299:SRG524376 SRG589835:SRG589912 SRG655371:SRG655448 SRG720907:SRG720984 SRG786443:SRG786520 SRG851979:SRG852056 SRG917515:SRG917592 SRG983051:SRG983128 TBC2:TBC88 TBC65547:TBC65624 TBC131083:TBC131160 TBC196619:TBC196696 TBC262155:TBC262232 TBC327691:TBC327768 TBC393227:TBC393304 TBC458763:TBC458840 TBC524299:TBC524376 TBC589835:TBC589912 TBC655371:TBC655448 TBC720907:TBC720984 TBC786443:TBC786520 TBC851979:TBC852056 TBC917515:TBC917592 TBC983051:TBC983128 TKY2:TKY88 TKY65547:TKY65624 TKY131083:TKY131160 TKY196619:TKY196696 TKY262155:TKY262232 TKY327691:TKY327768 TKY393227:TKY393304 TKY458763:TKY458840 TKY524299:TKY524376 TKY589835:TKY589912 TKY655371:TKY655448 TKY720907:TKY720984 TKY786443:TKY786520 TKY851979:TKY852056 TKY917515:TKY917592 TKY983051:TKY983128 TUU2:TUU88 TUU65547:TUU65624 TUU131083:TUU131160 TUU196619:TUU196696 TUU262155:TUU262232 TUU327691:TUU327768 TUU393227:TUU393304 TUU458763:TUU458840 TUU524299:TUU524376 TUU589835:TUU589912 TUU655371:TUU655448 TUU720907:TUU720984 TUU786443:TUU786520 TUU851979:TUU852056 TUU917515:TUU917592 TUU983051:TUU983128 UEQ2:UEQ88 UEQ65547:UEQ65624 UEQ131083:UEQ131160 UEQ196619:UEQ196696 UEQ262155:UEQ262232 UEQ327691:UEQ327768 UEQ393227:UEQ393304 UEQ458763:UEQ458840 UEQ524299:UEQ524376 UEQ589835:UEQ589912 UEQ655371:UEQ655448 UEQ720907:UEQ720984 UEQ786443:UEQ786520 UEQ851979:UEQ852056 UEQ917515:UEQ917592 UEQ983051:UEQ983128 UOM2:UOM88 UOM65547:UOM65624 UOM131083:UOM131160 UOM196619:UOM196696 UOM262155:UOM262232 UOM327691:UOM327768 UOM393227:UOM393304 UOM458763:UOM458840 UOM524299:UOM524376 UOM589835:UOM589912 UOM655371:UOM655448 UOM720907:UOM720984 UOM786443:UOM786520 UOM851979:UOM852056 UOM917515:UOM917592 UOM983051:UOM983128 UYI2:UYI88 UYI65547:UYI65624 UYI131083:UYI131160 UYI196619:UYI196696 UYI262155:UYI262232 UYI327691:UYI327768 UYI393227:UYI393304 UYI458763:UYI458840 UYI524299:UYI524376 UYI589835:UYI589912 UYI655371:UYI655448 UYI720907:UYI720984 UYI786443:UYI786520 UYI851979:UYI852056 UYI917515:UYI917592 UYI983051:UYI983128 VIE2:VIE88 VIE65547:VIE65624 VIE131083:VIE131160 VIE196619:VIE196696 VIE262155:VIE262232 VIE327691:VIE327768 VIE393227:VIE393304 VIE458763:VIE458840 VIE524299:VIE524376 VIE589835:VIE589912 VIE655371:VIE655448 VIE720907:VIE720984 VIE786443:VIE786520 VIE851979:VIE852056 VIE917515:VIE917592 VIE983051:VIE983128 VSA2:VSA88 VSA65547:VSA65624 VSA131083:VSA131160 VSA196619:VSA196696 VSA262155:VSA262232 VSA327691:VSA327768 VSA393227:VSA393304 VSA458763:VSA458840 VSA524299:VSA524376 VSA589835:VSA589912 VSA655371:VSA655448 VSA720907:VSA720984 VSA786443:VSA786520 VSA851979:VSA852056 VSA917515:VSA917592 VSA983051:VSA983128 WBW2:WBW88 WBW65547:WBW65624 WBW131083:WBW131160 WBW196619:WBW196696 WBW262155:WBW262232 WBW327691:WBW327768 WBW393227:WBW393304 WBW458763:WBW458840 WBW524299:WBW524376 WBW589835:WBW589912 WBW655371:WBW655448 WBW720907:WBW720984 WBW786443:WBW786520 WBW851979:WBW852056 WBW917515:WBW917592 WBW983051:WBW983128 WLS2:WLS88 WLS65547:WLS65624 WLS131083:WLS131160 WLS196619:WLS196696 WLS262155:WLS262232 WLS327691:WLS327768 WLS393227:WLS393304 WLS458763:WLS458840 WLS524299:WLS524376 WLS589835:WLS589912 WLS655371:WLS655448 WLS720907:WLS720984 WLS786443:WLS786520 WLS851979:WLS852056 WLS917515:WLS917592 WLS983051:WLS983128 WVO2:WVO88 WVO65547:WVO65624 WVO131083:WVO131160 WVO196619:WVO196696 WVO262155:WVO262232 WVO327691:WVO327768 WVO393227:WVO393304 WVO458763:WVO458840 WVO524299:WVO524376 WVO589835:WVO589912 WVO655371:WVO655448 WVO720907:WVO720984 WVO786443:WVO786520 WVO851979:WVO852056 WVO917515:WVO917592 WVO983051:WVO983128" xr:uid="{7BDE6A6D-4156-41C2-B75C-C64F583F30E7}">
      <formula1>$AJ$2:$AJ$4</formula1>
    </dataValidation>
    <dataValidation type="list" allowBlank="1" showInputMessage="1" showErrorMessage="1" sqref="J2:J1009" xr:uid="{240190E6-01CF-4528-9358-E2BD8B2EE4BE}">
      <formula1>$AP$2:$AP$41</formula1>
    </dataValidation>
    <dataValidation type="list" allowBlank="1" showInputMessage="1" showErrorMessage="1" sqref="A2:A509 A65547:A65624 A131083:A131160 A196619:A196696 A262155:A262232 A327691:A327768 A393227:A393304 A458763:A458840 A524299:A524376 A589835:A589912 A655371:A655448 A720907:A720984 A786443:A786520 A851979:A852056 A917515:A917592 A983051:A983128 IW2:IW88 IW65547:IW65624 IW131083:IW131160 IW196619:IW196696 IW262155:IW262232 IW327691:IW327768 IW393227:IW393304 IW458763:IW458840 IW524299:IW524376 IW589835:IW589912 IW655371:IW655448 IW720907:IW720984 IW786443:IW786520 IW851979:IW852056 IW917515:IW917592 IW983051:IW983128 SS2:SS88 SS65547:SS65624 SS131083:SS131160 SS196619:SS196696 SS262155:SS262232 SS327691:SS327768 SS393227:SS393304 SS458763:SS458840 SS524299:SS524376 SS589835:SS589912 SS655371:SS655448 SS720907:SS720984 SS786443:SS786520 SS851979:SS852056 SS917515:SS917592 SS983051:SS983128 ACO2:ACO88 ACO65547:ACO65624 ACO131083:ACO131160 ACO196619:ACO196696 ACO262155:ACO262232 ACO327691:ACO327768 ACO393227:ACO393304 ACO458763:ACO458840 ACO524299:ACO524376 ACO589835:ACO589912 ACO655371:ACO655448 ACO720907:ACO720984 ACO786443:ACO786520 ACO851979:ACO852056 ACO917515:ACO917592 ACO983051:ACO983128 AMK2:AMK88 AMK65547:AMK65624 AMK131083:AMK131160 AMK196619:AMK196696 AMK262155:AMK262232 AMK327691:AMK327768 AMK393227:AMK393304 AMK458763:AMK458840 AMK524299:AMK524376 AMK589835:AMK589912 AMK655371:AMK655448 AMK720907:AMK720984 AMK786443:AMK786520 AMK851979:AMK852056 AMK917515:AMK917592 AMK983051:AMK983128 AWG2:AWG88 AWG65547:AWG65624 AWG131083:AWG131160 AWG196619:AWG196696 AWG262155:AWG262232 AWG327691:AWG327768 AWG393227:AWG393304 AWG458763:AWG458840 AWG524299:AWG524376 AWG589835:AWG589912 AWG655371:AWG655448 AWG720907:AWG720984 AWG786443:AWG786520 AWG851979:AWG852056 AWG917515:AWG917592 AWG983051:AWG983128 BGC2:BGC88 BGC65547:BGC65624 BGC131083:BGC131160 BGC196619:BGC196696 BGC262155:BGC262232 BGC327691:BGC327768 BGC393227:BGC393304 BGC458763:BGC458840 BGC524299:BGC524376 BGC589835:BGC589912 BGC655371:BGC655448 BGC720907:BGC720984 BGC786443:BGC786520 BGC851979:BGC852056 BGC917515:BGC917592 BGC983051:BGC983128 BPY2:BPY88 BPY65547:BPY65624 BPY131083:BPY131160 BPY196619:BPY196696 BPY262155:BPY262232 BPY327691:BPY327768 BPY393227:BPY393304 BPY458763:BPY458840 BPY524299:BPY524376 BPY589835:BPY589912 BPY655371:BPY655448 BPY720907:BPY720984 BPY786443:BPY786520 BPY851979:BPY852056 BPY917515:BPY917592 BPY983051:BPY983128 BZU2:BZU88 BZU65547:BZU65624 BZU131083:BZU131160 BZU196619:BZU196696 BZU262155:BZU262232 BZU327691:BZU327768 BZU393227:BZU393304 BZU458763:BZU458840 BZU524299:BZU524376 BZU589835:BZU589912 BZU655371:BZU655448 BZU720907:BZU720984 BZU786443:BZU786520 BZU851979:BZU852056 BZU917515:BZU917592 BZU983051:BZU983128 CJQ2:CJQ88 CJQ65547:CJQ65624 CJQ131083:CJQ131160 CJQ196619:CJQ196696 CJQ262155:CJQ262232 CJQ327691:CJQ327768 CJQ393227:CJQ393304 CJQ458763:CJQ458840 CJQ524299:CJQ524376 CJQ589835:CJQ589912 CJQ655371:CJQ655448 CJQ720907:CJQ720984 CJQ786443:CJQ786520 CJQ851979:CJQ852056 CJQ917515:CJQ917592 CJQ983051:CJQ983128 CTM2:CTM88 CTM65547:CTM65624 CTM131083:CTM131160 CTM196619:CTM196696 CTM262155:CTM262232 CTM327691:CTM327768 CTM393227:CTM393304 CTM458763:CTM458840 CTM524299:CTM524376 CTM589835:CTM589912 CTM655371:CTM655448 CTM720907:CTM720984 CTM786443:CTM786520 CTM851979:CTM852056 CTM917515:CTM917592 CTM983051:CTM983128 DDI2:DDI88 DDI65547:DDI65624 DDI131083:DDI131160 DDI196619:DDI196696 DDI262155:DDI262232 DDI327691:DDI327768 DDI393227:DDI393304 DDI458763:DDI458840 DDI524299:DDI524376 DDI589835:DDI589912 DDI655371:DDI655448 DDI720907:DDI720984 DDI786443:DDI786520 DDI851979:DDI852056 DDI917515:DDI917592 DDI983051:DDI983128 DNE2:DNE88 DNE65547:DNE65624 DNE131083:DNE131160 DNE196619:DNE196696 DNE262155:DNE262232 DNE327691:DNE327768 DNE393227:DNE393304 DNE458763:DNE458840 DNE524299:DNE524376 DNE589835:DNE589912 DNE655371:DNE655448 DNE720907:DNE720984 DNE786443:DNE786520 DNE851979:DNE852056 DNE917515:DNE917592 DNE983051:DNE983128 DXA2:DXA88 DXA65547:DXA65624 DXA131083:DXA131160 DXA196619:DXA196696 DXA262155:DXA262232 DXA327691:DXA327768 DXA393227:DXA393304 DXA458763:DXA458840 DXA524299:DXA524376 DXA589835:DXA589912 DXA655371:DXA655448 DXA720907:DXA720984 DXA786443:DXA786520 DXA851979:DXA852056 DXA917515:DXA917592 DXA983051:DXA983128 EGW2:EGW88 EGW65547:EGW65624 EGW131083:EGW131160 EGW196619:EGW196696 EGW262155:EGW262232 EGW327691:EGW327768 EGW393227:EGW393304 EGW458763:EGW458840 EGW524299:EGW524376 EGW589835:EGW589912 EGW655371:EGW655448 EGW720907:EGW720984 EGW786443:EGW786520 EGW851979:EGW852056 EGW917515:EGW917592 EGW983051:EGW983128 EQS2:EQS88 EQS65547:EQS65624 EQS131083:EQS131160 EQS196619:EQS196696 EQS262155:EQS262232 EQS327691:EQS327768 EQS393227:EQS393304 EQS458763:EQS458840 EQS524299:EQS524376 EQS589835:EQS589912 EQS655371:EQS655448 EQS720907:EQS720984 EQS786443:EQS786520 EQS851979:EQS852056 EQS917515:EQS917592 EQS983051:EQS983128 FAO2:FAO88 FAO65547:FAO65624 FAO131083:FAO131160 FAO196619:FAO196696 FAO262155:FAO262232 FAO327691:FAO327768 FAO393227:FAO393304 FAO458763:FAO458840 FAO524299:FAO524376 FAO589835:FAO589912 FAO655371:FAO655448 FAO720907:FAO720984 FAO786443:FAO786520 FAO851979:FAO852056 FAO917515:FAO917592 FAO983051:FAO983128 FKK2:FKK88 FKK65547:FKK65624 FKK131083:FKK131160 FKK196619:FKK196696 FKK262155:FKK262232 FKK327691:FKK327768 FKK393227:FKK393304 FKK458763:FKK458840 FKK524299:FKK524376 FKK589835:FKK589912 FKK655371:FKK655448 FKK720907:FKK720984 FKK786443:FKK786520 FKK851979:FKK852056 FKK917515:FKK917592 FKK983051:FKK983128 FUG2:FUG88 FUG65547:FUG65624 FUG131083:FUG131160 FUG196619:FUG196696 FUG262155:FUG262232 FUG327691:FUG327768 FUG393227:FUG393304 FUG458763:FUG458840 FUG524299:FUG524376 FUG589835:FUG589912 FUG655371:FUG655448 FUG720907:FUG720984 FUG786443:FUG786520 FUG851979:FUG852056 FUG917515:FUG917592 FUG983051:FUG983128 GEC2:GEC88 GEC65547:GEC65624 GEC131083:GEC131160 GEC196619:GEC196696 GEC262155:GEC262232 GEC327691:GEC327768 GEC393227:GEC393304 GEC458763:GEC458840 GEC524299:GEC524376 GEC589835:GEC589912 GEC655371:GEC655448 GEC720907:GEC720984 GEC786443:GEC786520 GEC851979:GEC852056 GEC917515:GEC917592 GEC983051:GEC983128 GNY2:GNY88 GNY65547:GNY65624 GNY131083:GNY131160 GNY196619:GNY196696 GNY262155:GNY262232 GNY327691:GNY327768 GNY393227:GNY393304 GNY458763:GNY458840 GNY524299:GNY524376 GNY589835:GNY589912 GNY655371:GNY655448 GNY720907:GNY720984 GNY786443:GNY786520 GNY851979:GNY852056 GNY917515:GNY917592 GNY983051:GNY983128 GXU2:GXU88 GXU65547:GXU65624 GXU131083:GXU131160 GXU196619:GXU196696 GXU262155:GXU262232 GXU327691:GXU327768 GXU393227:GXU393304 GXU458763:GXU458840 GXU524299:GXU524376 GXU589835:GXU589912 GXU655371:GXU655448 GXU720907:GXU720984 GXU786443:GXU786520 GXU851979:GXU852056 GXU917515:GXU917592 GXU983051:GXU983128 HHQ2:HHQ88 HHQ65547:HHQ65624 HHQ131083:HHQ131160 HHQ196619:HHQ196696 HHQ262155:HHQ262232 HHQ327691:HHQ327768 HHQ393227:HHQ393304 HHQ458763:HHQ458840 HHQ524299:HHQ524376 HHQ589835:HHQ589912 HHQ655371:HHQ655448 HHQ720907:HHQ720984 HHQ786443:HHQ786520 HHQ851979:HHQ852056 HHQ917515:HHQ917592 HHQ983051:HHQ983128 HRM2:HRM88 HRM65547:HRM65624 HRM131083:HRM131160 HRM196619:HRM196696 HRM262155:HRM262232 HRM327691:HRM327768 HRM393227:HRM393304 HRM458763:HRM458840 HRM524299:HRM524376 HRM589835:HRM589912 HRM655371:HRM655448 HRM720907:HRM720984 HRM786443:HRM786520 HRM851979:HRM852056 HRM917515:HRM917592 HRM983051:HRM983128 IBI2:IBI88 IBI65547:IBI65624 IBI131083:IBI131160 IBI196619:IBI196696 IBI262155:IBI262232 IBI327691:IBI327768 IBI393227:IBI393304 IBI458763:IBI458840 IBI524299:IBI524376 IBI589835:IBI589912 IBI655371:IBI655448 IBI720907:IBI720984 IBI786443:IBI786520 IBI851979:IBI852056 IBI917515:IBI917592 IBI983051:IBI983128 ILE2:ILE88 ILE65547:ILE65624 ILE131083:ILE131160 ILE196619:ILE196696 ILE262155:ILE262232 ILE327691:ILE327768 ILE393227:ILE393304 ILE458763:ILE458840 ILE524299:ILE524376 ILE589835:ILE589912 ILE655371:ILE655448 ILE720907:ILE720984 ILE786443:ILE786520 ILE851979:ILE852056 ILE917515:ILE917592 ILE983051:ILE983128 IVA2:IVA88 IVA65547:IVA65624 IVA131083:IVA131160 IVA196619:IVA196696 IVA262155:IVA262232 IVA327691:IVA327768 IVA393227:IVA393304 IVA458763:IVA458840 IVA524299:IVA524376 IVA589835:IVA589912 IVA655371:IVA655448 IVA720907:IVA720984 IVA786443:IVA786520 IVA851979:IVA852056 IVA917515:IVA917592 IVA983051:IVA983128 JEW2:JEW88 JEW65547:JEW65624 JEW131083:JEW131160 JEW196619:JEW196696 JEW262155:JEW262232 JEW327691:JEW327768 JEW393227:JEW393304 JEW458763:JEW458840 JEW524299:JEW524376 JEW589835:JEW589912 JEW655371:JEW655448 JEW720907:JEW720984 JEW786443:JEW786520 JEW851979:JEW852056 JEW917515:JEW917592 JEW983051:JEW983128 JOS2:JOS88 JOS65547:JOS65624 JOS131083:JOS131160 JOS196619:JOS196696 JOS262155:JOS262232 JOS327691:JOS327768 JOS393227:JOS393304 JOS458763:JOS458840 JOS524299:JOS524376 JOS589835:JOS589912 JOS655371:JOS655448 JOS720907:JOS720984 JOS786443:JOS786520 JOS851979:JOS852056 JOS917515:JOS917592 JOS983051:JOS983128 JYO2:JYO88 JYO65547:JYO65624 JYO131083:JYO131160 JYO196619:JYO196696 JYO262155:JYO262232 JYO327691:JYO327768 JYO393227:JYO393304 JYO458763:JYO458840 JYO524299:JYO524376 JYO589835:JYO589912 JYO655371:JYO655448 JYO720907:JYO720984 JYO786443:JYO786520 JYO851979:JYO852056 JYO917515:JYO917592 JYO983051:JYO983128 KIK2:KIK88 KIK65547:KIK65624 KIK131083:KIK131160 KIK196619:KIK196696 KIK262155:KIK262232 KIK327691:KIK327768 KIK393227:KIK393304 KIK458763:KIK458840 KIK524299:KIK524376 KIK589835:KIK589912 KIK655371:KIK655448 KIK720907:KIK720984 KIK786443:KIK786520 KIK851979:KIK852056 KIK917515:KIK917592 KIK983051:KIK983128 KSG2:KSG88 KSG65547:KSG65624 KSG131083:KSG131160 KSG196619:KSG196696 KSG262155:KSG262232 KSG327691:KSG327768 KSG393227:KSG393304 KSG458763:KSG458840 KSG524299:KSG524376 KSG589835:KSG589912 KSG655371:KSG655448 KSG720907:KSG720984 KSG786443:KSG786520 KSG851979:KSG852056 KSG917515:KSG917592 KSG983051:KSG983128 LCC2:LCC88 LCC65547:LCC65624 LCC131083:LCC131160 LCC196619:LCC196696 LCC262155:LCC262232 LCC327691:LCC327768 LCC393227:LCC393304 LCC458763:LCC458840 LCC524299:LCC524376 LCC589835:LCC589912 LCC655371:LCC655448 LCC720907:LCC720984 LCC786443:LCC786520 LCC851979:LCC852056 LCC917515:LCC917592 LCC983051:LCC983128 LLY2:LLY88 LLY65547:LLY65624 LLY131083:LLY131160 LLY196619:LLY196696 LLY262155:LLY262232 LLY327691:LLY327768 LLY393227:LLY393304 LLY458763:LLY458840 LLY524299:LLY524376 LLY589835:LLY589912 LLY655371:LLY655448 LLY720907:LLY720984 LLY786443:LLY786520 LLY851979:LLY852056 LLY917515:LLY917592 LLY983051:LLY983128 LVU2:LVU88 LVU65547:LVU65624 LVU131083:LVU131160 LVU196619:LVU196696 LVU262155:LVU262232 LVU327691:LVU327768 LVU393227:LVU393304 LVU458763:LVU458840 LVU524299:LVU524376 LVU589835:LVU589912 LVU655371:LVU655448 LVU720907:LVU720984 LVU786443:LVU786520 LVU851979:LVU852056 LVU917515:LVU917592 LVU983051:LVU983128 MFQ2:MFQ88 MFQ65547:MFQ65624 MFQ131083:MFQ131160 MFQ196619:MFQ196696 MFQ262155:MFQ262232 MFQ327691:MFQ327768 MFQ393227:MFQ393304 MFQ458763:MFQ458840 MFQ524299:MFQ524376 MFQ589835:MFQ589912 MFQ655371:MFQ655448 MFQ720907:MFQ720984 MFQ786443:MFQ786520 MFQ851979:MFQ852056 MFQ917515:MFQ917592 MFQ983051:MFQ983128 MPM2:MPM88 MPM65547:MPM65624 MPM131083:MPM131160 MPM196619:MPM196696 MPM262155:MPM262232 MPM327691:MPM327768 MPM393227:MPM393304 MPM458763:MPM458840 MPM524299:MPM524376 MPM589835:MPM589912 MPM655371:MPM655448 MPM720907:MPM720984 MPM786443:MPM786520 MPM851979:MPM852056 MPM917515:MPM917592 MPM983051:MPM983128 MZI2:MZI88 MZI65547:MZI65624 MZI131083:MZI131160 MZI196619:MZI196696 MZI262155:MZI262232 MZI327691:MZI327768 MZI393227:MZI393304 MZI458763:MZI458840 MZI524299:MZI524376 MZI589835:MZI589912 MZI655371:MZI655448 MZI720907:MZI720984 MZI786443:MZI786520 MZI851979:MZI852056 MZI917515:MZI917592 MZI983051:MZI983128 NJE2:NJE88 NJE65547:NJE65624 NJE131083:NJE131160 NJE196619:NJE196696 NJE262155:NJE262232 NJE327691:NJE327768 NJE393227:NJE393304 NJE458763:NJE458840 NJE524299:NJE524376 NJE589835:NJE589912 NJE655371:NJE655448 NJE720907:NJE720984 NJE786443:NJE786520 NJE851979:NJE852056 NJE917515:NJE917592 NJE983051:NJE983128 NTA2:NTA88 NTA65547:NTA65624 NTA131083:NTA131160 NTA196619:NTA196696 NTA262155:NTA262232 NTA327691:NTA327768 NTA393227:NTA393304 NTA458763:NTA458840 NTA524299:NTA524376 NTA589835:NTA589912 NTA655371:NTA655448 NTA720907:NTA720984 NTA786443:NTA786520 NTA851979:NTA852056 NTA917515:NTA917592 NTA983051:NTA983128 OCW2:OCW88 OCW65547:OCW65624 OCW131083:OCW131160 OCW196619:OCW196696 OCW262155:OCW262232 OCW327691:OCW327768 OCW393227:OCW393304 OCW458763:OCW458840 OCW524299:OCW524376 OCW589835:OCW589912 OCW655371:OCW655448 OCW720907:OCW720984 OCW786443:OCW786520 OCW851979:OCW852056 OCW917515:OCW917592 OCW983051:OCW983128 OMS2:OMS88 OMS65547:OMS65624 OMS131083:OMS131160 OMS196619:OMS196696 OMS262155:OMS262232 OMS327691:OMS327768 OMS393227:OMS393304 OMS458763:OMS458840 OMS524299:OMS524376 OMS589835:OMS589912 OMS655371:OMS655448 OMS720907:OMS720984 OMS786443:OMS786520 OMS851979:OMS852056 OMS917515:OMS917592 OMS983051:OMS983128 OWO2:OWO88 OWO65547:OWO65624 OWO131083:OWO131160 OWO196619:OWO196696 OWO262155:OWO262232 OWO327691:OWO327768 OWO393227:OWO393304 OWO458763:OWO458840 OWO524299:OWO524376 OWO589835:OWO589912 OWO655371:OWO655448 OWO720907:OWO720984 OWO786443:OWO786520 OWO851979:OWO852056 OWO917515:OWO917592 OWO983051:OWO983128 PGK2:PGK88 PGK65547:PGK65624 PGK131083:PGK131160 PGK196619:PGK196696 PGK262155:PGK262232 PGK327691:PGK327768 PGK393227:PGK393304 PGK458763:PGK458840 PGK524299:PGK524376 PGK589835:PGK589912 PGK655371:PGK655448 PGK720907:PGK720984 PGK786443:PGK786520 PGK851979:PGK852056 PGK917515:PGK917592 PGK983051:PGK983128 PQG2:PQG88 PQG65547:PQG65624 PQG131083:PQG131160 PQG196619:PQG196696 PQG262155:PQG262232 PQG327691:PQG327768 PQG393227:PQG393304 PQG458763:PQG458840 PQG524299:PQG524376 PQG589835:PQG589912 PQG655371:PQG655448 PQG720907:PQG720984 PQG786443:PQG786520 PQG851979:PQG852056 PQG917515:PQG917592 PQG983051:PQG983128 QAC2:QAC88 QAC65547:QAC65624 QAC131083:QAC131160 QAC196619:QAC196696 QAC262155:QAC262232 QAC327691:QAC327768 QAC393227:QAC393304 QAC458763:QAC458840 QAC524299:QAC524376 QAC589835:QAC589912 QAC655371:QAC655448 QAC720907:QAC720984 QAC786443:QAC786520 QAC851979:QAC852056 QAC917515:QAC917592 QAC983051:QAC983128 QJY2:QJY88 QJY65547:QJY65624 QJY131083:QJY131160 QJY196619:QJY196696 QJY262155:QJY262232 QJY327691:QJY327768 QJY393227:QJY393304 QJY458763:QJY458840 QJY524299:QJY524376 QJY589835:QJY589912 QJY655371:QJY655448 QJY720907:QJY720984 QJY786443:QJY786520 QJY851979:QJY852056 QJY917515:QJY917592 QJY983051:QJY983128 QTU2:QTU88 QTU65547:QTU65624 QTU131083:QTU131160 QTU196619:QTU196696 QTU262155:QTU262232 QTU327691:QTU327768 QTU393227:QTU393304 QTU458763:QTU458840 QTU524299:QTU524376 QTU589835:QTU589912 QTU655371:QTU655448 QTU720907:QTU720984 QTU786443:QTU786520 QTU851979:QTU852056 QTU917515:QTU917592 QTU983051:QTU983128 RDQ2:RDQ88 RDQ65547:RDQ65624 RDQ131083:RDQ131160 RDQ196619:RDQ196696 RDQ262155:RDQ262232 RDQ327691:RDQ327768 RDQ393227:RDQ393304 RDQ458763:RDQ458840 RDQ524299:RDQ524376 RDQ589835:RDQ589912 RDQ655371:RDQ655448 RDQ720907:RDQ720984 RDQ786443:RDQ786520 RDQ851979:RDQ852056 RDQ917515:RDQ917592 RDQ983051:RDQ983128 RNM2:RNM88 RNM65547:RNM65624 RNM131083:RNM131160 RNM196619:RNM196696 RNM262155:RNM262232 RNM327691:RNM327768 RNM393227:RNM393304 RNM458763:RNM458840 RNM524299:RNM524376 RNM589835:RNM589912 RNM655371:RNM655448 RNM720907:RNM720984 RNM786443:RNM786520 RNM851979:RNM852056 RNM917515:RNM917592 RNM983051:RNM983128 RXI2:RXI88 RXI65547:RXI65624 RXI131083:RXI131160 RXI196619:RXI196696 RXI262155:RXI262232 RXI327691:RXI327768 RXI393227:RXI393304 RXI458763:RXI458840 RXI524299:RXI524376 RXI589835:RXI589912 RXI655371:RXI655448 RXI720907:RXI720984 RXI786443:RXI786520 RXI851979:RXI852056 RXI917515:RXI917592 RXI983051:RXI983128 SHE2:SHE88 SHE65547:SHE65624 SHE131083:SHE131160 SHE196619:SHE196696 SHE262155:SHE262232 SHE327691:SHE327768 SHE393227:SHE393304 SHE458763:SHE458840 SHE524299:SHE524376 SHE589835:SHE589912 SHE655371:SHE655448 SHE720907:SHE720984 SHE786443:SHE786520 SHE851979:SHE852056 SHE917515:SHE917592 SHE983051:SHE983128 SRA2:SRA88 SRA65547:SRA65624 SRA131083:SRA131160 SRA196619:SRA196696 SRA262155:SRA262232 SRA327691:SRA327768 SRA393227:SRA393304 SRA458763:SRA458840 SRA524299:SRA524376 SRA589835:SRA589912 SRA655371:SRA655448 SRA720907:SRA720984 SRA786443:SRA786520 SRA851979:SRA852056 SRA917515:SRA917592 SRA983051:SRA983128 TAW2:TAW88 TAW65547:TAW65624 TAW131083:TAW131160 TAW196619:TAW196696 TAW262155:TAW262232 TAW327691:TAW327768 TAW393227:TAW393304 TAW458763:TAW458840 TAW524299:TAW524376 TAW589835:TAW589912 TAW655371:TAW655448 TAW720907:TAW720984 TAW786443:TAW786520 TAW851979:TAW852056 TAW917515:TAW917592 TAW983051:TAW983128 TKS2:TKS88 TKS65547:TKS65624 TKS131083:TKS131160 TKS196619:TKS196696 TKS262155:TKS262232 TKS327691:TKS327768 TKS393227:TKS393304 TKS458763:TKS458840 TKS524299:TKS524376 TKS589835:TKS589912 TKS655371:TKS655448 TKS720907:TKS720984 TKS786443:TKS786520 TKS851979:TKS852056 TKS917515:TKS917592 TKS983051:TKS983128 TUO2:TUO88 TUO65547:TUO65624 TUO131083:TUO131160 TUO196619:TUO196696 TUO262155:TUO262232 TUO327691:TUO327768 TUO393227:TUO393304 TUO458763:TUO458840 TUO524299:TUO524376 TUO589835:TUO589912 TUO655371:TUO655448 TUO720907:TUO720984 TUO786443:TUO786520 TUO851979:TUO852056 TUO917515:TUO917592 TUO983051:TUO983128 UEK2:UEK88 UEK65547:UEK65624 UEK131083:UEK131160 UEK196619:UEK196696 UEK262155:UEK262232 UEK327691:UEK327768 UEK393227:UEK393304 UEK458763:UEK458840 UEK524299:UEK524376 UEK589835:UEK589912 UEK655371:UEK655448 UEK720907:UEK720984 UEK786443:UEK786520 UEK851979:UEK852056 UEK917515:UEK917592 UEK983051:UEK983128 UOG2:UOG88 UOG65547:UOG65624 UOG131083:UOG131160 UOG196619:UOG196696 UOG262155:UOG262232 UOG327691:UOG327768 UOG393227:UOG393304 UOG458763:UOG458840 UOG524299:UOG524376 UOG589835:UOG589912 UOG655371:UOG655448 UOG720907:UOG720984 UOG786443:UOG786520 UOG851979:UOG852056 UOG917515:UOG917592 UOG983051:UOG983128 UYC2:UYC88 UYC65547:UYC65624 UYC131083:UYC131160 UYC196619:UYC196696 UYC262155:UYC262232 UYC327691:UYC327768 UYC393227:UYC393304 UYC458763:UYC458840 UYC524299:UYC524376 UYC589835:UYC589912 UYC655371:UYC655448 UYC720907:UYC720984 UYC786443:UYC786520 UYC851979:UYC852056 UYC917515:UYC917592 UYC983051:UYC983128 VHY2:VHY88 VHY65547:VHY65624 VHY131083:VHY131160 VHY196619:VHY196696 VHY262155:VHY262232 VHY327691:VHY327768 VHY393227:VHY393304 VHY458763:VHY458840 VHY524299:VHY524376 VHY589835:VHY589912 VHY655371:VHY655448 VHY720907:VHY720984 VHY786443:VHY786520 VHY851979:VHY852056 VHY917515:VHY917592 VHY983051:VHY983128 VRU2:VRU88 VRU65547:VRU65624 VRU131083:VRU131160 VRU196619:VRU196696 VRU262155:VRU262232 VRU327691:VRU327768 VRU393227:VRU393304 VRU458763:VRU458840 VRU524299:VRU524376 VRU589835:VRU589912 VRU655371:VRU655448 VRU720907:VRU720984 VRU786443:VRU786520 VRU851979:VRU852056 VRU917515:VRU917592 VRU983051:VRU983128 WBQ2:WBQ88 WBQ65547:WBQ65624 WBQ131083:WBQ131160 WBQ196619:WBQ196696 WBQ262155:WBQ262232 WBQ327691:WBQ327768 WBQ393227:WBQ393304 WBQ458763:WBQ458840 WBQ524299:WBQ524376 WBQ589835:WBQ589912 WBQ655371:WBQ655448 WBQ720907:WBQ720984 WBQ786443:WBQ786520 WBQ851979:WBQ852056 WBQ917515:WBQ917592 WBQ983051:WBQ983128 WLM2:WLM88 WLM65547:WLM65624 WLM131083:WLM131160 WLM196619:WLM196696 WLM262155:WLM262232 WLM327691:WLM327768 WLM393227:WLM393304 WLM458763:WLM458840 WLM524299:WLM524376 WLM589835:WLM589912 WLM655371:WLM655448 WLM720907:WLM720984 WLM786443:WLM786520 WLM851979:WLM852056 WLM917515:WLM917592 WLM983051:WLM983128 WVI2:WVI88 WVI65547:WVI65624 WVI131083:WVI131160 WVI196619:WVI196696 WVI262155:WVI262232 WVI327691:WVI327768 WVI393227:WVI393304 WVI458763:WVI458840 WVI524299:WVI524376 WVI589835:WVI589912 WVI655371:WVI655448 WVI720907:WVI720984 WVI786443:WVI786520 WVI851979:WVI852056 WVI917515:WVI917592 WVI983051:WVI983128" xr:uid="{EFBA2F90-155D-4179-ADB1-BBEC2E76F54A}">
      <formula1>$AE$2:$AE$31</formula1>
    </dataValidation>
    <dataValidation type="list" allowBlank="1" showInputMessage="1" showErrorMessage="1" sqref="Z17:Z60 Y2:Y60 Z2:AA16 Y61:Z178 AA17:AA178 Y179:AA509" xr:uid="{EBD3AD40-1C3A-4501-B78D-F0ADEF3211ED}">
      <formula1>$AV$2:$AV$33</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7 IX65547 ST65547 ACP65547 AML65547 AWH65547 BGD65547 BPZ65547 BZV65547 CJR65547 CTN65547 DDJ65547 DNF65547 DXB65547 EGX65547 EQT65547 FAP65547 FKL65547 FUH65547 GED65547 GNZ65547 GXV65547 HHR65547 HRN65547 IBJ65547 ILF65547 IVB65547 JEX65547 JOT65547 JYP65547 KIL65547 KSH65547 LCD65547 LLZ65547 LVV65547 MFR65547 MPN65547 MZJ65547 NJF65547 NTB65547 OCX65547 OMT65547 OWP65547 PGL65547 PQH65547 QAD65547 QJZ65547 QTV65547 RDR65547 RNN65547 RXJ65547 SHF65547 SRB65547 TAX65547 TKT65547 TUP65547 UEL65547 UOH65547 UYD65547 VHZ65547 VRV65547 WBR65547 WLN65547 WVJ65547 B131083 IX131083 ST131083 ACP131083 AML131083 AWH131083 BGD131083 BPZ131083 BZV131083 CJR131083 CTN131083 DDJ131083 DNF131083 DXB131083 EGX131083 EQT131083 FAP131083 FKL131083 FUH131083 GED131083 GNZ131083 GXV131083 HHR131083 HRN131083 IBJ131083 ILF131083 IVB131083 JEX131083 JOT131083 JYP131083 KIL131083 KSH131083 LCD131083 LLZ131083 LVV131083 MFR131083 MPN131083 MZJ131083 NJF131083 NTB131083 OCX131083 OMT131083 OWP131083 PGL131083 PQH131083 QAD131083 QJZ131083 QTV131083 RDR131083 RNN131083 RXJ131083 SHF131083 SRB131083 TAX131083 TKT131083 TUP131083 UEL131083 UOH131083 UYD131083 VHZ131083 VRV131083 WBR131083 WLN131083 WVJ131083 B196619 IX196619 ST196619 ACP196619 AML196619 AWH196619 BGD196619 BPZ196619 BZV196619 CJR196619 CTN196619 DDJ196619 DNF196619 DXB196619 EGX196619 EQT196619 FAP196619 FKL196619 FUH196619 GED196619 GNZ196619 GXV196619 HHR196619 HRN196619 IBJ196619 ILF196619 IVB196619 JEX196619 JOT196619 JYP196619 KIL196619 KSH196619 LCD196619 LLZ196619 LVV196619 MFR196619 MPN196619 MZJ196619 NJF196619 NTB196619 OCX196619 OMT196619 OWP196619 PGL196619 PQH196619 QAD196619 QJZ196619 QTV196619 RDR196619 RNN196619 RXJ196619 SHF196619 SRB196619 TAX196619 TKT196619 TUP196619 UEL196619 UOH196619 UYD196619 VHZ196619 VRV196619 WBR196619 WLN196619 WVJ196619 B262155 IX262155 ST262155 ACP262155 AML262155 AWH262155 BGD262155 BPZ262155 BZV262155 CJR262155 CTN262155 DDJ262155 DNF262155 DXB262155 EGX262155 EQT262155 FAP262155 FKL262155 FUH262155 GED262155 GNZ262155 GXV262155 HHR262155 HRN262155 IBJ262155 ILF262155 IVB262155 JEX262155 JOT262155 JYP262155 KIL262155 KSH262155 LCD262155 LLZ262155 LVV262155 MFR262155 MPN262155 MZJ262155 NJF262155 NTB262155 OCX262155 OMT262155 OWP262155 PGL262155 PQH262155 QAD262155 QJZ262155 QTV262155 RDR262155 RNN262155 RXJ262155 SHF262155 SRB262155 TAX262155 TKT262155 TUP262155 UEL262155 UOH262155 UYD262155 VHZ262155 VRV262155 WBR262155 WLN262155 WVJ262155 B327691 IX327691 ST327691 ACP327691 AML327691 AWH327691 BGD327691 BPZ327691 BZV327691 CJR327691 CTN327691 DDJ327691 DNF327691 DXB327691 EGX327691 EQT327691 FAP327691 FKL327691 FUH327691 GED327691 GNZ327691 GXV327691 HHR327691 HRN327691 IBJ327691 ILF327691 IVB327691 JEX327691 JOT327691 JYP327691 KIL327691 KSH327691 LCD327691 LLZ327691 LVV327691 MFR327691 MPN327691 MZJ327691 NJF327691 NTB327691 OCX327691 OMT327691 OWP327691 PGL327691 PQH327691 QAD327691 QJZ327691 QTV327691 RDR327691 RNN327691 RXJ327691 SHF327691 SRB327691 TAX327691 TKT327691 TUP327691 UEL327691 UOH327691 UYD327691 VHZ327691 VRV327691 WBR327691 WLN327691 WVJ327691 B393227 IX393227 ST393227 ACP393227 AML393227 AWH393227 BGD393227 BPZ393227 BZV393227 CJR393227 CTN393227 DDJ393227 DNF393227 DXB393227 EGX393227 EQT393227 FAP393227 FKL393227 FUH393227 GED393227 GNZ393227 GXV393227 HHR393227 HRN393227 IBJ393227 ILF393227 IVB393227 JEX393227 JOT393227 JYP393227 KIL393227 KSH393227 LCD393227 LLZ393227 LVV393227 MFR393227 MPN393227 MZJ393227 NJF393227 NTB393227 OCX393227 OMT393227 OWP393227 PGL393227 PQH393227 QAD393227 QJZ393227 QTV393227 RDR393227 RNN393227 RXJ393227 SHF393227 SRB393227 TAX393227 TKT393227 TUP393227 UEL393227 UOH393227 UYD393227 VHZ393227 VRV393227 WBR393227 WLN393227 WVJ393227 B458763 IX458763 ST458763 ACP458763 AML458763 AWH458763 BGD458763 BPZ458763 BZV458763 CJR458763 CTN458763 DDJ458763 DNF458763 DXB458763 EGX458763 EQT458763 FAP458763 FKL458763 FUH458763 GED458763 GNZ458763 GXV458763 HHR458763 HRN458763 IBJ458763 ILF458763 IVB458763 JEX458763 JOT458763 JYP458763 KIL458763 KSH458763 LCD458763 LLZ458763 LVV458763 MFR458763 MPN458763 MZJ458763 NJF458763 NTB458763 OCX458763 OMT458763 OWP458763 PGL458763 PQH458763 QAD458763 QJZ458763 QTV458763 RDR458763 RNN458763 RXJ458763 SHF458763 SRB458763 TAX458763 TKT458763 TUP458763 UEL458763 UOH458763 UYD458763 VHZ458763 VRV458763 WBR458763 WLN458763 WVJ458763 B524299 IX524299 ST524299 ACP524299 AML524299 AWH524299 BGD524299 BPZ524299 BZV524299 CJR524299 CTN524299 DDJ524299 DNF524299 DXB524299 EGX524299 EQT524299 FAP524299 FKL524299 FUH524299 GED524299 GNZ524299 GXV524299 HHR524299 HRN524299 IBJ524299 ILF524299 IVB524299 JEX524299 JOT524299 JYP524299 KIL524299 KSH524299 LCD524299 LLZ524299 LVV524299 MFR524299 MPN524299 MZJ524299 NJF524299 NTB524299 OCX524299 OMT524299 OWP524299 PGL524299 PQH524299 QAD524299 QJZ524299 QTV524299 RDR524299 RNN524299 RXJ524299 SHF524299 SRB524299 TAX524299 TKT524299 TUP524299 UEL524299 UOH524299 UYD524299 VHZ524299 VRV524299 WBR524299 WLN524299 WVJ524299 B589835 IX589835 ST589835 ACP589835 AML589835 AWH589835 BGD589835 BPZ589835 BZV589835 CJR589835 CTN589835 DDJ589835 DNF589835 DXB589835 EGX589835 EQT589835 FAP589835 FKL589835 FUH589835 GED589835 GNZ589835 GXV589835 HHR589835 HRN589835 IBJ589835 ILF589835 IVB589835 JEX589835 JOT589835 JYP589835 KIL589835 KSH589835 LCD589835 LLZ589835 LVV589835 MFR589835 MPN589835 MZJ589835 NJF589835 NTB589835 OCX589835 OMT589835 OWP589835 PGL589835 PQH589835 QAD589835 QJZ589835 QTV589835 RDR589835 RNN589835 RXJ589835 SHF589835 SRB589835 TAX589835 TKT589835 TUP589835 UEL589835 UOH589835 UYD589835 VHZ589835 VRV589835 WBR589835 WLN589835 WVJ589835 B655371 IX655371 ST655371 ACP655371 AML655371 AWH655371 BGD655371 BPZ655371 BZV655371 CJR655371 CTN655371 DDJ655371 DNF655371 DXB655371 EGX655371 EQT655371 FAP655371 FKL655371 FUH655371 GED655371 GNZ655371 GXV655371 HHR655371 HRN655371 IBJ655371 ILF655371 IVB655371 JEX655371 JOT655371 JYP655371 KIL655371 KSH655371 LCD655371 LLZ655371 LVV655371 MFR655371 MPN655371 MZJ655371 NJF655371 NTB655371 OCX655371 OMT655371 OWP655371 PGL655371 PQH655371 QAD655371 QJZ655371 QTV655371 RDR655371 RNN655371 RXJ655371 SHF655371 SRB655371 TAX655371 TKT655371 TUP655371 UEL655371 UOH655371 UYD655371 VHZ655371 VRV655371 WBR655371 WLN655371 WVJ655371 B720907 IX720907 ST720907 ACP720907 AML720907 AWH720907 BGD720907 BPZ720907 BZV720907 CJR720907 CTN720907 DDJ720907 DNF720907 DXB720907 EGX720907 EQT720907 FAP720907 FKL720907 FUH720907 GED720907 GNZ720907 GXV720907 HHR720907 HRN720907 IBJ720907 ILF720907 IVB720907 JEX720907 JOT720907 JYP720907 KIL720907 KSH720907 LCD720907 LLZ720907 LVV720907 MFR720907 MPN720907 MZJ720907 NJF720907 NTB720907 OCX720907 OMT720907 OWP720907 PGL720907 PQH720907 QAD720907 QJZ720907 QTV720907 RDR720907 RNN720907 RXJ720907 SHF720907 SRB720907 TAX720907 TKT720907 TUP720907 UEL720907 UOH720907 UYD720907 VHZ720907 VRV720907 WBR720907 WLN720907 WVJ720907 B786443 IX786443 ST786443 ACP786443 AML786443 AWH786443 BGD786443 BPZ786443 BZV786443 CJR786443 CTN786443 DDJ786443 DNF786443 DXB786443 EGX786443 EQT786443 FAP786443 FKL786443 FUH786443 GED786443 GNZ786443 GXV786443 HHR786443 HRN786443 IBJ786443 ILF786443 IVB786443 JEX786443 JOT786443 JYP786443 KIL786443 KSH786443 LCD786443 LLZ786443 LVV786443 MFR786443 MPN786443 MZJ786443 NJF786443 NTB786443 OCX786443 OMT786443 OWP786443 PGL786443 PQH786443 QAD786443 QJZ786443 QTV786443 RDR786443 RNN786443 RXJ786443 SHF786443 SRB786443 TAX786443 TKT786443 TUP786443 UEL786443 UOH786443 UYD786443 VHZ786443 VRV786443 WBR786443 WLN786443 WVJ786443 B851979 IX851979 ST851979 ACP851979 AML851979 AWH851979 BGD851979 BPZ851979 BZV851979 CJR851979 CTN851979 DDJ851979 DNF851979 DXB851979 EGX851979 EQT851979 FAP851979 FKL851979 FUH851979 GED851979 GNZ851979 GXV851979 HHR851979 HRN851979 IBJ851979 ILF851979 IVB851979 JEX851979 JOT851979 JYP851979 KIL851979 KSH851979 LCD851979 LLZ851979 LVV851979 MFR851979 MPN851979 MZJ851979 NJF851979 NTB851979 OCX851979 OMT851979 OWP851979 PGL851979 PQH851979 QAD851979 QJZ851979 QTV851979 RDR851979 RNN851979 RXJ851979 SHF851979 SRB851979 TAX851979 TKT851979 TUP851979 UEL851979 UOH851979 UYD851979 VHZ851979 VRV851979 WBR851979 WLN851979 WVJ851979 B917515 IX917515 ST917515 ACP917515 AML917515 AWH917515 BGD917515 BPZ917515 BZV917515 CJR917515 CTN917515 DDJ917515 DNF917515 DXB917515 EGX917515 EQT917515 FAP917515 FKL917515 FUH917515 GED917515 GNZ917515 GXV917515 HHR917515 HRN917515 IBJ917515 ILF917515 IVB917515 JEX917515 JOT917515 JYP917515 KIL917515 KSH917515 LCD917515 LLZ917515 LVV917515 MFR917515 MPN917515 MZJ917515 NJF917515 NTB917515 OCX917515 OMT917515 OWP917515 PGL917515 PQH917515 QAD917515 QJZ917515 QTV917515 RDR917515 RNN917515 RXJ917515 SHF917515 SRB917515 TAX917515 TKT917515 TUP917515 UEL917515 UOH917515 UYD917515 VHZ917515 VRV917515 WBR917515 WLN917515 WVJ917515 B983051 IX983051 ST983051 ACP983051 AML983051 AWH983051 BGD983051 BPZ983051 BZV983051 CJR983051 CTN983051 DDJ983051 DNF983051 DXB983051 EGX983051 EQT983051 FAP983051 FKL983051 FUH983051 GED983051 GNZ983051 GXV983051 HHR983051 HRN983051 IBJ983051 ILF983051 IVB983051 JEX983051 JOT983051 JYP983051 KIL983051 KSH983051 LCD983051 LLZ983051 LVV983051 MFR983051 MPN983051 MZJ983051 NJF983051 NTB983051 OCX983051 OMT983051 OWP983051 PGL983051 PQH983051 QAD983051 QJZ983051 QTV983051 RDR983051 RNN983051 RXJ983051 SHF983051 SRB983051 TAX983051 TKT983051 TUP983051 UEL983051 UOH983051 UYD983051 VHZ983051 VRV983051 WBR983051 WLN983051 WVJ983051 B2:B178" xr:uid="{43C29772-EB2F-433B-967C-BCA704412F44}"/>
    <dataValidation type="list" allowBlank="1" showInputMessage="1" showErrorMessage="1" sqref="E2:E741 E65547:E65624 E131083:E131160 E196619:E196696 E262155:E262232 E327691:E327768 E393227:E393304 E458763:E458840 E524299:E524376 E589835:E589912 E655371:E655448 E720907:E720984 E786443:E786520 E851979:E852056 E917515:E917592 E983051:E983128 JA2:JA88 JA65547:JA65624 JA131083:JA131160 JA196619:JA196696 JA262155:JA262232 JA327691:JA327768 JA393227:JA393304 JA458763:JA458840 JA524299:JA524376 JA589835:JA589912 JA655371:JA655448 JA720907:JA720984 JA786443:JA786520 JA851979:JA852056 JA917515:JA917592 JA983051:JA983128 SW2:SW88 SW65547:SW65624 SW131083:SW131160 SW196619:SW196696 SW262155:SW262232 SW327691:SW327768 SW393227:SW393304 SW458763:SW458840 SW524299:SW524376 SW589835:SW589912 SW655371:SW655448 SW720907:SW720984 SW786443:SW786520 SW851979:SW852056 SW917515:SW917592 SW983051:SW983128 ACS2:ACS88 ACS65547:ACS65624 ACS131083:ACS131160 ACS196619:ACS196696 ACS262155:ACS262232 ACS327691:ACS327768 ACS393227:ACS393304 ACS458763:ACS458840 ACS524299:ACS524376 ACS589835:ACS589912 ACS655371:ACS655448 ACS720907:ACS720984 ACS786443:ACS786520 ACS851979:ACS852056 ACS917515:ACS917592 ACS983051:ACS983128 AMO2:AMO88 AMO65547:AMO65624 AMO131083:AMO131160 AMO196619:AMO196696 AMO262155:AMO262232 AMO327691:AMO327768 AMO393227:AMO393304 AMO458763:AMO458840 AMO524299:AMO524376 AMO589835:AMO589912 AMO655371:AMO655448 AMO720907:AMO720984 AMO786443:AMO786520 AMO851979:AMO852056 AMO917515:AMO917592 AMO983051:AMO983128 AWK2:AWK88 AWK65547:AWK65624 AWK131083:AWK131160 AWK196619:AWK196696 AWK262155:AWK262232 AWK327691:AWK327768 AWK393227:AWK393304 AWK458763:AWK458840 AWK524299:AWK524376 AWK589835:AWK589912 AWK655371:AWK655448 AWK720907:AWK720984 AWK786443:AWK786520 AWK851979:AWK852056 AWK917515:AWK917592 AWK983051:AWK983128 BGG2:BGG88 BGG65547:BGG65624 BGG131083:BGG131160 BGG196619:BGG196696 BGG262155:BGG262232 BGG327691:BGG327768 BGG393227:BGG393304 BGG458763:BGG458840 BGG524299:BGG524376 BGG589835:BGG589912 BGG655371:BGG655448 BGG720907:BGG720984 BGG786443:BGG786520 BGG851979:BGG852056 BGG917515:BGG917592 BGG983051:BGG983128 BQC2:BQC88 BQC65547:BQC65624 BQC131083:BQC131160 BQC196619:BQC196696 BQC262155:BQC262232 BQC327691:BQC327768 BQC393227:BQC393304 BQC458763:BQC458840 BQC524299:BQC524376 BQC589835:BQC589912 BQC655371:BQC655448 BQC720907:BQC720984 BQC786443:BQC786520 BQC851979:BQC852056 BQC917515:BQC917592 BQC983051:BQC983128 BZY2:BZY88 BZY65547:BZY65624 BZY131083:BZY131160 BZY196619:BZY196696 BZY262155:BZY262232 BZY327691:BZY327768 BZY393227:BZY393304 BZY458763:BZY458840 BZY524299:BZY524376 BZY589835:BZY589912 BZY655371:BZY655448 BZY720907:BZY720984 BZY786443:BZY786520 BZY851979:BZY852056 BZY917515:BZY917592 BZY983051:BZY983128 CJU2:CJU88 CJU65547:CJU65624 CJU131083:CJU131160 CJU196619:CJU196696 CJU262155:CJU262232 CJU327691:CJU327768 CJU393227:CJU393304 CJU458763:CJU458840 CJU524299:CJU524376 CJU589835:CJU589912 CJU655371:CJU655448 CJU720907:CJU720984 CJU786443:CJU786520 CJU851979:CJU852056 CJU917515:CJU917592 CJU983051:CJU983128 CTQ2:CTQ88 CTQ65547:CTQ65624 CTQ131083:CTQ131160 CTQ196619:CTQ196696 CTQ262155:CTQ262232 CTQ327691:CTQ327768 CTQ393227:CTQ393304 CTQ458763:CTQ458840 CTQ524299:CTQ524376 CTQ589835:CTQ589912 CTQ655371:CTQ655448 CTQ720907:CTQ720984 CTQ786443:CTQ786520 CTQ851979:CTQ852056 CTQ917515:CTQ917592 CTQ983051:CTQ983128 DDM2:DDM88 DDM65547:DDM65624 DDM131083:DDM131160 DDM196619:DDM196696 DDM262155:DDM262232 DDM327691:DDM327768 DDM393227:DDM393304 DDM458763:DDM458840 DDM524299:DDM524376 DDM589835:DDM589912 DDM655371:DDM655448 DDM720907:DDM720984 DDM786443:DDM786520 DDM851979:DDM852056 DDM917515:DDM917592 DDM983051:DDM983128 DNI2:DNI88 DNI65547:DNI65624 DNI131083:DNI131160 DNI196619:DNI196696 DNI262155:DNI262232 DNI327691:DNI327768 DNI393227:DNI393304 DNI458763:DNI458840 DNI524299:DNI524376 DNI589835:DNI589912 DNI655371:DNI655448 DNI720907:DNI720984 DNI786443:DNI786520 DNI851979:DNI852056 DNI917515:DNI917592 DNI983051:DNI983128 DXE2:DXE88 DXE65547:DXE65624 DXE131083:DXE131160 DXE196619:DXE196696 DXE262155:DXE262232 DXE327691:DXE327768 DXE393227:DXE393304 DXE458763:DXE458840 DXE524299:DXE524376 DXE589835:DXE589912 DXE655371:DXE655448 DXE720907:DXE720984 DXE786443:DXE786520 DXE851979:DXE852056 DXE917515:DXE917592 DXE983051:DXE983128 EHA2:EHA88 EHA65547:EHA65624 EHA131083:EHA131160 EHA196619:EHA196696 EHA262155:EHA262232 EHA327691:EHA327768 EHA393227:EHA393304 EHA458763:EHA458840 EHA524299:EHA524376 EHA589835:EHA589912 EHA655371:EHA655448 EHA720907:EHA720984 EHA786443:EHA786520 EHA851979:EHA852056 EHA917515:EHA917592 EHA983051:EHA983128 EQW2:EQW88 EQW65547:EQW65624 EQW131083:EQW131160 EQW196619:EQW196696 EQW262155:EQW262232 EQW327691:EQW327768 EQW393227:EQW393304 EQW458763:EQW458840 EQW524299:EQW524376 EQW589835:EQW589912 EQW655371:EQW655448 EQW720907:EQW720984 EQW786443:EQW786520 EQW851979:EQW852056 EQW917515:EQW917592 EQW983051:EQW983128 FAS2:FAS88 FAS65547:FAS65624 FAS131083:FAS131160 FAS196619:FAS196696 FAS262155:FAS262232 FAS327691:FAS327768 FAS393227:FAS393304 FAS458763:FAS458840 FAS524299:FAS524376 FAS589835:FAS589912 FAS655371:FAS655448 FAS720907:FAS720984 FAS786443:FAS786520 FAS851979:FAS852056 FAS917515:FAS917592 FAS983051:FAS983128 FKO2:FKO88 FKO65547:FKO65624 FKO131083:FKO131160 FKO196619:FKO196696 FKO262155:FKO262232 FKO327691:FKO327768 FKO393227:FKO393304 FKO458763:FKO458840 FKO524299:FKO524376 FKO589835:FKO589912 FKO655371:FKO655448 FKO720907:FKO720984 FKO786443:FKO786520 FKO851979:FKO852056 FKO917515:FKO917592 FKO983051:FKO983128 FUK2:FUK88 FUK65547:FUK65624 FUK131083:FUK131160 FUK196619:FUK196696 FUK262155:FUK262232 FUK327691:FUK327768 FUK393227:FUK393304 FUK458763:FUK458840 FUK524299:FUK524376 FUK589835:FUK589912 FUK655371:FUK655448 FUK720907:FUK720984 FUK786443:FUK786520 FUK851979:FUK852056 FUK917515:FUK917592 FUK983051:FUK983128 GEG2:GEG88 GEG65547:GEG65624 GEG131083:GEG131160 GEG196619:GEG196696 GEG262155:GEG262232 GEG327691:GEG327768 GEG393227:GEG393304 GEG458763:GEG458840 GEG524299:GEG524376 GEG589835:GEG589912 GEG655371:GEG655448 GEG720907:GEG720984 GEG786443:GEG786520 GEG851979:GEG852056 GEG917515:GEG917592 GEG983051:GEG983128 GOC2:GOC88 GOC65547:GOC65624 GOC131083:GOC131160 GOC196619:GOC196696 GOC262155:GOC262232 GOC327691:GOC327768 GOC393227:GOC393304 GOC458763:GOC458840 GOC524299:GOC524376 GOC589835:GOC589912 GOC655371:GOC655448 GOC720907:GOC720984 GOC786443:GOC786520 GOC851979:GOC852056 GOC917515:GOC917592 GOC983051:GOC983128 GXY2:GXY88 GXY65547:GXY65624 GXY131083:GXY131160 GXY196619:GXY196696 GXY262155:GXY262232 GXY327691:GXY327768 GXY393227:GXY393304 GXY458763:GXY458840 GXY524299:GXY524376 GXY589835:GXY589912 GXY655371:GXY655448 GXY720907:GXY720984 GXY786443:GXY786520 GXY851979:GXY852056 GXY917515:GXY917592 GXY983051:GXY983128 HHU2:HHU88 HHU65547:HHU65624 HHU131083:HHU131160 HHU196619:HHU196696 HHU262155:HHU262232 HHU327691:HHU327768 HHU393227:HHU393304 HHU458763:HHU458840 HHU524299:HHU524376 HHU589835:HHU589912 HHU655371:HHU655448 HHU720907:HHU720984 HHU786443:HHU786520 HHU851979:HHU852056 HHU917515:HHU917592 HHU983051:HHU983128 HRQ2:HRQ88 HRQ65547:HRQ65624 HRQ131083:HRQ131160 HRQ196619:HRQ196696 HRQ262155:HRQ262232 HRQ327691:HRQ327768 HRQ393227:HRQ393304 HRQ458763:HRQ458840 HRQ524299:HRQ524376 HRQ589835:HRQ589912 HRQ655371:HRQ655448 HRQ720907:HRQ720984 HRQ786443:HRQ786520 HRQ851979:HRQ852056 HRQ917515:HRQ917592 HRQ983051:HRQ983128 IBM2:IBM88 IBM65547:IBM65624 IBM131083:IBM131160 IBM196619:IBM196696 IBM262155:IBM262232 IBM327691:IBM327768 IBM393227:IBM393304 IBM458763:IBM458840 IBM524299:IBM524376 IBM589835:IBM589912 IBM655371:IBM655448 IBM720907:IBM720984 IBM786443:IBM786520 IBM851979:IBM852056 IBM917515:IBM917592 IBM983051:IBM983128 ILI2:ILI88 ILI65547:ILI65624 ILI131083:ILI131160 ILI196619:ILI196696 ILI262155:ILI262232 ILI327691:ILI327768 ILI393227:ILI393304 ILI458763:ILI458840 ILI524299:ILI524376 ILI589835:ILI589912 ILI655371:ILI655448 ILI720907:ILI720984 ILI786443:ILI786520 ILI851979:ILI852056 ILI917515:ILI917592 ILI983051:ILI983128 IVE2:IVE88 IVE65547:IVE65624 IVE131083:IVE131160 IVE196619:IVE196696 IVE262155:IVE262232 IVE327691:IVE327768 IVE393227:IVE393304 IVE458763:IVE458840 IVE524299:IVE524376 IVE589835:IVE589912 IVE655371:IVE655448 IVE720907:IVE720984 IVE786443:IVE786520 IVE851979:IVE852056 IVE917515:IVE917592 IVE983051:IVE983128 JFA2:JFA88 JFA65547:JFA65624 JFA131083:JFA131160 JFA196619:JFA196696 JFA262155:JFA262232 JFA327691:JFA327768 JFA393227:JFA393304 JFA458763:JFA458840 JFA524299:JFA524376 JFA589835:JFA589912 JFA655371:JFA655448 JFA720907:JFA720984 JFA786443:JFA786520 JFA851979:JFA852056 JFA917515:JFA917592 JFA983051:JFA983128 JOW2:JOW88 JOW65547:JOW65624 JOW131083:JOW131160 JOW196619:JOW196696 JOW262155:JOW262232 JOW327691:JOW327768 JOW393227:JOW393304 JOW458763:JOW458840 JOW524299:JOW524376 JOW589835:JOW589912 JOW655371:JOW655448 JOW720907:JOW720984 JOW786443:JOW786520 JOW851979:JOW852056 JOW917515:JOW917592 JOW983051:JOW983128 JYS2:JYS88 JYS65547:JYS65624 JYS131083:JYS131160 JYS196619:JYS196696 JYS262155:JYS262232 JYS327691:JYS327768 JYS393227:JYS393304 JYS458763:JYS458840 JYS524299:JYS524376 JYS589835:JYS589912 JYS655371:JYS655448 JYS720907:JYS720984 JYS786443:JYS786520 JYS851979:JYS852056 JYS917515:JYS917592 JYS983051:JYS983128 KIO2:KIO88 KIO65547:KIO65624 KIO131083:KIO131160 KIO196619:KIO196696 KIO262155:KIO262232 KIO327691:KIO327768 KIO393227:KIO393304 KIO458763:KIO458840 KIO524299:KIO524376 KIO589835:KIO589912 KIO655371:KIO655448 KIO720907:KIO720984 KIO786443:KIO786520 KIO851979:KIO852056 KIO917515:KIO917592 KIO983051:KIO983128 KSK2:KSK88 KSK65547:KSK65624 KSK131083:KSK131160 KSK196619:KSK196696 KSK262155:KSK262232 KSK327691:KSK327768 KSK393227:KSK393304 KSK458763:KSK458840 KSK524299:KSK524376 KSK589835:KSK589912 KSK655371:KSK655448 KSK720907:KSK720984 KSK786443:KSK786520 KSK851979:KSK852056 KSK917515:KSK917592 KSK983051:KSK983128 LCG2:LCG88 LCG65547:LCG65624 LCG131083:LCG131160 LCG196619:LCG196696 LCG262155:LCG262232 LCG327691:LCG327768 LCG393227:LCG393304 LCG458763:LCG458840 LCG524299:LCG524376 LCG589835:LCG589912 LCG655371:LCG655448 LCG720907:LCG720984 LCG786443:LCG786520 LCG851979:LCG852056 LCG917515:LCG917592 LCG983051:LCG983128 LMC2:LMC88 LMC65547:LMC65624 LMC131083:LMC131160 LMC196619:LMC196696 LMC262155:LMC262232 LMC327691:LMC327768 LMC393227:LMC393304 LMC458763:LMC458840 LMC524299:LMC524376 LMC589835:LMC589912 LMC655371:LMC655448 LMC720907:LMC720984 LMC786443:LMC786520 LMC851979:LMC852056 LMC917515:LMC917592 LMC983051:LMC983128 LVY2:LVY88 LVY65547:LVY65624 LVY131083:LVY131160 LVY196619:LVY196696 LVY262155:LVY262232 LVY327691:LVY327768 LVY393227:LVY393304 LVY458763:LVY458840 LVY524299:LVY524376 LVY589835:LVY589912 LVY655371:LVY655448 LVY720907:LVY720984 LVY786443:LVY786520 LVY851979:LVY852056 LVY917515:LVY917592 LVY983051:LVY983128 MFU2:MFU88 MFU65547:MFU65624 MFU131083:MFU131160 MFU196619:MFU196696 MFU262155:MFU262232 MFU327691:MFU327768 MFU393227:MFU393304 MFU458763:MFU458840 MFU524299:MFU524376 MFU589835:MFU589912 MFU655371:MFU655448 MFU720907:MFU720984 MFU786443:MFU786520 MFU851979:MFU852056 MFU917515:MFU917592 MFU983051:MFU983128 MPQ2:MPQ88 MPQ65547:MPQ65624 MPQ131083:MPQ131160 MPQ196619:MPQ196696 MPQ262155:MPQ262232 MPQ327691:MPQ327768 MPQ393227:MPQ393304 MPQ458763:MPQ458840 MPQ524299:MPQ524376 MPQ589835:MPQ589912 MPQ655371:MPQ655448 MPQ720907:MPQ720984 MPQ786443:MPQ786520 MPQ851979:MPQ852056 MPQ917515:MPQ917592 MPQ983051:MPQ983128 MZM2:MZM88 MZM65547:MZM65624 MZM131083:MZM131160 MZM196619:MZM196696 MZM262155:MZM262232 MZM327691:MZM327768 MZM393227:MZM393304 MZM458763:MZM458840 MZM524299:MZM524376 MZM589835:MZM589912 MZM655371:MZM655448 MZM720907:MZM720984 MZM786443:MZM786520 MZM851979:MZM852056 MZM917515:MZM917592 MZM983051:MZM983128 NJI2:NJI88 NJI65547:NJI65624 NJI131083:NJI131160 NJI196619:NJI196696 NJI262155:NJI262232 NJI327691:NJI327768 NJI393227:NJI393304 NJI458763:NJI458840 NJI524299:NJI524376 NJI589835:NJI589912 NJI655371:NJI655448 NJI720907:NJI720984 NJI786443:NJI786520 NJI851979:NJI852056 NJI917515:NJI917592 NJI983051:NJI983128 NTE2:NTE88 NTE65547:NTE65624 NTE131083:NTE131160 NTE196619:NTE196696 NTE262155:NTE262232 NTE327691:NTE327768 NTE393227:NTE393304 NTE458763:NTE458840 NTE524299:NTE524376 NTE589835:NTE589912 NTE655371:NTE655448 NTE720907:NTE720984 NTE786443:NTE786520 NTE851979:NTE852056 NTE917515:NTE917592 NTE983051:NTE983128 ODA2:ODA88 ODA65547:ODA65624 ODA131083:ODA131160 ODA196619:ODA196696 ODA262155:ODA262232 ODA327691:ODA327768 ODA393227:ODA393304 ODA458763:ODA458840 ODA524299:ODA524376 ODA589835:ODA589912 ODA655371:ODA655448 ODA720907:ODA720984 ODA786443:ODA786520 ODA851979:ODA852056 ODA917515:ODA917592 ODA983051:ODA983128 OMW2:OMW88 OMW65547:OMW65624 OMW131083:OMW131160 OMW196619:OMW196696 OMW262155:OMW262232 OMW327691:OMW327768 OMW393227:OMW393304 OMW458763:OMW458840 OMW524299:OMW524376 OMW589835:OMW589912 OMW655371:OMW655448 OMW720907:OMW720984 OMW786443:OMW786520 OMW851979:OMW852056 OMW917515:OMW917592 OMW983051:OMW983128 OWS2:OWS88 OWS65547:OWS65624 OWS131083:OWS131160 OWS196619:OWS196696 OWS262155:OWS262232 OWS327691:OWS327768 OWS393227:OWS393304 OWS458763:OWS458840 OWS524299:OWS524376 OWS589835:OWS589912 OWS655371:OWS655448 OWS720907:OWS720984 OWS786443:OWS786520 OWS851979:OWS852056 OWS917515:OWS917592 OWS983051:OWS983128 PGO2:PGO88 PGO65547:PGO65624 PGO131083:PGO131160 PGO196619:PGO196696 PGO262155:PGO262232 PGO327691:PGO327768 PGO393227:PGO393304 PGO458763:PGO458840 PGO524299:PGO524376 PGO589835:PGO589912 PGO655371:PGO655448 PGO720907:PGO720984 PGO786443:PGO786520 PGO851979:PGO852056 PGO917515:PGO917592 PGO983051:PGO983128 PQK2:PQK88 PQK65547:PQK65624 PQK131083:PQK131160 PQK196619:PQK196696 PQK262155:PQK262232 PQK327691:PQK327768 PQK393227:PQK393304 PQK458763:PQK458840 PQK524299:PQK524376 PQK589835:PQK589912 PQK655371:PQK655448 PQK720907:PQK720984 PQK786443:PQK786520 PQK851979:PQK852056 PQK917515:PQK917592 PQK983051:PQK983128 QAG2:QAG88 QAG65547:QAG65624 QAG131083:QAG131160 QAG196619:QAG196696 QAG262155:QAG262232 QAG327691:QAG327768 QAG393227:QAG393304 QAG458763:QAG458840 QAG524299:QAG524376 QAG589835:QAG589912 QAG655371:QAG655448 QAG720907:QAG720984 QAG786443:QAG786520 QAG851979:QAG852056 QAG917515:QAG917592 QAG983051:QAG983128 QKC2:QKC88 QKC65547:QKC65624 QKC131083:QKC131160 QKC196619:QKC196696 QKC262155:QKC262232 QKC327691:QKC327768 QKC393227:QKC393304 QKC458763:QKC458840 QKC524299:QKC524376 QKC589835:QKC589912 QKC655371:QKC655448 QKC720907:QKC720984 QKC786443:QKC786520 QKC851979:QKC852056 QKC917515:QKC917592 QKC983051:QKC983128 QTY2:QTY88 QTY65547:QTY65624 QTY131083:QTY131160 QTY196619:QTY196696 QTY262155:QTY262232 QTY327691:QTY327768 QTY393227:QTY393304 QTY458763:QTY458840 QTY524299:QTY524376 QTY589835:QTY589912 QTY655371:QTY655448 QTY720907:QTY720984 QTY786443:QTY786520 QTY851979:QTY852056 QTY917515:QTY917592 QTY983051:QTY983128 RDU2:RDU88 RDU65547:RDU65624 RDU131083:RDU131160 RDU196619:RDU196696 RDU262155:RDU262232 RDU327691:RDU327768 RDU393227:RDU393304 RDU458763:RDU458840 RDU524299:RDU524376 RDU589835:RDU589912 RDU655371:RDU655448 RDU720907:RDU720984 RDU786443:RDU786520 RDU851979:RDU852056 RDU917515:RDU917592 RDU983051:RDU983128 RNQ2:RNQ88 RNQ65547:RNQ65624 RNQ131083:RNQ131160 RNQ196619:RNQ196696 RNQ262155:RNQ262232 RNQ327691:RNQ327768 RNQ393227:RNQ393304 RNQ458763:RNQ458840 RNQ524299:RNQ524376 RNQ589835:RNQ589912 RNQ655371:RNQ655448 RNQ720907:RNQ720984 RNQ786443:RNQ786520 RNQ851979:RNQ852056 RNQ917515:RNQ917592 RNQ983051:RNQ983128 RXM2:RXM88 RXM65547:RXM65624 RXM131083:RXM131160 RXM196619:RXM196696 RXM262155:RXM262232 RXM327691:RXM327768 RXM393227:RXM393304 RXM458763:RXM458840 RXM524299:RXM524376 RXM589835:RXM589912 RXM655371:RXM655448 RXM720907:RXM720984 RXM786443:RXM786520 RXM851979:RXM852056 RXM917515:RXM917592 RXM983051:RXM983128 SHI2:SHI88 SHI65547:SHI65624 SHI131083:SHI131160 SHI196619:SHI196696 SHI262155:SHI262232 SHI327691:SHI327768 SHI393227:SHI393304 SHI458763:SHI458840 SHI524299:SHI524376 SHI589835:SHI589912 SHI655371:SHI655448 SHI720907:SHI720984 SHI786443:SHI786520 SHI851979:SHI852056 SHI917515:SHI917592 SHI983051:SHI983128 SRE2:SRE88 SRE65547:SRE65624 SRE131083:SRE131160 SRE196619:SRE196696 SRE262155:SRE262232 SRE327691:SRE327768 SRE393227:SRE393304 SRE458763:SRE458840 SRE524299:SRE524376 SRE589835:SRE589912 SRE655371:SRE655448 SRE720907:SRE720984 SRE786443:SRE786520 SRE851979:SRE852056 SRE917515:SRE917592 SRE983051:SRE983128 TBA2:TBA88 TBA65547:TBA65624 TBA131083:TBA131160 TBA196619:TBA196696 TBA262155:TBA262232 TBA327691:TBA327768 TBA393227:TBA393304 TBA458763:TBA458840 TBA524299:TBA524376 TBA589835:TBA589912 TBA655371:TBA655448 TBA720907:TBA720984 TBA786443:TBA786520 TBA851979:TBA852056 TBA917515:TBA917592 TBA983051:TBA983128 TKW2:TKW88 TKW65547:TKW65624 TKW131083:TKW131160 TKW196619:TKW196696 TKW262155:TKW262232 TKW327691:TKW327768 TKW393227:TKW393304 TKW458763:TKW458840 TKW524299:TKW524376 TKW589835:TKW589912 TKW655371:TKW655448 TKW720907:TKW720984 TKW786443:TKW786520 TKW851979:TKW852056 TKW917515:TKW917592 TKW983051:TKW983128 TUS2:TUS88 TUS65547:TUS65624 TUS131083:TUS131160 TUS196619:TUS196696 TUS262155:TUS262232 TUS327691:TUS327768 TUS393227:TUS393304 TUS458763:TUS458840 TUS524299:TUS524376 TUS589835:TUS589912 TUS655371:TUS655448 TUS720907:TUS720984 TUS786443:TUS786520 TUS851979:TUS852056 TUS917515:TUS917592 TUS983051:TUS983128 UEO2:UEO88 UEO65547:UEO65624 UEO131083:UEO131160 UEO196619:UEO196696 UEO262155:UEO262232 UEO327691:UEO327768 UEO393227:UEO393304 UEO458763:UEO458840 UEO524299:UEO524376 UEO589835:UEO589912 UEO655371:UEO655448 UEO720907:UEO720984 UEO786443:UEO786520 UEO851979:UEO852056 UEO917515:UEO917592 UEO983051:UEO983128 UOK2:UOK88 UOK65547:UOK65624 UOK131083:UOK131160 UOK196619:UOK196696 UOK262155:UOK262232 UOK327691:UOK327768 UOK393227:UOK393304 UOK458763:UOK458840 UOK524299:UOK524376 UOK589835:UOK589912 UOK655371:UOK655448 UOK720907:UOK720984 UOK786443:UOK786520 UOK851979:UOK852056 UOK917515:UOK917592 UOK983051:UOK983128 UYG2:UYG88 UYG65547:UYG65624 UYG131083:UYG131160 UYG196619:UYG196696 UYG262155:UYG262232 UYG327691:UYG327768 UYG393227:UYG393304 UYG458763:UYG458840 UYG524299:UYG524376 UYG589835:UYG589912 UYG655371:UYG655448 UYG720907:UYG720984 UYG786443:UYG786520 UYG851979:UYG852056 UYG917515:UYG917592 UYG983051:UYG983128 VIC2:VIC88 VIC65547:VIC65624 VIC131083:VIC131160 VIC196619:VIC196696 VIC262155:VIC262232 VIC327691:VIC327768 VIC393227:VIC393304 VIC458763:VIC458840 VIC524299:VIC524376 VIC589835:VIC589912 VIC655371:VIC655448 VIC720907:VIC720984 VIC786443:VIC786520 VIC851979:VIC852056 VIC917515:VIC917592 VIC983051:VIC983128 VRY2:VRY88 VRY65547:VRY65624 VRY131083:VRY131160 VRY196619:VRY196696 VRY262155:VRY262232 VRY327691:VRY327768 VRY393227:VRY393304 VRY458763:VRY458840 VRY524299:VRY524376 VRY589835:VRY589912 VRY655371:VRY655448 VRY720907:VRY720984 VRY786443:VRY786520 VRY851979:VRY852056 VRY917515:VRY917592 VRY983051:VRY983128 WBU2:WBU88 WBU65547:WBU65624 WBU131083:WBU131160 WBU196619:WBU196696 WBU262155:WBU262232 WBU327691:WBU327768 WBU393227:WBU393304 WBU458763:WBU458840 WBU524299:WBU524376 WBU589835:WBU589912 WBU655371:WBU655448 WBU720907:WBU720984 WBU786443:WBU786520 WBU851979:WBU852056 WBU917515:WBU917592 WBU983051:WBU983128 WLQ2:WLQ88 WLQ65547:WLQ65624 WLQ131083:WLQ131160 WLQ196619:WLQ196696 WLQ262155:WLQ262232 WLQ327691:WLQ327768 WLQ393227:WLQ393304 WLQ458763:WLQ458840 WLQ524299:WLQ524376 WLQ589835:WLQ589912 WLQ655371:WLQ655448 WLQ720907:WLQ720984 WLQ786443:WLQ786520 WLQ851979:WLQ852056 WLQ917515:WLQ917592 WLQ983051:WLQ983128 WVM2:WVM88 WVM65547:WVM65624 WVM131083:WVM131160 WVM196619:WVM196696 WVM262155:WVM262232 WVM327691:WVM327768 WVM393227:WVM393304 WVM458763:WVM458840 WVM524299:WVM524376 WVM589835:WVM589912 WVM655371:WVM655448 WVM720907:WVM720984 WVM786443:WVM786520 WVM851979:WVM852056 WVM917515:WVM917592 WVM983051:WVM983128" xr:uid="{7855B0D5-04DF-42E1-B9CA-2CCB11E3D0EC}">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A275-A8E0-443B-A430-7C040A774E11}">
  <sheetPr>
    <pageSetUpPr fitToPage="1"/>
  </sheetPr>
  <dimension ref="A1:BA683"/>
  <sheetViews>
    <sheetView zoomScale="85" zoomScaleNormal="85" workbookViewId="0">
      <pane ySplit="1" topLeftCell="A86" activePane="bottomLeft" state="frozen"/>
      <selection pane="bottomLeft" activeCell="D87" sqref="D87"/>
    </sheetView>
  </sheetViews>
  <sheetFormatPr defaultRowHeight="13.5" x14ac:dyDescent="0.15"/>
  <cols>
    <col min="1" max="3" width="9" style="78" customWidth="1"/>
    <col min="4" max="4" width="10.5" style="78" customWidth="1"/>
    <col min="5" max="5" width="11.25" style="78" bestFit="1" customWidth="1"/>
    <col min="6" max="7" width="9" style="78"/>
    <col min="8" max="9" width="9" style="78" customWidth="1"/>
    <col min="10" max="11" width="9" style="78"/>
    <col min="12" max="16" width="9" style="78" customWidth="1"/>
    <col min="17" max="17" width="9" style="16" customWidth="1"/>
    <col min="18" max="18" width="9" style="78"/>
    <col min="19" max="19" width="9.5" style="78" bestFit="1" customWidth="1"/>
    <col min="20" max="20" width="9" style="16" customWidth="1"/>
    <col min="21" max="21" width="9" style="78"/>
    <col min="22" max="22" width="9" style="16" customWidth="1"/>
    <col min="23" max="28" width="9" style="78"/>
    <col min="29" max="29" width="26.5" style="78" customWidth="1"/>
    <col min="30" max="32" width="9" style="78"/>
    <col min="33" max="33" width="15.75" style="78" bestFit="1" customWidth="1"/>
    <col min="34" max="34" width="15" style="78" bestFit="1" customWidth="1"/>
    <col min="35" max="256" width="9" style="78"/>
    <col min="257" max="259" width="9" style="78" customWidth="1"/>
    <col min="260" max="260" width="10.5" style="78" customWidth="1"/>
    <col min="261" max="261" width="11.25" style="78" bestFit="1" customWidth="1"/>
    <col min="262" max="263" width="9" style="78"/>
    <col min="264" max="273" width="9" style="78" customWidth="1"/>
    <col min="274" max="274" width="9" style="78"/>
    <col min="275" max="275" width="9.5" style="78" bestFit="1" customWidth="1"/>
    <col min="276" max="276" width="9" style="78" customWidth="1"/>
    <col min="277" max="277" width="9" style="78"/>
    <col min="278" max="278" width="9" style="78" customWidth="1"/>
    <col min="279" max="284" width="9" style="78"/>
    <col min="285" max="285" width="26.5" style="78" customWidth="1"/>
    <col min="286" max="288" width="9" style="78"/>
    <col min="289" max="289" width="14.75" style="78" bestFit="1" customWidth="1"/>
    <col min="290" max="512" width="9" style="78"/>
    <col min="513" max="515" width="9" style="78" customWidth="1"/>
    <col min="516" max="516" width="10.5" style="78" customWidth="1"/>
    <col min="517" max="517" width="11.25" style="78" bestFit="1" customWidth="1"/>
    <col min="518" max="519" width="9" style="78"/>
    <col min="520" max="529" width="9" style="78" customWidth="1"/>
    <col min="530" max="530" width="9" style="78"/>
    <col min="531" max="531" width="9.5" style="78" bestFit="1" customWidth="1"/>
    <col min="532" max="532" width="9" style="78" customWidth="1"/>
    <col min="533" max="533" width="9" style="78"/>
    <col min="534" max="534" width="9" style="78" customWidth="1"/>
    <col min="535" max="540" width="9" style="78"/>
    <col min="541" max="541" width="26.5" style="78" customWidth="1"/>
    <col min="542" max="544" width="9" style="78"/>
    <col min="545" max="545" width="14.75" style="78" bestFit="1" customWidth="1"/>
    <col min="546" max="768" width="9" style="78"/>
    <col min="769" max="771" width="9" style="78" customWidth="1"/>
    <col min="772" max="772" width="10.5" style="78" customWidth="1"/>
    <col min="773" max="773" width="11.25" style="78" bestFit="1" customWidth="1"/>
    <col min="774" max="775" width="9" style="78"/>
    <col min="776" max="785" width="9" style="78" customWidth="1"/>
    <col min="786" max="786" width="9" style="78"/>
    <col min="787" max="787" width="9.5" style="78" bestFit="1" customWidth="1"/>
    <col min="788" max="788" width="9" style="78" customWidth="1"/>
    <col min="789" max="789" width="9" style="78"/>
    <col min="790" max="790" width="9" style="78" customWidth="1"/>
    <col min="791" max="796" width="9" style="78"/>
    <col min="797" max="797" width="26.5" style="78" customWidth="1"/>
    <col min="798" max="800" width="9" style="78"/>
    <col min="801" max="801" width="14.75" style="78" bestFit="1" customWidth="1"/>
    <col min="802" max="1024" width="9" style="78"/>
    <col min="1025" max="1027" width="9" style="78" customWidth="1"/>
    <col min="1028" max="1028" width="10.5" style="78" customWidth="1"/>
    <col min="1029" max="1029" width="11.25" style="78" bestFit="1" customWidth="1"/>
    <col min="1030" max="1031" width="9" style="78"/>
    <col min="1032" max="1041" width="9" style="78" customWidth="1"/>
    <col min="1042" max="1042" width="9" style="78"/>
    <col min="1043" max="1043" width="9.5" style="78" bestFit="1" customWidth="1"/>
    <col min="1044" max="1044" width="9" style="78" customWidth="1"/>
    <col min="1045" max="1045" width="9" style="78"/>
    <col min="1046" max="1046" width="9" style="78" customWidth="1"/>
    <col min="1047" max="1052" width="9" style="78"/>
    <col min="1053" max="1053" width="26.5" style="78" customWidth="1"/>
    <col min="1054" max="1056" width="9" style="78"/>
    <col min="1057" max="1057" width="14.75" style="78" bestFit="1" customWidth="1"/>
    <col min="1058" max="1280" width="9" style="78"/>
    <col min="1281" max="1283" width="9" style="78" customWidth="1"/>
    <col min="1284" max="1284" width="10.5" style="78" customWidth="1"/>
    <col min="1285" max="1285" width="11.25" style="78" bestFit="1" customWidth="1"/>
    <col min="1286" max="1287" width="9" style="78"/>
    <col min="1288" max="1297" width="9" style="78" customWidth="1"/>
    <col min="1298" max="1298" width="9" style="78"/>
    <col min="1299" max="1299" width="9.5" style="78" bestFit="1" customWidth="1"/>
    <col min="1300" max="1300" width="9" style="78" customWidth="1"/>
    <col min="1301" max="1301" width="9" style="78"/>
    <col min="1302" max="1302" width="9" style="78" customWidth="1"/>
    <col min="1303" max="1308" width="9" style="78"/>
    <col min="1309" max="1309" width="26.5" style="78" customWidth="1"/>
    <col min="1310" max="1312" width="9" style="78"/>
    <col min="1313" max="1313" width="14.75" style="78" bestFit="1" customWidth="1"/>
    <col min="1314" max="1536" width="9" style="78"/>
    <col min="1537" max="1539" width="9" style="78" customWidth="1"/>
    <col min="1540" max="1540" width="10.5" style="78" customWidth="1"/>
    <col min="1541" max="1541" width="11.25" style="78" bestFit="1" customWidth="1"/>
    <col min="1542" max="1543" width="9" style="78"/>
    <col min="1544" max="1553" width="9" style="78" customWidth="1"/>
    <col min="1554" max="1554" width="9" style="78"/>
    <col min="1555" max="1555" width="9.5" style="78" bestFit="1" customWidth="1"/>
    <col min="1556" max="1556" width="9" style="78" customWidth="1"/>
    <col min="1557" max="1557" width="9" style="78"/>
    <col min="1558" max="1558" width="9" style="78" customWidth="1"/>
    <col min="1559" max="1564" width="9" style="78"/>
    <col min="1565" max="1565" width="26.5" style="78" customWidth="1"/>
    <col min="1566" max="1568" width="9" style="78"/>
    <col min="1569" max="1569" width="14.75" style="78" bestFit="1" customWidth="1"/>
    <col min="1570" max="1792" width="9" style="78"/>
    <col min="1793" max="1795" width="9" style="78" customWidth="1"/>
    <col min="1796" max="1796" width="10.5" style="78" customWidth="1"/>
    <col min="1797" max="1797" width="11.25" style="78" bestFit="1" customWidth="1"/>
    <col min="1798" max="1799" width="9" style="78"/>
    <col min="1800" max="1809" width="9" style="78" customWidth="1"/>
    <col min="1810" max="1810" width="9" style="78"/>
    <col min="1811" max="1811" width="9.5" style="78" bestFit="1" customWidth="1"/>
    <col min="1812" max="1812" width="9" style="78" customWidth="1"/>
    <col min="1813" max="1813" width="9" style="78"/>
    <col min="1814" max="1814" width="9" style="78" customWidth="1"/>
    <col min="1815" max="1820" width="9" style="78"/>
    <col min="1821" max="1821" width="26.5" style="78" customWidth="1"/>
    <col min="1822" max="1824" width="9" style="78"/>
    <col min="1825" max="1825" width="14.75" style="78" bestFit="1" customWidth="1"/>
    <col min="1826" max="2048" width="9" style="78"/>
    <col min="2049" max="2051" width="9" style="78" customWidth="1"/>
    <col min="2052" max="2052" width="10.5" style="78" customWidth="1"/>
    <col min="2053" max="2053" width="11.25" style="78" bestFit="1" customWidth="1"/>
    <col min="2054" max="2055" width="9" style="78"/>
    <col min="2056" max="2065" width="9" style="78" customWidth="1"/>
    <col min="2066" max="2066" width="9" style="78"/>
    <col min="2067" max="2067" width="9.5" style="78" bestFit="1" customWidth="1"/>
    <col min="2068" max="2068" width="9" style="78" customWidth="1"/>
    <col min="2069" max="2069" width="9" style="78"/>
    <col min="2070" max="2070" width="9" style="78" customWidth="1"/>
    <col min="2071" max="2076" width="9" style="78"/>
    <col min="2077" max="2077" width="26.5" style="78" customWidth="1"/>
    <col min="2078" max="2080" width="9" style="78"/>
    <col min="2081" max="2081" width="14.75" style="78" bestFit="1" customWidth="1"/>
    <col min="2082" max="2304" width="9" style="78"/>
    <col min="2305" max="2307" width="9" style="78" customWidth="1"/>
    <col min="2308" max="2308" width="10.5" style="78" customWidth="1"/>
    <col min="2309" max="2309" width="11.25" style="78" bestFit="1" customWidth="1"/>
    <col min="2310" max="2311" width="9" style="78"/>
    <col min="2312" max="2321" width="9" style="78" customWidth="1"/>
    <col min="2322" max="2322" width="9" style="78"/>
    <col min="2323" max="2323" width="9.5" style="78" bestFit="1" customWidth="1"/>
    <col min="2324" max="2324" width="9" style="78" customWidth="1"/>
    <col min="2325" max="2325" width="9" style="78"/>
    <col min="2326" max="2326" width="9" style="78" customWidth="1"/>
    <col min="2327" max="2332" width="9" style="78"/>
    <col min="2333" max="2333" width="26.5" style="78" customWidth="1"/>
    <col min="2334" max="2336" width="9" style="78"/>
    <col min="2337" max="2337" width="14.75" style="78" bestFit="1" customWidth="1"/>
    <col min="2338" max="2560" width="9" style="78"/>
    <col min="2561" max="2563" width="9" style="78" customWidth="1"/>
    <col min="2564" max="2564" width="10.5" style="78" customWidth="1"/>
    <col min="2565" max="2565" width="11.25" style="78" bestFit="1" customWidth="1"/>
    <col min="2566" max="2567" width="9" style="78"/>
    <col min="2568" max="2577" width="9" style="78" customWidth="1"/>
    <col min="2578" max="2578" width="9" style="78"/>
    <col min="2579" max="2579" width="9.5" style="78" bestFit="1" customWidth="1"/>
    <col min="2580" max="2580" width="9" style="78" customWidth="1"/>
    <col min="2581" max="2581" width="9" style="78"/>
    <col min="2582" max="2582" width="9" style="78" customWidth="1"/>
    <col min="2583" max="2588" width="9" style="78"/>
    <col min="2589" max="2589" width="26.5" style="78" customWidth="1"/>
    <col min="2590" max="2592" width="9" style="78"/>
    <col min="2593" max="2593" width="14.75" style="78" bestFit="1" customWidth="1"/>
    <col min="2594" max="2816" width="9" style="78"/>
    <col min="2817" max="2819" width="9" style="78" customWidth="1"/>
    <col min="2820" max="2820" width="10.5" style="78" customWidth="1"/>
    <col min="2821" max="2821" width="11.25" style="78" bestFit="1" customWidth="1"/>
    <col min="2822" max="2823" width="9" style="78"/>
    <col min="2824" max="2833" width="9" style="78" customWidth="1"/>
    <col min="2834" max="2834" width="9" style="78"/>
    <col min="2835" max="2835" width="9.5" style="78" bestFit="1" customWidth="1"/>
    <col min="2836" max="2836" width="9" style="78" customWidth="1"/>
    <col min="2837" max="2837" width="9" style="78"/>
    <col min="2838" max="2838" width="9" style="78" customWidth="1"/>
    <col min="2839" max="2844" width="9" style="78"/>
    <col min="2845" max="2845" width="26.5" style="78" customWidth="1"/>
    <col min="2846" max="2848" width="9" style="78"/>
    <col min="2849" max="2849" width="14.75" style="78" bestFit="1" customWidth="1"/>
    <col min="2850" max="3072" width="9" style="78"/>
    <col min="3073" max="3075" width="9" style="78" customWidth="1"/>
    <col min="3076" max="3076" width="10.5" style="78" customWidth="1"/>
    <col min="3077" max="3077" width="11.25" style="78" bestFit="1" customWidth="1"/>
    <col min="3078" max="3079" width="9" style="78"/>
    <col min="3080" max="3089" width="9" style="78" customWidth="1"/>
    <col min="3090" max="3090" width="9" style="78"/>
    <col min="3091" max="3091" width="9.5" style="78" bestFit="1" customWidth="1"/>
    <col min="3092" max="3092" width="9" style="78" customWidth="1"/>
    <col min="3093" max="3093" width="9" style="78"/>
    <col min="3094" max="3094" width="9" style="78" customWidth="1"/>
    <col min="3095" max="3100" width="9" style="78"/>
    <col min="3101" max="3101" width="26.5" style="78" customWidth="1"/>
    <col min="3102" max="3104" width="9" style="78"/>
    <col min="3105" max="3105" width="14.75" style="78" bestFit="1" customWidth="1"/>
    <col min="3106" max="3328" width="9" style="78"/>
    <col min="3329" max="3331" width="9" style="78" customWidth="1"/>
    <col min="3332" max="3332" width="10.5" style="78" customWidth="1"/>
    <col min="3333" max="3333" width="11.25" style="78" bestFit="1" customWidth="1"/>
    <col min="3334" max="3335" width="9" style="78"/>
    <col min="3336" max="3345" width="9" style="78" customWidth="1"/>
    <col min="3346" max="3346" width="9" style="78"/>
    <col min="3347" max="3347" width="9.5" style="78" bestFit="1" customWidth="1"/>
    <col min="3348" max="3348" width="9" style="78" customWidth="1"/>
    <col min="3349" max="3349" width="9" style="78"/>
    <col min="3350" max="3350" width="9" style="78" customWidth="1"/>
    <col min="3351" max="3356" width="9" style="78"/>
    <col min="3357" max="3357" width="26.5" style="78" customWidth="1"/>
    <col min="3358" max="3360" width="9" style="78"/>
    <col min="3361" max="3361" width="14.75" style="78" bestFit="1" customWidth="1"/>
    <col min="3362" max="3584" width="9" style="78"/>
    <col min="3585" max="3587" width="9" style="78" customWidth="1"/>
    <col min="3588" max="3588" width="10.5" style="78" customWidth="1"/>
    <col min="3589" max="3589" width="11.25" style="78" bestFit="1" customWidth="1"/>
    <col min="3590" max="3591" width="9" style="78"/>
    <col min="3592" max="3601" width="9" style="78" customWidth="1"/>
    <col min="3602" max="3602" width="9" style="78"/>
    <col min="3603" max="3603" width="9.5" style="78" bestFit="1" customWidth="1"/>
    <col min="3604" max="3604" width="9" style="78" customWidth="1"/>
    <col min="3605" max="3605" width="9" style="78"/>
    <col min="3606" max="3606" width="9" style="78" customWidth="1"/>
    <col min="3607" max="3612" width="9" style="78"/>
    <col min="3613" max="3613" width="26.5" style="78" customWidth="1"/>
    <col min="3614" max="3616" width="9" style="78"/>
    <col min="3617" max="3617" width="14.75" style="78" bestFit="1" customWidth="1"/>
    <col min="3618" max="3840" width="9" style="78"/>
    <col min="3841" max="3843" width="9" style="78" customWidth="1"/>
    <col min="3844" max="3844" width="10.5" style="78" customWidth="1"/>
    <col min="3845" max="3845" width="11.25" style="78" bestFit="1" customWidth="1"/>
    <col min="3846" max="3847" width="9" style="78"/>
    <col min="3848" max="3857" width="9" style="78" customWidth="1"/>
    <col min="3858" max="3858" width="9" style="78"/>
    <col min="3859" max="3859" width="9.5" style="78" bestFit="1" customWidth="1"/>
    <col min="3860" max="3860" width="9" style="78" customWidth="1"/>
    <col min="3861" max="3861" width="9" style="78"/>
    <col min="3862" max="3862" width="9" style="78" customWidth="1"/>
    <col min="3863" max="3868" width="9" style="78"/>
    <col min="3869" max="3869" width="26.5" style="78" customWidth="1"/>
    <col min="3870" max="3872" width="9" style="78"/>
    <col min="3873" max="3873" width="14.75" style="78" bestFit="1" customWidth="1"/>
    <col min="3874" max="4096" width="9" style="78"/>
    <col min="4097" max="4099" width="9" style="78" customWidth="1"/>
    <col min="4100" max="4100" width="10.5" style="78" customWidth="1"/>
    <col min="4101" max="4101" width="11.25" style="78" bestFit="1" customWidth="1"/>
    <col min="4102" max="4103" width="9" style="78"/>
    <col min="4104" max="4113" width="9" style="78" customWidth="1"/>
    <col min="4114" max="4114" width="9" style="78"/>
    <col min="4115" max="4115" width="9.5" style="78" bestFit="1" customWidth="1"/>
    <col min="4116" max="4116" width="9" style="78" customWidth="1"/>
    <col min="4117" max="4117" width="9" style="78"/>
    <col min="4118" max="4118" width="9" style="78" customWidth="1"/>
    <col min="4119" max="4124" width="9" style="78"/>
    <col min="4125" max="4125" width="26.5" style="78" customWidth="1"/>
    <col min="4126" max="4128" width="9" style="78"/>
    <col min="4129" max="4129" width="14.75" style="78" bestFit="1" customWidth="1"/>
    <col min="4130" max="4352" width="9" style="78"/>
    <col min="4353" max="4355" width="9" style="78" customWidth="1"/>
    <col min="4356" max="4356" width="10.5" style="78" customWidth="1"/>
    <col min="4357" max="4357" width="11.25" style="78" bestFit="1" customWidth="1"/>
    <col min="4358" max="4359" width="9" style="78"/>
    <col min="4360" max="4369" width="9" style="78" customWidth="1"/>
    <col min="4370" max="4370" width="9" style="78"/>
    <col min="4371" max="4371" width="9.5" style="78" bestFit="1" customWidth="1"/>
    <col min="4372" max="4372" width="9" style="78" customWidth="1"/>
    <col min="4373" max="4373" width="9" style="78"/>
    <col min="4374" max="4374" width="9" style="78" customWidth="1"/>
    <col min="4375" max="4380" width="9" style="78"/>
    <col min="4381" max="4381" width="26.5" style="78" customWidth="1"/>
    <col min="4382" max="4384" width="9" style="78"/>
    <col min="4385" max="4385" width="14.75" style="78" bestFit="1" customWidth="1"/>
    <col min="4386" max="4608" width="9" style="78"/>
    <col min="4609" max="4611" width="9" style="78" customWidth="1"/>
    <col min="4612" max="4612" width="10.5" style="78" customWidth="1"/>
    <col min="4613" max="4613" width="11.25" style="78" bestFit="1" customWidth="1"/>
    <col min="4614" max="4615" width="9" style="78"/>
    <col min="4616" max="4625" width="9" style="78" customWidth="1"/>
    <col min="4626" max="4626" width="9" style="78"/>
    <col min="4627" max="4627" width="9.5" style="78" bestFit="1" customWidth="1"/>
    <col min="4628" max="4628" width="9" style="78" customWidth="1"/>
    <col min="4629" max="4629" width="9" style="78"/>
    <col min="4630" max="4630" width="9" style="78" customWidth="1"/>
    <col min="4631" max="4636" width="9" style="78"/>
    <col min="4637" max="4637" width="26.5" style="78" customWidth="1"/>
    <col min="4638" max="4640" width="9" style="78"/>
    <col min="4641" max="4641" width="14.75" style="78" bestFit="1" customWidth="1"/>
    <col min="4642" max="4864" width="9" style="78"/>
    <col min="4865" max="4867" width="9" style="78" customWidth="1"/>
    <col min="4868" max="4868" width="10.5" style="78" customWidth="1"/>
    <col min="4869" max="4869" width="11.25" style="78" bestFit="1" customWidth="1"/>
    <col min="4870" max="4871" width="9" style="78"/>
    <col min="4872" max="4881" width="9" style="78" customWidth="1"/>
    <col min="4882" max="4882" width="9" style="78"/>
    <col min="4883" max="4883" width="9.5" style="78" bestFit="1" customWidth="1"/>
    <col min="4884" max="4884" width="9" style="78" customWidth="1"/>
    <col min="4885" max="4885" width="9" style="78"/>
    <col min="4886" max="4886" width="9" style="78" customWidth="1"/>
    <col min="4887" max="4892" width="9" style="78"/>
    <col min="4893" max="4893" width="26.5" style="78" customWidth="1"/>
    <col min="4894" max="4896" width="9" style="78"/>
    <col min="4897" max="4897" width="14.75" style="78" bestFit="1" customWidth="1"/>
    <col min="4898" max="5120" width="9" style="78"/>
    <col min="5121" max="5123" width="9" style="78" customWidth="1"/>
    <col min="5124" max="5124" width="10.5" style="78" customWidth="1"/>
    <col min="5125" max="5125" width="11.25" style="78" bestFit="1" customWidth="1"/>
    <col min="5126" max="5127" width="9" style="78"/>
    <col min="5128" max="5137" width="9" style="78" customWidth="1"/>
    <col min="5138" max="5138" width="9" style="78"/>
    <col min="5139" max="5139" width="9.5" style="78" bestFit="1" customWidth="1"/>
    <col min="5140" max="5140" width="9" style="78" customWidth="1"/>
    <col min="5141" max="5141" width="9" style="78"/>
    <col min="5142" max="5142" width="9" style="78" customWidth="1"/>
    <col min="5143" max="5148" width="9" style="78"/>
    <col min="5149" max="5149" width="26.5" style="78" customWidth="1"/>
    <col min="5150" max="5152" width="9" style="78"/>
    <col min="5153" max="5153" width="14.75" style="78" bestFit="1" customWidth="1"/>
    <col min="5154" max="5376" width="9" style="78"/>
    <col min="5377" max="5379" width="9" style="78" customWidth="1"/>
    <col min="5380" max="5380" width="10.5" style="78" customWidth="1"/>
    <col min="5381" max="5381" width="11.25" style="78" bestFit="1" customWidth="1"/>
    <col min="5382" max="5383" width="9" style="78"/>
    <col min="5384" max="5393" width="9" style="78" customWidth="1"/>
    <col min="5394" max="5394" width="9" style="78"/>
    <col min="5395" max="5395" width="9.5" style="78" bestFit="1" customWidth="1"/>
    <col min="5396" max="5396" width="9" style="78" customWidth="1"/>
    <col min="5397" max="5397" width="9" style="78"/>
    <col min="5398" max="5398" width="9" style="78" customWidth="1"/>
    <col min="5399" max="5404" width="9" style="78"/>
    <col min="5405" max="5405" width="26.5" style="78" customWidth="1"/>
    <col min="5406" max="5408" width="9" style="78"/>
    <col min="5409" max="5409" width="14.75" style="78" bestFit="1" customWidth="1"/>
    <col min="5410" max="5632" width="9" style="78"/>
    <col min="5633" max="5635" width="9" style="78" customWidth="1"/>
    <col min="5636" max="5636" width="10.5" style="78" customWidth="1"/>
    <col min="5637" max="5637" width="11.25" style="78" bestFit="1" customWidth="1"/>
    <col min="5638" max="5639" width="9" style="78"/>
    <col min="5640" max="5649" width="9" style="78" customWidth="1"/>
    <col min="5650" max="5650" width="9" style="78"/>
    <col min="5651" max="5651" width="9.5" style="78" bestFit="1" customWidth="1"/>
    <col min="5652" max="5652" width="9" style="78" customWidth="1"/>
    <col min="5653" max="5653" width="9" style="78"/>
    <col min="5654" max="5654" width="9" style="78" customWidth="1"/>
    <col min="5655" max="5660" width="9" style="78"/>
    <col min="5661" max="5661" width="26.5" style="78" customWidth="1"/>
    <col min="5662" max="5664" width="9" style="78"/>
    <col min="5665" max="5665" width="14.75" style="78" bestFit="1" customWidth="1"/>
    <col min="5666" max="5888" width="9" style="78"/>
    <col min="5889" max="5891" width="9" style="78" customWidth="1"/>
    <col min="5892" max="5892" width="10.5" style="78" customWidth="1"/>
    <col min="5893" max="5893" width="11.25" style="78" bestFit="1" customWidth="1"/>
    <col min="5894" max="5895" width="9" style="78"/>
    <col min="5896" max="5905" width="9" style="78" customWidth="1"/>
    <col min="5906" max="5906" width="9" style="78"/>
    <col min="5907" max="5907" width="9.5" style="78" bestFit="1" customWidth="1"/>
    <col min="5908" max="5908" width="9" style="78" customWidth="1"/>
    <col min="5909" max="5909" width="9" style="78"/>
    <col min="5910" max="5910" width="9" style="78" customWidth="1"/>
    <col min="5911" max="5916" width="9" style="78"/>
    <col min="5917" max="5917" width="26.5" style="78" customWidth="1"/>
    <col min="5918" max="5920" width="9" style="78"/>
    <col min="5921" max="5921" width="14.75" style="78" bestFit="1" customWidth="1"/>
    <col min="5922" max="6144" width="9" style="78"/>
    <col min="6145" max="6147" width="9" style="78" customWidth="1"/>
    <col min="6148" max="6148" width="10.5" style="78" customWidth="1"/>
    <col min="6149" max="6149" width="11.25" style="78" bestFit="1" customWidth="1"/>
    <col min="6150" max="6151" width="9" style="78"/>
    <col min="6152" max="6161" width="9" style="78" customWidth="1"/>
    <col min="6162" max="6162" width="9" style="78"/>
    <col min="6163" max="6163" width="9.5" style="78" bestFit="1" customWidth="1"/>
    <col min="6164" max="6164" width="9" style="78" customWidth="1"/>
    <col min="6165" max="6165" width="9" style="78"/>
    <col min="6166" max="6166" width="9" style="78" customWidth="1"/>
    <col min="6167" max="6172" width="9" style="78"/>
    <col min="6173" max="6173" width="26.5" style="78" customWidth="1"/>
    <col min="6174" max="6176" width="9" style="78"/>
    <col min="6177" max="6177" width="14.75" style="78" bestFit="1" customWidth="1"/>
    <col min="6178" max="6400" width="9" style="78"/>
    <col min="6401" max="6403" width="9" style="78" customWidth="1"/>
    <col min="6404" max="6404" width="10.5" style="78" customWidth="1"/>
    <col min="6405" max="6405" width="11.25" style="78" bestFit="1" customWidth="1"/>
    <col min="6406" max="6407" width="9" style="78"/>
    <col min="6408" max="6417" width="9" style="78" customWidth="1"/>
    <col min="6418" max="6418" width="9" style="78"/>
    <col min="6419" max="6419" width="9.5" style="78" bestFit="1" customWidth="1"/>
    <col min="6420" max="6420" width="9" style="78" customWidth="1"/>
    <col min="6421" max="6421" width="9" style="78"/>
    <col min="6422" max="6422" width="9" style="78" customWidth="1"/>
    <col min="6423" max="6428" width="9" style="78"/>
    <col min="6429" max="6429" width="26.5" style="78" customWidth="1"/>
    <col min="6430" max="6432" width="9" style="78"/>
    <col min="6433" max="6433" width="14.75" style="78" bestFit="1" customWidth="1"/>
    <col min="6434" max="6656" width="9" style="78"/>
    <col min="6657" max="6659" width="9" style="78" customWidth="1"/>
    <col min="6660" max="6660" width="10.5" style="78" customWidth="1"/>
    <col min="6661" max="6661" width="11.25" style="78" bestFit="1" customWidth="1"/>
    <col min="6662" max="6663" width="9" style="78"/>
    <col min="6664" max="6673" width="9" style="78" customWidth="1"/>
    <col min="6674" max="6674" width="9" style="78"/>
    <col min="6675" max="6675" width="9.5" style="78" bestFit="1" customWidth="1"/>
    <col min="6676" max="6676" width="9" style="78" customWidth="1"/>
    <col min="6677" max="6677" width="9" style="78"/>
    <col min="6678" max="6678" width="9" style="78" customWidth="1"/>
    <col min="6679" max="6684" width="9" style="78"/>
    <col min="6685" max="6685" width="26.5" style="78" customWidth="1"/>
    <col min="6686" max="6688" width="9" style="78"/>
    <col min="6689" max="6689" width="14.75" style="78" bestFit="1" customWidth="1"/>
    <col min="6690" max="6912" width="9" style="78"/>
    <col min="6913" max="6915" width="9" style="78" customWidth="1"/>
    <col min="6916" max="6916" width="10.5" style="78" customWidth="1"/>
    <col min="6917" max="6917" width="11.25" style="78" bestFit="1" customWidth="1"/>
    <col min="6918" max="6919" width="9" style="78"/>
    <col min="6920" max="6929" width="9" style="78" customWidth="1"/>
    <col min="6930" max="6930" width="9" style="78"/>
    <col min="6931" max="6931" width="9.5" style="78" bestFit="1" customWidth="1"/>
    <col min="6932" max="6932" width="9" style="78" customWidth="1"/>
    <col min="6933" max="6933" width="9" style="78"/>
    <col min="6934" max="6934" width="9" style="78" customWidth="1"/>
    <col min="6935" max="6940" width="9" style="78"/>
    <col min="6941" max="6941" width="26.5" style="78" customWidth="1"/>
    <col min="6942" max="6944" width="9" style="78"/>
    <col min="6945" max="6945" width="14.75" style="78" bestFit="1" customWidth="1"/>
    <col min="6946" max="7168" width="9" style="78"/>
    <col min="7169" max="7171" width="9" style="78" customWidth="1"/>
    <col min="7172" max="7172" width="10.5" style="78" customWidth="1"/>
    <col min="7173" max="7173" width="11.25" style="78" bestFit="1" customWidth="1"/>
    <col min="7174" max="7175" width="9" style="78"/>
    <col min="7176" max="7185" width="9" style="78" customWidth="1"/>
    <col min="7186" max="7186" width="9" style="78"/>
    <col min="7187" max="7187" width="9.5" style="78" bestFit="1" customWidth="1"/>
    <col min="7188" max="7188" width="9" style="78" customWidth="1"/>
    <col min="7189" max="7189" width="9" style="78"/>
    <col min="7190" max="7190" width="9" style="78" customWidth="1"/>
    <col min="7191" max="7196" width="9" style="78"/>
    <col min="7197" max="7197" width="26.5" style="78" customWidth="1"/>
    <col min="7198" max="7200" width="9" style="78"/>
    <col min="7201" max="7201" width="14.75" style="78" bestFit="1" customWidth="1"/>
    <col min="7202" max="7424" width="9" style="78"/>
    <col min="7425" max="7427" width="9" style="78" customWidth="1"/>
    <col min="7428" max="7428" width="10.5" style="78" customWidth="1"/>
    <col min="7429" max="7429" width="11.25" style="78" bestFit="1" customWidth="1"/>
    <col min="7430" max="7431" width="9" style="78"/>
    <col min="7432" max="7441" width="9" style="78" customWidth="1"/>
    <col min="7442" max="7442" width="9" style="78"/>
    <col min="7443" max="7443" width="9.5" style="78" bestFit="1" customWidth="1"/>
    <col min="7444" max="7444" width="9" style="78" customWidth="1"/>
    <col min="7445" max="7445" width="9" style="78"/>
    <col min="7446" max="7446" width="9" style="78" customWidth="1"/>
    <col min="7447" max="7452" width="9" style="78"/>
    <col min="7453" max="7453" width="26.5" style="78" customWidth="1"/>
    <col min="7454" max="7456" width="9" style="78"/>
    <col min="7457" max="7457" width="14.75" style="78" bestFit="1" customWidth="1"/>
    <col min="7458" max="7680" width="9" style="78"/>
    <col min="7681" max="7683" width="9" style="78" customWidth="1"/>
    <col min="7684" max="7684" width="10.5" style="78" customWidth="1"/>
    <col min="7685" max="7685" width="11.25" style="78" bestFit="1" customWidth="1"/>
    <col min="7686" max="7687" width="9" style="78"/>
    <col min="7688" max="7697" width="9" style="78" customWidth="1"/>
    <col min="7698" max="7698" width="9" style="78"/>
    <col min="7699" max="7699" width="9.5" style="78" bestFit="1" customWidth="1"/>
    <col min="7700" max="7700" width="9" style="78" customWidth="1"/>
    <col min="7701" max="7701" width="9" style="78"/>
    <col min="7702" max="7702" width="9" style="78" customWidth="1"/>
    <col min="7703" max="7708" width="9" style="78"/>
    <col min="7709" max="7709" width="26.5" style="78" customWidth="1"/>
    <col min="7710" max="7712" width="9" style="78"/>
    <col min="7713" max="7713" width="14.75" style="78" bestFit="1" customWidth="1"/>
    <col min="7714" max="7936" width="9" style="78"/>
    <col min="7937" max="7939" width="9" style="78" customWidth="1"/>
    <col min="7940" max="7940" width="10.5" style="78" customWidth="1"/>
    <col min="7941" max="7941" width="11.25" style="78" bestFit="1" customWidth="1"/>
    <col min="7942" max="7943" width="9" style="78"/>
    <col min="7944" max="7953" width="9" style="78" customWidth="1"/>
    <col min="7954" max="7954" width="9" style="78"/>
    <col min="7955" max="7955" width="9.5" style="78" bestFit="1" customWidth="1"/>
    <col min="7956" max="7956" width="9" style="78" customWidth="1"/>
    <col min="7957" max="7957" width="9" style="78"/>
    <col min="7958" max="7958" width="9" style="78" customWidth="1"/>
    <col min="7959" max="7964" width="9" style="78"/>
    <col min="7965" max="7965" width="26.5" style="78" customWidth="1"/>
    <col min="7966" max="7968" width="9" style="78"/>
    <col min="7969" max="7969" width="14.75" style="78" bestFit="1" customWidth="1"/>
    <col min="7970" max="8192" width="9" style="78"/>
    <col min="8193" max="8195" width="9" style="78" customWidth="1"/>
    <col min="8196" max="8196" width="10.5" style="78" customWidth="1"/>
    <col min="8197" max="8197" width="11.25" style="78" bestFit="1" customWidth="1"/>
    <col min="8198" max="8199" width="9" style="78"/>
    <col min="8200" max="8209" width="9" style="78" customWidth="1"/>
    <col min="8210" max="8210" width="9" style="78"/>
    <col min="8211" max="8211" width="9.5" style="78" bestFit="1" customWidth="1"/>
    <col min="8212" max="8212" width="9" style="78" customWidth="1"/>
    <col min="8213" max="8213" width="9" style="78"/>
    <col min="8214" max="8214" width="9" style="78" customWidth="1"/>
    <col min="8215" max="8220" width="9" style="78"/>
    <col min="8221" max="8221" width="26.5" style="78" customWidth="1"/>
    <col min="8222" max="8224" width="9" style="78"/>
    <col min="8225" max="8225" width="14.75" style="78" bestFit="1" customWidth="1"/>
    <col min="8226" max="8448" width="9" style="78"/>
    <col min="8449" max="8451" width="9" style="78" customWidth="1"/>
    <col min="8452" max="8452" width="10.5" style="78" customWidth="1"/>
    <col min="8453" max="8453" width="11.25" style="78" bestFit="1" customWidth="1"/>
    <col min="8454" max="8455" width="9" style="78"/>
    <col min="8456" max="8465" width="9" style="78" customWidth="1"/>
    <col min="8466" max="8466" width="9" style="78"/>
    <col min="8467" max="8467" width="9.5" style="78" bestFit="1" customWidth="1"/>
    <col min="8468" max="8468" width="9" style="78" customWidth="1"/>
    <col min="8469" max="8469" width="9" style="78"/>
    <col min="8470" max="8470" width="9" style="78" customWidth="1"/>
    <col min="8471" max="8476" width="9" style="78"/>
    <col min="8477" max="8477" width="26.5" style="78" customWidth="1"/>
    <col min="8478" max="8480" width="9" style="78"/>
    <col min="8481" max="8481" width="14.75" style="78" bestFit="1" customWidth="1"/>
    <col min="8482" max="8704" width="9" style="78"/>
    <col min="8705" max="8707" width="9" style="78" customWidth="1"/>
    <col min="8708" max="8708" width="10.5" style="78" customWidth="1"/>
    <col min="8709" max="8709" width="11.25" style="78" bestFit="1" customWidth="1"/>
    <col min="8710" max="8711" width="9" style="78"/>
    <col min="8712" max="8721" width="9" style="78" customWidth="1"/>
    <col min="8722" max="8722" width="9" style="78"/>
    <col min="8723" max="8723" width="9.5" style="78" bestFit="1" customWidth="1"/>
    <col min="8724" max="8724" width="9" style="78" customWidth="1"/>
    <col min="8725" max="8725" width="9" style="78"/>
    <col min="8726" max="8726" width="9" style="78" customWidth="1"/>
    <col min="8727" max="8732" width="9" style="78"/>
    <col min="8733" max="8733" width="26.5" style="78" customWidth="1"/>
    <col min="8734" max="8736" width="9" style="78"/>
    <col min="8737" max="8737" width="14.75" style="78" bestFit="1" customWidth="1"/>
    <col min="8738" max="8960" width="9" style="78"/>
    <col min="8961" max="8963" width="9" style="78" customWidth="1"/>
    <col min="8964" max="8964" width="10.5" style="78" customWidth="1"/>
    <col min="8965" max="8965" width="11.25" style="78" bestFit="1" customWidth="1"/>
    <col min="8966" max="8967" width="9" style="78"/>
    <col min="8968" max="8977" width="9" style="78" customWidth="1"/>
    <col min="8978" max="8978" width="9" style="78"/>
    <col min="8979" max="8979" width="9.5" style="78" bestFit="1" customWidth="1"/>
    <col min="8980" max="8980" width="9" style="78" customWidth="1"/>
    <col min="8981" max="8981" width="9" style="78"/>
    <col min="8982" max="8982" width="9" style="78" customWidth="1"/>
    <col min="8983" max="8988" width="9" style="78"/>
    <col min="8989" max="8989" width="26.5" style="78" customWidth="1"/>
    <col min="8990" max="8992" width="9" style="78"/>
    <col min="8993" max="8993" width="14.75" style="78" bestFit="1" customWidth="1"/>
    <col min="8994" max="9216" width="9" style="78"/>
    <col min="9217" max="9219" width="9" style="78" customWidth="1"/>
    <col min="9220" max="9220" width="10.5" style="78" customWidth="1"/>
    <col min="9221" max="9221" width="11.25" style="78" bestFit="1" customWidth="1"/>
    <col min="9222" max="9223" width="9" style="78"/>
    <col min="9224" max="9233" width="9" style="78" customWidth="1"/>
    <col min="9234" max="9234" width="9" style="78"/>
    <col min="9235" max="9235" width="9.5" style="78" bestFit="1" customWidth="1"/>
    <col min="9236" max="9236" width="9" style="78" customWidth="1"/>
    <col min="9237" max="9237" width="9" style="78"/>
    <col min="9238" max="9238" width="9" style="78" customWidth="1"/>
    <col min="9239" max="9244" width="9" style="78"/>
    <col min="9245" max="9245" width="26.5" style="78" customWidth="1"/>
    <col min="9246" max="9248" width="9" style="78"/>
    <col min="9249" max="9249" width="14.75" style="78" bestFit="1" customWidth="1"/>
    <col min="9250" max="9472" width="9" style="78"/>
    <col min="9473" max="9475" width="9" style="78" customWidth="1"/>
    <col min="9476" max="9476" width="10.5" style="78" customWidth="1"/>
    <col min="9477" max="9477" width="11.25" style="78" bestFit="1" customWidth="1"/>
    <col min="9478" max="9479" width="9" style="78"/>
    <col min="9480" max="9489" width="9" style="78" customWidth="1"/>
    <col min="9490" max="9490" width="9" style="78"/>
    <col min="9491" max="9491" width="9.5" style="78" bestFit="1" customWidth="1"/>
    <col min="9492" max="9492" width="9" style="78" customWidth="1"/>
    <col min="9493" max="9493" width="9" style="78"/>
    <col min="9494" max="9494" width="9" style="78" customWidth="1"/>
    <col min="9495" max="9500" width="9" style="78"/>
    <col min="9501" max="9501" width="26.5" style="78" customWidth="1"/>
    <col min="9502" max="9504" width="9" style="78"/>
    <col min="9505" max="9505" width="14.75" style="78" bestFit="1" customWidth="1"/>
    <col min="9506" max="9728" width="9" style="78"/>
    <col min="9729" max="9731" width="9" style="78" customWidth="1"/>
    <col min="9732" max="9732" width="10.5" style="78" customWidth="1"/>
    <col min="9733" max="9733" width="11.25" style="78" bestFit="1" customWidth="1"/>
    <col min="9734" max="9735" width="9" style="78"/>
    <col min="9736" max="9745" width="9" style="78" customWidth="1"/>
    <col min="9746" max="9746" width="9" style="78"/>
    <col min="9747" max="9747" width="9.5" style="78" bestFit="1" customWidth="1"/>
    <col min="9748" max="9748" width="9" style="78" customWidth="1"/>
    <col min="9749" max="9749" width="9" style="78"/>
    <col min="9750" max="9750" width="9" style="78" customWidth="1"/>
    <col min="9751" max="9756" width="9" style="78"/>
    <col min="9757" max="9757" width="26.5" style="78" customWidth="1"/>
    <col min="9758" max="9760" width="9" style="78"/>
    <col min="9761" max="9761" width="14.75" style="78" bestFit="1" customWidth="1"/>
    <col min="9762" max="9984" width="9" style="78"/>
    <col min="9985" max="9987" width="9" style="78" customWidth="1"/>
    <col min="9988" max="9988" width="10.5" style="78" customWidth="1"/>
    <col min="9989" max="9989" width="11.25" style="78" bestFit="1" customWidth="1"/>
    <col min="9990" max="9991" width="9" style="78"/>
    <col min="9992" max="10001" width="9" style="78" customWidth="1"/>
    <col min="10002" max="10002" width="9" style="78"/>
    <col min="10003" max="10003" width="9.5" style="78" bestFit="1" customWidth="1"/>
    <col min="10004" max="10004" width="9" style="78" customWidth="1"/>
    <col min="10005" max="10005" width="9" style="78"/>
    <col min="10006" max="10006" width="9" style="78" customWidth="1"/>
    <col min="10007" max="10012" width="9" style="78"/>
    <col min="10013" max="10013" width="26.5" style="78" customWidth="1"/>
    <col min="10014" max="10016" width="9" style="78"/>
    <col min="10017" max="10017" width="14.75" style="78" bestFit="1" customWidth="1"/>
    <col min="10018" max="10240" width="9" style="78"/>
    <col min="10241" max="10243" width="9" style="78" customWidth="1"/>
    <col min="10244" max="10244" width="10.5" style="78" customWidth="1"/>
    <col min="10245" max="10245" width="11.25" style="78" bestFit="1" customWidth="1"/>
    <col min="10246" max="10247" width="9" style="78"/>
    <col min="10248" max="10257" width="9" style="78" customWidth="1"/>
    <col min="10258" max="10258" width="9" style="78"/>
    <col min="10259" max="10259" width="9.5" style="78" bestFit="1" customWidth="1"/>
    <col min="10260" max="10260" width="9" style="78" customWidth="1"/>
    <col min="10261" max="10261" width="9" style="78"/>
    <col min="10262" max="10262" width="9" style="78" customWidth="1"/>
    <col min="10263" max="10268" width="9" style="78"/>
    <col min="10269" max="10269" width="26.5" style="78" customWidth="1"/>
    <col min="10270" max="10272" width="9" style="78"/>
    <col min="10273" max="10273" width="14.75" style="78" bestFit="1" customWidth="1"/>
    <col min="10274" max="10496" width="9" style="78"/>
    <col min="10497" max="10499" width="9" style="78" customWidth="1"/>
    <col min="10500" max="10500" width="10.5" style="78" customWidth="1"/>
    <col min="10501" max="10501" width="11.25" style="78" bestFit="1" customWidth="1"/>
    <col min="10502" max="10503" width="9" style="78"/>
    <col min="10504" max="10513" width="9" style="78" customWidth="1"/>
    <col min="10514" max="10514" width="9" style="78"/>
    <col min="10515" max="10515" width="9.5" style="78" bestFit="1" customWidth="1"/>
    <col min="10516" max="10516" width="9" style="78" customWidth="1"/>
    <col min="10517" max="10517" width="9" style="78"/>
    <col min="10518" max="10518" width="9" style="78" customWidth="1"/>
    <col min="10519" max="10524" width="9" style="78"/>
    <col min="10525" max="10525" width="26.5" style="78" customWidth="1"/>
    <col min="10526" max="10528" width="9" style="78"/>
    <col min="10529" max="10529" width="14.75" style="78" bestFit="1" customWidth="1"/>
    <col min="10530" max="10752" width="9" style="78"/>
    <col min="10753" max="10755" width="9" style="78" customWidth="1"/>
    <col min="10756" max="10756" width="10.5" style="78" customWidth="1"/>
    <col min="10757" max="10757" width="11.25" style="78" bestFit="1" customWidth="1"/>
    <col min="10758" max="10759" width="9" style="78"/>
    <col min="10760" max="10769" width="9" style="78" customWidth="1"/>
    <col min="10770" max="10770" width="9" style="78"/>
    <col min="10771" max="10771" width="9.5" style="78" bestFit="1" customWidth="1"/>
    <col min="10772" max="10772" width="9" style="78" customWidth="1"/>
    <col min="10773" max="10773" width="9" style="78"/>
    <col min="10774" max="10774" width="9" style="78" customWidth="1"/>
    <col min="10775" max="10780" width="9" style="78"/>
    <col min="10781" max="10781" width="26.5" style="78" customWidth="1"/>
    <col min="10782" max="10784" width="9" style="78"/>
    <col min="10785" max="10785" width="14.75" style="78" bestFit="1" customWidth="1"/>
    <col min="10786" max="11008" width="9" style="78"/>
    <col min="11009" max="11011" width="9" style="78" customWidth="1"/>
    <col min="11012" max="11012" width="10.5" style="78" customWidth="1"/>
    <col min="11013" max="11013" width="11.25" style="78" bestFit="1" customWidth="1"/>
    <col min="11014" max="11015" width="9" style="78"/>
    <col min="11016" max="11025" width="9" style="78" customWidth="1"/>
    <col min="11026" max="11026" width="9" style="78"/>
    <col min="11027" max="11027" width="9.5" style="78" bestFit="1" customWidth="1"/>
    <col min="11028" max="11028" width="9" style="78" customWidth="1"/>
    <col min="11029" max="11029" width="9" style="78"/>
    <col min="11030" max="11030" width="9" style="78" customWidth="1"/>
    <col min="11031" max="11036" width="9" style="78"/>
    <col min="11037" max="11037" width="26.5" style="78" customWidth="1"/>
    <col min="11038" max="11040" width="9" style="78"/>
    <col min="11041" max="11041" width="14.75" style="78" bestFit="1" customWidth="1"/>
    <col min="11042" max="11264" width="9" style="78"/>
    <col min="11265" max="11267" width="9" style="78" customWidth="1"/>
    <col min="11268" max="11268" width="10.5" style="78" customWidth="1"/>
    <col min="11269" max="11269" width="11.25" style="78" bestFit="1" customWidth="1"/>
    <col min="11270" max="11271" width="9" style="78"/>
    <col min="11272" max="11281" width="9" style="78" customWidth="1"/>
    <col min="11282" max="11282" width="9" style="78"/>
    <col min="11283" max="11283" width="9.5" style="78" bestFit="1" customWidth="1"/>
    <col min="11284" max="11284" width="9" style="78" customWidth="1"/>
    <col min="11285" max="11285" width="9" style="78"/>
    <col min="11286" max="11286" width="9" style="78" customWidth="1"/>
    <col min="11287" max="11292" width="9" style="78"/>
    <col min="11293" max="11293" width="26.5" style="78" customWidth="1"/>
    <col min="11294" max="11296" width="9" style="78"/>
    <col min="11297" max="11297" width="14.75" style="78" bestFit="1" customWidth="1"/>
    <col min="11298" max="11520" width="9" style="78"/>
    <col min="11521" max="11523" width="9" style="78" customWidth="1"/>
    <col min="11524" max="11524" width="10.5" style="78" customWidth="1"/>
    <col min="11525" max="11525" width="11.25" style="78" bestFit="1" customWidth="1"/>
    <col min="11526" max="11527" width="9" style="78"/>
    <col min="11528" max="11537" width="9" style="78" customWidth="1"/>
    <col min="11538" max="11538" width="9" style="78"/>
    <col min="11539" max="11539" width="9.5" style="78" bestFit="1" customWidth="1"/>
    <col min="11540" max="11540" width="9" style="78" customWidth="1"/>
    <col min="11541" max="11541" width="9" style="78"/>
    <col min="11542" max="11542" width="9" style="78" customWidth="1"/>
    <col min="11543" max="11548" width="9" style="78"/>
    <col min="11549" max="11549" width="26.5" style="78" customWidth="1"/>
    <col min="11550" max="11552" width="9" style="78"/>
    <col min="11553" max="11553" width="14.75" style="78" bestFit="1" customWidth="1"/>
    <col min="11554" max="11776" width="9" style="78"/>
    <col min="11777" max="11779" width="9" style="78" customWidth="1"/>
    <col min="11780" max="11780" width="10.5" style="78" customWidth="1"/>
    <col min="11781" max="11781" width="11.25" style="78" bestFit="1" customWidth="1"/>
    <col min="11782" max="11783" width="9" style="78"/>
    <col min="11784" max="11793" width="9" style="78" customWidth="1"/>
    <col min="11794" max="11794" width="9" style="78"/>
    <col min="11795" max="11795" width="9.5" style="78" bestFit="1" customWidth="1"/>
    <col min="11796" max="11796" width="9" style="78" customWidth="1"/>
    <col min="11797" max="11797" width="9" style="78"/>
    <col min="11798" max="11798" width="9" style="78" customWidth="1"/>
    <col min="11799" max="11804" width="9" style="78"/>
    <col min="11805" max="11805" width="26.5" style="78" customWidth="1"/>
    <col min="11806" max="11808" width="9" style="78"/>
    <col min="11809" max="11809" width="14.75" style="78" bestFit="1" customWidth="1"/>
    <col min="11810" max="12032" width="9" style="78"/>
    <col min="12033" max="12035" width="9" style="78" customWidth="1"/>
    <col min="12036" max="12036" width="10.5" style="78" customWidth="1"/>
    <col min="12037" max="12037" width="11.25" style="78" bestFit="1" customWidth="1"/>
    <col min="12038" max="12039" width="9" style="78"/>
    <col min="12040" max="12049" width="9" style="78" customWidth="1"/>
    <col min="12050" max="12050" width="9" style="78"/>
    <col min="12051" max="12051" width="9.5" style="78" bestFit="1" customWidth="1"/>
    <col min="12052" max="12052" width="9" style="78" customWidth="1"/>
    <col min="12053" max="12053" width="9" style="78"/>
    <col min="12054" max="12054" width="9" style="78" customWidth="1"/>
    <col min="12055" max="12060" width="9" style="78"/>
    <col min="12061" max="12061" width="26.5" style="78" customWidth="1"/>
    <col min="12062" max="12064" width="9" style="78"/>
    <col min="12065" max="12065" width="14.75" style="78" bestFit="1" customWidth="1"/>
    <col min="12066" max="12288" width="9" style="78"/>
    <col min="12289" max="12291" width="9" style="78" customWidth="1"/>
    <col min="12292" max="12292" width="10.5" style="78" customWidth="1"/>
    <col min="12293" max="12293" width="11.25" style="78" bestFit="1" customWidth="1"/>
    <col min="12294" max="12295" width="9" style="78"/>
    <col min="12296" max="12305" width="9" style="78" customWidth="1"/>
    <col min="12306" max="12306" width="9" style="78"/>
    <col min="12307" max="12307" width="9.5" style="78" bestFit="1" customWidth="1"/>
    <col min="12308" max="12308" width="9" style="78" customWidth="1"/>
    <col min="12309" max="12309" width="9" style="78"/>
    <col min="12310" max="12310" width="9" style="78" customWidth="1"/>
    <col min="12311" max="12316" width="9" style="78"/>
    <col min="12317" max="12317" width="26.5" style="78" customWidth="1"/>
    <col min="12318" max="12320" width="9" style="78"/>
    <col min="12321" max="12321" width="14.75" style="78" bestFit="1" customWidth="1"/>
    <col min="12322" max="12544" width="9" style="78"/>
    <col min="12545" max="12547" width="9" style="78" customWidth="1"/>
    <col min="12548" max="12548" width="10.5" style="78" customWidth="1"/>
    <col min="12549" max="12549" width="11.25" style="78" bestFit="1" customWidth="1"/>
    <col min="12550" max="12551" width="9" style="78"/>
    <col min="12552" max="12561" width="9" style="78" customWidth="1"/>
    <col min="12562" max="12562" width="9" style="78"/>
    <col min="12563" max="12563" width="9.5" style="78" bestFit="1" customWidth="1"/>
    <col min="12564" max="12564" width="9" style="78" customWidth="1"/>
    <col min="12565" max="12565" width="9" style="78"/>
    <col min="12566" max="12566" width="9" style="78" customWidth="1"/>
    <col min="12567" max="12572" width="9" style="78"/>
    <col min="12573" max="12573" width="26.5" style="78" customWidth="1"/>
    <col min="12574" max="12576" width="9" style="78"/>
    <col min="12577" max="12577" width="14.75" style="78" bestFit="1" customWidth="1"/>
    <col min="12578" max="12800" width="9" style="78"/>
    <col min="12801" max="12803" width="9" style="78" customWidth="1"/>
    <col min="12804" max="12804" width="10.5" style="78" customWidth="1"/>
    <col min="12805" max="12805" width="11.25" style="78" bestFit="1" customWidth="1"/>
    <col min="12806" max="12807" width="9" style="78"/>
    <col min="12808" max="12817" width="9" style="78" customWidth="1"/>
    <col min="12818" max="12818" width="9" style="78"/>
    <col min="12819" max="12819" width="9.5" style="78" bestFit="1" customWidth="1"/>
    <col min="12820" max="12820" width="9" style="78" customWidth="1"/>
    <col min="12821" max="12821" width="9" style="78"/>
    <col min="12822" max="12822" width="9" style="78" customWidth="1"/>
    <col min="12823" max="12828" width="9" style="78"/>
    <col min="12829" max="12829" width="26.5" style="78" customWidth="1"/>
    <col min="12830" max="12832" width="9" style="78"/>
    <col min="12833" max="12833" width="14.75" style="78" bestFit="1" customWidth="1"/>
    <col min="12834" max="13056" width="9" style="78"/>
    <col min="13057" max="13059" width="9" style="78" customWidth="1"/>
    <col min="13060" max="13060" width="10.5" style="78" customWidth="1"/>
    <col min="13061" max="13061" width="11.25" style="78" bestFit="1" customWidth="1"/>
    <col min="13062" max="13063" width="9" style="78"/>
    <col min="13064" max="13073" width="9" style="78" customWidth="1"/>
    <col min="13074" max="13074" width="9" style="78"/>
    <col min="13075" max="13075" width="9.5" style="78" bestFit="1" customWidth="1"/>
    <col min="13076" max="13076" width="9" style="78" customWidth="1"/>
    <col min="13077" max="13077" width="9" style="78"/>
    <col min="13078" max="13078" width="9" style="78" customWidth="1"/>
    <col min="13079" max="13084" width="9" style="78"/>
    <col min="13085" max="13085" width="26.5" style="78" customWidth="1"/>
    <col min="13086" max="13088" width="9" style="78"/>
    <col min="13089" max="13089" width="14.75" style="78" bestFit="1" customWidth="1"/>
    <col min="13090" max="13312" width="9" style="78"/>
    <col min="13313" max="13315" width="9" style="78" customWidth="1"/>
    <col min="13316" max="13316" width="10.5" style="78" customWidth="1"/>
    <col min="13317" max="13317" width="11.25" style="78" bestFit="1" customWidth="1"/>
    <col min="13318" max="13319" width="9" style="78"/>
    <col min="13320" max="13329" width="9" style="78" customWidth="1"/>
    <col min="13330" max="13330" width="9" style="78"/>
    <col min="13331" max="13331" width="9.5" style="78" bestFit="1" customWidth="1"/>
    <col min="13332" max="13332" width="9" style="78" customWidth="1"/>
    <col min="13333" max="13333" width="9" style="78"/>
    <col min="13334" max="13334" width="9" style="78" customWidth="1"/>
    <col min="13335" max="13340" width="9" style="78"/>
    <col min="13341" max="13341" width="26.5" style="78" customWidth="1"/>
    <col min="13342" max="13344" width="9" style="78"/>
    <col min="13345" max="13345" width="14.75" style="78" bestFit="1" customWidth="1"/>
    <col min="13346" max="13568" width="9" style="78"/>
    <col min="13569" max="13571" width="9" style="78" customWidth="1"/>
    <col min="13572" max="13572" width="10.5" style="78" customWidth="1"/>
    <col min="13573" max="13573" width="11.25" style="78" bestFit="1" customWidth="1"/>
    <col min="13574" max="13575" width="9" style="78"/>
    <col min="13576" max="13585" width="9" style="78" customWidth="1"/>
    <col min="13586" max="13586" width="9" style="78"/>
    <col min="13587" max="13587" width="9.5" style="78" bestFit="1" customWidth="1"/>
    <col min="13588" max="13588" width="9" style="78" customWidth="1"/>
    <col min="13589" max="13589" width="9" style="78"/>
    <col min="13590" max="13590" width="9" style="78" customWidth="1"/>
    <col min="13591" max="13596" width="9" style="78"/>
    <col min="13597" max="13597" width="26.5" style="78" customWidth="1"/>
    <col min="13598" max="13600" width="9" style="78"/>
    <col min="13601" max="13601" width="14.75" style="78" bestFit="1" customWidth="1"/>
    <col min="13602" max="13824" width="9" style="78"/>
    <col min="13825" max="13827" width="9" style="78" customWidth="1"/>
    <col min="13828" max="13828" width="10.5" style="78" customWidth="1"/>
    <col min="13829" max="13829" width="11.25" style="78" bestFit="1" customWidth="1"/>
    <col min="13830" max="13831" width="9" style="78"/>
    <col min="13832" max="13841" width="9" style="78" customWidth="1"/>
    <col min="13842" max="13842" width="9" style="78"/>
    <col min="13843" max="13843" width="9.5" style="78" bestFit="1" customWidth="1"/>
    <col min="13844" max="13844" width="9" style="78" customWidth="1"/>
    <col min="13845" max="13845" width="9" style="78"/>
    <col min="13846" max="13846" width="9" style="78" customWidth="1"/>
    <col min="13847" max="13852" width="9" style="78"/>
    <col min="13853" max="13853" width="26.5" style="78" customWidth="1"/>
    <col min="13854" max="13856" width="9" style="78"/>
    <col min="13857" max="13857" width="14.75" style="78" bestFit="1" customWidth="1"/>
    <col min="13858" max="14080" width="9" style="78"/>
    <col min="14081" max="14083" width="9" style="78" customWidth="1"/>
    <col min="14084" max="14084" width="10.5" style="78" customWidth="1"/>
    <col min="14085" max="14085" width="11.25" style="78" bestFit="1" customWidth="1"/>
    <col min="14086" max="14087" width="9" style="78"/>
    <col min="14088" max="14097" width="9" style="78" customWidth="1"/>
    <col min="14098" max="14098" width="9" style="78"/>
    <col min="14099" max="14099" width="9.5" style="78" bestFit="1" customWidth="1"/>
    <col min="14100" max="14100" width="9" style="78" customWidth="1"/>
    <col min="14101" max="14101" width="9" style="78"/>
    <col min="14102" max="14102" width="9" style="78" customWidth="1"/>
    <col min="14103" max="14108" width="9" style="78"/>
    <col min="14109" max="14109" width="26.5" style="78" customWidth="1"/>
    <col min="14110" max="14112" width="9" style="78"/>
    <col min="14113" max="14113" width="14.75" style="78" bestFit="1" customWidth="1"/>
    <col min="14114" max="14336" width="9" style="78"/>
    <col min="14337" max="14339" width="9" style="78" customWidth="1"/>
    <col min="14340" max="14340" width="10.5" style="78" customWidth="1"/>
    <col min="14341" max="14341" width="11.25" style="78" bestFit="1" customWidth="1"/>
    <col min="14342" max="14343" width="9" style="78"/>
    <col min="14344" max="14353" width="9" style="78" customWidth="1"/>
    <col min="14354" max="14354" width="9" style="78"/>
    <col min="14355" max="14355" width="9.5" style="78" bestFit="1" customWidth="1"/>
    <col min="14356" max="14356" width="9" style="78" customWidth="1"/>
    <col min="14357" max="14357" width="9" style="78"/>
    <col min="14358" max="14358" width="9" style="78" customWidth="1"/>
    <col min="14359" max="14364" width="9" style="78"/>
    <col min="14365" max="14365" width="26.5" style="78" customWidth="1"/>
    <col min="14366" max="14368" width="9" style="78"/>
    <col min="14369" max="14369" width="14.75" style="78" bestFit="1" customWidth="1"/>
    <col min="14370" max="14592" width="9" style="78"/>
    <col min="14593" max="14595" width="9" style="78" customWidth="1"/>
    <col min="14596" max="14596" width="10.5" style="78" customWidth="1"/>
    <col min="14597" max="14597" width="11.25" style="78" bestFit="1" customWidth="1"/>
    <col min="14598" max="14599" width="9" style="78"/>
    <col min="14600" max="14609" width="9" style="78" customWidth="1"/>
    <col min="14610" max="14610" width="9" style="78"/>
    <col min="14611" max="14611" width="9.5" style="78" bestFit="1" customWidth="1"/>
    <col min="14612" max="14612" width="9" style="78" customWidth="1"/>
    <col min="14613" max="14613" width="9" style="78"/>
    <col min="14614" max="14614" width="9" style="78" customWidth="1"/>
    <col min="14615" max="14620" width="9" style="78"/>
    <col min="14621" max="14621" width="26.5" style="78" customWidth="1"/>
    <col min="14622" max="14624" width="9" style="78"/>
    <col min="14625" max="14625" width="14.75" style="78" bestFit="1" customWidth="1"/>
    <col min="14626" max="14848" width="9" style="78"/>
    <col min="14849" max="14851" width="9" style="78" customWidth="1"/>
    <col min="14852" max="14852" width="10.5" style="78" customWidth="1"/>
    <col min="14853" max="14853" width="11.25" style="78" bestFit="1" customWidth="1"/>
    <col min="14854" max="14855" width="9" style="78"/>
    <col min="14856" max="14865" width="9" style="78" customWidth="1"/>
    <col min="14866" max="14866" width="9" style="78"/>
    <col min="14867" max="14867" width="9.5" style="78" bestFit="1" customWidth="1"/>
    <col min="14868" max="14868" width="9" style="78" customWidth="1"/>
    <col min="14869" max="14869" width="9" style="78"/>
    <col min="14870" max="14870" width="9" style="78" customWidth="1"/>
    <col min="14871" max="14876" width="9" style="78"/>
    <col min="14877" max="14877" width="26.5" style="78" customWidth="1"/>
    <col min="14878" max="14880" width="9" style="78"/>
    <col min="14881" max="14881" width="14.75" style="78" bestFit="1" customWidth="1"/>
    <col min="14882" max="15104" width="9" style="78"/>
    <col min="15105" max="15107" width="9" style="78" customWidth="1"/>
    <col min="15108" max="15108" width="10.5" style="78" customWidth="1"/>
    <col min="15109" max="15109" width="11.25" style="78" bestFit="1" customWidth="1"/>
    <col min="15110" max="15111" width="9" style="78"/>
    <col min="15112" max="15121" width="9" style="78" customWidth="1"/>
    <col min="15122" max="15122" width="9" style="78"/>
    <col min="15123" max="15123" width="9.5" style="78" bestFit="1" customWidth="1"/>
    <col min="15124" max="15124" width="9" style="78" customWidth="1"/>
    <col min="15125" max="15125" width="9" style="78"/>
    <col min="15126" max="15126" width="9" style="78" customWidth="1"/>
    <col min="15127" max="15132" width="9" style="78"/>
    <col min="15133" max="15133" width="26.5" style="78" customWidth="1"/>
    <col min="15134" max="15136" width="9" style="78"/>
    <col min="15137" max="15137" width="14.75" style="78" bestFit="1" customWidth="1"/>
    <col min="15138" max="15360" width="9" style="78"/>
    <col min="15361" max="15363" width="9" style="78" customWidth="1"/>
    <col min="15364" max="15364" width="10.5" style="78" customWidth="1"/>
    <col min="15365" max="15365" width="11.25" style="78" bestFit="1" customWidth="1"/>
    <col min="15366" max="15367" width="9" style="78"/>
    <col min="15368" max="15377" width="9" style="78" customWidth="1"/>
    <col min="15378" max="15378" width="9" style="78"/>
    <col min="15379" max="15379" width="9.5" style="78" bestFit="1" customWidth="1"/>
    <col min="15380" max="15380" width="9" style="78" customWidth="1"/>
    <col min="15381" max="15381" width="9" style="78"/>
    <col min="15382" max="15382" width="9" style="78" customWidth="1"/>
    <col min="15383" max="15388" width="9" style="78"/>
    <col min="15389" max="15389" width="26.5" style="78" customWidth="1"/>
    <col min="15390" max="15392" width="9" style="78"/>
    <col min="15393" max="15393" width="14.75" style="78" bestFit="1" customWidth="1"/>
    <col min="15394" max="15616" width="9" style="78"/>
    <col min="15617" max="15619" width="9" style="78" customWidth="1"/>
    <col min="15620" max="15620" width="10.5" style="78" customWidth="1"/>
    <col min="15621" max="15621" width="11.25" style="78" bestFit="1" customWidth="1"/>
    <col min="15622" max="15623" width="9" style="78"/>
    <col min="15624" max="15633" width="9" style="78" customWidth="1"/>
    <col min="15634" max="15634" width="9" style="78"/>
    <col min="15635" max="15635" width="9.5" style="78" bestFit="1" customWidth="1"/>
    <col min="15636" max="15636" width="9" style="78" customWidth="1"/>
    <col min="15637" max="15637" width="9" style="78"/>
    <col min="15638" max="15638" width="9" style="78" customWidth="1"/>
    <col min="15639" max="15644" width="9" style="78"/>
    <col min="15645" max="15645" width="26.5" style="78" customWidth="1"/>
    <col min="15646" max="15648" width="9" style="78"/>
    <col min="15649" max="15649" width="14.75" style="78" bestFit="1" customWidth="1"/>
    <col min="15650" max="15872" width="9" style="78"/>
    <col min="15873" max="15875" width="9" style="78" customWidth="1"/>
    <col min="15876" max="15876" width="10.5" style="78" customWidth="1"/>
    <col min="15877" max="15877" width="11.25" style="78" bestFit="1" customWidth="1"/>
    <col min="15878" max="15879" width="9" style="78"/>
    <col min="15880" max="15889" width="9" style="78" customWidth="1"/>
    <col min="15890" max="15890" width="9" style="78"/>
    <col min="15891" max="15891" width="9.5" style="78" bestFit="1" customWidth="1"/>
    <col min="15892" max="15892" width="9" style="78" customWidth="1"/>
    <col min="15893" max="15893" width="9" style="78"/>
    <col min="15894" max="15894" width="9" style="78" customWidth="1"/>
    <col min="15895" max="15900" width="9" style="78"/>
    <col min="15901" max="15901" width="26.5" style="78" customWidth="1"/>
    <col min="15902" max="15904" width="9" style="78"/>
    <col min="15905" max="15905" width="14.75" style="78" bestFit="1" customWidth="1"/>
    <col min="15906" max="16128" width="9" style="78"/>
    <col min="16129" max="16131" width="9" style="78" customWidth="1"/>
    <col min="16132" max="16132" width="10.5" style="78" customWidth="1"/>
    <col min="16133" max="16133" width="11.25" style="78" bestFit="1" customWidth="1"/>
    <col min="16134" max="16135" width="9" style="78"/>
    <col min="16136" max="16145" width="9" style="78" customWidth="1"/>
    <col min="16146" max="16146" width="9" style="78"/>
    <col min="16147" max="16147" width="9.5" style="78" bestFit="1" customWidth="1"/>
    <col min="16148" max="16148" width="9" style="78" customWidth="1"/>
    <col min="16149" max="16149" width="9" style="78"/>
    <col min="16150" max="16150" width="9" style="78" customWidth="1"/>
    <col min="16151" max="16156" width="9" style="78"/>
    <col min="16157" max="16157" width="26.5" style="78" customWidth="1"/>
    <col min="16158" max="16160" width="9" style="78"/>
    <col min="16161" max="16161" width="14.75" style="78" bestFit="1" customWidth="1"/>
    <col min="16162" max="16384" width="9" style="78"/>
  </cols>
  <sheetData>
    <row r="1" spans="1:53" ht="45" x14ac:dyDescent="0.15">
      <c r="A1" s="40" t="s">
        <v>375</v>
      </c>
      <c r="B1" s="93" t="s">
        <v>1</v>
      </c>
      <c r="C1" s="93" t="s">
        <v>118</v>
      </c>
      <c r="D1" s="94" t="s">
        <v>2</v>
      </c>
      <c r="E1" s="84" t="s">
        <v>376</v>
      </c>
      <c r="F1" s="84" t="s">
        <v>4</v>
      </c>
      <c r="G1" s="84" t="s">
        <v>5</v>
      </c>
      <c r="H1" s="84" t="s">
        <v>173</v>
      </c>
      <c r="I1" s="84" t="s">
        <v>7</v>
      </c>
      <c r="J1" s="84" t="s">
        <v>8</v>
      </c>
      <c r="K1" s="84" t="s">
        <v>9</v>
      </c>
      <c r="L1" s="94" t="s">
        <v>119</v>
      </c>
      <c r="M1" s="94" t="s">
        <v>10</v>
      </c>
      <c r="N1" s="94" t="s">
        <v>299</v>
      </c>
      <c r="O1" s="94" t="s">
        <v>120</v>
      </c>
      <c r="P1" s="94" t="s">
        <v>121</v>
      </c>
      <c r="Q1" s="3" t="s">
        <v>12</v>
      </c>
      <c r="R1" s="94" t="s">
        <v>122</v>
      </c>
      <c r="S1" s="94" t="s">
        <v>123</v>
      </c>
      <c r="T1" s="3" t="s">
        <v>13</v>
      </c>
      <c r="U1" s="95" t="s">
        <v>300</v>
      </c>
      <c r="V1" s="5" t="s">
        <v>14</v>
      </c>
      <c r="W1" s="94" t="s">
        <v>15</v>
      </c>
      <c r="X1" s="84" t="s">
        <v>16</v>
      </c>
      <c r="Y1" s="84" t="s">
        <v>17</v>
      </c>
      <c r="Z1" s="84" t="s">
        <v>18</v>
      </c>
      <c r="AA1" s="42" t="s">
        <v>19</v>
      </c>
      <c r="AB1" s="96" t="s">
        <v>124</v>
      </c>
      <c r="AE1" s="97" t="s">
        <v>0</v>
      </c>
      <c r="AF1" s="98"/>
      <c r="AG1" s="97" t="s">
        <v>3</v>
      </c>
      <c r="AH1" s="97" t="s">
        <v>4</v>
      </c>
      <c r="AI1" s="98"/>
      <c r="AJ1" s="97" t="s">
        <v>5</v>
      </c>
      <c r="AK1" s="98"/>
      <c r="AL1" s="10" t="s">
        <v>6</v>
      </c>
      <c r="AM1" s="98"/>
      <c r="AN1" s="10" t="s">
        <v>7</v>
      </c>
      <c r="AO1" s="98"/>
      <c r="AP1" s="10" t="s">
        <v>20</v>
      </c>
      <c r="AQ1" s="98"/>
      <c r="AR1" s="10" t="s">
        <v>9</v>
      </c>
      <c r="AS1" s="98"/>
      <c r="AT1" s="11" t="s">
        <v>21</v>
      </c>
      <c r="AU1" s="98"/>
      <c r="AV1" s="10" t="s">
        <v>22</v>
      </c>
      <c r="AX1" s="12" t="s">
        <v>125</v>
      </c>
      <c r="AY1" s="13" t="s">
        <v>126</v>
      </c>
      <c r="AZ1" s="13" t="s">
        <v>127</v>
      </c>
      <c r="BA1" s="14" t="s">
        <v>128</v>
      </c>
    </row>
    <row r="2" spans="1:53" s="48" customFormat="1" x14ac:dyDescent="0.15">
      <c r="A2" s="139" t="s">
        <v>48</v>
      </c>
      <c r="B2" s="139" t="s">
        <v>377</v>
      </c>
      <c r="C2" s="139">
        <v>2020</v>
      </c>
      <c r="D2" s="147" t="s">
        <v>378</v>
      </c>
      <c r="E2" s="139" t="s">
        <v>379</v>
      </c>
      <c r="F2" s="139" t="s">
        <v>380</v>
      </c>
      <c r="G2" s="139" t="s">
        <v>31</v>
      </c>
      <c r="H2" s="139" t="s">
        <v>167</v>
      </c>
      <c r="I2" s="78" t="s">
        <v>111</v>
      </c>
      <c r="J2" s="78" t="s">
        <v>27</v>
      </c>
      <c r="K2" s="78" t="s">
        <v>112</v>
      </c>
      <c r="L2" s="78">
        <v>1</v>
      </c>
      <c r="M2" s="78"/>
      <c r="N2" s="78">
        <v>1</v>
      </c>
      <c r="O2" s="78">
        <v>0.9</v>
      </c>
      <c r="P2" s="78">
        <v>1</v>
      </c>
      <c r="Q2" s="44">
        <f t="shared" ref="Q2:Q65" si="0">IF(OR(O2="",P2=""),"",AVERAGE(O2,P2))</f>
        <v>0.95</v>
      </c>
      <c r="R2" s="78">
        <v>16.7</v>
      </c>
      <c r="S2" s="78">
        <v>160</v>
      </c>
      <c r="T2" s="16">
        <f t="shared" ref="T2:T65" si="1">IF(H2="","",IF(OR(H2="GREEN",H2="GK"),IF(S2&gt;=$AX$2,VLOOKUP(S2,$AX$2:$AY$15,2,1),""),IF(S2&gt;=$AZ$2,VLOOKUP(S2,$AZ$2:$BA$15,2,1),"")))</f>
        <v>18</v>
      </c>
      <c r="U2" s="78">
        <v>128</v>
      </c>
      <c r="V2" s="180">
        <f>IF(OR(N2="",U2="",T2=""),"",U2/N2*T2)</f>
        <v>2304</v>
      </c>
      <c r="W2" s="78">
        <v>8</v>
      </c>
      <c r="X2" s="78" t="s">
        <v>35</v>
      </c>
      <c r="Y2" s="78" t="s">
        <v>55</v>
      </c>
      <c r="Z2" s="78" t="s">
        <v>76</v>
      </c>
      <c r="AA2" s="78" t="s">
        <v>43</v>
      </c>
      <c r="AB2" s="139" t="s">
        <v>381</v>
      </c>
      <c r="AC2" s="34"/>
      <c r="AE2" s="102" t="s">
        <v>24</v>
      </c>
      <c r="AG2" s="103" t="s">
        <v>382</v>
      </c>
      <c r="AH2" s="103" t="s">
        <v>380</v>
      </c>
      <c r="AJ2" s="49" t="s">
        <v>25</v>
      </c>
      <c r="AL2" s="104" t="s">
        <v>107</v>
      </c>
      <c r="AN2" s="49" t="s">
        <v>26</v>
      </c>
      <c r="AP2" s="50" t="s">
        <v>27</v>
      </c>
      <c r="AR2" s="50" t="s">
        <v>129</v>
      </c>
      <c r="AT2" s="49" t="s">
        <v>28</v>
      </c>
      <c r="AV2" s="50" t="s">
        <v>29</v>
      </c>
      <c r="AX2" s="181">
        <v>1</v>
      </c>
      <c r="AY2" s="182">
        <v>50</v>
      </c>
      <c r="AZ2" s="182">
        <v>1</v>
      </c>
      <c r="BA2" s="183">
        <v>50</v>
      </c>
    </row>
    <row r="3" spans="1:53" x14ac:dyDescent="0.15">
      <c r="A3" s="139" t="s">
        <v>48</v>
      </c>
      <c r="B3" s="139" t="s">
        <v>377</v>
      </c>
      <c r="C3" s="139">
        <v>2020</v>
      </c>
      <c r="D3" s="147" t="s">
        <v>378</v>
      </c>
      <c r="E3" s="139" t="s">
        <v>379</v>
      </c>
      <c r="F3" s="139" t="s">
        <v>380</v>
      </c>
      <c r="G3" s="139" t="s">
        <v>31</v>
      </c>
      <c r="H3" s="139" t="s">
        <v>167</v>
      </c>
      <c r="I3" s="78" t="s">
        <v>111</v>
      </c>
      <c r="J3" s="78" t="s">
        <v>27</v>
      </c>
      <c r="K3" s="78" t="s">
        <v>112</v>
      </c>
      <c r="L3" s="78">
        <v>2</v>
      </c>
      <c r="N3" s="78">
        <v>1</v>
      </c>
      <c r="O3" s="78">
        <v>0.85</v>
      </c>
      <c r="P3" s="78">
        <v>0.8</v>
      </c>
      <c r="Q3" s="44">
        <f t="shared" si="0"/>
        <v>0.82499999999999996</v>
      </c>
      <c r="R3" s="78">
        <v>16.399999999999999</v>
      </c>
      <c r="S3" s="78">
        <v>155</v>
      </c>
      <c r="T3" s="16">
        <f t="shared" si="1"/>
        <v>18</v>
      </c>
      <c r="U3" s="78">
        <v>128</v>
      </c>
      <c r="V3" s="180">
        <f t="shared" ref="V3:V66" si="2">IF(OR(N3="",U3="",T3=""),"",U3/N3*T3)</f>
        <v>2304</v>
      </c>
      <c r="W3" s="78">
        <v>8</v>
      </c>
      <c r="X3" s="78" t="s">
        <v>35</v>
      </c>
      <c r="Y3" s="78" t="s">
        <v>55</v>
      </c>
      <c r="Z3" s="78" t="s">
        <v>76</v>
      </c>
      <c r="AA3" s="78" t="s">
        <v>43</v>
      </c>
      <c r="AB3" s="139" t="s">
        <v>381</v>
      </c>
      <c r="AC3" s="34"/>
      <c r="AE3" s="22" t="s">
        <v>30</v>
      </c>
      <c r="AG3" s="103" t="s">
        <v>383</v>
      </c>
      <c r="AH3" s="103" t="s">
        <v>384</v>
      </c>
      <c r="AJ3" s="81" t="s">
        <v>31</v>
      </c>
      <c r="AL3" s="81" t="s">
        <v>108</v>
      </c>
      <c r="AN3" s="81" t="s">
        <v>32</v>
      </c>
      <c r="AP3" s="81" t="s">
        <v>33</v>
      </c>
      <c r="AR3" s="81" t="s">
        <v>34</v>
      </c>
      <c r="AT3" s="81" t="s">
        <v>35</v>
      </c>
      <c r="AV3" s="81" t="s">
        <v>36</v>
      </c>
      <c r="AX3" s="24">
        <v>72</v>
      </c>
      <c r="AY3" s="25">
        <v>46</v>
      </c>
      <c r="AZ3" s="25">
        <v>71</v>
      </c>
      <c r="BA3" s="26">
        <v>42</v>
      </c>
    </row>
    <row r="4" spans="1:53" x14ac:dyDescent="0.15">
      <c r="A4" s="139" t="s">
        <v>48</v>
      </c>
      <c r="B4" s="139" t="s">
        <v>377</v>
      </c>
      <c r="C4" s="139">
        <v>2020</v>
      </c>
      <c r="D4" s="147" t="s">
        <v>378</v>
      </c>
      <c r="E4" s="139" t="s">
        <v>379</v>
      </c>
      <c r="F4" s="139" t="s">
        <v>380</v>
      </c>
      <c r="G4" s="139" t="s">
        <v>31</v>
      </c>
      <c r="H4" s="139" t="s">
        <v>167</v>
      </c>
      <c r="I4" s="78" t="s">
        <v>111</v>
      </c>
      <c r="J4" s="78" t="s">
        <v>27</v>
      </c>
      <c r="K4" s="78" t="s">
        <v>112</v>
      </c>
      <c r="L4" s="78">
        <v>3</v>
      </c>
      <c r="N4" s="78">
        <v>1</v>
      </c>
      <c r="O4" s="78">
        <v>0.9</v>
      </c>
      <c r="P4" s="78">
        <v>0.9</v>
      </c>
      <c r="Q4" s="44">
        <f t="shared" si="0"/>
        <v>0.9</v>
      </c>
      <c r="R4" s="78">
        <v>15</v>
      </c>
      <c r="S4" s="78">
        <v>174</v>
      </c>
      <c r="T4" s="16">
        <f t="shared" si="1"/>
        <v>18</v>
      </c>
      <c r="U4" s="78">
        <v>128</v>
      </c>
      <c r="V4" s="180">
        <f t="shared" si="2"/>
        <v>2304</v>
      </c>
      <c r="W4" s="78">
        <v>8</v>
      </c>
      <c r="X4" s="78" t="s">
        <v>35</v>
      </c>
      <c r="Y4" s="78" t="s">
        <v>55</v>
      </c>
      <c r="Z4" s="78" t="s">
        <v>76</v>
      </c>
      <c r="AA4" s="78" t="s">
        <v>43</v>
      </c>
      <c r="AB4" s="139" t="s">
        <v>381</v>
      </c>
      <c r="AC4" s="34"/>
      <c r="AE4" s="22" t="s">
        <v>23</v>
      </c>
      <c r="AG4" s="103" t="s">
        <v>385</v>
      </c>
      <c r="AH4" s="103" t="s">
        <v>386</v>
      </c>
      <c r="AJ4" s="27" t="s">
        <v>37</v>
      </c>
      <c r="AL4" s="81" t="s">
        <v>109</v>
      </c>
      <c r="AN4" s="28" t="s">
        <v>38</v>
      </c>
      <c r="AP4" s="81" t="s">
        <v>130</v>
      </c>
      <c r="AR4" s="81" t="s">
        <v>131</v>
      </c>
      <c r="AT4" s="28"/>
      <c r="AV4" s="81" t="s">
        <v>39</v>
      </c>
      <c r="AX4" s="24">
        <v>75</v>
      </c>
      <c r="AY4" s="25">
        <v>42</v>
      </c>
      <c r="AZ4" s="25">
        <v>76</v>
      </c>
      <c r="BA4" s="26">
        <v>39</v>
      </c>
    </row>
    <row r="5" spans="1:53" x14ac:dyDescent="0.15">
      <c r="A5" s="139" t="s">
        <v>48</v>
      </c>
      <c r="B5" s="139" t="s">
        <v>377</v>
      </c>
      <c r="C5" s="139">
        <v>2020</v>
      </c>
      <c r="D5" s="147" t="s">
        <v>378</v>
      </c>
      <c r="E5" s="139" t="s">
        <v>379</v>
      </c>
      <c r="F5" s="139" t="s">
        <v>380</v>
      </c>
      <c r="G5" s="139" t="s">
        <v>31</v>
      </c>
      <c r="H5" s="139" t="s">
        <v>167</v>
      </c>
      <c r="I5" s="78" t="s">
        <v>111</v>
      </c>
      <c r="J5" s="78" t="s">
        <v>27</v>
      </c>
      <c r="K5" s="78" t="s">
        <v>112</v>
      </c>
      <c r="L5" s="78">
        <v>1</v>
      </c>
      <c r="N5" s="78">
        <v>4</v>
      </c>
      <c r="O5" s="78">
        <v>0.5</v>
      </c>
      <c r="P5" s="78">
        <v>0.5</v>
      </c>
      <c r="Q5" s="44">
        <f>IF(OR(O5="",P5=""),"",AVERAGE(O5,P5))</f>
        <v>0.5</v>
      </c>
      <c r="R5" s="78">
        <v>16.3</v>
      </c>
      <c r="S5" s="78">
        <v>111</v>
      </c>
      <c r="T5" s="16">
        <f t="shared" si="1"/>
        <v>33</v>
      </c>
      <c r="U5" s="78">
        <v>398</v>
      </c>
      <c r="V5" s="180">
        <f t="shared" si="2"/>
        <v>3283.5</v>
      </c>
      <c r="W5" s="78">
        <v>8</v>
      </c>
      <c r="X5" s="78" t="s">
        <v>35</v>
      </c>
      <c r="Y5" s="78" t="s">
        <v>55</v>
      </c>
      <c r="Z5" s="78" t="s">
        <v>76</v>
      </c>
      <c r="AA5" s="78" t="s">
        <v>43</v>
      </c>
      <c r="AB5" s="139" t="s">
        <v>381</v>
      </c>
      <c r="AC5" s="34"/>
      <c r="AE5" s="22" t="s">
        <v>40</v>
      </c>
      <c r="AG5" s="103" t="s">
        <v>387</v>
      </c>
      <c r="AH5" s="103" t="s">
        <v>388</v>
      </c>
      <c r="AJ5" s="27"/>
      <c r="AL5" s="81" t="s">
        <v>132</v>
      </c>
      <c r="AN5" s="110" t="s">
        <v>133</v>
      </c>
      <c r="AP5" s="81" t="s">
        <v>134</v>
      </c>
      <c r="AR5" s="81" t="s">
        <v>42</v>
      </c>
      <c r="AV5" s="81" t="s">
        <v>43</v>
      </c>
      <c r="AX5" s="24">
        <v>84</v>
      </c>
      <c r="AY5" s="25">
        <v>39</v>
      </c>
      <c r="AZ5" s="25">
        <v>84</v>
      </c>
      <c r="BA5" s="26">
        <v>36</v>
      </c>
    </row>
    <row r="6" spans="1:53" x14ac:dyDescent="0.15">
      <c r="A6" s="139" t="s">
        <v>48</v>
      </c>
      <c r="B6" s="139" t="s">
        <v>377</v>
      </c>
      <c r="C6" s="139">
        <v>2020</v>
      </c>
      <c r="D6" s="147" t="s">
        <v>378</v>
      </c>
      <c r="E6" s="139" t="s">
        <v>382</v>
      </c>
      <c r="F6" s="139" t="s">
        <v>380</v>
      </c>
      <c r="G6" s="139" t="s">
        <v>31</v>
      </c>
      <c r="H6" s="139" t="s">
        <v>167</v>
      </c>
      <c r="I6" s="78" t="s">
        <v>111</v>
      </c>
      <c r="J6" s="78" t="s">
        <v>27</v>
      </c>
      <c r="K6" s="78" t="s">
        <v>112</v>
      </c>
      <c r="L6" s="78">
        <v>2</v>
      </c>
      <c r="N6" s="78">
        <v>4</v>
      </c>
      <c r="O6" s="78">
        <v>0.5</v>
      </c>
      <c r="P6" s="78">
        <v>0.55000000000000004</v>
      </c>
      <c r="Q6" s="44">
        <f t="shared" si="0"/>
        <v>0.52500000000000002</v>
      </c>
      <c r="R6" s="78">
        <v>15.7</v>
      </c>
      <c r="S6" s="78">
        <v>110</v>
      </c>
      <c r="T6" s="16">
        <f t="shared" si="1"/>
        <v>33</v>
      </c>
      <c r="U6" s="78">
        <v>398</v>
      </c>
      <c r="V6" s="180">
        <f t="shared" si="2"/>
        <v>3283.5</v>
      </c>
      <c r="W6" s="78">
        <v>8</v>
      </c>
      <c r="X6" s="78" t="s">
        <v>35</v>
      </c>
      <c r="Y6" s="78" t="s">
        <v>55</v>
      </c>
      <c r="Z6" s="78" t="s">
        <v>76</v>
      </c>
      <c r="AA6" s="78" t="s">
        <v>43</v>
      </c>
      <c r="AB6" s="139" t="s">
        <v>381</v>
      </c>
      <c r="AC6" s="34"/>
      <c r="AE6" s="22" t="s">
        <v>44</v>
      </c>
      <c r="AG6" s="103" t="s">
        <v>389</v>
      </c>
      <c r="AH6" s="103" t="s">
        <v>390</v>
      </c>
      <c r="AJ6" s="27"/>
      <c r="AL6" s="81" t="s">
        <v>135</v>
      </c>
      <c r="AN6" s="110" t="s">
        <v>136</v>
      </c>
      <c r="AP6" s="81" t="s">
        <v>41</v>
      </c>
      <c r="AR6" s="81" t="s">
        <v>46</v>
      </c>
      <c r="AV6" s="81" t="s">
        <v>47</v>
      </c>
      <c r="AX6" s="24">
        <v>97</v>
      </c>
      <c r="AY6" s="25">
        <v>36</v>
      </c>
      <c r="AZ6" s="25">
        <v>99</v>
      </c>
      <c r="BA6" s="26">
        <v>33</v>
      </c>
    </row>
    <row r="7" spans="1:53" x14ac:dyDescent="0.15">
      <c r="A7" s="139" t="s">
        <v>48</v>
      </c>
      <c r="B7" s="139" t="s">
        <v>377</v>
      </c>
      <c r="C7" s="139">
        <v>2020</v>
      </c>
      <c r="D7" s="147" t="s">
        <v>378</v>
      </c>
      <c r="E7" s="139" t="s">
        <v>379</v>
      </c>
      <c r="F7" s="139" t="s">
        <v>380</v>
      </c>
      <c r="G7" s="139" t="s">
        <v>31</v>
      </c>
      <c r="H7" s="139" t="s">
        <v>167</v>
      </c>
      <c r="I7" s="78" t="s">
        <v>111</v>
      </c>
      <c r="J7" s="78" t="s">
        <v>27</v>
      </c>
      <c r="K7" s="78" t="s">
        <v>112</v>
      </c>
      <c r="L7" s="78">
        <v>3</v>
      </c>
      <c r="N7" s="78">
        <v>4</v>
      </c>
      <c r="O7" s="78">
        <v>0.5</v>
      </c>
      <c r="P7" s="78">
        <v>0.5</v>
      </c>
      <c r="Q7" s="44">
        <f t="shared" si="0"/>
        <v>0.5</v>
      </c>
      <c r="R7" s="78">
        <v>14.4</v>
      </c>
      <c r="S7" s="78">
        <v>110</v>
      </c>
      <c r="T7" s="16">
        <f t="shared" si="1"/>
        <v>33</v>
      </c>
      <c r="U7" s="78">
        <v>398</v>
      </c>
      <c r="V7" s="180">
        <f t="shared" si="2"/>
        <v>3283.5</v>
      </c>
      <c r="W7" s="78">
        <v>8</v>
      </c>
      <c r="X7" s="78" t="s">
        <v>35</v>
      </c>
      <c r="Y7" s="78" t="s">
        <v>55</v>
      </c>
      <c r="Z7" s="78" t="s">
        <v>76</v>
      </c>
      <c r="AA7" s="78" t="s">
        <v>43</v>
      </c>
      <c r="AB7" s="139" t="s">
        <v>381</v>
      </c>
      <c r="AC7" s="34"/>
      <c r="AE7" s="22" t="s">
        <v>48</v>
      </c>
      <c r="AG7" s="103" t="s">
        <v>184</v>
      </c>
      <c r="AH7" s="103" t="s">
        <v>390</v>
      </c>
      <c r="AJ7" s="27"/>
      <c r="AL7" s="87" t="s">
        <v>137</v>
      </c>
      <c r="AN7" s="110"/>
      <c r="AP7" s="81" t="s">
        <v>45</v>
      </c>
      <c r="AR7" s="81" t="s">
        <v>102</v>
      </c>
      <c r="AV7" s="81" t="s">
        <v>51</v>
      </c>
      <c r="AX7" s="24">
        <v>109</v>
      </c>
      <c r="AY7" s="25">
        <v>33</v>
      </c>
      <c r="AZ7" s="25">
        <v>113</v>
      </c>
      <c r="BA7" s="26">
        <v>30</v>
      </c>
    </row>
    <row r="8" spans="1:53" x14ac:dyDescent="0.15">
      <c r="A8" s="139" t="s">
        <v>48</v>
      </c>
      <c r="B8" s="139" t="s">
        <v>377</v>
      </c>
      <c r="C8" s="139">
        <v>2020</v>
      </c>
      <c r="D8" s="147" t="s">
        <v>378</v>
      </c>
      <c r="E8" s="139" t="s">
        <v>391</v>
      </c>
      <c r="F8" s="139" t="s">
        <v>384</v>
      </c>
      <c r="G8" s="139" t="s">
        <v>25</v>
      </c>
      <c r="H8" s="139" t="s">
        <v>167</v>
      </c>
      <c r="I8" s="78" t="s">
        <v>111</v>
      </c>
      <c r="J8" s="78" t="s">
        <v>416</v>
      </c>
      <c r="K8" s="78" t="s">
        <v>112</v>
      </c>
      <c r="L8" s="78">
        <v>1</v>
      </c>
      <c r="N8" s="78">
        <v>1</v>
      </c>
      <c r="O8" s="78">
        <v>0.5</v>
      </c>
      <c r="P8" s="78">
        <v>0.5</v>
      </c>
      <c r="Q8" s="44">
        <f t="shared" si="0"/>
        <v>0.5</v>
      </c>
      <c r="R8" s="78">
        <v>19.2</v>
      </c>
      <c r="S8" s="78">
        <v>128</v>
      </c>
      <c r="T8" s="16">
        <f t="shared" si="1"/>
        <v>27</v>
      </c>
      <c r="U8" s="78">
        <v>138</v>
      </c>
      <c r="V8" s="180">
        <f t="shared" si="2"/>
        <v>3726</v>
      </c>
      <c r="W8" s="78">
        <v>12</v>
      </c>
      <c r="X8" s="78" t="s">
        <v>35</v>
      </c>
      <c r="Y8" s="78" t="s">
        <v>43</v>
      </c>
      <c r="Z8" s="78" t="s">
        <v>55</v>
      </c>
      <c r="AA8" s="78" t="s">
        <v>36</v>
      </c>
      <c r="AB8" s="139" t="s">
        <v>381</v>
      </c>
      <c r="AC8" s="34"/>
      <c r="AE8" s="22" t="s">
        <v>46</v>
      </c>
      <c r="AG8" s="103" t="s">
        <v>392</v>
      </c>
      <c r="AH8" s="103" t="s">
        <v>393</v>
      </c>
      <c r="AJ8" s="28"/>
      <c r="AL8" s="87" t="s">
        <v>110</v>
      </c>
      <c r="AN8" s="110"/>
      <c r="AP8" s="81" t="s">
        <v>49</v>
      </c>
      <c r="AR8" s="81" t="s">
        <v>67</v>
      </c>
      <c r="AV8" s="81" t="s">
        <v>82</v>
      </c>
      <c r="AX8" s="24">
        <v>119</v>
      </c>
      <c r="AY8" s="25">
        <v>30</v>
      </c>
      <c r="AZ8" s="25">
        <v>121</v>
      </c>
      <c r="BA8" s="26">
        <v>27</v>
      </c>
    </row>
    <row r="9" spans="1:53" x14ac:dyDescent="0.15">
      <c r="A9" s="139" t="s">
        <v>48</v>
      </c>
      <c r="B9" s="139" t="s">
        <v>377</v>
      </c>
      <c r="C9" s="139">
        <v>2020</v>
      </c>
      <c r="D9" s="147" t="s">
        <v>378</v>
      </c>
      <c r="E9" s="139" t="s">
        <v>391</v>
      </c>
      <c r="F9" s="139" t="s">
        <v>384</v>
      </c>
      <c r="G9" s="139" t="s">
        <v>25</v>
      </c>
      <c r="H9" s="139" t="s">
        <v>167</v>
      </c>
      <c r="I9" s="78" t="s">
        <v>111</v>
      </c>
      <c r="J9" s="78" t="s">
        <v>27</v>
      </c>
      <c r="K9" s="78" t="s">
        <v>112</v>
      </c>
      <c r="L9" s="78">
        <v>2</v>
      </c>
      <c r="N9" s="78">
        <v>1</v>
      </c>
      <c r="O9" s="34">
        <v>0.5</v>
      </c>
      <c r="P9" s="78">
        <v>0.5</v>
      </c>
      <c r="Q9" s="44">
        <f t="shared" si="0"/>
        <v>0.5</v>
      </c>
      <c r="R9" s="34">
        <v>17.3</v>
      </c>
      <c r="S9" s="78">
        <v>133</v>
      </c>
      <c r="T9" s="16">
        <f t="shared" si="1"/>
        <v>25</v>
      </c>
      <c r="U9" s="78">
        <v>138</v>
      </c>
      <c r="V9" s="180">
        <f t="shared" si="2"/>
        <v>3450</v>
      </c>
      <c r="W9" s="78">
        <v>12</v>
      </c>
      <c r="X9" s="78" t="s">
        <v>35</v>
      </c>
      <c r="Y9" s="78" t="s">
        <v>43</v>
      </c>
      <c r="Z9" s="78" t="s">
        <v>55</v>
      </c>
      <c r="AA9" s="78" t="s">
        <v>36</v>
      </c>
      <c r="AB9" s="139" t="s">
        <v>381</v>
      </c>
      <c r="AC9" s="34"/>
      <c r="AE9" s="22" t="s">
        <v>83</v>
      </c>
      <c r="AG9" s="103" t="s">
        <v>394</v>
      </c>
      <c r="AH9" s="103" t="s">
        <v>395</v>
      </c>
      <c r="AL9" s="81" t="s">
        <v>139</v>
      </c>
      <c r="AN9" s="110"/>
      <c r="AP9" s="81" t="s">
        <v>80</v>
      </c>
      <c r="AR9" s="81" t="s">
        <v>75</v>
      </c>
      <c r="AV9" s="81" t="s">
        <v>86</v>
      </c>
      <c r="AX9" s="24">
        <v>128</v>
      </c>
      <c r="AY9" s="25">
        <v>27</v>
      </c>
      <c r="AZ9" s="25">
        <v>129</v>
      </c>
      <c r="BA9" s="26">
        <v>25</v>
      </c>
    </row>
    <row r="10" spans="1:53" x14ac:dyDescent="0.15">
      <c r="A10" s="139" t="s">
        <v>48</v>
      </c>
      <c r="B10" s="139" t="s">
        <v>377</v>
      </c>
      <c r="C10" s="139">
        <v>2020</v>
      </c>
      <c r="D10" s="147" t="s">
        <v>378</v>
      </c>
      <c r="E10" s="139" t="s">
        <v>391</v>
      </c>
      <c r="F10" s="139" t="s">
        <v>384</v>
      </c>
      <c r="G10" s="139" t="s">
        <v>25</v>
      </c>
      <c r="H10" s="139" t="s">
        <v>167</v>
      </c>
      <c r="I10" s="78" t="s">
        <v>111</v>
      </c>
      <c r="J10" s="78" t="s">
        <v>27</v>
      </c>
      <c r="K10" s="78" t="s">
        <v>112</v>
      </c>
      <c r="L10" s="78">
        <v>3</v>
      </c>
      <c r="N10" s="78">
        <v>1</v>
      </c>
      <c r="O10" s="34">
        <v>0.5</v>
      </c>
      <c r="P10" s="78">
        <v>0.65</v>
      </c>
      <c r="Q10" s="44">
        <f t="shared" si="0"/>
        <v>0.57499999999999996</v>
      </c>
      <c r="R10" s="78">
        <v>16.100000000000001</v>
      </c>
      <c r="S10" s="78">
        <v>134</v>
      </c>
      <c r="T10" s="16">
        <f t="shared" si="1"/>
        <v>25</v>
      </c>
      <c r="U10" s="78">
        <v>138</v>
      </c>
      <c r="V10" s="180">
        <f t="shared" si="2"/>
        <v>3450</v>
      </c>
      <c r="W10" s="78">
        <v>12</v>
      </c>
      <c r="X10" s="78" t="s">
        <v>35</v>
      </c>
      <c r="Y10" s="78" t="s">
        <v>43</v>
      </c>
      <c r="Z10" s="78" t="s">
        <v>55</v>
      </c>
      <c r="AA10" s="78" t="s">
        <v>36</v>
      </c>
      <c r="AB10" s="139" t="s">
        <v>381</v>
      </c>
      <c r="AC10" s="34"/>
      <c r="AE10" s="22" t="s">
        <v>87</v>
      </c>
      <c r="AG10" s="103" t="s">
        <v>396</v>
      </c>
      <c r="AH10" s="103" t="s">
        <v>397</v>
      </c>
      <c r="AL10" s="110"/>
      <c r="AP10" s="81" t="s">
        <v>84</v>
      </c>
      <c r="AR10" s="81" t="s">
        <v>103</v>
      </c>
      <c r="AV10" s="81" t="s">
        <v>90</v>
      </c>
      <c r="AX10" s="24">
        <v>138</v>
      </c>
      <c r="AY10" s="25">
        <v>25</v>
      </c>
      <c r="AZ10" s="25">
        <v>138</v>
      </c>
      <c r="BA10" s="26">
        <v>22</v>
      </c>
    </row>
    <row r="11" spans="1:53" x14ac:dyDescent="0.15">
      <c r="A11" s="139" t="s">
        <v>48</v>
      </c>
      <c r="B11" s="139" t="s">
        <v>377</v>
      </c>
      <c r="C11" s="139">
        <v>2020</v>
      </c>
      <c r="D11" s="147" t="s">
        <v>378</v>
      </c>
      <c r="E11" s="139" t="s">
        <v>391</v>
      </c>
      <c r="F11" s="139" t="s">
        <v>384</v>
      </c>
      <c r="G11" s="139" t="s">
        <v>25</v>
      </c>
      <c r="H11" s="139" t="s">
        <v>167</v>
      </c>
      <c r="I11" s="78" t="s">
        <v>111</v>
      </c>
      <c r="J11" s="78" t="s">
        <v>27</v>
      </c>
      <c r="K11" s="78" t="s">
        <v>112</v>
      </c>
      <c r="L11" s="78">
        <v>1</v>
      </c>
      <c r="N11" s="78">
        <v>4</v>
      </c>
      <c r="O11" s="78">
        <v>0.65</v>
      </c>
      <c r="P11" s="78">
        <v>0.6</v>
      </c>
      <c r="Q11" s="44">
        <f t="shared" si="0"/>
        <v>0.625</v>
      </c>
      <c r="R11" s="78">
        <v>16.100000000000001</v>
      </c>
      <c r="S11" s="78">
        <v>101</v>
      </c>
      <c r="T11" s="16">
        <f t="shared" si="1"/>
        <v>33</v>
      </c>
      <c r="U11" s="78">
        <v>298</v>
      </c>
      <c r="V11" s="180">
        <f t="shared" si="2"/>
        <v>2458.5</v>
      </c>
      <c r="W11" s="78">
        <v>12</v>
      </c>
      <c r="X11" s="78" t="s">
        <v>35</v>
      </c>
      <c r="Y11" s="78" t="s">
        <v>43</v>
      </c>
      <c r="Z11" s="78" t="s">
        <v>55</v>
      </c>
      <c r="AA11" s="78" t="s">
        <v>36</v>
      </c>
      <c r="AB11" s="139" t="s">
        <v>381</v>
      </c>
      <c r="AC11" s="34"/>
      <c r="AE11" s="22" t="s">
        <v>52</v>
      </c>
      <c r="AG11" s="103" t="s">
        <v>398</v>
      </c>
      <c r="AH11" s="103" t="s">
        <v>397</v>
      </c>
      <c r="AL11" s="184"/>
      <c r="AP11" s="81" t="s">
        <v>88</v>
      </c>
      <c r="AR11" s="81" t="s">
        <v>73</v>
      </c>
      <c r="AV11" s="87" t="s">
        <v>399</v>
      </c>
      <c r="AX11" s="24">
        <v>151</v>
      </c>
      <c r="AY11" s="25">
        <v>22</v>
      </c>
      <c r="AZ11" s="25">
        <v>152</v>
      </c>
      <c r="BA11" s="26">
        <v>18</v>
      </c>
    </row>
    <row r="12" spans="1:53" x14ac:dyDescent="0.15">
      <c r="A12" s="139" t="s">
        <v>48</v>
      </c>
      <c r="B12" s="139" t="s">
        <v>377</v>
      </c>
      <c r="C12" s="139">
        <v>2020</v>
      </c>
      <c r="D12" s="147" t="s">
        <v>378</v>
      </c>
      <c r="E12" s="139" t="s">
        <v>391</v>
      </c>
      <c r="F12" s="139" t="s">
        <v>384</v>
      </c>
      <c r="G12" s="139" t="s">
        <v>25</v>
      </c>
      <c r="H12" s="139" t="s">
        <v>167</v>
      </c>
      <c r="I12" s="78" t="s">
        <v>111</v>
      </c>
      <c r="J12" s="78" t="s">
        <v>27</v>
      </c>
      <c r="K12" s="78" t="s">
        <v>112</v>
      </c>
      <c r="L12" s="78">
        <v>2</v>
      </c>
      <c r="N12" s="78">
        <v>4</v>
      </c>
      <c r="O12" s="78">
        <v>0.6</v>
      </c>
      <c r="P12" s="78">
        <v>0.6</v>
      </c>
      <c r="Q12" s="44">
        <f t="shared" si="0"/>
        <v>0.6</v>
      </c>
      <c r="R12" s="34">
        <v>14.7</v>
      </c>
      <c r="S12" s="78">
        <v>99</v>
      </c>
      <c r="T12" s="16">
        <f t="shared" si="1"/>
        <v>33</v>
      </c>
      <c r="U12" s="78">
        <v>298</v>
      </c>
      <c r="V12" s="180">
        <f t="shared" si="2"/>
        <v>2458.5</v>
      </c>
      <c r="W12" s="78">
        <v>12</v>
      </c>
      <c r="X12" s="78" t="s">
        <v>35</v>
      </c>
      <c r="Y12" s="78" t="s">
        <v>43</v>
      </c>
      <c r="Z12" s="78" t="s">
        <v>55</v>
      </c>
      <c r="AA12" s="78" t="s">
        <v>36</v>
      </c>
      <c r="AB12" s="139" t="s">
        <v>381</v>
      </c>
      <c r="AC12" s="34"/>
      <c r="AE12" s="22" t="s">
        <v>56</v>
      </c>
      <c r="AG12" s="81"/>
      <c r="AH12" s="22"/>
      <c r="AL12" s="184"/>
      <c r="AP12" s="81" t="s">
        <v>53</v>
      </c>
      <c r="AR12" s="81" t="s">
        <v>104</v>
      </c>
      <c r="AV12" s="87" t="s">
        <v>400</v>
      </c>
      <c r="AX12" s="24">
        <v>180</v>
      </c>
      <c r="AY12" s="25">
        <v>18</v>
      </c>
      <c r="AZ12" s="25">
        <v>181</v>
      </c>
      <c r="BA12" s="26">
        <v>16</v>
      </c>
    </row>
    <row r="13" spans="1:53" x14ac:dyDescent="0.15">
      <c r="A13" s="139" t="s">
        <v>48</v>
      </c>
      <c r="B13" s="139" t="s">
        <v>377</v>
      </c>
      <c r="C13" s="139">
        <v>2020</v>
      </c>
      <c r="D13" s="147" t="s">
        <v>378</v>
      </c>
      <c r="E13" s="139" t="s">
        <v>391</v>
      </c>
      <c r="F13" s="139" t="s">
        <v>384</v>
      </c>
      <c r="G13" s="139" t="s">
        <v>25</v>
      </c>
      <c r="H13" s="139" t="s">
        <v>167</v>
      </c>
      <c r="I13" s="78" t="s">
        <v>111</v>
      </c>
      <c r="J13" s="78" t="s">
        <v>27</v>
      </c>
      <c r="K13" s="78" t="s">
        <v>112</v>
      </c>
      <c r="L13" s="78">
        <v>3</v>
      </c>
      <c r="N13" s="78">
        <v>4</v>
      </c>
      <c r="O13" s="78">
        <v>0.6</v>
      </c>
      <c r="P13" s="78">
        <v>0.8</v>
      </c>
      <c r="Q13" s="44">
        <f t="shared" si="0"/>
        <v>0.7</v>
      </c>
      <c r="R13" s="78">
        <v>15.9</v>
      </c>
      <c r="S13" s="78">
        <v>102</v>
      </c>
      <c r="T13" s="16">
        <f t="shared" si="1"/>
        <v>33</v>
      </c>
      <c r="U13" s="78">
        <v>298</v>
      </c>
      <c r="V13" s="180">
        <f t="shared" si="2"/>
        <v>2458.5</v>
      </c>
      <c r="W13" s="78">
        <v>12</v>
      </c>
      <c r="X13" s="78" t="s">
        <v>35</v>
      </c>
      <c r="Y13" s="78" t="s">
        <v>43</v>
      </c>
      <c r="Z13" s="78" t="s">
        <v>55</v>
      </c>
      <c r="AA13" s="78" t="s">
        <v>36</v>
      </c>
      <c r="AB13" s="139" t="s">
        <v>381</v>
      </c>
      <c r="AC13" s="34"/>
      <c r="AE13" s="22" t="s">
        <v>59</v>
      </c>
      <c r="AG13" s="81"/>
      <c r="AH13" s="22"/>
      <c r="AL13" s="185"/>
      <c r="AP13" s="81" t="s">
        <v>57</v>
      </c>
      <c r="AR13" s="81" t="s">
        <v>87</v>
      </c>
      <c r="AV13" s="87" t="s">
        <v>401</v>
      </c>
      <c r="AX13" s="24"/>
      <c r="AY13" s="25"/>
      <c r="AZ13" s="25"/>
      <c r="BA13" s="26"/>
    </row>
    <row r="14" spans="1:53" x14ac:dyDescent="0.15">
      <c r="A14" s="139" t="s">
        <v>48</v>
      </c>
      <c r="B14" s="139" t="s">
        <v>377</v>
      </c>
      <c r="C14" s="139">
        <v>2020</v>
      </c>
      <c r="D14" s="147" t="s">
        <v>378</v>
      </c>
      <c r="E14" s="139" t="s">
        <v>391</v>
      </c>
      <c r="F14" s="139" t="s">
        <v>384</v>
      </c>
      <c r="G14" s="139" t="s">
        <v>25</v>
      </c>
      <c r="H14" s="139" t="s">
        <v>167</v>
      </c>
      <c r="I14" s="78" t="s">
        <v>111</v>
      </c>
      <c r="J14" s="78" t="s">
        <v>27</v>
      </c>
      <c r="K14" s="78" t="s">
        <v>112</v>
      </c>
      <c r="L14" s="78">
        <v>1</v>
      </c>
      <c r="N14" s="78">
        <v>8</v>
      </c>
      <c r="O14" s="78">
        <v>0.5</v>
      </c>
      <c r="P14" s="78">
        <v>0.5</v>
      </c>
      <c r="Q14" s="44">
        <f t="shared" si="0"/>
        <v>0.5</v>
      </c>
      <c r="R14" s="78">
        <v>16</v>
      </c>
      <c r="S14" s="78">
        <v>117</v>
      </c>
      <c r="T14" s="16">
        <f t="shared" si="1"/>
        <v>30</v>
      </c>
      <c r="U14" s="78">
        <v>798</v>
      </c>
      <c r="V14" s="180">
        <f t="shared" si="2"/>
        <v>2992.5</v>
      </c>
      <c r="W14" s="78">
        <v>12</v>
      </c>
      <c r="X14" s="78" t="s">
        <v>35</v>
      </c>
      <c r="Y14" s="78" t="s">
        <v>43</v>
      </c>
      <c r="Z14" s="78" t="s">
        <v>55</v>
      </c>
      <c r="AA14" s="78" t="s">
        <v>36</v>
      </c>
      <c r="AB14" s="139" t="s">
        <v>381</v>
      </c>
      <c r="AC14" s="34"/>
      <c r="AE14" s="22" t="s">
        <v>62</v>
      </c>
      <c r="AG14" s="81"/>
      <c r="AH14" s="22"/>
      <c r="AL14" s="34"/>
      <c r="AP14" s="81" t="s">
        <v>60</v>
      </c>
      <c r="AR14" s="81" t="s">
        <v>105</v>
      </c>
      <c r="AV14" s="87" t="s">
        <v>402</v>
      </c>
      <c r="AX14" s="24"/>
      <c r="AY14" s="25"/>
      <c r="AZ14" s="25"/>
      <c r="BA14" s="26"/>
    </row>
    <row r="15" spans="1:53" x14ac:dyDescent="0.15">
      <c r="A15" s="139" t="s">
        <v>48</v>
      </c>
      <c r="B15" s="139" t="s">
        <v>377</v>
      </c>
      <c r="C15" s="139">
        <v>2020</v>
      </c>
      <c r="D15" s="147" t="s">
        <v>378</v>
      </c>
      <c r="E15" s="139" t="s">
        <v>391</v>
      </c>
      <c r="F15" s="139" t="s">
        <v>384</v>
      </c>
      <c r="G15" s="139" t="s">
        <v>25</v>
      </c>
      <c r="H15" s="139" t="s">
        <v>167</v>
      </c>
      <c r="I15" s="78" t="s">
        <v>111</v>
      </c>
      <c r="J15" s="78" t="s">
        <v>27</v>
      </c>
      <c r="K15" s="78" t="s">
        <v>112</v>
      </c>
      <c r="L15" s="78">
        <v>2</v>
      </c>
      <c r="N15" s="78">
        <v>8</v>
      </c>
      <c r="O15" s="78">
        <v>0.6</v>
      </c>
      <c r="P15" s="78">
        <v>0.65</v>
      </c>
      <c r="Q15" s="44">
        <f t="shared" si="0"/>
        <v>0.625</v>
      </c>
      <c r="R15" s="34">
        <v>14.5</v>
      </c>
      <c r="S15" s="78">
        <v>114</v>
      </c>
      <c r="T15" s="16">
        <f t="shared" si="1"/>
        <v>30</v>
      </c>
      <c r="U15" s="78">
        <v>798</v>
      </c>
      <c r="V15" s="180">
        <f t="shared" si="2"/>
        <v>2992.5</v>
      </c>
      <c r="W15" s="78">
        <v>12</v>
      </c>
      <c r="X15" s="78" t="s">
        <v>35</v>
      </c>
      <c r="Y15" s="78" t="s">
        <v>43</v>
      </c>
      <c r="Z15" s="78" t="s">
        <v>55</v>
      </c>
      <c r="AA15" s="78" t="s">
        <v>36</v>
      </c>
      <c r="AB15" s="139" t="s">
        <v>381</v>
      </c>
      <c r="AC15" s="34"/>
      <c r="AE15" s="22" t="s">
        <v>65</v>
      </c>
      <c r="AG15" s="81"/>
      <c r="AH15" s="81"/>
      <c r="AL15" s="34"/>
      <c r="AP15" s="81" t="s">
        <v>63</v>
      </c>
      <c r="AR15" s="81" t="s">
        <v>79</v>
      </c>
      <c r="AV15" s="87" t="s">
        <v>403</v>
      </c>
      <c r="AX15" s="31"/>
      <c r="AY15" s="32"/>
      <c r="AZ15" s="32"/>
      <c r="BA15" s="33"/>
    </row>
    <row r="16" spans="1:53" x14ac:dyDescent="0.15">
      <c r="A16" s="139" t="s">
        <v>48</v>
      </c>
      <c r="B16" s="139" t="s">
        <v>377</v>
      </c>
      <c r="C16" s="139">
        <v>2020</v>
      </c>
      <c r="D16" s="147" t="s">
        <v>378</v>
      </c>
      <c r="E16" s="139" t="s">
        <v>391</v>
      </c>
      <c r="F16" s="139" t="s">
        <v>384</v>
      </c>
      <c r="G16" s="139" t="s">
        <v>25</v>
      </c>
      <c r="H16" s="139" t="s">
        <v>167</v>
      </c>
      <c r="I16" s="78" t="s">
        <v>111</v>
      </c>
      <c r="J16" s="78" t="s">
        <v>27</v>
      </c>
      <c r="K16" s="78" t="s">
        <v>112</v>
      </c>
      <c r="L16" s="78">
        <v>3</v>
      </c>
      <c r="N16" s="78">
        <v>8</v>
      </c>
      <c r="O16" s="78">
        <v>0.5</v>
      </c>
      <c r="P16" s="78">
        <v>0.5</v>
      </c>
      <c r="Q16" s="44">
        <f t="shared" si="0"/>
        <v>0.5</v>
      </c>
      <c r="R16" s="78">
        <v>15.9</v>
      </c>
      <c r="S16" s="78">
        <v>119</v>
      </c>
      <c r="T16" s="16">
        <f t="shared" si="1"/>
        <v>30</v>
      </c>
      <c r="U16" s="78">
        <v>798</v>
      </c>
      <c r="V16" s="180">
        <f t="shared" si="2"/>
        <v>2992.5</v>
      </c>
      <c r="W16" s="78">
        <v>12</v>
      </c>
      <c r="X16" s="78" t="s">
        <v>35</v>
      </c>
      <c r="Y16" s="78" t="s">
        <v>43</v>
      </c>
      <c r="Z16" s="78" t="s">
        <v>55</v>
      </c>
      <c r="AA16" s="78" t="s">
        <v>36</v>
      </c>
      <c r="AB16" s="139" t="s">
        <v>381</v>
      </c>
      <c r="AC16" s="34"/>
      <c r="AE16" s="22" t="s">
        <v>68</v>
      </c>
      <c r="AG16" s="81"/>
      <c r="AH16" s="81"/>
      <c r="AP16" s="81" t="s">
        <v>66</v>
      </c>
      <c r="AR16" s="81" t="s">
        <v>50</v>
      </c>
      <c r="AV16" s="87" t="s">
        <v>404</v>
      </c>
    </row>
    <row r="17" spans="1:48" x14ac:dyDescent="0.15">
      <c r="A17" s="139" t="s">
        <v>48</v>
      </c>
      <c r="B17" s="139" t="s">
        <v>377</v>
      </c>
      <c r="C17" s="139">
        <v>2020</v>
      </c>
      <c r="D17" s="147" t="s">
        <v>378</v>
      </c>
      <c r="E17" s="139" t="s">
        <v>391</v>
      </c>
      <c r="F17" s="139" t="s">
        <v>384</v>
      </c>
      <c r="G17" s="139" t="s">
        <v>25</v>
      </c>
      <c r="H17" s="139" t="s">
        <v>167</v>
      </c>
      <c r="I17" s="78" t="s">
        <v>166</v>
      </c>
      <c r="J17" s="78" t="s">
        <v>27</v>
      </c>
      <c r="K17" s="78" t="s">
        <v>112</v>
      </c>
      <c r="L17" s="78">
        <v>1</v>
      </c>
      <c r="N17" s="78">
        <v>2</v>
      </c>
      <c r="O17" s="78">
        <v>0.65</v>
      </c>
      <c r="P17" s="78">
        <v>0.75</v>
      </c>
      <c r="Q17" s="44">
        <f t="shared" si="0"/>
        <v>0.7</v>
      </c>
      <c r="R17" s="78">
        <v>16.899999999999999</v>
      </c>
      <c r="S17" s="78">
        <v>151</v>
      </c>
      <c r="T17" s="16">
        <f t="shared" si="1"/>
        <v>22</v>
      </c>
      <c r="U17" s="78">
        <v>298</v>
      </c>
      <c r="V17" s="180">
        <f t="shared" si="2"/>
        <v>3278</v>
      </c>
      <c r="W17" s="78">
        <v>12</v>
      </c>
      <c r="X17" s="78" t="s">
        <v>35</v>
      </c>
      <c r="Y17" s="78" t="s">
        <v>43</v>
      </c>
      <c r="Z17" s="78" t="s">
        <v>55</v>
      </c>
      <c r="AA17" s="78" t="s">
        <v>36</v>
      </c>
      <c r="AB17" s="139" t="s">
        <v>381</v>
      </c>
      <c r="AC17" s="34"/>
      <c r="AE17" s="22" t="s">
        <v>71</v>
      </c>
      <c r="AP17" s="27" t="s">
        <v>93</v>
      </c>
      <c r="AR17" s="81" t="s">
        <v>81</v>
      </c>
      <c r="AV17" s="87" t="s">
        <v>405</v>
      </c>
    </row>
    <row r="18" spans="1:48" x14ac:dyDescent="0.15">
      <c r="A18" s="139" t="s">
        <v>48</v>
      </c>
      <c r="B18" s="139" t="s">
        <v>377</v>
      </c>
      <c r="C18" s="139">
        <v>2020</v>
      </c>
      <c r="D18" s="147" t="s">
        <v>378</v>
      </c>
      <c r="E18" s="139" t="s">
        <v>391</v>
      </c>
      <c r="F18" s="139" t="s">
        <v>384</v>
      </c>
      <c r="G18" s="139" t="s">
        <v>25</v>
      </c>
      <c r="H18" s="139" t="s">
        <v>167</v>
      </c>
      <c r="I18" s="78" t="s">
        <v>166</v>
      </c>
      <c r="J18" s="78" t="s">
        <v>27</v>
      </c>
      <c r="K18" s="78" t="s">
        <v>112</v>
      </c>
      <c r="L18" s="78">
        <v>2</v>
      </c>
      <c r="N18" s="78">
        <v>2</v>
      </c>
      <c r="O18" s="78">
        <v>0.5</v>
      </c>
      <c r="P18" s="78">
        <v>0.6</v>
      </c>
      <c r="Q18" s="44">
        <f t="shared" si="0"/>
        <v>0.55000000000000004</v>
      </c>
      <c r="R18" s="34">
        <v>15.4</v>
      </c>
      <c r="S18" s="78">
        <v>147</v>
      </c>
      <c r="T18" s="16">
        <f t="shared" si="1"/>
        <v>22</v>
      </c>
      <c r="U18" s="78">
        <v>298</v>
      </c>
      <c r="V18" s="180">
        <f t="shared" si="2"/>
        <v>3278</v>
      </c>
      <c r="W18" s="78">
        <v>12</v>
      </c>
      <c r="X18" s="78" t="s">
        <v>35</v>
      </c>
      <c r="Y18" s="78" t="s">
        <v>43</v>
      </c>
      <c r="Z18" s="78" t="s">
        <v>55</v>
      </c>
      <c r="AA18" s="78" t="s">
        <v>36</v>
      </c>
      <c r="AB18" s="139" t="s">
        <v>381</v>
      </c>
      <c r="AC18" s="34"/>
      <c r="AE18" s="22" t="s">
        <v>73</v>
      </c>
      <c r="AP18" s="27" t="s">
        <v>94</v>
      </c>
      <c r="AR18" s="81" t="s">
        <v>85</v>
      </c>
      <c r="AV18" s="87" t="s">
        <v>114</v>
      </c>
    </row>
    <row r="19" spans="1:48" x14ac:dyDescent="0.15">
      <c r="A19" s="139" t="s">
        <v>48</v>
      </c>
      <c r="B19" s="139" t="s">
        <v>377</v>
      </c>
      <c r="C19" s="139">
        <v>2020</v>
      </c>
      <c r="D19" s="147" t="s">
        <v>378</v>
      </c>
      <c r="E19" s="139" t="s">
        <v>391</v>
      </c>
      <c r="F19" s="139" t="s">
        <v>384</v>
      </c>
      <c r="G19" s="139" t="s">
        <v>25</v>
      </c>
      <c r="H19" s="139" t="s">
        <v>167</v>
      </c>
      <c r="I19" s="78" t="s">
        <v>166</v>
      </c>
      <c r="J19" s="78" t="s">
        <v>27</v>
      </c>
      <c r="K19" s="78" t="s">
        <v>112</v>
      </c>
      <c r="L19" s="78">
        <v>3</v>
      </c>
      <c r="N19" s="78">
        <v>2</v>
      </c>
      <c r="O19" s="34">
        <v>0.7</v>
      </c>
      <c r="P19" s="78">
        <v>0.75</v>
      </c>
      <c r="Q19" s="44">
        <f t="shared" si="0"/>
        <v>0.72499999999999998</v>
      </c>
      <c r="R19" s="78">
        <v>14.6</v>
      </c>
      <c r="S19" s="78">
        <v>171</v>
      </c>
      <c r="T19" s="16">
        <f t="shared" si="1"/>
        <v>18</v>
      </c>
      <c r="U19" s="78">
        <v>298</v>
      </c>
      <c r="V19" s="180">
        <f t="shared" si="2"/>
        <v>2682</v>
      </c>
      <c r="W19" s="78">
        <v>12</v>
      </c>
      <c r="X19" s="78" t="s">
        <v>35</v>
      </c>
      <c r="Y19" s="78" t="s">
        <v>43</v>
      </c>
      <c r="Z19" s="78" t="s">
        <v>55</v>
      </c>
      <c r="AA19" s="78" t="s">
        <v>36</v>
      </c>
      <c r="AB19" s="139" t="s">
        <v>381</v>
      </c>
      <c r="AC19" s="34"/>
      <c r="AE19" s="35" t="s">
        <v>75</v>
      </c>
      <c r="AP19" s="27" t="s">
        <v>95</v>
      </c>
      <c r="AR19" s="81" t="s">
        <v>106</v>
      </c>
      <c r="AV19" s="87" t="s">
        <v>406</v>
      </c>
    </row>
    <row r="20" spans="1:48" x14ac:dyDescent="0.15">
      <c r="A20" s="139" t="s">
        <v>48</v>
      </c>
      <c r="B20" s="139" t="s">
        <v>377</v>
      </c>
      <c r="C20" s="139">
        <v>2020</v>
      </c>
      <c r="D20" s="147" t="s">
        <v>378</v>
      </c>
      <c r="E20" s="139" t="s">
        <v>391</v>
      </c>
      <c r="F20" s="139" t="s">
        <v>384</v>
      </c>
      <c r="G20" s="139" t="s">
        <v>25</v>
      </c>
      <c r="H20" s="139" t="s">
        <v>113</v>
      </c>
      <c r="I20" s="78" t="s">
        <v>111</v>
      </c>
      <c r="J20" s="78" t="s">
        <v>27</v>
      </c>
      <c r="K20" s="78" t="s">
        <v>112</v>
      </c>
      <c r="L20" s="78">
        <v>1</v>
      </c>
      <c r="N20" s="78">
        <v>1</v>
      </c>
      <c r="O20" s="78">
        <v>0.75</v>
      </c>
      <c r="P20" s="78">
        <v>0.8</v>
      </c>
      <c r="Q20" s="44">
        <f t="shared" si="0"/>
        <v>0.77500000000000002</v>
      </c>
      <c r="R20" s="78">
        <v>14.2</v>
      </c>
      <c r="S20" s="78">
        <v>107</v>
      </c>
      <c r="T20" s="16">
        <f t="shared" si="1"/>
        <v>33</v>
      </c>
      <c r="U20" s="78">
        <v>58</v>
      </c>
      <c r="V20" s="180">
        <f t="shared" si="2"/>
        <v>1914</v>
      </c>
      <c r="W20" s="78">
        <v>12</v>
      </c>
      <c r="X20" s="78" t="s">
        <v>35</v>
      </c>
      <c r="Y20" s="78" t="s">
        <v>43</v>
      </c>
      <c r="Z20" s="78" t="s">
        <v>55</v>
      </c>
      <c r="AA20" s="78" t="s">
        <v>36</v>
      </c>
      <c r="AB20" s="139" t="s">
        <v>381</v>
      </c>
      <c r="AC20" s="34"/>
      <c r="AE20" s="22"/>
      <c r="AP20" s="27" t="s">
        <v>96</v>
      </c>
      <c r="AR20" s="81" t="s">
        <v>89</v>
      </c>
      <c r="AV20" s="87" t="s">
        <v>407</v>
      </c>
    </row>
    <row r="21" spans="1:48" x14ac:dyDescent="0.15">
      <c r="A21" s="139" t="s">
        <v>48</v>
      </c>
      <c r="B21" s="139" t="s">
        <v>377</v>
      </c>
      <c r="C21" s="139">
        <v>2020</v>
      </c>
      <c r="D21" s="147" t="s">
        <v>378</v>
      </c>
      <c r="E21" s="139" t="s">
        <v>391</v>
      </c>
      <c r="F21" s="139" t="s">
        <v>384</v>
      </c>
      <c r="G21" s="139" t="s">
        <v>25</v>
      </c>
      <c r="H21" s="139" t="s">
        <v>113</v>
      </c>
      <c r="I21" s="78" t="s">
        <v>111</v>
      </c>
      <c r="J21" s="78" t="s">
        <v>27</v>
      </c>
      <c r="K21" s="78" t="s">
        <v>112</v>
      </c>
      <c r="L21" s="78">
        <v>2</v>
      </c>
      <c r="N21" s="78">
        <v>1</v>
      </c>
      <c r="O21" s="78">
        <v>0.75</v>
      </c>
      <c r="P21" s="78">
        <v>0.9</v>
      </c>
      <c r="Q21" s="44">
        <f t="shared" si="0"/>
        <v>0.82499999999999996</v>
      </c>
      <c r="R21" s="78">
        <v>13.4</v>
      </c>
      <c r="S21" s="78">
        <v>104</v>
      </c>
      <c r="T21" s="16">
        <f t="shared" si="1"/>
        <v>33</v>
      </c>
      <c r="U21" s="78">
        <v>58</v>
      </c>
      <c r="V21" s="180">
        <f t="shared" si="2"/>
        <v>1914</v>
      </c>
      <c r="W21" s="78">
        <v>12</v>
      </c>
      <c r="X21" s="78" t="s">
        <v>35</v>
      </c>
      <c r="Y21" s="78" t="s">
        <v>43</v>
      </c>
      <c r="Z21" s="78" t="s">
        <v>55</v>
      </c>
      <c r="AA21" s="78" t="s">
        <v>36</v>
      </c>
      <c r="AB21" s="139" t="s">
        <v>381</v>
      </c>
      <c r="AC21" s="34"/>
      <c r="AE21" s="22"/>
      <c r="AP21" s="27" t="s">
        <v>97</v>
      </c>
      <c r="AR21" s="81" t="s">
        <v>54</v>
      </c>
      <c r="AV21" s="87" t="s">
        <v>408</v>
      </c>
    </row>
    <row r="22" spans="1:48" x14ac:dyDescent="0.15">
      <c r="A22" s="139" t="s">
        <v>48</v>
      </c>
      <c r="B22" s="139" t="s">
        <v>377</v>
      </c>
      <c r="C22" s="139">
        <v>2020</v>
      </c>
      <c r="D22" s="147" t="s">
        <v>378</v>
      </c>
      <c r="E22" s="139" t="s">
        <v>391</v>
      </c>
      <c r="F22" s="139" t="s">
        <v>384</v>
      </c>
      <c r="G22" s="139" t="s">
        <v>25</v>
      </c>
      <c r="H22" s="139" t="s">
        <v>113</v>
      </c>
      <c r="I22" s="78" t="s">
        <v>111</v>
      </c>
      <c r="J22" s="78" t="s">
        <v>27</v>
      </c>
      <c r="K22" s="78" t="s">
        <v>112</v>
      </c>
      <c r="L22" s="78">
        <v>3</v>
      </c>
      <c r="N22" s="78">
        <v>1</v>
      </c>
      <c r="O22" s="34">
        <v>0.75</v>
      </c>
      <c r="P22" s="78">
        <v>0.8</v>
      </c>
      <c r="Q22" s="44">
        <f t="shared" si="0"/>
        <v>0.77500000000000002</v>
      </c>
      <c r="R22" s="78">
        <v>14.5</v>
      </c>
      <c r="S22" s="78">
        <v>113</v>
      </c>
      <c r="T22" s="16">
        <f t="shared" si="1"/>
        <v>30</v>
      </c>
      <c r="U22" s="78">
        <v>58</v>
      </c>
      <c r="V22" s="180">
        <f t="shared" si="2"/>
        <v>1740</v>
      </c>
      <c r="W22" s="78">
        <v>12</v>
      </c>
      <c r="X22" s="78" t="s">
        <v>35</v>
      </c>
      <c r="Y22" s="78" t="s">
        <v>43</v>
      </c>
      <c r="Z22" s="78" t="s">
        <v>55</v>
      </c>
      <c r="AA22" s="78" t="s">
        <v>36</v>
      </c>
      <c r="AB22" s="139" t="s">
        <v>381</v>
      </c>
      <c r="AC22" s="34"/>
      <c r="AE22" s="35"/>
      <c r="AP22" s="27" t="s">
        <v>98</v>
      </c>
      <c r="AR22" s="81" t="s">
        <v>69</v>
      </c>
      <c r="AV22" s="81"/>
    </row>
    <row r="23" spans="1:48" x14ac:dyDescent="0.15">
      <c r="A23" s="139" t="s">
        <v>48</v>
      </c>
      <c r="B23" s="139" t="s">
        <v>377</v>
      </c>
      <c r="C23" s="139">
        <v>2020</v>
      </c>
      <c r="D23" s="147" t="s">
        <v>378</v>
      </c>
      <c r="E23" s="139" t="s">
        <v>391</v>
      </c>
      <c r="F23" s="139" t="s">
        <v>384</v>
      </c>
      <c r="G23" s="139" t="s">
        <v>25</v>
      </c>
      <c r="H23" s="139" t="s">
        <v>165</v>
      </c>
      <c r="I23" s="78" t="s">
        <v>111</v>
      </c>
      <c r="J23" s="78" t="s">
        <v>27</v>
      </c>
      <c r="K23" s="78" t="s">
        <v>112</v>
      </c>
      <c r="L23" s="78">
        <v>1</v>
      </c>
      <c r="N23" s="78">
        <v>4</v>
      </c>
      <c r="O23" s="78">
        <v>0.6</v>
      </c>
      <c r="P23" s="78">
        <v>0.6</v>
      </c>
      <c r="Q23" s="44">
        <f t="shared" si="0"/>
        <v>0.6</v>
      </c>
      <c r="R23" s="78">
        <v>15.6</v>
      </c>
      <c r="S23" s="78">
        <v>95</v>
      </c>
      <c r="T23" s="16">
        <f t="shared" si="1"/>
        <v>36</v>
      </c>
      <c r="U23" s="78">
        <v>298</v>
      </c>
      <c r="V23" s="180">
        <f t="shared" si="2"/>
        <v>2682</v>
      </c>
      <c r="W23" s="78">
        <v>12</v>
      </c>
      <c r="X23" s="78" t="s">
        <v>35</v>
      </c>
      <c r="Y23" s="78" t="s">
        <v>43</v>
      </c>
      <c r="Z23" s="78" t="s">
        <v>55</v>
      </c>
      <c r="AA23" s="78" t="s">
        <v>36</v>
      </c>
      <c r="AB23" s="139" t="s">
        <v>381</v>
      </c>
      <c r="AC23" s="34"/>
      <c r="AE23" s="22"/>
      <c r="AP23" s="27" t="s">
        <v>116</v>
      </c>
      <c r="AR23" s="81" t="s">
        <v>48</v>
      </c>
    </row>
    <row r="24" spans="1:48" x14ac:dyDescent="0.15">
      <c r="A24" s="139" t="s">
        <v>48</v>
      </c>
      <c r="B24" s="139" t="s">
        <v>377</v>
      </c>
      <c r="C24" s="139">
        <v>2020</v>
      </c>
      <c r="D24" s="147" t="s">
        <v>378</v>
      </c>
      <c r="E24" s="139" t="s">
        <v>391</v>
      </c>
      <c r="F24" s="139" t="s">
        <v>384</v>
      </c>
      <c r="G24" s="139" t="s">
        <v>25</v>
      </c>
      <c r="H24" s="139" t="s">
        <v>165</v>
      </c>
      <c r="I24" s="78" t="s">
        <v>111</v>
      </c>
      <c r="J24" s="78" t="s">
        <v>27</v>
      </c>
      <c r="K24" s="78" t="s">
        <v>112</v>
      </c>
      <c r="L24" s="78">
        <v>2</v>
      </c>
      <c r="N24" s="78">
        <v>4</v>
      </c>
      <c r="O24" s="78">
        <v>0.65</v>
      </c>
      <c r="P24" s="78">
        <v>0.6</v>
      </c>
      <c r="Q24" s="44">
        <f t="shared" si="0"/>
        <v>0.625</v>
      </c>
      <c r="R24" s="78">
        <v>15.3</v>
      </c>
      <c r="S24" s="78">
        <v>100</v>
      </c>
      <c r="T24" s="16">
        <f t="shared" si="1"/>
        <v>33</v>
      </c>
      <c r="U24" s="78">
        <v>298</v>
      </c>
      <c r="V24" s="180">
        <f t="shared" si="2"/>
        <v>2458.5</v>
      </c>
      <c r="W24" s="78">
        <v>12</v>
      </c>
      <c r="X24" s="78" t="s">
        <v>35</v>
      </c>
      <c r="Y24" s="78" t="s">
        <v>43</v>
      </c>
      <c r="Z24" s="78" t="s">
        <v>55</v>
      </c>
      <c r="AA24" s="78" t="s">
        <v>36</v>
      </c>
      <c r="AB24" s="139" t="s">
        <v>381</v>
      </c>
      <c r="AC24" s="34"/>
      <c r="AE24" s="22"/>
      <c r="AP24" s="27" t="s">
        <v>117</v>
      </c>
      <c r="AR24" s="81" t="s">
        <v>77</v>
      </c>
    </row>
    <row r="25" spans="1:48" x14ac:dyDescent="0.15">
      <c r="A25" s="139" t="s">
        <v>48</v>
      </c>
      <c r="B25" s="139" t="s">
        <v>377</v>
      </c>
      <c r="C25" s="139">
        <v>2020</v>
      </c>
      <c r="D25" s="147" t="s">
        <v>378</v>
      </c>
      <c r="E25" s="139" t="s">
        <v>391</v>
      </c>
      <c r="F25" s="139" t="s">
        <v>384</v>
      </c>
      <c r="G25" s="139" t="s">
        <v>25</v>
      </c>
      <c r="H25" s="139" t="s">
        <v>165</v>
      </c>
      <c r="I25" s="78" t="s">
        <v>111</v>
      </c>
      <c r="J25" s="78" t="s">
        <v>27</v>
      </c>
      <c r="K25" s="78" t="s">
        <v>112</v>
      </c>
      <c r="L25" s="78">
        <v>3</v>
      </c>
      <c r="N25" s="78">
        <v>4</v>
      </c>
      <c r="O25" s="34">
        <v>0.7</v>
      </c>
      <c r="P25" s="78">
        <v>0.5</v>
      </c>
      <c r="Q25" s="44">
        <f t="shared" si="0"/>
        <v>0.6</v>
      </c>
      <c r="R25" s="78">
        <v>16</v>
      </c>
      <c r="S25" s="78">
        <v>92</v>
      </c>
      <c r="T25" s="16">
        <f t="shared" si="1"/>
        <v>36</v>
      </c>
      <c r="U25" s="78">
        <v>298</v>
      </c>
      <c r="V25" s="180">
        <f t="shared" si="2"/>
        <v>2682</v>
      </c>
      <c r="W25" s="78">
        <v>12</v>
      </c>
      <c r="X25" s="78" t="s">
        <v>35</v>
      </c>
      <c r="Y25" s="78" t="s">
        <v>43</v>
      </c>
      <c r="Z25" s="78" t="s">
        <v>55</v>
      </c>
      <c r="AA25" s="78" t="s">
        <v>36</v>
      </c>
      <c r="AB25" s="139" t="s">
        <v>381</v>
      </c>
      <c r="AC25" s="34"/>
      <c r="AE25" s="35"/>
      <c r="AP25" s="27" t="s">
        <v>99</v>
      </c>
      <c r="AR25" s="27" t="s">
        <v>78</v>
      </c>
    </row>
    <row r="26" spans="1:48" x14ac:dyDescent="0.15">
      <c r="A26" s="139" t="s">
        <v>48</v>
      </c>
      <c r="B26" s="139" t="s">
        <v>377</v>
      </c>
      <c r="C26" s="139">
        <v>2020</v>
      </c>
      <c r="D26" s="147" t="s">
        <v>378</v>
      </c>
      <c r="E26" s="139" t="s">
        <v>391</v>
      </c>
      <c r="F26" s="139" t="s">
        <v>384</v>
      </c>
      <c r="G26" s="139" t="s">
        <v>25</v>
      </c>
      <c r="H26" s="139" t="s">
        <v>113</v>
      </c>
      <c r="I26" s="78" t="s">
        <v>111</v>
      </c>
      <c r="J26" s="78" t="s">
        <v>27</v>
      </c>
      <c r="K26" s="78" t="s">
        <v>112</v>
      </c>
      <c r="L26" s="78">
        <v>1</v>
      </c>
      <c r="N26" s="78">
        <v>4</v>
      </c>
      <c r="O26" s="78">
        <v>0.9</v>
      </c>
      <c r="P26" s="34">
        <v>0.9</v>
      </c>
      <c r="Q26" s="44">
        <f t="shared" si="0"/>
        <v>0.9</v>
      </c>
      <c r="R26" s="78">
        <v>14.4</v>
      </c>
      <c r="S26" s="78">
        <v>103</v>
      </c>
      <c r="T26" s="16">
        <f t="shared" si="1"/>
        <v>33</v>
      </c>
      <c r="U26" s="78">
        <v>398</v>
      </c>
      <c r="V26" s="180">
        <f t="shared" si="2"/>
        <v>3283.5</v>
      </c>
      <c r="W26" s="78">
        <v>12</v>
      </c>
      <c r="X26" s="78" t="s">
        <v>35</v>
      </c>
      <c r="Y26" s="78" t="s">
        <v>43</v>
      </c>
      <c r="Z26" s="78" t="s">
        <v>55</v>
      </c>
      <c r="AA26" s="78" t="s">
        <v>36</v>
      </c>
      <c r="AB26" s="139" t="s">
        <v>381</v>
      </c>
      <c r="AC26" s="34"/>
      <c r="AD26" s="34"/>
      <c r="AE26" s="35"/>
      <c r="AP26" s="27" t="s">
        <v>100</v>
      </c>
      <c r="AR26" s="81" t="s">
        <v>138</v>
      </c>
    </row>
    <row r="27" spans="1:48" x14ac:dyDescent="0.15">
      <c r="A27" s="139" t="s">
        <v>48</v>
      </c>
      <c r="B27" s="139" t="s">
        <v>377</v>
      </c>
      <c r="C27" s="139">
        <v>2020</v>
      </c>
      <c r="D27" s="147" t="s">
        <v>378</v>
      </c>
      <c r="E27" s="139" t="s">
        <v>391</v>
      </c>
      <c r="F27" s="139" t="s">
        <v>384</v>
      </c>
      <c r="G27" s="139" t="s">
        <v>25</v>
      </c>
      <c r="H27" s="139" t="s">
        <v>113</v>
      </c>
      <c r="I27" s="78" t="s">
        <v>111</v>
      </c>
      <c r="J27" s="78" t="s">
        <v>27</v>
      </c>
      <c r="K27" s="78" t="s">
        <v>112</v>
      </c>
      <c r="L27" s="78">
        <v>2</v>
      </c>
      <c r="N27" s="78">
        <v>4</v>
      </c>
      <c r="O27" s="78">
        <v>0.95</v>
      </c>
      <c r="P27" s="34">
        <v>0.95</v>
      </c>
      <c r="Q27" s="44">
        <f t="shared" si="0"/>
        <v>0.95</v>
      </c>
      <c r="R27" s="78">
        <v>14.2</v>
      </c>
      <c r="S27" s="78">
        <v>102</v>
      </c>
      <c r="T27" s="16">
        <f t="shared" si="1"/>
        <v>33</v>
      </c>
      <c r="U27" s="78">
        <v>398</v>
      </c>
      <c r="V27" s="180">
        <f t="shared" si="2"/>
        <v>3283.5</v>
      </c>
      <c r="W27" s="78">
        <v>12</v>
      </c>
      <c r="X27" s="78" t="s">
        <v>35</v>
      </c>
      <c r="Y27" s="78" t="s">
        <v>43</v>
      </c>
      <c r="Z27" s="78" t="s">
        <v>55</v>
      </c>
      <c r="AA27" s="78" t="s">
        <v>36</v>
      </c>
      <c r="AB27" s="139" t="s">
        <v>381</v>
      </c>
      <c r="AC27" s="34"/>
      <c r="AD27" s="34"/>
      <c r="AE27" s="28"/>
      <c r="AP27" s="27" t="s">
        <v>101</v>
      </c>
      <c r="AR27" s="81" t="s">
        <v>159</v>
      </c>
    </row>
    <row r="28" spans="1:48" x14ac:dyDescent="0.15">
      <c r="A28" s="139" t="s">
        <v>48</v>
      </c>
      <c r="B28" s="139" t="s">
        <v>377</v>
      </c>
      <c r="C28" s="139">
        <v>2020</v>
      </c>
      <c r="D28" s="147" t="s">
        <v>378</v>
      </c>
      <c r="E28" s="139" t="s">
        <v>391</v>
      </c>
      <c r="F28" s="139" t="s">
        <v>384</v>
      </c>
      <c r="G28" s="139" t="s">
        <v>25</v>
      </c>
      <c r="H28" s="139" t="s">
        <v>113</v>
      </c>
      <c r="I28" s="78" t="s">
        <v>111</v>
      </c>
      <c r="J28" s="78" t="s">
        <v>27</v>
      </c>
      <c r="K28" s="78" t="s">
        <v>112</v>
      </c>
      <c r="L28" s="78">
        <v>3</v>
      </c>
      <c r="N28" s="78">
        <v>4</v>
      </c>
      <c r="O28" s="78">
        <v>0.65</v>
      </c>
      <c r="P28" s="34">
        <v>0.65</v>
      </c>
      <c r="Q28" s="44">
        <f t="shared" si="0"/>
        <v>0.65</v>
      </c>
      <c r="R28" s="78">
        <v>14.1</v>
      </c>
      <c r="S28" s="78">
        <v>103</v>
      </c>
      <c r="T28" s="16">
        <f t="shared" si="1"/>
        <v>33</v>
      </c>
      <c r="U28" s="78">
        <v>398</v>
      </c>
      <c r="V28" s="180">
        <f t="shared" si="2"/>
        <v>3283.5</v>
      </c>
      <c r="W28" s="78">
        <v>12</v>
      </c>
      <c r="X28" s="78" t="s">
        <v>35</v>
      </c>
      <c r="Y28" s="78" t="s">
        <v>43</v>
      </c>
      <c r="Z28" s="78" t="s">
        <v>55</v>
      </c>
      <c r="AA28" s="78" t="s">
        <v>36</v>
      </c>
      <c r="AB28" s="139" t="s">
        <v>381</v>
      </c>
      <c r="AC28" s="34"/>
      <c r="AD28" s="34"/>
      <c r="AP28" s="27" t="s">
        <v>156</v>
      </c>
      <c r="AR28" s="81" t="s">
        <v>158</v>
      </c>
    </row>
    <row r="29" spans="1:48" x14ac:dyDescent="0.15">
      <c r="A29" s="139" t="s">
        <v>48</v>
      </c>
      <c r="B29" s="139" t="s">
        <v>377</v>
      </c>
      <c r="C29" s="139">
        <v>2020</v>
      </c>
      <c r="D29" s="147" t="s">
        <v>378</v>
      </c>
      <c r="E29" s="139" t="s">
        <v>391</v>
      </c>
      <c r="F29" s="139" t="s">
        <v>384</v>
      </c>
      <c r="G29" s="139" t="s">
        <v>25</v>
      </c>
      <c r="H29" s="139" t="s">
        <v>113</v>
      </c>
      <c r="I29" s="78" t="s">
        <v>166</v>
      </c>
      <c r="J29" s="78" t="s">
        <v>27</v>
      </c>
      <c r="K29" s="78" t="s">
        <v>112</v>
      </c>
      <c r="L29" s="78">
        <v>1</v>
      </c>
      <c r="N29" s="78">
        <v>5</v>
      </c>
      <c r="O29" s="78">
        <v>1</v>
      </c>
      <c r="P29" s="78">
        <v>0.95</v>
      </c>
      <c r="Q29" s="44">
        <f t="shared" si="0"/>
        <v>0.97499999999999998</v>
      </c>
      <c r="R29" s="78">
        <v>16.2</v>
      </c>
      <c r="S29" s="78">
        <v>74</v>
      </c>
      <c r="T29" s="16">
        <f t="shared" si="1"/>
        <v>42</v>
      </c>
      <c r="U29" s="78">
        <v>398</v>
      </c>
      <c r="V29" s="180">
        <f t="shared" si="2"/>
        <v>3343.2</v>
      </c>
      <c r="W29" s="78">
        <v>12</v>
      </c>
      <c r="X29" s="78" t="s">
        <v>35</v>
      </c>
      <c r="Y29" s="78" t="s">
        <v>43</v>
      </c>
      <c r="Z29" s="78" t="s">
        <v>55</v>
      </c>
      <c r="AA29" s="78" t="s">
        <v>36</v>
      </c>
      <c r="AB29" s="139" t="s">
        <v>381</v>
      </c>
      <c r="AC29" s="34"/>
      <c r="AP29" s="27" t="s">
        <v>157</v>
      </c>
      <c r="AR29" s="28" t="s">
        <v>409</v>
      </c>
    </row>
    <row r="30" spans="1:48" x14ac:dyDescent="0.15">
      <c r="A30" s="139" t="s">
        <v>48</v>
      </c>
      <c r="B30" s="139" t="s">
        <v>377</v>
      </c>
      <c r="C30" s="139">
        <v>2020</v>
      </c>
      <c r="D30" s="147" t="s">
        <v>378</v>
      </c>
      <c r="E30" s="139" t="s">
        <v>391</v>
      </c>
      <c r="F30" s="139" t="s">
        <v>384</v>
      </c>
      <c r="G30" s="139" t="s">
        <v>25</v>
      </c>
      <c r="H30" s="139" t="s">
        <v>113</v>
      </c>
      <c r="I30" s="78" t="s">
        <v>166</v>
      </c>
      <c r="J30" s="78" t="s">
        <v>27</v>
      </c>
      <c r="K30" s="78" t="s">
        <v>112</v>
      </c>
      <c r="L30" s="78">
        <v>2</v>
      </c>
      <c r="N30" s="78">
        <v>5</v>
      </c>
      <c r="O30" s="78">
        <v>0.75</v>
      </c>
      <c r="P30" s="34">
        <v>0.8</v>
      </c>
      <c r="Q30" s="44">
        <f t="shared" si="0"/>
        <v>0.77500000000000002</v>
      </c>
      <c r="R30" s="78">
        <v>16.2</v>
      </c>
      <c r="S30" s="78">
        <v>70</v>
      </c>
      <c r="T30" s="16">
        <f t="shared" si="1"/>
        <v>50</v>
      </c>
      <c r="U30" s="78">
        <v>398</v>
      </c>
      <c r="V30" s="180">
        <f t="shared" si="2"/>
        <v>3979.9999999999995</v>
      </c>
      <c r="W30" s="78">
        <v>12</v>
      </c>
      <c r="X30" s="78" t="s">
        <v>35</v>
      </c>
      <c r="Y30" s="78" t="s">
        <v>43</v>
      </c>
      <c r="Z30" s="78" t="s">
        <v>55</v>
      </c>
      <c r="AA30" s="78" t="s">
        <v>36</v>
      </c>
      <c r="AB30" s="139" t="s">
        <v>381</v>
      </c>
      <c r="AC30" s="34"/>
    </row>
    <row r="31" spans="1:48" x14ac:dyDescent="0.15">
      <c r="A31" s="139" t="s">
        <v>48</v>
      </c>
      <c r="B31" s="139" t="s">
        <v>377</v>
      </c>
      <c r="C31" s="139">
        <v>2020</v>
      </c>
      <c r="D31" s="147" t="s">
        <v>378</v>
      </c>
      <c r="E31" s="139" t="s">
        <v>391</v>
      </c>
      <c r="F31" s="139" t="s">
        <v>384</v>
      </c>
      <c r="G31" s="139" t="s">
        <v>25</v>
      </c>
      <c r="H31" s="139" t="s">
        <v>113</v>
      </c>
      <c r="I31" s="78" t="s">
        <v>166</v>
      </c>
      <c r="J31" s="78" t="s">
        <v>27</v>
      </c>
      <c r="K31" s="78" t="s">
        <v>112</v>
      </c>
      <c r="L31" s="78">
        <v>3</v>
      </c>
      <c r="N31" s="78">
        <v>5</v>
      </c>
      <c r="O31" s="78">
        <v>0.9</v>
      </c>
      <c r="P31" s="78">
        <v>1</v>
      </c>
      <c r="Q31" s="44">
        <f t="shared" si="0"/>
        <v>0.95</v>
      </c>
      <c r="R31" s="78">
        <v>18.2</v>
      </c>
      <c r="S31" s="78">
        <v>75</v>
      </c>
      <c r="T31" s="16">
        <f t="shared" si="1"/>
        <v>42</v>
      </c>
      <c r="U31" s="78">
        <v>398</v>
      </c>
      <c r="V31" s="180">
        <f t="shared" si="2"/>
        <v>3343.2</v>
      </c>
      <c r="W31" s="78">
        <v>12</v>
      </c>
      <c r="X31" s="78" t="s">
        <v>35</v>
      </c>
      <c r="Y31" s="78" t="s">
        <v>43</v>
      </c>
      <c r="Z31" s="78" t="s">
        <v>55</v>
      </c>
      <c r="AA31" s="78" t="s">
        <v>36</v>
      </c>
      <c r="AB31" s="139" t="s">
        <v>381</v>
      </c>
      <c r="AC31" s="34"/>
    </row>
    <row r="32" spans="1:48" x14ac:dyDescent="0.15">
      <c r="A32" s="139" t="s">
        <v>48</v>
      </c>
      <c r="B32" s="139" t="s">
        <v>377</v>
      </c>
      <c r="C32" s="139">
        <v>2020</v>
      </c>
      <c r="D32" s="147" t="s">
        <v>378</v>
      </c>
      <c r="E32" s="139" t="s">
        <v>385</v>
      </c>
      <c r="F32" s="139" t="s">
        <v>386</v>
      </c>
      <c r="G32" s="139" t="s">
        <v>31</v>
      </c>
      <c r="H32" s="139" t="s">
        <v>167</v>
      </c>
      <c r="I32" s="78" t="s">
        <v>111</v>
      </c>
      <c r="J32" s="78" t="s">
        <v>27</v>
      </c>
      <c r="K32" s="78" t="s">
        <v>112</v>
      </c>
      <c r="L32" s="78">
        <v>1</v>
      </c>
      <c r="N32" s="78">
        <v>1</v>
      </c>
      <c r="O32" s="78">
        <v>0.75</v>
      </c>
      <c r="P32" s="78">
        <v>0.6</v>
      </c>
      <c r="Q32" s="44">
        <f t="shared" si="0"/>
        <v>0.67500000000000004</v>
      </c>
      <c r="R32" s="78">
        <v>14.9</v>
      </c>
      <c r="S32" s="78">
        <v>138</v>
      </c>
      <c r="T32" s="16">
        <f t="shared" si="1"/>
        <v>22</v>
      </c>
      <c r="U32" s="78">
        <v>146</v>
      </c>
      <c r="V32" s="180">
        <f t="shared" si="2"/>
        <v>3212</v>
      </c>
      <c r="W32" s="78">
        <v>6</v>
      </c>
      <c r="X32" s="78" t="s">
        <v>35</v>
      </c>
      <c r="Y32" s="78" t="s">
        <v>76</v>
      </c>
      <c r="Z32" s="78" t="s">
        <v>55</v>
      </c>
      <c r="AA32" s="78" t="s">
        <v>43</v>
      </c>
      <c r="AB32" s="139" t="s">
        <v>381</v>
      </c>
      <c r="AC32" s="34"/>
    </row>
    <row r="33" spans="1:29" x14ac:dyDescent="0.15">
      <c r="A33" s="139" t="s">
        <v>48</v>
      </c>
      <c r="B33" s="139" t="s">
        <v>377</v>
      </c>
      <c r="C33" s="139">
        <v>2020</v>
      </c>
      <c r="D33" s="147" t="s">
        <v>378</v>
      </c>
      <c r="E33" s="139" t="s">
        <v>385</v>
      </c>
      <c r="F33" s="139" t="s">
        <v>386</v>
      </c>
      <c r="G33" s="139" t="s">
        <v>31</v>
      </c>
      <c r="H33" s="139" t="s">
        <v>167</v>
      </c>
      <c r="I33" s="78" t="s">
        <v>111</v>
      </c>
      <c r="J33" s="78" t="s">
        <v>27</v>
      </c>
      <c r="K33" s="78" t="s">
        <v>112</v>
      </c>
      <c r="L33" s="78">
        <v>2</v>
      </c>
      <c r="N33" s="78">
        <v>1</v>
      </c>
      <c r="O33" s="78">
        <v>0.65</v>
      </c>
      <c r="P33" s="78">
        <v>0.9</v>
      </c>
      <c r="Q33" s="44">
        <f t="shared" si="0"/>
        <v>0.77500000000000002</v>
      </c>
      <c r="R33" s="78">
        <v>15</v>
      </c>
      <c r="S33" s="78">
        <v>143</v>
      </c>
      <c r="T33" s="16">
        <f t="shared" si="1"/>
        <v>22</v>
      </c>
      <c r="U33" s="78">
        <v>146</v>
      </c>
      <c r="V33" s="180">
        <f t="shared" si="2"/>
        <v>3212</v>
      </c>
      <c r="W33" s="78">
        <v>6</v>
      </c>
      <c r="X33" s="78" t="s">
        <v>35</v>
      </c>
      <c r="Y33" s="78" t="s">
        <v>76</v>
      </c>
      <c r="Z33" s="78" t="s">
        <v>55</v>
      </c>
      <c r="AA33" s="78" t="s">
        <v>43</v>
      </c>
      <c r="AB33" s="139" t="s">
        <v>381</v>
      </c>
      <c r="AC33" s="34"/>
    </row>
    <row r="34" spans="1:29" x14ac:dyDescent="0.15">
      <c r="A34" s="139" t="s">
        <v>48</v>
      </c>
      <c r="B34" s="139" t="s">
        <v>377</v>
      </c>
      <c r="C34" s="139">
        <v>2020</v>
      </c>
      <c r="D34" s="147" t="s">
        <v>378</v>
      </c>
      <c r="E34" s="139" t="s">
        <v>385</v>
      </c>
      <c r="F34" s="139" t="s">
        <v>386</v>
      </c>
      <c r="G34" s="139" t="s">
        <v>31</v>
      </c>
      <c r="H34" s="139" t="s">
        <v>167</v>
      </c>
      <c r="I34" s="78" t="s">
        <v>111</v>
      </c>
      <c r="J34" s="78" t="s">
        <v>27</v>
      </c>
      <c r="K34" s="78" t="s">
        <v>112</v>
      </c>
      <c r="L34" s="78">
        <v>3</v>
      </c>
      <c r="N34" s="78">
        <v>1</v>
      </c>
      <c r="O34" s="78">
        <v>0.6</v>
      </c>
      <c r="P34" s="78">
        <v>0.55000000000000004</v>
      </c>
      <c r="Q34" s="44">
        <f t="shared" si="0"/>
        <v>0.57499999999999996</v>
      </c>
      <c r="R34" s="78">
        <v>17</v>
      </c>
      <c r="S34" s="78">
        <v>132</v>
      </c>
      <c r="T34" s="16">
        <f t="shared" si="1"/>
        <v>25</v>
      </c>
      <c r="U34" s="78">
        <v>146</v>
      </c>
      <c r="V34" s="180">
        <f t="shared" si="2"/>
        <v>3650</v>
      </c>
      <c r="W34" s="78">
        <v>6</v>
      </c>
      <c r="X34" s="78" t="s">
        <v>35</v>
      </c>
      <c r="Y34" s="78" t="s">
        <v>76</v>
      </c>
      <c r="Z34" s="78" t="s">
        <v>55</v>
      </c>
      <c r="AA34" s="78" t="s">
        <v>43</v>
      </c>
      <c r="AB34" s="139" t="s">
        <v>381</v>
      </c>
      <c r="AC34" s="34"/>
    </row>
    <row r="35" spans="1:29" x14ac:dyDescent="0.15">
      <c r="A35" s="139" t="s">
        <v>48</v>
      </c>
      <c r="B35" s="139" t="s">
        <v>377</v>
      </c>
      <c r="C35" s="139">
        <v>2020</v>
      </c>
      <c r="D35" s="147" t="s">
        <v>378</v>
      </c>
      <c r="E35" s="139" t="s">
        <v>385</v>
      </c>
      <c r="F35" s="139" t="s">
        <v>386</v>
      </c>
      <c r="G35" s="139" t="s">
        <v>31</v>
      </c>
      <c r="H35" s="139" t="s">
        <v>415</v>
      </c>
      <c r="I35" s="78" t="s">
        <v>111</v>
      </c>
      <c r="J35" s="78" t="s">
        <v>27</v>
      </c>
      <c r="K35" s="78" t="s">
        <v>112</v>
      </c>
      <c r="L35" s="78">
        <v>1</v>
      </c>
      <c r="N35" s="78">
        <v>4</v>
      </c>
      <c r="O35" s="78">
        <v>0.55000000000000004</v>
      </c>
      <c r="P35" s="78">
        <v>0.65</v>
      </c>
      <c r="Q35" s="44">
        <f t="shared" si="0"/>
        <v>0.60000000000000009</v>
      </c>
      <c r="R35" s="78">
        <v>15.1</v>
      </c>
      <c r="S35" s="78">
        <v>106</v>
      </c>
      <c r="T35" s="16">
        <f t="shared" si="1"/>
        <v>33</v>
      </c>
      <c r="U35" s="78">
        <v>488</v>
      </c>
      <c r="V35" s="180">
        <f t="shared" si="2"/>
        <v>4026</v>
      </c>
      <c r="W35" s="78">
        <v>6</v>
      </c>
      <c r="X35" s="78" t="s">
        <v>35</v>
      </c>
      <c r="Y35" s="78" t="s">
        <v>76</v>
      </c>
      <c r="Z35" s="78" t="s">
        <v>55</v>
      </c>
      <c r="AA35" s="78" t="s">
        <v>43</v>
      </c>
      <c r="AB35" s="139" t="s">
        <v>381</v>
      </c>
      <c r="AC35" s="34"/>
    </row>
    <row r="36" spans="1:29" x14ac:dyDescent="0.15">
      <c r="A36" s="139" t="s">
        <v>48</v>
      </c>
      <c r="B36" s="139" t="s">
        <v>377</v>
      </c>
      <c r="C36" s="139">
        <v>2020</v>
      </c>
      <c r="D36" s="147" t="s">
        <v>378</v>
      </c>
      <c r="E36" s="139" t="s">
        <v>385</v>
      </c>
      <c r="F36" s="139" t="s">
        <v>386</v>
      </c>
      <c r="G36" s="139" t="s">
        <v>31</v>
      </c>
      <c r="H36" s="139" t="s">
        <v>167</v>
      </c>
      <c r="I36" s="78" t="s">
        <v>111</v>
      </c>
      <c r="J36" s="78" t="s">
        <v>27</v>
      </c>
      <c r="K36" s="78" t="s">
        <v>112</v>
      </c>
      <c r="L36" s="78">
        <v>2</v>
      </c>
      <c r="N36" s="78">
        <v>4</v>
      </c>
      <c r="O36" s="78">
        <v>0.5</v>
      </c>
      <c r="P36" s="78">
        <v>0.5</v>
      </c>
      <c r="Q36" s="44">
        <f t="shared" si="0"/>
        <v>0.5</v>
      </c>
      <c r="R36" s="78">
        <v>14.9</v>
      </c>
      <c r="S36" s="78">
        <v>105</v>
      </c>
      <c r="T36" s="16">
        <f t="shared" si="1"/>
        <v>33</v>
      </c>
      <c r="U36" s="78">
        <v>488</v>
      </c>
      <c r="V36" s="180">
        <f t="shared" si="2"/>
        <v>4026</v>
      </c>
      <c r="W36" s="78">
        <v>6</v>
      </c>
      <c r="X36" s="78" t="s">
        <v>35</v>
      </c>
      <c r="Y36" s="78" t="s">
        <v>76</v>
      </c>
      <c r="Z36" s="78" t="s">
        <v>55</v>
      </c>
      <c r="AA36" s="78" t="s">
        <v>43</v>
      </c>
      <c r="AB36" s="139" t="s">
        <v>381</v>
      </c>
      <c r="AC36" s="34"/>
    </row>
    <row r="37" spans="1:29" x14ac:dyDescent="0.15">
      <c r="A37" s="139" t="s">
        <v>48</v>
      </c>
      <c r="B37" s="139" t="s">
        <v>377</v>
      </c>
      <c r="C37" s="139">
        <v>2020</v>
      </c>
      <c r="D37" s="147" t="s">
        <v>378</v>
      </c>
      <c r="E37" s="139" t="s">
        <v>385</v>
      </c>
      <c r="F37" s="139" t="s">
        <v>386</v>
      </c>
      <c r="G37" s="139" t="s">
        <v>31</v>
      </c>
      <c r="H37" s="139" t="s">
        <v>167</v>
      </c>
      <c r="I37" s="78" t="s">
        <v>111</v>
      </c>
      <c r="J37" s="78" t="s">
        <v>27</v>
      </c>
      <c r="K37" s="78" t="s">
        <v>112</v>
      </c>
      <c r="L37" s="78">
        <v>3</v>
      </c>
      <c r="N37" s="78">
        <v>4</v>
      </c>
      <c r="O37" s="78">
        <v>0.5</v>
      </c>
      <c r="P37" s="78">
        <v>0.55000000000000004</v>
      </c>
      <c r="Q37" s="44">
        <f t="shared" si="0"/>
        <v>0.52500000000000002</v>
      </c>
      <c r="R37" s="78">
        <v>14.9</v>
      </c>
      <c r="S37" s="78">
        <v>105</v>
      </c>
      <c r="T37" s="16">
        <f t="shared" si="1"/>
        <v>33</v>
      </c>
      <c r="U37" s="78">
        <v>488</v>
      </c>
      <c r="V37" s="180">
        <f t="shared" si="2"/>
        <v>4026</v>
      </c>
      <c r="W37" s="78">
        <v>6</v>
      </c>
      <c r="X37" s="78" t="s">
        <v>35</v>
      </c>
      <c r="Y37" s="78" t="s">
        <v>76</v>
      </c>
      <c r="Z37" s="78" t="s">
        <v>55</v>
      </c>
      <c r="AA37" s="78" t="s">
        <v>43</v>
      </c>
      <c r="AB37" s="139" t="s">
        <v>381</v>
      </c>
      <c r="AC37" s="34"/>
    </row>
    <row r="38" spans="1:29" x14ac:dyDescent="0.15">
      <c r="A38" s="139" t="s">
        <v>48</v>
      </c>
      <c r="B38" s="139" t="s">
        <v>377</v>
      </c>
      <c r="C38" s="139">
        <v>2020</v>
      </c>
      <c r="D38" s="147" t="s">
        <v>378</v>
      </c>
      <c r="E38" s="139" t="s">
        <v>385</v>
      </c>
      <c r="F38" s="139" t="s">
        <v>386</v>
      </c>
      <c r="G38" s="139" t="s">
        <v>31</v>
      </c>
      <c r="H38" s="139" t="s">
        <v>113</v>
      </c>
      <c r="I38" s="78" t="s">
        <v>111</v>
      </c>
      <c r="J38" s="78" t="s">
        <v>27</v>
      </c>
      <c r="K38" s="78" t="s">
        <v>112</v>
      </c>
      <c r="L38" s="78">
        <v>1</v>
      </c>
      <c r="N38" s="78">
        <v>1</v>
      </c>
      <c r="O38" s="78">
        <v>0.8</v>
      </c>
      <c r="P38" s="78">
        <v>0.8</v>
      </c>
      <c r="Q38" s="44">
        <f t="shared" si="0"/>
        <v>0.8</v>
      </c>
      <c r="R38" s="78">
        <v>14.7</v>
      </c>
      <c r="S38" s="78">
        <v>134</v>
      </c>
      <c r="T38" s="16">
        <f t="shared" si="1"/>
        <v>25</v>
      </c>
      <c r="U38" s="78">
        <v>146</v>
      </c>
      <c r="V38" s="180">
        <f t="shared" si="2"/>
        <v>3650</v>
      </c>
      <c r="W38" s="78">
        <v>6</v>
      </c>
      <c r="X38" s="78" t="s">
        <v>35</v>
      </c>
      <c r="Y38" s="78" t="s">
        <v>76</v>
      </c>
      <c r="Z38" s="78" t="s">
        <v>55</v>
      </c>
      <c r="AA38" s="78" t="s">
        <v>43</v>
      </c>
      <c r="AB38" s="139" t="s">
        <v>381</v>
      </c>
      <c r="AC38" s="34"/>
    </row>
    <row r="39" spans="1:29" x14ac:dyDescent="0.15">
      <c r="A39" s="139" t="s">
        <v>48</v>
      </c>
      <c r="B39" s="139" t="s">
        <v>377</v>
      </c>
      <c r="C39" s="139">
        <v>2020</v>
      </c>
      <c r="D39" s="147" t="s">
        <v>378</v>
      </c>
      <c r="E39" s="139" t="s">
        <v>385</v>
      </c>
      <c r="F39" s="139" t="s">
        <v>386</v>
      </c>
      <c r="G39" s="139" t="s">
        <v>31</v>
      </c>
      <c r="H39" s="139" t="s">
        <v>113</v>
      </c>
      <c r="I39" s="78" t="s">
        <v>111</v>
      </c>
      <c r="J39" s="78" t="s">
        <v>27</v>
      </c>
      <c r="K39" s="78" t="s">
        <v>112</v>
      </c>
      <c r="L39" s="78">
        <v>2</v>
      </c>
      <c r="N39" s="78">
        <v>1</v>
      </c>
      <c r="O39" s="78">
        <v>0.8</v>
      </c>
      <c r="P39" s="78">
        <v>0.9</v>
      </c>
      <c r="Q39" s="44">
        <f t="shared" si="0"/>
        <v>0.85000000000000009</v>
      </c>
      <c r="R39" s="78">
        <v>14.8</v>
      </c>
      <c r="S39" s="78">
        <v>140</v>
      </c>
      <c r="T39" s="16">
        <f t="shared" si="1"/>
        <v>22</v>
      </c>
      <c r="U39" s="78">
        <v>146</v>
      </c>
      <c r="V39" s="180">
        <f t="shared" si="2"/>
        <v>3212</v>
      </c>
      <c r="W39" s="78">
        <v>6</v>
      </c>
      <c r="X39" s="78" t="s">
        <v>35</v>
      </c>
      <c r="Y39" s="78" t="s">
        <v>76</v>
      </c>
      <c r="Z39" s="78" t="s">
        <v>55</v>
      </c>
      <c r="AA39" s="78" t="s">
        <v>43</v>
      </c>
      <c r="AB39" s="139" t="s">
        <v>381</v>
      </c>
      <c r="AC39" s="34"/>
    </row>
    <row r="40" spans="1:29" x14ac:dyDescent="0.15">
      <c r="A40" s="139" t="s">
        <v>48</v>
      </c>
      <c r="B40" s="139" t="s">
        <v>377</v>
      </c>
      <c r="C40" s="139">
        <v>2020</v>
      </c>
      <c r="D40" s="147" t="s">
        <v>378</v>
      </c>
      <c r="E40" s="139" t="s">
        <v>385</v>
      </c>
      <c r="F40" s="139" t="s">
        <v>386</v>
      </c>
      <c r="G40" s="139" t="s">
        <v>31</v>
      </c>
      <c r="H40" s="139" t="s">
        <v>113</v>
      </c>
      <c r="I40" s="78" t="s">
        <v>111</v>
      </c>
      <c r="J40" s="78" t="s">
        <v>27</v>
      </c>
      <c r="K40" s="78" t="s">
        <v>112</v>
      </c>
      <c r="L40" s="78">
        <v>3</v>
      </c>
      <c r="N40" s="78">
        <v>1</v>
      </c>
      <c r="O40" s="78">
        <v>0.75</v>
      </c>
      <c r="P40" s="78">
        <v>0.7</v>
      </c>
      <c r="Q40" s="44">
        <f t="shared" si="0"/>
        <v>0.72499999999999998</v>
      </c>
      <c r="R40" s="78">
        <v>14.2</v>
      </c>
      <c r="S40" s="78">
        <v>134</v>
      </c>
      <c r="T40" s="16">
        <f t="shared" si="1"/>
        <v>25</v>
      </c>
      <c r="U40" s="78">
        <v>146</v>
      </c>
      <c r="V40" s="180">
        <f t="shared" si="2"/>
        <v>3650</v>
      </c>
      <c r="W40" s="78">
        <v>6</v>
      </c>
      <c r="X40" s="78" t="s">
        <v>35</v>
      </c>
      <c r="Y40" s="78" t="s">
        <v>76</v>
      </c>
      <c r="Z40" s="78" t="s">
        <v>55</v>
      </c>
      <c r="AA40" s="78" t="s">
        <v>43</v>
      </c>
      <c r="AB40" s="139" t="s">
        <v>381</v>
      </c>
      <c r="AC40" s="34"/>
    </row>
    <row r="41" spans="1:29" x14ac:dyDescent="0.15">
      <c r="A41" s="139" t="s">
        <v>48</v>
      </c>
      <c r="B41" s="139" t="s">
        <v>377</v>
      </c>
      <c r="C41" s="139">
        <v>2020</v>
      </c>
      <c r="D41" s="147" t="s">
        <v>378</v>
      </c>
      <c r="E41" s="139" t="s">
        <v>385</v>
      </c>
      <c r="F41" s="139" t="s">
        <v>386</v>
      </c>
      <c r="G41" s="139" t="s">
        <v>31</v>
      </c>
      <c r="H41" s="139" t="s">
        <v>113</v>
      </c>
      <c r="I41" s="78" t="s">
        <v>111</v>
      </c>
      <c r="J41" s="78" t="s">
        <v>27</v>
      </c>
      <c r="K41" s="78" t="s">
        <v>112</v>
      </c>
      <c r="L41" s="78">
        <v>1</v>
      </c>
      <c r="N41" s="78">
        <v>4</v>
      </c>
      <c r="O41" s="78">
        <v>0.6</v>
      </c>
      <c r="P41" s="78">
        <v>0.6</v>
      </c>
      <c r="Q41" s="44">
        <f t="shared" si="0"/>
        <v>0.6</v>
      </c>
      <c r="R41" s="78">
        <v>14.2</v>
      </c>
      <c r="S41" s="78">
        <v>89</v>
      </c>
      <c r="T41" s="16">
        <f t="shared" si="1"/>
        <v>36</v>
      </c>
      <c r="U41" s="78">
        <v>461</v>
      </c>
      <c r="V41" s="180">
        <f t="shared" si="2"/>
        <v>4149</v>
      </c>
      <c r="W41" s="78">
        <v>6</v>
      </c>
      <c r="X41" s="78" t="s">
        <v>35</v>
      </c>
      <c r="Y41" s="78" t="s">
        <v>76</v>
      </c>
      <c r="Z41" s="78" t="s">
        <v>55</v>
      </c>
      <c r="AA41" s="78" t="s">
        <v>43</v>
      </c>
      <c r="AB41" s="139" t="s">
        <v>381</v>
      </c>
      <c r="AC41" s="34"/>
    </row>
    <row r="42" spans="1:29" x14ac:dyDescent="0.15">
      <c r="A42" s="139" t="s">
        <v>48</v>
      </c>
      <c r="B42" s="139" t="s">
        <v>377</v>
      </c>
      <c r="C42" s="139">
        <v>2020</v>
      </c>
      <c r="D42" s="147" t="s">
        <v>378</v>
      </c>
      <c r="E42" s="139" t="s">
        <v>385</v>
      </c>
      <c r="F42" s="139" t="s">
        <v>386</v>
      </c>
      <c r="G42" s="139" t="s">
        <v>31</v>
      </c>
      <c r="H42" s="139" t="s">
        <v>113</v>
      </c>
      <c r="I42" s="78" t="s">
        <v>111</v>
      </c>
      <c r="J42" s="78" t="s">
        <v>27</v>
      </c>
      <c r="K42" s="78" t="s">
        <v>112</v>
      </c>
      <c r="L42" s="78">
        <v>2</v>
      </c>
      <c r="N42" s="78">
        <v>4</v>
      </c>
      <c r="O42" s="78">
        <v>0.55000000000000004</v>
      </c>
      <c r="P42" s="78">
        <v>0.5</v>
      </c>
      <c r="Q42" s="44">
        <f t="shared" si="0"/>
        <v>0.52500000000000002</v>
      </c>
      <c r="R42" s="78">
        <v>14</v>
      </c>
      <c r="S42" s="78">
        <v>85</v>
      </c>
      <c r="T42" s="16">
        <f t="shared" si="1"/>
        <v>36</v>
      </c>
      <c r="U42" s="78">
        <v>461</v>
      </c>
      <c r="V42" s="180">
        <f t="shared" si="2"/>
        <v>4149</v>
      </c>
      <c r="W42" s="78">
        <v>6</v>
      </c>
      <c r="X42" s="78" t="s">
        <v>35</v>
      </c>
      <c r="Y42" s="78" t="s">
        <v>76</v>
      </c>
      <c r="Z42" s="78" t="s">
        <v>55</v>
      </c>
      <c r="AA42" s="78" t="s">
        <v>43</v>
      </c>
      <c r="AB42" s="139" t="s">
        <v>381</v>
      </c>
      <c r="AC42" s="34"/>
    </row>
    <row r="43" spans="1:29" x14ac:dyDescent="0.15">
      <c r="A43" s="139" t="s">
        <v>48</v>
      </c>
      <c r="B43" s="139" t="s">
        <v>377</v>
      </c>
      <c r="C43" s="139">
        <v>2020</v>
      </c>
      <c r="D43" s="147" t="s">
        <v>378</v>
      </c>
      <c r="E43" s="139" t="s">
        <v>385</v>
      </c>
      <c r="F43" s="139" t="s">
        <v>386</v>
      </c>
      <c r="G43" s="139" t="s">
        <v>31</v>
      </c>
      <c r="H43" s="139" t="s">
        <v>113</v>
      </c>
      <c r="I43" s="78" t="s">
        <v>111</v>
      </c>
      <c r="J43" s="78" t="s">
        <v>27</v>
      </c>
      <c r="K43" s="78" t="s">
        <v>112</v>
      </c>
      <c r="L43" s="78">
        <v>3</v>
      </c>
      <c r="N43" s="78">
        <v>4</v>
      </c>
      <c r="O43" s="78">
        <v>0.55000000000000004</v>
      </c>
      <c r="P43" s="78">
        <v>0.65</v>
      </c>
      <c r="Q43" s="44">
        <f t="shared" si="0"/>
        <v>0.60000000000000009</v>
      </c>
      <c r="R43" s="78">
        <v>13.8</v>
      </c>
      <c r="S43" s="78">
        <v>84</v>
      </c>
      <c r="T43" s="16">
        <f t="shared" si="1"/>
        <v>36</v>
      </c>
      <c r="U43" s="78">
        <v>461</v>
      </c>
      <c r="V43" s="180">
        <f t="shared" si="2"/>
        <v>4149</v>
      </c>
      <c r="W43" s="78">
        <v>6</v>
      </c>
      <c r="X43" s="78" t="s">
        <v>35</v>
      </c>
      <c r="Y43" s="78" t="s">
        <v>76</v>
      </c>
      <c r="Z43" s="78" t="s">
        <v>55</v>
      </c>
      <c r="AA43" s="78" t="s">
        <v>43</v>
      </c>
      <c r="AB43" s="139" t="s">
        <v>381</v>
      </c>
      <c r="AC43" s="34"/>
    </row>
    <row r="44" spans="1:29" x14ac:dyDescent="0.15">
      <c r="A44" s="139" t="s">
        <v>48</v>
      </c>
      <c r="B44" s="139" t="s">
        <v>377</v>
      </c>
      <c r="C44" s="139">
        <v>2020</v>
      </c>
      <c r="D44" s="147" t="s">
        <v>378</v>
      </c>
      <c r="E44" s="139" t="s">
        <v>410</v>
      </c>
      <c r="F44" s="139" t="s">
        <v>388</v>
      </c>
      <c r="G44" s="139" t="s">
        <v>25</v>
      </c>
      <c r="H44" s="139" t="s">
        <v>167</v>
      </c>
      <c r="I44" s="78" t="s">
        <v>111</v>
      </c>
      <c r="J44" s="78" t="s">
        <v>27</v>
      </c>
      <c r="K44" s="78" t="s">
        <v>112</v>
      </c>
      <c r="L44" s="78">
        <v>1</v>
      </c>
      <c r="N44" s="78">
        <v>1</v>
      </c>
      <c r="O44" s="78">
        <v>0.65</v>
      </c>
      <c r="P44" s="78">
        <v>0.7</v>
      </c>
      <c r="Q44" s="44">
        <f t="shared" si="0"/>
        <v>0.67500000000000004</v>
      </c>
      <c r="R44" s="78">
        <v>17.399999999999999</v>
      </c>
      <c r="S44" s="78">
        <v>106</v>
      </c>
      <c r="T44" s="16">
        <f t="shared" si="1"/>
        <v>33</v>
      </c>
      <c r="U44" s="78">
        <v>78</v>
      </c>
      <c r="V44" s="180">
        <f t="shared" si="2"/>
        <v>2574</v>
      </c>
      <c r="W44" s="78">
        <v>18</v>
      </c>
      <c r="X44" s="78" t="s">
        <v>35</v>
      </c>
      <c r="Y44" s="78" t="s">
        <v>43</v>
      </c>
      <c r="Z44" s="78" t="s">
        <v>64</v>
      </c>
      <c r="AA44" s="78" t="s">
        <v>76</v>
      </c>
      <c r="AB44" s="139" t="s">
        <v>381</v>
      </c>
    </row>
    <row r="45" spans="1:29" x14ac:dyDescent="0.15">
      <c r="A45" s="139" t="s">
        <v>48</v>
      </c>
      <c r="B45" s="139" t="s">
        <v>377</v>
      </c>
      <c r="C45" s="139">
        <v>2020</v>
      </c>
      <c r="D45" s="147" t="s">
        <v>378</v>
      </c>
      <c r="E45" s="139" t="s">
        <v>410</v>
      </c>
      <c r="F45" s="139" t="s">
        <v>388</v>
      </c>
      <c r="G45" s="139" t="s">
        <v>25</v>
      </c>
      <c r="H45" s="139" t="s">
        <v>167</v>
      </c>
      <c r="I45" s="78" t="s">
        <v>111</v>
      </c>
      <c r="J45" s="78" t="s">
        <v>27</v>
      </c>
      <c r="K45" s="78" t="s">
        <v>112</v>
      </c>
      <c r="L45" s="78">
        <v>2</v>
      </c>
      <c r="N45" s="78">
        <v>1</v>
      </c>
      <c r="O45" s="78">
        <v>0.55000000000000004</v>
      </c>
      <c r="P45" s="78">
        <v>0.6</v>
      </c>
      <c r="Q45" s="44">
        <f t="shared" si="0"/>
        <v>0.57499999999999996</v>
      </c>
      <c r="R45" s="78">
        <v>17.3</v>
      </c>
      <c r="S45" s="78">
        <v>108</v>
      </c>
      <c r="T45" s="16">
        <f t="shared" si="1"/>
        <v>33</v>
      </c>
      <c r="U45" s="78">
        <v>78</v>
      </c>
      <c r="V45" s="180">
        <f t="shared" si="2"/>
        <v>2574</v>
      </c>
      <c r="W45" s="78">
        <v>18</v>
      </c>
      <c r="X45" s="78" t="s">
        <v>35</v>
      </c>
      <c r="Y45" s="78" t="s">
        <v>43</v>
      </c>
      <c r="Z45" s="78" t="s">
        <v>64</v>
      </c>
      <c r="AA45" s="78" t="s">
        <v>76</v>
      </c>
      <c r="AB45" s="139" t="s">
        <v>381</v>
      </c>
    </row>
    <row r="46" spans="1:29" x14ac:dyDescent="0.15">
      <c r="A46" s="139" t="s">
        <v>48</v>
      </c>
      <c r="B46" s="139" t="s">
        <v>377</v>
      </c>
      <c r="C46" s="139">
        <v>2020</v>
      </c>
      <c r="D46" s="147" t="s">
        <v>378</v>
      </c>
      <c r="E46" s="139" t="s">
        <v>410</v>
      </c>
      <c r="F46" s="139" t="s">
        <v>388</v>
      </c>
      <c r="G46" s="139" t="s">
        <v>25</v>
      </c>
      <c r="H46" s="139" t="s">
        <v>167</v>
      </c>
      <c r="I46" s="78" t="s">
        <v>111</v>
      </c>
      <c r="J46" s="78" t="s">
        <v>27</v>
      </c>
      <c r="K46" s="78" t="s">
        <v>112</v>
      </c>
      <c r="L46" s="78">
        <v>3</v>
      </c>
      <c r="N46" s="78">
        <v>1</v>
      </c>
      <c r="O46" s="78">
        <v>0.7</v>
      </c>
      <c r="P46" s="78">
        <v>0.75</v>
      </c>
      <c r="Q46" s="44">
        <f t="shared" si="0"/>
        <v>0.72499999999999998</v>
      </c>
      <c r="R46" s="78">
        <v>14.5</v>
      </c>
      <c r="S46" s="78">
        <v>103</v>
      </c>
      <c r="T46" s="16">
        <f t="shared" si="1"/>
        <v>33</v>
      </c>
      <c r="U46" s="78">
        <v>78</v>
      </c>
      <c r="V46" s="180">
        <f t="shared" si="2"/>
        <v>2574</v>
      </c>
      <c r="W46" s="78">
        <v>18</v>
      </c>
      <c r="X46" s="78" t="s">
        <v>35</v>
      </c>
      <c r="Y46" s="78" t="s">
        <v>43</v>
      </c>
      <c r="Z46" s="78" t="s">
        <v>64</v>
      </c>
      <c r="AA46" s="78" t="s">
        <v>76</v>
      </c>
      <c r="AB46" s="139" t="s">
        <v>381</v>
      </c>
    </row>
    <row r="47" spans="1:29" x14ac:dyDescent="0.15">
      <c r="A47" s="139" t="s">
        <v>48</v>
      </c>
      <c r="B47" s="139" t="s">
        <v>377</v>
      </c>
      <c r="C47" s="139">
        <v>2020</v>
      </c>
      <c r="D47" s="147" t="s">
        <v>378</v>
      </c>
      <c r="E47" s="139" t="s">
        <v>410</v>
      </c>
      <c r="F47" s="139" t="s">
        <v>388</v>
      </c>
      <c r="G47" s="139" t="s">
        <v>25</v>
      </c>
      <c r="H47" s="139" t="s">
        <v>167</v>
      </c>
      <c r="I47" s="78" t="s">
        <v>111</v>
      </c>
      <c r="J47" s="78" t="s">
        <v>27</v>
      </c>
      <c r="K47" s="78" t="s">
        <v>112</v>
      </c>
      <c r="L47" s="78">
        <v>1</v>
      </c>
      <c r="N47" s="78">
        <v>3</v>
      </c>
      <c r="O47" s="78">
        <v>0.55000000000000004</v>
      </c>
      <c r="P47" s="78">
        <v>0.6</v>
      </c>
      <c r="Q47" s="44">
        <f t="shared" si="0"/>
        <v>0.57499999999999996</v>
      </c>
      <c r="R47" s="78">
        <v>15.7</v>
      </c>
      <c r="S47" s="78">
        <v>128</v>
      </c>
      <c r="T47" s="16">
        <f t="shared" si="1"/>
        <v>27</v>
      </c>
      <c r="U47" s="78">
        <v>398</v>
      </c>
      <c r="V47" s="180">
        <f t="shared" si="2"/>
        <v>3581.9999999999995</v>
      </c>
      <c r="W47" s="78">
        <v>18</v>
      </c>
      <c r="X47" s="78" t="s">
        <v>35</v>
      </c>
      <c r="Y47" s="78" t="s">
        <v>43</v>
      </c>
      <c r="Z47" s="78" t="s">
        <v>64</v>
      </c>
      <c r="AA47" s="78" t="s">
        <v>76</v>
      </c>
      <c r="AB47" s="139" t="s">
        <v>381</v>
      </c>
      <c r="AC47" s="34"/>
    </row>
    <row r="48" spans="1:29" x14ac:dyDescent="0.15">
      <c r="A48" s="139" t="s">
        <v>48</v>
      </c>
      <c r="B48" s="139" t="s">
        <v>377</v>
      </c>
      <c r="C48" s="139">
        <v>2020</v>
      </c>
      <c r="D48" s="147" t="s">
        <v>378</v>
      </c>
      <c r="E48" s="139" t="s">
        <v>410</v>
      </c>
      <c r="F48" s="139" t="s">
        <v>388</v>
      </c>
      <c r="G48" s="139" t="s">
        <v>25</v>
      </c>
      <c r="H48" s="139" t="s">
        <v>167</v>
      </c>
      <c r="I48" s="78" t="s">
        <v>111</v>
      </c>
      <c r="J48" s="78" t="s">
        <v>27</v>
      </c>
      <c r="K48" s="78" t="s">
        <v>112</v>
      </c>
      <c r="L48" s="78">
        <v>2</v>
      </c>
      <c r="N48" s="78">
        <v>3</v>
      </c>
      <c r="O48" s="78">
        <v>0.6</v>
      </c>
      <c r="P48" s="78">
        <v>0.6</v>
      </c>
      <c r="Q48" s="44">
        <f t="shared" si="0"/>
        <v>0.6</v>
      </c>
      <c r="R48" s="78">
        <v>16.2</v>
      </c>
      <c r="S48" s="78">
        <v>132</v>
      </c>
      <c r="T48" s="16">
        <f t="shared" si="1"/>
        <v>25</v>
      </c>
      <c r="U48" s="78">
        <v>398</v>
      </c>
      <c r="V48" s="180">
        <f t="shared" si="2"/>
        <v>3316.6666666666665</v>
      </c>
      <c r="W48" s="78">
        <v>18</v>
      </c>
      <c r="X48" s="78" t="s">
        <v>35</v>
      </c>
      <c r="Y48" s="78" t="s">
        <v>43</v>
      </c>
      <c r="Z48" s="78" t="s">
        <v>64</v>
      </c>
      <c r="AA48" s="78" t="s">
        <v>76</v>
      </c>
      <c r="AB48" s="139" t="s">
        <v>381</v>
      </c>
      <c r="AC48" s="34"/>
    </row>
    <row r="49" spans="1:29" x14ac:dyDescent="0.15">
      <c r="A49" s="139" t="s">
        <v>48</v>
      </c>
      <c r="B49" s="139" t="s">
        <v>377</v>
      </c>
      <c r="C49" s="139">
        <v>2020</v>
      </c>
      <c r="D49" s="147" t="s">
        <v>378</v>
      </c>
      <c r="E49" s="139" t="s">
        <v>410</v>
      </c>
      <c r="F49" s="139" t="s">
        <v>388</v>
      </c>
      <c r="G49" s="139" t="s">
        <v>25</v>
      </c>
      <c r="H49" s="139" t="s">
        <v>167</v>
      </c>
      <c r="I49" s="78" t="s">
        <v>111</v>
      </c>
      <c r="J49" s="78" t="s">
        <v>27</v>
      </c>
      <c r="K49" s="78" t="s">
        <v>112</v>
      </c>
      <c r="L49" s="78">
        <v>3</v>
      </c>
      <c r="N49" s="78">
        <v>3</v>
      </c>
      <c r="O49" s="78">
        <v>0.5</v>
      </c>
      <c r="P49" s="78">
        <v>0.55000000000000004</v>
      </c>
      <c r="Q49" s="44">
        <f t="shared" si="0"/>
        <v>0.52500000000000002</v>
      </c>
      <c r="R49" s="78">
        <v>14.3</v>
      </c>
      <c r="S49" s="78">
        <v>129</v>
      </c>
      <c r="T49" s="16">
        <f t="shared" si="1"/>
        <v>25</v>
      </c>
      <c r="U49" s="78">
        <v>398</v>
      </c>
      <c r="V49" s="180">
        <f t="shared" si="2"/>
        <v>3316.6666666666665</v>
      </c>
      <c r="W49" s="78">
        <v>18</v>
      </c>
      <c r="X49" s="78" t="s">
        <v>35</v>
      </c>
      <c r="Y49" s="78" t="s">
        <v>43</v>
      </c>
      <c r="Z49" s="78" t="s">
        <v>64</v>
      </c>
      <c r="AA49" s="78" t="s">
        <v>76</v>
      </c>
      <c r="AB49" s="139" t="s">
        <v>381</v>
      </c>
      <c r="AC49" s="34"/>
    </row>
    <row r="50" spans="1:29" x14ac:dyDescent="0.15">
      <c r="A50" s="139" t="s">
        <v>48</v>
      </c>
      <c r="B50" s="139" t="s">
        <v>377</v>
      </c>
      <c r="C50" s="139">
        <v>2020</v>
      </c>
      <c r="D50" s="147" t="s">
        <v>378</v>
      </c>
      <c r="E50" s="139" t="s">
        <v>410</v>
      </c>
      <c r="F50" s="139" t="s">
        <v>388</v>
      </c>
      <c r="G50" s="139" t="s">
        <v>25</v>
      </c>
      <c r="H50" s="139" t="s">
        <v>167</v>
      </c>
      <c r="I50" s="78" t="s">
        <v>111</v>
      </c>
      <c r="J50" s="78" t="s">
        <v>27</v>
      </c>
      <c r="K50" s="78" t="s">
        <v>112</v>
      </c>
      <c r="L50" s="78">
        <v>1</v>
      </c>
      <c r="N50" s="78">
        <v>9</v>
      </c>
      <c r="O50" s="78">
        <v>0.65</v>
      </c>
      <c r="P50" s="78">
        <v>0.75</v>
      </c>
      <c r="Q50" s="44">
        <f t="shared" si="0"/>
        <v>0.7</v>
      </c>
      <c r="R50" s="78">
        <v>14.6</v>
      </c>
      <c r="S50" s="78">
        <v>145</v>
      </c>
      <c r="T50" s="16">
        <f t="shared" si="1"/>
        <v>22</v>
      </c>
      <c r="U50" s="78">
        <v>1000</v>
      </c>
      <c r="V50" s="180">
        <f t="shared" si="2"/>
        <v>2444.4444444444443</v>
      </c>
      <c r="W50" s="78">
        <v>18</v>
      </c>
      <c r="X50" s="78" t="s">
        <v>35</v>
      </c>
      <c r="Y50" s="78" t="s">
        <v>43</v>
      </c>
      <c r="Z50" s="78" t="s">
        <v>64</v>
      </c>
      <c r="AA50" s="78" t="s">
        <v>76</v>
      </c>
      <c r="AB50" s="139" t="s">
        <v>381</v>
      </c>
      <c r="AC50" s="34"/>
    </row>
    <row r="51" spans="1:29" x14ac:dyDescent="0.15">
      <c r="A51" s="139" t="s">
        <v>48</v>
      </c>
      <c r="B51" s="139" t="s">
        <v>377</v>
      </c>
      <c r="C51" s="139">
        <v>2020</v>
      </c>
      <c r="D51" s="147" t="s">
        <v>378</v>
      </c>
      <c r="E51" s="139" t="s">
        <v>410</v>
      </c>
      <c r="F51" s="139" t="s">
        <v>388</v>
      </c>
      <c r="G51" s="139" t="s">
        <v>25</v>
      </c>
      <c r="H51" s="139" t="s">
        <v>167</v>
      </c>
      <c r="I51" s="78" t="s">
        <v>111</v>
      </c>
      <c r="J51" s="78" t="s">
        <v>27</v>
      </c>
      <c r="K51" s="78" t="s">
        <v>112</v>
      </c>
      <c r="L51" s="78">
        <v>2</v>
      </c>
      <c r="N51" s="78">
        <v>9</v>
      </c>
      <c r="O51" s="78">
        <v>0.75</v>
      </c>
      <c r="P51" s="78">
        <v>0.85</v>
      </c>
      <c r="Q51" s="44">
        <f t="shared" si="0"/>
        <v>0.8</v>
      </c>
      <c r="R51" s="78">
        <v>14.3</v>
      </c>
      <c r="S51" s="78">
        <v>146</v>
      </c>
      <c r="T51" s="16">
        <f t="shared" si="1"/>
        <v>22</v>
      </c>
      <c r="U51" s="78">
        <v>1000</v>
      </c>
      <c r="V51" s="180">
        <f t="shared" si="2"/>
        <v>2444.4444444444443</v>
      </c>
      <c r="W51" s="78">
        <v>18</v>
      </c>
      <c r="X51" s="78" t="s">
        <v>35</v>
      </c>
      <c r="Y51" s="78" t="s">
        <v>43</v>
      </c>
      <c r="Z51" s="78" t="s">
        <v>64</v>
      </c>
      <c r="AA51" s="78" t="s">
        <v>76</v>
      </c>
      <c r="AB51" s="139" t="s">
        <v>381</v>
      </c>
      <c r="AC51" s="34"/>
    </row>
    <row r="52" spans="1:29" x14ac:dyDescent="0.15">
      <c r="A52" s="139" t="s">
        <v>48</v>
      </c>
      <c r="B52" s="139" t="s">
        <v>377</v>
      </c>
      <c r="C52" s="139">
        <v>2020</v>
      </c>
      <c r="D52" s="147" t="s">
        <v>378</v>
      </c>
      <c r="E52" s="139" t="s">
        <v>410</v>
      </c>
      <c r="F52" s="139" t="s">
        <v>388</v>
      </c>
      <c r="G52" s="139" t="s">
        <v>25</v>
      </c>
      <c r="H52" s="139" t="s">
        <v>167</v>
      </c>
      <c r="I52" s="78" t="s">
        <v>111</v>
      </c>
      <c r="J52" s="78" t="s">
        <v>27</v>
      </c>
      <c r="K52" s="78" t="s">
        <v>112</v>
      </c>
      <c r="L52" s="78">
        <v>3</v>
      </c>
      <c r="N52" s="78">
        <v>9</v>
      </c>
      <c r="O52" s="78">
        <v>0.5</v>
      </c>
      <c r="P52" s="78">
        <v>0.5</v>
      </c>
      <c r="Q52" s="44">
        <f t="shared" si="0"/>
        <v>0.5</v>
      </c>
      <c r="R52" s="78">
        <v>14.4</v>
      </c>
      <c r="S52" s="78">
        <v>137</v>
      </c>
      <c r="T52" s="16">
        <f t="shared" si="1"/>
        <v>25</v>
      </c>
      <c r="U52" s="78">
        <v>1000</v>
      </c>
      <c r="V52" s="180">
        <f t="shared" si="2"/>
        <v>2777.7777777777778</v>
      </c>
      <c r="W52" s="78">
        <v>18</v>
      </c>
      <c r="X52" s="78" t="s">
        <v>35</v>
      </c>
      <c r="Y52" s="78" t="s">
        <v>43</v>
      </c>
      <c r="Z52" s="78" t="s">
        <v>64</v>
      </c>
      <c r="AA52" s="78" t="s">
        <v>76</v>
      </c>
      <c r="AB52" s="139" t="s">
        <v>381</v>
      </c>
      <c r="AC52" s="34"/>
    </row>
    <row r="53" spans="1:29" x14ac:dyDescent="0.15">
      <c r="A53" s="139" t="s">
        <v>48</v>
      </c>
      <c r="B53" s="139" t="s">
        <v>377</v>
      </c>
      <c r="C53" s="139">
        <v>2020</v>
      </c>
      <c r="D53" s="147" t="s">
        <v>378</v>
      </c>
      <c r="E53" s="139" t="s">
        <v>410</v>
      </c>
      <c r="F53" s="139" t="s">
        <v>388</v>
      </c>
      <c r="G53" s="139" t="s">
        <v>25</v>
      </c>
      <c r="H53" s="139" t="s">
        <v>113</v>
      </c>
      <c r="I53" s="78" t="s">
        <v>111</v>
      </c>
      <c r="J53" s="78" t="s">
        <v>27</v>
      </c>
      <c r="K53" s="78" t="s">
        <v>112</v>
      </c>
      <c r="L53" s="78">
        <v>1</v>
      </c>
      <c r="N53" s="78">
        <v>1</v>
      </c>
      <c r="O53" s="78">
        <v>1</v>
      </c>
      <c r="P53" s="78">
        <v>0.9</v>
      </c>
      <c r="Q53" s="44">
        <f t="shared" si="0"/>
        <v>0.95</v>
      </c>
      <c r="R53" s="78">
        <v>14</v>
      </c>
      <c r="S53" s="78">
        <v>135</v>
      </c>
      <c r="T53" s="16">
        <f t="shared" si="1"/>
        <v>25</v>
      </c>
      <c r="U53" s="78">
        <v>78</v>
      </c>
      <c r="V53" s="180">
        <f t="shared" si="2"/>
        <v>1950</v>
      </c>
      <c r="W53" s="78">
        <v>18</v>
      </c>
      <c r="X53" s="78" t="s">
        <v>35</v>
      </c>
      <c r="Y53" s="78" t="s">
        <v>43</v>
      </c>
      <c r="Z53" s="78" t="s">
        <v>64</v>
      </c>
      <c r="AA53" s="78" t="s">
        <v>76</v>
      </c>
      <c r="AB53" s="139" t="s">
        <v>381</v>
      </c>
      <c r="AC53" s="34"/>
    </row>
    <row r="54" spans="1:29" x14ac:dyDescent="0.15">
      <c r="A54" s="139" t="s">
        <v>48</v>
      </c>
      <c r="B54" s="139" t="s">
        <v>377</v>
      </c>
      <c r="C54" s="139">
        <v>2020</v>
      </c>
      <c r="D54" s="147" t="s">
        <v>378</v>
      </c>
      <c r="E54" s="139" t="s">
        <v>410</v>
      </c>
      <c r="F54" s="139" t="s">
        <v>388</v>
      </c>
      <c r="G54" s="139" t="s">
        <v>25</v>
      </c>
      <c r="H54" s="139" t="s">
        <v>113</v>
      </c>
      <c r="I54" s="78" t="s">
        <v>111</v>
      </c>
      <c r="J54" s="78" t="s">
        <v>27</v>
      </c>
      <c r="K54" s="78" t="s">
        <v>112</v>
      </c>
      <c r="L54" s="78">
        <v>2</v>
      </c>
      <c r="N54" s="78">
        <v>1</v>
      </c>
      <c r="O54" s="78">
        <v>0.85</v>
      </c>
      <c r="P54" s="78">
        <v>0.8</v>
      </c>
      <c r="Q54" s="44">
        <f t="shared" si="0"/>
        <v>0.82499999999999996</v>
      </c>
      <c r="R54" s="78">
        <v>13.6</v>
      </c>
      <c r="S54" s="78">
        <v>136</v>
      </c>
      <c r="T54" s="16">
        <f t="shared" si="1"/>
        <v>25</v>
      </c>
      <c r="U54" s="78">
        <v>78</v>
      </c>
      <c r="V54" s="180">
        <f t="shared" si="2"/>
        <v>1950</v>
      </c>
      <c r="W54" s="78">
        <v>18</v>
      </c>
      <c r="X54" s="78" t="s">
        <v>35</v>
      </c>
      <c r="Y54" s="78" t="s">
        <v>43</v>
      </c>
      <c r="Z54" s="78" t="s">
        <v>64</v>
      </c>
      <c r="AA54" s="78" t="s">
        <v>76</v>
      </c>
      <c r="AB54" s="139" t="s">
        <v>381</v>
      </c>
      <c r="AC54" s="34"/>
    </row>
    <row r="55" spans="1:29" x14ac:dyDescent="0.15">
      <c r="A55" s="139" t="s">
        <v>48</v>
      </c>
      <c r="B55" s="139" t="s">
        <v>377</v>
      </c>
      <c r="C55" s="139">
        <v>2020</v>
      </c>
      <c r="D55" s="147" t="s">
        <v>378</v>
      </c>
      <c r="E55" s="139" t="s">
        <v>410</v>
      </c>
      <c r="F55" s="139" t="s">
        <v>388</v>
      </c>
      <c r="G55" s="139" t="s">
        <v>25</v>
      </c>
      <c r="H55" s="139" t="s">
        <v>113</v>
      </c>
      <c r="I55" s="78" t="s">
        <v>111</v>
      </c>
      <c r="J55" s="78" t="s">
        <v>27</v>
      </c>
      <c r="K55" s="78" t="s">
        <v>112</v>
      </c>
      <c r="L55" s="78">
        <v>3</v>
      </c>
      <c r="N55" s="78">
        <v>1</v>
      </c>
      <c r="O55" s="78">
        <v>0.6</v>
      </c>
      <c r="P55" s="78">
        <v>0.65</v>
      </c>
      <c r="Q55" s="44">
        <f t="shared" si="0"/>
        <v>0.625</v>
      </c>
      <c r="R55" s="78">
        <v>13.8</v>
      </c>
      <c r="S55" s="78">
        <v>142</v>
      </c>
      <c r="T55" s="16">
        <f t="shared" si="1"/>
        <v>22</v>
      </c>
      <c r="U55" s="78">
        <v>78</v>
      </c>
      <c r="V55" s="180">
        <f t="shared" si="2"/>
        <v>1716</v>
      </c>
      <c r="W55" s="78">
        <v>18</v>
      </c>
      <c r="X55" s="78" t="s">
        <v>35</v>
      </c>
      <c r="Y55" s="78" t="s">
        <v>43</v>
      </c>
      <c r="Z55" s="78" t="s">
        <v>64</v>
      </c>
      <c r="AA55" s="78" t="s">
        <v>76</v>
      </c>
      <c r="AB55" s="139" t="s">
        <v>381</v>
      </c>
      <c r="AC55" s="34"/>
    </row>
    <row r="56" spans="1:29" x14ac:dyDescent="0.15">
      <c r="A56" s="139" t="s">
        <v>48</v>
      </c>
      <c r="B56" s="139" t="s">
        <v>377</v>
      </c>
      <c r="C56" s="139">
        <v>2020</v>
      </c>
      <c r="D56" s="147" t="s">
        <v>378</v>
      </c>
      <c r="E56" s="139" t="s">
        <v>410</v>
      </c>
      <c r="F56" s="139" t="s">
        <v>388</v>
      </c>
      <c r="G56" s="139" t="s">
        <v>25</v>
      </c>
      <c r="H56" s="139" t="s">
        <v>113</v>
      </c>
      <c r="I56" s="78" t="s">
        <v>111</v>
      </c>
      <c r="J56" s="78" t="s">
        <v>27</v>
      </c>
      <c r="K56" s="78" t="s">
        <v>112</v>
      </c>
      <c r="L56" s="78">
        <v>1</v>
      </c>
      <c r="N56" s="78">
        <v>10</v>
      </c>
      <c r="O56" s="78">
        <v>0.95</v>
      </c>
      <c r="P56" s="78">
        <v>1.25</v>
      </c>
      <c r="Q56" s="44">
        <f t="shared" si="0"/>
        <v>1.1000000000000001</v>
      </c>
      <c r="R56" s="78">
        <v>14.4</v>
      </c>
      <c r="S56" s="78">
        <v>140</v>
      </c>
      <c r="T56" s="16">
        <f t="shared" si="1"/>
        <v>22</v>
      </c>
      <c r="U56" s="78">
        <v>1000</v>
      </c>
      <c r="V56" s="180">
        <f t="shared" si="2"/>
        <v>2200</v>
      </c>
      <c r="W56" s="78">
        <v>18</v>
      </c>
      <c r="X56" s="78" t="s">
        <v>35</v>
      </c>
      <c r="Y56" s="78" t="s">
        <v>43</v>
      </c>
      <c r="Z56" s="78" t="s">
        <v>64</v>
      </c>
      <c r="AA56" s="78" t="s">
        <v>76</v>
      </c>
      <c r="AB56" s="139" t="s">
        <v>381</v>
      </c>
      <c r="AC56" s="34"/>
    </row>
    <row r="57" spans="1:29" x14ac:dyDescent="0.15">
      <c r="A57" s="139" t="s">
        <v>48</v>
      </c>
      <c r="B57" s="139" t="s">
        <v>377</v>
      </c>
      <c r="C57" s="139">
        <v>2020</v>
      </c>
      <c r="D57" s="147" t="s">
        <v>378</v>
      </c>
      <c r="E57" s="139" t="s">
        <v>410</v>
      </c>
      <c r="F57" s="139" t="s">
        <v>388</v>
      </c>
      <c r="G57" s="139" t="s">
        <v>25</v>
      </c>
      <c r="H57" s="139" t="s">
        <v>113</v>
      </c>
      <c r="I57" s="78" t="s">
        <v>111</v>
      </c>
      <c r="J57" s="78" t="s">
        <v>27</v>
      </c>
      <c r="K57" s="78" t="s">
        <v>112</v>
      </c>
      <c r="L57" s="78">
        <v>2</v>
      </c>
      <c r="N57" s="78">
        <v>10</v>
      </c>
      <c r="O57" s="78">
        <v>0.75</v>
      </c>
      <c r="P57" s="78">
        <v>0.85</v>
      </c>
      <c r="Q57" s="44">
        <f t="shared" si="0"/>
        <v>0.8</v>
      </c>
      <c r="R57" s="78">
        <v>13.6</v>
      </c>
      <c r="S57" s="78">
        <v>135</v>
      </c>
      <c r="T57" s="16">
        <f t="shared" si="1"/>
        <v>25</v>
      </c>
      <c r="U57" s="78">
        <v>1000</v>
      </c>
      <c r="V57" s="180">
        <f t="shared" si="2"/>
        <v>2500</v>
      </c>
      <c r="W57" s="78">
        <v>18</v>
      </c>
      <c r="X57" s="78" t="s">
        <v>35</v>
      </c>
      <c r="Y57" s="78" t="s">
        <v>43</v>
      </c>
      <c r="Z57" s="78" t="s">
        <v>64</v>
      </c>
      <c r="AA57" s="78" t="s">
        <v>76</v>
      </c>
      <c r="AB57" s="139" t="s">
        <v>381</v>
      </c>
      <c r="AC57" s="34"/>
    </row>
    <row r="58" spans="1:29" x14ac:dyDescent="0.15">
      <c r="A58" s="139" t="s">
        <v>48</v>
      </c>
      <c r="B58" s="139" t="s">
        <v>377</v>
      </c>
      <c r="C58" s="139">
        <v>2020</v>
      </c>
      <c r="D58" s="147" t="s">
        <v>378</v>
      </c>
      <c r="E58" s="139" t="s">
        <v>410</v>
      </c>
      <c r="F58" s="139" t="s">
        <v>388</v>
      </c>
      <c r="G58" s="139" t="s">
        <v>25</v>
      </c>
      <c r="H58" s="139" t="s">
        <v>113</v>
      </c>
      <c r="I58" s="78" t="s">
        <v>111</v>
      </c>
      <c r="J58" s="78" t="s">
        <v>27</v>
      </c>
      <c r="K58" s="78" t="s">
        <v>112</v>
      </c>
      <c r="L58" s="78">
        <v>3</v>
      </c>
      <c r="N58" s="78">
        <v>10</v>
      </c>
      <c r="O58" s="78">
        <v>1</v>
      </c>
      <c r="P58" s="78">
        <v>0.9</v>
      </c>
      <c r="Q58" s="44">
        <f t="shared" si="0"/>
        <v>0.95</v>
      </c>
      <c r="R58" s="78">
        <v>14</v>
      </c>
      <c r="S58" s="78">
        <v>138</v>
      </c>
      <c r="T58" s="16">
        <f t="shared" si="1"/>
        <v>22</v>
      </c>
      <c r="U58" s="78">
        <v>1000</v>
      </c>
      <c r="V58" s="180">
        <f t="shared" si="2"/>
        <v>2200</v>
      </c>
      <c r="W58" s="78">
        <v>18</v>
      </c>
      <c r="X58" s="78" t="s">
        <v>35</v>
      </c>
      <c r="Y58" s="78" t="s">
        <v>43</v>
      </c>
      <c r="Z58" s="78" t="s">
        <v>64</v>
      </c>
      <c r="AA58" s="78" t="s">
        <v>76</v>
      </c>
      <c r="AB58" s="139" t="s">
        <v>381</v>
      </c>
      <c r="AC58" s="34"/>
    </row>
    <row r="59" spans="1:29" x14ac:dyDescent="0.15">
      <c r="A59" s="139" t="s">
        <v>48</v>
      </c>
      <c r="B59" s="139" t="s">
        <v>377</v>
      </c>
      <c r="C59" s="139">
        <v>2020</v>
      </c>
      <c r="D59" s="147" t="s">
        <v>378</v>
      </c>
      <c r="E59" s="139" t="s">
        <v>389</v>
      </c>
      <c r="F59" s="139" t="s">
        <v>390</v>
      </c>
      <c r="G59" s="139" t="s">
        <v>25</v>
      </c>
      <c r="H59" s="139" t="s">
        <v>167</v>
      </c>
      <c r="I59" s="78" t="s">
        <v>111</v>
      </c>
      <c r="J59" s="78" t="s">
        <v>27</v>
      </c>
      <c r="K59" s="78" t="s">
        <v>112</v>
      </c>
      <c r="L59" s="78">
        <v>1</v>
      </c>
      <c r="N59" s="78">
        <v>1</v>
      </c>
      <c r="O59" s="78">
        <v>0.75</v>
      </c>
      <c r="P59" s="78">
        <v>0.75</v>
      </c>
      <c r="Q59" s="44">
        <f t="shared" si="0"/>
        <v>0.75</v>
      </c>
      <c r="R59" s="78">
        <v>14.3</v>
      </c>
      <c r="S59" s="78">
        <v>146</v>
      </c>
      <c r="T59" s="16">
        <f t="shared" si="1"/>
        <v>22</v>
      </c>
      <c r="U59" s="78">
        <v>98</v>
      </c>
      <c r="V59" s="180">
        <f t="shared" si="2"/>
        <v>2156</v>
      </c>
      <c r="W59" s="78">
        <v>18</v>
      </c>
      <c r="X59" s="78" t="s">
        <v>35</v>
      </c>
      <c r="Y59" s="78" t="s">
        <v>43</v>
      </c>
      <c r="Z59" s="78" t="s">
        <v>72</v>
      </c>
      <c r="AA59" s="78" t="s">
        <v>55</v>
      </c>
      <c r="AB59" s="139" t="s">
        <v>381</v>
      </c>
    </row>
    <row r="60" spans="1:29" x14ac:dyDescent="0.15">
      <c r="A60" s="139" t="s">
        <v>48</v>
      </c>
      <c r="B60" s="139" t="s">
        <v>377</v>
      </c>
      <c r="C60" s="139">
        <v>2020</v>
      </c>
      <c r="D60" s="147" t="s">
        <v>378</v>
      </c>
      <c r="E60" s="139" t="s">
        <v>389</v>
      </c>
      <c r="F60" s="139" t="s">
        <v>390</v>
      </c>
      <c r="G60" s="139" t="s">
        <v>25</v>
      </c>
      <c r="H60" s="139" t="s">
        <v>167</v>
      </c>
      <c r="I60" s="78" t="s">
        <v>111</v>
      </c>
      <c r="J60" s="78" t="s">
        <v>27</v>
      </c>
      <c r="K60" s="78" t="s">
        <v>112</v>
      </c>
      <c r="L60" s="78">
        <v>2</v>
      </c>
      <c r="N60" s="78">
        <v>1</v>
      </c>
      <c r="O60" s="78">
        <v>0.65</v>
      </c>
      <c r="P60" s="78">
        <v>0.8</v>
      </c>
      <c r="Q60" s="44">
        <f t="shared" si="0"/>
        <v>0.72500000000000009</v>
      </c>
      <c r="R60" s="78">
        <v>14</v>
      </c>
      <c r="S60" s="78">
        <v>145</v>
      </c>
      <c r="T60" s="16">
        <f t="shared" si="1"/>
        <v>22</v>
      </c>
      <c r="U60" s="78">
        <v>98</v>
      </c>
      <c r="V60" s="180">
        <f t="shared" si="2"/>
        <v>2156</v>
      </c>
      <c r="W60" s="78">
        <v>18</v>
      </c>
      <c r="X60" s="78" t="s">
        <v>35</v>
      </c>
      <c r="Y60" s="78" t="s">
        <v>43</v>
      </c>
      <c r="Z60" s="78" t="s">
        <v>72</v>
      </c>
      <c r="AA60" s="78" t="s">
        <v>55</v>
      </c>
      <c r="AB60" s="139" t="s">
        <v>381</v>
      </c>
    </row>
    <row r="61" spans="1:29" x14ac:dyDescent="0.15">
      <c r="A61" s="139" t="s">
        <v>48</v>
      </c>
      <c r="B61" s="139" t="s">
        <v>377</v>
      </c>
      <c r="C61" s="139">
        <v>2020</v>
      </c>
      <c r="D61" s="147" t="s">
        <v>378</v>
      </c>
      <c r="E61" s="139" t="s">
        <v>389</v>
      </c>
      <c r="F61" s="139" t="s">
        <v>390</v>
      </c>
      <c r="G61" s="139" t="s">
        <v>25</v>
      </c>
      <c r="H61" s="139" t="s">
        <v>167</v>
      </c>
      <c r="I61" s="78" t="s">
        <v>111</v>
      </c>
      <c r="J61" s="78" t="s">
        <v>27</v>
      </c>
      <c r="K61" s="78" t="s">
        <v>112</v>
      </c>
      <c r="L61" s="78">
        <v>3</v>
      </c>
      <c r="N61" s="78">
        <v>1</v>
      </c>
      <c r="O61" s="78">
        <v>1</v>
      </c>
      <c r="P61" s="78">
        <v>1.05</v>
      </c>
      <c r="Q61" s="44">
        <f t="shared" si="0"/>
        <v>1.0249999999999999</v>
      </c>
      <c r="R61" s="78">
        <v>13.5</v>
      </c>
      <c r="S61" s="78">
        <v>144</v>
      </c>
      <c r="T61" s="16">
        <f t="shared" si="1"/>
        <v>22</v>
      </c>
      <c r="U61" s="78">
        <v>98</v>
      </c>
      <c r="V61" s="180">
        <f t="shared" si="2"/>
        <v>2156</v>
      </c>
      <c r="W61" s="78">
        <v>18</v>
      </c>
      <c r="X61" s="78" t="s">
        <v>35</v>
      </c>
      <c r="Y61" s="78" t="s">
        <v>43</v>
      </c>
      <c r="Z61" s="78" t="s">
        <v>72</v>
      </c>
      <c r="AA61" s="78" t="s">
        <v>55</v>
      </c>
      <c r="AB61" s="139" t="s">
        <v>381</v>
      </c>
    </row>
    <row r="62" spans="1:29" x14ac:dyDescent="0.15">
      <c r="A62" s="139" t="s">
        <v>48</v>
      </c>
      <c r="B62" s="139" t="s">
        <v>377</v>
      </c>
      <c r="C62" s="139">
        <v>2020</v>
      </c>
      <c r="D62" s="147" t="s">
        <v>378</v>
      </c>
      <c r="E62" s="139" t="s">
        <v>389</v>
      </c>
      <c r="F62" s="139" t="s">
        <v>390</v>
      </c>
      <c r="G62" s="139" t="s">
        <v>25</v>
      </c>
      <c r="H62" s="139" t="s">
        <v>167</v>
      </c>
      <c r="I62" s="78" t="s">
        <v>111</v>
      </c>
      <c r="J62" s="78" t="s">
        <v>27</v>
      </c>
      <c r="K62" s="78" t="s">
        <v>112</v>
      </c>
      <c r="L62" s="78">
        <v>1</v>
      </c>
      <c r="N62" s="78">
        <v>4</v>
      </c>
      <c r="O62" s="78">
        <v>0.5</v>
      </c>
      <c r="P62" s="78">
        <v>0.5</v>
      </c>
      <c r="Q62" s="44">
        <f>IF(OR(O62="",P62=""),"",AVERAGE(O62,P62))</f>
        <v>0.5</v>
      </c>
      <c r="R62" s="78">
        <v>15</v>
      </c>
      <c r="S62" s="78">
        <v>111</v>
      </c>
      <c r="T62" s="16">
        <f t="shared" si="1"/>
        <v>33</v>
      </c>
      <c r="U62" s="78">
        <v>498</v>
      </c>
      <c r="V62" s="180">
        <f t="shared" si="2"/>
        <v>4108.5</v>
      </c>
      <c r="W62" s="78">
        <v>18</v>
      </c>
      <c r="X62" s="78" t="s">
        <v>35</v>
      </c>
      <c r="Y62" s="78" t="s">
        <v>43</v>
      </c>
      <c r="Z62" s="78" t="s">
        <v>72</v>
      </c>
      <c r="AA62" s="78" t="s">
        <v>55</v>
      </c>
      <c r="AB62" s="139" t="s">
        <v>381</v>
      </c>
    </row>
    <row r="63" spans="1:29" x14ac:dyDescent="0.15">
      <c r="A63" s="139" t="s">
        <v>48</v>
      </c>
      <c r="B63" s="139" t="s">
        <v>377</v>
      </c>
      <c r="C63" s="139">
        <v>2020</v>
      </c>
      <c r="D63" s="147" t="s">
        <v>378</v>
      </c>
      <c r="E63" s="139" t="s">
        <v>389</v>
      </c>
      <c r="F63" s="139" t="s">
        <v>390</v>
      </c>
      <c r="G63" s="139" t="s">
        <v>25</v>
      </c>
      <c r="H63" s="139" t="s">
        <v>167</v>
      </c>
      <c r="I63" s="78" t="s">
        <v>111</v>
      </c>
      <c r="J63" s="78" t="s">
        <v>27</v>
      </c>
      <c r="K63" s="78" t="s">
        <v>112</v>
      </c>
      <c r="L63" s="78">
        <v>2</v>
      </c>
      <c r="N63" s="78">
        <v>4</v>
      </c>
      <c r="O63" s="78">
        <v>0.5</v>
      </c>
      <c r="P63" s="78">
        <v>0.5</v>
      </c>
      <c r="Q63" s="44">
        <f t="shared" si="0"/>
        <v>0.5</v>
      </c>
      <c r="R63" s="78">
        <v>14</v>
      </c>
      <c r="S63" s="78">
        <v>108</v>
      </c>
      <c r="T63" s="16">
        <f t="shared" si="1"/>
        <v>33</v>
      </c>
      <c r="U63" s="78">
        <v>498</v>
      </c>
      <c r="V63" s="180">
        <f t="shared" si="2"/>
        <v>4108.5</v>
      </c>
      <c r="W63" s="78">
        <v>18</v>
      </c>
      <c r="X63" s="78" t="s">
        <v>35</v>
      </c>
      <c r="Y63" s="78" t="s">
        <v>43</v>
      </c>
      <c r="Z63" s="78" t="s">
        <v>72</v>
      </c>
      <c r="AA63" s="78" t="s">
        <v>55</v>
      </c>
      <c r="AB63" s="139" t="s">
        <v>381</v>
      </c>
    </row>
    <row r="64" spans="1:29" x14ac:dyDescent="0.15">
      <c r="A64" s="139" t="s">
        <v>48</v>
      </c>
      <c r="B64" s="139" t="s">
        <v>377</v>
      </c>
      <c r="C64" s="139">
        <v>2020</v>
      </c>
      <c r="D64" s="147" t="s">
        <v>378</v>
      </c>
      <c r="E64" s="139" t="s">
        <v>389</v>
      </c>
      <c r="F64" s="139" t="s">
        <v>390</v>
      </c>
      <c r="G64" s="139" t="s">
        <v>25</v>
      </c>
      <c r="H64" s="139" t="s">
        <v>167</v>
      </c>
      <c r="I64" s="78" t="s">
        <v>111</v>
      </c>
      <c r="J64" s="78" t="s">
        <v>27</v>
      </c>
      <c r="K64" s="78" t="s">
        <v>112</v>
      </c>
      <c r="L64" s="78">
        <v>3</v>
      </c>
      <c r="N64" s="78">
        <v>4</v>
      </c>
      <c r="O64" s="78">
        <v>0.5</v>
      </c>
      <c r="P64" s="78">
        <v>0.5</v>
      </c>
      <c r="Q64" s="44">
        <f t="shared" si="0"/>
        <v>0.5</v>
      </c>
      <c r="R64" s="78">
        <v>14.1</v>
      </c>
      <c r="S64" s="78">
        <v>107</v>
      </c>
      <c r="T64" s="16">
        <f t="shared" si="1"/>
        <v>33</v>
      </c>
      <c r="U64" s="78">
        <v>498</v>
      </c>
      <c r="V64" s="180">
        <f t="shared" si="2"/>
        <v>4108.5</v>
      </c>
      <c r="W64" s="78">
        <v>18</v>
      </c>
      <c r="X64" s="78" t="s">
        <v>35</v>
      </c>
      <c r="Y64" s="78" t="s">
        <v>43</v>
      </c>
      <c r="Z64" s="78" t="s">
        <v>72</v>
      </c>
      <c r="AA64" s="78" t="s">
        <v>55</v>
      </c>
      <c r="AB64" s="139" t="s">
        <v>381</v>
      </c>
    </row>
    <row r="65" spans="1:29" x14ac:dyDescent="0.15">
      <c r="A65" s="139" t="s">
        <v>48</v>
      </c>
      <c r="B65" s="139" t="s">
        <v>377</v>
      </c>
      <c r="C65" s="139">
        <v>2020</v>
      </c>
      <c r="D65" s="147" t="s">
        <v>378</v>
      </c>
      <c r="E65" s="139" t="s">
        <v>389</v>
      </c>
      <c r="F65" s="139" t="s">
        <v>390</v>
      </c>
      <c r="G65" s="139" t="s">
        <v>25</v>
      </c>
      <c r="H65" s="139" t="s">
        <v>167</v>
      </c>
      <c r="I65" s="78" t="s">
        <v>166</v>
      </c>
      <c r="J65" s="78" t="s">
        <v>27</v>
      </c>
      <c r="K65" s="78" t="s">
        <v>112</v>
      </c>
      <c r="L65" s="78">
        <v>1</v>
      </c>
      <c r="N65" s="78">
        <v>1</v>
      </c>
      <c r="O65" s="78">
        <v>0.55000000000000004</v>
      </c>
      <c r="P65" s="78">
        <v>0.5</v>
      </c>
      <c r="Q65" s="44">
        <f t="shared" si="0"/>
        <v>0.52500000000000002</v>
      </c>
      <c r="R65" s="78">
        <v>14.4</v>
      </c>
      <c r="S65" s="78">
        <v>122</v>
      </c>
      <c r="T65" s="16">
        <f t="shared" si="1"/>
        <v>27</v>
      </c>
      <c r="U65" s="78">
        <v>128</v>
      </c>
      <c r="V65" s="180">
        <f t="shared" si="2"/>
        <v>3456</v>
      </c>
      <c r="W65" s="78">
        <v>18</v>
      </c>
      <c r="X65" s="78" t="s">
        <v>35</v>
      </c>
      <c r="Y65" s="78" t="s">
        <v>43</v>
      </c>
      <c r="Z65" s="78" t="s">
        <v>72</v>
      </c>
      <c r="AA65" s="78" t="s">
        <v>55</v>
      </c>
      <c r="AB65" s="139" t="s">
        <v>381</v>
      </c>
      <c r="AC65" s="34"/>
    </row>
    <row r="66" spans="1:29" x14ac:dyDescent="0.15">
      <c r="A66" s="139" t="s">
        <v>48</v>
      </c>
      <c r="B66" s="139" t="s">
        <v>377</v>
      </c>
      <c r="C66" s="139">
        <v>2020</v>
      </c>
      <c r="D66" s="147" t="s">
        <v>378</v>
      </c>
      <c r="E66" s="139" t="s">
        <v>389</v>
      </c>
      <c r="F66" s="139" t="s">
        <v>390</v>
      </c>
      <c r="G66" s="139" t="s">
        <v>25</v>
      </c>
      <c r="H66" s="139" t="s">
        <v>167</v>
      </c>
      <c r="I66" s="78" t="s">
        <v>166</v>
      </c>
      <c r="J66" s="78" t="s">
        <v>27</v>
      </c>
      <c r="K66" s="78" t="s">
        <v>112</v>
      </c>
      <c r="L66" s="78">
        <v>2</v>
      </c>
      <c r="N66" s="78">
        <v>1</v>
      </c>
      <c r="O66" s="78">
        <v>0.5</v>
      </c>
      <c r="P66" s="78">
        <v>0.5</v>
      </c>
      <c r="Q66" s="44">
        <f t="shared" ref="Q66:Q154" si="3">IF(OR(O66="",P66=""),"",AVERAGE(O66,P66))</f>
        <v>0.5</v>
      </c>
      <c r="R66" s="78">
        <v>14.3</v>
      </c>
      <c r="S66" s="78">
        <v>124</v>
      </c>
      <c r="T66" s="16">
        <f t="shared" ref="T66:T154" si="4">IF(H66="","",IF(OR(H66="GREEN",H66="GK"),IF(S66&gt;=$AX$2,VLOOKUP(S66,$AX$2:$AY$15,2,1),""),IF(S66&gt;=$AZ$2,VLOOKUP(S66,$AZ$2:$BA$15,2,1),"")))</f>
        <v>27</v>
      </c>
      <c r="U66" s="78">
        <v>128</v>
      </c>
      <c r="V66" s="180">
        <f t="shared" si="2"/>
        <v>3456</v>
      </c>
      <c r="W66" s="78">
        <v>18</v>
      </c>
      <c r="X66" s="78" t="s">
        <v>35</v>
      </c>
      <c r="Y66" s="78" t="s">
        <v>43</v>
      </c>
      <c r="Z66" s="78" t="s">
        <v>72</v>
      </c>
      <c r="AA66" s="78" t="s">
        <v>55</v>
      </c>
      <c r="AB66" s="139" t="s">
        <v>381</v>
      </c>
      <c r="AC66" s="34"/>
    </row>
    <row r="67" spans="1:29" x14ac:dyDescent="0.15">
      <c r="A67" s="139" t="s">
        <v>48</v>
      </c>
      <c r="B67" s="139" t="s">
        <v>377</v>
      </c>
      <c r="C67" s="139">
        <v>2020</v>
      </c>
      <c r="D67" s="147" t="s">
        <v>378</v>
      </c>
      <c r="E67" s="139" t="s">
        <v>389</v>
      </c>
      <c r="F67" s="139" t="s">
        <v>390</v>
      </c>
      <c r="G67" s="139" t="s">
        <v>25</v>
      </c>
      <c r="H67" s="139" t="s">
        <v>167</v>
      </c>
      <c r="I67" s="78" t="s">
        <v>166</v>
      </c>
      <c r="J67" s="78" t="s">
        <v>27</v>
      </c>
      <c r="K67" s="78" t="s">
        <v>112</v>
      </c>
      <c r="L67" s="78">
        <v>3</v>
      </c>
      <c r="N67" s="78">
        <v>1</v>
      </c>
      <c r="O67" s="78">
        <v>0.65</v>
      </c>
      <c r="P67" s="78">
        <v>0.75</v>
      </c>
      <c r="Q67" s="44">
        <f t="shared" si="3"/>
        <v>0.7</v>
      </c>
      <c r="R67" s="34">
        <v>13.6</v>
      </c>
      <c r="S67" s="78">
        <v>122</v>
      </c>
      <c r="T67" s="16">
        <f t="shared" si="4"/>
        <v>27</v>
      </c>
      <c r="U67" s="78">
        <v>128</v>
      </c>
      <c r="V67" s="180">
        <f t="shared" ref="V67:V154" si="5">IF(OR(N67="",U67="",T67=""),"",U67/N67*T67)</f>
        <v>3456</v>
      </c>
      <c r="W67" s="78">
        <v>18</v>
      </c>
      <c r="X67" s="78" t="s">
        <v>35</v>
      </c>
      <c r="Y67" s="78" t="s">
        <v>43</v>
      </c>
      <c r="Z67" s="78" t="s">
        <v>72</v>
      </c>
      <c r="AA67" s="78" t="s">
        <v>55</v>
      </c>
      <c r="AB67" s="139" t="s">
        <v>381</v>
      </c>
      <c r="AC67" s="34"/>
    </row>
    <row r="68" spans="1:29" x14ac:dyDescent="0.15">
      <c r="A68" s="139" t="s">
        <v>48</v>
      </c>
      <c r="B68" s="139" t="s">
        <v>377</v>
      </c>
      <c r="C68" s="139">
        <v>2020</v>
      </c>
      <c r="D68" s="147" t="s">
        <v>378</v>
      </c>
      <c r="E68" s="139" t="s">
        <v>389</v>
      </c>
      <c r="F68" s="139" t="s">
        <v>390</v>
      </c>
      <c r="G68" s="139" t="s">
        <v>25</v>
      </c>
      <c r="H68" s="139" t="s">
        <v>113</v>
      </c>
      <c r="I68" s="78" t="s">
        <v>111</v>
      </c>
      <c r="J68" s="78" t="s">
        <v>27</v>
      </c>
      <c r="K68" s="78" t="s">
        <v>112</v>
      </c>
      <c r="L68" s="78">
        <v>1</v>
      </c>
      <c r="N68" s="78">
        <v>1</v>
      </c>
      <c r="O68" s="78">
        <v>0.65</v>
      </c>
      <c r="P68" s="78">
        <v>0.65</v>
      </c>
      <c r="Q68" s="44">
        <f t="shared" si="3"/>
        <v>0.65</v>
      </c>
      <c r="R68" s="78">
        <v>13.3</v>
      </c>
      <c r="S68" s="78">
        <v>114</v>
      </c>
      <c r="T68" s="16">
        <f t="shared" si="4"/>
        <v>30</v>
      </c>
      <c r="U68" s="78">
        <v>98</v>
      </c>
      <c r="V68" s="180">
        <f t="shared" si="5"/>
        <v>2940</v>
      </c>
      <c r="W68" s="78">
        <v>18</v>
      </c>
      <c r="X68" s="78" t="s">
        <v>35</v>
      </c>
      <c r="Y68" s="78" t="s">
        <v>43</v>
      </c>
      <c r="Z68" s="78" t="s">
        <v>72</v>
      </c>
      <c r="AA68" s="78" t="s">
        <v>55</v>
      </c>
      <c r="AB68" s="139" t="s">
        <v>381</v>
      </c>
      <c r="AC68" s="34"/>
    </row>
    <row r="69" spans="1:29" x14ac:dyDescent="0.15">
      <c r="A69" s="139" t="s">
        <v>48</v>
      </c>
      <c r="B69" s="139" t="s">
        <v>377</v>
      </c>
      <c r="C69" s="139">
        <v>2020</v>
      </c>
      <c r="D69" s="147" t="s">
        <v>378</v>
      </c>
      <c r="E69" s="139" t="s">
        <v>389</v>
      </c>
      <c r="F69" s="139" t="s">
        <v>390</v>
      </c>
      <c r="G69" s="139" t="s">
        <v>25</v>
      </c>
      <c r="H69" s="139" t="s">
        <v>113</v>
      </c>
      <c r="I69" s="78" t="s">
        <v>111</v>
      </c>
      <c r="J69" s="78" t="s">
        <v>27</v>
      </c>
      <c r="K69" s="78" t="s">
        <v>112</v>
      </c>
      <c r="L69" s="78">
        <v>2</v>
      </c>
      <c r="N69" s="78">
        <v>1</v>
      </c>
      <c r="O69" s="78">
        <v>0.55000000000000004</v>
      </c>
      <c r="P69" s="78">
        <v>0.65</v>
      </c>
      <c r="Q69" s="44">
        <f t="shared" si="3"/>
        <v>0.60000000000000009</v>
      </c>
      <c r="R69" s="34">
        <v>13.6</v>
      </c>
      <c r="S69" s="78">
        <v>113</v>
      </c>
      <c r="T69" s="16">
        <f t="shared" si="4"/>
        <v>30</v>
      </c>
      <c r="U69" s="78">
        <v>98</v>
      </c>
      <c r="V69" s="180">
        <f t="shared" si="5"/>
        <v>2940</v>
      </c>
      <c r="W69" s="78">
        <v>18</v>
      </c>
      <c r="X69" s="78" t="s">
        <v>35</v>
      </c>
      <c r="Y69" s="78" t="s">
        <v>43</v>
      </c>
      <c r="Z69" s="78" t="s">
        <v>72</v>
      </c>
      <c r="AA69" s="78" t="s">
        <v>55</v>
      </c>
      <c r="AB69" s="139" t="s">
        <v>381</v>
      </c>
      <c r="AC69" s="34"/>
    </row>
    <row r="70" spans="1:29" x14ac:dyDescent="0.15">
      <c r="A70" s="139" t="s">
        <v>48</v>
      </c>
      <c r="B70" s="139" t="s">
        <v>377</v>
      </c>
      <c r="C70" s="139">
        <v>2020</v>
      </c>
      <c r="D70" s="147" t="s">
        <v>378</v>
      </c>
      <c r="E70" s="139" t="s">
        <v>389</v>
      </c>
      <c r="F70" s="139" t="s">
        <v>390</v>
      </c>
      <c r="G70" s="139" t="s">
        <v>25</v>
      </c>
      <c r="H70" s="139" t="s">
        <v>113</v>
      </c>
      <c r="I70" s="78" t="s">
        <v>111</v>
      </c>
      <c r="J70" s="78" t="s">
        <v>27</v>
      </c>
      <c r="K70" s="78" t="s">
        <v>112</v>
      </c>
      <c r="L70" s="78">
        <v>3</v>
      </c>
      <c r="N70" s="78">
        <v>1</v>
      </c>
      <c r="O70" s="78">
        <v>0.6</v>
      </c>
      <c r="P70" s="78">
        <v>0.9</v>
      </c>
      <c r="Q70" s="44">
        <f t="shared" si="3"/>
        <v>0.75</v>
      </c>
      <c r="R70" s="34">
        <v>13.3</v>
      </c>
      <c r="S70" s="78">
        <v>119</v>
      </c>
      <c r="T70" s="16">
        <f t="shared" si="4"/>
        <v>30</v>
      </c>
      <c r="U70" s="78">
        <v>98</v>
      </c>
      <c r="V70" s="180">
        <f t="shared" si="5"/>
        <v>2940</v>
      </c>
      <c r="W70" s="78">
        <v>18</v>
      </c>
      <c r="X70" s="78" t="s">
        <v>35</v>
      </c>
      <c r="Y70" s="78" t="s">
        <v>43</v>
      </c>
      <c r="Z70" s="78" t="s">
        <v>72</v>
      </c>
      <c r="AA70" s="78" t="s">
        <v>55</v>
      </c>
      <c r="AB70" s="139" t="s">
        <v>381</v>
      </c>
      <c r="AC70" s="34"/>
    </row>
    <row r="71" spans="1:29" x14ac:dyDescent="0.15">
      <c r="A71" s="139" t="s">
        <v>48</v>
      </c>
      <c r="B71" s="139" t="s">
        <v>377</v>
      </c>
      <c r="C71" s="139">
        <v>2020</v>
      </c>
      <c r="D71" s="147" t="s">
        <v>378</v>
      </c>
      <c r="E71" s="139" t="s">
        <v>389</v>
      </c>
      <c r="F71" s="139" t="s">
        <v>390</v>
      </c>
      <c r="G71" s="139" t="s">
        <v>25</v>
      </c>
      <c r="H71" s="139" t="s">
        <v>113</v>
      </c>
      <c r="I71" s="78" t="s">
        <v>111</v>
      </c>
      <c r="J71" s="78" t="s">
        <v>27</v>
      </c>
      <c r="K71" s="78" t="s">
        <v>112</v>
      </c>
      <c r="L71" s="78">
        <v>1</v>
      </c>
      <c r="N71" s="78">
        <v>5</v>
      </c>
      <c r="O71" s="78">
        <v>1.25</v>
      </c>
      <c r="P71" s="78">
        <v>1.25</v>
      </c>
      <c r="Q71" s="44">
        <f t="shared" si="3"/>
        <v>1.25</v>
      </c>
      <c r="R71" s="78">
        <v>13.7</v>
      </c>
      <c r="S71" s="78">
        <v>90</v>
      </c>
      <c r="T71" s="16">
        <f t="shared" si="4"/>
        <v>36</v>
      </c>
      <c r="U71" s="78">
        <v>398</v>
      </c>
      <c r="V71" s="180">
        <f t="shared" si="5"/>
        <v>2865.6</v>
      </c>
      <c r="W71" s="78">
        <v>18</v>
      </c>
      <c r="X71" s="78" t="s">
        <v>35</v>
      </c>
      <c r="Y71" s="78" t="s">
        <v>43</v>
      </c>
      <c r="Z71" s="78" t="s">
        <v>72</v>
      </c>
      <c r="AA71" s="78" t="s">
        <v>55</v>
      </c>
      <c r="AB71" s="139" t="s">
        <v>381</v>
      </c>
      <c r="AC71" s="34"/>
    </row>
    <row r="72" spans="1:29" x14ac:dyDescent="0.15">
      <c r="A72" s="139" t="s">
        <v>48</v>
      </c>
      <c r="B72" s="139" t="s">
        <v>377</v>
      </c>
      <c r="C72" s="139">
        <v>2020</v>
      </c>
      <c r="D72" s="147" t="s">
        <v>378</v>
      </c>
      <c r="E72" s="139" t="s">
        <v>389</v>
      </c>
      <c r="F72" s="139" t="s">
        <v>390</v>
      </c>
      <c r="G72" s="139" t="s">
        <v>25</v>
      </c>
      <c r="H72" s="139" t="s">
        <v>113</v>
      </c>
      <c r="I72" s="78" t="s">
        <v>111</v>
      </c>
      <c r="J72" s="78" t="s">
        <v>27</v>
      </c>
      <c r="K72" s="78" t="s">
        <v>112</v>
      </c>
      <c r="L72" s="78">
        <v>2</v>
      </c>
      <c r="N72" s="78">
        <v>5</v>
      </c>
      <c r="O72" s="78">
        <v>1</v>
      </c>
      <c r="P72" s="78">
        <v>1.05</v>
      </c>
      <c r="Q72" s="44">
        <f t="shared" si="3"/>
        <v>1.0249999999999999</v>
      </c>
      <c r="R72" s="78">
        <v>14.2</v>
      </c>
      <c r="S72" s="78">
        <v>99</v>
      </c>
      <c r="T72" s="16">
        <f t="shared" si="4"/>
        <v>33</v>
      </c>
      <c r="U72" s="78">
        <v>398</v>
      </c>
      <c r="V72" s="180">
        <f t="shared" si="5"/>
        <v>2626.7999999999997</v>
      </c>
      <c r="W72" s="78">
        <v>18</v>
      </c>
      <c r="X72" s="78" t="s">
        <v>35</v>
      </c>
      <c r="Y72" s="78" t="s">
        <v>43</v>
      </c>
      <c r="Z72" s="78" t="s">
        <v>72</v>
      </c>
      <c r="AA72" s="78" t="s">
        <v>55</v>
      </c>
      <c r="AB72" s="139" t="s">
        <v>381</v>
      </c>
      <c r="AC72" s="34"/>
    </row>
    <row r="73" spans="1:29" x14ac:dyDescent="0.15">
      <c r="A73" s="139" t="s">
        <v>48</v>
      </c>
      <c r="B73" s="139" t="s">
        <v>377</v>
      </c>
      <c r="C73" s="139">
        <v>2020</v>
      </c>
      <c r="D73" s="147" t="s">
        <v>378</v>
      </c>
      <c r="E73" s="139" t="s">
        <v>389</v>
      </c>
      <c r="F73" s="139" t="s">
        <v>390</v>
      </c>
      <c r="G73" s="139" t="s">
        <v>25</v>
      </c>
      <c r="H73" s="139" t="s">
        <v>113</v>
      </c>
      <c r="I73" s="78" t="s">
        <v>111</v>
      </c>
      <c r="J73" s="78" t="s">
        <v>27</v>
      </c>
      <c r="K73" s="78" t="s">
        <v>112</v>
      </c>
      <c r="L73" s="78">
        <v>3</v>
      </c>
      <c r="N73" s="78">
        <v>5</v>
      </c>
      <c r="O73" s="78">
        <v>1.05</v>
      </c>
      <c r="P73" s="78">
        <v>1.05</v>
      </c>
      <c r="Q73" s="44">
        <f t="shared" si="3"/>
        <v>1.05</v>
      </c>
      <c r="R73" s="78">
        <v>13.3</v>
      </c>
      <c r="S73" s="78">
        <v>88</v>
      </c>
      <c r="T73" s="16">
        <f t="shared" si="4"/>
        <v>36</v>
      </c>
      <c r="U73" s="78">
        <v>398</v>
      </c>
      <c r="V73" s="180">
        <f t="shared" si="5"/>
        <v>2865.6</v>
      </c>
      <c r="W73" s="78">
        <v>18</v>
      </c>
      <c r="X73" s="78" t="s">
        <v>35</v>
      </c>
      <c r="Y73" s="78" t="s">
        <v>43</v>
      </c>
      <c r="Z73" s="78" t="s">
        <v>72</v>
      </c>
      <c r="AA73" s="78" t="s">
        <v>55</v>
      </c>
      <c r="AB73" s="139" t="s">
        <v>381</v>
      </c>
      <c r="AC73" s="34"/>
    </row>
    <row r="74" spans="1:29" x14ac:dyDescent="0.15">
      <c r="A74" s="139" t="s">
        <v>48</v>
      </c>
      <c r="B74" s="139" t="s">
        <v>377</v>
      </c>
      <c r="C74" s="139">
        <v>2020</v>
      </c>
      <c r="D74" s="147" t="s">
        <v>378</v>
      </c>
      <c r="E74" s="139" t="s">
        <v>197</v>
      </c>
      <c r="F74" s="139" t="s">
        <v>390</v>
      </c>
      <c r="G74" s="139" t="s">
        <v>25</v>
      </c>
      <c r="H74" s="139" t="s">
        <v>167</v>
      </c>
      <c r="I74" s="78" t="s">
        <v>111</v>
      </c>
      <c r="J74" s="78" t="s">
        <v>27</v>
      </c>
      <c r="K74" s="78" t="s">
        <v>112</v>
      </c>
      <c r="L74" s="78">
        <v>1</v>
      </c>
      <c r="N74" s="78">
        <v>1</v>
      </c>
      <c r="O74" s="78">
        <v>0.5</v>
      </c>
      <c r="P74" s="78">
        <v>0.5</v>
      </c>
      <c r="Q74" s="44">
        <f t="shared" si="3"/>
        <v>0.5</v>
      </c>
      <c r="R74" s="78">
        <v>17</v>
      </c>
      <c r="S74" s="78">
        <v>127</v>
      </c>
      <c r="T74" s="16">
        <f t="shared" si="4"/>
        <v>27</v>
      </c>
      <c r="U74" s="78">
        <v>98</v>
      </c>
      <c r="V74" s="180">
        <f t="shared" si="5"/>
        <v>2646</v>
      </c>
      <c r="W74" s="78">
        <v>18</v>
      </c>
      <c r="X74" s="78" t="s">
        <v>35</v>
      </c>
      <c r="Y74" s="78" t="s">
        <v>43</v>
      </c>
      <c r="Z74" s="78" t="s">
        <v>55</v>
      </c>
      <c r="AA74" s="78" t="s">
        <v>64</v>
      </c>
      <c r="AB74" s="139" t="s">
        <v>381</v>
      </c>
    </row>
    <row r="75" spans="1:29" x14ac:dyDescent="0.15">
      <c r="A75" s="139" t="s">
        <v>48</v>
      </c>
      <c r="B75" s="139" t="s">
        <v>377</v>
      </c>
      <c r="C75" s="139">
        <v>2020</v>
      </c>
      <c r="D75" s="147" t="s">
        <v>378</v>
      </c>
      <c r="E75" s="139" t="s">
        <v>197</v>
      </c>
      <c r="F75" s="139" t="s">
        <v>390</v>
      </c>
      <c r="G75" s="139" t="s">
        <v>25</v>
      </c>
      <c r="H75" s="139" t="s">
        <v>167</v>
      </c>
      <c r="I75" s="78" t="s">
        <v>111</v>
      </c>
      <c r="J75" s="78" t="s">
        <v>27</v>
      </c>
      <c r="K75" s="78" t="s">
        <v>112</v>
      </c>
      <c r="L75" s="78">
        <v>2</v>
      </c>
      <c r="N75" s="78">
        <v>1</v>
      </c>
      <c r="O75" s="78">
        <v>0.55000000000000004</v>
      </c>
      <c r="P75" s="78">
        <v>0.55000000000000004</v>
      </c>
      <c r="Q75" s="44">
        <f t="shared" si="3"/>
        <v>0.55000000000000004</v>
      </c>
      <c r="R75" s="78">
        <v>14.2</v>
      </c>
      <c r="S75" s="78">
        <v>126</v>
      </c>
      <c r="T75" s="16">
        <f t="shared" si="4"/>
        <v>27</v>
      </c>
      <c r="U75" s="78">
        <v>98</v>
      </c>
      <c r="V75" s="180">
        <f t="shared" si="5"/>
        <v>2646</v>
      </c>
      <c r="W75" s="78">
        <v>18</v>
      </c>
      <c r="X75" s="78" t="s">
        <v>35</v>
      </c>
      <c r="Y75" s="78" t="s">
        <v>43</v>
      </c>
      <c r="Z75" s="78" t="s">
        <v>55</v>
      </c>
      <c r="AA75" s="78" t="s">
        <v>64</v>
      </c>
      <c r="AB75" s="139" t="s">
        <v>381</v>
      </c>
    </row>
    <row r="76" spans="1:29" x14ac:dyDescent="0.15">
      <c r="A76" s="139" t="s">
        <v>48</v>
      </c>
      <c r="B76" s="139" t="s">
        <v>377</v>
      </c>
      <c r="C76" s="139">
        <v>2020</v>
      </c>
      <c r="D76" s="147" t="s">
        <v>378</v>
      </c>
      <c r="E76" s="139" t="s">
        <v>197</v>
      </c>
      <c r="F76" s="139" t="s">
        <v>390</v>
      </c>
      <c r="G76" s="139" t="s">
        <v>25</v>
      </c>
      <c r="H76" s="139" t="s">
        <v>167</v>
      </c>
      <c r="I76" s="78" t="s">
        <v>111</v>
      </c>
      <c r="J76" s="78" t="s">
        <v>27</v>
      </c>
      <c r="K76" s="78" t="s">
        <v>112</v>
      </c>
      <c r="L76" s="78">
        <v>3</v>
      </c>
      <c r="N76" s="78">
        <v>1</v>
      </c>
      <c r="O76" s="78">
        <v>0.55000000000000004</v>
      </c>
      <c r="P76" s="78">
        <v>0.5</v>
      </c>
      <c r="Q76" s="44">
        <f t="shared" si="3"/>
        <v>0.52500000000000002</v>
      </c>
      <c r="R76" s="78">
        <v>14</v>
      </c>
      <c r="S76" s="78">
        <v>125</v>
      </c>
      <c r="T76" s="16">
        <f t="shared" si="4"/>
        <v>27</v>
      </c>
      <c r="U76" s="78">
        <v>98</v>
      </c>
      <c r="V76" s="180">
        <f t="shared" si="5"/>
        <v>2646</v>
      </c>
      <c r="W76" s="78">
        <v>18</v>
      </c>
      <c r="X76" s="78" t="s">
        <v>35</v>
      </c>
      <c r="Y76" s="78" t="s">
        <v>43</v>
      </c>
      <c r="Z76" s="78" t="s">
        <v>55</v>
      </c>
      <c r="AA76" s="78" t="s">
        <v>64</v>
      </c>
      <c r="AB76" s="139" t="s">
        <v>381</v>
      </c>
    </row>
    <row r="77" spans="1:29" x14ac:dyDescent="0.15">
      <c r="A77" s="139" t="s">
        <v>48</v>
      </c>
      <c r="B77" s="139" t="s">
        <v>377</v>
      </c>
      <c r="C77" s="139">
        <v>2020</v>
      </c>
      <c r="D77" s="147" t="s">
        <v>378</v>
      </c>
      <c r="E77" s="139" t="s">
        <v>197</v>
      </c>
      <c r="F77" s="139" t="s">
        <v>390</v>
      </c>
      <c r="G77" s="139" t="s">
        <v>25</v>
      </c>
      <c r="H77" s="139" t="s">
        <v>167</v>
      </c>
      <c r="I77" s="78" t="s">
        <v>111</v>
      </c>
      <c r="J77" s="78" t="s">
        <v>27</v>
      </c>
      <c r="K77" s="78" t="s">
        <v>112</v>
      </c>
      <c r="L77" s="78">
        <v>1</v>
      </c>
      <c r="N77" s="78">
        <v>2</v>
      </c>
      <c r="O77" s="78">
        <v>0.55000000000000004</v>
      </c>
      <c r="P77" s="78">
        <v>0.7</v>
      </c>
      <c r="Q77" s="44">
        <f t="shared" si="3"/>
        <v>0.625</v>
      </c>
      <c r="R77" s="78">
        <v>14.3</v>
      </c>
      <c r="S77" s="78">
        <v>150</v>
      </c>
      <c r="T77" s="16">
        <f t="shared" si="4"/>
        <v>22</v>
      </c>
      <c r="U77" s="78">
        <v>398</v>
      </c>
      <c r="V77" s="180">
        <f t="shared" si="5"/>
        <v>4378</v>
      </c>
      <c r="W77" s="78">
        <v>18</v>
      </c>
      <c r="X77" s="78" t="s">
        <v>35</v>
      </c>
      <c r="Y77" s="78" t="s">
        <v>43</v>
      </c>
      <c r="Z77" s="78" t="s">
        <v>55</v>
      </c>
      <c r="AA77" s="78" t="s">
        <v>64</v>
      </c>
      <c r="AB77" s="139" t="s">
        <v>381</v>
      </c>
    </row>
    <row r="78" spans="1:29" x14ac:dyDescent="0.15">
      <c r="A78" s="139" t="s">
        <v>48</v>
      </c>
      <c r="B78" s="139" t="s">
        <v>377</v>
      </c>
      <c r="C78" s="139">
        <v>2020</v>
      </c>
      <c r="D78" s="147" t="s">
        <v>378</v>
      </c>
      <c r="E78" s="139" t="s">
        <v>197</v>
      </c>
      <c r="F78" s="139" t="s">
        <v>390</v>
      </c>
      <c r="G78" s="139" t="s">
        <v>25</v>
      </c>
      <c r="H78" s="139" t="s">
        <v>167</v>
      </c>
      <c r="I78" s="78" t="s">
        <v>111</v>
      </c>
      <c r="J78" s="78" t="s">
        <v>27</v>
      </c>
      <c r="K78" s="78" t="s">
        <v>112</v>
      </c>
      <c r="L78" s="78">
        <v>2</v>
      </c>
      <c r="N78" s="78">
        <v>2</v>
      </c>
      <c r="O78" s="78">
        <v>0.75</v>
      </c>
      <c r="P78" s="78">
        <v>0.85</v>
      </c>
      <c r="Q78" s="44">
        <f t="shared" si="3"/>
        <v>0.8</v>
      </c>
      <c r="R78" s="78">
        <v>14.5</v>
      </c>
      <c r="S78" s="78">
        <v>157</v>
      </c>
      <c r="T78" s="16">
        <f t="shared" si="4"/>
        <v>18</v>
      </c>
      <c r="U78" s="78">
        <v>398</v>
      </c>
      <c r="V78" s="180">
        <f t="shared" si="5"/>
        <v>3582</v>
      </c>
      <c r="W78" s="78">
        <v>18</v>
      </c>
      <c r="X78" s="78" t="s">
        <v>35</v>
      </c>
      <c r="Y78" s="78" t="s">
        <v>43</v>
      </c>
      <c r="Z78" s="78" t="s">
        <v>55</v>
      </c>
      <c r="AA78" s="78" t="s">
        <v>64</v>
      </c>
      <c r="AB78" s="139" t="s">
        <v>381</v>
      </c>
    </row>
    <row r="79" spans="1:29" x14ac:dyDescent="0.15">
      <c r="A79" s="139" t="s">
        <v>48</v>
      </c>
      <c r="B79" s="139" t="s">
        <v>377</v>
      </c>
      <c r="C79" s="139">
        <v>2020</v>
      </c>
      <c r="D79" s="147" t="s">
        <v>378</v>
      </c>
      <c r="E79" s="139" t="s">
        <v>197</v>
      </c>
      <c r="F79" s="139" t="s">
        <v>390</v>
      </c>
      <c r="G79" s="139" t="s">
        <v>25</v>
      </c>
      <c r="H79" s="139" t="s">
        <v>167</v>
      </c>
      <c r="I79" s="78" t="s">
        <v>111</v>
      </c>
      <c r="J79" s="78" t="s">
        <v>27</v>
      </c>
      <c r="K79" s="78" t="s">
        <v>112</v>
      </c>
      <c r="L79" s="78">
        <v>3</v>
      </c>
      <c r="N79" s="78">
        <v>2</v>
      </c>
      <c r="O79" s="78">
        <v>0.8</v>
      </c>
      <c r="P79" s="78">
        <v>0.8</v>
      </c>
      <c r="Q79" s="44">
        <f t="shared" si="3"/>
        <v>0.8</v>
      </c>
      <c r="R79" s="78">
        <v>13.7</v>
      </c>
      <c r="S79" s="78">
        <v>147</v>
      </c>
      <c r="T79" s="16">
        <f t="shared" si="4"/>
        <v>22</v>
      </c>
      <c r="U79" s="78">
        <v>398</v>
      </c>
      <c r="V79" s="180">
        <f t="shared" si="5"/>
        <v>4378</v>
      </c>
      <c r="W79" s="78">
        <v>18</v>
      </c>
      <c r="X79" s="78" t="s">
        <v>35</v>
      </c>
      <c r="Y79" s="78" t="s">
        <v>43</v>
      </c>
      <c r="Z79" s="78" t="s">
        <v>55</v>
      </c>
      <c r="AA79" s="78" t="s">
        <v>64</v>
      </c>
      <c r="AB79" s="139" t="s">
        <v>381</v>
      </c>
    </row>
    <row r="80" spans="1:29" x14ac:dyDescent="0.15">
      <c r="A80" s="139" t="s">
        <v>48</v>
      </c>
      <c r="B80" s="139" t="s">
        <v>377</v>
      </c>
      <c r="C80" s="139">
        <v>2020</v>
      </c>
      <c r="D80" s="147" t="s">
        <v>378</v>
      </c>
      <c r="E80" s="139" t="s">
        <v>197</v>
      </c>
      <c r="F80" s="139" t="s">
        <v>390</v>
      </c>
      <c r="G80" s="139" t="s">
        <v>25</v>
      </c>
      <c r="H80" s="139" t="s">
        <v>167</v>
      </c>
      <c r="I80" s="78" t="s">
        <v>111</v>
      </c>
      <c r="J80" s="78" t="s">
        <v>27</v>
      </c>
      <c r="K80" s="78" t="s">
        <v>112</v>
      </c>
      <c r="L80" s="78">
        <v>1</v>
      </c>
      <c r="N80" s="78">
        <v>8</v>
      </c>
      <c r="O80" s="78">
        <v>0.9</v>
      </c>
      <c r="P80" s="78">
        <v>0.9</v>
      </c>
      <c r="Q80" s="44">
        <f t="shared" si="3"/>
        <v>0.9</v>
      </c>
      <c r="R80" s="78">
        <v>14.2</v>
      </c>
      <c r="S80" s="78">
        <v>110</v>
      </c>
      <c r="T80" s="16">
        <f t="shared" si="4"/>
        <v>33</v>
      </c>
      <c r="U80" s="78">
        <v>580</v>
      </c>
      <c r="V80" s="180">
        <f t="shared" si="5"/>
        <v>2392.5</v>
      </c>
      <c r="W80" s="78">
        <v>18</v>
      </c>
      <c r="X80" s="78" t="s">
        <v>35</v>
      </c>
      <c r="Y80" s="78" t="s">
        <v>43</v>
      </c>
      <c r="Z80" s="78" t="s">
        <v>55</v>
      </c>
      <c r="AA80" s="78" t="s">
        <v>64</v>
      </c>
      <c r="AB80" s="139" t="s">
        <v>381</v>
      </c>
    </row>
    <row r="81" spans="1:28" x14ac:dyDescent="0.15">
      <c r="A81" s="139" t="s">
        <v>48</v>
      </c>
      <c r="B81" s="139" t="s">
        <v>377</v>
      </c>
      <c r="C81" s="139">
        <v>2020</v>
      </c>
      <c r="D81" s="147" t="s">
        <v>378</v>
      </c>
      <c r="E81" s="139" t="s">
        <v>197</v>
      </c>
      <c r="F81" s="139" t="s">
        <v>390</v>
      </c>
      <c r="G81" s="139" t="s">
        <v>25</v>
      </c>
      <c r="H81" s="139" t="s">
        <v>167</v>
      </c>
      <c r="I81" s="78" t="s">
        <v>111</v>
      </c>
      <c r="J81" s="78" t="s">
        <v>27</v>
      </c>
      <c r="K81" s="78" t="s">
        <v>112</v>
      </c>
      <c r="L81" s="78">
        <v>2</v>
      </c>
      <c r="N81" s="78">
        <v>8</v>
      </c>
      <c r="O81" s="78">
        <v>0.7</v>
      </c>
      <c r="P81" s="78">
        <v>0.7</v>
      </c>
      <c r="Q81" s="44">
        <f t="shared" si="3"/>
        <v>0.7</v>
      </c>
      <c r="R81" s="78">
        <v>13.9</v>
      </c>
      <c r="S81" s="78">
        <v>110</v>
      </c>
      <c r="T81" s="16">
        <f t="shared" si="4"/>
        <v>33</v>
      </c>
      <c r="U81" s="78">
        <v>580</v>
      </c>
      <c r="V81" s="180">
        <f t="shared" si="5"/>
        <v>2392.5</v>
      </c>
      <c r="W81" s="78">
        <v>18</v>
      </c>
      <c r="X81" s="78" t="s">
        <v>35</v>
      </c>
      <c r="Y81" s="78" t="s">
        <v>43</v>
      </c>
      <c r="Z81" s="78" t="s">
        <v>55</v>
      </c>
      <c r="AA81" s="78" t="s">
        <v>64</v>
      </c>
      <c r="AB81" s="139" t="s">
        <v>381</v>
      </c>
    </row>
    <row r="82" spans="1:28" x14ac:dyDescent="0.15">
      <c r="A82" s="139" t="s">
        <v>48</v>
      </c>
      <c r="B82" s="139" t="s">
        <v>377</v>
      </c>
      <c r="C82" s="139">
        <v>2020</v>
      </c>
      <c r="D82" s="147" t="s">
        <v>378</v>
      </c>
      <c r="E82" s="139" t="s">
        <v>197</v>
      </c>
      <c r="F82" s="139" t="s">
        <v>390</v>
      </c>
      <c r="G82" s="139" t="s">
        <v>25</v>
      </c>
      <c r="H82" s="139" t="s">
        <v>167</v>
      </c>
      <c r="I82" s="78" t="s">
        <v>111</v>
      </c>
      <c r="J82" s="78" t="s">
        <v>27</v>
      </c>
      <c r="K82" s="78" t="s">
        <v>112</v>
      </c>
      <c r="L82" s="78">
        <v>3</v>
      </c>
      <c r="N82" s="78">
        <v>8</v>
      </c>
      <c r="O82" s="78">
        <v>0.65</v>
      </c>
      <c r="P82" s="78">
        <v>0.75</v>
      </c>
      <c r="Q82" s="44">
        <f t="shared" si="3"/>
        <v>0.7</v>
      </c>
      <c r="R82" s="78">
        <v>14.6</v>
      </c>
      <c r="S82" s="78">
        <v>114</v>
      </c>
      <c r="T82" s="16">
        <f t="shared" si="4"/>
        <v>30</v>
      </c>
      <c r="U82" s="78">
        <v>580</v>
      </c>
      <c r="V82" s="180">
        <f t="shared" si="5"/>
        <v>2175</v>
      </c>
      <c r="W82" s="78">
        <v>18</v>
      </c>
      <c r="X82" s="78" t="s">
        <v>35</v>
      </c>
      <c r="Y82" s="78" t="s">
        <v>43</v>
      </c>
      <c r="Z82" s="78" t="s">
        <v>55</v>
      </c>
      <c r="AA82" s="78" t="s">
        <v>64</v>
      </c>
      <c r="AB82" s="139" t="s">
        <v>381</v>
      </c>
    </row>
    <row r="83" spans="1:28" x14ac:dyDescent="0.15">
      <c r="A83" s="139" t="s">
        <v>48</v>
      </c>
      <c r="B83" s="139" t="s">
        <v>377</v>
      </c>
      <c r="C83" s="139">
        <v>2020</v>
      </c>
      <c r="D83" s="147" t="s">
        <v>378</v>
      </c>
      <c r="E83" s="139" t="s">
        <v>197</v>
      </c>
      <c r="F83" s="139" t="s">
        <v>390</v>
      </c>
      <c r="G83" s="139" t="s">
        <v>25</v>
      </c>
      <c r="H83" s="139" t="s">
        <v>113</v>
      </c>
      <c r="I83" s="78" t="s">
        <v>111</v>
      </c>
      <c r="J83" s="78" t="s">
        <v>27</v>
      </c>
      <c r="K83" s="78" t="s">
        <v>112</v>
      </c>
      <c r="L83" s="78">
        <v>1</v>
      </c>
      <c r="N83" s="78">
        <v>1</v>
      </c>
      <c r="O83" s="78">
        <v>0.65</v>
      </c>
      <c r="P83" s="78">
        <v>0.75</v>
      </c>
      <c r="Q83" s="44">
        <f t="shared" si="3"/>
        <v>0.7</v>
      </c>
      <c r="R83" s="78">
        <v>13.8</v>
      </c>
      <c r="S83" s="78">
        <v>100</v>
      </c>
      <c r="T83" s="16">
        <f t="shared" si="4"/>
        <v>33</v>
      </c>
      <c r="U83" s="78">
        <v>78</v>
      </c>
      <c r="V83" s="180">
        <f t="shared" si="5"/>
        <v>2574</v>
      </c>
      <c r="W83" s="78">
        <v>18</v>
      </c>
      <c r="X83" s="78" t="s">
        <v>35</v>
      </c>
      <c r="Y83" s="78" t="s">
        <v>43</v>
      </c>
      <c r="Z83" s="78" t="s">
        <v>55</v>
      </c>
      <c r="AA83" s="78" t="s">
        <v>64</v>
      </c>
      <c r="AB83" s="139" t="s">
        <v>381</v>
      </c>
    </row>
    <row r="84" spans="1:28" x14ac:dyDescent="0.15">
      <c r="A84" s="139" t="s">
        <v>48</v>
      </c>
      <c r="B84" s="139" t="s">
        <v>377</v>
      </c>
      <c r="C84" s="139">
        <v>2020</v>
      </c>
      <c r="D84" s="147" t="s">
        <v>378</v>
      </c>
      <c r="E84" s="139" t="s">
        <v>197</v>
      </c>
      <c r="F84" s="139" t="s">
        <v>390</v>
      </c>
      <c r="G84" s="139" t="s">
        <v>25</v>
      </c>
      <c r="H84" s="139" t="s">
        <v>113</v>
      </c>
      <c r="I84" s="78" t="s">
        <v>111</v>
      </c>
      <c r="J84" s="78" t="s">
        <v>27</v>
      </c>
      <c r="K84" s="78" t="s">
        <v>112</v>
      </c>
      <c r="L84" s="78">
        <v>2</v>
      </c>
      <c r="N84" s="78">
        <v>1</v>
      </c>
      <c r="O84" s="78">
        <v>0.8</v>
      </c>
      <c r="P84" s="78">
        <v>0.7</v>
      </c>
      <c r="Q84" s="44">
        <f t="shared" si="3"/>
        <v>0.75</v>
      </c>
      <c r="R84" s="78">
        <v>13.74</v>
      </c>
      <c r="S84" s="78">
        <v>103</v>
      </c>
      <c r="T84" s="16">
        <f t="shared" si="4"/>
        <v>33</v>
      </c>
      <c r="U84" s="78">
        <v>78</v>
      </c>
      <c r="V84" s="180">
        <f t="shared" si="5"/>
        <v>2574</v>
      </c>
      <c r="W84" s="78">
        <v>18</v>
      </c>
      <c r="X84" s="78" t="s">
        <v>35</v>
      </c>
      <c r="Y84" s="78" t="s">
        <v>43</v>
      </c>
      <c r="Z84" s="78" t="s">
        <v>55</v>
      </c>
      <c r="AA84" s="78" t="s">
        <v>64</v>
      </c>
      <c r="AB84" s="139" t="s">
        <v>381</v>
      </c>
    </row>
    <row r="85" spans="1:28" x14ac:dyDescent="0.15">
      <c r="A85" s="139" t="s">
        <v>48</v>
      </c>
      <c r="B85" s="139" t="s">
        <v>377</v>
      </c>
      <c r="C85" s="139">
        <v>2020</v>
      </c>
      <c r="D85" s="147" t="s">
        <v>378</v>
      </c>
      <c r="E85" s="139" t="s">
        <v>197</v>
      </c>
      <c r="F85" s="139" t="s">
        <v>390</v>
      </c>
      <c r="G85" s="139" t="s">
        <v>25</v>
      </c>
      <c r="H85" s="139" t="s">
        <v>113</v>
      </c>
      <c r="I85" s="78" t="s">
        <v>111</v>
      </c>
      <c r="J85" s="78" t="s">
        <v>27</v>
      </c>
      <c r="K85" s="78" t="s">
        <v>112</v>
      </c>
      <c r="L85" s="78">
        <v>3</v>
      </c>
      <c r="N85" s="78">
        <v>1</v>
      </c>
      <c r="O85" s="78">
        <v>0.55000000000000004</v>
      </c>
      <c r="P85" s="78">
        <v>0.55000000000000004</v>
      </c>
      <c r="Q85" s="44">
        <f t="shared" si="3"/>
        <v>0.55000000000000004</v>
      </c>
      <c r="R85" s="78">
        <v>13.3</v>
      </c>
      <c r="S85" s="78">
        <v>107</v>
      </c>
      <c r="T85" s="16">
        <f t="shared" si="4"/>
        <v>33</v>
      </c>
      <c r="U85" s="78">
        <v>78</v>
      </c>
      <c r="V85" s="180">
        <f t="shared" si="5"/>
        <v>2574</v>
      </c>
      <c r="W85" s="78">
        <v>18</v>
      </c>
      <c r="X85" s="78" t="s">
        <v>35</v>
      </c>
      <c r="Y85" s="78" t="s">
        <v>43</v>
      </c>
      <c r="Z85" s="78" t="s">
        <v>55</v>
      </c>
      <c r="AA85" s="78" t="s">
        <v>64</v>
      </c>
      <c r="AB85" s="139" t="s">
        <v>381</v>
      </c>
    </row>
    <row r="86" spans="1:28" x14ac:dyDescent="0.15">
      <c r="A86" s="139" t="s">
        <v>48</v>
      </c>
      <c r="B86" s="139" t="s">
        <v>377</v>
      </c>
      <c r="C86" s="139">
        <v>2020</v>
      </c>
      <c r="D86" s="147" t="s">
        <v>378</v>
      </c>
      <c r="E86" s="139" t="s">
        <v>197</v>
      </c>
      <c r="F86" s="139" t="s">
        <v>390</v>
      </c>
      <c r="G86" s="139" t="s">
        <v>25</v>
      </c>
      <c r="H86" s="139" t="s">
        <v>113</v>
      </c>
      <c r="I86" s="78" t="s">
        <v>111</v>
      </c>
      <c r="J86" s="78" t="s">
        <v>27</v>
      </c>
      <c r="K86" s="78" t="s">
        <v>112</v>
      </c>
      <c r="L86" s="78">
        <v>1</v>
      </c>
      <c r="N86" s="78">
        <v>8</v>
      </c>
      <c r="O86" s="78">
        <v>0.5</v>
      </c>
      <c r="P86" s="78">
        <v>0.5</v>
      </c>
      <c r="Q86" s="44">
        <f t="shared" si="3"/>
        <v>0.5</v>
      </c>
      <c r="R86" s="78">
        <v>18</v>
      </c>
      <c r="S86" s="78">
        <v>108</v>
      </c>
      <c r="T86" s="16">
        <f t="shared" si="4"/>
        <v>33</v>
      </c>
      <c r="U86" s="78">
        <v>498</v>
      </c>
      <c r="V86" s="180">
        <f t="shared" si="5"/>
        <v>2054.25</v>
      </c>
      <c r="W86" s="78">
        <v>18</v>
      </c>
      <c r="X86" s="78" t="s">
        <v>35</v>
      </c>
      <c r="Y86" s="78" t="s">
        <v>43</v>
      </c>
      <c r="Z86" s="78" t="s">
        <v>55</v>
      </c>
      <c r="AA86" s="78" t="s">
        <v>64</v>
      </c>
      <c r="AB86" s="139" t="s">
        <v>381</v>
      </c>
    </row>
    <row r="87" spans="1:28" x14ac:dyDescent="0.15">
      <c r="A87" s="139" t="s">
        <v>48</v>
      </c>
      <c r="B87" s="139" t="s">
        <v>377</v>
      </c>
      <c r="C87" s="139">
        <v>2020</v>
      </c>
      <c r="D87" s="147" t="s">
        <v>378</v>
      </c>
      <c r="E87" s="139" t="s">
        <v>197</v>
      </c>
      <c r="F87" s="139" t="s">
        <v>390</v>
      </c>
      <c r="G87" s="139" t="s">
        <v>25</v>
      </c>
      <c r="H87" s="139" t="s">
        <v>113</v>
      </c>
      <c r="I87" s="78" t="s">
        <v>111</v>
      </c>
      <c r="J87" s="78" t="s">
        <v>27</v>
      </c>
      <c r="K87" s="78" t="s">
        <v>112</v>
      </c>
      <c r="L87" s="78">
        <v>2</v>
      </c>
      <c r="N87" s="78">
        <v>8</v>
      </c>
      <c r="O87" s="78">
        <v>0.5</v>
      </c>
      <c r="P87" s="78">
        <v>0.5</v>
      </c>
      <c r="Q87" s="44">
        <f t="shared" si="3"/>
        <v>0.5</v>
      </c>
      <c r="R87" s="78">
        <v>16.7</v>
      </c>
      <c r="S87" s="78">
        <v>100</v>
      </c>
      <c r="T87" s="16">
        <f t="shared" si="4"/>
        <v>33</v>
      </c>
      <c r="U87" s="78">
        <v>498</v>
      </c>
      <c r="V87" s="180">
        <f t="shared" si="5"/>
        <v>2054.25</v>
      </c>
      <c r="W87" s="78">
        <v>18</v>
      </c>
      <c r="X87" s="78" t="s">
        <v>35</v>
      </c>
      <c r="Y87" s="78" t="s">
        <v>43</v>
      </c>
      <c r="Z87" s="78" t="s">
        <v>55</v>
      </c>
      <c r="AA87" s="78" t="s">
        <v>64</v>
      </c>
      <c r="AB87" s="139" t="s">
        <v>381</v>
      </c>
    </row>
    <row r="88" spans="1:28" x14ac:dyDescent="0.15">
      <c r="A88" s="139" t="s">
        <v>48</v>
      </c>
      <c r="B88" s="139" t="s">
        <v>377</v>
      </c>
      <c r="C88" s="139">
        <v>2020</v>
      </c>
      <c r="D88" s="147" t="s">
        <v>378</v>
      </c>
      <c r="E88" s="139" t="s">
        <v>197</v>
      </c>
      <c r="F88" s="139" t="s">
        <v>390</v>
      </c>
      <c r="G88" s="139" t="s">
        <v>25</v>
      </c>
      <c r="H88" s="139" t="s">
        <v>113</v>
      </c>
      <c r="I88" s="78" t="s">
        <v>111</v>
      </c>
      <c r="J88" s="78" t="s">
        <v>27</v>
      </c>
      <c r="K88" s="78" t="s">
        <v>112</v>
      </c>
      <c r="L88" s="78">
        <v>3</v>
      </c>
      <c r="N88" s="78">
        <v>8</v>
      </c>
      <c r="O88" s="78">
        <v>0.5</v>
      </c>
      <c r="P88" s="78">
        <v>0.6</v>
      </c>
      <c r="Q88" s="44">
        <f t="shared" si="3"/>
        <v>0.55000000000000004</v>
      </c>
      <c r="R88" s="78">
        <v>19.3</v>
      </c>
      <c r="S88" s="78">
        <v>105</v>
      </c>
      <c r="T88" s="16">
        <f t="shared" si="4"/>
        <v>33</v>
      </c>
      <c r="U88" s="78">
        <v>498</v>
      </c>
      <c r="V88" s="180">
        <f t="shared" si="5"/>
        <v>2054.25</v>
      </c>
      <c r="W88" s="78">
        <v>18</v>
      </c>
      <c r="X88" s="78" t="s">
        <v>35</v>
      </c>
      <c r="Y88" s="78" t="s">
        <v>43</v>
      </c>
      <c r="Z88" s="78" t="s">
        <v>55</v>
      </c>
      <c r="AA88" s="78" t="s">
        <v>64</v>
      </c>
      <c r="AB88" s="139" t="s">
        <v>381</v>
      </c>
    </row>
    <row r="89" spans="1:28" x14ac:dyDescent="0.15">
      <c r="A89" s="139" t="s">
        <v>48</v>
      </c>
      <c r="B89" s="139" t="s">
        <v>377</v>
      </c>
      <c r="C89" s="139">
        <v>2020</v>
      </c>
      <c r="D89" s="147" t="s">
        <v>378</v>
      </c>
      <c r="E89" s="139" t="s">
        <v>197</v>
      </c>
      <c r="F89" s="139" t="s">
        <v>390</v>
      </c>
      <c r="G89" s="139" t="s">
        <v>25</v>
      </c>
      <c r="H89" s="139" t="s">
        <v>165</v>
      </c>
      <c r="I89" s="78" t="s">
        <v>111</v>
      </c>
      <c r="J89" s="78" t="s">
        <v>27</v>
      </c>
      <c r="K89" s="78" t="s">
        <v>112</v>
      </c>
      <c r="L89" s="78">
        <v>1</v>
      </c>
      <c r="N89" s="78">
        <v>5</v>
      </c>
      <c r="O89" s="78">
        <v>0.5</v>
      </c>
      <c r="P89" s="78">
        <v>0.5</v>
      </c>
      <c r="Q89" s="44">
        <f t="shared" si="3"/>
        <v>0.5</v>
      </c>
      <c r="R89" s="78">
        <v>14.5</v>
      </c>
      <c r="S89" s="78">
        <v>88</v>
      </c>
      <c r="T89" s="16">
        <f t="shared" si="4"/>
        <v>36</v>
      </c>
      <c r="U89" s="78">
        <v>298</v>
      </c>
      <c r="V89" s="180">
        <f t="shared" si="5"/>
        <v>2145.6</v>
      </c>
      <c r="W89" s="78">
        <v>18</v>
      </c>
      <c r="X89" s="78" t="s">
        <v>35</v>
      </c>
      <c r="Y89" s="78" t="s">
        <v>43</v>
      </c>
      <c r="Z89" s="78" t="s">
        <v>55</v>
      </c>
      <c r="AA89" s="78" t="s">
        <v>64</v>
      </c>
      <c r="AB89" s="139" t="s">
        <v>381</v>
      </c>
    </row>
    <row r="90" spans="1:28" x14ac:dyDescent="0.15">
      <c r="A90" s="139" t="s">
        <v>48</v>
      </c>
      <c r="B90" s="139" t="s">
        <v>377</v>
      </c>
      <c r="C90" s="139">
        <v>2020</v>
      </c>
      <c r="D90" s="147" t="s">
        <v>378</v>
      </c>
      <c r="E90" s="139" t="s">
        <v>197</v>
      </c>
      <c r="F90" s="139" t="s">
        <v>390</v>
      </c>
      <c r="G90" s="139" t="s">
        <v>25</v>
      </c>
      <c r="H90" s="139" t="s">
        <v>165</v>
      </c>
      <c r="I90" s="78" t="s">
        <v>111</v>
      </c>
      <c r="J90" s="78" t="s">
        <v>27</v>
      </c>
      <c r="K90" s="78" t="s">
        <v>112</v>
      </c>
      <c r="L90" s="78">
        <v>2</v>
      </c>
      <c r="N90" s="78">
        <v>5</v>
      </c>
      <c r="O90" s="78">
        <v>0.6</v>
      </c>
      <c r="P90" s="78">
        <v>0.6</v>
      </c>
      <c r="Q90" s="44">
        <f t="shared" si="3"/>
        <v>0.6</v>
      </c>
      <c r="R90" s="78">
        <v>19.8</v>
      </c>
      <c r="S90" s="78">
        <v>87</v>
      </c>
      <c r="T90" s="16">
        <f t="shared" si="4"/>
        <v>36</v>
      </c>
      <c r="U90" s="78">
        <v>298</v>
      </c>
      <c r="V90" s="180">
        <f t="shared" si="5"/>
        <v>2145.6</v>
      </c>
      <c r="W90" s="78">
        <v>18</v>
      </c>
      <c r="X90" s="78" t="s">
        <v>35</v>
      </c>
      <c r="Y90" s="78" t="s">
        <v>43</v>
      </c>
      <c r="Z90" s="78" t="s">
        <v>55</v>
      </c>
      <c r="AA90" s="78" t="s">
        <v>64</v>
      </c>
      <c r="AB90" s="139" t="s">
        <v>381</v>
      </c>
    </row>
    <row r="91" spans="1:28" x14ac:dyDescent="0.15">
      <c r="A91" s="139" t="s">
        <v>48</v>
      </c>
      <c r="B91" s="139" t="s">
        <v>377</v>
      </c>
      <c r="C91" s="139">
        <v>2020</v>
      </c>
      <c r="D91" s="147" t="s">
        <v>378</v>
      </c>
      <c r="E91" s="139" t="s">
        <v>197</v>
      </c>
      <c r="F91" s="139" t="s">
        <v>390</v>
      </c>
      <c r="G91" s="139" t="s">
        <v>25</v>
      </c>
      <c r="H91" s="139" t="s">
        <v>165</v>
      </c>
      <c r="I91" s="78" t="s">
        <v>111</v>
      </c>
      <c r="J91" s="78" t="s">
        <v>27</v>
      </c>
      <c r="K91" s="78" t="s">
        <v>112</v>
      </c>
      <c r="L91" s="78">
        <v>3</v>
      </c>
      <c r="N91" s="78">
        <v>5</v>
      </c>
      <c r="O91" s="78">
        <v>0.6</v>
      </c>
      <c r="P91" s="78">
        <v>0.6</v>
      </c>
      <c r="Q91" s="44">
        <f t="shared" si="3"/>
        <v>0.6</v>
      </c>
      <c r="R91" s="78">
        <v>16.7</v>
      </c>
      <c r="S91" s="78">
        <v>92</v>
      </c>
      <c r="T91" s="16">
        <f t="shared" si="4"/>
        <v>36</v>
      </c>
      <c r="U91" s="78">
        <v>298</v>
      </c>
      <c r="V91" s="180">
        <f t="shared" si="5"/>
        <v>2145.6</v>
      </c>
      <c r="W91" s="78">
        <v>18</v>
      </c>
      <c r="X91" s="78" t="s">
        <v>35</v>
      </c>
      <c r="Y91" s="78" t="s">
        <v>43</v>
      </c>
      <c r="Z91" s="78" t="s">
        <v>55</v>
      </c>
      <c r="AA91" s="78" t="s">
        <v>64</v>
      </c>
      <c r="AB91" s="139" t="s">
        <v>381</v>
      </c>
    </row>
    <row r="92" spans="1:28" x14ac:dyDescent="0.15">
      <c r="A92" s="139" t="s">
        <v>48</v>
      </c>
      <c r="B92" s="139" t="s">
        <v>377</v>
      </c>
      <c r="C92" s="139">
        <v>2020</v>
      </c>
      <c r="D92" s="147" t="s">
        <v>378</v>
      </c>
      <c r="E92" s="139" t="s">
        <v>411</v>
      </c>
      <c r="F92" s="139" t="s">
        <v>393</v>
      </c>
      <c r="G92" s="139" t="s">
        <v>25</v>
      </c>
      <c r="H92" s="139" t="s">
        <v>167</v>
      </c>
      <c r="I92" s="78" t="s">
        <v>111</v>
      </c>
      <c r="J92" s="78" t="s">
        <v>27</v>
      </c>
      <c r="K92" s="78" t="s">
        <v>112</v>
      </c>
      <c r="L92" s="78">
        <v>1</v>
      </c>
      <c r="N92" s="78">
        <v>1</v>
      </c>
      <c r="O92" s="78">
        <v>0.7</v>
      </c>
      <c r="P92" s="78">
        <v>0.7</v>
      </c>
      <c r="Q92" s="44">
        <f t="shared" si="3"/>
        <v>0.7</v>
      </c>
      <c r="R92" s="78">
        <v>14.2</v>
      </c>
      <c r="S92" s="78">
        <v>136</v>
      </c>
      <c r="T92" s="16">
        <f t="shared" si="4"/>
        <v>25</v>
      </c>
      <c r="U92" s="78">
        <v>78</v>
      </c>
      <c r="V92" s="180">
        <f t="shared" si="5"/>
        <v>1950</v>
      </c>
      <c r="W92" s="78">
        <v>25</v>
      </c>
      <c r="X92" s="78" t="s">
        <v>35</v>
      </c>
      <c r="Y92" s="78" t="s">
        <v>43</v>
      </c>
      <c r="Z92" s="78" t="s">
        <v>55</v>
      </c>
      <c r="AA92" s="78" t="s">
        <v>64</v>
      </c>
      <c r="AB92" s="139" t="s">
        <v>381</v>
      </c>
    </row>
    <row r="93" spans="1:28" x14ac:dyDescent="0.15">
      <c r="A93" s="139" t="s">
        <v>48</v>
      </c>
      <c r="B93" s="139" t="s">
        <v>377</v>
      </c>
      <c r="C93" s="139">
        <v>2020</v>
      </c>
      <c r="D93" s="147" t="s">
        <v>378</v>
      </c>
      <c r="E93" s="139" t="s">
        <v>411</v>
      </c>
      <c r="F93" s="139" t="s">
        <v>393</v>
      </c>
      <c r="G93" s="139" t="s">
        <v>25</v>
      </c>
      <c r="H93" s="139" t="s">
        <v>167</v>
      </c>
      <c r="I93" s="78" t="s">
        <v>111</v>
      </c>
      <c r="J93" s="78" t="s">
        <v>27</v>
      </c>
      <c r="K93" s="78" t="s">
        <v>112</v>
      </c>
      <c r="L93" s="78">
        <v>2</v>
      </c>
      <c r="N93" s="78">
        <v>1</v>
      </c>
      <c r="O93" s="78">
        <v>0.55000000000000004</v>
      </c>
      <c r="P93" s="78">
        <v>0.6</v>
      </c>
      <c r="Q93" s="44">
        <f t="shared" si="3"/>
        <v>0.57499999999999996</v>
      </c>
      <c r="R93" s="78">
        <v>14.2</v>
      </c>
      <c r="S93" s="78">
        <v>138</v>
      </c>
      <c r="T93" s="16">
        <f t="shared" si="4"/>
        <v>22</v>
      </c>
      <c r="U93" s="78">
        <v>78</v>
      </c>
      <c r="V93" s="180">
        <f t="shared" si="5"/>
        <v>1716</v>
      </c>
      <c r="W93" s="78">
        <v>25</v>
      </c>
      <c r="X93" s="78" t="s">
        <v>35</v>
      </c>
      <c r="Y93" s="78" t="s">
        <v>43</v>
      </c>
      <c r="Z93" s="78" t="s">
        <v>55</v>
      </c>
      <c r="AA93" s="78" t="s">
        <v>64</v>
      </c>
      <c r="AB93" s="139" t="s">
        <v>381</v>
      </c>
    </row>
    <row r="94" spans="1:28" x14ac:dyDescent="0.15">
      <c r="A94" s="139" t="s">
        <v>48</v>
      </c>
      <c r="B94" s="139" t="s">
        <v>377</v>
      </c>
      <c r="C94" s="139">
        <v>2020</v>
      </c>
      <c r="D94" s="147" t="s">
        <v>378</v>
      </c>
      <c r="E94" s="139" t="s">
        <v>411</v>
      </c>
      <c r="F94" s="139" t="s">
        <v>393</v>
      </c>
      <c r="G94" s="139" t="s">
        <v>25</v>
      </c>
      <c r="H94" s="139" t="s">
        <v>167</v>
      </c>
      <c r="I94" s="78" t="s">
        <v>111</v>
      </c>
      <c r="J94" s="78" t="s">
        <v>27</v>
      </c>
      <c r="K94" s="78" t="s">
        <v>112</v>
      </c>
      <c r="L94" s="78">
        <v>3</v>
      </c>
      <c r="N94" s="78">
        <v>1</v>
      </c>
      <c r="O94" s="78">
        <v>0.5</v>
      </c>
      <c r="P94" s="78">
        <v>0.5</v>
      </c>
      <c r="Q94" s="44">
        <f t="shared" si="3"/>
        <v>0.5</v>
      </c>
      <c r="R94" s="78">
        <v>16.2</v>
      </c>
      <c r="S94" s="78">
        <v>138</v>
      </c>
      <c r="T94" s="16">
        <f t="shared" si="4"/>
        <v>22</v>
      </c>
      <c r="U94" s="78">
        <v>78</v>
      </c>
      <c r="V94" s="180">
        <f t="shared" si="5"/>
        <v>1716</v>
      </c>
      <c r="W94" s="78">
        <v>25</v>
      </c>
      <c r="X94" s="78" t="s">
        <v>35</v>
      </c>
      <c r="Y94" s="78" t="s">
        <v>43</v>
      </c>
      <c r="Z94" s="78" t="s">
        <v>55</v>
      </c>
      <c r="AA94" s="78" t="s">
        <v>64</v>
      </c>
      <c r="AB94" s="139" t="s">
        <v>381</v>
      </c>
    </row>
    <row r="95" spans="1:28" x14ac:dyDescent="0.15">
      <c r="A95" s="139" t="s">
        <v>48</v>
      </c>
      <c r="B95" s="139" t="s">
        <v>377</v>
      </c>
      <c r="C95" s="139">
        <v>2020</v>
      </c>
      <c r="D95" s="147" t="s">
        <v>378</v>
      </c>
      <c r="E95" s="139" t="s">
        <v>411</v>
      </c>
      <c r="F95" s="139" t="s">
        <v>393</v>
      </c>
      <c r="G95" s="139" t="s">
        <v>25</v>
      </c>
      <c r="H95" s="139" t="s">
        <v>167</v>
      </c>
      <c r="I95" s="78" t="s">
        <v>111</v>
      </c>
      <c r="J95" s="78" t="s">
        <v>27</v>
      </c>
      <c r="K95" s="78" t="s">
        <v>112</v>
      </c>
      <c r="L95" s="78">
        <v>1</v>
      </c>
      <c r="N95" s="78">
        <v>4</v>
      </c>
      <c r="O95" s="78">
        <v>0.7</v>
      </c>
      <c r="P95" s="78">
        <v>0.7</v>
      </c>
      <c r="Q95" s="16">
        <f t="shared" si="3"/>
        <v>0.7</v>
      </c>
      <c r="R95" s="78">
        <v>16.8</v>
      </c>
      <c r="S95" s="78">
        <v>107</v>
      </c>
      <c r="T95" s="16">
        <f t="shared" si="4"/>
        <v>33</v>
      </c>
      <c r="U95" s="78">
        <v>398</v>
      </c>
      <c r="V95" s="16">
        <f t="shared" si="5"/>
        <v>3283.5</v>
      </c>
      <c r="W95" s="78">
        <v>25</v>
      </c>
      <c r="X95" s="78" t="s">
        <v>35</v>
      </c>
      <c r="Y95" s="78" t="s">
        <v>43</v>
      </c>
      <c r="Z95" s="78" t="s">
        <v>55</v>
      </c>
      <c r="AA95" s="78" t="s">
        <v>64</v>
      </c>
      <c r="AB95" s="139" t="s">
        <v>381</v>
      </c>
    </row>
    <row r="96" spans="1:28" x14ac:dyDescent="0.15">
      <c r="A96" s="139" t="s">
        <v>48</v>
      </c>
      <c r="B96" s="139" t="s">
        <v>377</v>
      </c>
      <c r="C96" s="139">
        <v>2020</v>
      </c>
      <c r="D96" s="147" t="s">
        <v>378</v>
      </c>
      <c r="E96" s="139" t="s">
        <v>411</v>
      </c>
      <c r="F96" s="139" t="s">
        <v>393</v>
      </c>
      <c r="G96" s="139" t="s">
        <v>25</v>
      </c>
      <c r="H96" s="139" t="s">
        <v>167</v>
      </c>
      <c r="I96" s="78" t="s">
        <v>111</v>
      </c>
      <c r="J96" s="78" t="s">
        <v>27</v>
      </c>
      <c r="K96" s="78" t="s">
        <v>112</v>
      </c>
      <c r="L96" s="78">
        <v>2</v>
      </c>
      <c r="N96" s="78">
        <v>4</v>
      </c>
      <c r="O96" s="78">
        <v>1</v>
      </c>
      <c r="P96" s="78">
        <v>0.75</v>
      </c>
      <c r="Q96" s="44">
        <f t="shared" si="3"/>
        <v>0.875</v>
      </c>
      <c r="R96" s="78">
        <v>16.100000000000001</v>
      </c>
      <c r="S96" s="78">
        <v>105</v>
      </c>
      <c r="T96" s="16">
        <f t="shared" si="4"/>
        <v>33</v>
      </c>
      <c r="U96" s="78">
        <v>398</v>
      </c>
      <c r="V96" s="180">
        <f t="shared" si="5"/>
        <v>3283.5</v>
      </c>
      <c r="W96" s="78">
        <v>25</v>
      </c>
      <c r="X96" s="78" t="s">
        <v>35</v>
      </c>
      <c r="Y96" s="78" t="s">
        <v>43</v>
      </c>
      <c r="Z96" s="78" t="s">
        <v>55</v>
      </c>
      <c r="AA96" s="78" t="s">
        <v>64</v>
      </c>
      <c r="AB96" s="139" t="s">
        <v>381</v>
      </c>
    </row>
    <row r="97" spans="1:28" x14ac:dyDescent="0.15">
      <c r="A97" s="139" t="s">
        <v>48</v>
      </c>
      <c r="B97" s="139" t="s">
        <v>377</v>
      </c>
      <c r="C97" s="139">
        <v>2020</v>
      </c>
      <c r="D97" s="147" t="s">
        <v>378</v>
      </c>
      <c r="E97" s="139" t="s">
        <v>411</v>
      </c>
      <c r="F97" s="139" t="s">
        <v>393</v>
      </c>
      <c r="G97" s="139" t="s">
        <v>25</v>
      </c>
      <c r="H97" s="139" t="s">
        <v>167</v>
      </c>
      <c r="I97" s="78" t="s">
        <v>111</v>
      </c>
      <c r="J97" s="78" t="s">
        <v>27</v>
      </c>
      <c r="K97" s="78" t="s">
        <v>112</v>
      </c>
      <c r="L97" s="78">
        <v>3</v>
      </c>
      <c r="N97" s="78">
        <v>4</v>
      </c>
      <c r="O97" s="78">
        <v>0.65</v>
      </c>
      <c r="P97" s="78">
        <v>0.75</v>
      </c>
      <c r="Q97" s="44">
        <f t="shared" si="3"/>
        <v>0.7</v>
      </c>
      <c r="R97" s="78">
        <v>14.4</v>
      </c>
      <c r="S97" s="78">
        <v>99</v>
      </c>
      <c r="T97" s="16">
        <f t="shared" si="4"/>
        <v>33</v>
      </c>
      <c r="U97" s="78">
        <v>398</v>
      </c>
      <c r="V97" s="180">
        <f t="shared" si="5"/>
        <v>3283.5</v>
      </c>
      <c r="W97" s="78">
        <v>25</v>
      </c>
      <c r="X97" s="78" t="s">
        <v>35</v>
      </c>
      <c r="Y97" s="78" t="s">
        <v>43</v>
      </c>
      <c r="Z97" s="78" t="s">
        <v>55</v>
      </c>
      <c r="AA97" s="78" t="s">
        <v>64</v>
      </c>
      <c r="AB97" s="139" t="s">
        <v>381</v>
      </c>
    </row>
    <row r="98" spans="1:28" x14ac:dyDescent="0.15">
      <c r="A98" s="139" t="s">
        <v>48</v>
      </c>
      <c r="B98" s="139" t="s">
        <v>377</v>
      </c>
      <c r="C98" s="139">
        <v>2020</v>
      </c>
      <c r="D98" s="147" t="s">
        <v>378</v>
      </c>
      <c r="E98" s="139" t="s">
        <v>411</v>
      </c>
      <c r="F98" s="139" t="s">
        <v>393</v>
      </c>
      <c r="G98" s="139" t="s">
        <v>25</v>
      </c>
      <c r="H98" s="139" t="s">
        <v>113</v>
      </c>
      <c r="I98" s="78" t="s">
        <v>111</v>
      </c>
      <c r="J98" s="78" t="s">
        <v>27</v>
      </c>
      <c r="K98" s="78" t="s">
        <v>112</v>
      </c>
      <c r="L98" s="78">
        <v>1</v>
      </c>
      <c r="N98" s="78">
        <v>1</v>
      </c>
      <c r="O98" s="78">
        <v>0.8</v>
      </c>
      <c r="P98" s="78">
        <v>0.8</v>
      </c>
      <c r="Q98" s="44">
        <f t="shared" si="3"/>
        <v>0.8</v>
      </c>
      <c r="R98" s="78">
        <v>14.7</v>
      </c>
      <c r="S98" s="78">
        <v>83</v>
      </c>
      <c r="T98" s="16">
        <f t="shared" si="4"/>
        <v>39</v>
      </c>
      <c r="U98" s="78">
        <v>78</v>
      </c>
      <c r="V98" s="180">
        <f t="shared" si="5"/>
        <v>3042</v>
      </c>
      <c r="W98" s="78">
        <v>25</v>
      </c>
      <c r="X98" s="78" t="s">
        <v>35</v>
      </c>
      <c r="Y98" s="78" t="s">
        <v>43</v>
      </c>
      <c r="Z98" s="78" t="s">
        <v>55</v>
      </c>
      <c r="AA98" s="78" t="s">
        <v>64</v>
      </c>
      <c r="AB98" s="139" t="s">
        <v>381</v>
      </c>
    </row>
    <row r="99" spans="1:28" x14ac:dyDescent="0.15">
      <c r="A99" s="139" t="s">
        <v>48</v>
      </c>
      <c r="B99" s="139" t="s">
        <v>377</v>
      </c>
      <c r="C99" s="139">
        <v>2020</v>
      </c>
      <c r="D99" s="147" t="s">
        <v>378</v>
      </c>
      <c r="E99" s="139" t="s">
        <v>411</v>
      </c>
      <c r="F99" s="139" t="s">
        <v>393</v>
      </c>
      <c r="G99" s="139" t="s">
        <v>25</v>
      </c>
      <c r="H99" s="139" t="s">
        <v>113</v>
      </c>
      <c r="I99" s="78" t="s">
        <v>111</v>
      </c>
      <c r="J99" s="78" t="s">
        <v>27</v>
      </c>
      <c r="K99" s="78" t="s">
        <v>112</v>
      </c>
      <c r="L99" s="78">
        <v>2</v>
      </c>
      <c r="N99" s="78">
        <v>1</v>
      </c>
      <c r="O99" s="78">
        <v>1</v>
      </c>
      <c r="P99" s="78">
        <v>0.85</v>
      </c>
      <c r="Q99" s="44">
        <f t="shared" si="3"/>
        <v>0.92500000000000004</v>
      </c>
      <c r="R99" s="78">
        <v>13.5</v>
      </c>
      <c r="S99" s="78">
        <v>99</v>
      </c>
      <c r="T99" s="16">
        <f t="shared" si="4"/>
        <v>33</v>
      </c>
      <c r="U99" s="78">
        <v>78</v>
      </c>
      <c r="V99" s="180">
        <f t="shared" si="5"/>
        <v>2574</v>
      </c>
      <c r="W99" s="78">
        <v>25</v>
      </c>
      <c r="X99" s="78" t="s">
        <v>35</v>
      </c>
      <c r="Y99" s="78" t="s">
        <v>43</v>
      </c>
      <c r="Z99" s="78" t="s">
        <v>55</v>
      </c>
      <c r="AA99" s="78" t="s">
        <v>64</v>
      </c>
      <c r="AB99" s="139" t="s">
        <v>381</v>
      </c>
    </row>
    <row r="100" spans="1:28" x14ac:dyDescent="0.15">
      <c r="A100" s="139" t="s">
        <v>48</v>
      </c>
      <c r="B100" s="139" t="s">
        <v>377</v>
      </c>
      <c r="C100" s="139">
        <v>2020</v>
      </c>
      <c r="D100" s="147" t="s">
        <v>378</v>
      </c>
      <c r="E100" s="139" t="s">
        <v>411</v>
      </c>
      <c r="F100" s="139" t="s">
        <v>393</v>
      </c>
      <c r="G100" s="139" t="s">
        <v>25</v>
      </c>
      <c r="H100" s="139" t="s">
        <v>113</v>
      </c>
      <c r="I100" s="78" t="s">
        <v>111</v>
      </c>
      <c r="J100" s="78" t="s">
        <v>27</v>
      </c>
      <c r="K100" s="78" t="s">
        <v>112</v>
      </c>
      <c r="L100" s="78">
        <v>3</v>
      </c>
      <c r="N100" s="78">
        <v>1</v>
      </c>
      <c r="O100" s="78">
        <v>1</v>
      </c>
      <c r="P100" s="78">
        <v>1.05</v>
      </c>
      <c r="Q100" s="44">
        <f t="shared" si="3"/>
        <v>1.0249999999999999</v>
      </c>
      <c r="R100" s="78">
        <v>13.1</v>
      </c>
      <c r="S100" s="78">
        <v>103</v>
      </c>
      <c r="T100" s="16">
        <f t="shared" si="4"/>
        <v>33</v>
      </c>
      <c r="U100" s="78">
        <v>78</v>
      </c>
      <c r="V100" s="180">
        <f t="shared" si="5"/>
        <v>2574</v>
      </c>
      <c r="W100" s="78">
        <v>25</v>
      </c>
      <c r="X100" s="78" t="s">
        <v>35</v>
      </c>
      <c r="Y100" s="78" t="s">
        <v>43</v>
      </c>
      <c r="Z100" s="78" t="s">
        <v>55</v>
      </c>
      <c r="AA100" s="78" t="s">
        <v>64</v>
      </c>
      <c r="AB100" s="139" t="s">
        <v>381</v>
      </c>
    </row>
    <row r="101" spans="1:28" x14ac:dyDescent="0.15">
      <c r="A101" s="139" t="s">
        <v>48</v>
      </c>
      <c r="B101" s="139" t="s">
        <v>377</v>
      </c>
      <c r="C101" s="139">
        <v>2020</v>
      </c>
      <c r="D101" s="147" t="s">
        <v>378</v>
      </c>
      <c r="E101" s="139" t="s">
        <v>411</v>
      </c>
      <c r="F101" s="139" t="s">
        <v>393</v>
      </c>
      <c r="G101" s="139" t="s">
        <v>25</v>
      </c>
      <c r="H101" s="139" t="s">
        <v>113</v>
      </c>
      <c r="I101" s="78" t="s">
        <v>111</v>
      </c>
      <c r="J101" s="78" t="s">
        <v>27</v>
      </c>
      <c r="K101" s="78" t="s">
        <v>112</v>
      </c>
      <c r="L101" s="78">
        <v>1</v>
      </c>
      <c r="N101" s="78">
        <v>4</v>
      </c>
      <c r="O101" s="78">
        <v>0.55000000000000004</v>
      </c>
      <c r="P101" s="78">
        <v>0.6</v>
      </c>
      <c r="Q101" s="44">
        <f t="shared" si="3"/>
        <v>0.57499999999999996</v>
      </c>
      <c r="R101" s="78">
        <v>14.2</v>
      </c>
      <c r="S101" s="78">
        <v>94</v>
      </c>
      <c r="T101" s="16">
        <f t="shared" si="4"/>
        <v>36</v>
      </c>
      <c r="U101" s="78">
        <v>298</v>
      </c>
      <c r="V101" s="180">
        <f t="shared" si="5"/>
        <v>2682</v>
      </c>
      <c r="W101" s="78">
        <v>25</v>
      </c>
      <c r="X101" s="78" t="s">
        <v>35</v>
      </c>
      <c r="Y101" s="78" t="s">
        <v>43</v>
      </c>
      <c r="Z101" s="78" t="s">
        <v>55</v>
      </c>
      <c r="AA101" s="78" t="s">
        <v>64</v>
      </c>
      <c r="AB101" s="139" t="s">
        <v>381</v>
      </c>
    </row>
    <row r="102" spans="1:28" x14ac:dyDescent="0.15">
      <c r="A102" s="139" t="s">
        <v>48</v>
      </c>
      <c r="B102" s="139" t="s">
        <v>377</v>
      </c>
      <c r="C102" s="139">
        <v>2020</v>
      </c>
      <c r="D102" s="147" t="s">
        <v>378</v>
      </c>
      <c r="E102" s="139" t="s">
        <v>411</v>
      </c>
      <c r="F102" s="139" t="s">
        <v>393</v>
      </c>
      <c r="G102" s="139" t="s">
        <v>25</v>
      </c>
      <c r="H102" s="139" t="s">
        <v>113</v>
      </c>
      <c r="I102" s="78" t="s">
        <v>111</v>
      </c>
      <c r="J102" s="78" t="s">
        <v>27</v>
      </c>
      <c r="K102" s="78" t="s">
        <v>112</v>
      </c>
      <c r="L102" s="78">
        <v>2</v>
      </c>
      <c r="N102" s="78">
        <v>4</v>
      </c>
      <c r="O102" s="78">
        <v>0.5</v>
      </c>
      <c r="P102" s="78">
        <v>0.5</v>
      </c>
      <c r="Q102" s="44">
        <f t="shared" si="3"/>
        <v>0.5</v>
      </c>
      <c r="R102" s="78">
        <v>14</v>
      </c>
      <c r="S102" s="78">
        <v>96</v>
      </c>
      <c r="T102" s="16">
        <f t="shared" si="4"/>
        <v>36</v>
      </c>
      <c r="U102" s="78">
        <v>298</v>
      </c>
      <c r="V102" s="180">
        <f t="shared" si="5"/>
        <v>2682</v>
      </c>
      <c r="W102" s="78">
        <v>25</v>
      </c>
      <c r="X102" s="78" t="s">
        <v>35</v>
      </c>
      <c r="Y102" s="78" t="s">
        <v>43</v>
      </c>
      <c r="Z102" s="78" t="s">
        <v>55</v>
      </c>
      <c r="AA102" s="78" t="s">
        <v>64</v>
      </c>
      <c r="AB102" s="139" t="s">
        <v>381</v>
      </c>
    </row>
    <row r="103" spans="1:28" x14ac:dyDescent="0.15">
      <c r="A103" s="139" t="s">
        <v>48</v>
      </c>
      <c r="B103" s="139" t="s">
        <v>377</v>
      </c>
      <c r="C103" s="139">
        <v>2020</v>
      </c>
      <c r="D103" s="147" t="s">
        <v>378</v>
      </c>
      <c r="E103" s="139" t="s">
        <v>411</v>
      </c>
      <c r="F103" s="139" t="s">
        <v>393</v>
      </c>
      <c r="G103" s="139" t="s">
        <v>25</v>
      </c>
      <c r="H103" s="139" t="s">
        <v>113</v>
      </c>
      <c r="I103" s="78" t="s">
        <v>111</v>
      </c>
      <c r="J103" s="78" t="s">
        <v>27</v>
      </c>
      <c r="K103" s="78" t="s">
        <v>112</v>
      </c>
      <c r="L103" s="78">
        <v>3</v>
      </c>
      <c r="N103" s="78">
        <v>4</v>
      </c>
      <c r="O103" s="78">
        <v>0.75</v>
      </c>
      <c r="P103" s="78">
        <v>0.8</v>
      </c>
      <c r="Q103" s="44">
        <f t="shared" si="3"/>
        <v>0.77500000000000002</v>
      </c>
      <c r="R103" s="78">
        <v>13.5</v>
      </c>
      <c r="S103" s="78">
        <v>101</v>
      </c>
      <c r="T103" s="16">
        <f t="shared" si="4"/>
        <v>33</v>
      </c>
      <c r="U103" s="78">
        <v>298</v>
      </c>
      <c r="V103" s="180">
        <f t="shared" si="5"/>
        <v>2458.5</v>
      </c>
      <c r="W103" s="78">
        <v>25</v>
      </c>
      <c r="X103" s="78" t="s">
        <v>35</v>
      </c>
      <c r="Y103" s="78" t="s">
        <v>43</v>
      </c>
      <c r="Z103" s="78" t="s">
        <v>55</v>
      </c>
      <c r="AA103" s="78" t="s">
        <v>64</v>
      </c>
      <c r="AB103" s="139" t="s">
        <v>381</v>
      </c>
    </row>
    <row r="104" spans="1:28" x14ac:dyDescent="0.15">
      <c r="A104" s="139" t="s">
        <v>48</v>
      </c>
      <c r="B104" s="139" t="s">
        <v>377</v>
      </c>
      <c r="C104" s="139">
        <v>2020</v>
      </c>
      <c r="D104" s="147" t="s">
        <v>378</v>
      </c>
      <c r="E104" s="139" t="s">
        <v>411</v>
      </c>
      <c r="F104" s="139" t="s">
        <v>393</v>
      </c>
      <c r="G104" s="139" t="s">
        <v>25</v>
      </c>
      <c r="H104" s="139" t="s">
        <v>113</v>
      </c>
      <c r="I104" s="78" t="s">
        <v>111</v>
      </c>
      <c r="J104" s="78" t="s">
        <v>27</v>
      </c>
      <c r="K104" s="78" t="s">
        <v>112</v>
      </c>
      <c r="L104" s="78">
        <v>1</v>
      </c>
      <c r="N104" s="78">
        <v>12</v>
      </c>
      <c r="O104" s="78">
        <v>0.85</v>
      </c>
      <c r="P104" s="78">
        <v>0.5</v>
      </c>
      <c r="Q104" s="44">
        <f t="shared" si="3"/>
        <v>0.67500000000000004</v>
      </c>
      <c r="R104" s="78">
        <v>13.9</v>
      </c>
      <c r="S104" s="78">
        <v>91</v>
      </c>
      <c r="T104" s="16">
        <f t="shared" si="4"/>
        <v>36</v>
      </c>
      <c r="U104" s="78">
        <v>798</v>
      </c>
      <c r="V104" s="180">
        <f t="shared" si="5"/>
        <v>2394</v>
      </c>
      <c r="W104" s="78">
        <v>25</v>
      </c>
      <c r="X104" s="78" t="s">
        <v>35</v>
      </c>
      <c r="Y104" s="78" t="s">
        <v>43</v>
      </c>
      <c r="Z104" s="78" t="s">
        <v>55</v>
      </c>
      <c r="AA104" s="78" t="s">
        <v>64</v>
      </c>
      <c r="AB104" s="139" t="s">
        <v>381</v>
      </c>
    </row>
    <row r="105" spans="1:28" x14ac:dyDescent="0.15">
      <c r="A105" s="139" t="s">
        <v>48</v>
      </c>
      <c r="B105" s="139" t="s">
        <v>377</v>
      </c>
      <c r="C105" s="139">
        <v>2020</v>
      </c>
      <c r="D105" s="147" t="s">
        <v>378</v>
      </c>
      <c r="E105" s="139" t="s">
        <v>411</v>
      </c>
      <c r="F105" s="139" t="s">
        <v>393</v>
      </c>
      <c r="G105" s="139" t="s">
        <v>25</v>
      </c>
      <c r="H105" s="139" t="s">
        <v>113</v>
      </c>
      <c r="I105" s="78" t="s">
        <v>111</v>
      </c>
      <c r="J105" s="78" t="s">
        <v>27</v>
      </c>
      <c r="K105" s="78" t="s">
        <v>112</v>
      </c>
      <c r="L105" s="78">
        <v>2</v>
      </c>
      <c r="N105" s="78">
        <v>12</v>
      </c>
      <c r="O105" s="78">
        <v>1</v>
      </c>
      <c r="P105" s="78">
        <v>0.6</v>
      </c>
      <c r="Q105" s="44">
        <f t="shared" si="3"/>
        <v>0.8</v>
      </c>
      <c r="R105" s="78">
        <v>12.4</v>
      </c>
      <c r="S105" s="78">
        <v>94</v>
      </c>
      <c r="T105" s="16">
        <f t="shared" si="4"/>
        <v>36</v>
      </c>
      <c r="U105" s="78">
        <v>798</v>
      </c>
      <c r="V105" s="180">
        <f t="shared" si="5"/>
        <v>2394</v>
      </c>
      <c r="W105" s="78">
        <v>25</v>
      </c>
      <c r="X105" s="78" t="s">
        <v>35</v>
      </c>
      <c r="Y105" s="78" t="s">
        <v>43</v>
      </c>
      <c r="Z105" s="78" t="s">
        <v>55</v>
      </c>
      <c r="AA105" s="78" t="s">
        <v>64</v>
      </c>
      <c r="AB105" s="139" t="s">
        <v>381</v>
      </c>
    </row>
    <row r="106" spans="1:28" x14ac:dyDescent="0.15">
      <c r="A106" s="139" t="s">
        <v>48</v>
      </c>
      <c r="B106" s="139" t="s">
        <v>377</v>
      </c>
      <c r="C106" s="139">
        <v>2020</v>
      </c>
      <c r="D106" s="147" t="s">
        <v>378</v>
      </c>
      <c r="E106" s="139" t="s">
        <v>411</v>
      </c>
      <c r="F106" s="139" t="s">
        <v>393</v>
      </c>
      <c r="G106" s="139" t="s">
        <v>25</v>
      </c>
      <c r="H106" s="139" t="s">
        <v>113</v>
      </c>
      <c r="I106" s="78" t="s">
        <v>111</v>
      </c>
      <c r="J106" s="78" t="s">
        <v>27</v>
      </c>
      <c r="K106" s="78" t="s">
        <v>112</v>
      </c>
      <c r="L106" s="78">
        <v>3</v>
      </c>
      <c r="N106" s="78">
        <v>12</v>
      </c>
      <c r="O106" s="78">
        <v>0.95</v>
      </c>
      <c r="P106" s="78">
        <v>0.9</v>
      </c>
      <c r="Q106" s="44">
        <f t="shared" si="3"/>
        <v>0.92500000000000004</v>
      </c>
      <c r="R106" s="78">
        <v>14.2</v>
      </c>
      <c r="S106" s="78">
        <v>90</v>
      </c>
      <c r="T106" s="16">
        <f t="shared" si="4"/>
        <v>36</v>
      </c>
      <c r="U106" s="78">
        <v>798</v>
      </c>
      <c r="V106" s="180">
        <f t="shared" si="5"/>
        <v>2394</v>
      </c>
      <c r="W106" s="78">
        <v>25</v>
      </c>
      <c r="X106" s="78" t="s">
        <v>35</v>
      </c>
      <c r="Y106" s="78" t="s">
        <v>43</v>
      </c>
      <c r="Z106" s="78" t="s">
        <v>55</v>
      </c>
      <c r="AA106" s="78" t="s">
        <v>64</v>
      </c>
      <c r="AB106" s="139" t="s">
        <v>381</v>
      </c>
    </row>
    <row r="107" spans="1:28" x14ac:dyDescent="0.15">
      <c r="A107" s="139" t="s">
        <v>48</v>
      </c>
      <c r="B107" s="139" t="s">
        <v>377</v>
      </c>
      <c r="C107" s="139">
        <v>2020</v>
      </c>
      <c r="D107" s="147" t="s">
        <v>378</v>
      </c>
      <c r="E107" s="139" t="s">
        <v>411</v>
      </c>
      <c r="F107" s="139" t="s">
        <v>393</v>
      </c>
      <c r="G107" s="139" t="s">
        <v>25</v>
      </c>
      <c r="H107" s="139" t="s">
        <v>167</v>
      </c>
      <c r="I107" s="78" t="s">
        <v>111</v>
      </c>
      <c r="J107" s="78" t="s">
        <v>27</v>
      </c>
      <c r="K107" s="78" t="s">
        <v>112</v>
      </c>
      <c r="L107" s="78">
        <v>1</v>
      </c>
      <c r="N107" s="78">
        <v>12</v>
      </c>
      <c r="O107" s="78">
        <v>0.6</v>
      </c>
      <c r="P107" s="78">
        <v>0.7</v>
      </c>
      <c r="Q107" s="44">
        <f t="shared" si="3"/>
        <v>0.64999999999999991</v>
      </c>
      <c r="R107" s="78">
        <v>14.9</v>
      </c>
      <c r="S107" s="78">
        <v>83</v>
      </c>
      <c r="T107" s="16">
        <f t="shared" si="4"/>
        <v>39</v>
      </c>
      <c r="U107" s="78">
        <v>1080</v>
      </c>
      <c r="V107" s="180">
        <f t="shared" si="5"/>
        <v>3510</v>
      </c>
      <c r="W107" s="78">
        <v>25</v>
      </c>
      <c r="X107" s="78" t="s">
        <v>35</v>
      </c>
      <c r="Y107" s="78" t="s">
        <v>43</v>
      </c>
      <c r="Z107" s="78" t="s">
        <v>55</v>
      </c>
      <c r="AA107" s="78" t="s">
        <v>64</v>
      </c>
      <c r="AB107" s="139" t="s">
        <v>381</v>
      </c>
    </row>
    <row r="108" spans="1:28" x14ac:dyDescent="0.15">
      <c r="A108" s="139" t="s">
        <v>48</v>
      </c>
      <c r="B108" s="139" t="s">
        <v>377</v>
      </c>
      <c r="C108" s="139">
        <v>2020</v>
      </c>
      <c r="D108" s="147" t="s">
        <v>378</v>
      </c>
      <c r="E108" s="139" t="s">
        <v>411</v>
      </c>
      <c r="F108" s="139" t="s">
        <v>393</v>
      </c>
      <c r="G108" s="139" t="s">
        <v>25</v>
      </c>
      <c r="H108" s="139" t="s">
        <v>167</v>
      </c>
      <c r="I108" s="78" t="s">
        <v>111</v>
      </c>
      <c r="J108" s="78" t="s">
        <v>27</v>
      </c>
      <c r="K108" s="78" t="s">
        <v>112</v>
      </c>
      <c r="L108" s="78">
        <v>2</v>
      </c>
      <c r="N108" s="78">
        <v>12</v>
      </c>
      <c r="O108" s="78">
        <v>0.7</v>
      </c>
      <c r="P108" s="78">
        <v>0.65</v>
      </c>
      <c r="Q108" s="44">
        <f t="shared" si="3"/>
        <v>0.67500000000000004</v>
      </c>
      <c r="R108" s="78">
        <v>15</v>
      </c>
      <c r="S108" s="78">
        <v>84</v>
      </c>
      <c r="T108" s="16">
        <f t="shared" si="4"/>
        <v>36</v>
      </c>
      <c r="U108" s="78">
        <v>1080</v>
      </c>
      <c r="V108" s="180">
        <f t="shared" si="5"/>
        <v>3240</v>
      </c>
      <c r="W108" s="78">
        <v>25</v>
      </c>
      <c r="X108" s="78" t="s">
        <v>35</v>
      </c>
      <c r="Y108" s="78" t="s">
        <v>43</v>
      </c>
      <c r="Z108" s="78" t="s">
        <v>55</v>
      </c>
      <c r="AA108" s="78" t="s">
        <v>64</v>
      </c>
      <c r="AB108" s="139" t="s">
        <v>381</v>
      </c>
    </row>
    <row r="109" spans="1:28" x14ac:dyDescent="0.15">
      <c r="A109" s="139" t="s">
        <v>48</v>
      </c>
      <c r="B109" s="139" t="s">
        <v>377</v>
      </c>
      <c r="C109" s="139">
        <v>2020</v>
      </c>
      <c r="D109" s="147" t="s">
        <v>378</v>
      </c>
      <c r="E109" s="139" t="s">
        <v>411</v>
      </c>
      <c r="F109" s="139" t="s">
        <v>393</v>
      </c>
      <c r="G109" s="139" t="s">
        <v>25</v>
      </c>
      <c r="H109" s="139" t="s">
        <v>167</v>
      </c>
      <c r="I109" s="78" t="s">
        <v>111</v>
      </c>
      <c r="J109" s="78" t="s">
        <v>27</v>
      </c>
      <c r="K109" s="78" t="s">
        <v>112</v>
      </c>
      <c r="L109" s="78">
        <v>3</v>
      </c>
      <c r="N109" s="78">
        <v>12</v>
      </c>
      <c r="O109" s="78">
        <v>0.75</v>
      </c>
      <c r="P109" s="78">
        <v>0.75</v>
      </c>
      <c r="Q109" s="44">
        <f t="shared" si="3"/>
        <v>0.75</v>
      </c>
      <c r="R109" s="78">
        <v>14.3</v>
      </c>
      <c r="S109" s="78">
        <v>85</v>
      </c>
      <c r="T109" s="16">
        <f t="shared" si="4"/>
        <v>36</v>
      </c>
      <c r="U109" s="78">
        <v>1080</v>
      </c>
      <c r="V109" s="180">
        <f t="shared" si="5"/>
        <v>3240</v>
      </c>
      <c r="W109" s="78">
        <v>25</v>
      </c>
      <c r="X109" s="78" t="s">
        <v>35</v>
      </c>
      <c r="Y109" s="78" t="s">
        <v>43</v>
      </c>
      <c r="Z109" s="78" t="s">
        <v>55</v>
      </c>
      <c r="AA109" s="78" t="s">
        <v>64</v>
      </c>
      <c r="AB109" s="139" t="s">
        <v>381</v>
      </c>
    </row>
    <row r="110" spans="1:28" x14ac:dyDescent="0.15">
      <c r="A110" s="139" t="s">
        <v>48</v>
      </c>
      <c r="B110" s="139" t="s">
        <v>377</v>
      </c>
      <c r="C110" s="139">
        <v>2020</v>
      </c>
      <c r="D110" s="147" t="s">
        <v>378</v>
      </c>
      <c r="E110" s="139" t="s">
        <v>411</v>
      </c>
      <c r="F110" s="139" t="s">
        <v>393</v>
      </c>
      <c r="G110" s="139" t="s">
        <v>25</v>
      </c>
      <c r="H110" s="139" t="s">
        <v>167</v>
      </c>
      <c r="I110" s="78" t="s">
        <v>166</v>
      </c>
      <c r="J110" s="78" t="s">
        <v>27</v>
      </c>
      <c r="K110" s="78" t="s">
        <v>112</v>
      </c>
      <c r="L110" s="78">
        <v>1</v>
      </c>
      <c r="N110" s="78">
        <v>4</v>
      </c>
      <c r="O110" s="78">
        <v>0.7</v>
      </c>
      <c r="P110" s="78">
        <v>0.55000000000000004</v>
      </c>
      <c r="Q110" s="44">
        <f t="shared" si="3"/>
        <v>0.625</v>
      </c>
      <c r="R110" s="78">
        <v>14.9</v>
      </c>
      <c r="S110" s="78">
        <v>113</v>
      </c>
      <c r="T110" s="16">
        <f t="shared" si="4"/>
        <v>30</v>
      </c>
      <c r="U110" s="78">
        <v>498</v>
      </c>
      <c r="V110" s="180">
        <f t="shared" si="5"/>
        <v>3735</v>
      </c>
      <c r="W110" s="78">
        <v>25</v>
      </c>
      <c r="X110" s="78" t="s">
        <v>35</v>
      </c>
      <c r="Y110" s="78" t="s">
        <v>43</v>
      </c>
      <c r="Z110" s="78" t="s">
        <v>55</v>
      </c>
      <c r="AA110" s="78" t="s">
        <v>64</v>
      </c>
      <c r="AB110" s="139" t="s">
        <v>381</v>
      </c>
    </row>
    <row r="111" spans="1:28" x14ac:dyDescent="0.15">
      <c r="A111" s="139" t="s">
        <v>48</v>
      </c>
      <c r="B111" s="139" t="s">
        <v>377</v>
      </c>
      <c r="C111" s="139">
        <v>2020</v>
      </c>
      <c r="D111" s="147" t="s">
        <v>378</v>
      </c>
      <c r="E111" s="139" t="s">
        <v>411</v>
      </c>
      <c r="F111" s="139" t="s">
        <v>393</v>
      </c>
      <c r="G111" s="139" t="s">
        <v>25</v>
      </c>
      <c r="H111" s="139" t="s">
        <v>167</v>
      </c>
      <c r="I111" s="78" t="s">
        <v>166</v>
      </c>
      <c r="J111" s="78" t="s">
        <v>27</v>
      </c>
      <c r="K111" s="78" t="s">
        <v>112</v>
      </c>
      <c r="L111" s="78">
        <v>2</v>
      </c>
      <c r="N111" s="78">
        <v>4</v>
      </c>
      <c r="O111" s="78">
        <v>0.5</v>
      </c>
      <c r="P111" s="78">
        <v>0.5</v>
      </c>
      <c r="Q111" s="44">
        <f t="shared" si="3"/>
        <v>0.5</v>
      </c>
      <c r="R111" s="78">
        <v>14.9</v>
      </c>
      <c r="S111" s="78">
        <v>115</v>
      </c>
      <c r="T111" s="16">
        <f t="shared" si="4"/>
        <v>30</v>
      </c>
      <c r="U111" s="78">
        <v>498</v>
      </c>
      <c r="V111" s="180">
        <f t="shared" si="5"/>
        <v>3735</v>
      </c>
      <c r="W111" s="78">
        <v>25</v>
      </c>
      <c r="X111" s="78" t="s">
        <v>35</v>
      </c>
      <c r="Y111" s="78" t="s">
        <v>43</v>
      </c>
      <c r="Z111" s="78" t="s">
        <v>55</v>
      </c>
      <c r="AA111" s="78" t="s">
        <v>64</v>
      </c>
      <c r="AB111" s="139" t="s">
        <v>381</v>
      </c>
    </row>
    <row r="112" spans="1:28" x14ac:dyDescent="0.15">
      <c r="A112" s="139" t="s">
        <v>48</v>
      </c>
      <c r="B112" s="139" t="s">
        <v>377</v>
      </c>
      <c r="C112" s="139">
        <v>2020</v>
      </c>
      <c r="D112" s="147" t="s">
        <v>378</v>
      </c>
      <c r="E112" s="139" t="s">
        <v>411</v>
      </c>
      <c r="F112" s="139" t="s">
        <v>393</v>
      </c>
      <c r="G112" s="139" t="s">
        <v>25</v>
      </c>
      <c r="H112" s="139" t="s">
        <v>167</v>
      </c>
      <c r="I112" s="78" t="s">
        <v>166</v>
      </c>
      <c r="J112" s="78" t="s">
        <v>27</v>
      </c>
      <c r="K112" s="78" t="s">
        <v>112</v>
      </c>
      <c r="L112" s="78">
        <v>3</v>
      </c>
      <c r="N112" s="78">
        <v>4</v>
      </c>
      <c r="O112" s="78">
        <v>0.55000000000000004</v>
      </c>
      <c r="P112" s="78">
        <v>0.55000000000000004</v>
      </c>
      <c r="Q112" s="44">
        <f t="shared" si="3"/>
        <v>0.55000000000000004</v>
      </c>
      <c r="R112" s="78">
        <v>15.1</v>
      </c>
      <c r="S112" s="78">
        <v>106</v>
      </c>
      <c r="T112" s="16">
        <f t="shared" si="4"/>
        <v>33</v>
      </c>
      <c r="U112" s="78">
        <v>498</v>
      </c>
      <c r="V112" s="180">
        <f t="shared" si="5"/>
        <v>4108.5</v>
      </c>
      <c r="W112" s="78">
        <v>25</v>
      </c>
      <c r="X112" s="78" t="s">
        <v>35</v>
      </c>
      <c r="Y112" s="78" t="s">
        <v>43</v>
      </c>
      <c r="Z112" s="78" t="s">
        <v>55</v>
      </c>
      <c r="AA112" s="78" t="s">
        <v>64</v>
      </c>
      <c r="AB112" s="139" t="s">
        <v>381</v>
      </c>
    </row>
    <row r="113" spans="1:28" x14ac:dyDescent="0.15">
      <c r="A113" s="139" t="s">
        <v>48</v>
      </c>
      <c r="B113" s="139" t="s">
        <v>377</v>
      </c>
      <c r="C113" s="139">
        <v>2020</v>
      </c>
      <c r="D113" s="147" t="s">
        <v>378</v>
      </c>
      <c r="E113" s="139" t="s">
        <v>411</v>
      </c>
      <c r="F113" s="139" t="s">
        <v>393</v>
      </c>
      <c r="G113" s="139" t="s">
        <v>25</v>
      </c>
      <c r="H113" s="139" t="s">
        <v>113</v>
      </c>
      <c r="I113" s="78" t="s">
        <v>166</v>
      </c>
      <c r="J113" s="78" t="s">
        <v>27</v>
      </c>
      <c r="K113" s="78" t="s">
        <v>112</v>
      </c>
      <c r="L113" s="78">
        <v>1</v>
      </c>
      <c r="N113" s="78">
        <v>5</v>
      </c>
      <c r="O113" s="78">
        <v>0.8</v>
      </c>
      <c r="P113" s="78">
        <v>0.7</v>
      </c>
      <c r="Q113" s="16">
        <f t="shared" si="3"/>
        <v>0.75</v>
      </c>
      <c r="R113" s="78">
        <v>14.7</v>
      </c>
      <c r="S113" s="78">
        <v>73</v>
      </c>
      <c r="T113" s="16">
        <f t="shared" si="4"/>
        <v>42</v>
      </c>
      <c r="U113" s="78">
        <v>398</v>
      </c>
      <c r="V113" s="16">
        <f t="shared" si="5"/>
        <v>3343.2</v>
      </c>
      <c r="W113" s="78">
        <v>25</v>
      </c>
      <c r="X113" s="78" t="s">
        <v>35</v>
      </c>
      <c r="Y113" s="78" t="s">
        <v>43</v>
      </c>
      <c r="Z113" s="78" t="s">
        <v>55</v>
      </c>
      <c r="AA113" s="78" t="s">
        <v>64</v>
      </c>
      <c r="AB113" s="139" t="s">
        <v>381</v>
      </c>
    </row>
    <row r="114" spans="1:28" x14ac:dyDescent="0.15">
      <c r="A114" s="139" t="s">
        <v>48</v>
      </c>
      <c r="B114" s="139" t="s">
        <v>377</v>
      </c>
      <c r="C114" s="139">
        <v>2020</v>
      </c>
      <c r="D114" s="147" t="s">
        <v>378</v>
      </c>
      <c r="E114" s="139" t="s">
        <v>411</v>
      </c>
      <c r="F114" s="139" t="s">
        <v>393</v>
      </c>
      <c r="G114" s="139" t="s">
        <v>25</v>
      </c>
      <c r="H114" s="139" t="s">
        <v>113</v>
      </c>
      <c r="I114" s="78" t="s">
        <v>166</v>
      </c>
      <c r="J114" s="78" t="s">
        <v>27</v>
      </c>
      <c r="K114" s="78" t="s">
        <v>112</v>
      </c>
      <c r="L114" s="78">
        <v>2</v>
      </c>
      <c r="N114" s="78">
        <v>5</v>
      </c>
      <c r="O114" s="78">
        <v>0.75</v>
      </c>
      <c r="P114" s="78">
        <v>0.8</v>
      </c>
      <c r="Q114" s="16">
        <f t="shared" si="3"/>
        <v>0.77500000000000002</v>
      </c>
      <c r="R114" s="78">
        <v>15.1</v>
      </c>
      <c r="S114" s="78">
        <v>73</v>
      </c>
      <c r="T114" s="16">
        <f t="shared" si="4"/>
        <v>42</v>
      </c>
      <c r="U114" s="78">
        <v>398</v>
      </c>
      <c r="V114" s="16">
        <f t="shared" si="5"/>
        <v>3343.2</v>
      </c>
      <c r="W114" s="78">
        <v>25</v>
      </c>
      <c r="X114" s="78" t="s">
        <v>35</v>
      </c>
      <c r="Y114" s="78" t="s">
        <v>43</v>
      </c>
      <c r="Z114" s="78" t="s">
        <v>55</v>
      </c>
      <c r="AA114" s="78" t="s">
        <v>64</v>
      </c>
      <c r="AB114" s="139" t="s">
        <v>381</v>
      </c>
    </row>
    <row r="115" spans="1:28" x14ac:dyDescent="0.15">
      <c r="A115" s="139" t="s">
        <v>48</v>
      </c>
      <c r="B115" s="139" t="s">
        <v>377</v>
      </c>
      <c r="C115" s="139">
        <v>2020</v>
      </c>
      <c r="D115" s="147" t="s">
        <v>378</v>
      </c>
      <c r="E115" s="139" t="s">
        <v>411</v>
      </c>
      <c r="F115" s="139" t="s">
        <v>393</v>
      </c>
      <c r="G115" s="139" t="s">
        <v>25</v>
      </c>
      <c r="H115" s="139" t="s">
        <v>113</v>
      </c>
      <c r="I115" s="78" t="s">
        <v>166</v>
      </c>
      <c r="J115" s="78" t="s">
        <v>27</v>
      </c>
      <c r="K115" s="78" t="s">
        <v>112</v>
      </c>
      <c r="L115" s="78">
        <v>3</v>
      </c>
      <c r="N115" s="78">
        <v>5</v>
      </c>
      <c r="O115" s="78">
        <v>0.75</v>
      </c>
      <c r="P115" s="78">
        <v>0.7</v>
      </c>
      <c r="Q115" s="16">
        <f t="shared" si="3"/>
        <v>0.72499999999999998</v>
      </c>
      <c r="R115" s="78">
        <v>15.3</v>
      </c>
      <c r="S115" s="78">
        <v>81</v>
      </c>
      <c r="T115" s="16">
        <f t="shared" si="4"/>
        <v>39</v>
      </c>
      <c r="U115" s="78">
        <v>398</v>
      </c>
      <c r="V115" s="16">
        <f t="shared" si="5"/>
        <v>3104.3999999999996</v>
      </c>
      <c r="W115" s="78">
        <v>25</v>
      </c>
      <c r="X115" s="78" t="s">
        <v>35</v>
      </c>
      <c r="Y115" s="78" t="s">
        <v>43</v>
      </c>
      <c r="Z115" s="78" t="s">
        <v>55</v>
      </c>
      <c r="AA115" s="78" t="s">
        <v>64</v>
      </c>
      <c r="AB115" s="139" t="s">
        <v>381</v>
      </c>
    </row>
    <row r="116" spans="1:28" x14ac:dyDescent="0.15">
      <c r="A116" s="139" t="s">
        <v>48</v>
      </c>
      <c r="B116" s="139" t="s">
        <v>377</v>
      </c>
      <c r="C116" s="139">
        <v>2020</v>
      </c>
      <c r="D116" s="147" t="s">
        <v>378</v>
      </c>
      <c r="E116" s="139" t="s">
        <v>412</v>
      </c>
      <c r="F116" s="139" t="s">
        <v>395</v>
      </c>
      <c r="G116" s="139" t="s">
        <v>25</v>
      </c>
      <c r="H116" s="139" t="s">
        <v>167</v>
      </c>
      <c r="I116" s="78" t="s">
        <v>111</v>
      </c>
      <c r="J116" s="78" t="s">
        <v>27</v>
      </c>
      <c r="K116" s="78" t="s">
        <v>112</v>
      </c>
      <c r="L116" s="78">
        <v>1</v>
      </c>
      <c r="N116" s="78">
        <v>1</v>
      </c>
      <c r="O116" s="78">
        <v>0.85</v>
      </c>
      <c r="P116" s="78">
        <v>0.7</v>
      </c>
      <c r="Q116" s="16">
        <f t="shared" si="3"/>
        <v>0.77499999999999991</v>
      </c>
      <c r="R116" s="78">
        <v>14.5</v>
      </c>
      <c r="S116" s="78">
        <v>141</v>
      </c>
      <c r="T116" s="16">
        <f t="shared" si="4"/>
        <v>22</v>
      </c>
      <c r="U116" s="78">
        <v>138</v>
      </c>
      <c r="V116" s="16">
        <f t="shared" si="5"/>
        <v>3036</v>
      </c>
      <c r="W116" s="78">
        <v>14</v>
      </c>
      <c r="X116" s="78" t="s">
        <v>35</v>
      </c>
      <c r="Y116" s="78" t="s">
        <v>43</v>
      </c>
      <c r="Z116" s="78" t="s">
        <v>55</v>
      </c>
      <c r="AA116" s="78" t="s">
        <v>76</v>
      </c>
      <c r="AB116" s="139" t="s">
        <v>381</v>
      </c>
    </row>
    <row r="117" spans="1:28" x14ac:dyDescent="0.15">
      <c r="A117" s="139" t="s">
        <v>48</v>
      </c>
      <c r="B117" s="139" t="s">
        <v>377</v>
      </c>
      <c r="C117" s="139">
        <v>2020</v>
      </c>
      <c r="D117" s="147" t="s">
        <v>378</v>
      </c>
      <c r="E117" s="139" t="s">
        <v>412</v>
      </c>
      <c r="F117" s="139" t="s">
        <v>395</v>
      </c>
      <c r="G117" s="139" t="s">
        <v>25</v>
      </c>
      <c r="H117" s="139" t="s">
        <v>167</v>
      </c>
      <c r="I117" s="78" t="s">
        <v>111</v>
      </c>
      <c r="J117" s="78" t="s">
        <v>27</v>
      </c>
      <c r="K117" s="78" t="s">
        <v>112</v>
      </c>
      <c r="L117" s="78">
        <v>2</v>
      </c>
      <c r="N117" s="78">
        <v>1</v>
      </c>
      <c r="O117" s="78">
        <v>0.65</v>
      </c>
      <c r="P117" s="78">
        <v>0.55000000000000004</v>
      </c>
      <c r="Q117" s="16">
        <f t="shared" si="3"/>
        <v>0.60000000000000009</v>
      </c>
      <c r="R117" s="78">
        <v>14.4</v>
      </c>
      <c r="S117" s="78">
        <v>137</v>
      </c>
      <c r="T117" s="16">
        <f t="shared" si="4"/>
        <v>25</v>
      </c>
      <c r="U117" s="78">
        <v>138</v>
      </c>
      <c r="V117" s="16">
        <f t="shared" si="5"/>
        <v>3450</v>
      </c>
      <c r="W117" s="78">
        <v>14</v>
      </c>
      <c r="X117" s="78" t="s">
        <v>35</v>
      </c>
      <c r="Y117" s="78" t="s">
        <v>43</v>
      </c>
      <c r="Z117" s="78" t="s">
        <v>55</v>
      </c>
      <c r="AA117" s="78" t="s">
        <v>76</v>
      </c>
      <c r="AB117" s="139" t="s">
        <v>381</v>
      </c>
    </row>
    <row r="118" spans="1:28" x14ac:dyDescent="0.15">
      <c r="A118" s="139" t="s">
        <v>48</v>
      </c>
      <c r="B118" s="139" t="s">
        <v>377</v>
      </c>
      <c r="C118" s="139">
        <v>2020</v>
      </c>
      <c r="D118" s="147" t="s">
        <v>378</v>
      </c>
      <c r="E118" s="139" t="s">
        <v>412</v>
      </c>
      <c r="F118" s="139" t="s">
        <v>395</v>
      </c>
      <c r="G118" s="139" t="s">
        <v>25</v>
      </c>
      <c r="H118" s="139" t="s">
        <v>167</v>
      </c>
      <c r="I118" s="78" t="s">
        <v>111</v>
      </c>
      <c r="J118" s="78" t="s">
        <v>27</v>
      </c>
      <c r="K118" s="78" t="s">
        <v>112</v>
      </c>
      <c r="L118" s="78">
        <v>3</v>
      </c>
      <c r="N118" s="78">
        <v>1</v>
      </c>
      <c r="O118" s="78">
        <v>0.55000000000000004</v>
      </c>
      <c r="P118" s="78">
        <v>0.55000000000000004</v>
      </c>
      <c r="Q118" s="16">
        <f t="shared" si="3"/>
        <v>0.55000000000000004</v>
      </c>
      <c r="R118" s="78">
        <v>15.1</v>
      </c>
      <c r="S118" s="78">
        <v>138</v>
      </c>
      <c r="T118" s="16">
        <f t="shared" si="4"/>
        <v>22</v>
      </c>
      <c r="U118" s="78">
        <v>138</v>
      </c>
      <c r="V118" s="16">
        <f t="shared" si="5"/>
        <v>3036</v>
      </c>
      <c r="W118" s="78">
        <v>14</v>
      </c>
      <c r="X118" s="78" t="s">
        <v>35</v>
      </c>
      <c r="Y118" s="78" t="s">
        <v>43</v>
      </c>
      <c r="Z118" s="78" t="s">
        <v>55</v>
      </c>
      <c r="AA118" s="78" t="s">
        <v>76</v>
      </c>
      <c r="AB118" s="139" t="s">
        <v>381</v>
      </c>
    </row>
    <row r="119" spans="1:28" x14ac:dyDescent="0.15">
      <c r="A119" s="139" t="s">
        <v>48</v>
      </c>
      <c r="B119" s="139" t="s">
        <v>377</v>
      </c>
      <c r="C119" s="139">
        <v>2020</v>
      </c>
      <c r="D119" s="147" t="s">
        <v>378</v>
      </c>
      <c r="E119" s="139" t="s">
        <v>412</v>
      </c>
      <c r="F119" s="139" t="s">
        <v>395</v>
      </c>
      <c r="G119" s="139" t="s">
        <v>25</v>
      </c>
      <c r="H119" s="139" t="s">
        <v>167</v>
      </c>
      <c r="I119" s="78" t="s">
        <v>111</v>
      </c>
      <c r="J119" s="78" t="s">
        <v>27</v>
      </c>
      <c r="K119" s="78" t="s">
        <v>112</v>
      </c>
      <c r="L119" s="78">
        <v>1</v>
      </c>
      <c r="N119" s="78">
        <v>3</v>
      </c>
      <c r="O119" s="78">
        <v>0.55000000000000004</v>
      </c>
      <c r="P119" s="78">
        <v>0.6</v>
      </c>
      <c r="Q119" s="16">
        <f t="shared" si="3"/>
        <v>0.57499999999999996</v>
      </c>
      <c r="R119" s="78">
        <v>15.5</v>
      </c>
      <c r="S119" s="78">
        <v>132</v>
      </c>
      <c r="T119" s="16">
        <f t="shared" si="4"/>
        <v>25</v>
      </c>
      <c r="U119" s="78">
        <v>398</v>
      </c>
      <c r="V119" s="16">
        <f t="shared" si="5"/>
        <v>3316.6666666666665</v>
      </c>
      <c r="W119" s="78">
        <v>14</v>
      </c>
      <c r="X119" s="78" t="s">
        <v>35</v>
      </c>
      <c r="Y119" s="78" t="s">
        <v>43</v>
      </c>
      <c r="Z119" s="78" t="s">
        <v>55</v>
      </c>
      <c r="AA119" s="78" t="s">
        <v>76</v>
      </c>
      <c r="AB119" s="139" t="s">
        <v>381</v>
      </c>
    </row>
    <row r="120" spans="1:28" x14ac:dyDescent="0.15">
      <c r="A120" s="139" t="s">
        <v>48</v>
      </c>
      <c r="B120" s="139" t="s">
        <v>377</v>
      </c>
      <c r="C120" s="139">
        <v>2020</v>
      </c>
      <c r="D120" s="147" t="s">
        <v>378</v>
      </c>
      <c r="E120" s="139" t="s">
        <v>412</v>
      </c>
      <c r="F120" s="139" t="s">
        <v>395</v>
      </c>
      <c r="G120" s="139" t="s">
        <v>25</v>
      </c>
      <c r="H120" s="139" t="s">
        <v>167</v>
      </c>
      <c r="I120" s="78" t="s">
        <v>111</v>
      </c>
      <c r="J120" s="78" t="s">
        <v>27</v>
      </c>
      <c r="K120" s="78" t="s">
        <v>112</v>
      </c>
      <c r="L120" s="78">
        <v>2</v>
      </c>
      <c r="N120" s="78">
        <v>3</v>
      </c>
      <c r="O120" s="78">
        <v>0.6</v>
      </c>
      <c r="P120" s="78">
        <v>0.75</v>
      </c>
      <c r="Q120" s="16">
        <f t="shared" si="3"/>
        <v>0.67500000000000004</v>
      </c>
      <c r="R120" s="78">
        <v>15.5</v>
      </c>
      <c r="S120" s="78">
        <v>132</v>
      </c>
      <c r="T120" s="16">
        <f t="shared" si="4"/>
        <v>25</v>
      </c>
      <c r="U120" s="78">
        <v>398</v>
      </c>
      <c r="V120" s="16">
        <f t="shared" si="5"/>
        <v>3316.6666666666665</v>
      </c>
      <c r="W120" s="78">
        <v>14</v>
      </c>
      <c r="X120" s="78" t="s">
        <v>35</v>
      </c>
      <c r="Y120" s="78" t="s">
        <v>43</v>
      </c>
      <c r="Z120" s="78" t="s">
        <v>55</v>
      </c>
      <c r="AA120" s="78" t="s">
        <v>76</v>
      </c>
      <c r="AB120" s="139" t="s">
        <v>381</v>
      </c>
    </row>
    <row r="121" spans="1:28" x14ac:dyDescent="0.15">
      <c r="A121" s="139" t="s">
        <v>48</v>
      </c>
      <c r="B121" s="139" t="s">
        <v>377</v>
      </c>
      <c r="C121" s="139">
        <v>2020</v>
      </c>
      <c r="D121" s="147" t="s">
        <v>378</v>
      </c>
      <c r="E121" s="139" t="s">
        <v>412</v>
      </c>
      <c r="F121" s="139" t="s">
        <v>395</v>
      </c>
      <c r="G121" s="139" t="s">
        <v>25</v>
      </c>
      <c r="H121" s="139" t="s">
        <v>167</v>
      </c>
      <c r="I121" s="78" t="s">
        <v>111</v>
      </c>
      <c r="J121" s="78" t="s">
        <v>27</v>
      </c>
      <c r="K121" s="78" t="s">
        <v>112</v>
      </c>
      <c r="L121" s="78">
        <v>3</v>
      </c>
      <c r="N121" s="78">
        <v>3</v>
      </c>
      <c r="O121" s="78">
        <v>0.65</v>
      </c>
      <c r="P121" s="78">
        <v>0.65</v>
      </c>
      <c r="Q121" s="16">
        <f t="shared" si="3"/>
        <v>0.65</v>
      </c>
      <c r="R121" s="78">
        <v>18.899999999999999</v>
      </c>
      <c r="S121" s="78">
        <v>129</v>
      </c>
      <c r="T121" s="16">
        <f t="shared" si="4"/>
        <v>25</v>
      </c>
      <c r="U121" s="78">
        <v>398</v>
      </c>
      <c r="V121" s="16">
        <f t="shared" si="5"/>
        <v>3316.6666666666665</v>
      </c>
      <c r="W121" s="78">
        <v>14</v>
      </c>
      <c r="X121" s="78" t="s">
        <v>35</v>
      </c>
      <c r="Y121" s="78" t="s">
        <v>43</v>
      </c>
      <c r="Z121" s="78" t="s">
        <v>55</v>
      </c>
      <c r="AA121" s="78" t="s">
        <v>76</v>
      </c>
      <c r="AB121" s="139" t="s">
        <v>381</v>
      </c>
    </row>
    <row r="122" spans="1:28" x14ac:dyDescent="0.15">
      <c r="A122" s="139" t="s">
        <v>48</v>
      </c>
      <c r="B122" s="139" t="s">
        <v>377</v>
      </c>
      <c r="C122" s="139">
        <v>2020</v>
      </c>
      <c r="D122" s="147" t="s">
        <v>378</v>
      </c>
      <c r="E122" s="139" t="s">
        <v>412</v>
      </c>
      <c r="F122" s="139" t="s">
        <v>395</v>
      </c>
      <c r="G122" s="139" t="s">
        <v>25</v>
      </c>
      <c r="H122" s="139" t="s">
        <v>167</v>
      </c>
      <c r="I122" s="78" t="s">
        <v>111</v>
      </c>
      <c r="J122" s="78" t="s">
        <v>27</v>
      </c>
      <c r="K122" s="78" t="s">
        <v>112</v>
      </c>
      <c r="L122" s="78">
        <v>1</v>
      </c>
      <c r="N122" s="78">
        <v>8</v>
      </c>
      <c r="O122" s="78">
        <v>0.6</v>
      </c>
      <c r="P122" s="78">
        <v>0.6</v>
      </c>
      <c r="Q122" s="16">
        <f t="shared" si="3"/>
        <v>0.6</v>
      </c>
      <c r="R122" s="78">
        <v>14</v>
      </c>
      <c r="S122" s="78">
        <v>101</v>
      </c>
      <c r="T122" s="16">
        <f t="shared" si="4"/>
        <v>33</v>
      </c>
      <c r="U122" s="78">
        <v>780</v>
      </c>
      <c r="V122" s="16">
        <f t="shared" si="5"/>
        <v>3217.5</v>
      </c>
      <c r="W122" s="78">
        <v>14</v>
      </c>
      <c r="X122" s="78" t="s">
        <v>35</v>
      </c>
      <c r="Y122" s="78" t="s">
        <v>43</v>
      </c>
      <c r="Z122" s="78" t="s">
        <v>55</v>
      </c>
      <c r="AA122" s="78" t="s">
        <v>76</v>
      </c>
      <c r="AB122" s="139" t="s">
        <v>381</v>
      </c>
    </row>
    <row r="123" spans="1:28" x14ac:dyDescent="0.15">
      <c r="A123" s="139" t="s">
        <v>48</v>
      </c>
      <c r="B123" s="139" t="s">
        <v>377</v>
      </c>
      <c r="C123" s="139">
        <v>2020</v>
      </c>
      <c r="D123" s="147" t="s">
        <v>378</v>
      </c>
      <c r="E123" s="139" t="s">
        <v>412</v>
      </c>
      <c r="F123" s="139" t="s">
        <v>395</v>
      </c>
      <c r="G123" s="139" t="s">
        <v>25</v>
      </c>
      <c r="H123" s="139" t="s">
        <v>167</v>
      </c>
      <c r="I123" s="78" t="s">
        <v>111</v>
      </c>
      <c r="J123" s="78" t="s">
        <v>27</v>
      </c>
      <c r="K123" s="78" t="s">
        <v>112</v>
      </c>
      <c r="L123" s="78">
        <v>2</v>
      </c>
      <c r="N123" s="78">
        <v>8</v>
      </c>
      <c r="O123" s="78">
        <v>0.55000000000000004</v>
      </c>
      <c r="P123" s="78">
        <v>0.55000000000000004</v>
      </c>
      <c r="Q123" s="16">
        <f t="shared" si="3"/>
        <v>0.55000000000000004</v>
      </c>
      <c r="R123" s="78">
        <v>14.1</v>
      </c>
      <c r="S123" s="78">
        <v>101</v>
      </c>
      <c r="T123" s="16">
        <f t="shared" si="4"/>
        <v>33</v>
      </c>
      <c r="U123" s="78">
        <v>780</v>
      </c>
      <c r="V123" s="16">
        <f t="shared" si="5"/>
        <v>3217.5</v>
      </c>
      <c r="W123" s="78">
        <v>14</v>
      </c>
      <c r="X123" s="78" t="s">
        <v>35</v>
      </c>
      <c r="Y123" s="78" t="s">
        <v>43</v>
      </c>
      <c r="Z123" s="78" t="s">
        <v>55</v>
      </c>
      <c r="AA123" s="78" t="s">
        <v>76</v>
      </c>
      <c r="AB123" s="139" t="s">
        <v>381</v>
      </c>
    </row>
    <row r="124" spans="1:28" x14ac:dyDescent="0.15">
      <c r="A124" s="139" t="s">
        <v>48</v>
      </c>
      <c r="B124" s="139" t="s">
        <v>377</v>
      </c>
      <c r="C124" s="139">
        <v>2020</v>
      </c>
      <c r="D124" s="147" t="s">
        <v>378</v>
      </c>
      <c r="E124" s="139" t="s">
        <v>412</v>
      </c>
      <c r="F124" s="139" t="s">
        <v>395</v>
      </c>
      <c r="G124" s="139" t="s">
        <v>25</v>
      </c>
      <c r="H124" s="139" t="s">
        <v>167</v>
      </c>
      <c r="I124" s="78" t="s">
        <v>111</v>
      </c>
      <c r="J124" s="78" t="s">
        <v>27</v>
      </c>
      <c r="K124" s="78" t="s">
        <v>112</v>
      </c>
      <c r="L124" s="78">
        <v>3</v>
      </c>
      <c r="N124" s="78">
        <v>8</v>
      </c>
      <c r="O124" s="78">
        <v>0.6</v>
      </c>
      <c r="P124" s="78">
        <v>0.55000000000000004</v>
      </c>
      <c r="Q124" s="16">
        <f t="shared" si="3"/>
        <v>0.57499999999999996</v>
      </c>
      <c r="R124" s="78">
        <v>16.3</v>
      </c>
      <c r="S124" s="78">
        <v>100</v>
      </c>
      <c r="T124" s="16">
        <f t="shared" si="4"/>
        <v>33</v>
      </c>
      <c r="U124" s="78">
        <v>780</v>
      </c>
      <c r="V124" s="16">
        <f t="shared" si="5"/>
        <v>3217.5</v>
      </c>
      <c r="W124" s="78">
        <v>14</v>
      </c>
      <c r="X124" s="78" t="s">
        <v>35</v>
      </c>
      <c r="Y124" s="78" t="s">
        <v>43</v>
      </c>
      <c r="Z124" s="78" t="s">
        <v>55</v>
      </c>
      <c r="AA124" s="78" t="s">
        <v>76</v>
      </c>
      <c r="AB124" s="139" t="s">
        <v>381</v>
      </c>
    </row>
    <row r="125" spans="1:28" x14ac:dyDescent="0.15">
      <c r="A125" s="139" t="s">
        <v>48</v>
      </c>
      <c r="B125" s="139" t="s">
        <v>377</v>
      </c>
      <c r="C125" s="139">
        <v>2020</v>
      </c>
      <c r="D125" s="147" t="s">
        <v>378</v>
      </c>
      <c r="E125" s="139" t="s">
        <v>412</v>
      </c>
      <c r="F125" s="139" t="s">
        <v>395</v>
      </c>
      <c r="G125" s="139" t="s">
        <v>25</v>
      </c>
      <c r="H125" s="139" t="s">
        <v>113</v>
      </c>
      <c r="I125" s="78" t="s">
        <v>111</v>
      </c>
      <c r="J125" s="78" t="s">
        <v>27</v>
      </c>
      <c r="K125" s="78" t="s">
        <v>112</v>
      </c>
      <c r="L125" s="78">
        <v>1</v>
      </c>
      <c r="N125" s="78">
        <v>1</v>
      </c>
      <c r="O125" s="78">
        <v>0.7</v>
      </c>
      <c r="P125" s="78">
        <v>0.9</v>
      </c>
      <c r="Q125" s="16">
        <f t="shared" si="3"/>
        <v>0.8</v>
      </c>
      <c r="R125" s="78">
        <v>14.7</v>
      </c>
      <c r="S125" s="78">
        <v>91</v>
      </c>
      <c r="T125" s="16">
        <f t="shared" si="4"/>
        <v>36</v>
      </c>
      <c r="U125" s="78">
        <v>98</v>
      </c>
      <c r="V125" s="16">
        <f t="shared" si="5"/>
        <v>3528</v>
      </c>
      <c r="W125" s="78">
        <v>14</v>
      </c>
      <c r="X125" s="78" t="s">
        <v>35</v>
      </c>
      <c r="Y125" s="78" t="s">
        <v>43</v>
      </c>
      <c r="Z125" s="78" t="s">
        <v>55</v>
      </c>
      <c r="AA125" s="78" t="s">
        <v>76</v>
      </c>
      <c r="AB125" s="139" t="s">
        <v>381</v>
      </c>
    </row>
    <row r="126" spans="1:28" x14ac:dyDescent="0.15">
      <c r="A126" s="139" t="s">
        <v>48</v>
      </c>
      <c r="B126" s="139" t="s">
        <v>377</v>
      </c>
      <c r="C126" s="139">
        <v>2020</v>
      </c>
      <c r="D126" s="147" t="s">
        <v>378</v>
      </c>
      <c r="E126" s="139" t="s">
        <v>412</v>
      </c>
      <c r="F126" s="139" t="s">
        <v>395</v>
      </c>
      <c r="G126" s="139" t="s">
        <v>25</v>
      </c>
      <c r="H126" s="139" t="s">
        <v>113</v>
      </c>
      <c r="I126" s="78" t="s">
        <v>111</v>
      </c>
      <c r="J126" s="78" t="s">
        <v>27</v>
      </c>
      <c r="K126" s="78" t="s">
        <v>112</v>
      </c>
      <c r="L126" s="78">
        <v>2</v>
      </c>
      <c r="N126" s="78">
        <v>1</v>
      </c>
      <c r="O126" s="78">
        <v>0.9</v>
      </c>
      <c r="P126" s="78">
        <v>0.95</v>
      </c>
      <c r="Q126" s="16">
        <f t="shared" si="3"/>
        <v>0.92500000000000004</v>
      </c>
      <c r="R126" s="78">
        <v>15.5</v>
      </c>
      <c r="S126" s="78">
        <v>107</v>
      </c>
      <c r="T126" s="16">
        <f t="shared" si="4"/>
        <v>33</v>
      </c>
      <c r="U126" s="78">
        <v>98</v>
      </c>
      <c r="V126" s="16">
        <f t="shared" si="5"/>
        <v>3234</v>
      </c>
      <c r="W126" s="78">
        <v>14</v>
      </c>
      <c r="X126" s="78" t="s">
        <v>35</v>
      </c>
      <c r="Y126" s="78" t="s">
        <v>43</v>
      </c>
      <c r="Z126" s="78" t="s">
        <v>55</v>
      </c>
      <c r="AA126" s="78" t="s">
        <v>76</v>
      </c>
      <c r="AB126" s="139" t="s">
        <v>381</v>
      </c>
    </row>
    <row r="127" spans="1:28" x14ac:dyDescent="0.15">
      <c r="A127" s="139" t="s">
        <v>48</v>
      </c>
      <c r="B127" s="139" t="s">
        <v>377</v>
      </c>
      <c r="C127" s="139">
        <v>2020</v>
      </c>
      <c r="D127" s="147" t="s">
        <v>378</v>
      </c>
      <c r="E127" s="139" t="s">
        <v>412</v>
      </c>
      <c r="F127" s="139" t="s">
        <v>395</v>
      </c>
      <c r="G127" s="139" t="s">
        <v>25</v>
      </c>
      <c r="H127" s="139" t="s">
        <v>113</v>
      </c>
      <c r="I127" s="78" t="s">
        <v>111</v>
      </c>
      <c r="J127" s="78" t="s">
        <v>27</v>
      </c>
      <c r="K127" s="78" t="s">
        <v>112</v>
      </c>
      <c r="L127" s="78">
        <v>3</v>
      </c>
      <c r="N127" s="78">
        <v>1</v>
      </c>
      <c r="O127" s="78">
        <v>0.7</v>
      </c>
      <c r="P127" s="78">
        <v>0.85</v>
      </c>
      <c r="Q127" s="16">
        <f t="shared" si="3"/>
        <v>0.77499999999999991</v>
      </c>
      <c r="R127" s="78">
        <v>14.8</v>
      </c>
      <c r="S127" s="78">
        <v>112</v>
      </c>
      <c r="T127" s="16">
        <f t="shared" si="4"/>
        <v>33</v>
      </c>
      <c r="U127" s="78">
        <v>98</v>
      </c>
      <c r="V127" s="16">
        <f t="shared" si="5"/>
        <v>3234</v>
      </c>
      <c r="W127" s="78">
        <v>14</v>
      </c>
      <c r="X127" s="78" t="s">
        <v>35</v>
      </c>
      <c r="Y127" s="78" t="s">
        <v>43</v>
      </c>
      <c r="Z127" s="78" t="s">
        <v>55</v>
      </c>
      <c r="AA127" s="78" t="s">
        <v>76</v>
      </c>
      <c r="AB127" s="139" t="s">
        <v>381</v>
      </c>
    </row>
    <row r="128" spans="1:28" x14ac:dyDescent="0.15">
      <c r="A128" s="139" t="s">
        <v>48</v>
      </c>
      <c r="B128" s="139" t="s">
        <v>377</v>
      </c>
      <c r="C128" s="139">
        <v>2020</v>
      </c>
      <c r="D128" s="147" t="s">
        <v>378</v>
      </c>
      <c r="E128" s="139" t="s">
        <v>412</v>
      </c>
      <c r="F128" s="139" t="s">
        <v>395</v>
      </c>
      <c r="G128" s="139" t="s">
        <v>25</v>
      </c>
      <c r="H128" s="139" t="s">
        <v>113</v>
      </c>
      <c r="I128" s="78" t="s">
        <v>111</v>
      </c>
      <c r="J128" s="78" t="s">
        <v>27</v>
      </c>
      <c r="K128" s="78" t="s">
        <v>112</v>
      </c>
      <c r="L128" s="78">
        <v>1</v>
      </c>
      <c r="N128" s="78">
        <v>4</v>
      </c>
      <c r="O128" s="78">
        <v>0.5</v>
      </c>
      <c r="P128" s="78">
        <v>0.5</v>
      </c>
      <c r="Q128" s="16">
        <f t="shared" si="3"/>
        <v>0.5</v>
      </c>
      <c r="R128" s="78">
        <v>14.8</v>
      </c>
      <c r="S128" s="78">
        <v>106</v>
      </c>
      <c r="T128" s="16">
        <f t="shared" si="4"/>
        <v>33</v>
      </c>
      <c r="U128" s="78">
        <v>398</v>
      </c>
      <c r="V128" s="16">
        <f t="shared" si="5"/>
        <v>3283.5</v>
      </c>
      <c r="W128" s="78">
        <v>14</v>
      </c>
      <c r="X128" s="78" t="s">
        <v>35</v>
      </c>
      <c r="Y128" s="78" t="s">
        <v>43</v>
      </c>
      <c r="Z128" s="78" t="s">
        <v>55</v>
      </c>
      <c r="AA128" s="78" t="s">
        <v>76</v>
      </c>
      <c r="AB128" s="139" t="s">
        <v>381</v>
      </c>
    </row>
    <row r="129" spans="1:28" x14ac:dyDescent="0.15">
      <c r="A129" s="139" t="s">
        <v>48</v>
      </c>
      <c r="B129" s="139" t="s">
        <v>377</v>
      </c>
      <c r="C129" s="139">
        <v>2020</v>
      </c>
      <c r="D129" s="147" t="s">
        <v>378</v>
      </c>
      <c r="E129" s="139" t="s">
        <v>412</v>
      </c>
      <c r="F129" s="139" t="s">
        <v>395</v>
      </c>
      <c r="G129" s="139" t="s">
        <v>25</v>
      </c>
      <c r="H129" s="139" t="s">
        <v>113</v>
      </c>
      <c r="I129" s="78" t="s">
        <v>111</v>
      </c>
      <c r="J129" s="78" t="s">
        <v>27</v>
      </c>
      <c r="K129" s="78" t="s">
        <v>112</v>
      </c>
      <c r="L129" s="78">
        <v>2</v>
      </c>
      <c r="N129" s="78">
        <v>4</v>
      </c>
      <c r="O129" s="78">
        <v>0.6</v>
      </c>
      <c r="P129" s="78">
        <v>0.5</v>
      </c>
      <c r="Q129" s="16">
        <f t="shared" si="3"/>
        <v>0.55000000000000004</v>
      </c>
      <c r="R129" s="78">
        <v>16.600000000000001</v>
      </c>
      <c r="S129" s="78">
        <v>113</v>
      </c>
      <c r="T129" s="16">
        <f t="shared" si="4"/>
        <v>30</v>
      </c>
      <c r="U129" s="78">
        <v>398</v>
      </c>
      <c r="V129" s="16">
        <f t="shared" si="5"/>
        <v>2985</v>
      </c>
      <c r="W129" s="78">
        <v>14</v>
      </c>
      <c r="X129" s="78" t="s">
        <v>35</v>
      </c>
      <c r="Y129" s="78" t="s">
        <v>43</v>
      </c>
      <c r="Z129" s="78" t="s">
        <v>55</v>
      </c>
      <c r="AA129" s="78" t="s">
        <v>76</v>
      </c>
      <c r="AB129" s="139" t="s">
        <v>381</v>
      </c>
    </row>
    <row r="130" spans="1:28" x14ac:dyDescent="0.15">
      <c r="A130" s="139" t="s">
        <v>48</v>
      </c>
      <c r="B130" s="139" t="s">
        <v>377</v>
      </c>
      <c r="C130" s="139">
        <v>2020</v>
      </c>
      <c r="D130" s="147" t="s">
        <v>378</v>
      </c>
      <c r="E130" s="139" t="s">
        <v>412</v>
      </c>
      <c r="F130" s="139" t="s">
        <v>395</v>
      </c>
      <c r="G130" s="139" t="s">
        <v>25</v>
      </c>
      <c r="H130" s="139" t="s">
        <v>113</v>
      </c>
      <c r="I130" s="78" t="s">
        <v>111</v>
      </c>
      <c r="J130" s="78" t="s">
        <v>27</v>
      </c>
      <c r="K130" s="78" t="s">
        <v>112</v>
      </c>
      <c r="L130" s="78">
        <v>3</v>
      </c>
      <c r="N130" s="78">
        <v>4</v>
      </c>
      <c r="O130" s="78">
        <v>0.75</v>
      </c>
      <c r="P130" s="78">
        <v>0.7</v>
      </c>
      <c r="Q130" s="16">
        <f t="shared" si="3"/>
        <v>0.72499999999999998</v>
      </c>
      <c r="R130" s="78">
        <v>14.5</v>
      </c>
      <c r="S130" s="78">
        <v>83</v>
      </c>
      <c r="T130" s="16">
        <f t="shared" si="4"/>
        <v>39</v>
      </c>
      <c r="U130" s="78">
        <v>398</v>
      </c>
      <c r="V130" s="16">
        <f t="shared" si="5"/>
        <v>3880.5</v>
      </c>
      <c r="W130" s="78">
        <v>14</v>
      </c>
      <c r="X130" s="78" t="s">
        <v>35</v>
      </c>
      <c r="Y130" s="78" t="s">
        <v>43</v>
      </c>
      <c r="Z130" s="78" t="s">
        <v>55</v>
      </c>
      <c r="AA130" s="78" t="s">
        <v>76</v>
      </c>
      <c r="AB130" s="139" t="s">
        <v>381</v>
      </c>
    </row>
    <row r="131" spans="1:28" x14ac:dyDescent="0.15">
      <c r="A131" s="139" t="s">
        <v>48</v>
      </c>
      <c r="B131" s="139" t="s">
        <v>377</v>
      </c>
      <c r="C131" s="139">
        <v>2020</v>
      </c>
      <c r="D131" s="147" t="s">
        <v>378</v>
      </c>
      <c r="E131" s="139" t="s">
        <v>412</v>
      </c>
      <c r="F131" s="139" t="s">
        <v>395</v>
      </c>
      <c r="G131" s="139" t="s">
        <v>25</v>
      </c>
      <c r="H131" s="139" t="s">
        <v>113</v>
      </c>
      <c r="I131" s="78" t="s">
        <v>111</v>
      </c>
      <c r="J131" s="78" t="s">
        <v>27</v>
      </c>
      <c r="K131" s="78" t="s">
        <v>112</v>
      </c>
      <c r="L131" s="78">
        <v>1</v>
      </c>
      <c r="N131" s="78">
        <v>8</v>
      </c>
      <c r="O131" s="78">
        <v>1.55</v>
      </c>
      <c r="P131" s="78">
        <v>1.05</v>
      </c>
      <c r="Q131" s="16">
        <f t="shared" si="3"/>
        <v>1.3</v>
      </c>
      <c r="R131" s="78">
        <v>14</v>
      </c>
      <c r="S131" s="78">
        <v>86</v>
      </c>
      <c r="T131" s="16">
        <f t="shared" si="4"/>
        <v>36</v>
      </c>
      <c r="U131" s="78">
        <v>598</v>
      </c>
      <c r="V131" s="16">
        <f t="shared" si="5"/>
        <v>2691</v>
      </c>
      <c r="W131" s="78">
        <v>14</v>
      </c>
      <c r="X131" s="78" t="s">
        <v>35</v>
      </c>
      <c r="Y131" s="78" t="s">
        <v>43</v>
      </c>
      <c r="Z131" s="78" t="s">
        <v>55</v>
      </c>
      <c r="AA131" s="78" t="s">
        <v>76</v>
      </c>
      <c r="AB131" s="139" t="s">
        <v>381</v>
      </c>
    </row>
    <row r="132" spans="1:28" x14ac:dyDescent="0.15">
      <c r="A132" s="139" t="s">
        <v>48</v>
      </c>
      <c r="B132" s="139" t="s">
        <v>377</v>
      </c>
      <c r="C132" s="139">
        <v>2020</v>
      </c>
      <c r="D132" s="147" t="s">
        <v>378</v>
      </c>
      <c r="E132" s="139" t="s">
        <v>412</v>
      </c>
      <c r="F132" s="139" t="s">
        <v>395</v>
      </c>
      <c r="G132" s="139" t="s">
        <v>25</v>
      </c>
      <c r="H132" s="139" t="s">
        <v>113</v>
      </c>
      <c r="I132" s="78" t="s">
        <v>111</v>
      </c>
      <c r="J132" s="78" t="s">
        <v>27</v>
      </c>
      <c r="K132" s="78" t="s">
        <v>112</v>
      </c>
      <c r="L132" s="78">
        <v>2</v>
      </c>
      <c r="N132" s="78">
        <v>8</v>
      </c>
      <c r="O132" s="78">
        <v>0.95</v>
      </c>
      <c r="P132" s="78">
        <v>1.05</v>
      </c>
      <c r="Q132" s="16">
        <f t="shared" si="3"/>
        <v>1</v>
      </c>
      <c r="R132" s="78">
        <v>14</v>
      </c>
      <c r="S132" s="78">
        <v>87</v>
      </c>
      <c r="T132" s="16">
        <f t="shared" si="4"/>
        <v>36</v>
      </c>
      <c r="U132" s="78">
        <v>598</v>
      </c>
      <c r="V132" s="16">
        <f t="shared" si="5"/>
        <v>2691</v>
      </c>
      <c r="W132" s="78">
        <v>14</v>
      </c>
      <c r="X132" s="78" t="s">
        <v>35</v>
      </c>
      <c r="Y132" s="78" t="s">
        <v>43</v>
      </c>
      <c r="Z132" s="78" t="s">
        <v>55</v>
      </c>
      <c r="AA132" s="78" t="s">
        <v>76</v>
      </c>
      <c r="AB132" s="139" t="s">
        <v>381</v>
      </c>
    </row>
    <row r="133" spans="1:28" x14ac:dyDescent="0.15">
      <c r="A133" s="139" t="s">
        <v>48</v>
      </c>
      <c r="B133" s="139" t="s">
        <v>377</v>
      </c>
      <c r="C133" s="139">
        <v>2020</v>
      </c>
      <c r="D133" s="147" t="s">
        <v>378</v>
      </c>
      <c r="E133" s="139" t="s">
        <v>412</v>
      </c>
      <c r="F133" s="139" t="s">
        <v>395</v>
      </c>
      <c r="G133" s="139" t="s">
        <v>25</v>
      </c>
      <c r="H133" s="139" t="s">
        <v>113</v>
      </c>
      <c r="I133" s="78" t="s">
        <v>111</v>
      </c>
      <c r="J133" s="78" t="s">
        <v>27</v>
      </c>
      <c r="K133" s="78" t="s">
        <v>112</v>
      </c>
      <c r="L133" s="78">
        <v>3</v>
      </c>
      <c r="N133" s="78">
        <v>8</v>
      </c>
      <c r="O133" s="78">
        <v>0.9</v>
      </c>
      <c r="P133" s="78">
        <v>1.05</v>
      </c>
      <c r="Q133" s="16">
        <f t="shared" si="3"/>
        <v>0.97500000000000009</v>
      </c>
      <c r="R133" s="78">
        <v>13.6</v>
      </c>
      <c r="S133" s="78">
        <v>91</v>
      </c>
      <c r="T133" s="16">
        <f t="shared" si="4"/>
        <v>36</v>
      </c>
      <c r="U133" s="78">
        <v>598</v>
      </c>
      <c r="V133" s="16">
        <f t="shared" si="5"/>
        <v>2691</v>
      </c>
      <c r="W133" s="78">
        <v>14</v>
      </c>
      <c r="X133" s="78" t="s">
        <v>35</v>
      </c>
      <c r="Y133" s="78" t="s">
        <v>43</v>
      </c>
      <c r="Z133" s="78" t="s">
        <v>55</v>
      </c>
      <c r="AA133" s="78" t="s">
        <v>76</v>
      </c>
      <c r="AB133" s="139" t="s">
        <v>381</v>
      </c>
    </row>
    <row r="134" spans="1:28" x14ac:dyDescent="0.15">
      <c r="A134" s="139" t="s">
        <v>48</v>
      </c>
      <c r="B134" s="139" t="s">
        <v>377</v>
      </c>
      <c r="C134" s="139">
        <v>2020</v>
      </c>
      <c r="D134" s="147" t="s">
        <v>378</v>
      </c>
      <c r="E134" s="139" t="s">
        <v>413</v>
      </c>
      <c r="F134" s="139" t="s">
        <v>397</v>
      </c>
      <c r="G134" s="139" t="s">
        <v>25</v>
      </c>
      <c r="H134" s="139" t="s">
        <v>167</v>
      </c>
      <c r="I134" s="78" t="s">
        <v>111</v>
      </c>
      <c r="J134" s="78" t="s">
        <v>27</v>
      </c>
      <c r="K134" s="78" t="s">
        <v>112</v>
      </c>
      <c r="L134" s="78">
        <v>1</v>
      </c>
      <c r="N134" s="78">
        <v>1</v>
      </c>
      <c r="O134" s="78">
        <v>0.5</v>
      </c>
      <c r="P134" s="78">
        <v>0.5</v>
      </c>
      <c r="Q134" s="16">
        <f t="shared" si="3"/>
        <v>0.5</v>
      </c>
      <c r="R134" s="78">
        <v>15.7</v>
      </c>
      <c r="S134" s="78">
        <v>117</v>
      </c>
      <c r="T134" s="16">
        <f t="shared" si="4"/>
        <v>30</v>
      </c>
      <c r="U134" s="78">
        <v>98</v>
      </c>
      <c r="V134" s="16">
        <f t="shared" si="5"/>
        <v>2940</v>
      </c>
      <c r="W134" s="78">
        <v>12</v>
      </c>
      <c r="X134" s="78" t="s">
        <v>35</v>
      </c>
      <c r="Y134" s="78" t="s">
        <v>43</v>
      </c>
      <c r="Z134" s="78" t="s">
        <v>55</v>
      </c>
      <c r="AA134" s="78" t="s">
        <v>51</v>
      </c>
      <c r="AB134" s="139" t="s">
        <v>381</v>
      </c>
    </row>
    <row r="135" spans="1:28" x14ac:dyDescent="0.15">
      <c r="A135" s="139" t="s">
        <v>48</v>
      </c>
      <c r="B135" s="139" t="s">
        <v>377</v>
      </c>
      <c r="C135" s="139">
        <v>2020</v>
      </c>
      <c r="D135" s="147" t="s">
        <v>378</v>
      </c>
      <c r="E135" s="139" t="s">
        <v>413</v>
      </c>
      <c r="F135" s="139" t="s">
        <v>397</v>
      </c>
      <c r="G135" s="139" t="s">
        <v>25</v>
      </c>
      <c r="H135" s="139" t="s">
        <v>167</v>
      </c>
      <c r="I135" s="78" t="s">
        <v>111</v>
      </c>
      <c r="J135" s="78" t="s">
        <v>27</v>
      </c>
      <c r="K135" s="78" t="s">
        <v>112</v>
      </c>
      <c r="L135" s="78">
        <v>2</v>
      </c>
      <c r="N135" s="78">
        <v>1</v>
      </c>
      <c r="O135" s="78">
        <v>0.5</v>
      </c>
      <c r="P135" s="78">
        <v>0.5</v>
      </c>
      <c r="Q135" s="16">
        <f t="shared" si="3"/>
        <v>0.5</v>
      </c>
      <c r="R135" s="78">
        <v>15.6</v>
      </c>
      <c r="S135" s="78">
        <v>118</v>
      </c>
      <c r="T135" s="16">
        <f t="shared" si="4"/>
        <v>30</v>
      </c>
      <c r="U135" s="78">
        <v>98</v>
      </c>
      <c r="V135" s="16">
        <f t="shared" si="5"/>
        <v>2940</v>
      </c>
      <c r="W135" s="78">
        <v>12</v>
      </c>
      <c r="X135" s="78" t="s">
        <v>35</v>
      </c>
      <c r="Y135" s="78" t="s">
        <v>43</v>
      </c>
      <c r="Z135" s="78" t="s">
        <v>55</v>
      </c>
      <c r="AA135" s="78" t="s">
        <v>51</v>
      </c>
      <c r="AB135" s="139" t="s">
        <v>381</v>
      </c>
    </row>
    <row r="136" spans="1:28" x14ac:dyDescent="0.15">
      <c r="A136" s="139" t="s">
        <v>48</v>
      </c>
      <c r="B136" s="139" t="s">
        <v>377</v>
      </c>
      <c r="C136" s="139">
        <v>2020</v>
      </c>
      <c r="D136" s="147" t="s">
        <v>378</v>
      </c>
      <c r="E136" s="139" t="s">
        <v>413</v>
      </c>
      <c r="F136" s="139" t="s">
        <v>397</v>
      </c>
      <c r="G136" s="139" t="s">
        <v>25</v>
      </c>
      <c r="H136" s="139" t="s">
        <v>167</v>
      </c>
      <c r="I136" s="78" t="s">
        <v>111</v>
      </c>
      <c r="J136" s="78" t="s">
        <v>27</v>
      </c>
      <c r="K136" s="78" t="s">
        <v>112</v>
      </c>
      <c r="L136" s="78">
        <v>3</v>
      </c>
      <c r="N136" s="78">
        <v>1</v>
      </c>
      <c r="O136" s="78">
        <v>0.55000000000000004</v>
      </c>
      <c r="P136" s="78">
        <v>0.5</v>
      </c>
      <c r="Q136" s="16">
        <f t="shared" si="3"/>
        <v>0.52500000000000002</v>
      </c>
      <c r="R136" s="78">
        <v>15.3</v>
      </c>
      <c r="S136" s="78">
        <v>116</v>
      </c>
      <c r="T136" s="16">
        <f t="shared" si="4"/>
        <v>30</v>
      </c>
      <c r="U136" s="78">
        <v>98</v>
      </c>
      <c r="V136" s="16">
        <f t="shared" si="5"/>
        <v>2940</v>
      </c>
      <c r="W136" s="78">
        <v>12</v>
      </c>
      <c r="X136" s="78" t="s">
        <v>35</v>
      </c>
      <c r="Y136" s="78" t="s">
        <v>43</v>
      </c>
      <c r="Z136" s="78" t="s">
        <v>55</v>
      </c>
      <c r="AA136" s="78" t="s">
        <v>51</v>
      </c>
      <c r="AB136" s="139" t="s">
        <v>381</v>
      </c>
    </row>
    <row r="137" spans="1:28" x14ac:dyDescent="0.15">
      <c r="A137" s="139" t="s">
        <v>48</v>
      </c>
      <c r="B137" s="139" t="s">
        <v>377</v>
      </c>
      <c r="C137" s="139">
        <v>2020</v>
      </c>
      <c r="D137" s="147" t="s">
        <v>378</v>
      </c>
      <c r="E137" s="139" t="s">
        <v>413</v>
      </c>
      <c r="F137" s="139" t="s">
        <v>397</v>
      </c>
      <c r="G137" s="139" t="s">
        <v>25</v>
      </c>
      <c r="H137" s="139" t="s">
        <v>167</v>
      </c>
      <c r="I137" s="78" t="s">
        <v>111</v>
      </c>
      <c r="J137" s="78" t="s">
        <v>27</v>
      </c>
      <c r="K137" s="78" t="s">
        <v>112</v>
      </c>
      <c r="L137" s="78">
        <v>1</v>
      </c>
      <c r="N137" s="78">
        <v>4</v>
      </c>
      <c r="O137" s="78">
        <v>0.55000000000000004</v>
      </c>
      <c r="P137" s="78">
        <v>0.5</v>
      </c>
      <c r="Q137" s="16">
        <f t="shared" si="3"/>
        <v>0.52500000000000002</v>
      </c>
      <c r="R137" s="78">
        <v>17.399999999999999</v>
      </c>
      <c r="S137" s="78">
        <v>96</v>
      </c>
      <c r="T137" s="16">
        <f t="shared" si="4"/>
        <v>36</v>
      </c>
      <c r="U137" s="78">
        <v>498</v>
      </c>
      <c r="V137" s="16">
        <f t="shared" si="5"/>
        <v>4482</v>
      </c>
      <c r="W137" s="78">
        <v>12</v>
      </c>
      <c r="X137" s="78" t="s">
        <v>35</v>
      </c>
      <c r="Y137" s="78" t="s">
        <v>43</v>
      </c>
      <c r="Z137" s="78" t="s">
        <v>55</v>
      </c>
      <c r="AA137" s="78" t="s">
        <v>51</v>
      </c>
      <c r="AB137" s="139" t="s">
        <v>381</v>
      </c>
    </row>
    <row r="138" spans="1:28" x14ac:dyDescent="0.15">
      <c r="A138" s="139" t="s">
        <v>48</v>
      </c>
      <c r="B138" s="139" t="s">
        <v>377</v>
      </c>
      <c r="C138" s="139">
        <v>2020</v>
      </c>
      <c r="D138" s="147" t="s">
        <v>378</v>
      </c>
      <c r="E138" s="139" t="s">
        <v>413</v>
      </c>
      <c r="F138" s="139" t="s">
        <v>397</v>
      </c>
      <c r="G138" s="139" t="s">
        <v>25</v>
      </c>
      <c r="H138" s="139" t="s">
        <v>167</v>
      </c>
      <c r="I138" s="78" t="s">
        <v>111</v>
      </c>
      <c r="J138" s="78" t="s">
        <v>27</v>
      </c>
      <c r="K138" s="78" t="s">
        <v>112</v>
      </c>
      <c r="L138" s="78">
        <v>2</v>
      </c>
      <c r="N138" s="78">
        <v>4</v>
      </c>
      <c r="O138" s="78">
        <v>0.8</v>
      </c>
      <c r="P138" s="78">
        <v>0.75</v>
      </c>
      <c r="Q138" s="16">
        <f t="shared" si="3"/>
        <v>0.77500000000000002</v>
      </c>
      <c r="R138" s="78">
        <v>16.899999999999999</v>
      </c>
      <c r="S138" s="78">
        <v>102</v>
      </c>
      <c r="T138" s="16">
        <f t="shared" si="4"/>
        <v>33</v>
      </c>
      <c r="U138" s="78">
        <v>498</v>
      </c>
      <c r="V138" s="16">
        <f t="shared" si="5"/>
        <v>4108.5</v>
      </c>
      <c r="W138" s="78">
        <v>12</v>
      </c>
      <c r="X138" s="78" t="s">
        <v>35</v>
      </c>
      <c r="Y138" s="78" t="s">
        <v>43</v>
      </c>
      <c r="Z138" s="78" t="s">
        <v>55</v>
      </c>
      <c r="AA138" s="78" t="s">
        <v>51</v>
      </c>
      <c r="AB138" s="139" t="s">
        <v>381</v>
      </c>
    </row>
    <row r="139" spans="1:28" x14ac:dyDescent="0.15">
      <c r="A139" s="139" t="s">
        <v>48</v>
      </c>
      <c r="B139" s="139" t="s">
        <v>377</v>
      </c>
      <c r="C139" s="139">
        <v>2020</v>
      </c>
      <c r="D139" s="147" t="s">
        <v>378</v>
      </c>
      <c r="E139" s="139" t="s">
        <v>413</v>
      </c>
      <c r="F139" s="139" t="s">
        <v>397</v>
      </c>
      <c r="G139" s="139" t="s">
        <v>25</v>
      </c>
      <c r="H139" s="139" t="s">
        <v>167</v>
      </c>
      <c r="I139" s="78" t="s">
        <v>111</v>
      </c>
      <c r="J139" s="78" t="s">
        <v>27</v>
      </c>
      <c r="K139" s="78" t="s">
        <v>112</v>
      </c>
      <c r="L139" s="78">
        <v>3</v>
      </c>
      <c r="N139" s="78">
        <v>4</v>
      </c>
      <c r="O139" s="78">
        <v>0.65</v>
      </c>
      <c r="P139" s="78">
        <v>0.55000000000000004</v>
      </c>
      <c r="Q139" s="16">
        <f t="shared" si="3"/>
        <v>0.60000000000000009</v>
      </c>
      <c r="R139" s="78">
        <v>16.5</v>
      </c>
      <c r="S139" s="78">
        <v>101</v>
      </c>
      <c r="T139" s="16">
        <f t="shared" si="4"/>
        <v>33</v>
      </c>
      <c r="U139" s="78">
        <v>498</v>
      </c>
      <c r="V139" s="16">
        <f t="shared" si="5"/>
        <v>4108.5</v>
      </c>
      <c r="W139" s="78">
        <v>12</v>
      </c>
      <c r="X139" s="78" t="s">
        <v>35</v>
      </c>
      <c r="Y139" s="78" t="s">
        <v>43</v>
      </c>
      <c r="Z139" s="78" t="s">
        <v>55</v>
      </c>
      <c r="AA139" s="78" t="s">
        <v>51</v>
      </c>
      <c r="AB139" s="139" t="s">
        <v>381</v>
      </c>
    </row>
    <row r="140" spans="1:28" x14ac:dyDescent="0.15">
      <c r="A140" s="139" t="s">
        <v>48</v>
      </c>
      <c r="B140" s="139" t="s">
        <v>377</v>
      </c>
      <c r="C140" s="139">
        <v>2020</v>
      </c>
      <c r="D140" s="147" t="s">
        <v>378</v>
      </c>
      <c r="E140" s="139" t="s">
        <v>413</v>
      </c>
      <c r="F140" s="139" t="s">
        <v>397</v>
      </c>
      <c r="G140" s="139" t="s">
        <v>25</v>
      </c>
      <c r="H140" s="139" t="s">
        <v>113</v>
      </c>
      <c r="I140" s="78" t="s">
        <v>111</v>
      </c>
      <c r="J140" s="78" t="s">
        <v>27</v>
      </c>
      <c r="K140" s="78" t="s">
        <v>112</v>
      </c>
      <c r="L140" s="78">
        <v>1</v>
      </c>
      <c r="N140" s="78">
        <v>1</v>
      </c>
      <c r="O140" s="78">
        <v>0.7</v>
      </c>
      <c r="P140" s="78">
        <v>0.9</v>
      </c>
      <c r="Q140" s="16">
        <f t="shared" si="3"/>
        <v>0.8</v>
      </c>
      <c r="R140" s="78">
        <v>14.9</v>
      </c>
      <c r="S140" s="78">
        <v>141</v>
      </c>
      <c r="T140" s="16">
        <f t="shared" si="4"/>
        <v>22</v>
      </c>
      <c r="U140" s="78">
        <v>98</v>
      </c>
      <c r="V140" s="16">
        <f t="shared" si="5"/>
        <v>2156</v>
      </c>
      <c r="W140" s="78">
        <v>12</v>
      </c>
      <c r="X140" s="78" t="s">
        <v>35</v>
      </c>
      <c r="Y140" s="78" t="s">
        <v>43</v>
      </c>
      <c r="Z140" s="78" t="s">
        <v>55</v>
      </c>
      <c r="AA140" s="78" t="s">
        <v>51</v>
      </c>
      <c r="AB140" s="139" t="s">
        <v>381</v>
      </c>
    </row>
    <row r="141" spans="1:28" x14ac:dyDescent="0.15">
      <c r="A141" s="139" t="s">
        <v>48</v>
      </c>
      <c r="B141" s="139" t="s">
        <v>377</v>
      </c>
      <c r="C141" s="139">
        <v>2020</v>
      </c>
      <c r="D141" s="147" t="s">
        <v>378</v>
      </c>
      <c r="E141" s="139" t="s">
        <v>413</v>
      </c>
      <c r="F141" s="139" t="s">
        <v>397</v>
      </c>
      <c r="G141" s="139" t="s">
        <v>25</v>
      </c>
      <c r="H141" s="139" t="s">
        <v>113</v>
      </c>
      <c r="I141" s="78" t="s">
        <v>111</v>
      </c>
      <c r="J141" s="78" t="s">
        <v>27</v>
      </c>
      <c r="K141" s="78" t="s">
        <v>112</v>
      </c>
      <c r="L141" s="78">
        <v>2</v>
      </c>
      <c r="N141" s="78">
        <v>1</v>
      </c>
      <c r="O141" s="78">
        <v>0.7</v>
      </c>
      <c r="P141" s="78">
        <v>0.8</v>
      </c>
      <c r="Q141" s="16">
        <f t="shared" si="3"/>
        <v>0.75</v>
      </c>
      <c r="R141" s="78">
        <v>15.1</v>
      </c>
      <c r="S141" s="78">
        <v>144</v>
      </c>
      <c r="T141" s="16">
        <f t="shared" si="4"/>
        <v>22</v>
      </c>
      <c r="U141" s="78">
        <v>98</v>
      </c>
      <c r="V141" s="16">
        <f t="shared" si="5"/>
        <v>2156</v>
      </c>
      <c r="W141" s="78">
        <v>12</v>
      </c>
      <c r="X141" s="78" t="s">
        <v>35</v>
      </c>
      <c r="Y141" s="78" t="s">
        <v>43</v>
      </c>
      <c r="Z141" s="78" t="s">
        <v>55</v>
      </c>
      <c r="AA141" s="78" t="s">
        <v>51</v>
      </c>
      <c r="AB141" s="139" t="s">
        <v>381</v>
      </c>
    </row>
    <row r="142" spans="1:28" x14ac:dyDescent="0.15">
      <c r="A142" s="139" t="s">
        <v>48</v>
      </c>
      <c r="B142" s="139" t="s">
        <v>377</v>
      </c>
      <c r="C142" s="139">
        <v>2020</v>
      </c>
      <c r="D142" s="147" t="s">
        <v>378</v>
      </c>
      <c r="E142" s="139" t="s">
        <v>413</v>
      </c>
      <c r="F142" s="139" t="s">
        <v>397</v>
      </c>
      <c r="G142" s="139" t="s">
        <v>25</v>
      </c>
      <c r="H142" s="139" t="s">
        <v>113</v>
      </c>
      <c r="I142" s="78" t="s">
        <v>111</v>
      </c>
      <c r="J142" s="78" t="s">
        <v>27</v>
      </c>
      <c r="K142" s="78" t="s">
        <v>112</v>
      </c>
      <c r="L142" s="78">
        <v>3</v>
      </c>
      <c r="N142" s="78">
        <v>1</v>
      </c>
      <c r="O142" s="78">
        <v>0.8</v>
      </c>
      <c r="P142" s="78">
        <v>0.8</v>
      </c>
      <c r="Q142" s="16">
        <f t="shared" si="3"/>
        <v>0.8</v>
      </c>
      <c r="R142" s="78">
        <v>15</v>
      </c>
      <c r="S142" s="78">
        <v>139</v>
      </c>
      <c r="T142" s="16">
        <f t="shared" si="4"/>
        <v>22</v>
      </c>
      <c r="U142" s="78">
        <v>98</v>
      </c>
      <c r="V142" s="16">
        <f t="shared" si="5"/>
        <v>2156</v>
      </c>
      <c r="W142" s="78">
        <v>12</v>
      </c>
      <c r="X142" s="78" t="s">
        <v>35</v>
      </c>
      <c r="Y142" s="78" t="s">
        <v>43</v>
      </c>
      <c r="Z142" s="78" t="s">
        <v>55</v>
      </c>
      <c r="AA142" s="78" t="s">
        <v>51</v>
      </c>
      <c r="AB142" s="139" t="s">
        <v>381</v>
      </c>
    </row>
    <row r="143" spans="1:28" x14ac:dyDescent="0.15">
      <c r="A143" s="139" t="s">
        <v>48</v>
      </c>
      <c r="B143" s="139" t="s">
        <v>377</v>
      </c>
      <c r="C143" s="139">
        <v>2020</v>
      </c>
      <c r="D143" s="147" t="s">
        <v>378</v>
      </c>
      <c r="E143" s="139" t="s">
        <v>414</v>
      </c>
      <c r="F143" s="139" t="s">
        <v>397</v>
      </c>
      <c r="G143" s="139" t="s">
        <v>25</v>
      </c>
      <c r="H143" s="139" t="s">
        <v>167</v>
      </c>
      <c r="I143" s="78" t="s">
        <v>111</v>
      </c>
      <c r="J143" s="78" t="s">
        <v>27</v>
      </c>
      <c r="K143" s="78" t="s">
        <v>112</v>
      </c>
      <c r="L143" s="78">
        <v>1</v>
      </c>
      <c r="N143" s="78">
        <v>1</v>
      </c>
      <c r="O143" s="78">
        <v>0.6</v>
      </c>
      <c r="P143" s="78">
        <v>0.7</v>
      </c>
      <c r="Q143" s="16">
        <f t="shared" si="3"/>
        <v>0.64999999999999991</v>
      </c>
      <c r="R143" s="78">
        <v>18.7</v>
      </c>
      <c r="S143" s="78">
        <v>144</v>
      </c>
      <c r="T143" s="16">
        <f t="shared" si="4"/>
        <v>22</v>
      </c>
      <c r="U143" s="78">
        <v>138</v>
      </c>
      <c r="V143" s="16">
        <f t="shared" si="5"/>
        <v>3036</v>
      </c>
      <c r="W143" s="78">
        <v>10</v>
      </c>
      <c r="X143" s="78" t="s">
        <v>35</v>
      </c>
      <c r="Y143" s="78" t="s">
        <v>43</v>
      </c>
      <c r="Z143" s="78" t="s">
        <v>55</v>
      </c>
      <c r="AA143" s="78" t="s">
        <v>82</v>
      </c>
      <c r="AB143" s="139" t="s">
        <v>381</v>
      </c>
    </row>
    <row r="144" spans="1:28" x14ac:dyDescent="0.15">
      <c r="A144" s="139" t="s">
        <v>48</v>
      </c>
      <c r="B144" s="139" t="s">
        <v>377</v>
      </c>
      <c r="C144" s="139">
        <v>2020</v>
      </c>
      <c r="D144" s="147" t="s">
        <v>378</v>
      </c>
      <c r="E144" s="139" t="s">
        <v>414</v>
      </c>
      <c r="F144" s="139" t="s">
        <v>397</v>
      </c>
      <c r="G144" s="139" t="s">
        <v>25</v>
      </c>
      <c r="H144" s="139" t="s">
        <v>167</v>
      </c>
      <c r="I144" s="78" t="s">
        <v>111</v>
      </c>
      <c r="J144" s="78" t="s">
        <v>27</v>
      </c>
      <c r="K144" s="78" t="s">
        <v>112</v>
      </c>
      <c r="L144" s="78">
        <v>2</v>
      </c>
      <c r="N144" s="78">
        <v>1</v>
      </c>
      <c r="O144" s="78">
        <v>0.55000000000000004</v>
      </c>
      <c r="P144" s="78">
        <v>0.5</v>
      </c>
      <c r="Q144" s="16">
        <f t="shared" si="3"/>
        <v>0.52500000000000002</v>
      </c>
      <c r="R144" s="78">
        <v>15.6</v>
      </c>
      <c r="S144" s="78">
        <v>148</v>
      </c>
      <c r="T144" s="16">
        <f t="shared" si="4"/>
        <v>22</v>
      </c>
      <c r="U144" s="78">
        <v>138</v>
      </c>
      <c r="V144" s="16">
        <f t="shared" si="5"/>
        <v>3036</v>
      </c>
      <c r="W144" s="78">
        <v>10</v>
      </c>
      <c r="X144" s="78" t="s">
        <v>35</v>
      </c>
      <c r="Y144" s="78" t="s">
        <v>43</v>
      </c>
      <c r="Z144" s="78" t="s">
        <v>55</v>
      </c>
      <c r="AA144" s="78" t="s">
        <v>82</v>
      </c>
      <c r="AB144" s="139" t="s">
        <v>381</v>
      </c>
    </row>
    <row r="145" spans="1:28" x14ac:dyDescent="0.15">
      <c r="A145" s="139" t="s">
        <v>48</v>
      </c>
      <c r="B145" s="139" t="s">
        <v>377</v>
      </c>
      <c r="C145" s="139">
        <v>2020</v>
      </c>
      <c r="D145" s="147" t="s">
        <v>378</v>
      </c>
      <c r="E145" s="139" t="s">
        <v>414</v>
      </c>
      <c r="F145" s="139" t="s">
        <v>397</v>
      </c>
      <c r="G145" s="139" t="s">
        <v>25</v>
      </c>
      <c r="H145" s="139" t="s">
        <v>167</v>
      </c>
      <c r="I145" s="78" t="s">
        <v>111</v>
      </c>
      <c r="J145" s="78" t="s">
        <v>27</v>
      </c>
      <c r="K145" s="78" t="s">
        <v>112</v>
      </c>
      <c r="L145" s="78">
        <v>3</v>
      </c>
      <c r="N145" s="78">
        <v>1</v>
      </c>
      <c r="O145" s="78">
        <v>0.55000000000000004</v>
      </c>
      <c r="P145" s="78">
        <v>0.65</v>
      </c>
      <c r="Q145" s="16">
        <f t="shared" si="3"/>
        <v>0.60000000000000009</v>
      </c>
      <c r="R145" s="78">
        <v>20.3</v>
      </c>
      <c r="S145" s="78">
        <v>153</v>
      </c>
      <c r="T145" s="16">
        <f t="shared" si="4"/>
        <v>18</v>
      </c>
      <c r="U145" s="78">
        <v>138</v>
      </c>
      <c r="V145" s="16">
        <f t="shared" si="5"/>
        <v>2484</v>
      </c>
      <c r="W145" s="78">
        <v>10</v>
      </c>
      <c r="X145" s="78" t="s">
        <v>35</v>
      </c>
      <c r="Y145" s="78" t="s">
        <v>43</v>
      </c>
      <c r="Z145" s="78" t="s">
        <v>55</v>
      </c>
      <c r="AA145" s="78" t="s">
        <v>82</v>
      </c>
      <c r="AB145" s="139" t="s">
        <v>381</v>
      </c>
    </row>
    <row r="146" spans="1:28" x14ac:dyDescent="0.15">
      <c r="A146" s="139" t="s">
        <v>48</v>
      </c>
      <c r="B146" s="139" t="s">
        <v>377</v>
      </c>
      <c r="C146" s="139">
        <v>2020</v>
      </c>
      <c r="D146" s="147" t="s">
        <v>378</v>
      </c>
      <c r="E146" s="139" t="s">
        <v>414</v>
      </c>
      <c r="F146" s="139" t="s">
        <v>397</v>
      </c>
      <c r="G146" s="139" t="s">
        <v>25</v>
      </c>
      <c r="H146" s="139" t="s">
        <v>167</v>
      </c>
      <c r="I146" s="78" t="s">
        <v>111</v>
      </c>
      <c r="J146" s="78" t="s">
        <v>27</v>
      </c>
      <c r="K146" s="78" t="s">
        <v>112</v>
      </c>
      <c r="L146" s="78">
        <v>1</v>
      </c>
      <c r="N146" s="78">
        <v>8</v>
      </c>
      <c r="O146" s="78">
        <v>0.5</v>
      </c>
      <c r="P146" s="78">
        <v>0.6</v>
      </c>
      <c r="Q146" s="16">
        <f t="shared" si="3"/>
        <v>0.55000000000000004</v>
      </c>
      <c r="R146" s="78">
        <v>16.600000000000001</v>
      </c>
      <c r="S146" s="78">
        <v>115</v>
      </c>
      <c r="T146" s="16">
        <f t="shared" si="4"/>
        <v>30</v>
      </c>
      <c r="U146" s="78">
        <v>598</v>
      </c>
      <c r="V146" s="16">
        <f t="shared" si="5"/>
        <v>2242.5</v>
      </c>
      <c r="W146" s="78">
        <v>10</v>
      </c>
      <c r="X146" s="78" t="s">
        <v>35</v>
      </c>
      <c r="Y146" s="78" t="s">
        <v>43</v>
      </c>
      <c r="Z146" s="78" t="s">
        <v>55</v>
      </c>
      <c r="AA146" s="78" t="s">
        <v>82</v>
      </c>
      <c r="AB146" s="139" t="s">
        <v>381</v>
      </c>
    </row>
    <row r="147" spans="1:28" x14ac:dyDescent="0.15">
      <c r="A147" s="139" t="s">
        <v>48</v>
      </c>
      <c r="B147" s="139" t="s">
        <v>377</v>
      </c>
      <c r="C147" s="139">
        <v>2020</v>
      </c>
      <c r="D147" s="147" t="s">
        <v>378</v>
      </c>
      <c r="E147" s="139" t="s">
        <v>414</v>
      </c>
      <c r="F147" s="139" t="s">
        <v>397</v>
      </c>
      <c r="G147" s="139" t="s">
        <v>25</v>
      </c>
      <c r="H147" s="139" t="s">
        <v>167</v>
      </c>
      <c r="I147" s="78" t="s">
        <v>111</v>
      </c>
      <c r="J147" s="78" t="s">
        <v>27</v>
      </c>
      <c r="K147" s="78" t="s">
        <v>112</v>
      </c>
      <c r="L147" s="78">
        <v>2</v>
      </c>
      <c r="N147" s="78">
        <v>8</v>
      </c>
      <c r="O147" s="78">
        <v>0.55000000000000004</v>
      </c>
      <c r="P147" s="78">
        <v>0.55000000000000004</v>
      </c>
      <c r="Q147" s="16">
        <f t="shared" si="3"/>
        <v>0.55000000000000004</v>
      </c>
      <c r="R147" s="78">
        <v>15.4</v>
      </c>
      <c r="S147" s="78">
        <v>109</v>
      </c>
      <c r="T147" s="16">
        <f t="shared" si="4"/>
        <v>33</v>
      </c>
      <c r="U147" s="78">
        <v>598</v>
      </c>
      <c r="V147" s="16">
        <f t="shared" si="5"/>
        <v>2466.75</v>
      </c>
      <c r="W147" s="78">
        <v>10</v>
      </c>
      <c r="X147" s="78" t="s">
        <v>35</v>
      </c>
      <c r="Y147" s="78" t="s">
        <v>43</v>
      </c>
      <c r="Z147" s="78" t="s">
        <v>55</v>
      </c>
      <c r="AA147" s="78" t="s">
        <v>82</v>
      </c>
      <c r="AB147" s="139" t="s">
        <v>381</v>
      </c>
    </row>
    <row r="148" spans="1:28" x14ac:dyDescent="0.15">
      <c r="A148" s="139" t="s">
        <v>48</v>
      </c>
      <c r="B148" s="139" t="s">
        <v>377</v>
      </c>
      <c r="C148" s="139">
        <v>2020</v>
      </c>
      <c r="D148" s="147" t="s">
        <v>378</v>
      </c>
      <c r="E148" s="139" t="s">
        <v>414</v>
      </c>
      <c r="F148" s="139" t="s">
        <v>397</v>
      </c>
      <c r="G148" s="139" t="s">
        <v>25</v>
      </c>
      <c r="H148" s="139" t="s">
        <v>167</v>
      </c>
      <c r="I148" s="78" t="s">
        <v>111</v>
      </c>
      <c r="J148" s="78" t="s">
        <v>27</v>
      </c>
      <c r="K148" s="78" t="s">
        <v>112</v>
      </c>
      <c r="L148" s="78">
        <v>3</v>
      </c>
      <c r="N148" s="78">
        <v>8</v>
      </c>
      <c r="O148" s="78">
        <v>0.55000000000000004</v>
      </c>
      <c r="P148" s="78">
        <v>0.55000000000000004</v>
      </c>
      <c r="Q148" s="16">
        <f t="shared" si="3"/>
        <v>0.55000000000000004</v>
      </c>
      <c r="R148" s="78">
        <v>15.1</v>
      </c>
      <c r="S148" s="78">
        <v>112</v>
      </c>
      <c r="T148" s="16">
        <f t="shared" si="4"/>
        <v>33</v>
      </c>
      <c r="U148" s="78">
        <v>598</v>
      </c>
      <c r="V148" s="16">
        <f t="shared" si="5"/>
        <v>2466.75</v>
      </c>
      <c r="W148" s="78">
        <v>10</v>
      </c>
      <c r="X148" s="78" t="s">
        <v>35</v>
      </c>
      <c r="Y148" s="78" t="s">
        <v>43</v>
      </c>
      <c r="Z148" s="78" t="s">
        <v>55</v>
      </c>
      <c r="AA148" s="78" t="s">
        <v>82</v>
      </c>
      <c r="AB148" s="139" t="s">
        <v>381</v>
      </c>
    </row>
    <row r="149" spans="1:28" x14ac:dyDescent="0.15">
      <c r="A149" s="139" t="s">
        <v>48</v>
      </c>
      <c r="B149" s="139" t="s">
        <v>377</v>
      </c>
      <c r="C149" s="139">
        <v>2020</v>
      </c>
      <c r="D149" s="147" t="s">
        <v>378</v>
      </c>
      <c r="E149" s="139" t="s">
        <v>414</v>
      </c>
      <c r="F149" s="139" t="s">
        <v>397</v>
      </c>
      <c r="G149" s="139" t="s">
        <v>25</v>
      </c>
      <c r="H149" s="139" t="s">
        <v>113</v>
      </c>
      <c r="I149" s="78" t="s">
        <v>111</v>
      </c>
      <c r="J149" s="78" t="s">
        <v>27</v>
      </c>
      <c r="K149" s="78" t="s">
        <v>112</v>
      </c>
      <c r="L149" s="78">
        <v>1</v>
      </c>
      <c r="N149" s="78">
        <v>1</v>
      </c>
      <c r="O149" s="78">
        <v>0.75</v>
      </c>
      <c r="P149" s="78">
        <v>0.75</v>
      </c>
      <c r="Q149" s="16">
        <f t="shared" si="3"/>
        <v>0.75</v>
      </c>
      <c r="R149" s="78">
        <v>16.399999999999999</v>
      </c>
      <c r="S149" s="78">
        <v>134</v>
      </c>
      <c r="T149" s="16">
        <f t="shared" si="4"/>
        <v>25</v>
      </c>
      <c r="U149" s="78">
        <v>128</v>
      </c>
      <c r="V149" s="16">
        <f t="shared" si="5"/>
        <v>3200</v>
      </c>
      <c r="W149" s="78">
        <v>10</v>
      </c>
      <c r="X149" s="78" t="s">
        <v>35</v>
      </c>
      <c r="Y149" s="78" t="s">
        <v>43</v>
      </c>
      <c r="Z149" s="78" t="s">
        <v>55</v>
      </c>
      <c r="AA149" s="78" t="s">
        <v>82</v>
      </c>
      <c r="AB149" s="139" t="s">
        <v>381</v>
      </c>
    </row>
    <row r="150" spans="1:28" x14ac:dyDescent="0.15">
      <c r="A150" s="139" t="s">
        <v>48</v>
      </c>
      <c r="B150" s="139" t="s">
        <v>377</v>
      </c>
      <c r="C150" s="139">
        <v>2020</v>
      </c>
      <c r="D150" s="147" t="s">
        <v>378</v>
      </c>
      <c r="E150" s="139" t="s">
        <v>414</v>
      </c>
      <c r="F150" s="139" t="s">
        <v>397</v>
      </c>
      <c r="G150" s="139" t="s">
        <v>25</v>
      </c>
      <c r="H150" s="139" t="s">
        <v>113</v>
      </c>
      <c r="I150" s="78" t="s">
        <v>111</v>
      </c>
      <c r="J150" s="78" t="s">
        <v>27</v>
      </c>
      <c r="K150" s="78" t="s">
        <v>112</v>
      </c>
      <c r="L150" s="78">
        <v>2</v>
      </c>
      <c r="N150" s="78">
        <v>1</v>
      </c>
      <c r="O150" s="78">
        <v>1</v>
      </c>
      <c r="P150" s="78">
        <v>0.95</v>
      </c>
      <c r="Q150" s="16">
        <f t="shared" si="3"/>
        <v>0.97499999999999998</v>
      </c>
      <c r="R150" s="78">
        <v>14.5</v>
      </c>
      <c r="S150" s="78">
        <v>125</v>
      </c>
      <c r="T150" s="16">
        <f t="shared" si="4"/>
        <v>27</v>
      </c>
      <c r="U150" s="78">
        <v>128</v>
      </c>
      <c r="V150" s="16">
        <f t="shared" si="5"/>
        <v>3456</v>
      </c>
      <c r="W150" s="78">
        <v>10</v>
      </c>
      <c r="X150" s="78" t="s">
        <v>35</v>
      </c>
      <c r="Y150" s="78" t="s">
        <v>43</v>
      </c>
      <c r="Z150" s="78" t="s">
        <v>55</v>
      </c>
      <c r="AA150" s="78" t="s">
        <v>82</v>
      </c>
      <c r="AB150" s="139" t="s">
        <v>381</v>
      </c>
    </row>
    <row r="151" spans="1:28" x14ac:dyDescent="0.15">
      <c r="A151" s="139" t="s">
        <v>48</v>
      </c>
      <c r="B151" s="139" t="s">
        <v>377</v>
      </c>
      <c r="C151" s="139">
        <v>2020</v>
      </c>
      <c r="D151" s="147" t="s">
        <v>378</v>
      </c>
      <c r="E151" s="139" t="s">
        <v>414</v>
      </c>
      <c r="F151" s="139" t="s">
        <v>397</v>
      </c>
      <c r="G151" s="139" t="s">
        <v>25</v>
      </c>
      <c r="H151" s="139" t="s">
        <v>113</v>
      </c>
      <c r="I151" s="78" t="s">
        <v>111</v>
      </c>
      <c r="J151" s="78" t="s">
        <v>27</v>
      </c>
      <c r="K151" s="78" t="s">
        <v>112</v>
      </c>
      <c r="L151" s="78">
        <v>3</v>
      </c>
      <c r="N151" s="78">
        <v>1</v>
      </c>
      <c r="O151" s="78">
        <v>0.95</v>
      </c>
      <c r="P151" s="78">
        <v>1</v>
      </c>
      <c r="Q151" s="16">
        <f t="shared" si="3"/>
        <v>0.97499999999999998</v>
      </c>
      <c r="R151" s="78">
        <v>15.2</v>
      </c>
      <c r="S151" s="78">
        <v>123</v>
      </c>
      <c r="T151" s="16">
        <f t="shared" si="4"/>
        <v>27</v>
      </c>
      <c r="U151" s="78">
        <v>128</v>
      </c>
      <c r="V151" s="16">
        <f t="shared" si="5"/>
        <v>3456</v>
      </c>
      <c r="W151" s="78">
        <v>10</v>
      </c>
      <c r="X151" s="78" t="s">
        <v>35</v>
      </c>
      <c r="Y151" s="78" t="s">
        <v>43</v>
      </c>
      <c r="Z151" s="78" t="s">
        <v>55</v>
      </c>
      <c r="AA151" s="78" t="s">
        <v>82</v>
      </c>
      <c r="AB151" s="139" t="s">
        <v>381</v>
      </c>
    </row>
    <row r="152" spans="1:28" x14ac:dyDescent="0.15">
      <c r="A152" s="139" t="s">
        <v>48</v>
      </c>
      <c r="B152" s="139" t="s">
        <v>377</v>
      </c>
      <c r="C152" s="139">
        <v>2020</v>
      </c>
      <c r="D152" s="147" t="s">
        <v>378</v>
      </c>
      <c r="E152" s="139" t="s">
        <v>414</v>
      </c>
      <c r="F152" s="139" t="s">
        <v>397</v>
      </c>
      <c r="G152" s="139" t="s">
        <v>25</v>
      </c>
      <c r="H152" s="139" t="s">
        <v>113</v>
      </c>
      <c r="I152" s="78" t="s">
        <v>111</v>
      </c>
      <c r="J152" s="78" t="s">
        <v>27</v>
      </c>
      <c r="K152" s="78" t="s">
        <v>112</v>
      </c>
      <c r="L152" s="78">
        <v>1</v>
      </c>
      <c r="N152" s="78">
        <v>4</v>
      </c>
      <c r="O152" s="78">
        <v>1.8</v>
      </c>
      <c r="P152" s="78">
        <v>1.05</v>
      </c>
      <c r="Q152" s="16">
        <f t="shared" si="3"/>
        <v>1.425</v>
      </c>
      <c r="R152" s="78">
        <v>14.6</v>
      </c>
      <c r="S152" s="78">
        <v>91</v>
      </c>
      <c r="T152" s="16">
        <f t="shared" si="4"/>
        <v>36</v>
      </c>
      <c r="U152" s="78">
        <v>298</v>
      </c>
      <c r="V152" s="16">
        <f t="shared" si="5"/>
        <v>2682</v>
      </c>
      <c r="W152" s="78">
        <v>10</v>
      </c>
      <c r="X152" s="78" t="s">
        <v>35</v>
      </c>
      <c r="Y152" s="78" t="s">
        <v>43</v>
      </c>
      <c r="Z152" s="78" t="s">
        <v>55</v>
      </c>
      <c r="AA152" s="78" t="s">
        <v>82</v>
      </c>
      <c r="AB152" s="139" t="s">
        <v>381</v>
      </c>
    </row>
    <row r="153" spans="1:28" x14ac:dyDescent="0.15">
      <c r="A153" s="139" t="s">
        <v>48</v>
      </c>
      <c r="B153" s="139" t="s">
        <v>377</v>
      </c>
      <c r="C153" s="139">
        <v>2020</v>
      </c>
      <c r="D153" s="147" t="s">
        <v>378</v>
      </c>
      <c r="E153" s="139" t="s">
        <v>414</v>
      </c>
      <c r="F153" s="139" t="s">
        <v>397</v>
      </c>
      <c r="G153" s="139" t="s">
        <v>25</v>
      </c>
      <c r="H153" s="139" t="s">
        <v>113</v>
      </c>
      <c r="I153" s="78" t="s">
        <v>111</v>
      </c>
      <c r="J153" s="78" t="s">
        <v>27</v>
      </c>
      <c r="K153" s="78" t="s">
        <v>112</v>
      </c>
      <c r="L153" s="78">
        <v>2</v>
      </c>
      <c r="N153" s="78">
        <v>4</v>
      </c>
      <c r="O153" s="78">
        <v>0.75</v>
      </c>
      <c r="P153" s="78">
        <v>0.8</v>
      </c>
      <c r="Q153" s="16">
        <f t="shared" si="3"/>
        <v>0.77500000000000002</v>
      </c>
      <c r="R153" s="78">
        <v>13</v>
      </c>
      <c r="S153" s="78">
        <v>90</v>
      </c>
      <c r="T153" s="16">
        <f t="shared" si="4"/>
        <v>36</v>
      </c>
      <c r="U153" s="78">
        <v>298</v>
      </c>
      <c r="V153" s="16">
        <f t="shared" si="5"/>
        <v>2682</v>
      </c>
      <c r="W153" s="78">
        <v>10</v>
      </c>
      <c r="X153" s="78" t="s">
        <v>35</v>
      </c>
      <c r="Y153" s="78" t="s">
        <v>43</v>
      </c>
      <c r="Z153" s="78" t="s">
        <v>55</v>
      </c>
      <c r="AA153" s="78" t="s">
        <v>82</v>
      </c>
      <c r="AB153" s="139" t="s">
        <v>381</v>
      </c>
    </row>
    <row r="154" spans="1:28" x14ac:dyDescent="0.15">
      <c r="A154" s="139" t="s">
        <v>48</v>
      </c>
      <c r="B154" s="139" t="s">
        <v>377</v>
      </c>
      <c r="C154" s="139">
        <v>2020</v>
      </c>
      <c r="D154" s="147" t="s">
        <v>378</v>
      </c>
      <c r="E154" s="139" t="s">
        <v>414</v>
      </c>
      <c r="F154" s="139" t="s">
        <v>397</v>
      </c>
      <c r="G154" s="139" t="s">
        <v>25</v>
      </c>
      <c r="H154" s="139" t="s">
        <v>113</v>
      </c>
      <c r="I154" s="78" t="s">
        <v>111</v>
      </c>
      <c r="J154" s="78" t="s">
        <v>27</v>
      </c>
      <c r="K154" s="78" t="s">
        <v>112</v>
      </c>
      <c r="L154" s="78">
        <v>3</v>
      </c>
      <c r="N154" s="78">
        <v>4</v>
      </c>
      <c r="O154" s="78">
        <v>0.95</v>
      </c>
      <c r="P154" s="78">
        <v>1.05</v>
      </c>
      <c r="Q154" s="16">
        <f t="shared" si="3"/>
        <v>1</v>
      </c>
      <c r="R154" s="78">
        <v>14.4</v>
      </c>
      <c r="S154" s="78">
        <v>91</v>
      </c>
      <c r="T154" s="16">
        <f t="shared" si="4"/>
        <v>36</v>
      </c>
      <c r="U154" s="78">
        <v>298</v>
      </c>
      <c r="V154" s="16">
        <f t="shared" si="5"/>
        <v>2682</v>
      </c>
      <c r="W154" s="78">
        <v>10</v>
      </c>
      <c r="X154" s="78" t="s">
        <v>35</v>
      </c>
      <c r="Y154" s="78" t="s">
        <v>43</v>
      </c>
      <c r="Z154" s="78" t="s">
        <v>55</v>
      </c>
      <c r="AA154" s="78" t="s">
        <v>82</v>
      </c>
      <c r="AB154" s="139" t="s">
        <v>381</v>
      </c>
    </row>
    <row r="155" spans="1:28" x14ac:dyDescent="0.15">
      <c r="A155" s="139"/>
      <c r="B155" s="139"/>
      <c r="C155" s="139"/>
      <c r="D155" s="147"/>
      <c r="E155" s="139"/>
      <c r="F155" s="139"/>
      <c r="G155" s="139"/>
      <c r="H155" s="139"/>
      <c r="AB155" s="139"/>
    </row>
    <row r="156" spans="1:28" x14ac:dyDescent="0.15">
      <c r="A156" s="139"/>
      <c r="B156" s="139"/>
      <c r="C156" s="139"/>
      <c r="D156" s="147"/>
      <c r="E156" s="139"/>
      <c r="F156" s="139"/>
      <c r="G156" s="139"/>
      <c r="H156" s="139"/>
      <c r="AB156" s="139"/>
    </row>
    <row r="157" spans="1:28" x14ac:dyDescent="0.15">
      <c r="A157" s="139"/>
      <c r="B157" s="139"/>
      <c r="C157" s="139"/>
      <c r="D157" s="147"/>
      <c r="E157" s="139"/>
      <c r="F157" s="139"/>
      <c r="G157" s="139"/>
      <c r="H157" s="139"/>
      <c r="AB157" s="139"/>
    </row>
    <row r="158" spans="1:28" x14ac:dyDescent="0.15">
      <c r="A158" s="139"/>
      <c r="B158" s="139"/>
      <c r="C158" s="139"/>
      <c r="D158" s="147"/>
      <c r="E158" s="139"/>
      <c r="F158" s="139"/>
      <c r="G158" s="139"/>
      <c r="H158" s="139"/>
      <c r="AB158" s="139"/>
    </row>
    <row r="159" spans="1:28" x14ac:dyDescent="0.15">
      <c r="A159" s="139"/>
      <c r="B159" s="139"/>
      <c r="C159" s="139"/>
      <c r="D159" s="147"/>
      <c r="E159" s="139"/>
      <c r="F159" s="139"/>
      <c r="G159" s="139"/>
      <c r="H159" s="139"/>
      <c r="AB159" s="139"/>
    </row>
    <row r="160" spans="1:28" x14ac:dyDescent="0.15">
      <c r="A160" s="139"/>
      <c r="B160" s="139"/>
      <c r="C160" s="139"/>
      <c r="D160" s="147"/>
      <c r="E160" s="139"/>
      <c r="F160" s="139"/>
      <c r="G160" s="139"/>
      <c r="H160" s="139"/>
      <c r="AB160" s="139"/>
    </row>
    <row r="161" spans="1:28" x14ac:dyDescent="0.15">
      <c r="A161" s="139"/>
      <c r="B161" s="139"/>
      <c r="C161" s="139"/>
      <c r="D161" s="147"/>
      <c r="E161" s="139"/>
      <c r="F161" s="139"/>
      <c r="G161" s="139"/>
      <c r="H161" s="139"/>
      <c r="AB161" s="139"/>
    </row>
    <row r="162" spans="1:28" x14ac:dyDescent="0.15">
      <c r="A162" s="139"/>
      <c r="B162" s="139"/>
      <c r="C162" s="139"/>
      <c r="D162" s="147"/>
      <c r="E162" s="139"/>
      <c r="F162" s="139"/>
      <c r="G162" s="139"/>
      <c r="H162" s="139"/>
      <c r="AB162" s="139"/>
    </row>
    <row r="163" spans="1:28" x14ac:dyDescent="0.15">
      <c r="A163" s="139"/>
      <c r="B163" s="139"/>
      <c r="C163" s="139"/>
      <c r="D163" s="147"/>
      <c r="E163" s="139"/>
      <c r="F163" s="139"/>
      <c r="G163" s="139"/>
      <c r="H163" s="139"/>
      <c r="AB163" s="139"/>
    </row>
    <row r="164" spans="1:28" x14ac:dyDescent="0.15">
      <c r="A164" s="139"/>
      <c r="B164" s="139"/>
      <c r="C164" s="139"/>
      <c r="D164" s="147"/>
      <c r="E164" s="139"/>
      <c r="F164" s="139"/>
      <c r="G164" s="139"/>
      <c r="H164" s="139"/>
      <c r="AB164" s="139"/>
    </row>
    <row r="165" spans="1:28" x14ac:dyDescent="0.15">
      <c r="A165" s="139"/>
      <c r="B165" s="139"/>
      <c r="C165" s="139"/>
      <c r="D165" s="147"/>
      <c r="E165" s="139"/>
      <c r="F165" s="139"/>
      <c r="G165" s="139"/>
      <c r="H165" s="139"/>
      <c r="AB165" s="139"/>
    </row>
    <row r="166" spans="1:28" x14ac:dyDescent="0.15">
      <c r="A166" s="139"/>
      <c r="B166" s="139"/>
      <c r="C166" s="139"/>
      <c r="D166" s="147"/>
      <c r="E166" s="139"/>
      <c r="F166" s="139"/>
      <c r="G166" s="139"/>
      <c r="H166" s="139"/>
      <c r="AB166" s="139"/>
    </row>
    <row r="167" spans="1:28" x14ac:dyDescent="0.15">
      <c r="A167" s="139"/>
      <c r="B167" s="139"/>
      <c r="C167" s="139"/>
      <c r="D167" s="147"/>
      <c r="E167" s="139"/>
      <c r="F167" s="139"/>
      <c r="G167" s="139"/>
      <c r="H167" s="139"/>
      <c r="AB167" s="139"/>
    </row>
    <row r="168" spans="1:28" x14ac:dyDescent="0.15">
      <c r="A168" s="139"/>
      <c r="B168" s="139"/>
      <c r="C168" s="139"/>
      <c r="D168" s="147"/>
      <c r="E168" s="139"/>
      <c r="F168" s="139"/>
      <c r="G168" s="139"/>
      <c r="H168" s="139"/>
      <c r="AB168" s="139"/>
    </row>
    <row r="169" spans="1:28" x14ac:dyDescent="0.15">
      <c r="A169" s="139"/>
      <c r="B169" s="139"/>
      <c r="C169" s="139"/>
      <c r="D169" s="147"/>
      <c r="E169" s="139"/>
      <c r="F169" s="139"/>
      <c r="G169" s="139"/>
      <c r="H169" s="139"/>
      <c r="AB169" s="139"/>
    </row>
    <row r="170" spans="1:28" x14ac:dyDescent="0.15">
      <c r="A170" s="139"/>
      <c r="B170" s="139"/>
      <c r="C170" s="139"/>
      <c r="D170" s="147"/>
      <c r="E170" s="139"/>
      <c r="F170" s="139"/>
      <c r="G170" s="139"/>
      <c r="H170" s="139"/>
      <c r="AB170" s="139"/>
    </row>
    <row r="171" spans="1:28" x14ac:dyDescent="0.15">
      <c r="A171" s="139"/>
      <c r="B171" s="139"/>
      <c r="C171" s="139"/>
      <c r="D171" s="147"/>
      <c r="E171" s="139"/>
      <c r="F171" s="139"/>
      <c r="G171" s="139"/>
      <c r="H171" s="139"/>
      <c r="AB171" s="139"/>
    </row>
    <row r="172" spans="1:28" x14ac:dyDescent="0.15">
      <c r="A172" s="139"/>
      <c r="B172" s="139"/>
      <c r="C172" s="139"/>
      <c r="D172" s="147"/>
      <c r="E172" s="139"/>
      <c r="F172" s="139"/>
      <c r="G172" s="139"/>
      <c r="H172" s="139"/>
      <c r="AB172" s="139"/>
    </row>
    <row r="173" spans="1:28" x14ac:dyDescent="0.15">
      <c r="A173" s="139"/>
      <c r="B173" s="139"/>
      <c r="C173" s="139"/>
      <c r="D173" s="147"/>
      <c r="E173" s="139"/>
      <c r="F173" s="139"/>
      <c r="G173" s="139"/>
      <c r="H173" s="139"/>
      <c r="AB173" s="139"/>
    </row>
    <row r="174" spans="1:28" x14ac:dyDescent="0.15">
      <c r="A174" s="139"/>
      <c r="B174" s="139"/>
      <c r="C174" s="139"/>
      <c r="D174" s="147"/>
      <c r="E174" s="139"/>
      <c r="F174" s="139"/>
      <c r="G174" s="139"/>
      <c r="H174" s="139"/>
      <c r="AB174" s="139"/>
    </row>
    <row r="175" spans="1:28" x14ac:dyDescent="0.15">
      <c r="A175" s="139"/>
      <c r="B175" s="139"/>
      <c r="C175" s="139"/>
      <c r="D175" s="147"/>
      <c r="E175" s="139"/>
      <c r="F175" s="139"/>
      <c r="G175" s="139"/>
      <c r="H175" s="139"/>
      <c r="AB175" s="139"/>
    </row>
    <row r="176" spans="1:28" x14ac:dyDescent="0.15">
      <c r="A176" s="139"/>
      <c r="B176" s="139"/>
      <c r="C176" s="139"/>
      <c r="D176" s="147"/>
      <c r="E176" s="139"/>
      <c r="F176" s="139"/>
      <c r="G176" s="139"/>
      <c r="H176" s="139"/>
      <c r="AB176" s="139"/>
    </row>
    <row r="177" spans="1:28" x14ac:dyDescent="0.15">
      <c r="A177" s="139"/>
      <c r="B177" s="139"/>
      <c r="C177" s="139"/>
      <c r="D177" s="147"/>
      <c r="E177" s="139"/>
      <c r="F177" s="139"/>
      <c r="G177" s="139"/>
      <c r="H177" s="139"/>
      <c r="AB177" s="139"/>
    </row>
    <row r="178" spans="1:28" x14ac:dyDescent="0.15">
      <c r="A178" s="139"/>
      <c r="B178" s="139"/>
      <c r="C178" s="139"/>
      <c r="D178" s="147"/>
      <c r="E178" s="139"/>
      <c r="F178" s="139"/>
      <c r="G178" s="139"/>
      <c r="H178" s="139"/>
      <c r="AB178" s="139"/>
    </row>
    <row r="179" spans="1:28" x14ac:dyDescent="0.15">
      <c r="A179" s="139"/>
      <c r="B179" s="139"/>
      <c r="C179" s="139"/>
      <c r="D179" s="147"/>
      <c r="E179" s="139"/>
      <c r="F179" s="139"/>
      <c r="G179" s="139"/>
      <c r="H179" s="139"/>
      <c r="AB179" s="139"/>
    </row>
    <row r="180" spans="1:28" x14ac:dyDescent="0.15">
      <c r="A180" s="139"/>
      <c r="B180" s="139"/>
      <c r="C180" s="139"/>
      <c r="D180" s="147"/>
      <c r="E180" s="139"/>
      <c r="F180" s="139"/>
      <c r="G180" s="139"/>
      <c r="H180" s="139"/>
      <c r="AB180" s="139"/>
    </row>
    <row r="181" spans="1:28" x14ac:dyDescent="0.15">
      <c r="A181" s="139"/>
      <c r="B181" s="139"/>
      <c r="C181" s="139"/>
      <c r="D181" s="147"/>
      <c r="E181" s="139"/>
      <c r="F181" s="139"/>
      <c r="G181" s="139"/>
      <c r="H181" s="139"/>
      <c r="AB181" s="139"/>
    </row>
    <row r="182" spans="1:28" x14ac:dyDescent="0.15">
      <c r="A182" s="139"/>
      <c r="B182" s="139"/>
      <c r="C182" s="139"/>
      <c r="D182" s="147"/>
      <c r="E182" s="139"/>
      <c r="F182" s="139"/>
      <c r="G182" s="139"/>
      <c r="H182" s="139"/>
      <c r="AB182" s="139"/>
    </row>
    <row r="183" spans="1:28" x14ac:dyDescent="0.15">
      <c r="A183" s="139"/>
      <c r="B183" s="139"/>
      <c r="C183" s="139"/>
      <c r="D183" s="147"/>
      <c r="E183" s="139"/>
      <c r="F183" s="139"/>
      <c r="G183" s="139"/>
      <c r="H183" s="139"/>
      <c r="AB183" s="139"/>
    </row>
    <row r="184" spans="1:28" x14ac:dyDescent="0.15">
      <c r="A184" s="139"/>
      <c r="B184" s="139"/>
      <c r="C184" s="139"/>
      <c r="D184" s="147"/>
      <c r="E184" s="139"/>
      <c r="F184" s="139"/>
      <c r="G184" s="139"/>
      <c r="H184" s="139"/>
      <c r="AB184" s="139"/>
    </row>
    <row r="185" spans="1:28" x14ac:dyDescent="0.15">
      <c r="A185" s="139"/>
      <c r="B185" s="139"/>
      <c r="C185" s="139"/>
      <c r="D185" s="147"/>
      <c r="E185" s="139"/>
      <c r="F185" s="139"/>
      <c r="G185" s="139"/>
      <c r="H185" s="139"/>
      <c r="AB185" s="139"/>
    </row>
    <row r="186" spans="1:28" x14ac:dyDescent="0.15">
      <c r="A186" s="139"/>
      <c r="B186" s="139"/>
      <c r="C186" s="139"/>
      <c r="D186" s="147"/>
      <c r="E186" s="139"/>
      <c r="F186" s="139"/>
      <c r="G186" s="139"/>
      <c r="H186" s="139"/>
      <c r="AB186" s="139"/>
    </row>
    <row r="187" spans="1:28" x14ac:dyDescent="0.15">
      <c r="A187" s="139"/>
      <c r="B187" s="139"/>
      <c r="C187" s="139"/>
      <c r="D187" s="147"/>
      <c r="E187" s="139"/>
      <c r="F187" s="139"/>
      <c r="G187" s="139"/>
      <c r="H187" s="139"/>
      <c r="AB187" s="139"/>
    </row>
    <row r="188" spans="1:28" x14ac:dyDescent="0.15">
      <c r="A188" s="139"/>
      <c r="B188" s="139"/>
      <c r="C188" s="139"/>
      <c r="D188" s="147"/>
      <c r="E188" s="139"/>
      <c r="F188" s="139"/>
      <c r="G188" s="139"/>
      <c r="H188" s="139"/>
      <c r="AB188" s="139"/>
    </row>
    <row r="189" spans="1:28" x14ac:dyDescent="0.15">
      <c r="A189" s="139"/>
      <c r="B189" s="139"/>
      <c r="C189" s="139"/>
      <c r="D189" s="147"/>
      <c r="E189" s="139"/>
      <c r="F189" s="139"/>
      <c r="G189" s="139"/>
      <c r="H189" s="139"/>
      <c r="AB189" s="139"/>
    </row>
    <row r="190" spans="1:28" x14ac:dyDescent="0.15">
      <c r="A190" s="139"/>
      <c r="B190" s="139"/>
      <c r="C190" s="139"/>
      <c r="D190" s="147"/>
      <c r="E190" s="139"/>
      <c r="F190" s="139"/>
      <c r="G190" s="139"/>
      <c r="H190" s="139"/>
      <c r="AB190" s="139"/>
    </row>
    <row r="191" spans="1:28" x14ac:dyDescent="0.15">
      <c r="A191" s="139"/>
      <c r="B191" s="139"/>
      <c r="C191" s="139"/>
      <c r="D191" s="147"/>
      <c r="E191" s="139"/>
      <c r="F191" s="139"/>
      <c r="G191" s="139"/>
      <c r="H191" s="139"/>
      <c r="AB191" s="139"/>
    </row>
    <row r="192" spans="1:28" x14ac:dyDescent="0.15">
      <c r="A192" s="139"/>
      <c r="B192" s="139"/>
      <c r="C192" s="139"/>
      <c r="D192" s="147"/>
      <c r="E192" s="139"/>
      <c r="F192" s="139"/>
      <c r="G192" s="139"/>
      <c r="H192" s="139"/>
      <c r="AB192" s="139"/>
    </row>
    <row r="193" spans="1:28" x14ac:dyDescent="0.15">
      <c r="A193" s="139"/>
      <c r="B193" s="139"/>
      <c r="C193" s="139"/>
      <c r="D193" s="147"/>
      <c r="E193" s="139"/>
      <c r="F193" s="139"/>
      <c r="G193" s="139"/>
      <c r="H193" s="139"/>
      <c r="AB193" s="139"/>
    </row>
    <row r="194" spans="1:28" x14ac:dyDescent="0.15">
      <c r="A194" s="139"/>
      <c r="B194" s="139"/>
      <c r="C194" s="139"/>
      <c r="D194" s="147"/>
      <c r="E194" s="139"/>
      <c r="F194" s="139"/>
      <c r="G194" s="139"/>
      <c r="H194" s="139"/>
      <c r="AB194" s="139"/>
    </row>
    <row r="195" spans="1:28" x14ac:dyDescent="0.15">
      <c r="A195" s="139"/>
      <c r="B195" s="139"/>
      <c r="C195" s="139"/>
      <c r="D195" s="147"/>
      <c r="E195" s="139"/>
      <c r="F195" s="139"/>
      <c r="G195" s="139"/>
      <c r="H195" s="139"/>
      <c r="AB195" s="139"/>
    </row>
    <row r="196" spans="1:28" x14ac:dyDescent="0.15">
      <c r="A196" s="139"/>
      <c r="B196" s="139"/>
      <c r="C196" s="139"/>
      <c r="D196" s="147"/>
      <c r="E196" s="139"/>
      <c r="F196" s="139"/>
      <c r="G196" s="139"/>
      <c r="H196" s="139"/>
      <c r="AB196" s="139"/>
    </row>
    <row r="197" spans="1:28" x14ac:dyDescent="0.15">
      <c r="A197" s="139"/>
      <c r="B197" s="139"/>
      <c r="C197" s="139"/>
      <c r="D197" s="147"/>
      <c r="E197" s="139"/>
      <c r="F197" s="139"/>
      <c r="G197" s="139"/>
      <c r="H197" s="139"/>
      <c r="AB197" s="139"/>
    </row>
    <row r="198" spans="1:28" x14ac:dyDescent="0.15">
      <c r="A198" s="139"/>
      <c r="B198" s="139"/>
      <c r="C198" s="139"/>
      <c r="D198" s="147"/>
      <c r="E198" s="139"/>
      <c r="F198" s="139"/>
      <c r="G198" s="139"/>
      <c r="H198" s="139"/>
      <c r="AB198" s="139"/>
    </row>
    <row r="199" spans="1:28" x14ac:dyDescent="0.15">
      <c r="A199" s="139"/>
      <c r="B199" s="139"/>
      <c r="C199" s="139"/>
      <c r="D199" s="147"/>
      <c r="E199" s="139"/>
      <c r="F199" s="139"/>
      <c r="G199" s="139"/>
      <c r="H199" s="139"/>
      <c r="AB199" s="139"/>
    </row>
    <row r="200" spans="1:28" x14ac:dyDescent="0.15">
      <c r="A200" s="139"/>
      <c r="B200" s="139"/>
      <c r="C200" s="139"/>
      <c r="D200" s="147"/>
      <c r="E200" s="139"/>
      <c r="F200" s="139"/>
      <c r="G200" s="139"/>
      <c r="H200" s="139"/>
      <c r="AB200" s="139"/>
    </row>
    <row r="201" spans="1:28" x14ac:dyDescent="0.15">
      <c r="A201" s="139"/>
      <c r="B201" s="139"/>
      <c r="C201" s="139"/>
      <c r="D201" s="147"/>
      <c r="E201" s="139"/>
      <c r="F201" s="139"/>
      <c r="G201" s="139"/>
      <c r="H201" s="139"/>
      <c r="AB201" s="139"/>
    </row>
    <row r="202" spans="1:28" x14ac:dyDescent="0.15">
      <c r="A202" s="139"/>
      <c r="B202" s="139"/>
      <c r="C202" s="139"/>
      <c r="D202" s="147"/>
      <c r="E202" s="139"/>
      <c r="F202" s="139"/>
      <c r="G202" s="139"/>
      <c r="H202" s="139"/>
      <c r="AB202" s="139"/>
    </row>
    <row r="203" spans="1:28" x14ac:dyDescent="0.15">
      <c r="A203" s="139"/>
      <c r="B203" s="139"/>
      <c r="C203" s="139"/>
      <c r="D203" s="147"/>
      <c r="E203" s="139"/>
      <c r="F203" s="139"/>
      <c r="G203" s="139"/>
      <c r="H203" s="139"/>
      <c r="AB203" s="139"/>
    </row>
    <row r="204" spans="1:28" x14ac:dyDescent="0.15">
      <c r="A204" s="139"/>
      <c r="B204" s="139"/>
      <c r="C204" s="139"/>
      <c r="D204" s="147"/>
      <c r="E204" s="139"/>
      <c r="F204" s="139"/>
      <c r="G204" s="139"/>
      <c r="H204" s="139"/>
      <c r="AB204" s="139"/>
    </row>
    <row r="205" spans="1:28" x14ac:dyDescent="0.15">
      <c r="A205" s="139"/>
      <c r="B205" s="139"/>
      <c r="C205" s="139"/>
      <c r="D205" s="147"/>
      <c r="E205" s="139"/>
      <c r="F205" s="139"/>
      <c r="G205" s="139"/>
      <c r="H205" s="139"/>
      <c r="AB205" s="139"/>
    </row>
    <row r="206" spans="1:28" x14ac:dyDescent="0.15">
      <c r="A206" s="139"/>
      <c r="B206" s="139"/>
      <c r="C206" s="139"/>
      <c r="D206" s="147"/>
      <c r="E206" s="139"/>
      <c r="F206" s="139"/>
      <c r="G206" s="139"/>
      <c r="H206" s="139"/>
      <c r="AB206" s="139"/>
    </row>
    <row r="207" spans="1:28" x14ac:dyDescent="0.15">
      <c r="A207" s="139"/>
      <c r="B207" s="139"/>
      <c r="C207" s="139"/>
      <c r="D207" s="147"/>
      <c r="E207" s="139"/>
      <c r="F207" s="139"/>
      <c r="G207" s="139"/>
      <c r="H207" s="139"/>
      <c r="AB207" s="139"/>
    </row>
    <row r="208" spans="1:28" x14ac:dyDescent="0.15">
      <c r="A208" s="139"/>
      <c r="B208" s="139"/>
      <c r="C208" s="139"/>
      <c r="D208" s="147"/>
      <c r="E208" s="139"/>
      <c r="F208" s="139"/>
      <c r="G208" s="139"/>
      <c r="H208" s="139"/>
      <c r="AB208" s="139"/>
    </row>
    <row r="209" spans="1:28" x14ac:dyDescent="0.15">
      <c r="A209" s="139"/>
      <c r="B209" s="139"/>
      <c r="C209" s="139"/>
      <c r="D209" s="147"/>
      <c r="E209" s="139"/>
      <c r="F209" s="139"/>
      <c r="G209" s="139"/>
      <c r="H209" s="139"/>
      <c r="AB209" s="139"/>
    </row>
    <row r="210" spans="1:28" x14ac:dyDescent="0.15">
      <c r="A210" s="139"/>
      <c r="B210" s="139"/>
      <c r="C210" s="139"/>
      <c r="D210" s="147"/>
      <c r="E210" s="139"/>
      <c r="F210" s="139"/>
      <c r="G210" s="139"/>
      <c r="H210" s="139"/>
      <c r="AB210" s="139"/>
    </row>
    <row r="211" spans="1:28" x14ac:dyDescent="0.15">
      <c r="A211" s="139"/>
      <c r="B211" s="139"/>
      <c r="C211" s="139"/>
      <c r="D211" s="147"/>
      <c r="E211" s="139"/>
      <c r="F211" s="139"/>
      <c r="G211" s="139"/>
      <c r="H211" s="139"/>
      <c r="AB211" s="139"/>
    </row>
    <row r="212" spans="1:28" x14ac:dyDescent="0.15">
      <c r="A212" s="139"/>
      <c r="B212" s="139"/>
      <c r="C212" s="139"/>
      <c r="D212" s="147"/>
      <c r="E212" s="139"/>
      <c r="F212" s="139"/>
      <c r="G212" s="139"/>
      <c r="H212" s="139"/>
      <c r="AB212" s="139"/>
    </row>
    <row r="213" spans="1:28" x14ac:dyDescent="0.15">
      <c r="A213" s="139"/>
      <c r="B213" s="139"/>
      <c r="C213" s="139"/>
      <c r="D213" s="147"/>
      <c r="E213" s="139"/>
      <c r="F213" s="139"/>
      <c r="G213" s="139"/>
      <c r="H213" s="139"/>
      <c r="AB213" s="139"/>
    </row>
    <row r="214" spans="1:28" x14ac:dyDescent="0.15">
      <c r="A214" s="139"/>
      <c r="B214" s="139"/>
      <c r="C214" s="139"/>
      <c r="D214" s="147"/>
      <c r="E214" s="139"/>
      <c r="F214" s="139"/>
      <c r="G214" s="139"/>
      <c r="H214" s="139"/>
      <c r="AB214" s="139"/>
    </row>
    <row r="215" spans="1:28" x14ac:dyDescent="0.15">
      <c r="A215" s="139"/>
      <c r="B215" s="139"/>
      <c r="C215" s="139"/>
      <c r="D215" s="147"/>
      <c r="E215" s="139"/>
      <c r="F215" s="139"/>
      <c r="G215" s="139"/>
      <c r="H215" s="139"/>
      <c r="AB215" s="139"/>
    </row>
    <row r="216" spans="1:28" x14ac:dyDescent="0.15">
      <c r="A216" s="139"/>
      <c r="B216" s="139"/>
      <c r="C216" s="139"/>
      <c r="D216" s="147"/>
      <c r="E216" s="139"/>
      <c r="F216" s="139"/>
      <c r="G216" s="139"/>
      <c r="H216" s="139"/>
      <c r="AB216" s="139"/>
    </row>
    <row r="217" spans="1:28" x14ac:dyDescent="0.15">
      <c r="A217" s="139"/>
      <c r="B217" s="139"/>
      <c r="C217" s="139"/>
      <c r="D217" s="147"/>
      <c r="E217" s="139"/>
      <c r="F217" s="139"/>
      <c r="G217" s="139"/>
      <c r="H217" s="139"/>
      <c r="AB217" s="139"/>
    </row>
    <row r="218" spans="1:28" x14ac:dyDescent="0.15">
      <c r="A218" s="139"/>
      <c r="B218" s="139"/>
      <c r="C218" s="139"/>
      <c r="D218" s="147"/>
      <c r="E218" s="139"/>
      <c r="F218" s="139"/>
      <c r="G218" s="139"/>
      <c r="H218" s="139"/>
      <c r="AB218" s="139"/>
    </row>
    <row r="219" spans="1:28" x14ac:dyDescent="0.15">
      <c r="A219" s="139"/>
      <c r="B219" s="139"/>
      <c r="C219" s="139"/>
      <c r="D219" s="147"/>
      <c r="E219" s="139"/>
      <c r="F219" s="139"/>
      <c r="G219" s="139"/>
      <c r="H219" s="139"/>
      <c r="AB219" s="139"/>
    </row>
    <row r="220" spans="1:28" x14ac:dyDescent="0.15">
      <c r="A220" s="139"/>
      <c r="B220" s="139"/>
      <c r="C220" s="139"/>
      <c r="D220" s="147"/>
      <c r="E220" s="139"/>
      <c r="F220" s="139"/>
      <c r="G220" s="139"/>
      <c r="H220" s="139"/>
      <c r="AB220" s="139"/>
    </row>
    <row r="221" spans="1:28" x14ac:dyDescent="0.15">
      <c r="A221" s="139"/>
      <c r="B221" s="139"/>
      <c r="C221" s="139"/>
      <c r="D221" s="147"/>
      <c r="E221" s="139"/>
      <c r="F221" s="139"/>
      <c r="G221" s="139"/>
      <c r="H221" s="139"/>
      <c r="AB221" s="139"/>
    </row>
    <row r="222" spans="1:28" x14ac:dyDescent="0.15">
      <c r="A222" s="139"/>
      <c r="B222" s="139"/>
      <c r="C222" s="139"/>
      <c r="D222" s="147"/>
      <c r="E222" s="139"/>
      <c r="F222" s="139"/>
      <c r="G222" s="139"/>
      <c r="H222" s="139"/>
      <c r="AB222" s="139"/>
    </row>
    <row r="223" spans="1:28" x14ac:dyDescent="0.15">
      <c r="A223" s="139"/>
      <c r="B223" s="139"/>
      <c r="C223" s="139"/>
      <c r="D223" s="147"/>
      <c r="E223" s="139"/>
      <c r="F223" s="139"/>
      <c r="G223" s="139"/>
      <c r="H223" s="139"/>
      <c r="AB223" s="139"/>
    </row>
    <row r="224" spans="1:28" x14ac:dyDescent="0.15">
      <c r="A224" s="139"/>
      <c r="B224" s="139"/>
      <c r="C224" s="139"/>
      <c r="D224" s="147"/>
      <c r="E224" s="139"/>
      <c r="F224" s="139"/>
      <c r="G224" s="139"/>
      <c r="H224" s="139"/>
      <c r="AB224" s="139"/>
    </row>
    <row r="225" spans="1:28" x14ac:dyDescent="0.15">
      <c r="A225" s="139"/>
      <c r="B225" s="139"/>
      <c r="C225" s="139"/>
      <c r="D225" s="147"/>
      <c r="E225" s="139"/>
      <c r="F225" s="139"/>
      <c r="G225" s="139"/>
      <c r="H225" s="139"/>
      <c r="AB225" s="139"/>
    </row>
    <row r="226" spans="1:28" x14ac:dyDescent="0.15">
      <c r="A226" s="139"/>
      <c r="B226" s="139"/>
      <c r="C226" s="139"/>
      <c r="D226" s="147"/>
      <c r="E226" s="139"/>
      <c r="F226" s="139"/>
      <c r="G226" s="139"/>
      <c r="H226" s="139"/>
      <c r="AB226" s="139"/>
    </row>
    <row r="227" spans="1:28" x14ac:dyDescent="0.15">
      <c r="A227" s="139"/>
      <c r="B227" s="139"/>
      <c r="C227" s="139"/>
      <c r="D227" s="147"/>
      <c r="E227" s="139"/>
      <c r="F227" s="139"/>
      <c r="G227" s="139"/>
      <c r="H227" s="139"/>
      <c r="AB227" s="139"/>
    </row>
    <row r="228" spans="1:28" x14ac:dyDescent="0.15">
      <c r="A228" s="139"/>
      <c r="B228" s="139"/>
      <c r="C228" s="139"/>
      <c r="D228" s="147"/>
      <c r="E228" s="139"/>
      <c r="F228" s="139"/>
      <c r="G228" s="139"/>
      <c r="H228" s="139"/>
      <c r="AB228" s="139"/>
    </row>
    <row r="229" spans="1:28" x14ac:dyDescent="0.15">
      <c r="A229" s="139"/>
      <c r="B229" s="139"/>
      <c r="C229" s="139"/>
      <c r="D229" s="147"/>
      <c r="E229" s="139"/>
      <c r="F229" s="139"/>
      <c r="G229" s="139"/>
      <c r="H229" s="139"/>
      <c r="AB229" s="139"/>
    </row>
    <row r="230" spans="1:28" x14ac:dyDescent="0.15">
      <c r="A230" s="139"/>
      <c r="B230" s="139"/>
      <c r="C230" s="139"/>
      <c r="D230" s="147"/>
      <c r="E230" s="139"/>
      <c r="F230" s="139"/>
      <c r="G230" s="139"/>
      <c r="H230" s="139"/>
      <c r="AB230" s="139"/>
    </row>
    <row r="231" spans="1:28" x14ac:dyDescent="0.15">
      <c r="A231" s="139"/>
      <c r="B231" s="139"/>
      <c r="C231" s="139"/>
      <c r="D231" s="147"/>
      <c r="E231" s="139"/>
      <c r="F231" s="139"/>
      <c r="G231" s="139"/>
      <c r="H231" s="139"/>
      <c r="AB231" s="139"/>
    </row>
    <row r="232" spans="1:28" x14ac:dyDescent="0.15">
      <c r="A232" s="139"/>
      <c r="B232" s="139"/>
      <c r="C232" s="139"/>
      <c r="D232" s="147"/>
      <c r="E232" s="139"/>
      <c r="F232" s="139"/>
      <c r="G232" s="139"/>
      <c r="H232" s="139"/>
      <c r="AB232" s="139"/>
    </row>
    <row r="233" spans="1:28" x14ac:dyDescent="0.15">
      <c r="A233" s="139"/>
      <c r="B233" s="139"/>
      <c r="C233" s="139"/>
      <c r="D233" s="147"/>
      <c r="E233" s="139"/>
      <c r="F233" s="139"/>
      <c r="G233" s="139"/>
      <c r="H233" s="139"/>
      <c r="AB233" s="139"/>
    </row>
    <row r="234" spans="1:28" x14ac:dyDescent="0.15">
      <c r="A234" s="139"/>
      <c r="B234" s="139"/>
      <c r="C234" s="139"/>
      <c r="D234" s="147"/>
      <c r="E234" s="139"/>
      <c r="F234" s="139"/>
      <c r="G234" s="139"/>
      <c r="H234" s="139"/>
      <c r="AB234" s="139"/>
    </row>
    <row r="235" spans="1:28" x14ac:dyDescent="0.15">
      <c r="A235" s="139"/>
      <c r="B235" s="139"/>
      <c r="C235" s="139"/>
      <c r="D235" s="147"/>
      <c r="E235" s="139"/>
      <c r="F235" s="139"/>
      <c r="G235" s="139"/>
      <c r="H235" s="139"/>
      <c r="AB235" s="139"/>
    </row>
    <row r="236" spans="1:28" x14ac:dyDescent="0.15">
      <c r="A236" s="139"/>
      <c r="B236" s="139"/>
      <c r="C236" s="139"/>
      <c r="D236" s="147"/>
      <c r="E236" s="139"/>
      <c r="F236" s="139"/>
      <c r="G236" s="139"/>
      <c r="H236" s="139"/>
      <c r="AB236" s="139"/>
    </row>
    <row r="237" spans="1:28" x14ac:dyDescent="0.15">
      <c r="A237" s="139"/>
      <c r="B237" s="139"/>
      <c r="C237" s="139"/>
      <c r="D237" s="147"/>
      <c r="E237" s="139"/>
      <c r="F237" s="139"/>
      <c r="G237" s="139"/>
      <c r="H237" s="139"/>
      <c r="AB237" s="139"/>
    </row>
    <row r="238" spans="1:28" x14ac:dyDescent="0.15">
      <c r="A238" s="139"/>
      <c r="B238" s="139"/>
      <c r="C238" s="139"/>
      <c r="D238" s="147"/>
      <c r="E238" s="139"/>
      <c r="F238" s="139"/>
      <c r="G238" s="139"/>
      <c r="H238" s="139"/>
      <c r="AB238" s="139"/>
    </row>
    <row r="239" spans="1:28" x14ac:dyDescent="0.15">
      <c r="A239" s="139"/>
      <c r="B239" s="139"/>
      <c r="C239" s="139"/>
      <c r="D239" s="147"/>
      <c r="E239" s="139"/>
      <c r="F239" s="139"/>
      <c r="G239" s="139"/>
      <c r="H239" s="139"/>
      <c r="AB239" s="139"/>
    </row>
    <row r="240" spans="1:28" x14ac:dyDescent="0.15">
      <c r="A240" s="139"/>
      <c r="B240" s="139"/>
      <c r="C240" s="139"/>
      <c r="D240" s="147"/>
      <c r="E240" s="139"/>
      <c r="F240" s="139"/>
      <c r="G240" s="139"/>
      <c r="H240" s="139"/>
      <c r="AB240" s="139"/>
    </row>
    <row r="241" spans="1:28" x14ac:dyDescent="0.15">
      <c r="A241" s="139"/>
      <c r="B241" s="139"/>
      <c r="C241" s="139"/>
      <c r="D241" s="147"/>
      <c r="E241" s="139"/>
      <c r="F241" s="139"/>
      <c r="G241" s="139"/>
      <c r="H241" s="139"/>
      <c r="AB241" s="139"/>
    </row>
    <row r="242" spans="1:28" x14ac:dyDescent="0.15">
      <c r="A242" s="139"/>
      <c r="B242" s="139"/>
      <c r="C242" s="139"/>
      <c r="D242" s="147"/>
      <c r="E242" s="139"/>
      <c r="F242" s="139"/>
      <c r="G242" s="139"/>
      <c r="H242" s="139"/>
      <c r="AB242" s="139"/>
    </row>
    <row r="243" spans="1:28" x14ac:dyDescent="0.15">
      <c r="A243" s="139"/>
      <c r="B243" s="139"/>
      <c r="C243" s="139"/>
      <c r="D243" s="147"/>
      <c r="E243" s="139"/>
      <c r="F243" s="139"/>
      <c r="G243" s="139"/>
      <c r="H243" s="139"/>
      <c r="AB243" s="139"/>
    </row>
    <row r="244" spans="1:28" x14ac:dyDescent="0.15">
      <c r="A244" s="139"/>
      <c r="B244" s="139"/>
      <c r="C244" s="139"/>
      <c r="D244" s="147"/>
      <c r="E244" s="139"/>
      <c r="F244" s="139"/>
      <c r="G244" s="139"/>
      <c r="H244" s="139"/>
      <c r="AB244" s="139"/>
    </row>
    <row r="245" spans="1:28" x14ac:dyDescent="0.15">
      <c r="A245" s="139"/>
      <c r="B245" s="139"/>
      <c r="C245" s="139"/>
      <c r="D245" s="147"/>
      <c r="E245" s="139"/>
      <c r="F245" s="139"/>
      <c r="G245" s="139"/>
      <c r="H245" s="139"/>
      <c r="AB245" s="139"/>
    </row>
    <row r="246" spans="1:28" x14ac:dyDescent="0.15">
      <c r="A246" s="139"/>
      <c r="B246" s="139"/>
      <c r="C246" s="139"/>
      <c r="D246" s="147"/>
      <c r="E246" s="139"/>
      <c r="F246" s="139"/>
      <c r="G246" s="139"/>
      <c r="H246" s="139"/>
      <c r="AB246" s="139"/>
    </row>
    <row r="247" spans="1:28" x14ac:dyDescent="0.15">
      <c r="A247" s="139"/>
      <c r="B247" s="139"/>
      <c r="C247" s="139"/>
      <c r="D247" s="147"/>
      <c r="E247" s="139"/>
      <c r="F247" s="139"/>
      <c r="G247" s="139"/>
      <c r="H247" s="139"/>
      <c r="AB247" s="139"/>
    </row>
    <row r="248" spans="1:28" x14ac:dyDescent="0.15">
      <c r="A248" s="139"/>
      <c r="B248" s="139"/>
      <c r="C248" s="139"/>
      <c r="D248" s="147"/>
      <c r="E248" s="139"/>
      <c r="F248" s="139"/>
      <c r="G248" s="139"/>
      <c r="H248" s="139"/>
      <c r="AB248" s="139"/>
    </row>
    <row r="249" spans="1:28" x14ac:dyDescent="0.15">
      <c r="A249" s="139"/>
      <c r="B249" s="139"/>
      <c r="C249" s="139"/>
      <c r="D249" s="147"/>
      <c r="E249" s="139"/>
      <c r="F249" s="139"/>
      <c r="G249" s="139"/>
      <c r="H249" s="139"/>
      <c r="AB249" s="139"/>
    </row>
    <row r="250" spans="1:28" x14ac:dyDescent="0.15">
      <c r="A250" s="139"/>
      <c r="B250" s="139"/>
      <c r="C250" s="139"/>
      <c r="D250" s="147"/>
      <c r="E250" s="139"/>
      <c r="F250" s="139"/>
      <c r="G250" s="139"/>
      <c r="H250" s="139"/>
      <c r="AB250" s="139"/>
    </row>
    <row r="251" spans="1:28" x14ac:dyDescent="0.15">
      <c r="A251" s="139"/>
      <c r="B251" s="139"/>
      <c r="C251" s="139"/>
      <c r="D251" s="147"/>
      <c r="E251" s="139"/>
      <c r="F251" s="139"/>
      <c r="G251" s="139"/>
      <c r="H251" s="139"/>
      <c r="AB251" s="139"/>
    </row>
    <row r="252" spans="1:28" x14ac:dyDescent="0.15">
      <c r="A252" s="139"/>
      <c r="B252" s="139"/>
      <c r="C252" s="139"/>
      <c r="D252" s="147"/>
      <c r="E252" s="139"/>
      <c r="F252" s="139"/>
      <c r="G252" s="139"/>
      <c r="H252" s="139"/>
      <c r="AB252" s="139"/>
    </row>
    <row r="253" spans="1:28" x14ac:dyDescent="0.15">
      <c r="A253" s="139"/>
      <c r="B253" s="139"/>
      <c r="C253" s="139"/>
      <c r="D253" s="147"/>
      <c r="E253" s="139"/>
      <c r="F253" s="139"/>
      <c r="G253" s="139"/>
      <c r="H253" s="139"/>
      <c r="AB253" s="139"/>
    </row>
    <row r="254" spans="1:28" x14ac:dyDescent="0.15">
      <c r="A254" s="139"/>
      <c r="B254" s="139"/>
      <c r="C254" s="139"/>
      <c r="D254" s="147"/>
      <c r="E254" s="139"/>
      <c r="F254" s="139"/>
      <c r="G254" s="139"/>
      <c r="H254" s="139"/>
      <c r="AB254" s="139"/>
    </row>
    <row r="255" spans="1:28" x14ac:dyDescent="0.15">
      <c r="A255" s="139"/>
      <c r="B255" s="139"/>
      <c r="C255" s="139"/>
      <c r="D255" s="147"/>
      <c r="E255" s="139"/>
      <c r="F255" s="139"/>
      <c r="G255" s="139"/>
      <c r="H255" s="139"/>
      <c r="AB255" s="139"/>
    </row>
    <row r="256" spans="1:28" x14ac:dyDescent="0.15">
      <c r="A256" s="139"/>
      <c r="B256" s="139"/>
      <c r="C256" s="139"/>
      <c r="D256" s="147"/>
      <c r="E256" s="139"/>
      <c r="F256" s="139"/>
      <c r="G256" s="139"/>
      <c r="H256" s="139"/>
      <c r="AB256" s="139"/>
    </row>
    <row r="257" spans="1:28" x14ac:dyDescent="0.15">
      <c r="A257" s="139"/>
      <c r="B257" s="139"/>
      <c r="C257" s="139"/>
      <c r="D257" s="147"/>
      <c r="E257" s="139"/>
      <c r="F257" s="139"/>
      <c r="G257" s="139"/>
      <c r="H257" s="139"/>
      <c r="AB257" s="139"/>
    </row>
    <row r="258" spans="1:28" x14ac:dyDescent="0.15">
      <c r="A258" s="139"/>
      <c r="B258" s="139"/>
      <c r="C258" s="139"/>
      <c r="D258" s="147"/>
      <c r="E258" s="139"/>
      <c r="F258" s="139"/>
      <c r="G258" s="139"/>
      <c r="H258" s="139"/>
      <c r="AB258" s="139"/>
    </row>
    <row r="259" spans="1:28" x14ac:dyDescent="0.15">
      <c r="A259" s="139"/>
      <c r="B259" s="139"/>
      <c r="C259" s="139"/>
      <c r="D259" s="147"/>
      <c r="E259" s="139"/>
      <c r="F259" s="139"/>
      <c r="G259" s="139"/>
      <c r="H259" s="139"/>
      <c r="AB259" s="139"/>
    </row>
    <row r="260" spans="1:28" x14ac:dyDescent="0.15">
      <c r="A260" s="139"/>
      <c r="B260" s="139"/>
      <c r="C260" s="139"/>
      <c r="D260" s="147"/>
      <c r="E260" s="139"/>
      <c r="F260" s="139"/>
      <c r="G260" s="139"/>
      <c r="H260" s="139"/>
      <c r="AB260" s="139"/>
    </row>
    <row r="261" spans="1:28" x14ac:dyDescent="0.15">
      <c r="A261" s="139"/>
      <c r="B261" s="139"/>
      <c r="C261" s="139"/>
      <c r="D261" s="147"/>
      <c r="E261" s="139"/>
      <c r="F261" s="139"/>
      <c r="G261" s="139"/>
      <c r="H261" s="139"/>
      <c r="AB261" s="139"/>
    </row>
    <row r="262" spans="1:28" x14ac:dyDescent="0.15">
      <c r="A262" s="139"/>
      <c r="B262" s="139"/>
      <c r="C262" s="139"/>
      <c r="D262" s="147"/>
      <c r="E262" s="139"/>
      <c r="F262" s="139"/>
      <c r="G262" s="139"/>
      <c r="H262" s="139"/>
      <c r="AB262" s="139"/>
    </row>
    <row r="263" spans="1:28" x14ac:dyDescent="0.15">
      <c r="A263" s="139"/>
      <c r="B263" s="139"/>
      <c r="C263" s="139"/>
      <c r="D263" s="147"/>
      <c r="E263" s="139"/>
      <c r="F263" s="139"/>
      <c r="G263" s="139"/>
      <c r="H263" s="139"/>
      <c r="AB263" s="139"/>
    </row>
    <row r="264" spans="1:28" x14ac:dyDescent="0.15">
      <c r="A264" s="139"/>
      <c r="B264" s="139"/>
      <c r="C264" s="139"/>
      <c r="D264" s="147"/>
      <c r="E264" s="139"/>
      <c r="F264" s="139"/>
      <c r="G264" s="139"/>
      <c r="H264" s="139"/>
      <c r="AB264" s="139"/>
    </row>
    <row r="265" spans="1:28" x14ac:dyDescent="0.15">
      <c r="A265" s="139"/>
      <c r="B265" s="139"/>
      <c r="C265" s="139"/>
      <c r="D265" s="147"/>
      <c r="E265" s="139"/>
      <c r="F265" s="139"/>
      <c r="G265" s="139"/>
      <c r="H265" s="139"/>
      <c r="AB265" s="139"/>
    </row>
    <row r="266" spans="1:28" x14ac:dyDescent="0.15">
      <c r="A266" s="139"/>
      <c r="B266" s="139"/>
      <c r="C266" s="139"/>
      <c r="D266" s="147"/>
      <c r="E266" s="139"/>
      <c r="F266" s="139"/>
      <c r="G266" s="139"/>
      <c r="H266" s="139"/>
      <c r="AB266" s="139"/>
    </row>
    <row r="267" spans="1:28" x14ac:dyDescent="0.15">
      <c r="A267" s="139"/>
      <c r="B267" s="139"/>
      <c r="C267" s="139"/>
      <c r="D267" s="147"/>
      <c r="E267" s="139"/>
      <c r="F267" s="139"/>
      <c r="G267" s="139"/>
      <c r="H267" s="139"/>
      <c r="AB267" s="139"/>
    </row>
    <row r="268" spans="1:28" x14ac:dyDescent="0.15">
      <c r="A268" s="139"/>
      <c r="B268" s="139"/>
      <c r="C268" s="139"/>
      <c r="D268" s="147"/>
      <c r="E268" s="139"/>
      <c r="F268" s="139"/>
      <c r="G268" s="139"/>
      <c r="H268" s="139"/>
      <c r="AB268" s="139"/>
    </row>
    <row r="269" spans="1:28" x14ac:dyDescent="0.15">
      <c r="A269" s="139"/>
      <c r="B269" s="139"/>
      <c r="C269" s="139"/>
      <c r="D269" s="147"/>
      <c r="E269" s="139"/>
      <c r="F269" s="139"/>
      <c r="G269" s="139"/>
      <c r="H269" s="139"/>
      <c r="AB269" s="139"/>
    </row>
    <row r="270" spans="1:28" x14ac:dyDescent="0.15">
      <c r="A270" s="139"/>
      <c r="B270" s="139"/>
      <c r="C270" s="139"/>
      <c r="D270" s="147"/>
      <c r="E270" s="139"/>
      <c r="F270" s="139"/>
      <c r="G270" s="139"/>
      <c r="H270" s="139"/>
      <c r="AB270" s="139"/>
    </row>
    <row r="271" spans="1:28" x14ac:dyDescent="0.15">
      <c r="A271" s="139"/>
      <c r="B271" s="139"/>
      <c r="C271" s="139"/>
      <c r="D271" s="147"/>
      <c r="E271" s="139"/>
      <c r="F271" s="139"/>
      <c r="G271" s="139"/>
      <c r="H271" s="139"/>
      <c r="AB271" s="139"/>
    </row>
    <row r="272" spans="1:28" x14ac:dyDescent="0.15">
      <c r="A272" s="139"/>
      <c r="B272" s="139"/>
      <c r="C272" s="139"/>
      <c r="D272" s="147"/>
      <c r="E272" s="139"/>
      <c r="F272" s="139"/>
      <c r="G272" s="139"/>
      <c r="H272" s="139"/>
      <c r="AB272" s="139"/>
    </row>
    <row r="273" spans="1:28" x14ac:dyDescent="0.15">
      <c r="A273" s="139"/>
      <c r="B273" s="139"/>
      <c r="C273" s="139"/>
      <c r="D273" s="147"/>
      <c r="E273" s="139"/>
      <c r="F273" s="139"/>
      <c r="G273" s="139"/>
      <c r="H273" s="139"/>
      <c r="AB273" s="139"/>
    </row>
    <row r="274" spans="1:28" x14ac:dyDescent="0.15">
      <c r="A274" s="139"/>
      <c r="B274" s="139"/>
      <c r="C274" s="139"/>
      <c r="D274" s="147"/>
      <c r="E274" s="139"/>
      <c r="F274" s="139"/>
      <c r="G274" s="139"/>
      <c r="H274" s="139"/>
      <c r="AB274" s="139"/>
    </row>
    <row r="275" spans="1:28" x14ac:dyDescent="0.15">
      <c r="A275" s="139"/>
      <c r="B275" s="139"/>
      <c r="C275" s="139"/>
      <c r="D275" s="147"/>
      <c r="E275" s="139"/>
      <c r="F275" s="139"/>
      <c r="G275" s="139"/>
      <c r="H275" s="139"/>
      <c r="AB275" s="139"/>
    </row>
    <row r="276" spans="1:28" x14ac:dyDescent="0.15">
      <c r="A276" s="139"/>
      <c r="B276" s="139"/>
      <c r="C276" s="139"/>
      <c r="D276" s="147"/>
      <c r="E276" s="139"/>
      <c r="F276" s="139"/>
      <c r="G276" s="139"/>
      <c r="H276" s="139"/>
      <c r="AB276" s="139"/>
    </row>
    <row r="277" spans="1:28" x14ac:dyDescent="0.15">
      <c r="A277" s="139"/>
      <c r="B277" s="139"/>
      <c r="C277" s="139"/>
      <c r="D277" s="147"/>
      <c r="E277" s="139"/>
      <c r="F277" s="139"/>
      <c r="G277" s="139"/>
      <c r="H277" s="139"/>
      <c r="AB277" s="139"/>
    </row>
    <row r="278" spans="1:28" x14ac:dyDescent="0.15">
      <c r="A278" s="139"/>
      <c r="B278" s="139"/>
      <c r="C278" s="139"/>
      <c r="D278" s="147"/>
      <c r="E278" s="139"/>
      <c r="F278" s="139"/>
      <c r="G278" s="139"/>
      <c r="H278" s="139"/>
      <c r="AB278" s="139"/>
    </row>
    <row r="279" spans="1:28" x14ac:dyDescent="0.15">
      <c r="A279" s="139"/>
      <c r="B279" s="139"/>
      <c r="C279" s="139"/>
      <c r="D279" s="147"/>
      <c r="E279" s="139"/>
      <c r="F279" s="139"/>
      <c r="G279" s="139"/>
      <c r="H279" s="139"/>
      <c r="AB279" s="139"/>
    </row>
    <row r="280" spans="1:28" x14ac:dyDescent="0.15">
      <c r="A280" s="139"/>
      <c r="B280" s="139"/>
      <c r="C280" s="139"/>
      <c r="D280" s="147"/>
      <c r="E280" s="139"/>
      <c r="F280" s="139"/>
      <c r="G280" s="139"/>
      <c r="H280" s="139"/>
      <c r="AB280" s="139"/>
    </row>
    <row r="281" spans="1:28" x14ac:dyDescent="0.15">
      <c r="A281" s="139"/>
      <c r="B281" s="139"/>
      <c r="C281" s="139"/>
      <c r="D281" s="147"/>
      <c r="E281" s="139"/>
      <c r="F281" s="139"/>
      <c r="G281" s="139"/>
      <c r="H281" s="139"/>
      <c r="AB281" s="139"/>
    </row>
    <row r="282" spans="1:28" x14ac:dyDescent="0.15">
      <c r="A282" s="139"/>
      <c r="B282" s="139"/>
      <c r="C282" s="139"/>
      <c r="D282" s="147"/>
      <c r="E282" s="139"/>
      <c r="F282" s="139"/>
      <c r="G282" s="139"/>
      <c r="H282" s="139"/>
      <c r="AB282" s="139"/>
    </row>
    <row r="283" spans="1:28" x14ac:dyDescent="0.15">
      <c r="A283" s="139"/>
      <c r="B283" s="139"/>
      <c r="C283" s="139"/>
      <c r="D283" s="147"/>
      <c r="E283" s="139"/>
      <c r="F283" s="139"/>
      <c r="G283" s="139"/>
      <c r="H283" s="139"/>
      <c r="AB283" s="139"/>
    </row>
    <row r="284" spans="1:28" x14ac:dyDescent="0.15">
      <c r="A284" s="139"/>
      <c r="B284" s="139"/>
      <c r="C284" s="139"/>
      <c r="D284" s="147"/>
      <c r="E284" s="139"/>
      <c r="F284" s="139"/>
      <c r="G284" s="139"/>
      <c r="H284" s="139"/>
      <c r="AB284" s="139"/>
    </row>
    <row r="285" spans="1:28" x14ac:dyDescent="0.15">
      <c r="A285" s="139"/>
      <c r="B285" s="139"/>
      <c r="C285" s="139"/>
      <c r="D285" s="147"/>
      <c r="E285" s="139"/>
      <c r="F285" s="139"/>
      <c r="G285" s="139"/>
      <c r="H285" s="139"/>
      <c r="AB285" s="139"/>
    </row>
    <row r="286" spans="1:28" x14ac:dyDescent="0.15">
      <c r="A286" s="139"/>
      <c r="B286" s="139"/>
      <c r="C286" s="139"/>
      <c r="D286" s="147"/>
      <c r="E286" s="139"/>
      <c r="F286" s="139"/>
      <c r="G286" s="139"/>
      <c r="H286" s="139"/>
      <c r="AB286" s="139"/>
    </row>
    <row r="287" spans="1:28" x14ac:dyDescent="0.15">
      <c r="A287" s="139"/>
      <c r="B287" s="139"/>
      <c r="C287" s="139"/>
      <c r="D287" s="147"/>
      <c r="E287" s="139"/>
      <c r="F287" s="139"/>
      <c r="G287" s="139"/>
      <c r="H287" s="139"/>
      <c r="AB287" s="139"/>
    </row>
    <row r="288" spans="1:28" x14ac:dyDescent="0.15">
      <c r="A288" s="139"/>
      <c r="B288" s="139"/>
      <c r="C288" s="139"/>
      <c r="D288" s="147"/>
      <c r="E288" s="139"/>
      <c r="F288" s="139"/>
      <c r="G288" s="139"/>
      <c r="H288" s="139"/>
      <c r="AB288" s="139"/>
    </row>
    <row r="289" spans="1:28" x14ac:dyDescent="0.15">
      <c r="A289" s="139"/>
      <c r="B289" s="139"/>
      <c r="C289" s="139"/>
      <c r="D289" s="147"/>
      <c r="E289" s="139"/>
      <c r="F289" s="139"/>
      <c r="G289" s="139"/>
      <c r="H289" s="139"/>
      <c r="AB289" s="139"/>
    </row>
    <row r="290" spans="1:28" x14ac:dyDescent="0.15">
      <c r="A290" s="139"/>
      <c r="B290" s="139"/>
      <c r="C290" s="139"/>
      <c r="D290" s="147"/>
      <c r="E290" s="139"/>
      <c r="F290" s="139"/>
      <c r="G290" s="139"/>
      <c r="H290" s="139"/>
      <c r="AB290" s="139"/>
    </row>
    <row r="291" spans="1:28" x14ac:dyDescent="0.15">
      <c r="A291" s="139"/>
      <c r="B291" s="139"/>
      <c r="C291" s="139"/>
      <c r="D291" s="147"/>
      <c r="E291" s="139"/>
      <c r="F291" s="139"/>
      <c r="G291" s="139"/>
      <c r="H291" s="139"/>
      <c r="AB291" s="139"/>
    </row>
    <row r="292" spans="1:28" x14ac:dyDescent="0.15">
      <c r="A292" s="139"/>
      <c r="B292" s="139"/>
      <c r="C292" s="139"/>
      <c r="D292" s="147"/>
      <c r="E292" s="139"/>
      <c r="F292" s="139"/>
      <c r="G292" s="139"/>
      <c r="H292" s="139"/>
      <c r="AB292" s="139"/>
    </row>
    <row r="293" spans="1:28" x14ac:dyDescent="0.15">
      <c r="A293" s="139"/>
      <c r="B293" s="139"/>
      <c r="C293" s="139"/>
      <c r="D293" s="147"/>
      <c r="E293" s="139"/>
      <c r="F293" s="139"/>
      <c r="G293" s="139"/>
      <c r="H293" s="139"/>
      <c r="AB293" s="139"/>
    </row>
    <row r="294" spans="1:28" x14ac:dyDescent="0.15">
      <c r="A294" s="139"/>
      <c r="B294" s="139"/>
      <c r="C294" s="139"/>
      <c r="D294" s="147"/>
      <c r="E294" s="139"/>
      <c r="F294" s="139"/>
      <c r="G294" s="139"/>
      <c r="H294" s="139"/>
      <c r="AB294" s="139"/>
    </row>
    <row r="295" spans="1:28" x14ac:dyDescent="0.15">
      <c r="A295" s="139"/>
      <c r="B295" s="139"/>
      <c r="C295" s="139"/>
      <c r="D295" s="147"/>
      <c r="E295" s="139"/>
      <c r="F295" s="139"/>
      <c r="G295" s="139"/>
      <c r="H295" s="139"/>
      <c r="AB295" s="139"/>
    </row>
    <row r="296" spans="1:28" x14ac:dyDescent="0.15">
      <c r="A296" s="139"/>
      <c r="B296" s="139"/>
      <c r="C296" s="139"/>
      <c r="D296" s="147"/>
      <c r="E296" s="139"/>
      <c r="F296" s="139"/>
      <c r="G296" s="139"/>
      <c r="H296" s="139"/>
      <c r="AB296" s="139"/>
    </row>
    <row r="297" spans="1:28" x14ac:dyDescent="0.15">
      <c r="A297" s="139"/>
      <c r="B297" s="139"/>
      <c r="C297" s="139"/>
      <c r="D297" s="147"/>
      <c r="E297" s="139"/>
      <c r="F297" s="139"/>
      <c r="G297" s="139"/>
      <c r="H297" s="139"/>
      <c r="AB297" s="139"/>
    </row>
    <row r="298" spans="1:28" x14ac:dyDescent="0.15">
      <c r="A298" s="139"/>
      <c r="B298" s="139"/>
      <c r="C298" s="139"/>
      <c r="D298" s="147"/>
      <c r="E298" s="139"/>
      <c r="F298" s="139"/>
      <c r="G298" s="139"/>
      <c r="H298" s="139"/>
      <c r="AB298" s="139"/>
    </row>
    <row r="299" spans="1:28" x14ac:dyDescent="0.15">
      <c r="A299" s="139"/>
      <c r="B299" s="139"/>
      <c r="C299" s="139"/>
      <c r="D299" s="147"/>
      <c r="E299" s="139"/>
      <c r="F299" s="139"/>
      <c r="G299" s="139"/>
      <c r="H299" s="139"/>
      <c r="AB299" s="139"/>
    </row>
    <row r="300" spans="1:28" x14ac:dyDescent="0.15">
      <c r="A300" s="139"/>
      <c r="B300" s="139"/>
      <c r="C300" s="139"/>
      <c r="D300" s="147"/>
      <c r="E300" s="139"/>
      <c r="F300" s="139"/>
      <c r="G300" s="139"/>
      <c r="H300" s="139"/>
      <c r="AB300" s="139"/>
    </row>
    <row r="301" spans="1:28" x14ac:dyDescent="0.15">
      <c r="A301" s="139"/>
      <c r="B301" s="139"/>
      <c r="C301" s="139"/>
      <c r="D301" s="147"/>
      <c r="E301" s="139"/>
      <c r="F301" s="139"/>
      <c r="G301" s="139"/>
      <c r="H301" s="139"/>
      <c r="AB301" s="139"/>
    </row>
    <row r="302" spans="1:28" x14ac:dyDescent="0.15">
      <c r="A302" s="139"/>
      <c r="B302" s="139"/>
      <c r="C302" s="139"/>
      <c r="D302" s="147"/>
      <c r="E302" s="139"/>
      <c r="F302" s="139"/>
      <c r="G302" s="139"/>
      <c r="H302" s="139"/>
      <c r="AB302" s="139"/>
    </row>
    <row r="303" spans="1:28" x14ac:dyDescent="0.15">
      <c r="A303" s="139"/>
      <c r="B303" s="139"/>
      <c r="C303" s="139"/>
      <c r="D303" s="147"/>
      <c r="E303" s="139"/>
      <c r="F303" s="139"/>
      <c r="G303" s="139"/>
      <c r="H303" s="139"/>
      <c r="AB303" s="139"/>
    </row>
    <row r="304" spans="1:28" x14ac:dyDescent="0.15">
      <c r="A304" s="139"/>
      <c r="B304" s="139"/>
      <c r="C304" s="139"/>
      <c r="D304" s="147"/>
      <c r="E304" s="139"/>
      <c r="F304" s="139"/>
      <c r="G304" s="139"/>
      <c r="H304" s="139"/>
      <c r="AB304" s="139"/>
    </row>
    <row r="305" spans="1:28" x14ac:dyDescent="0.15">
      <c r="A305" s="139"/>
      <c r="B305" s="139"/>
      <c r="C305" s="139"/>
      <c r="D305" s="147"/>
      <c r="E305" s="139"/>
      <c r="F305" s="139"/>
      <c r="G305" s="139"/>
      <c r="H305" s="139"/>
      <c r="AB305" s="139"/>
    </row>
    <row r="306" spans="1:28" x14ac:dyDescent="0.15">
      <c r="A306" s="139"/>
      <c r="B306" s="139"/>
      <c r="C306" s="139"/>
      <c r="D306" s="147"/>
      <c r="E306" s="139"/>
      <c r="F306" s="139"/>
      <c r="G306" s="139"/>
      <c r="H306" s="139"/>
      <c r="AB306" s="139"/>
    </row>
    <row r="307" spans="1:28" x14ac:dyDescent="0.15">
      <c r="A307" s="139"/>
      <c r="B307" s="139"/>
      <c r="C307" s="139"/>
      <c r="D307" s="147"/>
      <c r="E307" s="139"/>
      <c r="F307" s="139"/>
      <c r="G307" s="139"/>
      <c r="H307" s="139"/>
      <c r="AB307" s="139"/>
    </row>
    <row r="308" spans="1:28" x14ac:dyDescent="0.15">
      <c r="A308" s="139"/>
      <c r="B308" s="139"/>
      <c r="C308" s="139"/>
      <c r="D308" s="147"/>
      <c r="E308" s="139"/>
      <c r="F308" s="139"/>
      <c r="G308" s="139"/>
      <c r="H308" s="139"/>
      <c r="AB308" s="139"/>
    </row>
    <row r="309" spans="1:28" x14ac:dyDescent="0.15">
      <c r="A309" s="139"/>
      <c r="B309" s="139"/>
      <c r="C309" s="139"/>
      <c r="D309" s="147"/>
      <c r="E309" s="139"/>
      <c r="F309" s="139"/>
      <c r="G309" s="139"/>
      <c r="H309" s="139"/>
      <c r="AB309" s="139"/>
    </row>
    <row r="310" spans="1:28" x14ac:dyDescent="0.15">
      <c r="A310" s="139"/>
      <c r="B310" s="139"/>
      <c r="C310" s="139"/>
      <c r="D310" s="147"/>
      <c r="E310" s="139"/>
      <c r="F310" s="139"/>
      <c r="G310" s="139"/>
      <c r="H310" s="139"/>
      <c r="AB310" s="139"/>
    </row>
    <row r="311" spans="1:28" x14ac:dyDescent="0.15">
      <c r="A311" s="139"/>
      <c r="B311" s="139"/>
      <c r="C311" s="139"/>
      <c r="D311" s="147"/>
      <c r="E311" s="139"/>
      <c r="F311" s="139"/>
      <c r="G311" s="139"/>
      <c r="H311" s="139"/>
      <c r="AB311" s="139"/>
    </row>
    <row r="312" spans="1:28" x14ac:dyDescent="0.15">
      <c r="A312" s="139"/>
      <c r="B312" s="139"/>
      <c r="C312" s="139"/>
      <c r="D312" s="147"/>
      <c r="E312" s="139"/>
      <c r="F312" s="139"/>
      <c r="G312" s="139"/>
      <c r="H312" s="139"/>
      <c r="AB312" s="139"/>
    </row>
    <row r="313" spans="1:28" x14ac:dyDescent="0.15">
      <c r="A313" s="139"/>
      <c r="B313" s="139"/>
      <c r="C313" s="139"/>
      <c r="D313" s="147"/>
      <c r="E313" s="139"/>
      <c r="F313" s="139"/>
      <c r="G313" s="139"/>
      <c r="H313" s="139"/>
      <c r="AB313" s="139"/>
    </row>
    <row r="314" spans="1:28" x14ac:dyDescent="0.15">
      <c r="A314" s="139"/>
      <c r="B314" s="139"/>
      <c r="C314" s="139"/>
      <c r="D314" s="147"/>
      <c r="E314" s="139"/>
      <c r="F314" s="139"/>
      <c r="G314" s="139"/>
      <c r="H314" s="139"/>
      <c r="AB314" s="139"/>
    </row>
    <row r="315" spans="1:28" x14ac:dyDescent="0.15">
      <c r="A315" s="139"/>
      <c r="B315" s="139"/>
      <c r="C315" s="139"/>
      <c r="D315" s="147"/>
      <c r="E315" s="139"/>
      <c r="F315" s="139"/>
      <c r="G315" s="139"/>
      <c r="H315" s="139"/>
      <c r="AB315" s="139"/>
    </row>
    <row r="316" spans="1:28" x14ac:dyDescent="0.15">
      <c r="A316" s="139"/>
      <c r="B316" s="139"/>
      <c r="C316" s="139"/>
      <c r="D316" s="147"/>
      <c r="E316" s="139"/>
      <c r="F316" s="139"/>
      <c r="G316" s="139"/>
      <c r="H316" s="139"/>
      <c r="AB316" s="139"/>
    </row>
    <row r="317" spans="1:28" x14ac:dyDescent="0.15">
      <c r="A317" s="139"/>
      <c r="B317" s="139"/>
      <c r="C317" s="139"/>
      <c r="D317" s="147"/>
      <c r="E317" s="139"/>
      <c r="F317" s="139"/>
      <c r="G317" s="139"/>
      <c r="H317" s="139"/>
      <c r="AB317" s="139"/>
    </row>
    <row r="318" spans="1:28" x14ac:dyDescent="0.15">
      <c r="A318" s="139"/>
      <c r="B318" s="139"/>
      <c r="C318" s="139"/>
      <c r="D318" s="147"/>
      <c r="E318" s="139"/>
      <c r="F318" s="139"/>
      <c r="G318" s="139"/>
      <c r="H318" s="139"/>
      <c r="AB318" s="139"/>
    </row>
    <row r="319" spans="1:28" x14ac:dyDescent="0.15">
      <c r="A319" s="139"/>
      <c r="B319" s="139"/>
      <c r="C319" s="139"/>
      <c r="D319" s="147"/>
      <c r="E319" s="139"/>
      <c r="F319" s="139"/>
      <c r="G319" s="139"/>
      <c r="H319" s="139"/>
      <c r="AB319" s="139"/>
    </row>
    <row r="320" spans="1:28" x14ac:dyDescent="0.15">
      <c r="A320" s="139"/>
      <c r="B320" s="139"/>
      <c r="C320" s="139"/>
      <c r="D320" s="147"/>
      <c r="E320" s="139"/>
      <c r="F320" s="139"/>
      <c r="G320" s="139"/>
      <c r="H320" s="139"/>
      <c r="AB320" s="139"/>
    </row>
    <row r="321" spans="1:28" x14ac:dyDescent="0.15">
      <c r="A321" s="139"/>
      <c r="B321" s="139"/>
      <c r="C321" s="139"/>
      <c r="D321" s="147"/>
      <c r="E321" s="139"/>
      <c r="F321" s="139"/>
      <c r="G321" s="139"/>
      <c r="H321" s="139"/>
      <c r="AB321" s="139"/>
    </row>
    <row r="322" spans="1:28" x14ac:dyDescent="0.15">
      <c r="A322" s="139"/>
      <c r="B322" s="139"/>
      <c r="C322" s="139"/>
      <c r="D322" s="147"/>
      <c r="E322" s="139"/>
      <c r="F322" s="139"/>
      <c r="G322" s="139"/>
      <c r="H322" s="139"/>
      <c r="AB322" s="139"/>
    </row>
    <row r="323" spans="1:28" x14ac:dyDescent="0.15">
      <c r="A323" s="139"/>
      <c r="B323" s="139"/>
      <c r="C323" s="139"/>
      <c r="D323" s="147"/>
      <c r="E323" s="139"/>
      <c r="F323" s="139"/>
      <c r="G323" s="139"/>
      <c r="H323" s="139"/>
      <c r="AB323" s="139"/>
    </row>
    <row r="324" spans="1:28" x14ac:dyDescent="0.15">
      <c r="A324" s="139"/>
      <c r="B324" s="139"/>
      <c r="C324" s="139"/>
      <c r="D324" s="147"/>
      <c r="E324" s="139"/>
      <c r="F324" s="139"/>
      <c r="G324" s="139"/>
      <c r="H324" s="139"/>
      <c r="AB324" s="139"/>
    </row>
    <row r="325" spans="1:28" x14ac:dyDescent="0.15">
      <c r="A325" s="139"/>
      <c r="B325" s="139"/>
      <c r="C325" s="139"/>
      <c r="D325" s="147"/>
      <c r="E325" s="139"/>
      <c r="F325" s="139"/>
      <c r="G325" s="139"/>
      <c r="H325" s="139"/>
      <c r="AB325" s="139"/>
    </row>
    <row r="326" spans="1:28" x14ac:dyDescent="0.15">
      <c r="A326" s="139"/>
      <c r="B326" s="139"/>
      <c r="C326" s="139"/>
      <c r="D326" s="147"/>
      <c r="E326" s="139"/>
      <c r="F326" s="139"/>
      <c r="G326" s="139"/>
      <c r="H326" s="139"/>
      <c r="AB326" s="139"/>
    </row>
    <row r="327" spans="1:28" x14ac:dyDescent="0.15">
      <c r="A327" s="139"/>
      <c r="B327" s="139"/>
      <c r="C327" s="139"/>
      <c r="D327" s="147"/>
      <c r="E327" s="139"/>
      <c r="F327" s="139"/>
      <c r="G327" s="139"/>
      <c r="H327" s="139"/>
      <c r="AB327" s="139"/>
    </row>
    <row r="328" spans="1:28" x14ac:dyDescent="0.15">
      <c r="A328" s="139"/>
      <c r="B328" s="139"/>
      <c r="C328" s="139"/>
      <c r="D328" s="147"/>
      <c r="E328" s="139"/>
      <c r="F328" s="139"/>
      <c r="G328" s="139"/>
      <c r="H328" s="139"/>
      <c r="AB328" s="139"/>
    </row>
    <row r="329" spans="1:28" x14ac:dyDescent="0.15">
      <c r="A329" s="139"/>
      <c r="B329" s="139"/>
      <c r="C329" s="139"/>
      <c r="D329" s="147"/>
      <c r="E329" s="139"/>
      <c r="F329" s="139"/>
      <c r="G329" s="139"/>
      <c r="H329" s="139"/>
      <c r="AB329" s="139"/>
    </row>
    <row r="330" spans="1:28" x14ac:dyDescent="0.15">
      <c r="A330" s="139"/>
      <c r="B330" s="139"/>
      <c r="C330" s="139"/>
      <c r="D330" s="147"/>
      <c r="E330" s="139"/>
      <c r="F330" s="139"/>
      <c r="G330" s="139"/>
      <c r="H330" s="139"/>
      <c r="AB330" s="139"/>
    </row>
    <row r="331" spans="1:28" x14ac:dyDescent="0.15">
      <c r="A331" s="139"/>
      <c r="B331" s="139"/>
      <c r="C331" s="139"/>
      <c r="D331" s="147"/>
      <c r="E331" s="139"/>
      <c r="F331" s="139"/>
      <c r="G331" s="139"/>
      <c r="H331" s="139"/>
      <c r="AB331" s="139"/>
    </row>
    <row r="332" spans="1:28" x14ac:dyDescent="0.15">
      <c r="A332" s="139"/>
      <c r="B332" s="139"/>
      <c r="C332" s="139"/>
      <c r="D332" s="147"/>
      <c r="E332" s="139"/>
      <c r="F332" s="139"/>
      <c r="G332" s="139"/>
      <c r="H332" s="139"/>
      <c r="AB332" s="139"/>
    </row>
    <row r="333" spans="1:28" x14ac:dyDescent="0.15">
      <c r="A333" s="139"/>
      <c r="B333" s="139"/>
      <c r="C333" s="139"/>
      <c r="D333" s="147"/>
      <c r="E333" s="139"/>
      <c r="F333" s="139"/>
      <c r="G333" s="139"/>
      <c r="H333" s="139"/>
      <c r="AB333" s="139"/>
    </row>
    <row r="334" spans="1:28" x14ac:dyDescent="0.15">
      <c r="A334" s="139"/>
      <c r="B334" s="139"/>
      <c r="C334" s="139"/>
      <c r="D334" s="147"/>
      <c r="E334" s="139"/>
      <c r="F334" s="139"/>
      <c r="G334" s="139"/>
      <c r="H334" s="139"/>
      <c r="AB334" s="139"/>
    </row>
    <row r="335" spans="1:28" x14ac:dyDescent="0.15">
      <c r="A335" s="139"/>
      <c r="B335" s="139"/>
      <c r="C335" s="139"/>
      <c r="D335" s="147"/>
      <c r="E335" s="139"/>
      <c r="F335" s="139"/>
      <c r="G335" s="139"/>
      <c r="H335" s="139"/>
      <c r="AB335" s="139"/>
    </row>
    <row r="336" spans="1:28" x14ac:dyDescent="0.15">
      <c r="A336" s="139"/>
      <c r="B336" s="139"/>
      <c r="C336" s="139"/>
      <c r="D336" s="147"/>
      <c r="E336" s="139"/>
      <c r="F336" s="139"/>
      <c r="G336" s="139"/>
      <c r="H336" s="139"/>
      <c r="AB336" s="139"/>
    </row>
    <row r="337" spans="1:28" x14ac:dyDescent="0.15">
      <c r="A337" s="139"/>
      <c r="B337" s="139"/>
      <c r="C337" s="139"/>
      <c r="D337" s="147"/>
      <c r="E337" s="139"/>
      <c r="F337" s="139"/>
      <c r="G337" s="139"/>
      <c r="H337" s="139"/>
      <c r="AB337" s="139"/>
    </row>
    <row r="338" spans="1:28" x14ac:dyDescent="0.15">
      <c r="A338" s="139"/>
      <c r="B338" s="139"/>
      <c r="C338" s="139"/>
      <c r="D338" s="147"/>
      <c r="E338" s="139"/>
      <c r="F338" s="139"/>
      <c r="G338" s="139"/>
      <c r="H338" s="139"/>
      <c r="AB338" s="139"/>
    </row>
    <row r="339" spans="1:28" x14ac:dyDescent="0.15">
      <c r="A339" s="139"/>
      <c r="B339" s="139"/>
      <c r="C339" s="139"/>
      <c r="D339" s="147"/>
      <c r="E339" s="139"/>
      <c r="F339" s="139"/>
      <c r="G339" s="139"/>
      <c r="H339" s="139"/>
      <c r="AB339" s="139"/>
    </row>
    <row r="340" spans="1:28" x14ac:dyDescent="0.15">
      <c r="A340" s="139"/>
      <c r="B340" s="139"/>
      <c r="C340" s="139"/>
      <c r="D340" s="147"/>
      <c r="E340" s="139"/>
      <c r="F340" s="139"/>
      <c r="G340" s="139"/>
      <c r="H340" s="139"/>
      <c r="AB340" s="139"/>
    </row>
    <row r="341" spans="1:28" x14ac:dyDescent="0.15">
      <c r="A341" s="139"/>
      <c r="B341" s="139"/>
      <c r="C341" s="139"/>
      <c r="D341" s="147"/>
      <c r="E341" s="139"/>
      <c r="F341" s="139"/>
      <c r="G341" s="139"/>
      <c r="H341" s="139"/>
      <c r="AB341" s="139"/>
    </row>
    <row r="342" spans="1:28" x14ac:dyDescent="0.15">
      <c r="A342" s="139"/>
      <c r="B342" s="139"/>
      <c r="C342" s="139"/>
      <c r="D342" s="147"/>
      <c r="E342" s="139"/>
      <c r="F342" s="139"/>
      <c r="G342" s="139"/>
      <c r="H342" s="139"/>
      <c r="AB342" s="139"/>
    </row>
    <row r="343" spans="1:28" x14ac:dyDescent="0.15">
      <c r="A343" s="139"/>
      <c r="B343" s="139"/>
      <c r="C343" s="139"/>
      <c r="D343" s="147"/>
      <c r="E343" s="139"/>
      <c r="F343" s="139"/>
      <c r="G343" s="139"/>
      <c r="H343" s="139"/>
      <c r="AB343" s="139"/>
    </row>
    <row r="344" spans="1:28" x14ac:dyDescent="0.15">
      <c r="A344" s="139"/>
      <c r="B344" s="139"/>
      <c r="C344" s="139"/>
      <c r="D344" s="147"/>
      <c r="E344" s="139"/>
      <c r="F344" s="139"/>
      <c r="G344" s="139"/>
      <c r="H344" s="139"/>
      <c r="AB344" s="139"/>
    </row>
    <row r="345" spans="1:28" x14ac:dyDescent="0.15">
      <c r="A345" s="139"/>
      <c r="B345" s="139"/>
      <c r="C345" s="139"/>
      <c r="D345" s="147"/>
      <c r="E345" s="139"/>
      <c r="F345" s="139"/>
      <c r="G345" s="139"/>
      <c r="H345" s="139"/>
      <c r="AB345" s="139"/>
    </row>
    <row r="346" spans="1:28" x14ac:dyDescent="0.15">
      <c r="A346" s="139"/>
      <c r="B346" s="139"/>
      <c r="C346" s="139"/>
      <c r="D346" s="147"/>
      <c r="E346" s="139"/>
      <c r="F346" s="139"/>
      <c r="G346" s="139"/>
      <c r="H346" s="139"/>
      <c r="AB346" s="139"/>
    </row>
    <row r="347" spans="1:28" x14ac:dyDescent="0.15">
      <c r="A347" s="139"/>
      <c r="B347" s="139"/>
      <c r="C347" s="139"/>
      <c r="D347" s="147"/>
      <c r="E347" s="139"/>
      <c r="F347" s="139"/>
      <c r="G347" s="139"/>
      <c r="H347" s="139"/>
      <c r="AB347" s="139"/>
    </row>
    <row r="348" spans="1:28" x14ac:dyDescent="0.15">
      <c r="A348" s="139"/>
      <c r="B348" s="139"/>
      <c r="C348" s="139"/>
      <c r="D348" s="147"/>
      <c r="E348" s="139"/>
      <c r="F348" s="139"/>
      <c r="G348" s="139"/>
      <c r="H348" s="139"/>
      <c r="AB348" s="139"/>
    </row>
    <row r="349" spans="1:28" x14ac:dyDescent="0.15">
      <c r="A349" s="139"/>
      <c r="B349" s="139"/>
      <c r="C349" s="139"/>
      <c r="D349" s="147"/>
      <c r="E349" s="139"/>
      <c r="F349" s="139"/>
      <c r="G349" s="139"/>
      <c r="H349" s="139"/>
      <c r="AB349" s="139"/>
    </row>
    <row r="350" spans="1:28" x14ac:dyDescent="0.15">
      <c r="A350" s="139"/>
      <c r="B350" s="139"/>
      <c r="C350" s="139"/>
      <c r="D350" s="147"/>
      <c r="E350" s="139"/>
      <c r="F350" s="139"/>
      <c r="G350" s="139"/>
      <c r="H350" s="139"/>
      <c r="AB350" s="139"/>
    </row>
    <row r="351" spans="1:28" x14ac:dyDescent="0.15">
      <c r="A351" s="139"/>
      <c r="B351" s="139"/>
      <c r="C351" s="139"/>
      <c r="D351" s="147"/>
      <c r="E351" s="139"/>
      <c r="F351" s="139"/>
      <c r="G351" s="139"/>
      <c r="H351" s="139"/>
      <c r="AB351" s="139"/>
    </row>
    <row r="352" spans="1:28" x14ac:dyDescent="0.15">
      <c r="A352" s="139"/>
      <c r="B352" s="139"/>
      <c r="C352" s="139"/>
      <c r="D352" s="147"/>
      <c r="E352" s="139"/>
      <c r="F352" s="139"/>
      <c r="G352" s="139"/>
      <c r="H352" s="139"/>
      <c r="AB352" s="139"/>
    </row>
    <row r="353" spans="1:28" x14ac:dyDescent="0.15">
      <c r="A353" s="139"/>
      <c r="B353" s="139"/>
      <c r="C353" s="139"/>
      <c r="D353" s="147"/>
      <c r="E353" s="139"/>
      <c r="F353" s="139"/>
      <c r="G353" s="139"/>
      <c r="H353" s="139"/>
      <c r="AB353" s="139"/>
    </row>
    <row r="354" spans="1:28" x14ac:dyDescent="0.15">
      <c r="A354" s="139"/>
      <c r="B354" s="139"/>
      <c r="C354" s="139"/>
      <c r="D354" s="147"/>
      <c r="E354" s="139"/>
      <c r="F354" s="139"/>
      <c r="G354" s="139"/>
      <c r="H354" s="139"/>
      <c r="AB354" s="139"/>
    </row>
    <row r="355" spans="1:28" x14ac:dyDescent="0.15">
      <c r="A355" s="139"/>
      <c r="B355" s="139"/>
      <c r="C355" s="139"/>
      <c r="D355" s="147"/>
      <c r="E355" s="139"/>
      <c r="F355" s="139"/>
      <c r="G355" s="139"/>
      <c r="H355" s="139"/>
      <c r="AB355" s="139"/>
    </row>
    <row r="356" spans="1:28" x14ac:dyDescent="0.15">
      <c r="A356" s="139"/>
      <c r="B356" s="139"/>
      <c r="C356" s="139"/>
      <c r="D356" s="147"/>
      <c r="E356" s="139"/>
      <c r="F356" s="139"/>
      <c r="G356" s="139"/>
      <c r="H356" s="139"/>
      <c r="AB356" s="139"/>
    </row>
    <row r="357" spans="1:28" x14ac:dyDescent="0.15">
      <c r="A357" s="139"/>
      <c r="B357" s="139"/>
      <c r="C357" s="139"/>
      <c r="D357" s="147"/>
      <c r="E357" s="139"/>
      <c r="F357" s="139"/>
      <c r="G357" s="139"/>
      <c r="H357" s="139"/>
      <c r="AB357" s="139"/>
    </row>
    <row r="358" spans="1:28" x14ac:dyDescent="0.15">
      <c r="A358" s="139"/>
      <c r="B358" s="139"/>
      <c r="C358" s="139"/>
      <c r="D358" s="147"/>
      <c r="E358" s="139"/>
      <c r="F358" s="139"/>
      <c r="G358" s="139"/>
      <c r="H358" s="139"/>
      <c r="AB358" s="139"/>
    </row>
    <row r="359" spans="1:28" x14ac:dyDescent="0.15">
      <c r="A359" s="139"/>
      <c r="B359" s="139"/>
      <c r="C359" s="139"/>
      <c r="D359" s="147"/>
      <c r="E359" s="139"/>
      <c r="F359" s="139"/>
      <c r="G359" s="139"/>
      <c r="H359" s="139"/>
      <c r="AB359" s="139"/>
    </row>
    <row r="360" spans="1:28" x14ac:dyDescent="0.15">
      <c r="A360" s="139"/>
      <c r="B360" s="139"/>
      <c r="C360" s="139"/>
      <c r="D360" s="147"/>
      <c r="E360" s="139"/>
      <c r="F360" s="139"/>
      <c r="G360" s="139"/>
      <c r="H360" s="139"/>
      <c r="AB360" s="139"/>
    </row>
    <row r="361" spans="1:28" x14ac:dyDescent="0.15">
      <c r="A361" s="139"/>
      <c r="B361" s="139"/>
      <c r="C361" s="139"/>
      <c r="D361" s="147"/>
      <c r="E361" s="139"/>
      <c r="F361" s="139"/>
      <c r="G361" s="139"/>
      <c r="H361" s="139"/>
      <c r="AB361" s="139"/>
    </row>
    <row r="362" spans="1:28" x14ac:dyDescent="0.15">
      <c r="A362" s="139"/>
      <c r="B362" s="139"/>
      <c r="C362" s="139"/>
      <c r="D362" s="147"/>
      <c r="E362" s="139"/>
      <c r="F362" s="139"/>
      <c r="G362" s="139"/>
      <c r="H362" s="139"/>
      <c r="AB362" s="139"/>
    </row>
    <row r="363" spans="1:28" x14ac:dyDescent="0.15">
      <c r="A363" s="139"/>
      <c r="B363" s="139"/>
      <c r="C363" s="139"/>
      <c r="D363" s="147"/>
      <c r="E363" s="139"/>
      <c r="F363" s="139"/>
      <c r="G363" s="139"/>
      <c r="H363" s="139"/>
      <c r="AB363" s="139"/>
    </row>
    <row r="364" spans="1:28" x14ac:dyDescent="0.15">
      <c r="A364" s="139"/>
      <c r="B364" s="139"/>
      <c r="C364" s="139"/>
      <c r="D364" s="147"/>
      <c r="E364" s="139"/>
      <c r="F364" s="139"/>
      <c r="G364" s="139"/>
      <c r="H364" s="139"/>
      <c r="AB364" s="139"/>
    </row>
    <row r="365" spans="1:28" x14ac:dyDescent="0.15">
      <c r="A365" s="139"/>
      <c r="B365" s="139"/>
      <c r="C365" s="139"/>
      <c r="D365" s="147"/>
      <c r="E365" s="139"/>
      <c r="F365" s="139"/>
      <c r="G365" s="139"/>
      <c r="H365" s="139"/>
      <c r="AB365" s="139"/>
    </row>
    <row r="366" spans="1:28" x14ac:dyDescent="0.15">
      <c r="A366" s="139"/>
      <c r="B366" s="139"/>
      <c r="C366" s="139"/>
      <c r="D366" s="147"/>
      <c r="E366" s="139"/>
      <c r="F366" s="139"/>
      <c r="G366" s="139"/>
      <c r="H366" s="139"/>
      <c r="AB366" s="139"/>
    </row>
    <row r="367" spans="1:28" x14ac:dyDescent="0.15">
      <c r="A367" s="139"/>
      <c r="B367" s="139"/>
      <c r="C367" s="139"/>
      <c r="D367" s="147"/>
      <c r="E367" s="139"/>
      <c r="F367" s="139"/>
      <c r="G367" s="139"/>
      <c r="H367" s="139"/>
      <c r="AB367" s="139"/>
    </row>
    <row r="368" spans="1:28" x14ac:dyDescent="0.15">
      <c r="A368" s="139"/>
      <c r="B368" s="139"/>
      <c r="C368" s="139"/>
      <c r="D368" s="147"/>
      <c r="E368" s="139"/>
      <c r="F368" s="139"/>
      <c r="G368" s="139"/>
      <c r="H368" s="139"/>
      <c r="AB368" s="139"/>
    </row>
    <row r="369" spans="1:28" x14ac:dyDescent="0.15">
      <c r="A369" s="139"/>
      <c r="B369" s="139"/>
      <c r="C369" s="139"/>
      <c r="D369" s="147"/>
      <c r="E369" s="139"/>
      <c r="F369" s="139"/>
      <c r="G369" s="139"/>
      <c r="H369" s="139"/>
      <c r="AB369" s="139"/>
    </row>
    <row r="370" spans="1:28" x14ac:dyDescent="0.15">
      <c r="A370" s="139"/>
      <c r="B370" s="139"/>
      <c r="C370" s="139"/>
      <c r="D370" s="147"/>
      <c r="E370" s="139"/>
      <c r="F370" s="139"/>
      <c r="G370" s="139"/>
      <c r="H370" s="139"/>
      <c r="AB370" s="139"/>
    </row>
    <row r="371" spans="1:28" x14ac:dyDescent="0.15">
      <c r="A371" s="139"/>
      <c r="B371" s="139"/>
      <c r="C371" s="139"/>
      <c r="D371" s="147"/>
      <c r="E371" s="139"/>
      <c r="F371" s="139"/>
      <c r="G371" s="139"/>
      <c r="H371" s="139"/>
      <c r="AB371" s="139"/>
    </row>
    <row r="372" spans="1:28" x14ac:dyDescent="0.15">
      <c r="A372" s="139"/>
      <c r="B372" s="139"/>
      <c r="C372" s="139"/>
      <c r="D372" s="147"/>
      <c r="E372" s="139"/>
      <c r="F372" s="139"/>
      <c r="G372" s="139"/>
      <c r="H372" s="139"/>
      <c r="AB372" s="139"/>
    </row>
    <row r="373" spans="1:28" x14ac:dyDescent="0.15">
      <c r="A373" s="139"/>
      <c r="B373" s="139"/>
      <c r="C373" s="139"/>
      <c r="D373" s="147"/>
      <c r="E373" s="139"/>
      <c r="F373" s="139"/>
      <c r="G373" s="139"/>
      <c r="H373" s="139"/>
      <c r="AB373" s="139"/>
    </row>
    <row r="374" spans="1:28" x14ac:dyDescent="0.15">
      <c r="A374" s="139"/>
      <c r="B374" s="139"/>
      <c r="C374" s="139"/>
      <c r="D374" s="147"/>
      <c r="E374" s="139"/>
      <c r="F374" s="139"/>
      <c r="G374" s="139"/>
      <c r="H374" s="139"/>
      <c r="AB374" s="139"/>
    </row>
    <row r="375" spans="1:28" x14ac:dyDescent="0.15">
      <c r="A375" s="139"/>
      <c r="B375" s="139"/>
      <c r="C375" s="139"/>
      <c r="D375" s="147"/>
      <c r="E375" s="139"/>
      <c r="F375" s="139"/>
      <c r="G375" s="139"/>
      <c r="H375" s="139"/>
      <c r="AB375" s="139"/>
    </row>
    <row r="376" spans="1:28" x14ac:dyDescent="0.15">
      <c r="A376" s="139"/>
      <c r="B376" s="139"/>
      <c r="C376" s="139"/>
      <c r="D376" s="147"/>
      <c r="E376" s="139"/>
      <c r="F376" s="139"/>
      <c r="G376" s="139"/>
      <c r="H376" s="139"/>
      <c r="AB376" s="139"/>
    </row>
    <row r="377" spans="1:28" x14ac:dyDescent="0.15">
      <c r="A377" s="139"/>
      <c r="B377" s="139"/>
      <c r="C377" s="139"/>
      <c r="D377" s="147"/>
      <c r="E377" s="139"/>
      <c r="F377" s="139"/>
      <c r="G377" s="139"/>
      <c r="H377" s="139"/>
      <c r="AB377" s="139"/>
    </row>
    <row r="378" spans="1:28" x14ac:dyDescent="0.15">
      <c r="A378" s="139"/>
      <c r="B378" s="139"/>
      <c r="C378" s="139"/>
      <c r="D378" s="147"/>
      <c r="E378" s="139"/>
      <c r="F378" s="139"/>
      <c r="G378" s="139"/>
      <c r="H378" s="139"/>
      <c r="AB378" s="139"/>
    </row>
    <row r="379" spans="1:28" x14ac:dyDescent="0.15">
      <c r="A379" s="139"/>
      <c r="B379" s="139"/>
      <c r="C379" s="139"/>
      <c r="D379" s="147"/>
      <c r="E379" s="139"/>
      <c r="F379" s="139"/>
      <c r="G379" s="139"/>
      <c r="H379" s="139"/>
      <c r="AB379" s="139"/>
    </row>
    <row r="380" spans="1:28" x14ac:dyDescent="0.15">
      <c r="A380" s="139"/>
      <c r="B380" s="139"/>
      <c r="C380" s="139"/>
      <c r="D380" s="147"/>
      <c r="E380" s="139"/>
      <c r="F380" s="139"/>
      <c r="G380" s="139"/>
      <c r="H380" s="139"/>
      <c r="AB380" s="139"/>
    </row>
    <row r="381" spans="1:28" x14ac:dyDescent="0.15">
      <c r="A381" s="139"/>
      <c r="B381" s="139"/>
      <c r="C381" s="139"/>
      <c r="D381" s="147"/>
      <c r="E381" s="139"/>
      <c r="F381" s="139"/>
      <c r="G381" s="139"/>
      <c r="H381" s="139"/>
      <c r="AB381" s="139"/>
    </row>
    <row r="382" spans="1:28" x14ac:dyDescent="0.15">
      <c r="A382" s="139"/>
      <c r="B382" s="139"/>
      <c r="C382" s="139"/>
      <c r="D382" s="147"/>
      <c r="E382" s="139"/>
      <c r="F382" s="139"/>
      <c r="G382" s="139"/>
      <c r="H382" s="139"/>
      <c r="AB382" s="139"/>
    </row>
    <row r="383" spans="1:28" x14ac:dyDescent="0.15">
      <c r="A383" s="139"/>
      <c r="B383" s="139"/>
      <c r="C383" s="139"/>
      <c r="D383" s="147"/>
      <c r="E383" s="139"/>
      <c r="F383" s="139"/>
      <c r="G383" s="139"/>
      <c r="H383" s="139"/>
      <c r="AB383" s="139"/>
    </row>
    <row r="384" spans="1:28" x14ac:dyDescent="0.15">
      <c r="A384" s="139"/>
      <c r="B384" s="139"/>
      <c r="C384" s="139"/>
      <c r="D384" s="147"/>
      <c r="E384" s="139"/>
      <c r="F384" s="139"/>
      <c r="G384" s="139"/>
      <c r="H384" s="139"/>
      <c r="AB384" s="139"/>
    </row>
    <row r="385" spans="1:28" x14ac:dyDescent="0.15">
      <c r="A385" s="139"/>
      <c r="B385" s="139"/>
      <c r="C385" s="139"/>
      <c r="D385" s="147"/>
      <c r="E385" s="139"/>
      <c r="F385" s="139"/>
      <c r="G385" s="139"/>
      <c r="H385" s="139"/>
      <c r="AB385" s="139"/>
    </row>
    <row r="386" spans="1:28" x14ac:dyDescent="0.15">
      <c r="A386" s="139"/>
      <c r="B386" s="139"/>
      <c r="C386" s="139"/>
      <c r="D386" s="147"/>
      <c r="E386" s="139"/>
      <c r="F386" s="139"/>
      <c r="G386" s="139"/>
      <c r="H386" s="139"/>
      <c r="AB386" s="139"/>
    </row>
    <row r="387" spans="1:28" x14ac:dyDescent="0.15">
      <c r="A387" s="139"/>
      <c r="B387" s="139"/>
      <c r="C387" s="139"/>
      <c r="D387" s="147"/>
      <c r="E387" s="139"/>
      <c r="F387" s="139"/>
      <c r="G387" s="139"/>
      <c r="H387" s="139"/>
      <c r="AB387" s="139"/>
    </row>
    <row r="388" spans="1:28" x14ac:dyDescent="0.15">
      <c r="A388" s="139"/>
      <c r="B388" s="139"/>
      <c r="C388" s="139"/>
      <c r="D388" s="147"/>
      <c r="E388" s="139"/>
      <c r="F388" s="139"/>
      <c r="G388" s="139"/>
      <c r="H388" s="139"/>
      <c r="AB388" s="139"/>
    </row>
    <row r="389" spans="1:28" x14ac:dyDescent="0.15">
      <c r="A389" s="139"/>
      <c r="B389" s="139"/>
      <c r="C389" s="139"/>
      <c r="D389" s="147"/>
      <c r="E389" s="139"/>
      <c r="F389" s="139"/>
      <c r="G389" s="139"/>
      <c r="H389" s="139"/>
      <c r="AB389" s="139"/>
    </row>
    <row r="390" spans="1:28" x14ac:dyDescent="0.15">
      <c r="A390" s="139"/>
      <c r="B390" s="139"/>
      <c r="C390" s="139"/>
      <c r="D390" s="147"/>
      <c r="E390" s="139"/>
      <c r="F390" s="139"/>
      <c r="G390" s="139"/>
      <c r="H390" s="139"/>
      <c r="AB390" s="139"/>
    </row>
    <row r="391" spans="1:28" x14ac:dyDescent="0.15">
      <c r="A391" s="139"/>
      <c r="B391" s="139"/>
      <c r="C391" s="139"/>
      <c r="D391" s="147"/>
      <c r="E391" s="139"/>
      <c r="F391" s="139"/>
      <c r="G391" s="139"/>
      <c r="H391" s="139"/>
      <c r="AB391" s="139"/>
    </row>
    <row r="392" spans="1:28" x14ac:dyDescent="0.15">
      <c r="A392" s="139"/>
      <c r="B392" s="139"/>
      <c r="C392" s="139"/>
      <c r="D392" s="147"/>
      <c r="E392" s="139"/>
      <c r="F392" s="139"/>
      <c r="G392" s="139"/>
      <c r="H392" s="139"/>
      <c r="AB392" s="139"/>
    </row>
    <row r="393" spans="1:28" x14ac:dyDescent="0.15">
      <c r="A393" s="139"/>
      <c r="B393" s="139"/>
      <c r="C393" s="139"/>
      <c r="D393" s="147"/>
      <c r="E393" s="139"/>
      <c r="F393" s="139"/>
      <c r="G393" s="139"/>
      <c r="H393" s="139"/>
      <c r="AB393" s="139"/>
    </row>
    <row r="394" spans="1:28" x14ac:dyDescent="0.15">
      <c r="A394" s="139"/>
      <c r="B394" s="139"/>
      <c r="C394" s="139"/>
      <c r="D394" s="147"/>
      <c r="E394" s="139"/>
      <c r="F394" s="139"/>
      <c r="G394" s="139"/>
      <c r="H394" s="139"/>
      <c r="AB394" s="139"/>
    </row>
    <row r="395" spans="1:28" x14ac:dyDescent="0.15">
      <c r="A395" s="139"/>
      <c r="B395" s="139"/>
      <c r="C395" s="139"/>
      <c r="D395" s="147"/>
      <c r="E395" s="139"/>
      <c r="F395" s="139"/>
      <c r="G395" s="139"/>
      <c r="H395" s="139"/>
      <c r="AB395" s="139"/>
    </row>
    <row r="396" spans="1:28" x14ac:dyDescent="0.15">
      <c r="A396" s="139"/>
      <c r="B396" s="139"/>
      <c r="C396" s="139"/>
      <c r="D396" s="147"/>
      <c r="E396" s="139"/>
      <c r="F396" s="139"/>
      <c r="G396" s="139"/>
      <c r="H396" s="139"/>
      <c r="AB396" s="139"/>
    </row>
    <row r="397" spans="1:28" x14ac:dyDescent="0.15">
      <c r="A397" s="139"/>
      <c r="B397" s="139"/>
      <c r="C397" s="139"/>
      <c r="D397" s="147"/>
      <c r="E397" s="139"/>
      <c r="F397" s="139"/>
      <c r="G397" s="139"/>
      <c r="H397" s="139"/>
      <c r="AB397" s="139"/>
    </row>
    <row r="398" spans="1:28" x14ac:dyDescent="0.15">
      <c r="A398" s="139"/>
      <c r="B398" s="139"/>
      <c r="C398" s="139"/>
      <c r="D398" s="147"/>
      <c r="E398" s="139"/>
      <c r="F398" s="139"/>
      <c r="G398" s="139"/>
      <c r="H398" s="139"/>
      <c r="AB398" s="139"/>
    </row>
    <row r="399" spans="1:28" x14ac:dyDescent="0.15">
      <c r="A399" s="139"/>
      <c r="B399" s="139"/>
      <c r="C399" s="139"/>
      <c r="D399" s="147"/>
      <c r="E399" s="139"/>
      <c r="F399" s="139"/>
      <c r="G399" s="139"/>
      <c r="H399" s="139"/>
      <c r="AB399" s="139"/>
    </row>
    <row r="400" spans="1:28" x14ac:dyDescent="0.15">
      <c r="A400" s="139"/>
      <c r="B400" s="139"/>
      <c r="C400" s="139"/>
      <c r="D400" s="147"/>
      <c r="E400" s="139"/>
      <c r="F400" s="139"/>
      <c r="G400" s="139"/>
      <c r="H400" s="139"/>
      <c r="AB400" s="139"/>
    </row>
    <row r="401" spans="1:28" x14ac:dyDescent="0.15">
      <c r="A401" s="139"/>
      <c r="B401" s="139"/>
      <c r="C401" s="139"/>
      <c r="D401" s="147"/>
      <c r="E401" s="139"/>
      <c r="F401" s="139"/>
      <c r="G401" s="139"/>
      <c r="H401" s="139"/>
      <c r="AB401" s="139"/>
    </row>
    <row r="402" spans="1:28" x14ac:dyDescent="0.15">
      <c r="A402" s="139"/>
      <c r="B402" s="139"/>
      <c r="C402" s="139"/>
      <c r="D402" s="147"/>
      <c r="E402" s="139"/>
      <c r="F402" s="139"/>
      <c r="G402" s="139"/>
      <c r="H402" s="139"/>
      <c r="AB402" s="139"/>
    </row>
    <row r="403" spans="1:28" x14ac:dyDescent="0.15">
      <c r="A403" s="139"/>
      <c r="B403" s="139"/>
      <c r="C403" s="139"/>
      <c r="D403" s="147"/>
      <c r="E403" s="139"/>
      <c r="F403" s="139"/>
      <c r="G403" s="139"/>
      <c r="H403" s="139"/>
      <c r="AB403" s="139"/>
    </row>
    <row r="404" spans="1:28" x14ac:dyDescent="0.15">
      <c r="A404" s="139"/>
      <c r="B404" s="139"/>
      <c r="C404" s="139"/>
      <c r="D404" s="147"/>
      <c r="E404" s="139"/>
      <c r="F404" s="139"/>
      <c r="G404" s="139"/>
      <c r="H404" s="139"/>
      <c r="AB404" s="139"/>
    </row>
    <row r="405" spans="1:28" x14ac:dyDescent="0.15">
      <c r="A405" s="139"/>
      <c r="B405" s="139"/>
      <c r="C405" s="139"/>
      <c r="D405" s="147"/>
      <c r="E405" s="139"/>
      <c r="F405" s="139"/>
      <c r="G405" s="139"/>
      <c r="H405" s="139"/>
      <c r="AB405" s="139"/>
    </row>
    <row r="406" spans="1:28" x14ac:dyDescent="0.15">
      <c r="A406" s="139"/>
      <c r="B406" s="139"/>
      <c r="C406" s="139"/>
      <c r="D406" s="147"/>
      <c r="E406" s="139"/>
      <c r="F406" s="139"/>
      <c r="G406" s="139"/>
      <c r="H406" s="139"/>
      <c r="AB406" s="139"/>
    </row>
    <row r="407" spans="1:28" x14ac:dyDescent="0.15">
      <c r="A407" s="139"/>
      <c r="B407" s="139"/>
      <c r="C407" s="139"/>
      <c r="D407" s="147"/>
      <c r="E407" s="139"/>
      <c r="F407" s="139"/>
      <c r="G407" s="139"/>
      <c r="H407" s="139"/>
      <c r="AB407" s="139"/>
    </row>
    <row r="408" spans="1:28" x14ac:dyDescent="0.15">
      <c r="A408" s="139"/>
      <c r="B408" s="139"/>
      <c r="C408" s="139"/>
      <c r="D408" s="147"/>
      <c r="E408" s="139"/>
      <c r="F408" s="139"/>
      <c r="G408" s="139"/>
      <c r="H408" s="139"/>
      <c r="AB408" s="139"/>
    </row>
    <row r="409" spans="1:28" x14ac:dyDescent="0.15">
      <c r="A409" s="139"/>
      <c r="B409" s="139"/>
      <c r="C409" s="139"/>
      <c r="D409" s="147"/>
      <c r="E409" s="139"/>
      <c r="F409" s="139"/>
      <c r="G409" s="139"/>
      <c r="H409" s="139"/>
      <c r="AB409" s="139"/>
    </row>
    <row r="410" spans="1:28" x14ac:dyDescent="0.15">
      <c r="A410" s="139"/>
      <c r="B410" s="139"/>
      <c r="C410" s="139"/>
      <c r="D410" s="147"/>
      <c r="E410" s="139"/>
      <c r="F410" s="139"/>
      <c r="G410" s="139"/>
      <c r="H410" s="139"/>
      <c r="AB410" s="139"/>
    </row>
    <row r="411" spans="1:28" x14ac:dyDescent="0.15">
      <c r="A411" s="139"/>
      <c r="B411" s="139"/>
      <c r="C411" s="139"/>
      <c r="D411" s="147"/>
      <c r="E411" s="139"/>
      <c r="F411" s="139"/>
      <c r="G411" s="139"/>
      <c r="H411" s="139"/>
      <c r="AB411" s="139"/>
    </row>
    <row r="412" spans="1:28" x14ac:dyDescent="0.15">
      <c r="A412" s="139"/>
      <c r="B412" s="139"/>
      <c r="C412" s="139"/>
      <c r="D412" s="147"/>
      <c r="E412" s="139"/>
      <c r="F412" s="139"/>
      <c r="G412" s="139"/>
      <c r="H412" s="139"/>
      <c r="AB412" s="139"/>
    </row>
    <row r="413" spans="1:28" x14ac:dyDescent="0.15">
      <c r="A413" s="139"/>
      <c r="B413" s="139"/>
      <c r="C413" s="139"/>
      <c r="D413" s="147"/>
      <c r="E413" s="139"/>
      <c r="F413" s="139"/>
      <c r="G413" s="139"/>
      <c r="H413" s="139"/>
      <c r="AB413" s="139"/>
    </row>
    <row r="414" spans="1:28" x14ac:dyDescent="0.15">
      <c r="A414" s="139"/>
      <c r="B414" s="139"/>
      <c r="C414" s="139"/>
      <c r="D414" s="147"/>
      <c r="E414" s="139"/>
      <c r="F414" s="139"/>
      <c r="G414" s="139"/>
      <c r="H414" s="139"/>
      <c r="AB414" s="139"/>
    </row>
    <row r="415" spans="1:28" x14ac:dyDescent="0.15">
      <c r="A415" s="139"/>
      <c r="B415" s="139"/>
      <c r="C415" s="139"/>
      <c r="D415" s="147"/>
      <c r="E415" s="139"/>
      <c r="F415" s="139"/>
      <c r="G415" s="139"/>
      <c r="H415" s="139"/>
      <c r="AB415" s="139"/>
    </row>
    <row r="416" spans="1:28" x14ac:dyDescent="0.15">
      <c r="A416" s="139"/>
      <c r="B416" s="139"/>
      <c r="C416" s="139"/>
      <c r="D416" s="147"/>
      <c r="E416" s="139"/>
      <c r="F416" s="139"/>
      <c r="G416" s="139"/>
      <c r="H416" s="139"/>
      <c r="AB416" s="139"/>
    </row>
    <row r="417" spans="1:28" x14ac:dyDescent="0.15">
      <c r="A417" s="139"/>
      <c r="B417" s="139"/>
      <c r="C417" s="139"/>
      <c r="D417" s="147"/>
      <c r="E417" s="139"/>
      <c r="F417" s="139"/>
      <c r="G417" s="139"/>
      <c r="H417" s="139"/>
      <c r="AB417" s="139"/>
    </row>
    <row r="418" spans="1:28" x14ac:dyDescent="0.15">
      <c r="A418" s="139"/>
      <c r="B418" s="139"/>
      <c r="C418" s="139"/>
      <c r="D418" s="147"/>
      <c r="E418" s="139"/>
      <c r="F418" s="139"/>
      <c r="G418" s="139"/>
      <c r="H418" s="139"/>
      <c r="AB418" s="139"/>
    </row>
    <row r="419" spans="1:28" x14ac:dyDescent="0.15">
      <c r="A419" s="139"/>
      <c r="B419" s="139"/>
      <c r="C419" s="139"/>
      <c r="D419" s="147"/>
      <c r="E419" s="139"/>
      <c r="F419" s="139"/>
      <c r="G419" s="139"/>
      <c r="H419" s="139"/>
      <c r="AB419" s="139"/>
    </row>
    <row r="420" spans="1:28" x14ac:dyDescent="0.15">
      <c r="A420" s="139"/>
      <c r="B420" s="139"/>
      <c r="C420" s="139"/>
      <c r="D420" s="147"/>
      <c r="E420" s="139"/>
      <c r="F420" s="139"/>
      <c r="G420" s="139"/>
      <c r="H420" s="139"/>
      <c r="AB420" s="139"/>
    </row>
    <row r="421" spans="1:28" x14ac:dyDescent="0.15">
      <c r="A421" s="139"/>
      <c r="B421" s="139"/>
      <c r="C421" s="139"/>
      <c r="D421" s="147"/>
      <c r="E421" s="139"/>
      <c r="F421" s="139"/>
      <c r="G421" s="139"/>
      <c r="H421" s="139"/>
      <c r="AB421" s="139"/>
    </row>
    <row r="422" spans="1:28" x14ac:dyDescent="0.15">
      <c r="A422" s="139"/>
      <c r="B422" s="139"/>
      <c r="C422" s="139"/>
      <c r="D422" s="147"/>
      <c r="E422" s="139"/>
      <c r="F422" s="139"/>
      <c r="G422" s="139"/>
      <c r="H422" s="139"/>
      <c r="AB422" s="139"/>
    </row>
    <row r="423" spans="1:28" x14ac:dyDescent="0.15">
      <c r="A423" s="139"/>
      <c r="B423" s="139"/>
      <c r="C423" s="139"/>
      <c r="D423" s="147"/>
      <c r="E423" s="139"/>
      <c r="F423" s="139"/>
      <c r="G423" s="139"/>
      <c r="H423" s="139"/>
      <c r="AB423" s="139"/>
    </row>
    <row r="424" spans="1:28" x14ac:dyDescent="0.15">
      <c r="A424" s="139"/>
      <c r="B424" s="139"/>
      <c r="C424" s="139"/>
      <c r="D424" s="147"/>
      <c r="E424" s="139"/>
      <c r="F424" s="139"/>
      <c r="G424" s="139"/>
      <c r="H424" s="139"/>
      <c r="AB424" s="139"/>
    </row>
    <row r="425" spans="1:28" x14ac:dyDescent="0.15">
      <c r="A425" s="139"/>
      <c r="B425" s="139"/>
      <c r="C425" s="139"/>
      <c r="D425" s="147"/>
      <c r="E425" s="139"/>
      <c r="F425" s="139"/>
      <c r="G425" s="139"/>
      <c r="H425" s="139"/>
      <c r="AB425" s="139"/>
    </row>
    <row r="426" spans="1:28" x14ac:dyDescent="0.15">
      <c r="A426" s="139"/>
      <c r="B426" s="139"/>
      <c r="C426" s="139"/>
      <c r="D426" s="147"/>
      <c r="E426" s="139"/>
      <c r="F426" s="139"/>
      <c r="G426" s="139"/>
      <c r="H426" s="139"/>
      <c r="AB426" s="139"/>
    </row>
    <row r="427" spans="1:28" x14ac:dyDescent="0.15">
      <c r="A427" s="139"/>
      <c r="B427" s="139"/>
      <c r="C427" s="139"/>
      <c r="D427" s="147"/>
      <c r="E427" s="139"/>
      <c r="F427" s="139"/>
      <c r="G427" s="139"/>
      <c r="H427" s="139"/>
      <c r="AB427" s="139"/>
    </row>
    <row r="428" spans="1:28" x14ac:dyDescent="0.15">
      <c r="A428" s="139"/>
      <c r="B428" s="139"/>
      <c r="C428" s="139"/>
      <c r="D428" s="147"/>
      <c r="E428" s="139"/>
      <c r="F428" s="139"/>
      <c r="G428" s="139"/>
      <c r="H428" s="139"/>
      <c r="AB428" s="139"/>
    </row>
    <row r="429" spans="1:28" x14ac:dyDescent="0.15">
      <c r="A429" s="139"/>
      <c r="B429" s="139"/>
      <c r="C429" s="139"/>
      <c r="D429" s="147"/>
      <c r="E429" s="139"/>
      <c r="F429" s="139"/>
      <c r="G429" s="139"/>
      <c r="H429" s="139"/>
      <c r="AB429" s="139"/>
    </row>
    <row r="430" spans="1:28" x14ac:dyDescent="0.15">
      <c r="A430" s="139"/>
      <c r="B430" s="139"/>
      <c r="C430" s="139"/>
      <c r="D430" s="147"/>
      <c r="E430" s="139"/>
      <c r="F430" s="139"/>
      <c r="G430" s="139"/>
      <c r="H430" s="139"/>
      <c r="AB430" s="139"/>
    </row>
    <row r="431" spans="1:28" x14ac:dyDescent="0.15">
      <c r="A431" s="139"/>
      <c r="B431" s="139"/>
      <c r="C431" s="139"/>
      <c r="D431" s="147"/>
      <c r="E431" s="139"/>
      <c r="F431" s="139"/>
      <c r="G431" s="139"/>
      <c r="H431" s="139"/>
      <c r="AB431" s="139"/>
    </row>
    <row r="432" spans="1:28" x14ac:dyDescent="0.15">
      <c r="A432" s="139"/>
      <c r="B432" s="139"/>
      <c r="C432" s="139"/>
      <c r="D432" s="147"/>
      <c r="E432" s="139"/>
      <c r="F432" s="139"/>
      <c r="G432" s="139"/>
      <c r="H432" s="139"/>
      <c r="AB432" s="139"/>
    </row>
    <row r="433" spans="1:28" x14ac:dyDescent="0.15">
      <c r="A433" s="139"/>
      <c r="B433" s="139"/>
      <c r="C433" s="139"/>
      <c r="D433" s="147"/>
      <c r="E433" s="139"/>
      <c r="F433" s="139"/>
      <c r="G433" s="139"/>
      <c r="H433" s="139"/>
      <c r="AB433" s="139"/>
    </row>
    <row r="434" spans="1:28" x14ac:dyDescent="0.15">
      <c r="A434" s="139"/>
      <c r="B434" s="139"/>
      <c r="C434" s="139"/>
      <c r="D434" s="147"/>
      <c r="E434" s="139"/>
      <c r="F434" s="139"/>
      <c r="G434" s="139"/>
      <c r="H434" s="139"/>
      <c r="AB434" s="139"/>
    </row>
    <row r="435" spans="1:28" x14ac:dyDescent="0.15">
      <c r="A435" s="139"/>
      <c r="B435" s="139"/>
      <c r="C435" s="139"/>
      <c r="D435" s="147"/>
      <c r="E435" s="139"/>
      <c r="F435" s="139"/>
      <c r="G435" s="139"/>
      <c r="H435" s="139"/>
      <c r="AB435" s="139"/>
    </row>
    <row r="436" spans="1:28" x14ac:dyDescent="0.15">
      <c r="A436" s="139"/>
      <c r="B436" s="139"/>
      <c r="C436" s="139"/>
      <c r="D436" s="147"/>
      <c r="E436" s="139"/>
      <c r="F436" s="139"/>
      <c r="G436" s="139"/>
      <c r="H436" s="139"/>
      <c r="AB436" s="139"/>
    </row>
    <row r="437" spans="1:28" x14ac:dyDescent="0.15">
      <c r="A437" s="139"/>
      <c r="B437" s="139"/>
      <c r="C437" s="139"/>
      <c r="D437" s="147"/>
      <c r="E437" s="139"/>
      <c r="F437" s="139"/>
      <c r="G437" s="139"/>
      <c r="H437" s="139"/>
      <c r="AB437" s="139"/>
    </row>
    <row r="438" spans="1:28" x14ac:dyDescent="0.15">
      <c r="A438" s="139"/>
      <c r="B438" s="139"/>
      <c r="C438" s="139"/>
      <c r="D438" s="147"/>
      <c r="E438" s="139"/>
      <c r="F438" s="139"/>
      <c r="G438" s="139"/>
      <c r="H438" s="139"/>
      <c r="AB438" s="139"/>
    </row>
    <row r="439" spans="1:28" x14ac:dyDescent="0.15">
      <c r="A439" s="139"/>
      <c r="B439" s="139"/>
      <c r="C439" s="139"/>
      <c r="D439" s="147"/>
      <c r="E439" s="139"/>
      <c r="F439" s="139"/>
      <c r="G439" s="139"/>
      <c r="H439" s="139"/>
      <c r="AB439" s="139"/>
    </row>
    <row r="440" spans="1:28" x14ac:dyDescent="0.15">
      <c r="A440" s="139"/>
      <c r="B440" s="139"/>
      <c r="C440" s="139"/>
      <c r="D440" s="147"/>
      <c r="E440" s="139"/>
      <c r="F440" s="139"/>
      <c r="G440" s="139"/>
      <c r="H440" s="139"/>
      <c r="AB440" s="139"/>
    </row>
    <row r="441" spans="1:28" x14ac:dyDescent="0.15">
      <c r="A441" s="139"/>
      <c r="B441" s="139"/>
      <c r="C441" s="139"/>
      <c r="D441" s="147"/>
      <c r="E441" s="139"/>
      <c r="F441" s="139"/>
      <c r="G441" s="139"/>
      <c r="H441" s="139"/>
      <c r="AB441" s="139"/>
    </row>
    <row r="442" spans="1:28" x14ac:dyDescent="0.15">
      <c r="A442" s="139"/>
      <c r="B442" s="139"/>
      <c r="C442" s="139"/>
      <c r="D442" s="147"/>
      <c r="E442" s="139"/>
      <c r="F442" s="139"/>
      <c r="G442" s="139"/>
      <c r="H442" s="139"/>
      <c r="AB442" s="139"/>
    </row>
    <row r="443" spans="1:28" x14ac:dyDescent="0.15">
      <c r="A443" s="139"/>
      <c r="B443" s="139"/>
      <c r="C443" s="139"/>
      <c r="D443" s="147"/>
      <c r="E443" s="139"/>
      <c r="F443" s="139"/>
      <c r="G443" s="139"/>
      <c r="H443" s="139"/>
      <c r="AB443" s="139"/>
    </row>
    <row r="444" spans="1:28" x14ac:dyDescent="0.15">
      <c r="A444" s="139"/>
      <c r="B444" s="139"/>
      <c r="C444" s="139"/>
      <c r="D444" s="147"/>
      <c r="E444" s="139"/>
      <c r="F444" s="139"/>
      <c r="G444" s="139"/>
      <c r="H444" s="139"/>
      <c r="AB444" s="139"/>
    </row>
    <row r="445" spans="1:28" x14ac:dyDescent="0.15">
      <c r="A445" s="139"/>
      <c r="B445" s="139"/>
      <c r="C445" s="139"/>
      <c r="D445" s="147"/>
      <c r="E445" s="139"/>
      <c r="F445" s="139"/>
      <c r="G445" s="139"/>
      <c r="H445" s="139"/>
      <c r="AB445" s="139"/>
    </row>
    <row r="446" spans="1:28" x14ac:dyDescent="0.15">
      <c r="A446" s="139"/>
      <c r="B446" s="139"/>
      <c r="C446" s="139"/>
      <c r="D446" s="147"/>
      <c r="E446" s="139"/>
      <c r="F446" s="139"/>
      <c r="G446" s="139"/>
      <c r="H446" s="139"/>
      <c r="AB446" s="139"/>
    </row>
    <row r="447" spans="1:28" x14ac:dyDescent="0.15">
      <c r="A447" s="139"/>
      <c r="B447" s="139"/>
      <c r="C447" s="139"/>
      <c r="D447" s="147"/>
      <c r="E447" s="139"/>
      <c r="F447" s="139"/>
      <c r="G447" s="139"/>
      <c r="H447" s="139"/>
      <c r="AB447" s="139"/>
    </row>
    <row r="448" spans="1:28" x14ac:dyDescent="0.15">
      <c r="A448" s="139"/>
      <c r="B448" s="139"/>
      <c r="C448" s="139"/>
      <c r="D448" s="147"/>
      <c r="E448" s="139"/>
      <c r="F448" s="139"/>
      <c r="G448" s="139"/>
      <c r="H448" s="139"/>
      <c r="AB448" s="139"/>
    </row>
    <row r="449" spans="1:28" x14ac:dyDescent="0.15">
      <c r="A449" s="139"/>
      <c r="B449" s="139"/>
      <c r="C449" s="139"/>
      <c r="D449" s="147"/>
      <c r="E449" s="139"/>
      <c r="F449" s="139"/>
      <c r="G449" s="139"/>
      <c r="H449" s="139"/>
      <c r="AB449" s="139"/>
    </row>
    <row r="450" spans="1:28" x14ac:dyDescent="0.15">
      <c r="A450" s="139"/>
      <c r="B450" s="139"/>
      <c r="C450" s="139"/>
      <c r="D450" s="147"/>
      <c r="E450" s="139"/>
      <c r="F450" s="139"/>
      <c r="G450" s="139"/>
      <c r="H450" s="139"/>
      <c r="AB450" s="139"/>
    </row>
    <row r="451" spans="1:28" x14ac:dyDescent="0.15">
      <c r="A451" s="139"/>
      <c r="B451" s="139"/>
      <c r="C451" s="139"/>
      <c r="D451" s="147"/>
      <c r="E451" s="139"/>
      <c r="F451" s="139"/>
      <c r="G451" s="139"/>
      <c r="H451" s="139"/>
      <c r="AB451" s="139"/>
    </row>
    <row r="452" spans="1:28" x14ac:dyDescent="0.15">
      <c r="A452" s="139"/>
      <c r="B452" s="139"/>
      <c r="C452" s="139"/>
      <c r="D452" s="147"/>
      <c r="E452" s="139"/>
      <c r="F452" s="139"/>
      <c r="G452" s="139"/>
      <c r="H452" s="139"/>
      <c r="AB452" s="139"/>
    </row>
    <row r="453" spans="1:28" x14ac:dyDescent="0.15">
      <c r="A453" s="139"/>
      <c r="B453" s="139"/>
      <c r="C453" s="139"/>
      <c r="D453" s="147"/>
      <c r="E453" s="139"/>
      <c r="F453" s="139"/>
      <c r="G453" s="139"/>
      <c r="H453" s="139"/>
      <c r="AB453" s="139"/>
    </row>
    <row r="454" spans="1:28" x14ac:dyDescent="0.15">
      <c r="A454" s="139"/>
      <c r="B454" s="139"/>
      <c r="C454" s="139"/>
      <c r="D454" s="147"/>
      <c r="E454" s="139"/>
      <c r="F454" s="139"/>
      <c r="G454" s="139"/>
      <c r="H454" s="139"/>
      <c r="AB454" s="139"/>
    </row>
    <row r="455" spans="1:28" x14ac:dyDescent="0.15">
      <c r="A455" s="139"/>
      <c r="B455" s="139"/>
      <c r="C455" s="139"/>
      <c r="D455" s="147"/>
      <c r="E455" s="139"/>
      <c r="F455" s="139"/>
      <c r="G455" s="139"/>
      <c r="H455" s="139"/>
      <c r="AB455" s="139"/>
    </row>
    <row r="456" spans="1:28" x14ac:dyDescent="0.15">
      <c r="A456" s="139"/>
      <c r="B456" s="139"/>
      <c r="C456" s="139"/>
      <c r="D456" s="147"/>
      <c r="E456" s="139"/>
      <c r="F456" s="139"/>
      <c r="G456" s="139"/>
      <c r="H456" s="139"/>
      <c r="AB456" s="139"/>
    </row>
    <row r="457" spans="1:28" x14ac:dyDescent="0.15">
      <c r="A457" s="139"/>
      <c r="B457" s="139"/>
      <c r="C457" s="139"/>
      <c r="D457" s="147"/>
      <c r="E457" s="139"/>
      <c r="F457" s="139"/>
      <c r="G457" s="139"/>
      <c r="H457" s="139"/>
      <c r="AB457" s="139"/>
    </row>
    <row r="458" spans="1:28" x14ac:dyDescent="0.15">
      <c r="A458" s="139"/>
      <c r="B458" s="139"/>
      <c r="C458" s="139"/>
      <c r="D458" s="147"/>
      <c r="E458" s="139"/>
      <c r="F458" s="139"/>
      <c r="G458" s="139"/>
      <c r="H458" s="139"/>
      <c r="AB458" s="139"/>
    </row>
    <row r="459" spans="1:28" x14ac:dyDescent="0.15">
      <c r="A459" s="139"/>
      <c r="B459" s="139"/>
      <c r="C459" s="139"/>
      <c r="D459" s="147"/>
      <c r="E459" s="139"/>
      <c r="F459" s="139"/>
      <c r="G459" s="139"/>
      <c r="H459" s="139"/>
      <c r="AB459" s="139"/>
    </row>
    <row r="460" spans="1:28" x14ac:dyDescent="0.15">
      <c r="A460" s="139"/>
      <c r="B460" s="139"/>
      <c r="C460" s="139"/>
      <c r="D460" s="147"/>
      <c r="E460" s="139"/>
      <c r="F460" s="139"/>
      <c r="G460" s="139"/>
      <c r="H460" s="139"/>
      <c r="AB460" s="139"/>
    </row>
    <row r="461" spans="1:28" x14ac:dyDescent="0.15">
      <c r="A461" s="139"/>
      <c r="B461" s="139"/>
      <c r="C461" s="139"/>
      <c r="D461" s="147"/>
      <c r="E461" s="139"/>
      <c r="F461" s="139"/>
      <c r="G461" s="139"/>
      <c r="H461" s="139"/>
      <c r="AB461" s="139"/>
    </row>
    <row r="462" spans="1:28" x14ac:dyDescent="0.15">
      <c r="A462" s="139"/>
      <c r="B462" s="139"/>
      <c r="C462" s="139"/>
      <c r="D462" s="147"/>
      <c r="E462" s="139"/>
      <c r="F462" s="139"/>
      <c r="G462" s="139"/>
      <c r="H462" s="139"/>
      <c r="AB462" s="139"/>
    </row>
    <row r="463" spans="1:28" x14ac:dyDescent="0.15">
      <c r="A463" s="139"/>
      <c r="B463" s="139"/>
      <c r="C463" s="139"/>
      <c r="D463" s="147"/>
      <c r="E463" s="139"/>
      <c r="F463" s="139"/>
      <c r="G463" s="139"/>
      <c r="H463" s="139"/>
      <c r="AB463" s="139"/>
    </row>
    <row r="464" spans="1:28" x14ac:dyDescent="0.15">
      <c r="A464" s="139"/>
      <c r="B464" s="139"/>
      <c r="C464" s="139"/>
      <c r="D464" s="147"/>
      <c r="E464" s="139"/>
      <c r="F464" s="139"/>
      <c r="G464" s="139"/>
      <c r="H464" s="139"/>
      <c r="AB464" s="139"/>
    </row>
    <row r="465" spans="1:28" x14ac:dyDescent="0.15">
      <c r="A465" s="139"/>
      <c r="B465" s="139"/>
      <c r="C465" s="139"/>
      <c r="D465" s="147"/>
      <c r="E465" s="139"/>
      <c r="F465" s="139"/>
      <c r="G465" s="139"/>
      <c r="H465" s="139"/>
      <c r="AB465" s="139"/>
    </row>
    <row r="466" spans="1:28" x14ac:dyDescent="0.15">
      <c r="A466" s="139"/>
      <c r="B466" s="139"/>
      <c r="C466" s="139"/>
      <c r="D466" s="147"/>
      <c r="E466" s="139"/>
      <c r="F466" s="139"/>
      <c r="G466" s="139"/>
      <c r="H466" s="139"/>
      <c r="AB466" s="139"/>
    </row>
    <row r="467" spans="1:28" x14ac:dyDescent="0.15">
      <c r="A467" s="139"/>
      <c r="B467" s="139"/>
      <c r="C467" s="139"/>
      <c r="D467" s="147"/>
      <c r="E467" s="139"/>
      <c r="F467" s="139"/>
      <c r="G467" s="139"/>
      <c r="H467" s="139"/>
      <c r="AB467" s="139"/>
    </row>
    <row r="468" spans="1:28" x14ac:dyDescent="0.15">
      <c r="A468" s="139"/>
      <c r="B468" s="139"/>
      <c r="C468" s="139"/>
      <c r="D468" s="147"/>
      <c r="E468" s="139"/>
      <c r="F468" s="139"/>
      <c r="G468" s="139"/>
      <c r="H468" s="139"/>
      <c r="AB468" s="139"/>
    </row>
    <row r="469" spans="1:28" x14ac:dyDescent="0.15">
      <c r="A469" s="139"/>
      <c r="B469" s="139"/>
      <c r="C469" s="139"/>
      <c r="D469" s="147"/>
      <c r="E469" s="139"/>
      <c r="F469" s="139"/>
      <c r="G469" s="139"/>
      <c r="H469" s="139"/>
      <c r="AB469" s="139"/>
    </row>
    <row r="470" spans="1:28" x14ac:dyDescent="0.15">
      <c r="A470" s="139"/>
      <c r="B470" s="139"/>
      <c r="C470" s="139"/>
      <c r="D470" s="147"/>
      <c r="E470" s="139"/>
      <c r="F470" s="139"/>
      <c r="G470" s="139"/>
      <c r="H470" s="139"/>
      <c r="AB470" s="139"/>
    </row>
    <row r="471" spans="1:28" x14ac:dyDescent="0.15">
      <c r="A471" s="139"/>
      <c r="B471" s="139"/>
      <c r="C471" s="139"/>
      <c r="D471" s="147"/>
      <c r="E471" s="139"/>
      <c r="F471" s="139"/>
      <c r="G471" s="139"/>
      <c r="H471" s="139"/>
      <c r="AB471" s="139"/>
    </row>
    <row r="472" spans="1:28" x14ac:dyDescent="0.15">
      <c r="A472" s="139"/>
      <c r="B472" s="139"/>
      <c r="C472" s="139"/>
      <c r="D472" s="147"/>
      <c r="E472" s="139"/>
      <c r="F472" s="139"/>
      <c r="G472" s="139"/>
      <c r="H472" s="139"/>
      <c r="AB472" s="139"/>
    </row>
    <row r="473" spans="1:28" x14ac:dyDescent="0.15">
      <c r="A473" s="139"/>
      <c r="B473" s="139"/>
      <c r="C473" s="139"/>
      <c r="D473" s="147"/>
      <c r="E473" s="139"/>
      <c r="F473" s="139"/>
      <c r="G473" s="139"/>
      <c r="H473" s="139"/>
      <c r="AB473" s="139"/>
    </row>
    <row r="474" spans="1:28" x14ac:dyDescent="0.15">
      <c r="A474" s="139"/>
      <c r="B474" s="139"/>
      <c r="C474" s="139"/>
      <c r="D474" s="147"/>
      <c r="E474" s="139"/>
      <c r="F474" s="139"/>
      <c r="G474" s="139"/>
      <c r="H474" s="139"/>
      <c r="AB474" s="139"/>
    </row>
    <row r="475" spans="1:28" x14ac:dyDescent="0.15">
      <c r="A475" s="139"/>
      <c r="B475" s="139"/>
      <c r="C475" s="139"/>
      <c r="D475" s="147"/>
      <c r="E475" s="139"/>
      <c r="F475" s="139"/>
      <c r="G475" s="139"/>
      <c r="H475" s="139"/>
      <c r="AB475" s="139"/>
    </row>
    <row r="476" spans="1:28" x14ac:dyDescent="0.15">
      <c r="A476" s="139"/>
      <c r="B476" s="139"/>
      <c r="C476" s="139"/>
      <c r="D476" s="147"/>
      <c r="E476" s="139"/>
      <c r="F476" s="139"/>
      <c r="G476" s="139"/>
      <c r="H476" s="139"/>
      <c r="AB476" s="139"/>
    </row>
    <row r="477" spans="1:28" x14ac:dyDescent="0.15">
      <c r="A477" s="139"/>
      <c r="B477" s="139"/>
      <c r="C477" s="139"/>
      <c r="D477" s="147"/>
      <c r="E477" s="139"/>
      <c r="F477" s="139"/>
      <c r="G477" s="139"/>
      <c r="H477" s="139"/>
      <c r="AB477" s="139"/>
    </row>
    <row r="478" spans="1:28" x14ac:dyDescent="0.15">
      <c r="A478" s="139"/>
      <c r="B478" s="139"/>
      <c r="C478" s="139"/>
      <c r="D478" s="147"/>
      <c r="E478" s="139"/>
      <c r="F478" s="139"/>
      <c r="G478" s="139"/>
      <c r="H478" s="139"/>
      <c r="AB478" s="139"/>
    </row>
    <row r="479" spans="1:28" x14ac:dyDescent="0.15">
      <c r="A479" s="139"/>
      <c r="B479" s="139"/>
      <c r="C479" s="139"/>
      <c r="D479" s="147"/>
      <c r="E479" s="139"/>
      <c r="F479" s="139"/>
      <c r="G479" s="139"/>
      <c r="H479" s="139"/>
      <c r="AB479" s="139"/>
    </row>
    <row r="480" spans="1:28" x14ac:dyDescent="0.15">
      <c r="A480" s="139"/>
      <c r="B480" s="139"/>
      <c r="C480" s="139"/>
      <c r="D480" s="147"/>
      <c r="E480" s="139"/>
      <c r="F480" s="139"/>
      <c r="G480" s="139"/>
      <c r="H480" s="139"/>
      <c r="AB480" s="139"/>
    </row>
    <row r="481" spans="1:28" x14ac:dyDescent="0.15">
      <c r="A481" s="139"/>
      <c r="B481" s="139"/>
      <c r="C481" s="139"/>
      <c r="D481" s="147"/>
      <c r="E481" s="139"/>
      <c r="F481" s="139"/>
      <c r="G481" s="139"/>
      <c r="H481" s="139"/>
      <c r="AB481" s="139"/>
    </row>
    <row r="482" spans="1:28" x14ac:dyDescent="0.15">
      <c r="A482" s="139"/>
      <c r="B482" s="139"/>
      <c r="C482" s="139"/>
      <c r="D482" s="147"/>
      <c r="E482" s="139"/>
      <c r="F482" s="139"/>
      <c r="G482" s="139"/>
      <c r="H482" s="139"/>
      <c r="AB482" s="139"/>
    </row>
    <row r="483" spans="1:28" x14ac:dyDescent="0.15">
      <c r="A483" s="139"/>
      <c r="B483" s="139"/>
      <c r="C483" s="139"/>
      <c r="D483" s="147"/>
      <c r="E483" s="139"/>
      <c r="F483" s="139"/>
      <c r="G483" s="139"/>
      <c r="H483" s="139"/>
      <c r="AB483" s="139"/>
    </row>
    <row r="484" spans="1:28" x14ac:dyDescent="0.15">
      <c r="A484" s="139"/>
      <c r="B484" s="139"/>
      <c r="C484" s="139"/>
      <c r="D484" s="147"/>
      <c r="E484" s="139"/>
      <c r="F484" s="139"/>
      <c r="G484" s="139"/>
      <c r="H484" s="139"/>
      <c r="AB484" s="139"/>
    </row>
    <row r="485" spans="1:28" x14ac:dyDescent="0.15">
      <c r="A485" s="139"/>
      <c r="B485" s="139"/>
      <c r="C485" s="139"/>
      <c r="D485" s="147"/>
      <c r="E485" s="139"/>
      <c r="F485" s="139"/>
      <c r="G485" s="139"/>
      <c r="H485" s="139"/>
      <c r="AB485" s="139"/>
    </row>
    <row r="486" spans="1:28" x14ac:dyDescent="0.15">
      <c r="A486" s="139"/>
      <c r="B486" s="139"/>
      <c r="C486" s="139"/>
      <c r="D486" s="147"/>
      <c r="E486" s="139"/>
      <c r="F486" s="139"/>
      <c r="G486" s="139"/>
      <c r="H486" s="139"/>
      <c r="AB486" s="139"/>
    </row>
    <row r="487" spans="1:28" x14ac:dyDescent="0.15">
      <c r="A487" s="139"/>
      <c r="B487" s="139"/>
      <c r="C487" s="139"/>
      <c r="D487" s="147"/>
      <c r="E487" s="139"/>
      <c r="F487" s="139"/>
      <c r="G487" s="139"/>
      <c r="H487" s="139"/>
      <c r="AB487" s="139"/>
    </row>
    <row r="488" spans="1:28" x14ac:dyDescent="0.15">
      <c r="A488" s="139"/>
      <c r="B488" s="139"/>
      <c r="C488" s="139"/>
      <c r="D488" s="147"/>
      <c r="E488" s="139"/>
      <c r="F488" s="139"/>
      <c r="G488" s="139"/>
      <c r="H488" s="139"/>
      <c r="AB488" s="139"/>
    </row>
    <row r="489" spans="1:28" x14ac:dyDescent="0.15">
      <c r="A489" s="139"/>
      <c r="B489" s="139"/>
      <c r="C489" s="139"/>
      <c r="D489" s="147"/>
      <c r="E489" s="139"/>
      <c r="F489" s="139"/>
      <c r="G489" s="139"/>
      <c r="H489" s="139"/>
      <c r="AB489" s="139"/>
    </row>
    <row r="490" spans="1:28" x14ac:dyDescent="0.15">
      <c r="A490" s="139"/>
      <c r="B490" s="139"/>
      <c r="C490" s="139"/>
      <c r="D490" s="147"/>
      <c r="E490" s="139"/>
      <c r="F490" s="139"/>
      <c r="G490" s="139"/>
      <c r="H490" s="139"/>
      <c r="AB490" s="139"/>
    </row>
    <row r="491" spans="1:28" x14ac:dyDescent="0.15">
      <c r="A491" s="139"/>
      <c r="B491" s="139"/>
      <c r="C491" s="139"/>
      <c r="D491" s="147"/>
      <c r="E491" s="139"/>
      <c r="F491" s="139"/>
      <c r="G491" s="139"/>
      <c r="H491" s="139"/>
      <c r="AB491" s="139"/>
    </row>
    <row r="492" spans="1:28" x14ac:dyDescent="0.15">
      <c r="A492" s="139"/>
      <c r="B492" s="139"/>
      <c r="C492" s="139"/>
      <c r="D492" s="147"/>
      <c r="E492" s="139"/>
      <c r="F492" s="139"/>
      <c r="G492" s="139"/>
      <c r="H492" s="139"/>
      <c r="AB492" s="139"/>
    </row>
    <row r="493" spans="1:28" x14ac:dyDescent="0.15">
      <c r="A493" s="139"/>
      <c r="B493" s="139"/>
      <c r="C493" s="139"/>
      <c r="D493" s="147"/>
      <c r="E493" s="139"/>
      <c r="F493" s="139"/>
      <c r="G493" s="139"/>
      <c r="H493" s="139"/>
      <c r="AB493" s="139"/>
    </row>
    <row r="494" spans="1:28" x14ac:dyDescent="0.15">
      <c r="A494" s="139"/>
      <c r="B494" s="139"/>
      <c r="C494" s="139"/>
      <c r="D494" s="147"/>
      <c r="E494" s="139"/>
      <c r="F494" s="139"/>
      <c r="G494" s="139"/>
      <c r="H494" s="139"/>
      <c r="AB494" s="139"/>
    </row>
    <row r="495" spans="1:28" x14ac:dyDescent="0.15">
      <c r="A495" s="139"/>
      <c r="B495" s="139"/>
      <c r="C495" s="139"/>
      <c r="D495" s="147"/>
      <c r="E495" s="139"/>
      <c r="F495" s="139"/>
      <c r="G495" s="139"/>
      <c r="H495" s="139"/>
      <c r="AB495" s="139"/>
    </row>
    <row r="496" spans="1:28" x14ac:dyDescent="0.15">
      <c r="A496" s="139"/>
      <c r="B496" s="139"/>
      <c r="C496" s="139"/>
      <c r="D496" s="147"/>
      <c r="E496" s="139"/>
      <c r="F496" s="139"/>
      <c r="G496" s="139"/>
      <c r="H496" s="139"/>
      <c r="AB496" s="139"/>
    </row>
    <row r="497" spans="1:28" x14ac:dyDescent="0.15">
      <c r="A497" s="139"/>
      <c r="B497" s="139"/>
      <c r="C497" s="139"/>
      <c r="D497" s="147"/>
      <c r="E497" s="139"/>
      <c r="F497" s="139"/>
      <c r="G497" s="139"/>
      <c r="H497" s="139"/>
      <c r="AB497" s="139"/>
    </row>
    <row r="498" spans="1:28" x14ac:dyDescent="0.15">
      <c r="A498" s="139"/>
      <c r="B498" s="139"/>
      <c r="C498" s="139"/>
      <c r="D498" s="147"/>
      <c r="E498" s="139"/>
      <c r="F498" s="139"/>
      <c r="G498" s="139"/>
      <c r="H498" s="139"/>
      <c r="AB498" s="139"/>
    </row>
    <row r="499" spans="1:28" x14ac:dyDescent="0.15">
      <c r="A499" s="139"/>
      <c r="B499" s="139"/>
      <c r="C499" s="139"/>
      <c r="D499" s="147"/>
      <c r="E499" s="139"/>
      <c r="F499" s="139"/>
      <c r="G499" s="139"/>
      <c r="H499" s="139"/>
      <c r="AB499" s="139"/>
    </row>
    <row r="500" spans="1:28" x14ac:dyDescent="0.15">
      <c r="A500" s="139"/>
      <c r="B500" s="139"/>
      <c r="C500" s="139"/>
      <c r="D500" s="147"/>
      <c r="E500" s="139"/>
      <c r="F500" s="139"/>
      <c r="G500" s="139"/>
      <c r="H500" s="139"/>
      <c r="AB500" s="139"/>
    </row>
    <row r="501" spans="1:28" x14ac:dyDescent="0.15">
      <c r="A501" s="139"/>
      <c r="B501" s="139"/>
      <c r="C501" s="139"/>
      <c r="D501" s="147"/>
      <c r="E501" s="139"/>
      <c r="F501" s="139"/>
      <c r="G501" s="139"/>
      <c r="H501" s="139"/>
      <c r="AB501" s="139"/>
    </row>
    <row r="502" spans="1:28" x14ac:dyDescent="0.15">
      <c r="A502" s="139"/>
      <c r="B502" s="139"/>
      <c r="C502" s="139"/>
      <c r="D502" s="147"/>
      <c r="E502" s="139"/>
      <c r="F502" s="139"/>
      <c r="G502" s="139"/>
      <c r="H502" s="139"/>
      <c r="AB502" s="139"/>
    </row>
    <row r="503" spans="1:28" x14ac:dyDescent="0.15">
      <c r="A503" s="139"/>
      <c r="B503" s="139"/>
      <c r="C503" s="139"/>
      <c r="D503" s="147"/>
      <c r="E503" s="139"/>
      <c r="F503" s="139"/>
      <c r="G503" s="139"/>
      <c r="H503" s="139"/>
      <c r="AB503" s="139"/>
    </row>
    <row r="504" spans="1:28" x14ac:dyDescent="0.15">
      <c r="A504" s="139"/>
      <c r="B504" s="139"/>
      <c r="C504" s="139"/>
      <c r="D504" s="147"/>
      <c r="E504" s="139"/>
      <c r="F504" s="139"/>
      <c r="G504" s="139"/>
      <c r="H504" s="139"/>
      <c r="AB504" s="139"/>
    </row>
    <row r="505" spans="1:28" x14ac:dyDescent="0.15">
      <c r="A505" s="139"/>
      <c r="B505" s="139"/>
      <c r="C505" s="139"/>
      <c r="D505" s="147"/>
      <c r="E505" s="139"/>
      <c r="F505" s="139"/>
      <c r="G505" s="139"/>
      <c r="H505" s="139"/>
      <c r="AB505" s="139"/>
    </row>
    <row r="506" spans="1:28" x14ac:dyDescent="0.15">
      <c r="A506" s="139"/>
      <c r="B506" s="139"/>
      <c r="C506" s="139"/>
      <c r="D506" s="147"/>
      <c r="E506" s="139"/>
      <c r="F506" s="139"/>
      <c r="G506" s="139"/>
      <c r="H506" s="139"/>
      <c r="AB506" s="139"/>
    </row>
    <row r="507" spans="1:28" x14ac:dyDescent="0.15">
      <c r="A507" s="139"/>
      <c r="B507" s="139"/>
      <c r="C507" s="139"/>
      <c r="D507" s="147"/>
      <c r="E507" s="139"/>
      <c r="F507" s="139"/>
      <c r="G507" s="139"/>
      <c r="H507" s="139"/>
      <c r="AB507" s="139"/>
    </row>
    <row r="508" spans="1:28" x14ac:dyDescent="0.15">
      <c r="A508" s="139"/>
      <c r="B508" s="139"/>
      <c r="C508" s="139"/>
      <c r="D508" s="147"/>
      <c r="E508" s="139"/>
      <c r="F508" s="139"/>
      <c r="G508" s="139"/>
      <c r="H508" s="139"/>
      <c r="AB508" s="139"/>
    </row>
    <row r="509" spans="1:28" x14ac:dyDescent="0.15">
      <c r="A509" s="139"/>
      <c r="B509" s="139"/>
      <c r="C509" s="139"/>
      <c r="D509" s="147"/>
      <c r="E509" s="139"/>
      <c r="F509" s="139"/>
      <c r="G509" s="139"/>
      <c r="H509" s="139"/>
      <c r="AB509" s="139"/>
    </row>
    <row r="510" spans="1:28" x14ac:dyDescent="0.15">
      <c r="A510" s="139"/>
      <c r="B510" s="139"/>
      <c r="C510" s="139"/>
      <c r="D510" s="147"/>
      <c r="E510" s="139"/>
      <c r="F510" s="139"/>
      <c r="G510" s="139"/>
      <c r="H510" s="139"/>
      <c r="AB510" s="139"/>
    </row>
    <row r="511" spans="1:28" x14ac:dyDescent="0.15">
      <c r="A511" s="139"/>
      <c r="B511" s="139"/>
      <c r="C511" s="139"/>
      <c r="D511" s="147"/>
      <c r="E511" s="139"/>
      <c r="F511" s="139"/>
      <c r="G511" s="139"/>
      <c r="H511" s="139"/>
      <c r="AB511" s="139"/>
    </row>
    <row r="512" spans="1:28" x14ac:dyDescent="0.15">
      <c r="A512" s="139"/>
      <c r="B512" s="139"/>
      <c r="C512" s="139"/>
      <c r="D512" s="147"/>
      <c r="E512" s="139"/>
      <c r="F512" s="139"/>
      <c r="G512" s="139"/>
      <c r="H512" s="139"/>
      <c r="AB512" s="139"/>
    </row>
    <row r="513" spans="1:28" x14ac:dyDescent="0.15">
      <c r="A513" s="139"/>
      <c r="B513" s="139"/>
      <c r="C513" s="139"/>
      <c r="D513" s="147"/>
      <c r="E513" s="139"/>
      <c r="F513" s="139"/>
      <c r="G513" s="139"/>
      <c r="H513" s="139"/>
      <c r="AB513" s="139"/>
    </row>
    <row r="514" spans="1:28" x14ac:dyDescent="0.15">
      <c r="A514" s="139"/>
      <c r="B514" s="139"/>
      <c r="C514" s="139"/>
      <c r="D514" s="147"/>
      <c r="E514" s="139"/>
      <c r="F514" s="139"/>
      <c r="G514" s="139"/>
      <c r="H514" s="139"/>
      <c r="AB514" s="139"/>
    </row>
    <row r="515" spans="1:28" x14ac:dyDescent="0.15">
      <c r="A515" s="139"/>
      <c r="B515" s="139"/>
      <c r="C515" s="139"/>
      <c r="D515" s="147"/>
      <c r="E515" s="139"/>
      <c r="F515" s="139"/>
      <c r="G515" s="139"/>
      <c r="H515" s="139"/>
      <c r="AB515" s="139"/>
    </row>
    <row r="516" spans="1:28" x14ac:dyDescent="0.15">
      <c r="A516" s="139"/>
      <c r="B516" s="139"/>
      <c r="C516" s="139"/>
      <c r="D516" s="147"/>
      <c r="E516" s="139"/>
      <c r="F516" s="139"/>
      <c r="G516" s="139"/>
      <c r="H516" s="139"/>
      <c r="AB516" s="139"/>
    </row>
    <row r="517" spans="1:28" x14ac:dyDescent="0.15">
      <c r="A517" s="139"/>
      <c r="B517" s="139"/>
      <c r="C517" s="139"/>
      <c r="D517" s="147"/>
      <c r="E517" s="139"/>
      <c r="F517" s="139"/>
      <c r="G517" s="139"/>
      <c r="H517" s="139"/>
      <c r="AB517" s="139"/>
    </row>
    <row r="518" spans="1:28" x14ac:dyDescent="0.15">
      <c r="A518" s="139"/>
      <c r="B518" s="139"/>
      <c r="C518" s="139"/>
      <c r="D518" s="147"/>
      <c r="E518" s="139"/>
      <c r="F518" s="139"/>
      <c r="G518" s="139"/>
      <c r="H518" s="139"/>
      <c r="AB518" s="139"/>
    </row>
    <row r="519" spans="1:28" x14ac:dyDescent="0.15">
      <c r="A519" s="139"/>
      <c r="B519" s="139"/>
      <c r="C519" s="139"/>
      <c r="D519" s="147"/>
      <c r="E519" s="139"/>
      <c r="F519" s="139"/>
      <c r="G519" s="139"/>
      <c r="H519" s="139"/>
      <c r="AB519" s="139"/>
    </row>
    <row r="520" spans="1:28" x14ac:dyDescent="0.15">
      <c r="A520" s="139"/>
      <c r="B520" s="139"/>
      <c r="C520" s="139"/>
      <c r="D520" s="147"/>
      <c r="E520" s="139"/>
      <c r="F520" s="139"/>
      <c r="G520" s="139"/>
      <c r="H520" s="139"/>
      <c r="AB520" s="139"/>
    </row>
    <row r="521" spans="1:28" x14ac:dyDescent="0.15">
      <c r="A521" s="139"/>
      <c r="B521" s="139"/>
      <c r="C521" s="139"/>
      <c r="D521" s="147"/>
      <c r="E521" s="139"/>
      <c r="F521" s="139"/>
      <c r="G521" s="139"/>
      <c r="H521" s="139"/>
      <c r="AB521" s="139"/>
    </row>
    <row r="522" spans="1:28" x14ac:dyDescent="0.15">
      <c r="A522" s="139"/>
      <c r="B522" s="139"/>
      <c r="C522" s="139"/>
      <c r="D522" s="147"/>
      <c r="E522" s="139"/>
      <c r="F522" s="139"/>
      <c r="G522" s="139"/>
      <c r="H522" s="139"/>
      <c r="AB522" s="139"/>
    </row>
    <row r="523" spans="1:28" x14ac:dyDescent="0.15">
      <c r="A523" s="139"/>
      <c r="B523" s="139"/>
      <c r="C523" s="139"/>
      <c r="D523" s="147"/>
      <c r="E523" s="139"/>
      <c r="F523" s="139"/>
      <c r="G523" s="139"/>
      <c r="H523" s="139"/>
      <c r="AB523" s="139"/>
    </row>
    <row r="524" spans="1:28" x14ac:dyDescent="0.15">
      <c r="A524" s="139"/>
      <c r="B524" s="139"/>
      <c r="C524" s="139"/>
      <c r="D524" s="147"/>
      <c r="E524" s="139"/>
      <c r="F524" s="139"/>
      <c r="G524" s="139"/>
      <c r="H524" s="139"/>
      <c r="AB524" s="139"/>
    </row>
    <row r="525" spans="1:28" x14ac:dyDescent="0.15">
      <c r="A525" s="139"/>
      <c r="B525" s="139"/>
      <c r="C525" s="139"/>
      <c r="D525" s="147"/>
      <c r="E525" s="139"/>
      <c r="F525" s="139"/>
      <c r="G525" s="139"/>
      <c r="H525" s="139"/>
      <c r="AB525" s="139"/>
    </row>
    <row r="526" spans="1:28" x14ac:dyDescent="0.15">
      <c r="A526" s="139"/>
      <c r="B526" s="139"/>
      <c r="C526" s="139"/>
      <c r="D526" s="147"/>
      <c r="E526" s="139"/>
      <c r="F526" s="139"/>
      <c r="G526" s="139"/>
      <c r="H526" s="139"/>
      <c r="AB526" s="139"/>
    </row>
    <row r="527" spans="1:28" x14ac:dyDescent="0.15">
      <c r="A527" s="139"/>
      <c r="B527" s="139"/>
      <c r="C527" s="139"/>
      <c r="D527" s="147"/>
      <c r="E527" s="139"/>
      <c r="F527" s="139"/>
      <c r="G527" s="139"/>
      <c r="H527" s="139"/>
      <c r="AB527" s="139"/>
    </row>
    <row r="528" spans="1:28" x14ac:dyDescent="0.15">
      <c r="A528" s="139"/>
      <c r="B528" s="139"/>
      <c r="C528" s="139"/>
      <c r="D528" s="147"/>
      <c r="E528" s="139"/>
      <c r="F528" s="139"/>
      <c r="G528" s="139"/>
      <c r="H528" s="139"/>
      <c r="AB528" s="139"/>
    </row>
    <row r="529" spans="1:28" x14ac:dyDescent="0.15">
      <c r="A529" s="139"/>
      <c r="B529" s="139"/>
      <c r="C529" s="139"/>
      <c r="D529" s="147"/>
      <c r="E529" s="139"/>
      <c r="F529" s="139"/>
      <c r="G529" s="139"/>
      <c r="H529" s="139"/>
      <c r="AB529" s="139"/>
    </row>
    <row r="530" spans="1:28" x14ac:dyDescent="0.15">
      <c r="A530" s="139"/>
      <c r="B530" s="139"/>
      <c r="C530" s="139"/>
      <c r="D530" s="147"/>
      <c r="E530" s="139"/>
      <c r="F530" s="139"/>
      <c r="G530" s="139"/>
      <c r="H530" s="139"/>
      <c r="AB530" s="139"/>
    </row>
    <row r="531" spans="1:28" x14ac:dyDescent="0.15">
      <c r="A531" s="139"/>
      <c r="B531" s="139"/>
      <c r="C531" s="139"/>
      <c r="D531" s="147"/>
      <c r="E531" s="139"/>
      <c r="F531" s="139"/>
      <c r="G531" s="139"/>
      <c r="H531" s="139"/>
      <c r="AB531" s="139"/>
    </row>
    <row r="532" spans="1:28" x14ac:dyDescent="0.15">
      <c r="A532" s="139"/>
      <c r="B532" s="139"/>
      <c r="C532" s="139"/>
      <c r="D532" s="147"/>
      <c r="E532" s="139"/>
      <c r="F532" s="139"/>
      <c r="G532" s="139"/>
      <c r="H532" s="139"/>
      <c r="AB532" s="139"/>
    </row>
    <row r="533" spans="1:28" x14ac:dyDescent="0.15">
      <c r="A533" s="139"/>
      <c r="B533" s="139"/>
      <c r="C533" s="139"/>
      <c r="D533" s="147"/>
      <c r="E533" s="139"/>
      <c r="F533" s="139"/>
      <c r="G533" s="139"/>
      <c r="H533" s="139"/>
    </row>
    <row r="534" spans="1:28" x14ac:dyDescent="0.15">
      <c r="A534" s="139"/>
      <c r="B534" s="139"/>
      <c r="C534" s="139"/>
      <c r="D534" s="147"/>
      <c r="E534" s="139"/>
      <c r="F534" s="139"/>
      <c r="G534" s="139"/>
      <c r="H534" s="139"/>
    </row>
    <row r="535" spans="1:28" x14ac:dyDescent="0.15">
      <c r="A535" s="139"/>
      <c r="B535" s="139"/>
      <c r="C535" s="139"/>
      <c r="D535" s="147"/>
      <c r="E535" s="139"/>
      <c r="F535" s="139"/>
      <c r="G535" s="139"/>
      <c r="H535" s="139"/>
    </row>
    <row r="536" spans="1:28" x14ac:dyDescent="0.15">
      <c r="A536" s="139"/>
      <c r="B536" s="139"/>
      <c r="C536" s="139"/>
      <c r="D536" s="147"/>
      <c r="E536" s="139"/>
      <c r="F536" s="139"/>
      <c r="G536" s="139"/>
      <c r="H536" s="139"/>
    </row>
    <row r="537" spans="1:28" x14ac:dyDescent="0.15">
      <c r="A537" s="139"/>
      <c r="B537" s="139"/>
      <c r="C537" s="139"/>
      <c r="D537" s="147"/>
      <c r="E537" s="139"/>
      <c r="F537" s="139"/>
      <c r="G537" s="139"/>
      <c r="H537" s="139"/>
    </row>
    <row r="538" spans="1:28" x14ac:dyDescent="0.15">
      <c r="A538" s="139"/>
      <c r="B538" s="139"/>
      <c r="C538" s="139"/>
      <c r="D538" s="147"/>
      <c r="E538" s="139"/>
      <c r="F538" s="139"/>
      <c r="G538" s="139"/>
      <c r="H538" s="139"/>
    </row>
    <row r="539" spans="1:28" x14ac:dyDescent="0.15">
      <c r="A539" s="139"/>
      <c r="B539" s="139"/>
      <c r="C539" s="139"/>
      <c r="D539" s="147"/>
      <c r="E539" s="139"/>
      <c r="F539" s="139"/>
      <c r="G539" s="139"/>
      <c r="H539" s="139"/>
    </row>
    <row r="540" spans="1:28" x14ac:dyDescent="0.15">
      <c r="A540" s="139"/>
      <c r="B540" s="139"/>
      <c r="C540" s="139"/>
      <c r="D540" s="147"/>
      <c r="E540" s="139"/>
      <c r="F540" s="139"/>
      <c r="G540" s="139"/>
      <c r="H540" s="139"/>
    </row>
    <row r="541" spans="1:28" x14ac:dyDescent="0.15">
      <c r="A541" s="139"/>
      <c r="B541" s="139"/>
      <c r="C541" s="139"/>
      <c r="D541" s="147"/>
      <c r="E541" s="139"/>
      <c r="F541" s="139"/>
      <c r="G541" s="139"/>
      <c r="H541" s="139"/>
    </row>
    <row r="542" spans="1:28" x14ac:dyDescent="0.15">
      <c r="A542" s="139"/>
      <c r="B542" s="139"/>
      <c r="C542" s="139"/>
      <c r="D542" s="147"/>
      <c r="E542" s="139"/>
      <c r="F542" s="139"/>
      <c r="G542" s="139"/>
      <c r="H542" s="139"/>
    </row>
    <row r="543" spans="1:28" x14ac:dyDescent="0.15">
      <c r="A543" s="139"/>
      <c r="B543" s="139"/>
      <c r="C543" s="139"/>
      <c r="D543" s="147"/>
      <c r="E543" s="139"/>
      <c r="F543" s="139"/>
      <c r="G543" s="139"/>
      <c r="H543" s="139"/>
    </row>
    <row r="544" spans="1:28" x14ac:dyDescent="0.15">
      <c r="A544" s="139"/>
      <c r="B544" s="139"/>
      <c r="C544" s="139"/>
      <c r="D544" s="147"/>
      <c r="E544" s="139"/>
      <c r="F544" s="139"/>
      <c r="G544" s="139"/>
      <c r="H544" s="139"/>
    </row>
    <row r="545" spans="1:8" x14ac:dyDescent="0.15">
      <c r="A545" s="139"/>
      <c r="B545" s="139"/>
      <c r="C545" s="139"/>
      <c r="D545" s="147"/>
      <c r="E545" s="139"/>
      <c r="F545" s="139"/>
      <c r="G545" s="139"/>
      <c r="H545" s="139"/>
    </row>
    <row r="546" spans="1:8" x14ac:dyDescent="0.15">
      <c r="A546" s="139"/>
      <c r="B546" s="139"/>
      <c r="C546" s="139"/>
      <c r="D546" s="147"/>
      <c r="E546" s="139"/>
      <c r="F546" s="139"/>
      <c r="G546" s="139"/>
      <c r="H546" s="139"/>
    </row>
    <row r="547" spans="1:8" x14ac:dyDescent="0.15">
      <c r="A547" s="139"/>
      <c r="B547" s="139"/>
      <c r="C547" s="139"/>
      <c r="D547" s="147"/>
      <c r="E547" s="139"/>
      <c r="F547" s="139"/>
      <c r="G547" s="139"/>
      <c r="H547" s="139"/>
    </row>
    <row r="548" spans="1:8" x14ac:dyDescent="0.15">
      <c r="A548" s="139"/>
      <c r="B548" s="139"/>
      <c r="C548" s="139"/>
      <c r="D548" s="147"/>
      <c r="E548" s="139"/>
      <c r="F548" s="139"/>
      <c r="G548" s="139"/>
      <c r="H548" s="139"/>
    </row>
    <row r="549" spans="1:8" x14ac:dyDescent="0.15">
      <c r="A549" s="139"/>
      <c r="B549" s="139"/>
      <c r="C549" s="139"/>
      <c r="D549" s="147"/>
      <c r="E549" s="139"/>
      <c r="F549" s="139"/>
      <c r="G549" s="139"/>
      <c r="H549" s="139"/>
    </row>
    <row r="550" spans="1:8" x14ac:dyDescent="0.15">
      <c r="A550" s="139"/>
      <c r="B550" s="139"/>
      <c r="C550" s="139"/>
      <c r="D550" s="147"/>
      <c r="E550" s="139"/>
      <c r="F550" s="139"/>
      <c r="G550" s="139"/>
      <c r="H550" s="139"/>
    </row>
    <row r="551" spans="1:8" x14ac:dyDescent="0.15">
      <c r="A551" s="139"/>
      <c r="B551" s="139"/>
      <c r="C551" s="139"/>
      <c r="D551" s="147"/>
      <c r="E551" s="139"/>
      <c r="F551" s="139"/>
      <c r="G551" s="139"/>
      <c r="H551" s="139"/>
    </row>
    <row r="552" spans="1:8" x14ac:dyDescent="0.15">
      <c r="A552" s="139"/>
      <c r="B552" s="139"/>
      <c r="C552" s="139"/>
      <c r="D552" s="147"/>
      <c r="E552" s="139"/>
      <c r="F552" s="139"/>
      <c r="G552" s="139"/>
      <c r="H552" s="139"/>
    </row>
    <row r="553" spans="1:8" x14ac:dyDescent="0.15">
      <c r="A553" s="139"/>
      <c r="B553" s="139"/>
      <c r="C553" s="139"/>
      <c r="D553" s="147"/>
      <c r="E553" s="139"/>
      <c r="F553" s="139"/>
      <c r="G553" s="139"/>
      <c r="H553" s="139"/>
    </row>
    <row r="554" spans="1:8" x14ac:dyDescent="0.15">
      <c r="A554" s="139"/>
      <c r="B554" s="139"/>
      <c r="C554" s="139"/>
      <c r="D554" s="147"/>
      <c r="E554" s="139"/>
      <c r="F554" s="139"/>
      <c r="G554" s="139"/>
      <c r="H554" s="139"/>
    </row>
    <row r="555" spans="1:8" x14ac:dyDescent="0.15">
      <c r="A555" s="139"/>
      <c r="B555" s="139"/>
      <c r="C555" s="139"/>
      <c r="D555" s="147"/>
      <c r="E555" s="139"/>
      <c r="F555" s="139"/>
      <c r="G555" s="139"/>
      <c r="H555" s="139"/>
    </row>
    <row r="556" spans="1:8" x14ac:dyDescent="0.15">
      <c r="A556" s="139"/>
      <c r="B556" s="139"/>
      <c r="C556" s="139"/>
      <c r="D556" s="147"/>
      <c r="E556" s="139"/>
      <c r="F556" s="139"/>
      <c r="G556" s="139"/>
      <c r="H556" s="139"/>
    </row>
    <row r="557" spans="1:8" x14ac:dyDescent="0.15">
      <c r="A557" s="139"/>
      <c r="B557" s="139"/>
      <c r="C557" s="139"/>
      <c r="D557" s="147"/>
      <c r="E557" s="139"/>
      <c r="F557" s="139"/>
      <c r="G557" s="139"/>
      <c r="H557" s="139"/>
    </row>
    <row r="558" spans="1:8" x14ac:dyDescent="0.15">
      <c r="A558" s="139"/>
      <c r="B558" s="139"/>
      <c r="C558" s="139"/>
      <c r="D558" s="147"/>
      <c r="E558" s="139"/>
      <c r="F558" s="139"/>
      <c r="G558" s="139"/>
      <c r="H558" s="139"/>
    </row>
    <row r="559" spans="1:8" x14ac:dyDescent="0.15">
      <c r="A559" s="139"/>
      <c r="B559" s="139"/>
      <c r="C559" s="139"/>
      <c r="D559" s="147"/>
      <c r="E559" s="139"/>
      <c r="F559" s="139"/>
      <c r="G559" s="139"/>
      <c r="H559" s="139"/>
    </row>
    <row r="560" spans="1:8" x14ac:dyDescent="0.15">
      <c r="A560" s="139"/>
      <c r="B560" s="139"/>
      <c r="C560" s="139"/>
      <c r="D560" s="147"/>
      <c r="E560" s="139"/>
      <c r="F560" s="139"/>
      <c r="G560" s="139"/>
      <c r="H560" s="139"/>
    </row>
    <row r="561" spans="1:8" x14ac:dyDescent="0.15">
      <c r="A561" s="139"/>
      <c r="B561" s="139"/>
      <c r="C561" s="139"/>
      <c r="D561" s="147"/>
      <c r="E561" s="139"/>
      <c r="F561" s="139"/>
      <c r="G561" s="139"/>
      <c r="H561" s="139"/>
    </row>
    <row r="562" spans="1:8" x14ac:dyDescent="0.15">
      <c r="A562" s="139"/>
      <c r="B562" s="139"/>
      <c r="C562" s="139"/>
      <c r="D562" s="147"/>
      <c r="E562" s="139"/>
      <c r="F562" s="139"/>
      <c r="G562" s="139"/>
      <c r="H562" s="139"/>
    </row>
    <row r="563" spans="1:8" x14ac:dyDescent="0.15">
      <c r="A563" s="139"/>
      <c r="B563" s="139"/>
      <c r="C563" s="139"/>
      <c r="D563" s="147"/>
      <c r="E563" s="139"/>
      <c r="F563" s="139"/>
      <c r="G563" s="139"/>
      <c r="H563" s="139"/>
    </row>
    <row r="564" spans="1:8" x14ac:dyDescent="0.15">
      <c r="A564" s="139"/>
      <c r="B564" s="139"/>
      <c r="C564" s="139"/>
      <c r="D564" s="147"/>
      <c r="E564" s="139"/>
      <c r="F564" s="139"/>
      <c r="G564" s="139"/>
      <c r="H564" s="139"/>
    </row>
    <row r="565" spans="1:8" x14ac:dyDescent="0.15">
      <c r="A565" s="139"/>
      <c r="B565" s="139"/>
      <c r="C565" s="139"/>
      <c r="D565" s="147"/>
      <c r="E565" s="139"/>
      <c r="F565" s="139"/>
      <c r="G565" s="139"/>
      <c r="H565" s="139"/>
    </row>
    <row r="566" spans="1:8" x14ac:dyDescent="0.15">
      <c r="A566" s="139"/>
      <c r="B566" s="139"/>
      <c r="C566" s="139"/>
      <c r="D566" s="147"/>
      <c r="E566" s="139"/>
      <c r="F566" s="139"/>
      <c r="G566" s="139"/>
      <c r="H566" s="139"/>
    </row>
    <row r="567" spans="1:8" x14ac:dyDescent="0.15">
      <c r="A567" s="139"/>
      <c r="B567" s="139"/>
      <c r="C567" s="139"/>
      <c r="D567" s="147"/>
      <c r="E567" s="139"/>
      <c r="F567" s="139"/>
      <c r="G567" s="139"/>
      <c r="H567" s="139"/>
    </row>
    <row r="568" spans="1:8" x14ac:dyDescent="0.15">
      <c r="A568" s="139"/>
      <c r="B568" s="139"/>
      <c r="C568" s="139"/>
      <c r="D568" s="147"/>
      <c r="E568" s="139"/>
      <c r="F568" s="139"/>
      <c r="G568" s="139"/>
      <c r="H568" s="139"/>
    </row>
    <row r="569" spans="1:8" x14ac:dyDescent="0.15">
      <c r="A569" s="139"/>
      <c r="B569" s="139"/>
      <c r="C569" s="139"/>
      <c r="D569" s="147"/>
      <c r="E569" s="139"/>
      <c r="F569" s="139"/>
      <c r="G569" s="139"/>
      <c r="H569" s="139"/>
    </row>
    <row r="570" spans="1:8" x14ac:dyDescent="0.15">
      <c r="A570" s="139"/>
      <c r="B570" s="139"/>
      <c r="C570" s="139"/>
      <c r="D570" s="147"/>
      <c r="E570" s="139"/>
      <c r="F570" s="139"/>
      <c r="G570" s="139"/>
      <c r="H570" s="139"/>
    </row>
    <row r="571" spans="1:8" x14ac:dyDescent="0.15">
      <c r="A571" s="139"/>
      <c r="B571" s="139"/>
      <c r="C571" s="139"/>
      <c r="D571" s="147"/>
      <c r="E571" s="139"/>
      <c r="F571" s="139"/>
      <c r="G571" s="139"/>
      <c r="H571" s="139"/>
    </row>
    <row r="572" spans="1:8" x14ac:dyDescent="0.15">
      <c r="A572" s="139"/>
      <c r="B572" s="139"/>
      <c r="C572" s="139"/>
      <c r="D572" s="147"/>
      <c r="E572" s="139"/>
      <c r="F572" s="139"/>
      <c r="G572" s="139"/>
      <c r="H572" s="139"/>
    </row>
    <row r="573" spans="1:8" x14ac:dyDescent="0.15">
      <c r="A573" s="139"/>
      <c r="B573" s="139"/>
      <c r="C573" s="139"/>
      <c r="D573" s="147"/>
      <c r="E573" s="139"/>
      <c r="F573" s="139"/>
      <c r="G573" s="139"/>
      <c r="H573" s="139"/>
    </row>
    <row r="574" spans="1:8" x14ac:dyDescent="0.15">
      <c r="A574" s="139"/>
      <c r="B574" s="139"/>
      <c r="C574" s="139"/>
      <c r="D574" s="147"/>
      <c r="E574" s="139"/>
      <c r="F574" s="139"/>
      <c r="G574" s="139"/>
      <c r="H574" s="139"/>
    </row>
    <row r="575" spans="1:8" x14ac:dyDescent="0.15">
      <c r="A575" s="139"/>
      <c r="B575" s="139"/>
      <c r="C575" s="139"/>
      <c r="D575" s="147"/>
      <c r="E575" s="139"/>
      <c r="F575" s="139"/>
      <c r="G575" s="139"/>
      <c r="H575" s="139"/>
    </row>
    <row r="576" spans="1:8" x14ac:dyDescent="0.15">
      <c r="A576" s="139"/>
      <c r="B576" s="139"/>
      <c r="C576" s="139"/>
      <c r="D576" s="147"/>
      <c r="E576" s="139"/>
      <c r="F576" s="139"/>
      <c r="G576" s="139"/>
      <c r="H576" s="139"/>
    </row>
    <row r="577" spans="1:8" x14ac:dyDescent="0.15">
      <c r="A577" s="139"/>
      <c r="B577" s="139"/>
      <c r="C577" s="139"/>
      <c r="D577" s="147"/>
      <c r="E577" s="139"/>
      <c r="F577" s="139"/>
      <c r="G577" s="139"/>
      <c r="H577" s="139"/>
    </row>
    <row r="578" spans="1:8" x14ac:dyDescent="0.15">
      <c r="A578" s="139"/>
      <c r="B578" s="139"/>
      <c r="C578" s="139"/>
      <c r="D578" s="147"/>
      <c r="E578" s="139"/>
      <c r="F578" s="139"/>
      <c r="G578" s="139"/>
      <c r="H578" s="139"/>
    </row>
    <row r="579" spans="1:8" x14ac:dyDescent="0.15">
      <c r="A579" s="139"/>
      <c r="B579" s="139"/>
      <c r="C579" s="139"/>
      <c r="D579" s="147"/>
      <c r="E579" s="139"/>
      <c r="F579" s="139"/>
      <c r="G579" s="139"/>
      <c r="H579" s="139"/>
    </row>
    <row r="580" spans="1:8" x14ac:dyDescent="0.15">
      <c r="A580" s="139"/>
      <c r="B580" s="139"/>
      <c r="C580" s="139"/>
      <c r="D580" s="147"/>
      <c r="E580" s="139"/>
      <c r="F580" s="139"/>
      <c r="G580" s="139"/>
      <c r="H580" s="139"/>
    </row>
    <row r="581" spans="1:8" x14ac:dyDescent="0.15">
      <c r="A581" s="139"/>
      <c r="B581" s="139"/>
      <c r="C581" s="139"/>
      <c r="D581" s="147"/>
      <c r="E581" s="139"/>
      <c r="F581" s="139"/>
      <c r="G581" s="139"/>
      <c r="H581" s="139"/>
    </row>
    <row r="582" spans="1:8" x14ac:dyDescent="0.15">
      <c r="A582" s="139"/>
      <c r="B582" s="139"/>
      <c r="C582" s="139"/>
      <c r="D582" s="147"/>
      <c r="E582" s="139"/>
      <c r="F582" s="139"/>
      <c r="G582" s="139"/>
      <c r="H582" s="139"/>
    </row>
    <row r="583" spans="1:8" x14ac:dyDescent="0.15">
      <c r="A583" s="139"/>
      <c r="B583" s="139"/>
      <c r="C583" s="139"/>
      <c r="D583" s="147"/>
      <c r="E583" s="139"/>
      <c r="F583" s="139"/>
      <c r="G583" s="139"/>
      <c r="H583" s="139"/>
    </row>
    <row r="584" spans="1:8" x14ac:dyDescent="0.15">
      <c r="A584" s="139"/>
      <c r="B584" s="139"/>
      <c r="C584" s="139"/>
      <c r="D584" s="147"/>
      <c r="E584" s="139"/>
      <c r="F584" s="139"/>
      <c r="G584" s="139"/>
      <c r="H584" s="139"/>
    </row>
    <row r="585" spans="1:8" x14ac:dyDescent="0.15">
      <c r="A585" s="139"/>
      <c r="B585" s="139"/>
      <c r="C585" s="139"/>
      <c r="D585" s="147"/>
      <c r="E585" s="139"/>
      <c r="F585" s="139"/>
      <c r="G585" s="139"/>
      <c r="H585" s="139"/>
    </row>
    <row r="586" spans="1:8" x14ac:dyDescent="0.15">
      <c r="A586" s="139"/>
      <c r="B586" s="139"/>
      <c r="C586" s="139"/>
      <c r="D586" s="147"/>
      <c r="E586" s="139"/>
      <c r="F586" s="139"/>
      <c r="G586" s="139"/>
      <c r="H586" s="139"/>
    </row>
    <row r="587" spans="1:8" x14ac:dyDescent="0.15">
      <c r="A587" s="139"/>
      <c r="B587" s="139"/>
      <c r="C587" s="139"/>
      <c r="D587" s="147"/>
      <c r="E587" s="139"/>
      <c r="F587" s="139"/>
      <c r="G587" s="139"/>
      <c r="H587" s="139"/>
    </row>
    <row r="588" spans="1:8" x14ac:dyDescent="0.15">
      <c r="A588" s="139"/>
      <c r="B588" s="139"/>
      <c r="C588" s="139"/>
      <c r="D588" s="147"/>
      <c r="E588" s="139"/>
      <c r="F588" s="139"/>
      <c r="G588" s="139"/>
      <c r="H588" s="139"/>
    </row>
    <row r="589" spans="1:8" x14ac:dyDescent="0.15">
      <c r="A589" s="139"/>
      <c r="B589" s="139"/>
      <c r="C589" s="139"/>
      <c r="D589" s="147"/>
      <c r="E589" s="139"/>
      <c r="F589" s="139"/>
      <c r="G589" s="139"/>
      <c r="H589" s="139"/>
    </row>
    <row r="590" spans="1:8" x14ac:dyDescent="0.15">
      <c r="A590" s="139"/>
      <c r="B590" s="139"/>
      <c r="C590" s="139"/>
      <c r="D590" s="147"/>
      <c r="E590" s="139"/>
      <c r="F590" s="139"/>
      <c r="G590" s="139"/>
      <c r="H590" s="139"/>
    </row>
    <row r="591" spans="1:8" x14ac:dyDescent="0.15">
      <c r="A591" s="139"/>
      <c r="B591" s="139"/>
      <c r="C591" s="139"/>
      <c r="D591" s="147"/>
      <c r="E591" s="139"/>
      <c r="F591" s="139"/>
      <c r="G591" s="139"/>
      <c r="H591" s="139"/>
    </row>
    <row r="592" spans="1:8" x14ac:dyDescent="0.15">
      <c r="A592" s="139"/>
      <c r="B592" s="139"/>
      <c r="C592" s="139"/>
      <c r="D592" s="147"/>
      <c r="E592" s="139"/>
      <c r="F592" s="139"/>
      <c r="G592" s="139"/>
      <c r="H592" s="139"/>
    </row>
    <row r="593" spans="1:8" x14ac:dyDescent="0.15">
      <c r="A593" s="139"/>
      <c r="B593" s="139"/>
      <c r="C593" s="139"/>
      <c r="D593" s="147"/>
      <c r="E593" s="139"/>
      <c r="F593" s="139"/>
      <c r="G593" s="139"/>
      <c r="H593" s="139"/>
    </row>
    <row r="594" spans="1:8" x14ac:dyDescent="0.15">
      <c r="A594" s="139"/>
      <c r="B594" s="139"/>
      <c r="C594" s="139"/>
      <c r="D594" s="147"/>
      <c r="E594" s="139"/>
      <c r="F594" s="139"/>
      <c r="G594" s="139"/>
      <c r="H594" s="139"/>
    </row>
    <row r="595" spans="1:8" x14ac:dyDescent="0.15">
      <c r="A595" s="139"/>
      <c r="B595" s="139"/>
      <c r="C595" s="139"/>
      <c r="D595" s="147"/>
      <c r="E595" s="139"/>
      <c r="F595" s="139"/>
      <c r="G595" s="139"/>
      <c r="H595" s="139"/>
    </row>
    <row r="596" spans="1:8" x14ac:dyDescent="0.15">
      <c r="A596" s="139"/>
      <c r="B596" s="139"/>
      <c r="C596" s="139"/>
      <c r="D596" s="147"/>
      <c r="E596" s="139"/>
      <c r="F596" s="139"/>
      <c r="G596" s="139"/>
      <c r="H596" s="139"/>
    </row>
    <row r="597" spans="1:8" x14ac:dyDescent="0.15">
      <c r="A597" s="139"/>
      <c r="B597" s="139"/>
      <c r="C597" s="139"/>
      <c r="D597" s="147"/>
      <c r="E597" s="139"/>
      <c r="F597" s="139"/>
      <c r="G597" s="139"/>
      <c r="H597" s="139"/>
    </row>
    <row r="598" spans="1:8" x14ac:dyDescent="0.15">
      <c r="A598" s="139"/>
      <c r="B598" s="139"/>
      <c r="C598" s="139"/>
      <c r="D598" s="147"/>
      <c r="E598" s="139"/>
      <c r="F598" s="139"/>
      <c r="G598" s="139"/>
      <c r="H598" s="139"/>
    </row>
    <row r="599" spans="1:8" x14ac:dyDescent="0.15">
      <c r="A599" s="139"/>
      <c r="B599" s="139"/>
      <c r="C599" s="139"/>
      <c r="D599" s="147"/>
      <c r="E599" s="139"/>
      <c r="F599" s="139"/>
      <c r="G599" s="139"/>
      <c r="H599" s="139"/>
    </row>
    <row r="600" spans="1:8" x14ac:dyDescent="0.15">
      <c r="A600" s="139"/>
      <c r="B600" s="139"/>
      <c r="C600" s="139"/>
      <c r="D600" s="147"/>
      <c r="E600" s="139"/>
      <c r="F600" s="139"/>
      <c r="G600" s="139"/>
      <c r="H600" s="139"/>
    </row>
    <row r="601" spans="1:8" x14ac:dyDescent="0.15">
      <c r="A601" s="139"/>
      <c r="B601" s="139"/>
      <c r="C601" s="139"/>
      <c r="D601" s="147"/>
      <c r="E601" s="139"/>
      <c r="F601" s="139"/>
      <c r="G601" s="139"/>
      <c r="H601" s="139"/>
    </row>
    <row r="602" spans="1:8" x14ac:dyDescent="0.15">
      <c r="A602" s="139"/>
      <c r="B602" s="139"/>
      <c r="C602" s="139"/>
      <c r="D602" s="147"/>
      <c r="E602" s="139"/>
      <c r="F602" s="139"/>
      <c r="G602" s="139"/>
      <c r="H602" s="139"/>
    </row>
    <row r="603" spans="1:8" x14ac:dyDescent="0.15">
      <c r="A603" s="139"/>
      <c r="B603" s="139"/>
      <c r="C603" s="139"/>
      <c r="D603" s="147"/>
      <c r="E603" s="139"/>
      <c r="F603" s="139"/>
      <c r="G603" s="139"/>
      <c r="H603" s="139"/>
    </row>
    <row r="604" spans="1:8" x14ac:dyDescent="0.15">
      <c r="A604" s="139"/>
      <c r="B604" s="139"/>
      <c r="C604" s="139"/>
      <c r="D604" s="147"/>
      <c r="E604" s="139"/>
      <c r="F604" s="139"/>
      <c r="G604" s="139"/>
      <c r="H604" s="139"/>
    </row>
    <row r="605" spans="1:8" x14ac:dyDescent="0.15">
      <c r="A605" s="139"/>
      <c r="B605" s="139"/>
      <c r="C605" s="139"/>
      <c r="D605" s="147"/>
      <c r="E605" s="139"/>
      <c r="F605" s="139"/>
      <c r="G605" s="139"/>
      <c r="H605" s="139"/>
    </row>
    <row r="606" spans="1:8" x14ac:dyDescent="0.15">
      <c r="A606" s="139"/>
      <c r="B606" s="139"/>
      <c r="C606" s="139"/>
      <c r="D606" s="147"/>
      <c r="E606" s="139"/>
      <c r="F606" s="139"/>
      <c r="G606" s="139"/>
      <c r="H606" s="139"/>
    </row>
    <row r="607" spans="1:8" x14ac:dyDescent="0.15">
      <c r="A607" s="139"/>
      <c r="B607" s="139"/>
      <c r="C607" s="139"/>
      <c r="D607" s="147"/>
      <c r="E607" s="139"/>
      <c r="F607" s="139"/>
      <c r="G607" s="139"/>
      <c r="H607" s="139"/>
    </row>
    <row r="608" spans="1:8" x14ac:dyDescent="0.15">
      <c r="A608" s="139"/>
      <c r="B608" s="139"/>
      <c r="C608" s="139"/>
      <c r="D608" s="147"/>
      <c r="E608" s="139"/>
      <c r="F608" s="139"/>
      <c r="G608" s="139"/>
      <c r="H608" s="139"/>
    </row>
    <row r="609" spans="1:8" x14ac:dyDescent="0.15">
      <c r="A609" s="139"/>
      <c r="B609" s="139"/>
      <c r="C609" s="139"/>
      <c r="D609" s="147"/>
      <c r="E609" s="139"/>
      <c r="F609" s="139"/>
      <c r="G609" s="139"/>
      <c r="H609" s="139"/>
    </row>
    <row r="610" spans="1:8" x14ac:dyDescent="0.15">
      <c r="A610" s="139"/>
      <c r="B610" s="139"/>
      <c r="C610" s="139"/>
      <c r="D610" s="147"/>
      <c r="E610" s="139"/>
      <c r="F610" s="139"/>
      <c r="G610" s="139"/>
      <c r="H610" s="139"/>
    </row>
    <row r="611" spans="1:8" x14ac:dyDescent="0.15">
      <c r="A611" s="139"/>
      <c r="B611" s="139"/>
      <c r="C611" s="139"/>
      <c r="D611" s="147"/>
      <c r="E611" s="139"/>
      <c r="F611" s="139"/>
      <c r="G611" s="139"/>
      <c r="H611" s="139"/>
    </row>
    <row r="612" spans="1:8" x14ac:dyDescent="0.15">
      <c r="A612" s="139"/>
      <c r="B612" s="139"/>
      <c r="C612" s="139"/>
      <c r="D612" s="147"/>
      <c r="E612" s="139"/>
      <c r="F612" s="139"/>
      <c r="G612" s="139"/>
      <c r="H612" s="139"/>
    </row>
    <row r="613" spans="1:8" x14ac:dyDescent="0.15">
      <c r="A613" s="139"/>
      <c r="B613" s="139"/>
      <c r="C613" s="139"/>
      <c r="D613" s="147"/>
      <c r="E613" s="139"/>
      <c r="F613" s="139"/>
      <c r="G613" s="139"/>
      <c r="H613" s="139"/>
    </row>
    <row r="614" spans="1:8" x14ac:dyDescent="0.15">
      <c r="A614" s="139"/>
      <c r="B614" s="139"/>
      <c r="C614" s="139"/>
      <c r="D614" s="147"/>
      <c r="E614" s="139"/>
      <c r="F614" s="139"/>
      <c r="G614" s="139"/>
      <c r="H614" s="139"/>
    </row>
    <row r="615" spans="1:8" x14ac:dyDescent="0.15">
      <c r="A615" s="139"/>
      <c r="B615" s="139"/>
      <c r="C615" s="139"/>
      <c r="D615" s="147"/>
      <c r="E615" s="139"/>
      <c r="F615" s="139"/>
      <c r="G615" s="139"/>
      <c r="H615" s="139"/>
    </row>
    <row r="616" spans="1:8" x14ac:dyDescent="0.15">
      <c r="A616" s="139"/>
      <c r="B616" s="139"/>
      <c r="C616" s="139"/>
      <c r="D616" s="147"/>
      <c r="E616" s="139"/>
      <c r="F616" s="139"/>
      <c r="G616" s="139"/>
      <c r="H616" s="139"/>
    </row>
    <row r="617" spans="1:8" x14ac:dyDescent="0.15">
      <c r="A617" s="139"/>
      <c r="B617" s="139"/>
      <c r="C617" s="139"/>
      <c r="D617" s="147"/>
      <c r="E617" s="139"/>
      <c r="F617" s="139"/>
      <c r="G617" s="139"/>
      <c r="H617" s="139"/>
    </row>
    <row r="618" spans="1:8" x14ac:dyDescent="0.15">
      <c r="A618" s="139"/>
      <c r="B618" s="139"/>
      <c r="C618" s="139"/>
      <c r="D618" s="147"/>
      <c r="E618" s="139"/>
      <c r="F618" s="139"/>
      <c r="G618" s="139"/>
      <c r="H618" s="139"/>
    </row>
    <row r="619" spans="1:8" x14ac:dyDescent="0.15">
      <c r="A619" s="139"/>
      <c r="B619" s="139"/>
      <c r="C619" s="139"/>
      <c r="D619" s="147"/>
      <c r="E619" s="139"/>
      <c r="F619" s="139"/>
      <c r="G619" s="139"/>
      <c r="H619" s="139"/>
    </row>
    <row r="620" spans="1:8" x14ac:dyDescent="0.15">
      <c r="A620" s="139"/>
      <c r="B620" s="139"/>
      <c r="C620" s="139"/>
      <c r="D620" s="147"/>
      <c r="E620" s="139"/>
      <c r="F620" s="139"/>
      <c r="G620" s="139"/>
      <c r="H620" s="139"/>
    </row>
    <row r="621" spans="1:8" x14ac:dyDescent="0.15">
      <c r="A621" s="139"/>
      <c r="B621" s="139"/>
      <c r="C621" s="139"/>
      <c r="D621" s="147"/>
      <c r="E621" s="139"/>
      <c r="F621" s="139"/>
      <c r="G621" s="139"/>
      <c r="H621" s="139"/>
    </row>
    <row r="622" spans="1:8" x14ac:dyDescent="0.15">
      <c r="A622" s="139"/>
      <c r="B622" s="139"/>
      <c r="C622" s="139"/>
      <c r="D622" s="147"/>
      <c r="E622" s="139"/>
      <c r="F622" s="139"/>
      <c r="G622" s="139"/>
      <c r="H622" s="139"/>
    </row>
    <row r="623" spans="1:8" x14ac:dyDescent="0.15">
      <c r="A623" s="139"/>
      <c r="B623" s="139"/>
      <c r="C623" s="139"/>
      <c r="D623" s="147"/>
      <c r="E623" s="139"/>
      <c r="F623" s="139"/>
      <c r="G623" s="139"/>
      <c r="H623" s="139"/>
    </row>
    <row r="624" spans="1:8" x14ac:dyDescent="0.15">
      <c r="A624" s="139"/>
      <c r="B624" s="139"/>
      <c r="C624" s="139"/>
      <c r="D624" s="147"/>
      <c r="E624" s="139"/>
      <c r="F624" s="139"/>
      <c r="G624" s="139"/>
      <c r="H624" s="139"/>
    </row>
    <row r="625" spans="1:8" x14ac:dyDescent="0.15">
      <c r="A625" s="139"/>
      <c r="B625" s="139"/>
      <c r="C625" s="139"/>
      <c r="D625" s="147"/>
      <c r="E625" s="139"/>
      <c r="F625" s="139"/>
      <c r="G625" s="139"/>
      <c r="H625" s="139"/>
    </row>
    <row r="626" spans="1:8" x14ac:dyDescent="0.15">
      <c r="A626" s="139"/>
      <c r="B626" s="139"/>
      <c r="C626" s="139"/>
      <c r="D626" s="147"/>
      <c r="E626" s="139"/>
      <c r="F626" s="139"/>
      <c r="G626" s="139"/>
      <c r="H626" s="139"/>
    </row>
    <row r="627" spans="1:8" x14ac:dyDescent="0.15">
      <c r="A627" s="139"/>
      <c r="B627" s="139"/>
      <c r="C627" s="139"/>
      <c r="D627" s="147"/>
      <c r="E627" s="139"/>
      <c r="F627" s="139"/>
      <c r="G627" s="139"/>
      <c r="H627" s="139"/>
    </row>
    <row r="628" spans="1:8" x14ac:dyDescent="0.15">
      <c r="A628" s="139"/>
      <c r="B628" s="139"/>
      <c r="C628" s="139"/>
      <c r="D628" s="147"/>
      <c r="E628" s="139"/>
      <c r="F628" s="139"/>
      <c r="G628" s="139"/>
      <c r="H628" s="139"/>
    </row>
    <row r="629" spans="1:8" x14ac:dyDescent="0.15">
      <c r="A629" s="139"/>
      <c r="B629" s="139"/>
      <c r="C629" s="139"/>
      <c r="D629" s="147"/>
      <c r="E629" s="139"/>
      <c r="F629" s="139"/>
      <c r="G629" s="139"/>
      <c r="H629" s="139"/>
    </row>
    <row r="630" spans="1:8" x14ac:dyDescent="0.15">
      <c r="A630" s="139"/>
      <c r="B630" s="139"/>
      <c r="C630" s="139"/>
      <c r="D630" s="147"/>
      <c r="E630" s="139"/>
      <c r="F630" s="139"/>
      <c r="G630" s="139"/>
      <c r="H630" s="139"/>
    </row>
    <row r="631" spans="1:8" x14ac:dyDescent="0.15">
      <c r="A631" s="139"/>
      <c r="B631" s="139"/>
      <c r="C631" s="139"/>
      <c r="D631" s="147"/>
      <c r="E631" s="139"/>
      <c r="F631" s="139"/>
      <c r="G631" s="139"/>
      <c r="H631" s="139"/>
    </row>
    <row r="632" spans="1:8" x14ac:dyDescent="0.15">
      <c r="A632" s="139"/>
      <c r="B632" s="139"/>
      <c r="C632" s="139"/>
      <c r="D632" s="147"/>
      <c r="E632" s="139"/>
      <c r="F632" s="139"/>
      <c r="G632" s="139"/>
      <c r="H632" s="139"/>
    </row>
    <row r="633" spans="1:8" x14ac:dyDescent="0.15">
      <c r="A633" s="139"/>
      <c r="B633" s="139"/>
      <c r="C633" s="139"/>
      <c r="D633" s="147"/>
      <c r="E633" s="139"/>
      <c r="F633" s="139"/>
      <c r="G633" s="139"/>
      <c r="H633" s="139"/>
    </row>
    <row r="634" spans="1:8" x14ac:dyDescent="0.15">
      <c r="A634" s="139"/>
      <c r="B634" s="139"/>
      <c r="C634" s="139"/>
      <c r="D634" s="147"/>
      <c r="E634" s="139"/>
      <c r="F634" s="139"/>
      <c r="G634" s="139"/>
      <c r="H634" s="139"/>
    </row>
    <row r="635" spans="1:8" x14ac:dyDescent="0.15">
      <c r="A635" s="139"/>
      <c r="B635" s="139"/>
      <c r="C635" s="139"/>
      <c r="D635" s="147"/>
      <c r="E635" s="139"/>
      <c r="F635" s="139"/>
      <c r="G635" s="139"/>
      <c r="H635" s="139"/>
    </row>
    <row r="636" spans="1:8" x14ac:dyDescent="0.15">
      <c r="A636" s="139"/>
      <c r="B636" s="139"/>
      <c r="C636" s="139"/>
      <c r="D636" s="147"/>
      <c r="E636" s="139"/>
      <c r="F636" s="139"/>
      <c r="G636" s="139"/>
      <c r="H636" s="139"/>
    </row>
    <row r="637" spans="1:8" x14ac:dyDescent="0.15">
      <c r="A637" s="139"/>
      <c r="B637" s="139"/>
      <c r="C637" s="139"/>
      <c r="D637" s="147"/>
      <c r="E637" s="139"/>
      <c r="F637" s="139"/>
      <c r="G637" s="139"/>
      <c r="H637" s="139"/>
    </row>
    <row r="638" spans="1:8" x14ac:dyDescent="0.15">
      <c r="A638" s="139"/>
      <c r="B638" s="139"/>
      <c r="C638" s="139"/>
      <c r="D638" s="147"/>
      <c r="E638" s="139"/>
      <c r="F638" s="139"/>
      <c r="G638" s="139"/>
      <c r="H638" s="139"/>
    </row>
    <row r="639" spans="1:8" x14ac:dyDescent="0.15">
      <c r="A639" s="139"/>
      <c r="B639" s="139"/>
      <c r="C639" s="139"/>
      <c r="D639" s="147"/>
      <c r="E639" s="139"/>
      <c r="F639" s="139"/>
      <c r="G639" s="139"/>
      <c r="H639" s="139"/>
    </row>
    <row r="640" spans="1:8" x14ac:dyDescent="0.15">
      <c r="A640" s="139"/>
      <c r="B640" s="139"/>
      <c r="C640" s="139"/>
      <c r="D640" s="147"/>
      <c r="E640" s="139"/>
      <c r="F640" s="139"/>
      <c r="G640" s="139"/>
      <c r="H640" s="139"/>
    </row>
    <row r="641" spans="1:8" x14ac:dyDescent="0.15">
      <c r="A641" s="139"/>
      <c r="B641" s="139"/>
      <c r="C641" s="139"/>
      <c r="D641" s="147"/>
      <c r="E641" s="139"/>
      <c r="F641" s="139"/>
      <c r="G641" s="139"/>
      <c r="H641" s="139"/>
    </row>
    <row r="642" spans="1:8" x14ac:dyDescent="0.15">
      <c r="A642" s="139"/>
      <c r="B642" s="139"/>
      <c r="C642" s="139"/>
      <c r="D642" s="147"/>
      <c r="E642" s="139"/>
      <c r="F642" s="139"/>
      <c r="G642" s="139"/>
      <c r="H642" s="139"/>
    </row>
    <row r="643" spans="1:8" x14ac:dyDescent="0.15">
      <c r="A643" s="139"/>
      <c r="B643" s="139"/>
      <c r="C643" s="139"/>
      <c r="D643" s="147"/>
      <c r="E643" s="139"/>
      <c r="F643" s="139"/>
      <c r="G643" s="139"/>
      <c r="H643" s="139"/>
    </row>
    <row r="644" spans="1:8" x14ac:dyDescent="0.15">
      <c r="A644" s="139"/>
      <c r="B644" s="139"/>
      <c r="C644" s="139"/>
      <c r="D644" s="147"/>
      <c r="E644" s="139"/>
      <c r="F644" s="139"/>
      <c r="G644" s="139"/>
      <c r="H644" s="139"/>
    </row>
    <row r="645" spans="1:8" x14ac:dyDescent="0.15">
      <c r="A645" s="139"/>
      <c r="B645" s="139"/>
      <c r="C645" s="139"/>
      <c r="D645" s="147"/>
      <c r="E645" s="139"/>
      <c r="F645" s="139"/>
      <c r="G645" s="139"/>
      <c r="H645" s="139"/>
    </row>
    <row r="646" spans="1:8" x14ac:dyDescent="0.15">
      <c r="A646" s="139"/>
      <c r="B646" s="139"/>
      <c r="C646" s="139"/>
      <c r="D646" s="147"/>
      <c r="E646" s="139"/>
      <c r="F646" s="139"/>
      <c r="G646" s="139"/>
      <c r="H646" s="139"/>
    </row>
    <row r="647" spans="1:8" x14ac:dyDescent="0.15">
      <c r="A647" s="139"/>
      <c r="B647" s="139"/>
      <c r="C647" s="139"/>
      <c r="D647" s="147"/>
      <c r="E647" s="139"/>
      <c r="F647" s="139"/>
      <c r="G647" s="139"/>
      <c r="H647" s="139"/>
    </row>
    <row r="648" spans="1:8" x14ac:dyDescent="0.15">
      <c r="A648" s="139"/>
      <c r="B648" s="139"/>
      <c r="C648" s="139"/>
      <c r="D648" s="147"/>
      <c r="E648" s="139"/>
      <c r="F648" s="139"/>
      <c r="G648" s="139"/>
      <c r="H648" s="139"/>
    </row>
    <row r="649" spans="1:8" x14ac:dyDescent="0.15">
      <c r="A649" s="139"/>
      <c r="B649" s="139"/>
      <c r="C649" s="139"/>
      <c r="D649" s="147"/>
      <c r="E649" s="139"/>
      <c r="F649" s="139"/>
      <c r="G649" s="139"/>
      <c r="H649" s="139"/>
    </row>
    <row r="650" spans="1:8" x14ac:dyDescent="0.15">
      <c r="A650" s="139"/>
      <c r="B650" s="139"/>
      <c r="C650" s="139"/>
      <c r="D650" s="147"/>
      <c r="E650" s="139"/>
      <c r="F650" s="139"/>
      <c r="G650" s="139"/>
      <c r="H650" s="139"/>
    </row>
    <row r="651" spans="1:8" x14ac:dyDescent="0.15">
      <c r="A651" s="139"/>
      <c r="B651" s="139"/>
      <c r="C651" s="139"/>
      <c r="D651" s="147"/>
      <c r="E651" s="139"/>
      <c r="F651" s="139"/>
      <c r="G651" s="139"/>
      <c r="H651" s="139"/>
    </row>
    <row r="652" spans="1:8" x14ac:dyDescent="0.15">
      <c r="A652" s="139"/>
      <c r="B652" s="139"/>
      <c r="C652" s="139"/>
      <c r="D652" s="147"/>
      <c r="E652" s="139"/>
      <c r="F652" s="139"/>
      <c r="G652" s="139"/>
      <c r="H652" s="139"/>
    </row>
    <row r="653" spans="1:8" x14ac:dyDescent="0.15">
      <c r="A653" s="139"/>
      <c r="B653" s="139"/>
      <c r="C653" s="139"/>
      <c r="D653" s="147"/>
      <c r="E653" s="139"/>
      <c r="F653" s="139"/>
      <c r="G653" s="139"/>
      <c r="H653" s="139"/>
    </row>
    <row r="654" spans="1:8" x14ac:dyDescent="0.15">
      <c r="A654" s="139"/>
      <c r="B654" s="139"/>
      <c r="C654" s="139"/>
      <c r="D654" s="147"/>
      <c r="E654" s="139"/>
      <c r="F654" s="139"/>
      <c r="G654" s="139"/>
      <c r="H654" s="139"/>
    </row>
    <row r="655" spans="1:8" x14ac:dyDescent="0.15">
      <c r="A655" s="139"/>
      <c r="B655" s="139"/>
      <c r="C655" s="139"/>
      <c r="D655" s="147"/>
      <c r="E655" s="139"/>
      <c r="F655" s="139"/>
      <c r="G655" s="139"/>
      <c r="H655" s="139"/>
    </row>
    <row r="656" spans="1:8" x14ac:dyDescent="0.15">
      <c r="A656" s="139"/>
      <c r="B656" s="139"/>
      <c r="C656" s="139"/>
      <c r="D656" s="147"/>
      <c r="E656" s="139"/>
      <c r="F656" s="139"/>
      <c r="G656" s="139"/>
      <c r="H656" s="139"/>
    </row>
    <row r="657" spans="1:8" x14ac:dyDescent="0.15">
      <c r="A657" s="139"/>
      <c r="B657" s="139"/>
      <c r="C657" s="139"/>
      <c r="D657" s="147"/>
      <c r="E657" s="139"/>
      <c r="F657" s="139"/>
      <c r="G657" s="139"/>
      <c r="H657" s="139"/>
    </row>
    <row r="658" spans="1:8" x14ac:dyDescent="0.15">
      <c r="A658" s="139"/>
      <c r="B658" s="139"/>
      <c r="C658" s="139"/>
      <c r="D658" s="147"/>
      <c r="E658" s="139"/>
      <c r="F658" s="139"/>
      <c r="G658" s="139"/>
      <c r="H658" s="139"/>
    </row>
    <row r="659" spans="1:8" x14ac:dyDescent="0.15">
      <c r="A659" s="139"/>
      <c r="B659" s="139"/>
      <c r="C659" s="139"/>
      <c r="D659" s="147"/>
      <c r="E659" s="139"/>
      <c r="F659" s="139"/>
      <c r="G659" s="139"/>
      <c r="H659" s="139"/>
    </row>
    <row r="660" spans="1:8" x14ac:dyDescent="0.15">
      <c r="A660" s="139"/>
      <c r="B660" s="139"/>
      <c r="C660" s="139"/>
      <c r="D660" s="147"/>
      <c r="E660" s="139"/>
      <c r="F660" s="139"/>
      <c r="G660" s="139"/>
      <c r="H660" s="139"/>
    </row>
    <row r="661" spans="1:8" x14ac:dyDescent="0.15">
      <c r="A661" s="139"/>
      <c r="B661" s="139"/>
      <c r="C661" s="139"/>
      <c r="D661" s="147"/>
      <c r="E661" s="139"/>
      <c r="F661" s="139"/>
      <c r="G661" s="139"/>
      <c r="H661" s="139"/>
    </row>
    <row r="662" spans="1:8" x14ac:dyDescent="0.15">
      <c r="A662" s="139"/>
      <c r="B662" s="139"/>
      <c r="C662" s="139"/>
      <c r="D662" s="147"/>
      <c r="E662" s="139"/>
      <c r="F662" s="139"/>
      <c r="G662" s="139"/>
      <c r="H662" s="139"/>
    </row>
    <row r="663" spans="1:8" x14ac:dyDescent="0.15">
      <c r="A663" s="139"/>
      <c r="B663" s="139"/>
      <c r="C663" s="139"/>
      <c r="D663" s="147"/>
      <c r="E663" s="139"/>
      <c r="F663" s="139"/>
      <c r="G663" s="139"/>
      <c r="H663" s="139"/>
    </row>
    <row r="664" spans="1:8" x14ac:dyDescent="0.15">
      <c r="A664" s="139"/>
      <c r="B664" s="139"/>
      <c r="C664" s="139"/>
      <c r="D664" s="147"/>
      <c r="E664" s="139"/>
      <c r="F664" s="139"/>
      <c r="G664" s="139"/>
      <c r="H664" s="139"/>
    </row>
    <row r="665" spans="1:8" x14ac:dyDescent="0.15">
      <c r="A665" s="139"/>
      <c r="B665" s="139"/>
      <c r="C665" s="139"/>
      <c r="D665" s="147"/>
      <c r="E665" s="139"/>
      <c r="F665" s="139"/>
      <c r="G665" s="139"/>
      <c r="H665" s="139"/>
    </row>
    <row r="666" spans="1:8" x14ac:dyDescent="0.15">
      <c r="A666" s="139"/>
      <c r="B666" s="139"/>
      <c r="C666" s="139"/>
      <c r="D666" s="147"/>
      <c r="E666" s="139"/>
      <c r="F666" s="139"/>
      <c r="G666" s="139"/>
      <c r="H666" s="139"/>
    </row>
    <row r="667" spans="1:8" x14ac:dyDescent="0.15">
      <c r="A667" s="139"/>
      <c r="B667" s="139"/>
      <c r="C667" s="139"/>
      <c r="D667" s="147"/>
      <c r="E667" s="139"/>
      <c r="F667" s="139"/>
      <c r="G667" s="139"/>
      <c r="H667" s="139"/>
    </row>
    <row r="668" spans="1:8" x14ac:dyDescent="0.15">
      <c r="A668" s="139"/>
      <c r="B668" s="139"/>
      <c r="C668" s="139"/>
      <c r="D668" s="147"/>
      <c r="E668" s="139"/>
      <c r="F668" s="139"/>
      <c r="G668" s="139"/>
      <c r="H668" s="139"/>
    </row>
    <row r="669" spans="1:8" x14ac:dyDescent="0.15">
      <c r="A669" s="139"/>
      <c r="B669" s="139"/>
      <c r="C669" s="139"/>
      <c r="D669" s="147"/>
      <c r="E669" s="139"/>
      <c r="F669" s="139"/>
      <c r="G669" s="139"/>
      <c r="H669" s="139"/>
    </row>
    <row r="670" spans="1:8" x14ac:dyDescent="0.15">
      <c r="A670" s="139"/>
      <c r="B670" s="139"/>
      <c r="C670" s="139"/>
      <c r="D670" s="147"/>
      <c r="E670" s="139"/>
      <c r="F670" s="139"/>
      <c r="G670" s="139"/>
      <c r="H670" s="139"/>
    </row>
    <row r="671" spans="1:8" x14ac:dyDescent="0.15">
      <c r="A671" s="139"/>
      <c r="B671" s="139"/>
      <c r="C671" s="139"/>
      <c r="D671" s="147"/>
      <c r="E671" s="139"/>
      <c r="F671" s="139"/>
      <c r="G671" s="139"/>
      <c r="H671" s="139"/>
    </row>
    <row r="672" spans="1:8" x14ac:dyDescent="0.15">
      <c r="A672" s="139"/>
      <c r="B672" s="139"/>
      <c r="C672" s="139"/>
      <c r="D672" s="147"/>
      <c r="E672" s="139"/>
      <c r="F672" s="139"/>
      <c r="G672" s="139"/>
      <c r="H672" s="139"/>
    </row>
    <row r="673" spans="1:8" x14ac:dyDescent="0.15">
      <c r="A673" s="139"/>
      <c r="B673" s="139"/>
      <c r="C673" s="139"/>
      <c r="D673" s="147"/>
      <c r="E673" s="139"/>
      <c r="F673" s="139"/>
      <c r="G673" s="139"/>
      <c r="H673" s="139"/>
    </row>
    <row r="674" spans="1:8" x14ac:dyDescent="0.15">
      <c r="A674" s="139"/>
      <c r="B674" s="139"/>
      <c r="C674" s="139"/>
      <c r="D674" s="147"/>
      <c r="E674" s="139"/>
      <c r="F674" s="139"/>
      <c r="G674" s="139"/>
      <c r="H674" s="139"/>
    </row>
    <row r="675" spans="1:8" x14ac:dyDescent="0.15">
      <c r="A675" s="139"/>
      <c r="B675" s="139"/>
      <c r="C675" s="139"/>
      <c r="D675" s="147"/>
      <c r="E675" s="139"/>
      <c r="F675" s="139"/>
      <c r="G675" s="139"/>
      <c r="H675" s="139"/>
    </row>
    <row r="676" spans="1:8" x14ac:dyDescent="0.15">
      <c r="A676" s="139"/>
      <c r="B676" s="139"/>
      <c r="C676" s="139"/>
      <c r="D676" s="147"/>
      <c r="E676" s="139"/>
      <c r="F676" s="139"/>
      <c r="G676" s="139"/>
      <c r="H676" s="139"/>
    </row>
    <row r="677" spans="1:8" x14ac:dyDescent="0.15">
      <c r="A677" s="139"/>
      <c r="B677" s="139"/>
      <c r="C677" s="139"/>
      <c r="D677" s="147"/>
      <c r="E677" s="139"/>
      <c r="F677" s="139"/>
      <c r="G677" s="139"/>
      <c r="H677" s="139"/>
    </row>
    <row r="678" spans="1:8" x14ac:dyDescent="0.15">
      <c r="A678" s="139"/>
      <c r="B678" s="139"/>
      <c r="C678" s="139"/>
      <c r="D678" s="147"/>
      <c r="E678" s="139"/>
      <c r="F678" s="139"/>
      <c r="G678" s="139"/>
      <c r="H678" s="139"/>
    </row>
    <row r="679" spans="1:8" x14ac:dyDescent="0.15">
      <c r="A679" s="139"/>
      <c r="B679" s="139"/>
      <c r="C679" s="139"/>
      <c r="D679" s="147"/>
      <c r="E679" s="139"/>
      <c r="F679" s="139"/>
      <c r="G679" s="139"/>
      <c r="H679" s="139"/>
    </row>
    <row r="680" spans="1:8" x14ac:dyDescent="0.15">
      <c r="A680" s="139"/>
      <c r="B680" s="139"/>
      <c r="C680" s="139"/>
      <c r="D680" s="147"/>
      <c r="E680" s="139"/>
      <c r="F680" s="139"/>
      <c r="G680" s="139"/>
      <c r="H680" s="139"/>
    </row>
    <row r="681" spans="1:8" x14ac:dyDescent="0.15">
      <c r="A681" s="139"/>
      <c r="B681" s="139"/>
      <c r="C681" s="139"/>
      <c r="D681" s="147"/>
      <c r="E681" s="139"/>
      <c r="F681" s="139"/>
      <c r="G681" s="139"/>
      <c r="H681" s="139"/>
    </row>
    <row r="682" spans="1:8" x14ac:dyDescent="0.15">
      <c r="A682" s="139"/>
      <c r="B682" s="139"/>
      <c r="C682" s="139"/>
      <c r="D682" s="147"/>
      <c r="E682" s="139"/>
      <c r="F682" s="139"/>
      <c r="G682" s="139"/>
      <c r="H682" s="139"/>
    </row>
    <row r="683" spans="1:8" x14ac:dyDescent="0.15">
      <c r="A683" s="139"/>
      <c r="B683" s="139"/>
      <c r="C683" s="139"/>
      <c r="D683" s="147"/>
      <c r="E683" s="139"/>
      <c r="F683" s="139"/>
      <c r="G683" s="139"/>
      <c r="H683" s="139"/>
    </row>
  </sheetData>
  <autoFilter ref="A1:BA154" xr:uid="{00000000-0009-0000-0000-000004000000}"/>
  <phoneticPr fontId="3"/>
  <dataValidations count="21">
    <dataValidation type="list" allowBlank="1" showInputMessage="1" showErrorMessage="1" sqref="Y2:AA500" xr:uid="{41E232DF-DE17-46E6-BD2D-696D44D1D397}">
      <formula1>$AV$2:$AV$21</formula1>
    </dataValidation>
    <dataValidation type="list" allowBlank="1" showInputMessage="1" showErrorMessage="1" sqref="F2:F683" xr:uid="{AF539D96-4469-4854-8C9D-E2B43738727E}">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115FE9C-D3D5-42BC-B428-A10A3813E381}">
      <formula1>$AR$2:$AR$30</formula1>
    </dataValidation>
    <dataValidation type="list" allowBlank="1" showInputMessage="1" showErrorMessage="1" sqref="J2:J1000" xr:uid="{63C5CB8E-5023-4E76-87BE-E7ECCE6374F4}">
      <formula1>$AP$2:$AP$29</formula1>
    </dataValidation>
    <dataValidation type="list" allowBlank="1" showInputMessage="1" showErrorMessage="1" sqref="K2:K1000" xr:uid="{D329013B-12D2-4651-9DCA-283E33C437EC}">
      <formula1>$AR$2:$AR$29</formula1>
    </dataValidation>
    <dataValidation type="list" allowBlank="1" showInputMessage="1" showErrorMessage="1" sqref="H2:H1429" xr:uid="{3F94F521-9D81-435E-9CA9-A1219DCCBE2C}">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EEF6A5AA-9A7E-4D7D-ACA0-986D833F660F}">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A6F297C8-380E-4374-B505-87DA33264E92}">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36C056C3-5496-46BD-B168-23CB4392104B}">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8BA8615C-54AE-45DC-B17F-14C3D25B5B6C}">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3BC0E7C1-995A-4CDF-877A-77098456E7EF}">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1C19DB5A-E6C1-429A-822C-12F439C3648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1D2DB6B8-75AC-423E-B797-F8F72539A3C7}"/>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C6467946-BB07-41B5-B85F-386B0C9F4E98}">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59791FFC-4EB7-4ACF-9A04-8509EE799FA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389E75E1-9F35-4EC4-AA9D-9333B72CFA6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C5F2B28B-3B91-4994-AC26-2D018050F6B3}">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2701F3DE-75EF-4460-A49D-99DEB56FBE67}">
      <formula1>$AV$2:$AV$22</formula1>
    </dataValidation>
    <dataValidation type="list" allowBlank="1" showInputMessage="1" showErrorMessage="1" sqref="E2:E683" xr:uid="{AA94F4BD-641D-48FF-96B9-5E70C1190EF2}">
      <formula1>$AG$2:$AG$11</formula1>
    </dataValidation>
    <dataValidation type="list" allowBlank="1" showInputMessage="1" showErrorMessage="1" sqref="A2:A683" xr:uid="{D7299CC7-CADC-4736-A645-D77435EA1E73}">
      <formula1>$AE$2:$AE$19</formula1>
    </dataValidation>
    <dataValidation type="decimal" allowBlank="1" showInputMessage="1" showErrorMessage="1" error="硬度を正しく入力して下さい。" sqref="O96:P500 O5:P10 P11:P16 O17:P34 O41:P94 P35:P40" xr:uid="{1B73CF95-26DC-41B9-A906-BA42327E18D1}">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861B-F789-41DD-9122-9A5C0EEE5139}">
  <dimension ref="A1:BA152"/>
  <sheetViews>
    <sheetView zoomScale="85" zoomScaleNormal="85" workbookViewId="0">
      <selection activeCell="L1" sqref="L1"/>
    </sheetView>
  </sheetViews>
  <sheetFormatPr defaultColWidth="8.875" defaultRowHeight="13.5" x14ac:dyDescent="0.15"/>
  <cols>
    <col min="1" max="3" width="8.875" style="78"/>
    <col min="4" max="4" width="13.5" style="78" bestFit="1" customWidth="1"/>
    <col min="5" max="5" width="9.625" style="78" bestFit="1" customWidth="1"/>
    <col min="6" max="16" width="8.875" style="78"/>
    <col min="17" max="17" width="8.875" style="16"/>
    <col min="18" max="19" width="8.875" style="78"/>
    <col min="20" max="20" width="8.875" style="16"/>
    <col min="21" max="21" width="8.875" style="78"/>
    <col min="22" max="22" width="8.875" style="16"/>
    <col min="23" max="32" width="8.875" style="78"/>
    <col min="33" max="33" width="19.625" style="78" bestFit="1" customWidth="1"/>
    <col min="34" max="259" width="8.875" style="78"/>
    <col min="260" max="260" width="10.5" style="78" bestFit="1" customWidth="1"/>
    <col min="261" max="261" width="9.625" style="78" bestFit="1" customWidth="1"/>
    <col min="262" max="515" width="8.875" style="78"/>
    <col min="516" max="516" width="10.5" style="78" bestFit="1" customWidth="1"/>
    <col min="517" max="517" width="9.625" style="78" bestFit="1" customWidth="1"/>
    <col min="518" max="771" width="8.875" style="78"/>
    <col min="772" max="772" width="10.5" style="78" bestFit="1" customWidth="1"/>
    <col min="773" max="773" width="9.625" style="78" bestFit="1" customWidth="1"/>
    <col min="774" max="1027" width="8.875" style="78"/>
    <col min="1028" max="1028" width="10.5" style="78" bestFit="1" customWidth="1"/>
    <col min="1029" max="1029" width="9.625" style="78" bestFit="1" customWidth="1"/>
    <col min="1030" max="1283" width="8.875" style="78"/>
    <col min="1284" max="1284" width="10.5" style="78" bestFit="1" customWidth="1"/>
    <col min="1285" max="1285" width="9.625" style="78" bestFit="1" customWidth="1"/>
    <col min="1286" max="1539" width="8.875" style="78"/>
    <col min="1540" max="1540" width="10.5" style="78" bestFit="1" customWidth="1"/>
    <col min="1541" max="1541" width="9.625" style="78" bestFit="1" customWidth="1"/>
    <col min="1542" max="1795" width="8.875" style="78"/>
    <col min="1796" max="1796" width="10.5" style="78" bestFit="1" customWidth="1"/>
    <col min="1797" max="1797" width="9.625" style="78" bestFit="1" customWidth="1"/>
    <col min="1798" max="2051" width="8.875" style="78"/>
    <col min="2052" max="2052" width="10.5" style="78" bestFit="1" customWidth="1"/>
    <col min="2053" max="2053" width="9.625" style="78" bestFit="1" customWidth="1"/>
    <col min="2054" max="2307" width="8.875" style="78"/>
    <col min="2308" max="2308" width="10.5" style="78" bestFit="1" customWidth="1"/>
    <col min="2309" max="2309" width="9.625" style="78" bestFit="1" customWidth="1"/>
    <col min="2310" max="2563" width="8.875" style="78"/>
    <col min="2564" max="2564" width="10.5" style="78" bestFit="1" customWidth="1"/>
    <col min="2565" max="2565" width="9.625" style="78" bestFit="1" customWidth="1"/>
    <col min="2566" max="2819" width="8.875" style="78"/>
    <col min="2820" max="2820" width="10.5" style="78" bestFit="1" customWidth="1"/>
    <col min="2821" max="2821" width="9.625" style="78" bestFit="1" customWidth="1"/>
    <col min="2822" max="3075" width="8.875" style="78"/>
    <col min="3076" max="3076" width="10.5" style="78" bestFit="1" customWidth="1"/>
    <col min="3077" max="3077" width="9.625" style="78" bestFit="1" customWidth="1"/>
    <col min="3078" max="3331" width="8.875" style="78"/>
    <col min="3332" max="3332" width="10.5" style="78" bestFit="1" customWidth="1"/>
    <col min="3333" max="3333" width="9.625" style="78" bestFit="1" customWidth="1"/>
    <col min="3334" max="3587" width="8.875" style="78"/>
    <col min="3588" max="3588" width="10.5" style="78" bestFit="1" customWidth="1"/>
    <col min="3589" max="3589" width="9.625" style="78" bestFit="1" customWidth="1"/>
    <col min="3590" max="3843" width="8.875" style="78"/>
    <col min="3844" max="3844" width="10.5" style="78" bestFit="1" customWidth="1"/>
    <col min="3845" max="3845" width="9.625" style="78" bestFit="1" customWidth="1"/>
    <col min="3846" max="4099" width="8.875" style="78"/>
    <col min="4100" max="4100" width="10.5" style="78" bestFit="1" customWidth="1"/>
    <col min="4101" max="4101" width="9.625" style="78" bestFit="1" customWidth="1"/>
    <col min="4102" max="4355" width="8.875" style="78"/>
    <col min="4356" max="4356" width="10.5" style="78" bestFit="1" customWidth="1"/>
    <col min="4357" max="4357" width="9.625" style="78" bestFit="1" customWidth="1"/>
    <col min="4358" max="4611" width="8.875" style="78"/>
    <col min="4612" max="4612" width="10.5" style="78" bestFit="1" customWidth="1"/>
    <col min="4613" max="4613" width="9.625" style="78" bestFit="1" customWidth="1"/>
    <col min="4614" max="4867" width="8.875" style="78"/>
    <col min="4868" max="4868" width="10.5" style="78" bestFit="1" customWidth="1"/>
    <col min="4869" max="4869" width="9.625" style="78" bestFit="1" customWidth="1"/>
    <col min="4870" max="5123" width="8.875" style="78"/>
    <col min="5124" max="5124" width="10.5" style="78" bestFit="1" customWidth="1"/>
    <col min="5125" max="5125" width="9.625" style="78" bestFit="1" customWidth="1"/>
    <col min="5126" max="5379" width="8.875" style="78"/>
    <col min="5380" max="5380" width="10.5" style="78" bestFit="1" customWidth="1"/>
    <col min="5381" max="5381" width="9.625" style="78" bestFit="1" customWidth="1"/>
    <col min="5382" max="5635" width="8.875" style="78"/>
    <col min="5636" max="5636" width="10.5" style="78" bestFit="1" customWidth="1"/>
    <col min="5637" max="5637" width="9.625" style="78" bestFit="1" customWidth="1"/>
    <col min="5638" max="5891" width="8.875" style="78"/>
    <col min="5892" max="5892" width="10.5" style="78" bestFit="1" customWidth="1"/>
    <col min="5893" max="5893" width="9.625" style="78" bestFit="1" customWidth="1"/>
    <col min="5894" max="6147" width="8.875" style="78"/>
    <col min="6148" max="6148" width="10.5" style="78" bestFit="1" customWidth="1"/>
    <col min="6149" max="6149" width="9.625" style="78" bestFit="1" customWidth="1"/>
    <col min="6150" max="6403" width="8.875" style="78"/>
    <col min="6404" max="6404" width="10.5" style="78" bestFit="1" customWidth="1"/>
    <col min="6405" max="6405" width="9.625" style="78" bestFit="1" customWidth="1"/>
    <col min="6406" max="6659" width="8.875" style="78"/>
    <col min="6660" max="6660" width="10.5" style="78" bestFit="1" customWidth="1"/>
    <col min="6661" max="6661" width="9.625" style="78" bestFit="1" customWidth="1"/>
    <col min="6662" max="6915" width="8.875" style="78"/>
    <col min="6916" max="6916" width="10.5" style="78" bestFit="1" customWidth="1"/>
    <col min="6917" max="6917" width="9.625" style="78" bestFit="1" customWidth="1"/>
    <col min="6918" max="7171" width="8.875" style="78"/>
    <col min="7172" max="7172" width="10.5" style="78" bestFit="1" customWidth="1"/>
    <col min="7173" max="7173" width="9.625" style="78" bestFit="1" customWidth="1"/>
    <col min="7174" max="7427" width="8.875" style="78"/>
    <col min="7428" max="7428" width="10.5" style="78" bestFit="1" customWidth="1"/>
    <col min="7429" max="7429" width="9.625" style="78" bestFit="1" customWidth="1"/>
    <col min="7430" max="7683" width="8.875" style="78"/>
    <col min="7684" max="7684" width="10.5" style="78" bestFit="1" customWidth="1"/>
    <col min="7685" max="7685" width="9.625" style="78" bestFit="1" customWidth="1"/>
    <col min="7686" max="7939" width="8.875" style="78"/>
    <col min="7940" max="7940" width="10.5" style="78" bestFit="1" customWidth="1"/>
    <col min="7941" max="7941" width="9.625" style="78" bestFit="1" customWidth="1"/>
    <col min="7942" max="8195" width="8.875" style="78"/>
    <col min="8196" max="8196" width="10.5" style="78" bestFit="1" customWidth="1"/>
    <col min="8197" max="8197" width="9.625" style="78" bestFit="1" customWidth="1"/>
    <col min="8198" max="8451" width="8.875" style="78"/>
    <col min="8452" max="8452" width="10.5" style="78" bestFit="1" customWidth="1"/>
    <col min="8453" max="8453" width="9.625" style="78" bestFit="1" customWidth="1"/>
    <col min="8454" max="8707" width="8.875" style="78"/>
    <col min="8708" max="8708" width="10.5" style="78" bestFit="1" customWidth="1"/>
    <col min="8709" max="8709" width="9.625" style="78" bestFit="1" customWidth="1"/>
    <col min="8710" max="8963" width="8.875" style="78"/>
    <col min="8964" max="8964" width="10.5" style="78" bestFit="1" customWidth="1"/>
    <col min="8965" max="8965" width="9.625" style="78" bestFit="1" customWidth="1"/>
    <col min="8966" max="9219" width="8.875" style="78"/>
    <col min="9220" max="9220" width="10.5" style="78" bestFit="1" customWidth="1"/>
    <col min="9221" max="9221" width="9.625" style="78" bestFit="1" customWidth="1"/>
    <col min="9222" max="9475" width="8.875" style="78"/>
    <col min="9476" max="9476" width="10.5" style="78" bestFit="1" customWidth="1"/>
    <col min="9477" max="9477" width="9.625" style="78" bestFit="1" customWidth="1"/>
    <col min="9478" max="9731" width="8.875" style="78"/>
    <col min="9732" max="9732" width="10.5" style="78" bestFit="1" customWidth="1"/>
    <col min="9733" max="9733" width="9.625" style="78" bestFit="1" customWidth="1"/>
    <col min="9734" max="9987" width="8.875" style="78"/>
    <col min="9988" max="9988" width="10.5" style="78" bestFit="1" customWidth="1"/>
    <col min="9989" max="9989" width="9.625" style="78" bestFit="1" customWidth="1"/>
    <col min="9990" max="10243" width="8.875" style="78"/>
    <col min="10244" max="10244" width="10.5" style="78" bestFit="1" customWidth="1"/>
    <col min="10245" max="10245" width="9.625" style="78" bestFit="1" customWidth="1"/>
    <col min="10246" max="10499" width="8.875" style="78"/>
    <col min="10500" max="10500" width="10.5" style="78" bestFit="1" customWidth="1"/>
    <col min="10501" max="10501" width="9.625" style="78" bestFit="1" customWidth="1"/>
    <col min="10502" max="10755" width="8.875" style="78"/>
    <col min="10756" max="10756" width="10.5" style="78" bestFit="1" customWidth="1"/>
    <col min="10757" max="10757" width="9.625" style="78" bestFit="1" customWidth="1"/>
    <col min="10758" max="11011" width="8.875" style="78"/>
    <col min="11012" max="11012" width="10.5" style="78" bestFit="1" customWidth="1"/>
    <col min="11013" max="11013" width="9.625" style="78" bestFit="1" customWidth="1"/>
    <col min="11014" max="11267" width="8.875" style="78"/>
    <col min="11268" max="11268" width="10.5" style="78" bestFit="1" customWidth="1"/>
    <col min="11269" max="11269" width="9.625" style="78" bestFit="1" customWidth="1"/>
    <col min="11270" max="11523" width="8.875" style="78"/>
    <col min="11524" max="11524" width="10.5" style="78" bestFit="1" customWidth="1"/>
    <col min="11525" max="11525" width="9.625" style="78" bestFit="1" customWidth="1"/>
    <col min="11526" max="11779" width="8.875" style="78"/>
    <col min="11780" max="11780" width="10.5" style="78" bestFit="1" customWidth="1"/>
    <col min="11781" max="11781" width="9.625" style="78" bestFit="1" customWidth="1"/>
    <col min="11782" max="12035" width="8.875" style="78"/>
    <col min="12036" max="12036" width="10.5" style="78" bestFit="1" customWidth="1"/>
    <col min="12037" max="12037" width="9.625" style="78" bestFit="1" customWidth="1"/>
    <col min="12038" max="12291" width="8.875" style="78"/>
    <col min="12292" max="12292" width="10.5" style="78" bestFit="1" customWidth="1"/>
    <col min="12293" max="12293" width="9.625" style="78" bestFit="1" customWidth="1"/>
    <col min="12294" max="12547" width="8.875" style="78"/>
    <col min="12548" max="12548" width="10.5" style="78" bestFit="1" customWidth="1"/>
    <col min="12549" max="12549" width="9.625" style="78" bestFit="1" customWidth="1"/>
    <col min="12550" max="12803" width="8.875" style="78"/>
    <col min="12804" max="12804" width="10.5" style="78" bestFit="1" customWidth="1"/>
    <col min="12805" max="12805" width="9.625" style="78" bestFit="1" customWidth="1"/>
    <col min="12806" max="13059" width="8.875" style="78"/>
    <col min="13060" max="13060" width="10.5" style="78" bestFit="1" customWidth="1"/>
    <col min="13061" max="13061" width="9.625" style="78" bestFit="1" customWidth="1"/>
    <col min="13062" max="13315" width="8.875" style="78"/>
    <col min="13316" max="13316" width="10.5" style="78" bestFit="1" customWidth="1"/>
    <col min="13317" max="13317" width="9.625" style="78" bestFit="1" customWidth="1"/>
    <col min="13318" max="13571" width="8.875" style="78"/>
    <col min="13572" max="13572" width="10.5" style="78" bestFit="1" customWidth="1"/>
    <col min="13573" max="13573" width="9.625" style="78" bestFit="1" customWidth="1"/>
    <col min="13574" max="13827" width="8.875" style="78"/>
    <col min="13828" max="13828" width="10.5" style="78" bestFit="1" customWidth="1"/>
    <col min="13829" max="13829" width="9.625" style="78" bestFit="1" customWidth="1"/>
    <col min="13830" max="14083" width="8.875" style="78"/>
    <col min="14084" max="14084" width="10.5" style="78" bestFit="1" customWidth="1"/>
    <col min="14085" max="14085" width="9.625" style="78" bestFit="1" customWidth="1"/>
    <col min="14086" max="14339" width="8.875" style="78"/>
    <col min="14340" max="14340" width="10.5" style="78" bestFit="1" customWidth="1"/>
    <col min="14341" max="14341" width="9.625" style="78" bestFit="1" customWidth="1"/>
    <col min="14342" max="14595" width="8.875" style="78"/>
    <col min="14596" max="14596" width="10.5" style="78" bestFit="1" customWidth="1"/>
    <col min="14597" max="14597" width="9.625" style="78" bestFit="1" customWidth="1"/>
    <col min="14598" max="14851" width="8.875" style="78"/>
    <col min="14852" max="14852" width="10.5" style="78" bestFit="1" customWidth="1"/>
    <col min="14853" max="14853" width="9.625" style="78" bestFit="1" customWidth="1"/>
    <col min="14854" max="15107" width="8.875" style="78"/>
    <col min="15108" max="15108" width="10.5" style="78" bestFit="1" customWidth="1"/>
    <col min="15109" max="15109" width="9.625" style="78" bestFit="1" customWidth="1"/>
    <col min="15110" max="15363" width="8.875" style="78"/>
    <col min="15364" max="15364" width="10.5" style="78" bestFit="1" customWidth="1"/>
    <col min="15365" max="15365" width="9.625" style="78" bestFit="1" customWidth="1"/>
    <col min="15366" max="15619" width="8.875" style="78"/>
    <col min="15620" max="15620" width="10.5" style="78" bestFit="1" customWidth="1"/>
    <col min="15621" max="15621" width="9.625" style="78" bestFit="1" customWidth="1"/>
    <col min="15622" max="15875" width="8.875" style="78"/>
    <col min="15876" max="15876" width="10.5" style="78" bestFit="1" customWidth="1"/>
    <col min="15877" max="15877" width="9.625" style="78" bestFit="1" customWidth="1"/>
    <col min="15878" max="16131" width="8.875" style="78"/>
    <col min="16132" max="16132" width="10.5" style="78" bestFit="1" customWidth="1"/>
    <col min="16133" max="16133" width="9.625" style="78" bestFit="1" customWidth="1"/>
    <col min="16134" max="16384" width="8.875" style="78"/>
  </cols>
  <sheetData>
    <row r="1" spans="1:53" ht="4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299</v>
      </c>
      <c r="O1" s="94" t="s">
        <v>120</v>
      </c>
      <c r="P1" s="94" t="s">
        <v>121</v>
      </c>
      <c r="Q1" s="3" t="s">
        <v>12</v>
      </c>
      <c r="R1" s="94" t="s">
        <v>122</v>
      </c>
      <c r="S1" s="94" t="s">
        <v>123</v>
      </c>
      <c r="T1" s="3" t="s">
        <v>13</v>
      </c>
      <c r="U1" s="95" t="s">
        <v>300</v>
      </c>
      <c r="V1" s="5" t="s">
        <v>14</v>
      </c>
      <c r="W1" s="94" t="s">
        <v>15</v>
      </c>
      <c r="X1" s="84" t="s">
        <v>16</v>
      </c>
      <c r="Y1" s="84" t="s">
        <v>17</v>
      </c>
      <c r="Z1" s="84" t="s">
        <v>18</v>
      </c>
      <c r="AA1" s="42" t="s">
        <v>19</v>
      </c>
      <c r="AB1" s="96" t="s">
        <v>124</v>
      </c>
      <c r="AE1" s="97" t="s">
        <v>0</v>
      </c>
      <c r="AF1" s="98"/>
      <c r="AG1" s="97" t="s">
        <v>3</v>
      </c>
      <c r="AH1" s="97" t="s">
        <v>4</v>
      </c>
      <c r="AI1" s="98"/>
      <c r="AJ1" s="97" t="s">
        <v>5</v>
      </c>
      <c r="AK1" s="98"/>
      <c r="AL1" s="10" t="s">
        <v>6</v>
      </c>
      <c r="AM1" s="98"/>
      <c r="AN1" s="10" t="s">
        <v>7</v>
      </c>
      <c r="AO1" s="98"/>
      <c r="AP1" s="10" t="s">
        <v>20</v>
      </c>
      <c r="AQ1" s="98"/>
      <c r="AR1" s="10" t="s">
        <v>9</v>
      </c>
      <c r="AS1" s="98"/>
      <c r="AT1" s="11" t="s">
        <v>21</v>
      </c>
      <c r="AU1" s="98"/>
      <c r="AV1" s="10" t="s">
        <v>22</v>
      </c>
      <c r="AX1" s="12" t="s">
        <v>125</v>
      </c>
      <c r="AY1" s="13" t="s">
        <v>126</v>
      </c>
      <c r="AZ1" s="13" t="s">
        <v>127</v>
      </c>
      <c r="BA1" s="14" t="s">
        <v>128</v>
      </c>
    </row>
    <row r="2" spans="1:53" x14ac:dyDescent="0.15">
      <c r="A2" s="78" t="s">
        <v>46</v>
      </c>
      <c r="B2" s="78" t="s">
        <v>160</v>
      </c>
      <c r="C2" s="169">
        <v>2020</v>
      </c>
      <c r="D2" s="170" t="s">
        <v>301</v>
      </c>
      <c r="E2" s="78" t="s">
        <v>302</v>
      </c>
      <c r="F2" s="78" t="s">
        <v>303</v>
      </c>
      <c r="G2" s="78" t="s">
        <v>25</v>
      </c>
      <c r="H2" s="78" t="s">
        <v>167</v>
      </c>
      <c r="I2" s="78" t="s">
        <v>111</v>
      </c>
      <c r="J2" s="78" t="s">
        <v>27</v>
      </c>
      <c r="K2" s="78" t="s">
        <v>112</v>
      </c>
      <c r="L2" s="78">
        <v>1</v>
      </c>
      <c r="N2" s="78">
        <v>4</v>
      </c>
      <c r="O2" s="78">
        <v>0.25</v>
      </c>
      <c r="P2" s="78">
        <v>0.25</v>
      </c>
      <c r="Q2" s="44">
        <f>IF(OR(O2="",P2=""),"",AVERAGE(O2,P2))</f>
        <v>0.25</v>
      </c>
      <c r="R2" s="78">
        <v>15.8</v>
      </c>
      <c r="S2" s="78">
        <v>105</v>
      </c>
      <c r="T2" s="16">
        <f t="shared" ref="T2:T57" si="0">IF(H2="","",IF(OR(H2="GREEN",H2="GK"),IF(S2&gt;=$AX$2,VLOOKUP(S2,$AX$2:$AY$12,2,1),""),IF(S2&gt;=$AZ$2,VLOOKUP(S2,$AZ$2:$BA$12,2,1),"")))</f>
        <v>33</v>
      </c>
      <c r="U2" s="78">
        <v>498</v>
      </c>
      <c r="V2" s="16">
        <f t="shared" ref="V2:V65" si="1">IF(J2="","",IF(OR(J2="GREEN",J2="GK"),IF(U2&gt;=$AX$2,VLOOKUP(U2,$AX$2:$AY$12,2,1),""),IF(U2&gt;=$AZ$2,VLOOKUP(U2,$AZ$2:$BA$12,2,1),"")))</f>
        <v>16</v>
      </c>
      <c r="W2" s="78">
        <v>1</v>
      </c>
      <c r="X2" s="78" t="s">
        <v>35</v>
      </c>
      <c r="Y2" s="78" t="s">
        <v>43</v>
      </c>
      <c r="Z2" s="78" t="s">
        <v>76</v>
      </c>
      <c r="AA2" s="78" t="s">
        <v>47</v>
      </c>
      <c r="AB2" s="78" t="s">
        <v>161</v>
      </c>
      <c r="AE2" s="102" t="s">
        <v>24</v>
      </c>
      <c r="AG2" s="171" t="s">
        <v>304</v>
      </c>
      <c r="AH2" s="172" t="s">
        <v>305</v>
      </c>
      <c r="AJ2" s="50" t="s">
        <v>25</v>
      </c>
      <c r="AL2" s="104" t="s">
        <v>107</v>
      </c>
      <c r="AN2" s="50" t="s">
        <v>306</v>
      </c>
      <c r="AP2" s="50" t="s">
        <v>27</v>
      </c>
      <c r="AR2" s="50" t="s">
        <v>129</v>
      </c>
      <c r="AT2" s="50" t="s">
        <v>28</v>
      </c>
      <c r="AV2" s="81" t="s">
        <v>43</v>
      </c>
      <c r="AX2" s="105">
        <v>1</v>
      </c>
      <c r="AY2" s="106">
        <v>50</v>
      </c>
      <c r="AZ2" s="106">
        <v>1</v>
      </c>
      <c r="BA2" s="107">
        <v>50</v>
      </c>
    </row>
    <row r="3" spans="1:53" x14ac:dyDescent="0.15">
      <c r="A3" s="78" t="s">
        <v>46</v>
      </c>
      <c r="B3" s="78" t="s">
        <v>160</v>
      </c>
      <c r="C3" s="169">
        <v>2020</v>
      </c>
      <c r="D3" s="170" t="s">
        <v>301</v>
      </c>
      <c r="E3" s="78" t="s">
        <v>302</v>
      </c>
      <c r="F3" s="78" t="s">
        <v>303</v>
      </c>
      <c r="G3" s="78" t="s">
        <v>25</v>
      </c>
      <c r="H3" s="78" t="s">
        <v>167</v>
      </c>
      <c r="I3" s="78" t="s">
        <v>111</v>
      </c>
      <c r="J3" s="78" t="s">
        <v>27</v>
      </c>
      <c r="K3" s="78" t="s">
        <v>112</v>
      </c>
      <c r="L3" s="78">
        <v>2</v>
      </c>
      <c r="N3" s="78">
        <v>4</v>
      </c>
      <c r="O3" s="78">
        <v>0.3</v>
      </c>
      <c r="P3" s="78">
        <v>0.25</v>
      </c>
      <c r="Q3" s="44">
        <f t="shared" ref="Q3:Q66" si="2">IF(OR(O3="",P3=""),"",AVERAGE(O3,P3))</f>
        <v>0.27500000000000002</v>
      </c>
      <c r="R3" s="78">
        <v>16.7</v>
      </c>
      <c r="S3" s="78">
        <v>103</v>
      </c>
      <c r="T3" s="16">
        <f t="shared" si="0"/>
        <v>33</v>
      </c>
      <c r="U3" s="78">
        <v>498</v>
      </c>
      <c r="V3" s="16">
        <f t="shared" si="1"/>
        <v>16</v>
      </c>
      <c r="W3" s="78">
        <v>1</v>
      </c>
      <c r="X3" s="78" t="s">
        <v>35</v>
      </c>
      <c r="Y3" s="78" t="s">
        <v>43</v>
      </c>
      <c r="Z3" s="78" t="s">
        <v>76</v>
      </c>
      <c r="AA3" s="78" t="s">
        <v>47</v>
      </c>
      <c r="AB3" s="78" t="s">
        <v>161</v>
      </c>
      <c r="AE3" s="22" t="s">
        <v>30</v>
      </c>
      <c r="AG3" s="171" t="s">
        <v>307</v>
      </c>
      <c r="AH3" s="172" t="s">
        <v>308</v>
      </c>
      <c r="AJ3" s="81" t="s">
        <v>31</v>
      </c>
      <c r="AL3" s="81" t="s">
        <v>108</v>
      </c>
      <c r="AN3" s="81" t="s">
        <v>32</v>
      </c>
      <c r="AP3" s="81" t="s">
        <v>33</v>
      </c>
      <c r="AR3" s="81" t="s">
        <v>34</v>
      </c>
      <c r="AT3" s="81" t="s">
        <v>35</v>
      </c>
      <c r="AV3" s="81" t="s">
        <v>309</v>
      </c>
      <c r="AX3" s="24">
        <v>72</v>
      </c>
      <c r="AY3" s="25">
        <v>46</v>
      </c>
      <c r="AZ3" s="25">
        <v>71</v>
      </c>
      <c r="BA3" s="26">
        <v>42</v>
      </c>
    </row>
    <row r="4" spans="1:53" x14ac:dyDescent="0.15">
      <c r="A4" s="78" t="s">
        <v>46</v>
      </c>
      <c r="B4" s="78" t="s">
        <v>160</v>
      </c>
      <c r="C4" s="169">
        <v>2020</v>
      </c>
      <c r="D4" s="170" t="s">
        <v>301</v>
      </c>
      <c r="E4" s="78" t="s">
        <v>302</v>
      </c>
      <c r="F4" s="78" t="s">
        <v>303</v>
      </c>
      <c r="G4" s="78" t="s">
        <v>25</v>
      </c>
      <c r="H4" s="78" t="s">
        <v>167</v>
      </c>
      <c r="I4" s="78" t="s">
        <v>111</v>
      </c>
      <c r="J4" s="78" t="s">
        <v>27</v>
      </c>
      <c r="K4" s="78" t="s">
        <v>112</v>
      </c>
      <c r="L4" s="78">
        <v>3</v>
      </c>
      <c r="N4" s="78">
        <v>4</v>
      </c>
      <c r="O4" s="78">
        <v>0.28999999999999998</v>
      </c>
      <c r="P4" s="78">
        <v>0.28000000000000003</v>
      </c>
      <c r="Q4" s="44">
        <f t="shared" si="2"/>
        <v>0.28500000000000003</v>
      </c>
      <c r="R4" s="78">
        <v>16.3</v>
      </c>
      <c r="S4" s="78">
        <v>105</v>
      </c>
      <c r="T4" s="16">
        <f t="shared" si="0"/>
        <v>33</v>
      </c>
      <c r="U4" s="78">
        <v>498</v>
      </c>
      <c r="V4" s="16">
        <f t="shared" si="1"/>
        <v>16</v>
      </c>
      <c r="W4" s="78">
        <v>1</v>
      </c>
      <c r="X4" s="78" t="s">
        <v>35</v>
      </c>
      <c r="Y4" s="78" t="s">
        <v>43</v>
      </c>
      <c r="Z4" s="78" t="s">
        <v>76</v>
      </c>
      <c r="AA4" s="78" t="s">
        <v>47</v>
      </c>
      <c r="AB4" s="78" t="s">
        <v>161</v>
      </c>
      <c r="AE4" s="22" t="s">
        <v>23</v>
      </c>
      <c r="AG4" s="171" t="s">
        <v>310</v>
      </c>
      <c r="AH4" s="172" t="s">
        <v>311</v>
      </c>
      <c r="AJ4" s="27" t="s">
        <v>37</v>
      </c>
      <c r="AL4" s="81" t="s">
        <v>109</v>
      </c>
      <c r="AN4" s="28" t="s">
        <v>38</v>
      </c>
      <c r="AP4" s="81" t="s">
        <v>130</v>
      </c>
      <c r="AR4" s="81" t="s">
        <v>312</v>
      </c>
      <c r="AT4" s="28"/>
      <c r="AV4" s="81" t="s">
        <v>313</v>
      </c>
      <c r="AX4" s="24">
        <v>75</v>
      </c>
      <c r="AY4" s="25">
        <v>42</v>
      </c>
      <c r="AZ4" s="25">
        <v>76</v>
      </c>
      <c r="BA4" s="26">
        <v>39</v>
      </c>
    </row>
    <row r="5" spans="1:53" x14ac:dyDescent="0.15">
      <c r="A5" s="78" t="s">
        <v>46</v>
      </c>
      <c r="B5" s="78" t="s">
        <v>160</v>
      </c>
      <c r="C5" s="169">
        <v>2020</v>
      </c>
      <c r="D5" s="170" t="s">
        <v>301</v>
      </c>
      <c r="E5" s="78" t="s">
        <v>302</v>
      </c>
      <c r="F5" s="78" t="s">
        <v>303</v>
      </c>
      <c r="G5" s="78" t="s">
        <v>25</v>
      </c>
      <c r="H5" s="78" t="s">
        <v>167</v>
      </c>
      <c r="I5" s="78" t="s">
        <v>111</v>
      </c>
      <c r="J5" s="78" t="s">
        <v>27</v>
      </c>
      <c r="K5" s="78" t="s">
        <v>112</v>
      </c>
      <c r="L5" s="78">
        <v>1</v>
      </c>
      <c r="N5" s="78">
        <v>1</v>
      </c>
      <c r="O5" s="78">
        <v>0.98</v>
      </c>
      <c r="P5" s="78">
        <v>0.92</v>
      </c>
      <c r="Q5" s="44">
        <f t="shared" si="2"/>
        <v>0.95</v>
      </c>
      <c r="R5" s="78">
        <v>14.4</v>
      </c>
      <c r="S5" s="78">
        <v>127</v>
      </c>
      <c r="T5" s="16">
        <f t="shared" si="0"/>
        <v>27</v>
      </c>
      <c r="U5" s="78">
        <v>128</v>
      </c>
      <c r="V5" s="16">
        <f t="shared" si="1"/>
        <v>27</v>
      </c>
      <c r="W5" s="78">
        <v>6</v>
      </c>
      <c r="X5" s="78" t="s">
        <v>35</v>
      </c>
      <c r="Y5" s="78" t="s">
        <v>43</v>
      </c>
      <c r="Z5" s="78" t="s">
        <v>76</v>
      </c>
      <c r="AA5" s="78" t="s">
        <v>47</v>
      </c>
      <c r="AB5" s="78" t="s">
        <v>161</v>
      </c>
      <c r="AE5" s="22" t="s">
        <v>40</v>
      </c>
      <c r="AG5" s="171" t="s">
        <v>314</v>
      </c>
      <c r="AH5" s="172" t="s">
        <v>315</v>
      </c>
      <c r="AJ5" s="28"/>
      <c r="AL5" s="81" t="s">
        <v>132</v>
      </c>
      <c r="AN5" s="110" t="s">
        <v>133</v>
      </c>
      <c r="AP5" s="81" t="s">
        <v>316</v>
      </c>
      <c r="AR5" s="81" t="s">
        <v>42</v>
      </c>
      <c r="AV5" s="81" t="s">
        <v>317</v>
      </c>
      <c r="AX5" s="24">
        <v>84</v>
      </c>
      <c r="AY5" s="25">
        <v>39</v>
      </c>
      <c r="AZ5" s="25">
        <v>84</v>
      </c>
      <c r="BA5" s="26">
        <v>36</v>
      </c>
    </row>
    <row r="6" spans="1:53" x14ac:dyDescent="0.15">
      <c r="A6" s="78" t="s">
        <v>46</v>
      </c>
      <c r="B6" s="78" t="s">
        <v>160</v>
      </c>
      <c r="C6" s="169">
        <v>2020</v>
      </c>
      <c r="D6" s="170" t="s">
        <v>301</v>
      </c>
      <c r="E6" s="78" t="s">
        <v>302</v>
      </c>
      <c r="F6" s="78" t="s">
        <v>303</v>
      </c>
      <c r="G6" s="78" t="s">
        <v>25</v>
      </c>
      <c r="H6" s="78" t="s">
        <v>167</v>
      </c>
      <c r="I6" s="78" t="s">
        <v>111</v>
      </c>
      <c r="J6" s="78" t="s">
        <v>27</v>
      </c>
      <c r="K6" s="78" t="s">
        <v>112</v>
      </c>
      <c r="L6" s="78">
        <v>2</v>
      </c>
      <c r="N6" s="78">
        <v>1</v>
      </c>
      <c r="O6" s="78">
        <v>0.86</v>
      </c>
      <c r="P6" s="78">
        <v>0.95</v>
      </c>
      <c r="Q6" s="44">
        <f t="shared" si="2"/>
        <v>0.90500000000000003</v>
      </c>
      <c r="R6" s="78">
        <v>15.6</v>
      </c>
      <c r="S6" s="78">
        <v>134</v>
      </c>
      <c r="T6" s="16">
        <f t="shared" si="0"/>
        <v>25</v>
      </c>
      <c r="U6" s="78">
        <v>128</v>
      </c>
      <c r="V6" s="16">
        <f t="shared" si="1"/>
        <v>27</v>
      </c>
      <c r="W6" s="78">
        <v>6</v>
      </c>
      <c r="X6" s="78" t="s">
        <v>35</v>
      </c>
      <c r="Y6" s="78" t="s">
        <v>43</v>
      </c>
      <c r="Z6" s="78" t="s">
        <v>76</v>
      </c>
      <c r="AA6" s="78" t="s">
        <v>47</v>
      </c>
      <c r="AB6" s="78" t="s">
        <v>161</v>
      </c>
      <c r="AE6" s="22" t="s">
        <v>44</v>
      </c>
      <c r="AG6" s="171" t="s">
        <v>318</v>
      </c>
      <c r="AH6" s="172" t="s">
        <v>319</v>
      </c>
      <c r="AL6" s="81" t="s">
        <v>135</v>
      </c>
      <c r="AN6" s="110" t="s">
        <v>136</v>
      </c>
      <c r="AP6" s="81" t="s">
        <v>41</v>
      </c>
      <c r="AR6" s="81" t="s">
        <v>320</v>
      </c>
      <c r="AV6" s="81" t="s">
        <v>47</v>
      </c>
      <c r="AX6" s="24">
        <v>97</v>
      </c>
      <c r="AY6" s="25">
        <v>36</v>
      </c>
      <c r="AZ6" s="25">
        <v>99</v>
      </c>
      <c r="BA6" s="26">
        <v>33</v>
      </c>
    </row>
    <row r="7" spans="1:53" x14ac:dyDescent="0.15">
      <c r="A7" s="78" t="s">
        <v>46</v>
      </c>
      <c r="B7" s="78" t="s">
        <v>160</v>
      </c>
      <c r="C7" s="169">
        <v>2020</v>
      </c>
      <c r="D7" s="170" t="s">
        <v>301</v>
      </c>
      <c r="E7" s="78" t="s">
        <v>302</v>
      </c>
      <c r="F7" s="78" t="s">
        <v>303</v>
      </c>
      <c r="G7" s="78" t="s">
        <v>25</v>
      </c>
      <c r="H7" s="78" t="s">
        <v>167</v>
      </c>
      <c r="I7" s="78" t="s">
        <v>111</v>
      </c>
      <c r="J7" s="78" t="s">
        <v>27</v>
      </c>
      <c r="K7" s="78" t="s">
        <v>112</v>
      </c>
      <c r="L7" s="78">
        <v>3</v>
      </c>
      <c r="N7" s="78">
        <v>1</v>
      </c>
      <c r="O7" s="78">
        <v>0.91</v>
      </c>
      <c r="P7" s="78">
        <v>0.96</v>
      </c>
      <c r="Q7" s="44">
        <f t="shared" si="2"/>
        <v>0.93500000000000005</v>
      </c>
      <c r="R7" s="78">
        <v>14.3</v>
      </c>
      <c r="S7" s="78">
        <v>133</v>
      </c>
      <c r="T7" s="16">
        <f t="shared" si="0"/>
        <v>25</v>
      </c>
      <c r="U7" s="78">
        <v>128</v>
      </c>
      <c r="V7" s="16">
        <f t="shared" si="1"/>
        <v>27</v>
      </c>
      <c r="W7" s="78">
        <v>6</v>
      </c>
      <c r="X7" s="78" t="s">
        <v>35</v>
      </c>
      <c r="Y7" s="78" t="s">
        <v>43</v>
      </c>
      <c r="Z7" s="78" t="s">
        <v>76</v>
      </c>
      <c r="AA7" s="78" t="s">
        <v>47</v>
      </c>
      <c r="AB7" s="78" t="s">
        <v>161</v>
      </c>
      <c r="AE7" s="22" t="s">
        <v>48</v>
      </c>
      <c r="AG7" s="171" t="s">
        <v>321</v>
      </c>
      <c r="AH7" s="172" t="s">
        <v>322</v>
      </c>
      <c r="AL7" s="87" t="s">
        <v>137</v>
      </c>
      <c r="AP7" s="81" t="s">
        <v>45</v>
      </c>
      <c r="AR7" s="81" t="s">
        <v>323</v>
      </c>
      <c r="AV7" s="81" t="s">
        <v>51</v>
      </c>
      <c r="AX7" s="24">
        <v>109</v>
      </c>
      <c r="AY7" s="25">
        <v>33</v>
      </c>
      <c r="AZ7" s="25">
        <v>113</v>
      </c>
      <c r="BA7" s="26">
        <v>30</v>
      </c>
    </row>
    <row r="8" spans="1:53" x14ac:dyDescent="0.15">
      <c r="A8" s="78" t="s">
        <v>46</v>
      </c>
      <c r="B8" s="78" t="s">
        <v>160</v>
      </c>
      <c r="C8" s="169">
        <v>2020</v>
      </c>
      <c r="D8" s="170" t="s">
        <v>301</v>
      </c>
      <c r="E8" s="78" t="s">
        <v>302</v>
      </c>
      <c r="F8" s="78" t="s">
        <v>303</v>
      </c>
      <c r="G8" s="78" t="s">
        <v>25</v>
      </c>
      <c r="H8" s="78" t="s">
        <v>113</v>
      </c>
      <c r="I8" s="78" t="s">
        <v>111</v>
      </c>
      <c r="J8" s="78" t="s">
        <v>27</v>
      </c>
      <c r="K8" s="78" t="s">
        <v>112</v>
      </c>
      <c r="L8" s="78">
        <v>1</v>
      </c>
      <c r="N8" s="78">
        <v>8</v>
      </c>
      <c r="O8" s="78">
        <v>0.59</v>
      </c>
      <c r="P8" s="78">
        <v>0.68</v>
      </c>
      <c r="Q8" s="44">
        <f t="shared" si="2"/>
        <v>0.63500000000000001</v>
      </c>
      <c r="R8" s="78">
        <v>14.3</v>
      </c>
      <c r="S8" s="78">
        <v>85</v>
      </c>
      <c r="T8" s="16">
        <f t="shared" si="0"/>
        <v>36</v>
      </c>
      <c r="U8" s="78">
        <v>498</v>
      </c>
      <c r="V8" s="16">
        <f t="shared" si="1"/>
        <v>16</v>
      </c>
      <c r="W8" s="78">
        <v>1</v>
      </c>
      <c r="X8" s="78" t="s">
        <v>35</v>
      </c>
      <c r="Y8" s="78" t="s">
        <v>43</v>
      </c>
      <c r="Z8" s="78" t="s">
        <v>76</v>
      </c>
      <c r="AA8" s="78" t="s">
        <v>47</v>
      </c>
      <c r="AB8" s="78" t="s">
        <v>161</v>
      </c>
      <c r="AE8" s="22" t="s">
        <v>46</v>
      </c>
      <c r="AG8" s="173" t="s">
        <v>197</v>
      </c>
      <c r="AH8" s="172" t="s">
        <v>324</v>
      </c>
      <c r="AL8" s="87" t="s">
        <v>110</v>
      </c>
      <c r="AP8" s="81" t="s">
        <v>49</v>
      </c>
      <c r="AR8" s="81" t="s">
        <v>67</v>
      </c>
      <c r="AV8" s="81" t="s">
        <v>82</v>
      </c>
      <c r="AX8" s="24">
        <v>119</v>
      </c>
      <c r="AY8" s="25">
        <v>30</v>
      </c>
      <c r="AZ8" s="25">
        <v>121</v>
      </c>
      <c r="BA8" s="26">
        <v>27</v>
      </c>
    </row>
    <row r="9" spans="1:53" x14ac:dyDescent="0.15">
      <c r="A9" s="78" t="s">
        <v>46</v>
      </c>
      <c r="B9" s="78" t="s">
        <v>160</v>
      </c>
      <c r="C9" s="169">
        <v>2020</v>
      </c>
      <c r="D9" s="170" t="s">
        <v>301</v>
      </c>
      <c r="E9" s="78" t="s">
        <v>302</v>
      </c>
      <c r="F9" s="78" t="s">
        <v>303</v>
      </c>
      <c r="G9" s="78" t="s">
        <v>25</v>
      </c>
      <c r="H9" s="78" t="s">
        <v>113</v>
      </c>
      <c r="I9" s="78" t="s">
        <v>111</v>
      </c>
      <c r="J9" s="78" t="s">
        <v>27</v>
      </c>
      <c r="K9" s="78" t="s">
        <v>112</v>
      </c>
      <c r="L9" s="78">
        <v>2</v>
      </c>
      <c r="N9" s="78">
        <v>8</v>
      </c>
      <c r="O9" s="78">
        <v>0.8</v>
      </c>
      <c r="P9" s="78">
        <v>0.87</v>
      </c>
      <c r="Q9" s="44">
        <f t="shared" si="2"/>
        <v>0.83499999999999996</v>
      </c>
      <c r="R9" s="78">
        <v>12.1</v>
      </c>
      <c r="S9" s="78">
        <v>91</v>
      </c>
      <c r="T9" s="16">
        <f t="shared" si="0"/>
        <v>36</v>
      </c>
      <c r="U9" s="78">
        <v>498</v>
      </c>
      <c r="V9" s="16">
        <f t="shared" si="1"/>
        <v>16</v>
      </c>
      <c r="W9" s="78">
        <v>1</v>
      </c>
      <c r="X9" s="78" t="s">
        <v>35</v>
      </c>
      <c r="Y9" s="78" t="s">
        <v>43</v>
      </c>
      <c r="Z9" s="78" t="s">
        <v>76</v>
      </c>
      <c r="AA9" s="78" t="s">
        <v>47</v>
      </c>
      <c r="AB9" s="78" t="s">
        <v>161</v>
      </c>
      <c r="AE9" s="22" t="s">
        <v>83</v>
      </c>
      <c r="AG9" s="173" t="s">
        <v>325</v>
      </c>
      <c r="AH9" s="172" t="s">
        <v>303</v>
      </c>
      <c r="AL9" s="81" t="s">
        <v>139</v>
      </c>
      <c r="AP9" s="81" t="s">
        <v>326</v>
      </c>
      <c r="AR9" s="81" t="s">
        <v>75</v>
      </c>
      <c r="AV9" s="81" t="s">
        <v>86</v>
      </c>
      <c r="AX9" s="24">
        <v>128</v>
      </c>
      <c r="AY9" s="25">
        <v>27</v>
      </c>
      <c r="AZ9" s="25">
        <v>129</v>
      </c>
      <c r="BA9" s="26">
        <v>25</v>
      </c>
    </row>
    <row r="10" spans="1:53" x14ac:dyDescent="0.15">
      <c r="A10" s="78" t="s">
        <v>46</v>
      </c>
      <c r="B10" s="78" t="s">
        <v>160</v>
      </c>
      <c r="C10" s="169">
        <v>2020</v>
      </c>
      <c r="D10" s="170" t="s">
        <v>301</v>
      </c>
      <c r="E10" s="78" t="s">
        <v>302</v>
      </c>
      <c r="F10" s="78" t="s">
        <v>303</v>
      </c>
      <c r="G10" s="78" t="s">
        <v>25</v>
      </c>
      <c r="H10" s="78" t="s">
        <v>113</v>
      </c>
      <c r="I10" s="78" t="s">
        <v>111</v>
      </c>
      <c r="J10" s="78" t="s">
        <v>27</v>
      </c>
      <c r="K10" s="78" t="s">
        <v>112</v>
      </c>
      <c r="L10" s="78">
        <v>3</v>
      </c>
      <c r="N10" s="78">
        <v>8</v>
      </c>
      <c r="O10" s="78">
        <v>0.75</v>
      </c>
      <c r="P10" s="78">
        <v>0.8</v>
      </c>
      <c r="Q10" s="44">
        <f t="shared" si="2"/>
        <v>0.77500000000000002</v>
      </c>
      <c r="R10" s="78">
        <v>13.2</v>
      </c>
      <c r="S10" s="78">
        <v>95</v>
      </c>
      <c r="T10" s="16">
        <f t="shared" si="0"/>
        <v>36</v>
      </c>
      <c r="U10" s="78">
        <v>498</v>
      </c>
      <c r="V10" s="16">
        <f t="shared" si="1"/>
        <v>16</v>
      </c>
      <c r="W10" s="78">
        <v>1</v>
      </c>
      <c r="X10" s="78" t="s">
        <v>35</v>
      </c>
      <c r="Y10" s="78" t="s">
        <v>43</v>
      </c>
      <c r="Z10" s="78" t="s">
        <v>76</v>
      </c>
      <c r="AA10" s="78" t="s">
        <v>47</v>
      </c>
      <c r="AB10" s="78" t="s">
        <v>161</v>
      </c>
      <c r="AE10" s="22" t="s">
        <v>87</v>
      </c>
      <c r="AG10" s="171" t="s">
        <v>327</v>
      </c>
      <c r="AH10" s="172" t="s">
        <v>315</v>
      </c>
      <c r="AL10" s="129"/>
      <c r="AP10" s="81" t="s">
        <v>84</v>
      </c>
      <c r="AR10" s="81" t="s">
        <v>103</v>
      </c>
      <c r="AV10" s="81" t="s">
        <v>90</v>
      </c>
      <c r="AX10" s="24">
        <v>138</v>
      </c>
      <c r="AY10" s="25">
        <v>25</v>
      </c>
      <c r="AZ10" s="25">
        <v>138</v>
      </c>
      <c r="BA10" s="26">
        <v>22</v>
      </c>
    </row>
    <row r="11" spans="1:53" x14ac:dyDescent="0.15">
      <c r="A11" s="78" t="s">
        <v>46</v>
      </c>
      <c r="B11" s="78" t="s">
        <v>160</v>
      </c>
      <c r="C11" s="169">
        <v>2020</v>
      </c>
      <c r="D11" s="170" t="s">
        <v>301</v>
      </c>
      <c r="E11" s="78" t="s">
        <v>302</v>
      </c>
      <c r="F11" s="78" t="s">
        <v>303</v>
      </c>
      <c r="G11" s="78" t="s">
        <v>25</v>
      </c>
      <c r="H11" s="78" t="s">
        <v>113</v>
      </c>
      <c r="I11" s="78" t="s">
        <v>111</v>
      </c>
      <c r="J11" s="78" t="s">
        <v>27</v>
      </c>
      <c r="K11" s="78" t="s">
        <v>112</v>
      </c>
      <c r="L11" s="78">
        <v>1</v>
      </c>
      <c r="N11" s="78">
        <v>1</v>
      </c>
      <c r="O11" s="78">
        <v>0.4</v>
      </c>
      <c r="P11" s="78">
        <v>0.3</v>
      </c>
      <c r="Q11" s="44">
        <f t="shared" si="2"/>
        <v>0.35</v>
      </c>
      <c r="R11" s="78">
        <v>15.7</v>
      </c>
      <c r="S11" s="78">
        <v>140</v>
      </c>
      <c r="T11" s="16">
        <f t="shared" si="0"/>
        <v>22</v>
      </c>
      <c r="U11" s="78">
        <v>158</v>
      </c>
      <c r="V11" s="16">
        <f t="shared" si="1"/>
        <v>18</v>
      </c>
      <c r="W11" s="78">
        <v>1</v>
      </c>
      <c r="X11" s="78" t="s">
        <v>35</v>
      </c>
      <c r="Y11" s="78" t="s">
        <v>43</v>
      </c>
      <c r="Z11" s="78" t="s">
        <v>76</v>
      </c>
      <c r="AA11" s="78" t="s">
        <v>47</v>
      </c>
      <c r="AB11" s="78" t="s">
        <v>161</v>
      </c>
      <c r="AE11" s="22" t="s">
        <v>52</v>
      </c>
      <c r="AG11" s="173" t="s">
        <v>328</v>
      </c>
      <c r="AH11" s="172" t="s">
        <v>329</v>
      </c>
      <c r="AL11" s="129"/>
      <c r="AP11" s="81" t="s">
        <v>330</v>
      </c>
      <c r="AR11" s="81" t="s">
        <v>331</v>
      </c>
      <c r="AV11" s="81" t="s">
        <v>332</v>
      </c>
      <c r="AX11" s="24">
        <v>151</v>
      </c>
      <c r="AY11" s="25">
        <v>22</v>
      </c>
      <c r="AZ11" s="25">
        <v>152</v>
      </c>
      <c r="BA11" s="26">
        <v>18</v>
      </c>
    </row>
    <row r="12" spans="1:53" x14ac:dyDescent="0.15">
      <c r="A12" s="78" t="s">
        <v>46</v>
      </c>
      <c r="B12" s="78" t="s">
        <v>160</v>
      </c>
      <c r="C12" s="169">
        <v>2020</v>
      </c>
      <c r="D12" s="170" t="s">
        <v>301</v>
      </c>
      <c r="E12" s="78" t="s">
        <v>302</v>
      </c>
      <c r="F12" s="78" t="s">
        <v>303</v>
      </c>
      <c r="G12" s="78" t="s">
        <v>25</v>
      </c>
      <c r="H12" s="78" t="s">
        <v>113</v>
      </c>
      <c r="I12" s="78" t="s">
        <v>111</v>
      </c>
      <c r="J12" s="78" t="s">
        <v>27</v>
      </c>
      <c r="K12" s="78" t="s">
        <v>112</v>
      </c>
      <c r="L12" s="78">
        <v>2</v>
      </c>
      <c r="N12" s="78">
        <v>1</v>
      </c>
      <c r="O12" s="78">
        <v>0.39</v>
      </c>
      <c r="P12" s="78">
        <v>0.43</v>
      </c>
      <c r="Q12" s="44">
        <f t="shared" si="2"/>
        <v>0.41000000000000003</v>
      </c>
      <c r="R12" s="78">
        <v>15.8</v>
      </c>
      <c r="S12" s="78">
        <v>141</v>
      </c>
      <c r="T12" s="16">
        <f t="shared" si="0"/>
        <v>22</v>
      </c>
      <c r="U12" s="78">
        <v>158</v>
      </c>
      <c r="V12" s="16">
        <f t="shared" si="1"/>
        <v>18</v>
      </c>
      <c r="W12" s="78">
        <v>1</v>
      </c>
      <c r="X12" s="78" t="s">
        <v>35</v>
      </c>
      <c r="Y12" s="78" t="s">
        <v>43</v>
      </c>
      <c r="Z12" s="78" t="s">
        <v>76</v>
      </c>
      <c r="AA12" s="78" t="s">
        <v>47</v>
      </c>
      <c r="AB12" s="78" t="s">
        <v>161</v>
      </c>
      <c r="AE12" s="22" t="s">
        <v>56</v>
      </c>
      <c r="AG12" s="81"/>
      <c r="AH12" s="174"/>
      <c r="AL12" s="129"/>
      <c r="AP12" s="81" t="s">
        <v>53</v>
      </c>
      <c r="AR12" s="81" t="s">
        <v>104</v>
      </c>
      <c r="AV12" s="81" t="s">
        <v>58</v>
      </c>
      <c r="AX12" s="31">
        <v>180</v>
      </c>
      <c r="AY12" s="32">
        <v>18</v>
      </c>
      <c r="AZ12" s="32">
        <v>181</v>
      </c>
      <c r="BA12" s="33">
        <v>16</v>
      </c>
    </row>
    <row r="13" spans="1:53" x14ac:dyDescent="0.15">
      <c r="A13" s="78" t="s">
        <v>46</v>
      </c>
      <c r="B13" s="78" t="s">
        <v>160</v>
      </c>
      <c r="C13" s="169">
        <v>2020</v>
      </c>
      <c r="D13" s="170" t="s">
        <v>301</v>
      </c>
      <c r="E13" s="78" t="s">
        <v>302</v>
      </c>
      <c r="F13" s="78" t="s">
        <v>303</v>
      </c>
      <c r="G13" s="78" t="s">
        <v>25</v>
      </c>
      <c r="H13" s="78" t="s">
        <v>113</v>
      </c>
      <c r="I13" s="78" t="s">
        <v>111</v>
      </c>
      <c r="J13" s="78" t="s">
        <v>27</v>
      </c>
      <c r="K13" s="78" t="s">
        <v>112</v>
      </c>
      <c r="L13" s="78">
        <v>3</v>
      </c>
      <c r="N13" s="78">
        <v>1</v>
      </c>
      <c r="O13" s="78">
        <v>0.41</v>
      </c>
      <c r="P13" s="78">
        <v>0.44</v>
      </c>
      <c r="Q13" s="44">
        <f t="shared" si="2"/>
        <v>0.42499999999999999</v>
      </c>
      <c r="R13" s="78">
        <v>15.4</v>
      </c>
      <c r="S13" s="78">
        <v>155</v>
      </c>
      <c r="T13" s="16">
        <f t="shared" si="0"/>
        <v>18</v>
      </c>
      <c r="U13" s="78">
        <v>158</v>
      </c>
      <c r="V13" s="16">
        <f t="shared" si="1"/>
        <v>18</v>
      </c>
      <c r="W13" s="78">
        <v>1</v>
      </c>
      <c r="X13" s="78" t="s">
        <v>35</v>
      </c>
      <c r="Y13" s="78" t="s">
        <v>43</v>
      </c>
      <c r="Z13" s="78" t="s">
        <v>76</v>
      </c>
      <c r="AA13" s="78" t="s">
        <v>47</v>
      </c>
      <c r="AB13" s="78" t="s">
        <v>161</v>
      </c>
      <c r="AE13" s="22" t="s">
        <v>59</v>
      </c>
      <c r="AG13" s="81"/>
      <c r="AH13" s="81"/>
      <c r="AP13" s="81" t="s">
        <v>57</v>
      </c>
      <c r="AR13" s="81" t="s">
        <v>87</v>
      </c>
      <c r="AV13" s="81" t="s">
        <v>61</v>
      </c>
    </row>
    <row r="14" spans="1:53" x14ac:dyDescent="0.15">
      <c r="A14" s="78" t="s">
        <v>46</v>
      </c>
      <c r="B14" s="78" t="s">
        <v>160</v>
      </c>
      <c r="C14" s="169">
        <v>2020</v>
      </c>
      <c r="D14" s="170" t="s">
        <v>301</v>
      </c>
      <c r="E14" s="78" t="s">
        <v>302</v>
      </c>
      <c r="F14" s="78" t="s">
        <v>303</v>
      </c>
      <c r="G14" s="78" t="s">
        <v>25</v>
      </c>
      <c r="H14" s="78" t="s">
        <v>165</v>
      </c>
      <c r="I14" s="78" t="s">
        <v>111</v>
      </c>
      <c r="J14" s="78" t="s">
        <v>27</v>
      </c>
      <c r="K14" s="78" t="s">
        <v>112</v>
      </c>
      <c r="L14" s="78">
        <v>1</v>
      </c>
      <c r="N14" s="78">
        <v>5</v>
      </c>
      <c r="O14" s="78">
        <v>0.41</v>
      </c>
      <c r="P14" s="78">
        <v>0.33</v>
      </c>
      <c r="Q14" s="44">
        <f t="shared" si="2"/>
        <v>0.37</v>
      </c>
      <c r="R14" s="78">
        <v>17.5</v>
      </c>
      <c r="S14" s="78">
        <v>106</v>
      </c>
      <c r="T14" s="16">
        <f t="shared" si="0"/>
        <v>33</v>
      </c>
      <c r="U14" s="78">
        <v>398</v>
      </c>
      <c r="V14" s="16">
        <f t="shared" si="1"/>
        <v>16</v>
      </c>
      <c r="W14" s="78">
        <v>1</v>
      </c>
      <c r="X14" s="78" t="s">
        <v>35</v>
      </c>
      <c r="Y14" s="78" t="s">
        <v>43</v>
      </c>
      <c r="Z14" s="78" t="s">
        <v>76</v>
      </c>
      <c r="AA14" s="78" t="s">
        <v>47</v>
      </c>
      <c r="AB14" s="78" t="s">
        <v>161</v>
      </c>
      <c r="AE14" s="22" t="s">
        <v>62</v>
      </c>
      <c r="AG14" s="81"/>
      <c r="AH14" s="81"/>
      <c r="AP14" s="81" t="s">
        <v>333</v>
      </c>
      <c r="AR14" s="81" t="s">
        <v>105</v>
      </c>
      <c r="AV14" s="81" t="s">
        <v>64</v>
      </c>
    </row>
    <row r="15" spans="1:53" x14ac:dyDescent="0.15">
      <c r="A15" s="78" t="s">
        <v>46</v>
      </c>
      <c r="B15" s="78" t="s">
        <v>160</v>
      </c>
      <c r="C15" s="169">
        <v>2020</v>
      </c>
      <c r="D15" s="170" t="s">
        <v>301</v>
      </c>
      <c r="E15" s="78" t="s">
        <v>302</v>
      </c>
      <c r="F15" s="78" t="s">
        <v>303</v>
      </c>
      <c r="G15" s="78" t="s">
        <v>25</v>
      </c>
      <c r="H15" s="78" t="s">
        <v>165</v>
      </c>
      <c r="I15" s="78" t="s">
        <v>111</v>
      </c>
      <c r="J15" s="78" t="s">
        <v>27</v>
      </c>
      <c r="K15" s="78" t="s">
        <v>112</v>
      </c>
      <c r="L15" s="78">
        <v>2</v>
      </c>
      <c r="N15" s="78">
        <v>5</v>
      </c>
      <c r="O15" s="78">
        <v>0.24</v>
      </c>
      <c r="P15" s="78">
        <v>0.25</v>
      </c>
      <c r="Q15" s="44">
        <f t="shared" si="2"/>
        <v>0.245</v>
      </c>
      <c r="R15" s="78">
        <v>15.8</v>
      </c>
      <c r="S15" s="78">
        <v>96</v>
      </c>
      <c r="T15" s="16">
        <f t="shared" si="0"/>
        <v>36</v>
      </c>
      <c r="U15" s="78">
        <v>398</v>
      </c>
      <c r="V15" s="16">
        <f t="shared" si="1"/>
        <v>16</v>
      </c>
      <c r="W15" s="78">
        <v>1</v>
      </c>
      <c r="X15" s="78" t="s">
        <v>35</v>
      </c>
      <c r="Y15" s="78" t="s">
        <v>43</v>
      </c>
      <c r="Z15" s="78" t="s">
        <v>76</v>
      </c>
      <c r="AA15" s="78" t="s">
        <v>47</v>
      </c>
      <c r="AB15" s="78" t="s">
        <v>161</v>
      </c>
      <c r="AE15" s="22" t="s">
        <v>65</v>
      </c>
      <c r="AG15" s="81"/>
      <c r="AH15" s="81"/>
      <c r="AP15" s="81" t="s">
        <v>334</v>
      </c>
      <c r="AR15" s="81" t="s">
        <v>79</v>
      </c>
      <c r="AV15" s="81" t="s">
        <v>91</v>
      </c>
    </row>
    <row r="16" spans="1:53" x14ac:dyDescent="0.15">
      <c r="A16" s="78" t="s">
        <v>46</v>
      </c>
      <c r="B16" s="78" t="s">
        <v>160</v>
      </c>
      <c r="C16" s="169">
        <v>2020</v>
      </c>
      <c r="D16" s="170" t="s">
        <v>301</v>
      </c>
      <c r="E16" s="78" t="s">
        <v>302</v>
      </c>
      <c r="F16" s="78" t="s">
        <v>303</v>
      </c>
      <c r="G16" s="78" t="s">
        <v>25</v>
      </c>
      <c r="H16" s="78" t="s">
        <v>165</v>
      </c>
      <c r="I16" s="78" t="s">
        <v>111</v>
      </c>
      <c r="J16" s="78" t="s">
        <v>27</v>
      </c>
      <c r="K16" s="78" t="s">
        <v>112</v>
      </c>
      <c r="L16" s="78">
        <v>3</v>
      </c>
      <c r="N16" s="78">
        <v>5</v>
      </c>
      <c r="O16" s="78">
        <v>0.43</v>
      </c>
      <c r="P16" s="78">
        <v>0.41</v>
      </c>
      <c r="Q16" s="44">
        <f t="shared" si="2"/>
        <v>0.42</v>
      </c>
      <c r="R16" s="78">
        <v>15.8</v>
      </c>
      <c r="S16" s="78">
        <v>89</v>
      </c>
      <c r="T16" s="16">
        <f t="shared" si="0"/>
        <v>36</v>
      </c>
      <c r="U16" s="78">
        <v>398</v>
      </c>
      <c r="V16" s="16">
        <f t="shared" si="1"/>
        <v>16</v>
      </c>
      <c r="W16" s="78">
        <v>1</v>
      </c>
      <c r="X16" s="78" t="s">
        <v>35</v>
      </c>
      <c r="Y16" s="78" t="s">
        <v>43</v>
      </c>
      <c r="Z16" s="78" t="s">
        <v>76</v>
      </c>
      <c r="AA16" s="78" t="s">
        <v>47</v>
      </c>
      <c r="AB16" s="78" t="s">
        <v>161</v>
      </c>
      <c r="AE16" s="22" t="s">
        <v>68</v>
      </c>
      <c r="AG16" s="28"/>
      <c r="AH16" s="28"/>
      <c r="AP16" s="81" t="s">
        <v>66</v>
      </c>
      <c r="AR16" s="81" t="s">
        <v>50</v>
      </c>
      <c r="AV16" s="81" t="s">
        <v>70</v>
      </c>
    </row>
    <row r="17" spans="1:48" x14ac:dyDescent="0.15">
      <c r="A17" s="78" t="s">
        <v>46</v>
      </c>
      <c r="B17" s="78" t="s">
        <v>160</v>
      </c>
      <c r="C17" s="169">
        <v>2020</v>
      </c>
      <c r="D17" s="170" t="s">
        <v>301</v>
      </c>
      <c r="E17" s="78" t="s">
        <v>307</v>
      </c>
      <c r="F17" s="78" t="s">
        <v>308</v>
      </c>
      <c r="G17" s="78" t="s">
        <v>25</v>
      </c>
      <c r="H17" s="78" t="s">
        <v>167</v>
      </c>
      <c r="I17" s="78" t="s">
        <v>111</v>
      </c>
      <c r="J17" s="78" t="s">
        <v>27</v>
      </c>
      <c r="K17" s="78" t="s">
        <v>112</v>
      </c>
      <c r="L17" s="78">
        <v>1</v>
      </c>
      <c r="N17" s="78">
        <v>4</v>
      </c>
      <c r="O17" s="78">
        <v>0.49</v>
      </c>
      <c r="P17" s="78">
        <v>0.47</v>
      </c>
      <c r="Q17" s="44">
        <f t="shared" si="2"/>
        <v>0.48</v>
      </c>
      <c r="R17" s="78">
        <v>14.9</v>
      </c>
      <c r="S17" s="78">
        <v>105</v>
      </c>
      <c r="T17" s="16">
        <f t="shared" si="0"/>
        <v>33</v>
      </c>
      <c r="U17" s="78">
        <v>398</v>
      </c>
      <c r="V17" s="16">
        <f t="shared" si="1"/>
        <v>16</v>
      </c>
      <c r="W17" s="78">
        <v>1</v>
      </c>
      <c r="X17" s="78" t="s">
        <v>35</v>
      </c>
      <c r="Y17" s="78" t="s">
        <v>76</v>
      </c>
      <c r="Z17" s="78" t="s">
        <v>72</v>
      </c>
      <c r="AA17" s="78" t="s">
        <v>55</v>
      </c>
      <c r="AB17" s="78" t="s">
        <v>161</v>
      </c>
      <c r="AE17" s="22" t="s">
        <v>71</v>
      </c>
      <c r="AP17" s="27" t="s">
        <v>93</v>
      </c>
      <c r="AR17" s="81" t="s">
        <v>81</v>
      </c>
      <c r="AV17" s="81" t="s">
        <v>72</v>
      </c>
    </row>
    <row r="18" spans="1:48" x14ac:dyDescent="0.15">
      <c r="A18" s="78" t="s">
        <v>46</v>
      </c>
      <c r="B18" s="78" t="s">
        <v>160</v>
      </c>
      <c r="C18" s="169">
        <v>2020</v>
      </c>
      <c r="D18" s="170" t="s">
        <v>301</v>
      </c>
      <c r="E18" s="78" t="s">
        <v>307</v>
      </c>
      <c r="F18" s="78" t="s">
        <v>308</v>
      </c>
      <c r="G18" s="78" t="s">
        <v>25</v>
      </c>
      <c r="H18" s="78" t="s">
        <v>167</v>
      </c>
      <c r="I18" s="78" t="s">
        <v>111</v>
      </c>
      <c r="J18" s="78" t="s">
        <v>27</v>
      </c>
      <c r="K18" s="78" t="s">
        <v>112</v>
      </c>
      <c r="L18" s="78">
        <v>2</v>
      </c>
      <c r="N18" s="78">
        <v>4</v>
      </c>
      <c r="O18" s="78">
        <v>0.44</v>
      </c>
      <c r="P18" s="78">
        <v>0.39</v>
      </c>
      <c r="Q18" s="44">
        <f t="shared" si="2"/>
        <v>0.41500000000000004</v>
      </c>
      <c r="R18" s="78">
        <v>16.8</v>
      </c>
      <c r="S18" s="78">
        <v>100</v>
      </c>
      <c r="T18" s="16">
        <f t="shared" si="0"/>
        <v>33</v>
      </c>
      <c r="U18" s="78">
        <v>398</v>
      </c>
      <c r="V18" s="16">
        <f t="shared" si="1"/>
        <v>16</v>
      </c>
      <c r="W18" s="78">
        <v>1</v>
      </c>
      <c r="X18" s="78" t="s">
        <v>35</v>
      </c>
      <c r="Y18" s="78" t="s">
        <v>76</v>
      </c>
      <c r="Z18" s="78" t="s">
        <v>72</v>
      </c>
      <c r="AA18" s="78" t="s">
        <v>55</v>
      </c>
      <c r="AB18" s="78" t="s">
        <v>161</v>
      </c>
      <c r="AE18" s="22" t="s">
        <v>73</v>
      </c>
      <c r="AP18" s="27" t="s">
        <v>335</v>
      </c>
      <c r="AR18" s="81" t="s">
        <v>85</v>
      </c>
      <c r="AV18" s="81" t="s">
        <v>74</v>
      </c>
    </row>
    <row r="19" spans="1:48" x14ac:dyDescent="0.15">
      <c r="A19" s="78" t="s">
        <v>46</v>
      </c>
      <c r="B19" s="78" t="s">
        <v>160</v>
      </c>
      <c r="C19" s="169">
        <v>2020</v>
      </c>
      <c r="D19" s="170" t="s">
        <v>301</v>
      </c>
      <c r="E19" s="78" t="s">
        <v>307</v>
      </c>
      <c r="F19" s="78" t="s">
        <v>308</v>
      </c>
      <c r="G19" s="78" t="s">
        <v>25</v>
      </c>
      <c r="H19" s="78" t="s">
        <v>167</v>
      </c>
      <c r="I19" s="78" t="s">
        <v>111</v>
      </c>
      <c r="J19" s="78" t="s">
        <v>27</v>
      </c>
      <c r="K19" s="78" t="s">
        <v>112</v>
      </c>
      <c r="L19" s="78">
        <v>3</v>
      </c>
      <c r="N19" s="78">
        <v>4</v>
      </c>
      <c r="O19" s="78">
        <v>0.48</v>
      </c>
      <c r="P19" s="78">
        <v>0.42</v>
      </c>
      <c r="Q19" s="44">
        <f t="shared" si="2"/>
        <v>0.44999999999999996</v>
      </c>
      <c r="R19" s="78">
        <v>15.9</v>
      </c>
      <c r="S19" s="78">
        <v>107</v>
      </c>
      <c r="T19" s="16">
        <f t="shared" si="0"/>
        <v>33</v>
      </c>
      <c r="U19" s="78">
        <v>398</v>
      </c>
      <c r="V19" s="16">
        <f t="shared" si="1"/>
        <v>16</v>
      </c>
      <c r="W19" s="78">
        <v>1</v>
      </c>
      <c r="X19" s="78" t="s">
        <v>35</v>
      </c>
      <c r="Y19" s="78" t="s">
        <v>76</v>
      </c>
      <c r="Z19" s="78" t="s">
        <v>72</v>
      </c>
      <c r="AA19" s="78" t="s">
        <v>55</v>
      </c>
      <c r="AB19" s="78" t="s">
        <v>161</v>
      </c>
      <c r="AE19" s="35" t="s">
        <v>75</v>
      </c>
      <c r="AP19" s="27" t="s">
        <v>95</v>
      </c>
      <c r="AR19" s="81" t="s">
        <v>106</v>
      </c>
      <c r="AV19" s="81" t="s">
        <v>336</v>
      </c>
    </row>
    <row r="20" spans="1:48" x14ac:dyDescent="0.15">
      <c r="A20" s="78" t="s">
        <v>46</v>
      </c>
      <c r="B20" s="78" t="s">
        <v>160</v>
      </c>
      <c r="C20" s="169">
        <v>2020</v>
      </c>
      <c r="D20" s="170" t="s">
        <v>301</v>
      </c>
      <c r="E20" s="78" t="s">
        <v>307</v>
      </c>
      <c r="F20" s="78" t="s">
        <v>308</v>
      </c>
      <c r="G20" s="78" t="s">
        <v>25</v>
      </c>
      <c r="H20" s="78" t="s">
        <v>167</v>
      </c>
      <c r="I20" s="78" t="s">
        <v>111</v>
      </c>
      <c r="J20" s="78" t="s">
        <v>27</v>
      </c>
      <c r="K20" s="78" t="s">
        <v>112</v>
      </c>
      <c r="L20" s="78">
        <v>1</v>
      </c>
      <c r="N20" s="78">
        <v>1</v>
      </c>
      <c r="O20" s="78">
        <v>0.55000000000000004</v>
      </c>
      <c r="P20" s="78">
        <v>0.57999999999999996</v>
      </c>
      <c r="Q20" s="44">
        <f t="shared" si="2"/>
        <v>0.56499999999999995</v>
      </c>
      <c r="R20" s="78">
        <v>16.600000000000001</v>
      </c>
      <c r="S20" s="78">
        <v>150</v>
      </c>
      <c r="T20" s="16">
        <f t="shared" si="0"/>
        <v>22</v>
      </c>
      <c r="U20" s="78">
        <v>148</v>
      </c>
      <c r="V20" s="16">
        <f t="shared" si="1"/>
        <v>22</v>
      </c>
      <c r="W20" s="78">
        <v>1</v>
      </c>
      <c r="X20" s="78" t="s">
        <v>28</v>
      </c>
      <c r="Y20" s="78" t="s">
        <v>76</v>
      </c>
      <c r="Z20" s="78" t="s">
        <v>72</v>
      </c>
      <c r="AA20" s="78" t="s">
        <v>55</v>
      </c>
      <c r="AB20" s="78" t="s">
        <v>161</v>
      </c>
      <c r="AE20" s="35"/>
      <c r="AP20" s="27" t="s">
        <v>96</v>
      </c>
      <c r="AR20" s="81" t="s">
        <v>89</v>
      </c>
      <c r="AV20" s="27" t="s">
        <v>114</v>
      </c>
    </row>
    <row r="21" spans="1:48" x14ac:dyDescent="0.15">
      <c r="A21" s="78" t="s">
        <v>46</v>
      </c>
      <c r="B21" s="78" t="s">
        <v>160</v>
      </c>
      <c r="C21" s="169">
        <v>2020</v>
      </c>
      <c r="D21" s="170" t="s">
        <v>301</v>
      </c>
      <c r="E21" s="78" t="s">
        <v>374</v>
      </c>
      <c r="F21" s="78" t="s">
        <v>308</v>
      </c>
      <c r="G21" s="78" t="s">
        <v>25</v>
      </c>
      <c r="H21" s="78" t="s">
        <v>167</v>
      </c>
      <c r="I21" s="78" t="s">
        <v>111</v>
      </c>
      <c r="J21" s="78" t="s">
        <v>27</v>
      </c>
      <c r="K21" s="78" t="s">
        <v>112</v>
      </c>
      <c r="L21" s="78">
        <v>2</v>
      </c>
      <c r="N21" s="78">
        <v>1</v>
      </c>
      <c r="O21" s="78">
        <v>0.9</v>
      </c>
      <c r="P21" s="78">
        <v>0.88</v>
      </c>
      <c r="Q21" s="44">
        <f t="shared" si="2"/>
        <v>0.89</v>
      </c>
      <c r="R21" s="78">
        <v>15</v>
      </c>
      <c r="S21" s="78">
        <v>148</v>
      </c>
      <c r="T21" s="16">
        <f t="shared" si="0"/>
        <v>22</v>
      </c>
      <c r="U21" s="78">
        <v>148</v>
      </c>
      <c r="V21" s="16">
        <f t="shared" si="1"/>
        <v>22</v>
      </c>
      <c r="W21" s="78">
        <v>1</v>
      </c>
      <c r="X21" s="78" t="s">
        <v>28</v>
      </c>
      <c r="Y21" s="78" t="s">
        <v>76</v>
      </c>
      <c r="Z21" s="78" t="s">
        <v>72</v>
      </c>
      <c r="AA21" s="78" t="s">
        <v>55</v>
      </c>
      <c r="AB21" s="78" t="s">
        <v>161</v>
      </c>
      <c r="AE21" s="28"/>
      <c r="AP21" s="27" t="s">
        <v>337</v>
      </c>
      <c r="AR21" s="81" t="s">
        <v>54</v>
      </c>
      <c r="AV21" s="27" t="s">
        <v>115</v>
      </c>
    </row>
    <row r="22" spans="1:48" x14ac:dyDescent="0.15">
      <c r="A22" s="78" t="s">
        <v>46</v>
      </c>
      <c r="B22" s="78" t="s">
        <v>160</v>
      </c>
      <c r="C22" s="169">
        <v>2020</v>
      </c>
      <c r="D22" s="170" t="s">
        <v>301</v>
      </c>
      <c r="E22" s="78" t="s">
        <v>307</v>
      </c>
      <c r="F22" s="78" t="s">
        <v>308</v>
      </c>
      <c r="G22" s="78" t="s">
        <v>25</v>
      </c>
      <c r="H22" s="78" t="s">
        <v>167</v>
      </c>
      <c r="I22" s="78" t="s">
        <v>111</v>
      </c>
      <c r="J22" s="78" t="s">
        <v>27</v>
      </c>
      <c r="K22" s="78" t="s">
        <v>112</v>
      </c>
      <c r="L22" s="78">
        <v>3</v>
      </c>
      <c r="N22" s="78">
        <v>1</v>
      </c>
      <c r="O22" s="78">
        <v>0.86</v>
      </c>
      <c r="P22" s="78">
        <v>0.83</v>
      </c>
      <c r="Q22" s="44">
        <f t="shared" si="2"/>
        <v>0.84499999999999997</v>
      </c>
      <c r="R22" s="78">
        <v>14.8</v>
      </c>
      <c r="S22" s="78">
        <v>146</v>
      </c>
      <c r="T22" s="16">
        <f t="shared" si="0"/>
        <v>22</v>
      </c>
      <c r="U22" s="78">
        <v>148</v>
      </c>
      <c r="V22" s="16">
        <f t="shared" si="1"/>
        <v>22</v>
      </c>
      <c r="W22" s="78">
        <v>1</v>
      </c>
      <c r="X22" s="78" t="s">
        <v>28</v>
      </c>
      <c r="Y22" s="78" t="s">
        <v>76</v>
      </c>
      <c r="Z22" s="78" t="s">
        <v>72</v>
      </c>
      <c r="AA22" s="78" t="s">
        <v>55</v>
      </c>
      <c r="AB22" s="78" t="s">
        <v>161</v>
      </c>
      <c r="AP22" s="27" t="s">
        <v>338</v>
      </c>
      <c r="AR22" s="81" t="s">
        <v>69</v>
      </c>
      <c r="AV22" s="27" t="s">
        <v>339</v>
      </c>
    </row>
    <row r="23" spans="1:48" x14ac:dyDescent="0.15">
      <c r="A23" s="78" t="s">
        <v>46</v>
      </c>
      <c r="B23" s="78" t="s">
        <v>160</v>
      </c>
      <c r="C23" s="169">
        <v>2020</v>
      </c>
      <c r="D23" s="170" t="s">
        <v>301</v>
      </c>
      <c r="E23" s="78" t="s">
        <v>307</v>
      </c>
      <c r="F23" s="78" t="s">
        <v>308</v>
      </c>
      <c r="G23" s="78" t="s">
        <v>25</v>
      </c>
      <c r="H23" s="78" t="s">
        <v>113</v>
      </c>
      <c r="I23" s="78" t="s">
        <v>111</v>
      </c>
      <c r="J23" s="78" t="s">
        <v>27</v>
      </c>
      <c r="K23" s="78" t="s">
        <v>112</v>
      </c>
      <c r="L23" s="78">
        <v>1</v>
      </c>
      <c r="N23" s="78">
        <v>4</v>
      </c>
      <c r="O23" s="78">
        <v>0.49</v>
      </c>
      <c r="P23" s="78">
        <v>0.46</v>
      </c>
      <c r="Q23" s="44">
        <f t="shared" si="2"/>
        <v>0.47499999999999998</v>
      </c>
      <c r="R23" s="78">
        <v>14.5</v>
      </c>
      <c r="S23" s="78">
        <v>101</v>
      </c>
      <c r="T23" s="16">
        <f t="shared" si="0"/>
        <v>33</v>
      </c>
      <c r="U23" s="78">
        <v>298</v>
      </c>
      <c r="V23" s="16">
        <f t="shared" si="1"/>
        <v>16</v>
      </c>
      <c r="W23" s="78">
        <v>1</v>
      </c>
      <c r="X23" s="78" t="s">
        <v>35</v>
      </c>
      <c r="Y23" s="78" t="s">
        <v>76</v>
      </c>
      <c r="Z23" s="78" t="s">
        <v>72</v>
      </c>
      <c r="AA23" s="78" t="s">
        <v>55</v>
      </c>
      <c r="AB23" s="78" t="s">
        <v>161</v>
      </c>
      <c r="AP23" s="27" t="s">
        <v>116</v>
      </c>
      <c r="AR23" s="81" t="s">
        <v>48</v>
      </c>
      <c r="AV23" s="27" t="s">
        <v>340</v>
      </c>
    </row>
    <row r="24" spans="1:48" x14ac:dyDescent="0.15">
      <c r="A24" s="78" t="s">
        <v>46</v>
      </c>
      <c r="B24" s="78" t="s">
        <v>160</v>
      </c>
      <c r="C24" s="169">
        <v>2020</v>
      </c>
      <c r="D24" s="170" t="s">
        <v>301</v>
      </c>
      <c r="E24" s="78" t="s">
        <v>307</v>
      </c>
      <c r="F24" s="78" t="s">
        <v>308</v>
      </c>
      <c r="G24" s="78" t="s">
        <v>25</v>
      </c>
      <c r="H24" s="78" t="s">
        <v>113</v>
      </c>
      <c r="I24" s="78" t="s">
        <v>111</v>
      </c>
      <c r="J24" s="78" t="s">
        <v>27</v>
      </c>
      <c r="K24" s="78" t="s">
        <v>112</v>
      </c>
      <c r="L24" s="78">
        <v>2</v>
      </c>
      <c r="N24" s="78">
        <v>4</v>
      </c>
      <c r="O24" s="78">
        <v>0.49</v>
      </c>
      <c r="P24" s="78">
        <v>0.48</v>
      </c>
      <c r="Q24" s="44">
        <f t="shared" si="2"/>
        <v>0.48499999999999999</v>
      </c>
      <c r="R24" s="78">
        <v>14</v>
      </c>
      <c r="S24" s="78">
        <v>99</v>
      </c>
      <c r="T24" s="16">
        <f t="shared" si="0"/>
        <v>33</v>
      </c>
      <c r="U24" s="78">
        <v>298</v>
      </c>
      <c r="V24" s="16">
        <f t="shared" si="1"/>
        <v>16</v>
      </c>
      <c r="W24" s="78">
        <v>1</v>
      </c>
      <c r="X24" s="78" t="s">
        <v>35</v>
      </c>
      <c r="Y24" s="78" t="s">
        <v>76</v>
      </c>
      <c r="Z24" s="78" t="s">
        <v>72</v>
      </c>
      <c r="AA24" s="78" t="s">
        <v>55</v>
      </c>
      <c r="AB24" s="78" t="s">
        <v>161</v>
      </c>
      <c r="AP24" s="27" t="s">
        <v>117</v>
      </c>
      <c r="AR24" s="81" t="s">
        <v>77</v>
      </c>
      <c r="AV24" s="27" t="s">
        <v>341</v>
      </c>
    </row>
    <row r="25" spans="1:48" x14ac:dyDescent="0.15">
      <c r="A25" s="78" t="s">
        <v>46</v>
      </c>
      <c r="B25" s="78" t="s">
        <v>160</v>
      </c>
      <c r="C25" s="169">
        <v>2020</v>
      </c>
      <c r="D25" s="170" t="s">
        <v>301</v>
      </c>
      <c r="E25" s="78" t="s">
        <v>307</v>
      </c>
      <c r="F25" s="78" t="s">
        <v>308</v>
      </c>
      <c r="G25" s="78" t="s">
        <v>25</v>
      </c>
      <c r="H25" s="78" t="s">
        <v>113</v>
      </c>
      <c r="I25" s="78" t="s">
        <v>111</v>
      </c>
      <c r="J25" s="78" t="s">
        <v>27</v>
      </c>
      <c r="K25" s="78" t="s">
        <v>112</v>
      </c>
      <c r="L25" s="78">
        <v>3</v>
      </c>
      <c r="N25" s="78">
        <v>4</v>
      </c>
      <c r="O25" s="78">
        <v>0.57999999999999996</v>
      </c>
      <c r="P25" s="78">
        <v>0.49</v>
      </c>
      <c r="Q25" s="44">
        <f t="shared" si="2"/>
        <v>0.53499999999999992</v>
      </c>
      <c r="R25" s="78">
        <v>13.8</v>
      </c>
      <c r="S25" s="78">
        <v>107</v>
      </c>
      <c r="T25" s="16">
        <f t="shared" si="0"/>
        <v>33</v>
      </c>
      <c r="U25" s="78">
        <v>298</v>
      </c>
      <c r="V25" s="16">
        <f t="shared" si="1"/>
        <v>16</v>
      </c>
      <c r="W25" s="78">
        <v>1</v>
      </c>
      <c r="X25" s="78" t="s">
        <v>35</v>
      </c>
      <c r="Y25" s="78" t="s">
        <v>76</v>
      </c>
      <c r="Z25" s="78" t="s">
        <v>72</v>
      </c>
      <c r="AA25" s="78" t="s">
        <v>55</v>
      </c>
      <c r="AB25" s="78" t="s">
        <v>161</v>
      </c>
      <c r="AP25" s="27" t="s">
        <v>99</v>
      </c>
      <c r="AR25" s="27" t="s">
        <v>78</v>
      </c>
      <c r="AV25" s="27" t="s">
        <v>342</v>
      </c>
    </row>
    <row r="26" spans="1:48" x14ac:dyDescent="0.15">
      <c r="A26" s="78" t="s">
        <v>46</v>
      </c>
      <c r="B26" s="78" t="s">
        <v>160</v>
      </c>
      <c r="C26" s="169">
        <v>2020</v>
      </c>
      <c r="D26" s="170" t="s">
        <v>301</v>
      </c>
      <c r="E26" s="78" t="s">
        <v>307</v>
      </c>
      <c r="F26" s="78" t="s">
        <v>308</v>
      </c>
      <c r="G26" s="78" t="s">
        <v>25</v>
      </c>
      <c r="H26" s="78" t="s">
        <v>113</v>
      </c>
      <c r="I26" s="78" t="s">
        <v>111</v>
      </c>
      <c r="J26" s="78" t="s">
        <v>27</v>
      </c>
      <c r="K26" s="78" t="s">
        <v>112</v>
      </c>
      <c r="L26" s="78">
        <v>1</v>
      </c>
      <c r="N26" s="78">
        <v>1</v>
      </c>
      <c r="O26" s="78">
        <v>0.28999999999999998</v>
      </c>
      <c r="P26" s="78">
        <v>0.33</v>
      </c>
      <c r="Q26" s="44">
        <f t="shared" si="2"/>
        <v>0.31</v>
      </c>
      <c r="R26" s="78">
        <v>14.7</v>
      </c>
      <c r="S26" s="78">
        <v>139</v>
      </c>
      <c r="T26" s="16">
        <f t="shared" si="0"/>
        <v>22</v>
      </c>
      <c r="U26" s="78">
        <v>148</v>
      </c>
      <c r="V26" s="16">
        <f t="shared" si="1"/>
        <v>22</v>
      </c>
      <c r="W26" s="78">
        <v>1</v>
      </c>
      <c r="X26" s="78" t="s">
        <v>28</v>
      </c>
      <c r="Y26" s="78" t="s">
        <v>76</v>
      </c>
      <c r="Z26" s="78" t="s">
        <v>72</v>
      </c>
      <c r="AA26" s="78" t="s">
        <v>55</v>
      </c>
      <c r="AB26" s="78" t="s">
        <v>161</v>
      </c>
      <c r="AP26" s="27" t="s">
        <v>100</v>
      </c>
      <c r="AR26" s="27" t="s">
        <v>343</v>
      </c>
      <c r="AV26" s="27"/>
    </row>
    <row r="27" spans="1:48" x14ac:dyDescent="0.15">
      <c r="A27" s="78" t="s">
        <v>46</v>
      </c>
      <c r="B27" s="78" t="s">
        <v>160</v>
      </c>
      <c r="C27" s="169">
        <v>2020</v>
      </c>
      <c r="D27" s="170" t="s">
        <v>301</v>
      </c>
      <c r="E27" s="78" t="s">
        <v>307</v>
      </c>
      <c r="F27" s="78" t="s">
        <v>308</v>
      </c>
      <c r="G27" s="78" t="s">
        <v>25</v>
      </c>
      <c r="H27" s="78" t="s">
        <v>113</v>
      </c>
      <c r="I27" s="78" t="s">
        <v>111</v>
      </c>
      <c r="J27" s="78" t="s">
        <v>27</v>
      </c>
      <c r="K27" s="78" t="s">
        <v>112</v>
      </c>
      <c r="L27" s="78">
        <v>2</v>
      </c>
      <c r="N27" s="78">
        <v>1</v>
      </c>
      <c r="O27" s="78">
        <v>0.5</v>
      </c>
      <c r="P27" s="78">
        <v>0.55000000000000004</v>
      </c>
      <c r="Q27" s="44">
        <f t="shared" si="2"/>
        <v>0.52500000000000002</v>
      </c>
      <c r="R27" s="78">
        <v>13.8</v>
      </c>
      <c r="S27" s="78">
        <v>136</v>
      </c>
      <c r="T27" s="16">
        <f t="shared" si="0"/>
        <v>25</v>
      </c>
      <c r="U27" s="78">
        <v>148</v>
      </c>
      <c r="V27" s="16">
        <f t="shared" si="1"/>
        <v>22</v>
      </c>
      <c r="W27" s="78">
        <v>1</v>
      </c>
      <c r="X27" s="78" t="s">
        <v>28</v>
      </c>
      <c r="Y27" s="78" t="s">
        <v>76</v>
      </c>
      <c r="Z27" s="78" t="s">
        <v>72</v>
      </c>
      <c r="AA27" s="78" t="s">
        <v>55</v>
      </c>
      <c r="AB27" s="78" t="s">
        <v>161</v>
      </c>
      <c r="AP27" s="27" t="s">
        <v>101</v>
      </c>
      <c r="AR27" s="81" t="s">
        <v>138</v>
      </c>
      <c r="AV27" s="27"/>
    </row>
    <row r="28" spans="1:48" x14ac:dyDescent="0.15">
      <c r="A28" s="78" t="s">
        <v>46</v>
      </c>
      <c r="B28" s="78" t="s">
        <v>160</v>
      </c>
      <c r="C28" s="169">
        <v>2020</v>
      </c>
      <c r="D28" s="170" t="s">
        <v>301</v>
      </c>
      <c r="E28" s="78" t="s">
        <v>307</v>
      </c>
      <c r="F28" s="78" t="s">
        <v>308</v>
      </c>
      <c r="G28" s="78" t="s">
        <v>25</v>
      </c>
      <c r="H28" s="78" t="s">
        <v>113</v>
      </c>
      <c r="I28" s="78" t="s">
        <v>111</v>
      </c>
      <c r="J28" s="78" t="s">
        <v>27</v>
      </c>
      <c r="K28" s="78" t="s">
        <v>112</v>
      </c>
      <c r="L28" s="78">
        <v>3</v>
      </c>
      <c r="N28" s="78">
        <v>1</v>
      </c>
      <c r="O28" s="78">
        <v>0.53</v>
      </c>
      <c r="P28" s="78">
        <v>0.56000000000000005</v>
      </c>
      <c r="Q28" s="44">
        <f t="shared" si="2"/>
        <v>0.54500000000000004</v>
      </c>
      <c r="R28" s="78">
        <v>13.7</v>
      </c>
      <c r="S28" s="78">
        <v>135</v>
      </c>
      <c r="T28" s="16">
        <f t="shared" si="0"/>
        <v>25</v>
      </c>
      <c r="U28" s="78">
        <v>148</v>
      </c>
      <c r="V28" s="16">
        <f t="shared" si="1"/>
        <v>22</v>
      </c>
      <c r="W28" s="78">
        <v>1</v>
      </c>
      <c r="X28" s="78" t="s">
        <v>28</v>
      </c>
      <c r="Y28" s="78" t="s">
        <v>76</v>
      </c>
      <c r="Z28" s="78" t="s">
        <v>72</v>
      </c>
      <c r="AA28" s="78" t="s">
        <v>55</v>
      </c>
      <c r="AB28" s="78" t="s">
        <v>161</v>
      </c>
      <c r="AP28" s="27" t="s">
        <v>156</v>
      </c>
      <c r="AR28" s="81" t="s">
        <v>159</v>
      </c>
      <c r="AV28" s="27"/>
    </row>
    <row r="29" spans="1:48" x14ac:dyDescent="0.15">
      <c r="A29" s="78" t="s">
        <v>46</v>
      </c>
      <c r="B29" s="78" t="s">
        <v>160</v>
      </c>
      <c r="C29" s="169">
        <v>2020</v>
      </c>
      <c r="D29" s="170" t="s">
        <v>301</v>
      </c>
      <c r="E29" s="78" t="s">
        <v>304</v>
      </c>
      <c r="F29" s="78" t="s">
        <v>305</v>
      </c>
      <c r="G29" s="78" t="s">
        <v>25</v>
      </c>
      <c r="H29" s="78" t="s">
        <v>167</v>
      </c>
      <c r="I29" s="78" t="s">
        <v>111</v>
      </c>
      <c r="J29" s="78" t="s">
        <v>27</v>
      </c>
      <c r="K29" s="78" t="s">
        <v>112</v>
      </c>
      <c r="L29" s="78">
        <v>1</v>
      </c>
      <c r="N29" s="78">
        <v>4</v>
      </c>
      <c r="O29" s="78">
        <v>0.42</v>
      </c>
      <c r="P29" s="78">
        <v>0.42</v>
      </c>
      <c r="Q29" s="44">
        <f t="shared" si="2"/>
        <v>0.42</v>
      </c>
      <c r="R29" s="78">
        <v>16.5</v>
      </c>
      <c r="S29" s="78">
        <v>97</v>
      </c>
      <c r="T29" s="16">
        <f t="shared" si="0"/>
        <v>36</v>
      </c>
      <c r="U29" s="78">
        <v>377</v>
      </c>
      <c r="V29" s="16">
        <f t="shared" si="1"/>
        <v>16</v>
      </c>
      <c r="W29" s="78">
        <v>5</v>
      </c>
      <c r="X29" s="78" t="s">
        <v>28</v>
      </c>
      <c r="Y29" s="78" t="s">
        <v>76</v>
      </c>
      <c r="Z29" s="78" t="s">
        <v>55</v>
      </c>
      <c r="AA29" s="78" t="s">
        <v>82</v>
      </c>
      <c r="AB29" s="78" t="s">
        <v>161</v>
      </c>
      <c r="AP29" s="27" t="s">
        <v>157</v>
      </c>
      <c r="AR29" s="81" t="s">
        <v>158</v>
      </c>
      <c r="AV29" s="27"/>
    </row>
    <row r="30" spans="1:48" x14ac:dyDescent="0.15">
      <c r="A30" s="78" t="s">
        <v>46</v>
      </c>
      <c r="B30" s="78" t="s">
        <v>160</v>
      </c>
      <c r="C30" s="169">
        <v>2020</v>
      </c>
      <c r="D30" s="170" t="s">
        <v>301</v>
      </c>
      <c r="E30" s="78" t="s">
        <v>304</v>
      </c>
      <c r="F30" s="78" t="s">
        <v>305</v>
      </c>
      <c r="G30" s="78" t="s">
        <v>25</v>
      </c>
      <c r="H30" s="78" t="s">
        <v>167</v>
      </c>
      <c r="I30" s="78" t="s">
        <v>111</v>
      </c>
      <c r="J30" s="78" t="s">
        <v>27</v>
      </c>
      <c r="K30" s="78" t="s">
        <v>112</v>
      </c>
      <c r="L30" s="78">
        <v>2</v>
      </c>
      <c r="N30" s="78">
        <v>4</v>
      </c>
      <c r="O30" s="78">
        <v>0.33</v>
      </c>
      <c r="P30" s="78">
        <v>0.34</v>
      </c>
      <c r="Q30" s="44">
        <f t="shared" si="2"/>
        <v>0.33500000000000002</v>
      </c>
      <c r="R30" s="78">
        <v>16.600000000000001</v>
      </c>
      <c r="S30" s="78">
        <v>89</v>
      </c>
      <c r="T30" s="16">
        <f t="shared" si="0"/>
        <v>36</v>
      </c>
      <c r="U30" s="78">
        <v>377</v>
      </c>
      <c r="V30" s="16">
        <f t="shared" si="1"/>
        <v>16</v>
      </c>
      <c r="W30" s="78">
        <v>5</v>
      </c>
      <c r="X30" s="78" t="s">
        <v>28</v>
      </c>
      <c r="Y30" s="78" t="s">
        <v>76</v>
      </c>
      <c r="Z30" s="78" t="s">
        <v>55</v>
      </c>
      <c r="AA30" s="78" t="s">
        <v>82</v>
      </c>
      <c r="AB30" s="78" t="s">
        <v>161</v>
      </c>
      <c r="AR30" s="28"/>
      <c r="AV30" s="27"/>
    </row>
    <row r="31" spans="1:48" x14ac:dyDescent="0.15">
      <c r="A31" s="78" t="s">
        <v>46</v>
      </c>
      <c r="B31" s="78" t="s">
        <v>160</v>
      </c>
      <c r="C31" s="169">
        <v>2020</v>
      </c>
      <c r="D31" s="170" t="s">
        <v>301</v>
      </c>
      <c r="E31" s="78" t="s">
        <v>304</v>
      </c>
      <c r="F31" s="78" t="s">
        <v>305</v>
      </c>
      <c r="G31" s="78" t="s">
        <v>25</v>
      </c>
      <c r="H31" s="78" t="s">
        <v>167</v>
      </c>
      <c r="I31" s="78" t="s">
        <v>111</v>
      </c>
      <c r="J31" s="78" t="s">
        <v>27</v>
      </c>
      <c r="K31" s="78" t="s">
        <v>112</v>
      </c>
      <c r="L31" s="78">
        <v>3</v>
      </c>
      <c r="N31" s="78">
        <v>4</v>
      </c>
      <c r="O31" s="78">
        <v>0.32</v>
      </c>
      <c r="P31" s="78">
        <v>0.35</v>
      </c>
      <c r="Q31" s="44">
        <f t="shared" si="2"/>
        <v>0.33499999999999996</v>
      </c>
      <c r="R31" s="78">
        <v>16.899999999999999</v>
      </c>
      <c r="S31" s="78">
        <v>91</v>
      </c>
      <c r="T31" s="16">
        <f t="shared" si="0"/>
        <v>36</v>
      </c>
      <c r="U31" s="78">
        <v>377</v>
      </c>
      <c r="V31" s="16">
        <f t="shared" si="1"/>
        <v>16</v>
      </c>
      <c r="W31" s="78">
        <v>5</v>
      </c>
      <c r="X31" s="78" t="s">
        <v>28</v>
      </c>
      <c r="Y31" s="78" t="s">
        <v>76</v>
      </c>
      <c r="Z31" s="78" t="s">
        <v>55</v>
      </c>
      <c r="AA31" s="78" t="s">
        <v>82</v>
      </c>
      <c r="AB31" s="78" t="s">
        <v>161</v>
      </c>
      <c r="AV31" s="27"/>
    </row>
    <row r="32" spans="1:48" x14ac:dyDescent="0.15">
      <c r="A32" s="78" t="s">
        <v>46</v>
      </c>
      <c r="B32" s="78" t="s">
        <v>160</v>
      </c>
      <c r="C32" s="169">
        <v>2020</v>
      </c>
      <c r="D32" s="170" t="s">
        <v>301</v>
      </c>
      <c r="E32" s="78" t="s">
        <v>304</v>
      </c>
      <c r="F32" s="78" t="s">
        <v>305</v>
      </c>
      <c r="G32" s="78" t="s">
        <v>25</v>
      </c>
      <c r="H32" s="78" t="s">
        <v>167</v>
      </c>
      <c r="I32" s="78" t="s">
        <v>111</v>
      </c>
      <c r="J32" s="78" t="s">
        <v>27</v>
      </c>
      <c r="K32" s="78" t="s">
        <v>112</v>
      </c>
      <c r="L32" s="78">
        <v>1</v>
      </c>
      <c r="N32" s="78">
        <v>1</v>
      </c>
      <c r="O32" s="78">
        <v>0.41</v>
      </c>
      <c r="P32" s="78">
        <v>0.39</v>
      </c>
      <c r="Q32" s="44">
        <f t="shared" si="2"/>
        <v>0.4</v>
      </c>
      <c r="R32" s="78">
        <v>18.3</v>
      </c>
      <c r="S32" s="78">
        <v>140</v>
      </c>
      <c r="T32" s="16">
        <f t="shared" si="0"/>
        <v>22</v>
      </c>
      <c r="U32" s="78">
        <v>97</v>
      </c>
      <c r="V32" s="16">
        <f t="shared" si="1"/>
        <v>36</v>
      </c>
      <c r="W32" s="78">
        <v>6</v>
      </c>
      <c r="X32" s="78" t="s">
        <v>35</v>
      </c>
      <c r="Y32" s="78" t="s">
        <v>76</v>
      </c>
      <c r="Z32" s="78" t="s">
        <v>55</v>
      </c>
      <c r="AA32" s="78" t="s">
        <v>82</v>
      </c>
      <c r="AB32" s="78" t="s">
        <v>161</v>
      </c>
      <c r="AV32" s="27"/>
    </row>
    <row r="33" spans="1:48" x14ac:dyDescent="0.15">
      <c r="A33" s="78" t="s">
        <v>46</v>
      </c>
      <c r="B33" s="78" t="s">
        <v>160</v>
      </c>
      <c r="C33" s="169">
        <v>2020</v>
      </c>
      <c r="D33" s="170" t="s">
        <v>301</v>
      </c>
      <c r="E33" s="78" t="s">
        <v>304</v>
      </c>
      <c r="F33" s="78" t="s">
        <v>305</v>
      </c>
      <c r="G33" s="78" t="s">
        <v>25</v>
      </c>
      <c r="H33" s="78" t="s">
        <v>167</v>
      </c>
      <c r="I33" s="78" t="s">
        <v>111</v>
      </c>
      <c r="J33" s="78" t="s">
        <v>27</v>
      </c>
      <c r="K33" s="78" t="s">
        <v>112</v>
      </c>
      <c r="L33" s="78">
        <v>2</v>
      </c>
      <c r="N33" s="78">
        <v>1</v>
      </c>
      <c r="O33" s="78">
        <v>0.52</v>
      </c>
      <c r="P33" s="78">
        <v>0.56999999999999995</v>
      </c>
      <c r="Q33" s="44">
        <f t="shared" si="2"/>
        <v>0.54499999999999993</v>
      </c>
      <c r="R33" s="78">
        <v>17.5</v>
      </c>
      <c r="S33" s="78">
        <v>150</v>
      </c>
      <c r="T33" s="16">
        <f t="shared" si="0"/>
        <v>22</v>
      </c>
      <c r="U33" s="78">
        <v>97</v>
      </c>
      <c r="V33" s="16">
        <f t="shared" si="1"/>
        <v>36</v>
      </c>
      <c r="W33" s="78">
        <v>6</v>
      </c>
      <c r="X33" s="78" t="s">
        <v>35</v>
      </c>
      <c r="Y33" s="78" t="s">
        <v>76</v>
      </c>
      <c r="Z33" s="78" t="s">
        <v>55</v>
      </c>
      <c r="AA33" s="78" t="s">
        <v>82</v>
      </c>
      <c r="AB33" s="78" t="s">
        <v>161</v>
      </c>
      <c r="AV33" s="27"/>
    </row>
    <row r="34" spans="1:48" x14ac:dyDescent="0.15">
      <c r="A34" s="78" t="s">
        <v>46</v>
      </c>
      <c r="B34" s="78" t="s">
        <v>160</v>
      </c>
      <c r="C34" s="169">
        <v>2020</v>
      </c>
      <c r="D34" s="170" t="s">
        <v>301</v>
      </c>
      <c r="E34" s="78" t="s">
        <v>304</v>
      </c>
      <c r="F34" s="78" t="s">
        <v>305</v>
      </c>
      <c r="G34" s="78" t="s">
        <v>25</v>
      </c>
      <c r="H34" s="78" t="s">
        <v>167</v>
      </c>
      <c r="I34" s="78" t="s">
        <v>111</v>
      </c>
      <c r="J34" s="78" t="s">
        <v>27</v>
      </c>
      <c r="K34" s="78" t="s">
        <v>112</v>
      </c>
      <c r="L34" s="78">
        <v>3</v>
      </c>
      <c r="N34" s="78">
        <v>1</v>
      </c>
      <c r="O34" s="78">
        <v>0.42</v>
      </c>
      <c r="P34" s="78">
        <v>0.38</v>
      </c>
      <c r="Q34" s="44">
        <f t="shared" si="2"/>
        <v>0.4</v>
      </c>
      <c r="R34" s="78">
        <v>18</v>
      </c>
      <c r="S34" s="78">
        <v>144</v>
      </c>
      <c r="T34" s="16">
        <f t="shared" si="0"/>
        <v>22</v>
      </c>
      <c r="U34" s="78">
        <v>97</v>
      </c>
      <c r="V34" s="16">
        <f t="shared" si="1"/>
        <v>36</v>
      </c>
      <c r="W34" s="78">
        <v>6</v>
      </c>
      <c r="X34" s="78" t="s">
        <v>35</v>
      </c>
      <c r="Y34" s="78" t="s">
        <v>76</v>
      </c>
      <c r="Z34" s="78" t="s">
        <v>55</v>
      </c>
      <c r="AA34" s="78" t="s">
        <v>82</v>
      </c>
      <c r="AB34" s="78" t="s">
        <v>161</v>
      </c>
      <c r="AV34" s="27"/>
    </row>
    <row r="35" spans="1:48" x14ac:dyDescent="0.15">
      <c r="A35" s="78" t="s">
        <v>46</v>
      </c>
      <c r="B35" s="78" t="s">
        <v>160</v>
      </c>
      <c r="C35" s="169">
        <v>2020</v>
      </c>
      <c r="D35" s="170" t="s">
        <v>301</v>
      </c>
      <c r="E35" s="78" t="s">
        <v>304</v>
      </c>
      <c r="F35" s="78" t="s">
        <v>305</v>
      </c>
      <c r="G35" s="78" t="s">
        <v>25</v>
      </c>
      <c r="H35" s="78" t="s">
        <v>113</v>
      </c>
      <c r="I35" s="78" t="s">
        <v>111</v>
      </c>
      <c r="J35" s="78" t="s">
        <v>27</v>
      </c>
      <c r="K35" s="78" t="s">
        <v>112</v>
      </c>
      <c r="L35" s="78">
        <v>1</v>
      </c>
      <c r="N35" s="78">
        <v>8</v>
      </c>
      <c r="O35" s="78">
        <v>0.47</v>
      </c>
      <c r="P35" s="78">
        <v>0.55000000000000004</v>
      </c>
      <c r="Q35" s="44">
        <f t="shared" si="2"/>
        <v>0.51</v>
      </c>
      <c r="R35" s="78">
        <v>15.1</v>
      </c>
      <c r="S35" s="78">
        <v>75</v>
      </c>
      <c r="T35" s="16">
        <f t="shared" si="0"/>
        <v>42</v>
      </c>
      <c r="U35" s="78">
        <v>397</v>
      </c>
      <c r="V35" s="16">
        <f t="shared" si="1"/>
        <v>16</v>
      </c>
      <c r="W35" s="78">
        <v>4</v>
      </c>
      <c r="X35" s="78" t="s">
        <v>35</v>
      </c>
      <c r="Y35" s="78" t="s">
        <v>76</v>
      </c>
      <c r="Z35" s="78" t="s">
        <v>55</v>
      </c>
      <c r="AA35" s="78" t="s">
        <v>82</v>
      </c>
      <c r="AB35" s="78" t="s">
        <v>161</v>
      </c>
      <c r="AV35" s="27"/>
    </row>
    <row r="36" spans="1:48" x14ac:dyDescent="0.15">
      <c r="A36" s="78" t="s">
        <v>46</v>
      </c>
      <c r="B36" s="78" t="s">
        <v>160</v>
      </c>
      <c r="C36" s="169">
        <v>2020</v>
      </c>
      <c r="D36" s="170" t="s">
        <v>301</v>
      </c>
      <c r="E36" s="78" t="s">
        <v>304</v>
      </c>
      <c r="F36" s="78" t="s">
        <v>305</v>
      </c>
      <c r="G36" s="78" t="s">
        <v>25</v>
      </c>
      <c r="H36" s="78" t="s">
        <v>113</v>
      </c>
      <c r="I36" s="78" t="s">
        <v>111</v>
      </c>
      <c r="J36" s="78" t="s">
        <v>27</v>
      </c>
      <c r="K36" s="78" t="s">
        <v>112</v>
      </c>
      <c r="L36" s="78">
        <v>2</v>
      </c>
      <c r="N36" s="78">
        <v>8</v>
      </c>
      <c r="O36" s="78">
        <v>0.26</v>
      </c>
      <c r="P36" s="78">
        <v>0.28999999999999998</v>
      </c>
      <c r="Q36" s="44">
        <f t="shared" si="2"/>
        <v>0.27500000000000002</v>
      </c>
      <c r="R36" s="78">
        <v>16</v>
      </c>
      <c r="S36" s="78">
        <v>80</v>
      </c>
      <c r="T36" s="16">
        <f t="shared" si="0"/>
        <v>39</v>
      </c>
      <c r="U36" s="78">
        <v>397</v>
      </c>
      <c r="V36" s="16">
        <f t="shared" si="1"/>
        <v>16</v>
      </c>
      <c r="W36" s="78">
        <v>4</v>
      </c>
      <c r="X36" s="78" t="s">
        <v>35</v>
      </c>
      <c r="Y36" s="78" t="s">
        <v>76</v>
      </c>
      <c r="Z36" s="78" t="s">
        <v>55</v>
      </c>
      <c r="AA36" s="78" t="s">
        <v>82</v>
      </c>
      <c r="AB36" s="78" t="s">
        <v>161</v>
      </c>
      <c r="AV36" s="27"/>
    </row>
    <row r="37" spans="1:48" x14ac:dyDescent="0.15">
      <c r="A37" s="78" t="s">
        <v>46</v>
      </c>
      <c r="B37" s="78" t="s">
        <v>160</v>
      </c>
      <c r="C37" s="169">
        <v>2020</v>
      </c>
      <c r="D37" s="170" t="s">
        <v>301</v>
      </c>
      <c r="E37" s="78" t="s">
        <v>304</v>
      </c>
      <c r="F37" s="78" t="s">
        <v>305</v>
      </c>
      <c r="G37" s="78" t="s">
        <v>25</v>
      </c>
      <c r="H37" s="78" t="s">
        <v>113</v>
      </c>
      <c r="I37" s="78" t="s">
        <v>111</v>
      </c>
      <c r="J37" s="78" t="s">
        <v>27</v>
      </c>
      <c r="K37" s="78" t="s">
        <v>112</v>
      </c>
      <c r="L37" s="78">
        <v>3</v>
      </c>
      <c r="N37" s="78">
        <v>8</v>
      </c>
      <c r="O37" s="78">
        <v>0.36</v>
      </c>
      <c r="P37" s="78">
        <v>0.4</v>
      </c>
      <c r="Q37" s="44">
        <f t="shared" si="2"/>
        <v>0.38</v>
      </c>
      <c r="R37" s="78">
        <v>13.8</v>
      </c>
      <c r="S37" s="78">
        <v>72</v>
      </c>
      <c r="T37" s="16">
        <f t="shared" si="0"/>
        <v>42</v>
      </c>
      <c r="U37" s="78">
        <v>397</v>
      </c>
      <c r="V37" s="16">
        <f t="shared" si="1"/>
        <v>16</v>
      </c>
      <c r="W37" s="78">
        <v>4</v>
      </c>
      <c r="X37" s="78" t="s">
        <v>35</v>
      </c>
      <c r="Y37" s="78" t="s">
        <v>76</v>
      </c>
      <c r="Z37" s="78" t="s">
        <v>55</v>
      </c>
      <c r="AA37" s="78" t="s">
        <v>82</v>
      </c>
      <c r="AB37" s="78" t="s">
        <v>161</v>
      </c>
      <c r="AV37" s="27"/>
    </row>
    <row r="38" spans="1:48" x14ac:dyDescent="0.15">
      <c r="A38" s="78" t="s">
        <v>46</v>
      </c>
      <c r="B38" s="78" t="s">
        <v>160</v>
      </c>
      <c r="C38" s="169">
        <v>2020</v>
      </c>
      <c r="D38" s="170" t="s">
        <v>301</v>
      </c>
      <c r="E38" s="78" t="s">
        <v>304</v>
      </c>
      <c r="F38" s="78" t="s">
        <v>305</v>
      </c>
      <c r="G38" s="78" t="s">
        <v>25</v>
      </c>
      <c r="H38" s="78" t="s">
        <v>113</v>
      </c>
      <c r="I38" s="78" t="s">
        <v>111</v>
      </c>
      <c r="J38" s="78" t="s">
        <v>27</v>
      </c>
      <c r="K38" s="78" t="s">
        <v>112</v>
      </c>
      <c r="L38" s="78">
        <v>1</v>
      </c>
      <c r="N38" s="78">
        <v>1</v>
      </c>
      <c r="O38" s="78">
        <v>0.21</v>
      </c>
      <c r="P38" s="78">
        <v>0.24</v>
      </c>
      <c r="Q38" s="44">
        <f t="shared" si="2"/>
        <v>0.22499999999999998</v>
      </c>
      <c r="R38" s="78">
        <v>17.899999999999999</v>
      </c>
      <c r="S38" s="78">
        <v>126</v>
      </c>
      <c r="T38" s="16">
        <f t="shared" si="0"/>
        <v>27</v>
      </c>
      <c r="U38" s="78">
        <v>97</v>
      </c>
      <c r="V38" s="16">
        <f t="shared" si="1"/>
        <v>36</v>
      </c>
      <c r="W38" s="78">
        <v>1</v>
      </c>
      <c r="X38" s="78" t="s">
        <v>35</v>
      </c>
      <c r="Y38" s="78" t="s">
        <v>76</v>
      </c>
      <c r="Z38" s="78" t="s">
        <v>55</v>
      </c>
      <c r="AA38" s="78" t="s">
        <v>82</v>
      </c>
      <c r="AB38" s="78" t="s">
        <v>161</v>
      </c>
      <c r="AV38" s="28"/>
    </row>
    <row r="39" spans="1:48" x14ac:dyDescent="0.15">
      <c r="A39" s="78" t="s">
        <v>46</v>
      </c>
      <c r="B39" s="78" t="s">
        <v>160</v>
      </c>
      <c r="C39" s="169">
        <v>2020</v>
      </c>
      <c r="D39" s="170" t="s">
        <v>301</v>
      </c>
      <c r="E39" s="78" t="s">
        <v>304</v>
      </c>
      <c r="F39" s="78" t="s">
        <v>305</v>
      </c>
      <c r="G39" s="78" t="s">
        <v>25</v>
      </c>
      <c r="H39" s="78" t="s">
        <v>113</v>
      </c>
      <c r="I39" s="78" t="s">
        <v>111</v>
      </c>
      <c r="J39" s="78" t="s">
        <v>27</v>
      </c>
      <c r="K39" s="78" t="s">
        <v>112</v>
      </c>
      <c r="L39" s="78">
        <v>2</v>
      </c>
      <c r="N39" s="78">
        <v>1</v>
      </c>
      <c r="O39" s="78">
        <v>0.28000000000000003</v>
      </c>
      <c r="P39" s="78">
        <v>0.33</v>
      </c>
      <c r="Q39" s="44">
        <f t="shared" si="2"/>
        <v>0.30500000000000005</v>
      </c>
      <c r="R39" s="78">
        <v>17.3</v>
      </c>
      <c r="S39" s="78">
        <v>130</v>
      </c>
      <c r="T39" s="16">
        <f t="shared" si="0"/>
        <v>25</v>
      </c>
      <c r="U39" s="78">
        <v>97</v>
      </c>
      <c r="V39" s="16">
        <f t="shared" si="1"/>
        <v>36</v>
      </c>
      <c r="W39" s="78">
        <v>1</v>
      </c>
      <c r="X39" s="78" t="s">
        <v>35</v>
      </c>
      <c r="Y39" s="78" t="s">
        <v>76</v>
      </c>
      <c r="Z39" s="78" t="s">
        <v>55</v>
      </c>
      <c r="AA39" s="78" t="s">
        <v>82</v>
      </c>
      <c r="AB39" s="78" t="s">
        <v>161</v>
      </c>
    </row>
    <row r="40" spans="1:48" x14ac:dyDescent="0.15">
      <c r="A40" s="78" t="s">
        <v>46</v>
      </c>
      <c r="B40" s="78" t="s">
        <v>160</v>
      </c>
      <c r="C40" s="169">
        <v>2020</v>
      </c>
      <c r="D40" s="170" t="s">
        <v>301</v>
      </c>
      <c r="E40" s="78" t="s">
        <v>304</v>
      </c>
      <c r="F40" s="78" t="s">
        <v>305</v>
      </c>
      <c r="G40" s="78" t="s">
        <v>25</v>
      </c>
      <c r="H40" s="78" t="s">
        <v>113</v>
      </c>
      <c r="I40" s="78" t="s">
        <v>111</v>
      </c>
      <c r="J40" s="78" t="s">
        <v>27</v>
      </c>
      <c r="K40" s="78" t="s">
        <v>112</v>
      </c>
      <c r="L40" s="78">
        <v>3</v>
      </c>
      <c r="N40" s="78">
        <v>1</v>
      </c>
      <c r="O40" s="78">
        <v>0.22</v>
      </c>
      <c r="P40" s="78">
        <v>0.22</v>
      </c>
      <c r="Q40" s="44">
        <f t="shared" si="2"/>
        <v>0.22</v>
      </c>
      <c r="R40" s="78">
        <v>16.100000000000001</v>
      </c>
      <c r="S40" s="78">
        <v>130</v>
      </c>
      <c r="T40" s="16">
        <f t="shared" si="0"/>
        <v>25</v>
      </c>
      <c r="U40" s="78">
        <v>97</v>
      </c>
      <c r="V40" s="16">
        <f t="shared" si="1"/>
        <v>36</v>
      </c>
      <c r="W40" s="78">
        <v>1</v>
      </c>
      <c r="X40" s="78" t="s">
        <v>35</v>
      </c>
      <c r="Y40" s="78" t="s">
        <v>76</v>
      </c>
      <c r="Z40" s="78" t="s">
        <v>55</v>
      </c>
      <c r="AA40" s="78" t="s">
        <v>82</v>
      </c>
      <c r="AB40" s="78" t="s">
        <v>161</v>
      </c>
    </row>
    <row r="41" spans="1:48" x14ac:dyDescent="0.15">
      <c r="A41" s="78" t="s">
        <v>46</v>
      </c>
      <c r="B41" s="78" t="s">
        <v>160</v>
      </c>
      <c r="C41" s="169">
        <v>2020</v>
      </c>
      <c r="D41" s="170" t="s">
        <v>301</v>
      </c>
      <c r="E41" s="78" t="s">
        <v>314</v>
      </c>
      <c r="F41" s="78" t="s">
        <v>315</v>
      </c>
      <c r="G41" s="78" t="s">
        <v>25</v>
      </c>
      <c r="H41" s="78" t="s">
        <v>167</v>
      </c>
      <c r="I41" s="78" t="s">
        <v>111</v>
      </c>
      <c r="J41" s="78" t="s">
        <v>27</v>
      </c>
      <c r="K41" s="78" t="s">
        <v>112</v>
      </c>
      <c r="L41" s="78">
        <v>1</v>
      </c>
      <c r="N41" s="78">
        <v>4</v>
      </c>
      <c r="O41" s="78">
        <v>0.24</v>
      </c>
      <c r="P41" s="78">
        <v>0.24</v>
      </c>
      <c r="Q41" s="44">
        <f t="shared" si="2"/>
        <v>0.24</v>
      </c>
      <c r="R41" s="78">
        <v>18.8</v>
      </c>
      <c r="S41" s="78">
        <v>105</v>
      </c>
      <c r="T41" s="16">
        <f t="shared" si="0"/>
        <v>33</v>
      </c>
      <c r="U41" s="78">
        <v>399</v>
      </c>
      <c r="V41" s="16">
        <f t="shared" si="1"/>
        <v>16</v>
      </c>
      <c r="W41" s="78">
        <v>4</v>
      </c>
      <c r="X41" s="78" t="s">
        <v>35</v>
      </c>
      <c r="Y41" s="78" t="s">
        <v>43</v>
      </c>
      <c r="Z41" s="78" t="s">
        <v>55</v>
      </c>
      <c r="AA41" s="78" t="s">
        <v>76</v>
      </c>
      <c r="AB41" s="78" t="s">
        <v>161</v>
      </c>
    </row>
    <row r="42" spans="1:48" x14ac:dyDescent="0.15">
      <c r="A42" s="78" t="s">
        <v>46</v>
      </c>
      <c r="B42" s="78" t="s">
        <v>160</v>
      </c>
      <c r="C42" s="169">
        <v>2020</v>
      </c>
      <c r="D42" s="170" t="s">
        <v>301</v>
      </c>
      <c r="E42" s="78" t="s">
        <v>314</v>
      </c>
      <c r="F42" s="78" t="s">
        <v>315</v>
      </c>
      <c r="G42" s="78" t="s">
        <v>25</v>
      </c>
      <c r="H42" s="78" t="s">
        <v>167</v>
      </c>
      <c r="I42" s="78" t="s">
        <v>111</v>
      </c>
      <c r="J42" s="78" t="s">
        <v>27</v>
      </c>
      <c r="K42" s="78" t="s">
        <v>112</v>
      </c>
      <c r="L42" s="78">
        <v>2</v>
      </c>
      <c r="N42" s="78">
        <v>4</v>
      </c>
      <c r="O42" s="78">
        <v>0.25</v>
      </c>
      <c r="P42" s="78">
        <v>0.26</v>
      </c>
      <c r="Q42" s="44">
        <f t="shared" si="2"/>
        <v>0.255</v>
      </c>
      <c r="R42" s="78">
        <v>17.600000000000001</v>
      </c>
      <c r="S42" s="78">
        <v>105</v>
      </c>
      <c r="T42" s="16">
        <f t="shared" si="0"/>
        <v>33</v>
      </c>
      <c r="U42" s="78">
        <v>399</v>
      </c>
      <c r="V42" s="16">
        <f t="shared" si="1"/>
        <v>16</v>
      </c>
      <c r="W42" s="78">
        <v>4</v>
      </c>
      <c r="X42" s="78" t="s">
        <v>35</v>
      </c>
      <c r="Y42" s="78" t="s">
        <v>43</v>
      </c>
      <c r="Z42" s="78" t="s">
        <v>55</v>
      </c>
      <c r="AA42" s="78" t="s">
        <v>76</v>
      </c>
      <c r="AB42" s="78" t="s">
        <v>161</v>
      </c>
    </row>
    <row r="43" spans="1:48" x14ac:dyDescent="0.15">
      <c r="A43" s="78" t="s">
        <v>46</v>
      </c>
      <c r="B43" s="78" t="s">
        <v>160</v>
      </c>
      <c r="C43" s="169">
        <v>2020</v>
      </c>
      <c r="D43" s="170" t="s">
        <v>301</v>
      </c>
      <c r="E43" s="78" t="s">
        <v>314</v>
      </c>
      <c r="F43" s="78" t="s">
        <v>315</v>
      </c>
      <c r="G43" s="78" t="s">
        <v>25</v>
      </c>
      <c r="H43" s="78" t="s">
        <v>167</v>
      </c>
      <c r="I43" s="78" t="s">
        <v>111</v>
      </c>
      <c r="J43" s="78" t="s">
        <v>27</v>
      </c>
      <c r="K43" s="78" t="s">
        <v>112</v>
      </c>
      <c r="L43" s="78">
        <v>3</v>
      </c>
      <c r="N43" s="78">
        <v>4</v>
      </c>
      <c r="O43" s="78">
        <v>0.25</v>
      </c>
      <c r="P43" s="78">
        <v>0.24</v>
      </c>
      <c r="Q43" s="44">
        <f t="shared" si="2"/>
        <v>0.245</v>
      </c>
      <c r="R43" s="78">
        <v>17.5</v>
      </c>
      <c r="S43" s="78">
        <v>95</v>
      </c>
      <c r="T43" s="16">
        <f t="shared" si="0"/>
        <v>36</v>
      </c>
      <c r="U43" s="78">
        <v>399</v>
      </c>
      <c r="V43" s="16">
        <f t="shared" si="1"/>
        <v>16</v>
      </c>
      <c r="W43" s="78">
        <v>4</v>
      </c>
      <c r="X43" s="78" t="s">
        <v>35</v>
      </c>
      <c r="Y43" s="78" t="s">
        <v>43</v>
      </c>
      <c r="Z43" s="78" t="s">
        <v>55</v>
      </c>
      <c r="AA43" s="78" t="s">
        <v>76</v>
      </c>
      <c r="AB43" s="78" t="s">
        <v>161</v>
      </c>
    </row>
    <row r="44" spans="1:48" x14ac:dyDescent="0.15">
      <c r="A44" s="78" t="s">
        <v>46</v>
      </c>
      <c r="B44" s="78" t="s">
        <v>160</v>
      </c>
      <c r="C44" s="169">
        <v>2020</v>
      </c>
      <c r="D44" s="170" t="s">
        <v>301</v>
      </c>
      <c r="E44" s="78" t="s">
        <v>314</v>
      </c>
      <c r="F44" s="78" t="s">
        <v>315</v>
      </c>
      <c r="G44" s="78" t="s">
        <v>25</v>
      </c>
      <c r="H44" s="78" t="s">
        <v>167</v>
      </c>
      <c r="I44" s="78" t="s">
        <v>111</v>
      </c>
      <c r="J44" s="78" t="s">
        <v>27</v>
      </c>
      <c r="K44" s="78" t="s">
        <v>112</v>
      </c>
      <c r="L44" s="78">
        <v>1</v>
      </c>
      <c r="N44" s="78">
        <v>2</v>
      </c>
      <c r="O44" s="78">
        <v>0.49</v>
      </c>
      <c r="P44" s="78">
        <v>0.52</v>
      </c>
      <c r="Q44" s="44">
        <f t="shared" si="2"/>
        <v>0.505</v>
      </c>
      <c r="R44" s="78">
        <v>15.4</v>
      </c>
      <c r="S44" s="78">
        <v>129</v>
      </c>
      <c r="T44" s="16">
        <f t="shared" si="0"/>
        <v>25</v>
      </c>
      <c r="U44" s="78">
        <v>269</v>
      </c>
      <c r="V44" s="16">
        <f t="shared" si="1"/>
        <v>16</v>
      </c>
      <c r="W44" s="78">
        <v>1</v>
      </c>
      <c r="X44" s="78" t="s">
        <v>35</v>
      </c>
      <c r="Y44" s="78" t="s">
        <v>43</v>
      </c>
      <c r="Z44" s="78" t="s">
        <v>55</v>
      </c>
      <c r="AA44" s="78" t="s">
        <v>76</v>
      </c>
      <c r="AB44" s="78" t="s">
        <v>161</v>
      </c>
    </row>
    <row r="45" spans="1:48" x14ac:dyDescent="0.15">
      <c r="A45" s="78" t="s">
        <v>46</v>
      </c>
      <c r="B45" s="78" t="s">
        <v>160</v>
      </c>
      <c r="C45" s="169">
        <v>2020</v>
      </c>
      <c r="D45" s="170" t="s">
        <v>301</v>
      </c>
      <c r="E45" s="78" t="s">
        <v>314</v>
      </c>
      <c r="F45" s="78" t="s">
        <v>315</v>
      </c>
      <c r="G45" s="78" t="s">
        <v>25</v>
      </c>
      <c r="H45" s="78" t="s">
        <v>167</v>
      </c>
      <c r="I45" s="78" t="s">
        <v>111</v>
      </c>
      <c r="J45" s="78" t="s">
        <v>27</v>
      </c>
      <c r="K45" s="78" t="s">
        <v>112</v>
      </c>
      <c r="L45" s="78">
        <v>2</v>
      </c>
      <c r="N45" s="78">
        <v>2</v>
      </c>
      <c r="O45" s="78">
        <v>0.47</v>
      </c>
      <c r="P45" s="78">
        <v>0.47</v>
      </c>
      <c r="Q45" s="44">
        <f t="shared" si="2"/>
        <v>0.47</v>
      </c>
      <c r="R45" s="78">
        <v>15.1</v>
      </c>
      <c r="S45" s="78">
        <v>130</v>
      </c>
      <c r="T45" s="16">
        <f t="shared" si="0"/>
        <v>25</v>
      </c>
      <c r="U45" s="78">
        <v>269</v>
      </c>
      <c r="V45" s="16">
        <f t="shared" si="1"/>
        <v>16</v>
      </c>
      <c r="W45" s="78">
        <v>1</v>
      </c>
      <c r="X45" s="78" t="s">
        <v>35</v>
      </c>
      <c r="Y45" s="78" t="s">
        <v>43</v>
      </c>
      <c r="Z45" s="78" t="s">
        <v>55</v>
      </c>
      <c r="AA45" s="78" t="s">
        <v>76</v>
      </c>
      <c r="AB45" s="78" t="s">
        <v>161</v>
      </c>
    </row>
    <row r="46" spans="1:48" x14ac:dyDescent="0.15">
      <c r="A46" s="78" t="s">
        <v>46</v>
      </c>
      <c r="B46" s="78" t="s">
        <v>160</v>
      </c>
      <c r="C46" s="169">
        <v>2020</v>
      </c>
      <c r="D46" s="170" t="s">
        <v>301</v>
      </c>
      <c r="E46" s="78" t="s">
        <v>314</v>
      </c>
      <c r="F46" s="78" t="s">
        <v>315</v>
      </c>
      <c r="G46" s="78" t="s">
        <v>25</v>
      </c>
      <c r="H46" s="78" t="s">
        <v>167</v>
      </c>
      <c r="I46" s="78" t="s">
        <v>111</v>
      </c>
      <c r="J46" s="78" t="s">
        <v>27</v>
      </c>
      <c r="K46" s="78" t="s">
        <v>112</v>
      </c>
      <c r="L46" s="78">
        <v>3</v>
      </c>
      <c r="N46" s="78">
        <v>2</v>
      </c>
      <c r="O46" s="78">
        <v>0.49</v>
      </c>
      <c r="P46" s="78">
        <v>0.53</v>
      </c>
      <c r="Q46" s="44">
        <f t="shared" si="2"/>
        <v>0.51</v>
      </c>
      <c r="R46" s="78">
        <v>15.6</v>
      </c>
      <c r="S46" s="78">
        <v>124</v>
      </c>
      <c r="T46" s="16">
        <f t="shared" si="0"/>
        <v>27</v>
      </c>
      <c r="U46" s="78">
        <v>269</v>
      </c>
      <c r="V46" s="16">
        <f t="shared" si="1"/>
        <v>16</v>
      </c>
      <c r="W46" s="78">
        <v>1</v>
      </c>
      <c r="X46" s="78" t="s">
        <v>35</v>
      </c>
      <c r="Y46" s="78" t="s">
        <v>43</v>
      </c>
      <c r="Z46" s="78" t="s">
        <v>55</v>
      </c>
      <c r="AA46" s="78" t="s">
        <v>76</v>
      </c>
      <c r="AB46" s="78" t="s">
        <v>161</v>
      </c>
    </row>
    <row r="47" spans="1:48" x14ac:dyDescent="0.15">
      <c r="A47" s="78" t="s">
        <v>46</v>
      </c>
      <c r="B47" s="78" t="s">
        <v>160</v>
      </c>
      <c r="C47" s="169">
        <v>2020</v>
      </c>
      <c r="D47" s="170" t="s">
        <v>301</v>
      </c>
      <c r="E47" s="78" t="s">
        <v>314</v>
      </c>
      <c r="F47" s="78" t="s">
        <v>315</v>
      </c>
      <c r="G47" s="78" t="s">
        <v>25</v>
      </c>
      <c r="H47" s="78" t="s">
        <v>167</v>
      </c>
      <c r="I47" s="78" t="s">
        <v>111</v>
      </c>
      <c r="J47" s="78" t="s">
        <v>27</v>
      </c>
      <c r="K47" s="78" t="s">
        <v>112</v>
      </c>
      <c r="L47" s="78">
        <v>1</v>
      </c>
      <c r="N47" s="78">
        <v>1</v>
      </c>
      <c r="O47" s="78">
        <v>0.72</v>
      </c>
      <c r="P47" s="78">
        <v>0.76</v>
      </c>
      <c r="Q47" s="44">
        <f t="shared" si="2"/>
        <v>0.74</v>
      </c>
      <c r="R47" s="78">
        <v>15.5</v>
      </c>
      <c r="S47" s="78">
        <v>132</v>
      </c>
      <c r="T47" s="16">
        <f t="shared" si="0"/>
        <v>25</v>
      </c>
      <c r="U47" s="78">
        <v>139</v>
      </c>
      <c r="V47" s="16">
        <f t="shared" si="1"/>
        <v>22</v>
      </c>
      <c r="W47" s="78">
        <v>1</v>
      </c>
      <c r="X47" s="78" t="s">
        <v>35</v>
      </c>
      <c r="Y47" s="78" t="s">
        <v>43</v>
      </c>
      <c r="Z47" s="78" t="s">
        <v>55</v>
      </c>
      <c r="AA47" s="78" t="s">
        <v>76</v>
      </c>
      <c r="AB47" s="78" t="s">
        <v>161</v>
      </c>
    </row>
    <row r="48" spans="1:48" x14ac:dyDescent="0.15">
      <c r="A48" s="78" t="s">
        <v>46</v>
      </c>
      <c r="B48" s="78" t="s">
        <v>160</v>
      </c>
      <c r="C48" s="169">
        <v>2020</v>
      </c>
      <c r="D48" s="170" t="s">
        <v>301</v>
      </c>
      <c r="E48" s="78" t="s">
        <v>314</v>
      </c>
      <c r="F48" s="78" t="s">
        <v>315</v>
      </c>
      <c r="G48" s="78" t="s">
        <v>25</v>
      </c>
      <c r="H48" s="78" t="s">
        <v>167</v>
      </c>
      <c r="I48" s="78" t="s">
        <v>111</v>
      </c>
      <c r="J48" s="78" t="s">
        <v>27</v>
      </c>
      <c r="K48" s="78" t="s">
        <v>112</v>
      </c>
      <c r="L48" s="78">
        <v>2</v>
      </c>
      <c r="N48" s="78">
        <v>1</v>
      </c>
      <c r="O48" s="78">
        <v>0.72</v>
      </c>
      <c r="P48" s="78">
        <v>0.8</v>
      </c>
      <c r="Q48" s="44">
        <f t="shared" si="2"/>
        <v>0.76</v>
      </c>
      <c r="R48" s="78">
        <v>14.6</v>
      </c>
      <c r="S48" s="78">
        <v>137</v>
      </c>
      <c r="T48" s="16">
        <f t="shared" si="0"/>
        <v>25</v>
      </c>
      <c r="U48" s="78">
        <v>139</v>
      </c>
      <c r="V48" s="16">
        <f t="shared" si="1"/>
        <v>22</v>
      </c>
      <c r="W48" s="78">
        <v>1</v>
      </c>
      <c r="X48" s="78" t="s">
        <v>35</v>
      </c>
      <c r="Y48" s="78" t="s">
        <v>43</v>
      </c>
      <c r="Z48" s="78" t="s">
        <v>55</v>
      </c>
      <c r="AA48" s="78" t="s">
        <v>76</v>
      </c>
      <c r="AB48" s="78" t="s">
        <v>161</v>
      </c>
    </row>
    <row r="49" spans="1:28" x14ac:dyDescent="0.15">
      <c r="A49" s="78" t="s">
        <v>46</v>
      </c>
      <c r="B49" s="78" t="s">
        <v>160</v>
      </c>
      <c r="C49" s="169">
        <v>2020</v>
      </c>
      <c r="D49" s="170" t="s">
        <v>301</v>
      </c>
      <c r="E49" s="78" t="s">
        <v>314</v>
      </c>
      <c r="F49" s="78" t="s">
        <v>315</v>
      </c>
      <c r="G49" s="78" t="s">
        <v>25</v>
      </c>
      <c r="H49" s="78" t="s">
        <v>167</v>
      </c>
      <c r="I49" s="78" t="s">
        <v>111</v>
      </c>
      <c r="J49" s="78" t="s">
        <v>27</v>
      </c>
      <c r="K49" s="78" t="s">
        <v>112</v>
      </c>
      <c r="L49" s="78">
        <v>3</v>
      </c>
      <c r="N49" s="78">
        <v>1</v>
      </c>
      <c r="O49" s="78">
        <v>0.74</v>
      </c>
      <c r="P49" s="78">
        <v>0.77</v>
      </c>
      <c r="Q49" s="44">
        <f t="shared" si="2"/>
        <v>0.755</v>
      </c>
      <c r="R49" s="78">
        <v>14.8</v>
      </c>
      <c r="S49" s="78">
        <v>140</v>
      </c>
      <c r="T49" s="16">
        <f t="shared" si="0"/>
        <v>22</v>
      </c>
      <c r="U49" s="78">
        <v>139</v>
      </c>
      <c r="V49" s="16">
        <f t="shared" si="1"/>
        <v>22</v>
      </c>
      <c r="W49" s="78">
        <v>1</v>
      </c>
      <c r="X49" s="78" t="s">
        <v>35</v>
      </c>
      <c r="Y49" s="78" t="s">
        <v>43</v>
      </c>
      <c r="Z49" s="78" t="s">
        <v>55</v>
      </c>
      <c r="AA49" s="78" t="s">
        <v>76</v>
      </c>
      <c r="AB49" s="78" t="s">
        <v>161</v>
      </c>
    </row>
    <row r="50" spans="1:28" x14ac:dyDescent="0.15">
      <c r="A50" s="78" t="s">
        <v>46</v>
      </c>
      <c r="B50" s="78" t="s">
        <v>160</v>
      </c>
      <c r="C50" s="169">
        <v>2020</v>
      </c>
      <c r="D50" s="170" t="s">
        <v>301</v>
      </c>
      <c r="E50" s="78" t="s">
        <v>314</v>
      </c>
      <c r="F50" s="78" t="s">
        <v>315</v>
      </c>
      <c r="G50" s="78" t="s">
        <v>25</v>
      </c>
      <c r="H50" s="78" t="s">
        <v>113</v>
      </c>
      <c r="I50" s="78" t="s">
        <v>111</v>
      </c>
      <c r="J50" s="78" t="s">
        <v>27</v>
      </c>
      <c r="K50" s="78" t="s">
        <v>112</v>
      </c>
      <c r="L50" s="78">
        <v>1</v>
      </c>
      <c r="N50" s="78">
        <v>5</v>
      </c>
      <c r="O50" s="78">
        <v>0.41</v>
      </c>
      <c r="P50" s="78">
        <v>0.39</v>
      </c>
      <c r="Q50" s="44">
        <f t="shared" si="2"/>
        <v>0.4</v>
      </c>
      <c r="R50" s="78">
        <v>12.4</v>
      </c>
      <c r="S50" s="78">
        <v>94</v>
      </c>
      <c r="T50" s="16">
        <f t="shared" si="0"/>
        <v>36</v>
      </c>
      <c r="U50" s="78">
        <v>380</v>
      </c>
      <c r="V50" s="16">
        <f t="shared" si="1"/>
        <v>16</v>
      </c>
      <c r="W50" s="78">
        <v>2</v>
      </c>
      <c r="X50" s="78" t="s">
        <v>35</v>
      </c>
      <c r="Y50" s="78" t="s">
        <v>43</v>
      </c>
      <c r="Z50" s="78" t="s">
        <v>55</v>
      </c>
      <c r="AA50" s="78" t="s">
        <v>76</v>
      </c>
      <c r="AB50" s="78" t="s">
        <v>161</v>
      </c>
    </row>
    <row r="51" spans="1:28" x14ac:dyDescent="0.15">
      <c r="A51" s="78" t="s">
        <v>46</v>
      </c>
      <c r="B51" s="78" t="s">
        <v>160</v>
      </c>
      <c r="C51" s="169">
        <v>2020</v>
      </c>
      <c r="D51" s="170" t="s">
        <v>301</v>
      </c>
      <c r="E51" s="78" t="s">
        <v>314</v>
      </c>
      <c r="F51" s="78" t="s">
        <v>315</v>
      </c>
      <c r="G51" s="78" t="s">
        <v>25</v>
      </c>
      <c r="H51" s="78" t="s">
        <v>113</v>
      </c>
      <c r="I51" s="78" t="s">
        <v>111</v>
      </c>
      <c r="J51" s="78" t="s">
        <v>27</v>
      </c>
      <c r="K51" s="78" t="s">
        <v>112</v>
      </c>
      <c r="L51" s="78">
        <v>2</v>
      </c>
      <c r="N51" s="78">
        <v>5</v>
      </c>
      <c r="O51" s="78">
        <v>0.45</v>
      </c>
      <c r="P51" s="78">
        <v>0.37</v>
      </c>
      <c r="Q51" s="44">
        <f t="shared" si="2"/>
        <v>0.41000000000000003</v>
      </c>
      <c r="R51" s="78">
        <v>14.4</v>
      </c>
      <c r="S51" s="78">
        <v>94</v>
      </c>
      <c r="T51" s="16">
        <f t="shared" si="0"/>
        <v>36</v>
      </c>
      <c r="U51" s="78">
        <v>380</v>
      </c>
      <c r="V51" s="16">
        <f t="shared" si="1"/>
        <v>16</v>
      </c>
      <c r="W51" s="78">
        <v>2</v>
      </c>
      <c r="X51" s="78" t="s">
        <v>35</v>
      </c>
      <c r="Y51" s="78" t="s">
        <v>43</v>
      </c>
      <c r="Z51" s="78" t="s">
        <v>55</v>
      </c>
      <c r="AA51" s="78" t="s">
        <v>76</v>
      </c>
      <c r="AB51" s="78" t="s">
        <v>161</v>
      </c>
    </row>
    <row r="52" spans="1:28" x14ac:dyDescent="0.15">
      <c r="A52" s="78" t="s">
        <v>46</v>
      </c>
      <c r="B52" s="78" t="s">
        <v>160</v>
      </c>
      <c r="C52" s="169">
        <v>2020</v>
      </c>
      <c r="D52" s="170" t="s">
        <v>301</v>
      </c>
      <c r="E52" s="78" t="s">
        <v>314</v>
      </c>
      <c r="F52" s="78" t="s">
        <v>315</v>
      </c>
      <c r="G52" s="78" t="s">
        <v>25</v>
      </c>
      <c r="H52" s="78" t="s">
        <v>113</v>
      </c>
      <c r="I52" s="78" t="s">
        <v>111</v>
      </c>
      <c r="J52" s="78" t="s">
        <v>27</v>
      </c>
      <c r="K52" s="78" t="s">
        <v>112</v>
      </c>
      <c r="L52" s="78">
        <v>3</v>
      </c>
      <c r="N52" s="78">
        <v>5</v>
      </c>
      <c r="O52" s="78">
        <v>0.45</v>
      </c>
      <c r="P52" s="78">
        <v>0.53</v>
      </c>
      <c r="Q52" s="44">
        <f t="shared" si="2"/>
        <v>0.49</v>
      </c>
      <c r="R52" s="78">
        <v>12.7</v>
      </c>
      <c r="S52" s="78">
        <v>95</v>
      </c>
      <c r="T52" s="16">
        <f t="shared" si="0"/>
        <v>36</v>
      </c>
      <c r="U52" s="78">
        <v>380</v>
      </c>
      <c r="V52" s="16">
        <f t="shared" si="1"/>
        <v>16</v>
      </c>
      <c r="W52" s="78">
        <v>2</v>
      </c>
      <c r="X52" s="78" t="s">
        <v>35</v>
      </c>
      <c r="Y52" s="78" t="s">
        <v>43</v>
      </c>
      <c r="Z52" s="78" t="s">
        <v>55</v>
      </c>
      <c r="AA52" s="78" t="s">
        <v>76</v>
      </c>
      <c r="AB52" s="78" t="s">
        <v>161</v>
      </c>
    </row>
    <row r="53" spans="1:28" x14ac:dyDescent="0.15">
      <c r="A53" s="78" t="s">
        <v>46</v>
      </c>
      <c r="B53" s="78" t="s">
        <v>160</v>
      </c>
      <c r="C53" s="169">
        <v>2020</v>
      </c>
      <c r="D53" s="170" t="s">
        <v>301</v>
      </c>
      <c r="E53" s="78" t="s">
        <v>314</v>
      </c>
      <c r="F53" s="78" t="s">
        <v>315</v>
      </c>
      <c r="G53" s="78" t="s">
        <v>25</v>
      </c>
      <c r="H53" s="78" t="s">
        <v>113</v>
      </c>
      <c r="I53" s="78" t="s">
        <v>111</v>
      </c>
      <c r="J53" s="78" t="s">
        <v>27</v>
      </c>
      <c r="K53" s="78" t="s">
        <v>112</v>
      </c>
      <c r="L53" s="78">
        <v>1</v>
      </c>
      <c r="N53" s="78">
        <v>4</v>
      </c>
      <c r="O53" s="78">
        <v>0.35</v>
      </c>
      <c r="P53" s="78">
        <v>0.38</v>
      </c>
      <c r="Q53" s="44">
        <f t="shared" si="2"/>
        <v>0.36499999999999999</v>
      </c>
      <c r="R53" s="78">
        <v>13.7</v>
      </c>
      <c r="S53" s="78">
        <v>104</v>
      </c>
      <c r="T53" s="16">
        <f t="shared" si="0"/>
        <v>33</v>
      </c>
      <c r="U53" s="78">
        <v>380</v>
      </c>
      <c r="V53" s="16">
        <f t="shared" si="1"/>
        <v>16</v>
      </c>
      <c r="W53" s="78">
        <v>1</v>
      </c>
      <c r="X53" s="78" t="s">
        <v>35</v>
      </c>
      <c r="Y53" s="78" t="s">
        <v>43</v>
      </c>
      <c r="Z53" s="78" t="s">
        <v>55</v>
      </c>
      <c r="AA53" s="78" t="s">
        <v>76</v>
      </c>
      <c r="AB53" s="78" t="s">
        <v>161</v>
      </c>
    </row>
    <row r="54" spans="1:28" x14ac:dyDescent="0.15">
      <c r="A54" s="78" t="s">
        <v>46</v>
      </c>
      <c r="B54" s="78" t="s">
        <v>160</v>
      </c>
      <c r="C54" s="169">
        <v>2020</v>
      </c>
      <c r="D54" s="170" t="s">
        <v>301</v>
      </c>
      <c r="E54" s="78" t="s">
        <v>314</v>
      </c>
      <c r="F54" s="78" t="s">
        <v>315</v>
      </c>
      <c r="G54" s="78" t="s">
        <v>25</v>
      </c>
      <c r="H54" s="78" t="s">
        <v>113</v>
      </c>
      <c r="I54" s="78" t="s">
        <v>111</v>
      </c>
      <c r="J54" s="78" t="s">
        <v>27</v>
      </c>
      <c r="K54" s="78" t="s">
        <v>112</v>
      </c>
      <c r="L54" s="78">
        <v>2</v>
      </c>
      <c r="N54" s="78">
        <v>4</v>
      </c>
      <c r="O54" s="78">
        <v>0.33</v>
      </c>
      <c r="P54" s="78">
        <v>0.31</v>
      </c>
      <c r="Q54" s="44">
        <f t="shared" si="2"/>
        <v>0.32</v>
      </c>
      <c r="R54" s="78">
        <v>14.3</v>
      </c>
      <c r="S54" s="78">
        <v>101</v>
      </c>
      <c r="T54" s="16">
        <f t="shared" si="0"/>
        <v>33</v>
      </c>
      <c r="U54" s="78">
        <v>380</v>
      </c>
      <c r="V54" s="16">
        <f t="shared" si="1"/>
        <v>16</v>
      </c>
      <c r="W54" s="78">
        <v>1</v>
      </c>
      <c r="X54" s="78" t="s">
        <v>35</v>
      </c>
      <c r="Y54" s="78" t="s">
        <v>43</v>
      </c>
      <c r="Z54" s="78" t="s">
        <v>55</v>
      </c>
      <c r="AA54" s="78" t="s">
        <v>76</v>
      </c>
      <c r="AB54" s="78" t="s">
        <v>161</v>
      </c>
    </row>
    <row r="55" spans="1:28" x14ac:dyDescent="0.15">
      <c r="A55" s="78" t="s">
        <v>46</v>
      </c>
      <c r="B55" s="78" t="s">
        <v>160</v>
      </c>
      <c r="C55" s="169">
        <v>2020</v>
      </c>
      <c r="D55" s="170" t="s">
        <v>301</v>
      </c>
      <c r="E55" s="78" t="s">
        <v>314</v>
      </c>
      <c r="F55" s="78" t="s">
        <v>315</v>
      </c>
      <c r="G55" s="78" t="s">
        <v>25</v>
      </c>
      <c r="H55" s="78" t="s">
        <v>113</v>
      </c>
      <c r="I55" s="78" t="s">
        <v>111</v>
      </c>
      <c r="J55" s="78" t="s">
        <v>27</v>
      </c>
      <c r="K55" s="78" t="s">
        <v>112</v>
      </c>
      <c r="L55" s="78">
        <v>3</v>
      </c>
      <c r="N55" s="78">
        <v>4</v>
      </c>
      <c r="O55" s="78">
        <v>0.36</v>
      </c>
      <c r="P55" s="78">
        <v>0.37</v>
      </c>
      <c r="Q55" s="44">
        <f t="shared" si="2"/>
        <v>0.36499999999999999</v>
      </c>
      <c r="R55" s="78">
        <v>13.8</v>
      </c>
      <c r="S55" s="78">
        <v>100</v>
      </c>
      <c r="T55" s="16">
        <f t="shared" si="0"/>
        <v>33</v>
      </c>
      <c r="U55" s="78">
        <v>380</v>
      </c>
      <c r="V55" s="16">
        <f t="shared" si="1"/>
        <v>16</v>
      </c>
      <c r="W55" s="78">
        <v>1</v>
      </c>
      <c r="X55" s="78" t="s">
        <v>35</v>
      </c>
      <c r="Y55" s="78" t="s">
        <v>43</v>
      </c>
      <c r="Z55" s="78" t="s">
        <v>55</v>
      </c>
      <c r="AA55" s="78" t="s">
        <v>76</v>
      </c>
      <c r="AB55" s="78" t="s">
        <v>161</v>
      </c>
    </row>
    <row r="56" spans="1:28" x14ac:dyDescent="0.15">
      <c r="A56" s="78" t="s">
        <v>46</v>
      </c>
      <c r="B56" s="78" t="s">
        <v>160</v>
      </c>
      <c r="C56" s="169">
        <v>2020</v>
      </c>
      <c r="D56" s="170" t="s">
        <v>301</v>
      </c>
      <c r="E56" s="78" t="s">
        <v>314</v>
      </c>
      <c r="F56" s="78" t="s">
        <v>315</v>
      </c>
      <c r="G56" s="78" t="s">
        <v>25</v>
      </c>
      <c r="H56" s="78" t="s">
        <v>113</v>
      </c>
      <c r="I56" s="78" t="s">
        <v>111</v>
      </c>
      <c r="J56" s="78" t="s">
        <v>27</v>
      </c>
      <c r="K56" s="78" t="s">
        <v>112</v>
      </c>
      <c r="L56" s="78">
        <v>1</v>
      </c>
      <c r="N56" s="78">
        <v>2</v>
      </c>
      <c r="O56" s="78">
        <v>0.38</v>
      </c>
      <c r="P56" s="78">
        <v>0.32</v>
      </c>
      <c r="Q56" s="44">
        <f t="shared" si="2"/>
        <v>0.35</v>
      </c>
      <c r="R56" s="78">
        <v>13.8</v>
      </c>
      <c r="S56" s="78">
        <v>152</v>
      </c>
      <c r="T56" s="16">
        <f t="shared" si="0"/>
        <v>18</v>
      </c>
      <c r="U56" s="78">
        <v>380</v>
      </c>
      <c r="V56" s="16">
        <f t="shared" si="1"/>
        <v>16</v>
      </c>
      <c r="W56" s="78">
        <v>2</v>
      </c>
      <c r="X56" s="78" t="s">
        <v>35</v>
      </c>
      <c r="Y56" s="78" t="s">
        <v>43</v>
      </c>
      <c r="Z56" s="78" t="s">
        <v>55</v>
      </c>
      <c r="AA56" s="78" t="s">
        <v>76</v>
      </c>
      <c r="AB56" s="78" t="s">
        <v>161</v>
      </c>
    </row>
    <row r="57" spans="1:28" x14ac:dyDescent="0.15">
      <c r="A57" s="78" t="s">
        <v>46</v>
      </c>
      <c r="B57" s="78" t="s">
        <v>160</v>
      </c>
      <c r="C57" s="169">
        <v>2020</v>
      </c>
      <c r="D57" s="170" t="s">
        <v>301</v>
      </c>
      <c r="E57" s="78" t="s">
        <v>314</v>
      </c>
      <c r="F57" s="78" t="s">
        <v>315</v>
      </c>
      <c r="G57" s="78" t="s">
        <v>25</v>
      </c>
      <c r="H57" s="78" t="s">
        <v>113</v>
      </c>
      <c r="I57" s="78" t="s">
        <v>111</v>
      </c>
      <c r="J57" s="78" t="s">
        <v>27</v>
      </c>
      <c r="K57" s="78" t="s">
        <v>112</v>
      </c>
      <c r="L57" s="78">
        <v>2</v>
      </c>
      <c r="N57" s="78">
        <v>2</v>
      </c>
      <c r="O57" s="78">
        <v>0.24</v>
      </c>
      <c r="P57" s="78">
        <v>0.25</v>
      </c>
      <c r="Q57" s="44">
        <f t="shared" si="2"/>
        <v>0.245</v>
      </c>
      <c r="R57" s="78">
        <v>14.1</v>
      </c>
      <c r="S57" s="78">
        <v>156</v>
      </c>
      <c r="T57" s="16">
        <f t="shared" si="0"/>
        <v>18</v>
      </c>
      <c r="U57" s="78">
        <v>380</v>
      </c>
      <c r="V57" s="16">
        <f t="shared" si="1"/>
        <v>16</v>
      </c>
      <c r="W57" s="78">
        <v>2</v>
      </c>
      <c r="X57" s="78" t="s">
        <v>35</v>
      </c>
      <c r="Y57" s="78" t="s">
        <v>43</v>
      </c>
      <c r="Z57" s="78" t="s">
        <v>55</v>
      </c>
      <c r="AA57" s="78" t="s">
        <v>76</v>
      </c>
      <c r="AB57" s="78" t="s">
        <v>161</v>
      </c>
    </row>
    <row r="58" spans="1:28" x14ac:dyDescent="0.15">
      <c r="A58" s="78" t="s">
        <v>46</v>
      </c>
      <c r="B58" s="78" t="s">
        <v>160</v>
      </c>
      <c r="C58" s="169">
        <v>2020</v>
      </c>
      <c r="D58" s="170" t="s">
        <v>301</v>
      </c>
      <c r="E58" s="78" t="s">
        <v>314</v>
      </c>
      <c r="F58" s="78" t="s">
        <v>315</v>
      </c>
      <c r="G58" s="78" t="s">
        <v>25</v>
      </c>
      <c r="H58" s="78" t="s">
        <v>113</v>
      </c>
      <c r="I58" s="78" t="s">
        <v>111</v>
      </c>
      <c r="J58" s="78" t="s">
        <v>27</v>
      </c>
      <c r="K58" s="78" t="s">
        <v>112</v>
      </c>
      <c r="L58" s="78">
        <v>3</v>
      </c>
      <c r="N58" s="78">
        <v>2</v>
      </c>
      <c r="O58" s="78">
        <v>0.33</v>
      </c>
      <c r="P58" s="78">
        <v>0.35</v>
      </c>
      <c r="Q58" s="44">
        <f t="shared" si="2"/>
        <v>0.33999999999999997</v>
      </c>
      <c r="R58" s="78">
        <v>13.5</v>
      </c>
      <c r="S58" s="78">
        <v>160</v>
      </c>
      <c r="T58" s="16">
        <f>IF(H58="","",IF(OR(H58="GREEN",H58="GK"),IF(S58&gt;=$AX$2,VLOOKUP(S58,$AX$2:$AY$12,2,1),""),IF(S58&gt;=$AZ$2,VLOOKUP(S58,$AZ$2:$BA$12,2,1),"")))</f>
        <v>18</v>
      </c>
      <c r="U58" s="78">
        <v>380</v>
      </c>
      <c r="V58" s="16">
        <f t="shared" si="1"/>
        <v>16</v>
      </c>
      <c r="W58" s="78">
        <v>2</v>
      </c>
      <c r="X58" s="78" t="s">
        <v>35</v>
      </c>
      <c r="Y58" s="78" t="s">
        <v>43</v>
      </c>
      <c r="Z58" s="78" t="s">
        <v>55</v>
      </c>
      <c r="AA58" s="78" t="s">
        <v>76</v>
      </c>
      <c r="AB58" s="78" t="s">
        <v>161</v>
      </c>
    </row>
    <row r="59" spans="1:28" x14ac:dyDescent="0.15">
      <c r="A59" s="78" t="s">
        <v>46</v>
      </c>
      <c r="B59" s="78" t="s">
        <v>160</v>
      </c>
      <c r="C59" s="169">
        <v>2020</v>
      </c>
      <c r="D59" s="170" t="s">
        <v>301</v>
      </c>
      <c r="E59" s="78" t="s">
        <v>314</v>
      </c>
      <c r="F59" s="78" t="s">
        <v>315</v>
      </c>
      <c r="G59" s="78" t="s">
        <v>25</v>
      </c>
      <c r="H59" s="78" t="s">
        <v>165</v>
      </c>
      <c r="I59" s="78" t="s">
        <v>111</v>
      </c>
      <c r="J59" s="78" t="s">
        <v>27</v>
      </c>
      <c r="K59" s="78" t="s">
        <v>112</v>
      </c>
      <c r="L59" s="78">
        <v>1</v>
      </c>
      <c r="N59" s="78">
        <v>4</v>
      </c>
      <c r="O59" s="78">
        <v>0.33</v>
      </c>
      <c r="P59" s="78">
        <v>0.33</v>
      </c>
      <c r="Q59" s="44">
        <f t="shared" si="2"/>
        <v>0.33</v>
      </c>
      <c r="R59" s="78">
        <v>17.7</v>
      </c>
      <c r="S59" s="78">
        <v>103</v>
      </c>
      <c r="T59" s="16">
        <f>IF(H59="","",IF(OR(H59="GREEN",H59="GK"),IF(S59&gt;=$AX$2,VLOOKUP(S59,$AX$2:$AY$12,2,1),""),IF(S59&gt;=$AZ$2,VLOOKUP(S59,$AZ$2:$BA$12,2,1),"")))</f>
        <v>33</v>
      </c>
      <c r="U59" s="78">
        <v>399</v>
      </c>
      <c r="V59" s="16">
        <f t="shared" si="1"/>
        <v>16</v>
      </c>
      <c r="W59" s="78">
        <v>1</v>
      </c>
      <c r="X59" s="78" t="s">
        <v>35</v>
      </c>
      <c r="Y59" s="78" t="s">
        <v>43</v>
      </c>
      <c r="Z59" s="78" t="s">
        <v>55</v>
      </c>
      <c r="AA59" s="78" t="s">
        <v>76</v>
      </c>
      <c r="AB59" s="78" t="s">
        <v>161</v>
      </c>
    </row>
    <row r="60" spans="1:28" x14ac:dyDescent="0.15">
      <c r="A60" s="78" t="s">
        <v>46</v>
      </c>
      <c r="B60" s="78" t="s">
        <v>160</v>
      </c>
      <c r="C60" s="169">
        <v>2020</v>
      </c>
      <c r="D60" s="170" t="s">
        <v>301</v>
      </c>
      <c r="E60" s="78" t="s">
        <v>314</v>
      </c>
      <c r="F60" s="78" t="s">
        <v>315</v>
      </c>
      <c r="G60" s="78" t="s">
        <v>25</v>
      </c>
      <c r="H60" s="78" t="s">
        <v>165</v>
      </c>
      <c r="I60" s="78" t="s">
        <v>111</v>
      </c>
      <c r="J60" s="78" t="s">
        <v>27</v>
      </c>
      <c r="K60" s="78" t="s">
        <v>112</v>
      </c>
      <c r="L60" s="78">
        <v>2</v>
      </c>
      <c r="N60" s="78">
        <v>4</v>
      </c>
      <c r="O60" s="78">
        <v>0.38</v>
      </c>
      <c r="P60" s="78">
        <v>0.38</v>
      </c>
      <c r="Q60" s="44">
        <f t="shared" si="2"/>
        <v>0.38</v>
      </c>
      <c r="R60" s="78">
        <v>15.3</v>
      </c>
      <c r="S60" s="78">
        <v>98</v>
      </c>
      <c r="T60" s="16">
        <f>IF(H60="","",IF(OR(H60="GREEN",H60="GK"),IF(S60&gt;=$AX$2,VLOOKUP(S60,$AX$2:$AY$12,2,1),""),IF(S60&gt;=$AZ$2,VLOOKUP(S60,$AZ$2:$BA$12,2,1),"")))</f>
        <v>36</v>
      </c>
      <c r="U60" s="78">
        <v>399</v>
      </c>
      <c r="V60" s="16">
        <f t="shared" si="1"/>
        <v>16</v>
      </c>
      <c r="W60" s="78">
        <v>1</v>
      </c>
      <c r="X60" s="78" t="s">
        <v>35</v>
      </c>
      <c r="Y60" s="78" t="s">
        <v>43</v>
      </c>
      <c r="Z60" s="78" t="s">
        <v>55</v>
      </c>
      <c r="AA60" s="78" t="s">
        <v>76</v>
      </c>
      <c r="AB60" s="78" t="s">
        <v>161</v>
      </c>
    </row>
    <row r="61" spans="1:28" x14ac:dyDescent="0.15">
      <c r="A61" s="78" t="s">
        <v>46</v>
      </c>
      <c r="B61" s="78" t="s">
        <v>160</v>
      </c>
      <c r="C61" s="169">
        <v>2020</v>
      </c>
      <c r="D61" s="170" t="s">
        <v>301</v>
      </c>
      <c r="E61" s="78" t="s">
        <v>314</v>
      </c>
      <c r="F61" s="78" t="s">
        <v>315</v>
      </c>
      <c r="G61" s="78" t="s">
        <v>25</v>
      </c>
      <c r="H61" s="78" t="s">
        <v>165</v>
      </c>
      <c r="I61" s="78" t="s">
        <v>111</v>
      </c>
      <c r="J61" s="78" t="s">
        <v>27</v>
      </c>
      <c r="K61" s="78" t="s">
        <v>112</v>
      </c>
      <c r="L61" s="78">
        <v>3</v>
      </c>
      <c r="N61" s="78">
        <v>4</v>
      </c>
      <c r="O61" s="78">
        <v>0.34</v>
      </c>
      <c r="P61" s="78">
        <v>0.35</v>
      </c>
      <c r="Q61" s="44">
        <f t="shared" si="2"/>
        <v>0.34499999999999997</v>
      </c>
      <c r="R61" s="78">
        <v>17.2</v>
      </c>
      <c r="S61" s="78">
        <v>95</v>
      </c>
      <c r="T61" s="16">
        <f>IF(H61="","",IF(OR(H61="GREEN",H61="GK"),IF(S61&gt;=$AX$2,VLOOKUP(S61,$AX$2:$AY$12,2,1),""),IF(S61&gt;=$AZ$2,VLOOKUP(S61,$AZ$2:$BA$12,2,1),"")))</f>
        <v>36</v>
      </c>
      <c r="U61" s="78">
        <v>399</v>
      </c>
      <c r="V61" s="16">
        <f t="shared" si="1"/>
        <v>16</v>
      </c>
      <c r="W61" s="78">
        <v>1</v>
      </c>
      <c r="X61" s="78" t="s">
        <v>35</v>
      </c>
      <c r="Y61" s="78" t="s">
        <v>43</v>
      </c>
      <c r="Z61" s="78" t="s">
        <v>55</v>
      </c>
      <c r="AA61" s="78" t="s">
        <v>76</v>
      </c>
      <c r="AB61" s="78" t="s">
        <v>161</v>
      </c>
    </row>
    <row r="62" spans="1:28" x14ac:dyDescent="0.15">
      <c r="A62" s="78" t="s">
        <v>46</v>
      </c>
      <c r="B62" s="78" t="s">
        <v>160</v>
      </c>
      <c r="C62" s="169">
        <v>2020</v>
      </c>
      <c r="D62" s="170" t="s">
        <v>301</v>
      </c>
      <c r="E62" s="78" t="s">
        <v>327</v>
      </c>
      <c r="F62" s="78" t="s">
        <v>315</v>
      </c>
      <c r="G62" s="78" t="s">
        <v>25</v>
      </c>
      <c r="H62" s="78" t="s">
        <v>167</v>
      </c>
      <c r="I62" s="78" t="s">
        <v>111</v>
      </c>
      <c r="J62" s="78" t="s">
        <v>27</v>
      </c>
      <c r="K62" s="78" t="s">
        <v>112</v>
      </c>
      <c r="L62" s="78">
        <v>1</v>
      </c>
      <c r="N62" s="78">
        <v>4</v>
      </c>
      <c r="O62" s="78">
        <v>0.35</v>
      </c>
      <c r="P62" s="78">
        <v>0.43</v>
      </c>
      <c r="Q62" s="44">
        <f t="shared" si="2"/>
        <v>0.39</v>
      </c>
      <c r="R62" s="78">
        <v>16.3</v>
      </c>
      <c r="S62" s="78">
        <v>98</v>
      </c>
      <c r="T62" s="16">
        <f>IF(H62="","",IF(OR(H62="GREEN",H62="GK"),IF(S62&gt;=$AX$2,VLOOKUP(S62,$AX$2:$AY$12,2,1),""),IF(S62&gt;=$AZ$2,VLOOKUP(S62,$AZ$2:$BA$12,2,1),"")))</f>
        <v>36</v>
      </c>
      <c r="U62" s="78">
        <v>598</v>
      </c>
      <c r="V62" s="16">
        <f t="shared" si="1"/>
        <v>16</v>
      </c>
      <c r="W62" s="78">
        <v>1</v>
      </c>
      <c r="X62" s="78" t="s">
        <v>35</v>
      </c>
      <c r="Y62" s="78" t="s">
        <v>64</v>
      </c>
      <c r="Z62" s="78" t="s">
        <v>47</v>
      </c>
      <c r="AA62" s="78" t="s">
        <v>76</v>
      </c>
      <c r="AB62" s="78" t="s">
        <v>161</v>
      </c>
    </row>
    <row r="63" spans="1:28" x14ac:dyDescent="0.15">
      <c r="A63" s="78" t="s">
        <v>46</v>
      </c>
      <c r="B63" s="78" t="s">
        <v>160</v>
      </c>
      <c r="C63" s="169">
        <v>2020</v>
      </c>
      <c r="D63" s="170" t="s">
        <v>301</v>
      </c>
      <c r="E63" s="78" t="s">
        <v>327</v>
      </c>
      <c r="F63" s="78" t="s">
        <v>315</v>
      </c>
      <c r="G63" s="78" t="s">
        <v>25</v>
      </c>
      <c r="H63" s="78" t="s">
        <v>167</v>
      </c>
      <c r="I63" s="78" t="s">
        <v>111</v>
      </c>
      <c r="J63" s="78" t="s">
        <v>27</v>
      </c>
      <c r="K63" s="78" t="s">
        <v>112</v>
      </c>
      <c r="L63" s="78">
        <v>2</v>
      </c>
      <c r="N63" s="78">
        <v>4</v>
      </c>
      <c r="O63" s="78">
        <v>0.36</v>
      </c>
      <c r="P63" s="78">
        <v>0.35</v>
      </c>
      <c r="Q63" s="44">
        <f t="shared" si="2"/>
        <v>0.35499999999999998</v>
      </c>
      <c r="R63" s="78">
        <v>16.399999999999999</v>
      </c>
      <c r="S63" s="78">
        <v>96</v>
      </c>
      <c r="T63" s="16">
        <f t="shared" ref="T63:T137" si="3">IF(H63="","",IF(OR(H63="GREEN",H63="GK"),IF(S63&gt;=$AX$2,VLOOKUP(S63,$AX$2:$AY$12,2,1),""),IF(S63&gt;=$AZ$2,VLOOKUP(S63,$AZ$2:$BA$12,2,1),"")))</f>
        <v>36</v>
      </c>
      <c r="U63" s="78">
        <v>598</v>
      </c>
      <c r="V63" s="16">
        <f t="shared" si="1"/>
        <v>16</v>
      </c>
      <c r="W63" s="78">
        <v>1</v>
      </c>
      <c r="X63" s="78" t="s">
        <v>35</v>
      </c>
      <c r="Y63" s="78" t="s">
        <v>64</v>
      </c>
      <c r="Z63" s="78" t="s">
        <v>47</v>
      </c>
      <c r="AA63" s="78" t="s">
        <v>76</v>
      </c>
      <c r="AB63" s="78" t="s">
        <v>161</v>
      </c>
    </row>
    <row r="64" spans="1:28" x14ac:dyDescent="0.15">
      <c r="A64" s="78" t="s">
        <v>46</v>
      </c>
      <c r="B64" s="78" t="s">
        <v>160</v>
      </c>
      <c r="C64" s="169">
        <v>2020</v>
      </c>
      <c r="D64" s="170" t="s">
        <v>301</v>
      </c>
      <c r="E64" s="78" t="s">
        <v>327</v>
      </c>
      <c r="F64" s="78" t="s">
        <v>315</v>
      </c>
      <c r="G64" s="78" t="s">
        <v>25</v>
      </c>
      <c r="H64" s="78" t="s">
        <v>167</v>
      </c>
      <c r="I64" s="78" t="s">
        <v>111</v>
      </c>
      <c r="J64" s="78" t="s">
        <v>27</v>
      </c>
      <c r="K64" s="78" t="s">
        <v>112</v>
      </c>
      <c r="L64" s="78">
        <v>3</v>
      </c>
      <c r="N64" s="78">
        <v>4</v>
      </c>
      <c r="O64" s="78">
        <v>0.35</v>
      </c>
      <c r="P64" s="78">
        <v>0.41</v>
      </c>
      <c r="Q64" s="44">
        <f t="shared" si="2"/>
        <v>0.38</v>
      </c>
      <c r="R64" s="78">
        <v>16.7</v>
      </c>
      <c r="S64" s="78">
        <v>101</v>
      </c>
      <c r="T64" s="16">
        <f t="shared" si="3"/>
        <v>33</v>
      </c>
      <c r="U64" s="78">
        <v>598</v>
      </c>
      <c r="V64" s="16">
        <f t="shared" si="1"/>
        <v>16</v>
      </c>
      <c r="W64" s="78">
        <v>1</v>
      </c>
      <c r="X64" s="78" t="s">
        <v>35</v>
      </c>
      <c r="Y64" s="78" t="s">
        <v>64</v>
      </c>
      <c r="Z64" s="78" t="s">
        <v>47</v>
      </c>
      <c r="AA64" s="78" t="s">
        <v>76</v>
      </c>
      <c r="AB64" s="78" t="s">
        <v>161</v>
      </c>
    </row>
    <row r="65" spans="1:28" x14ac:dyDescent="0.15">
      <c r="A65" s="78" t="s">
        <v>46</v>
      </c>
      <c r="B65" s="78" t="s">
        <v>160</v>
      </c>
      <c r="C65" s="169">
        <v>2020</v>
      </c>
      <c r="D65" s="170" t="s">
        <v>301</v>
      </c>
      <c r="E65" s="78" t="s">
        <v>327</v>
      </c>
      <c r="F65" s="78" t="s">
        <v>315</v>
      </c>
      <c r="G65" s="78" t="s">
        <v>25</v>
      </c>
      <c r="H65" s="78" t="s">
        <v>167</v>
      </c>
      <c r="I65" s="78" t="s">
        <v>111</v>
      </c>
      <c r="J65" s="78" t="s">
        <v>27</v>
      </c>
      <c r="K65" s="78" t="s">
        <v>112</v>
      </c>
      <c r="L65" s="78">
        <v>1</v>
      </c>
      <c r="N65" s="78">
        <v>1</v>
      </c>
      <c r="O65" s="78">
        <v>0.67</v>
      </c>
      <c r="P65" s="78">
        <v>0.72</v>
      </c>
      <c r="Q65" s="44">
        <f t="shared" si="2"/>
        <v>0.69500000000000006</v>
      </c>
      <c r="R65" s="78">
        <v>15.6</v>
      </c>
      <c r="S65" s="78">
        <v>136</v>
      </c>
      <c r="T65" s="16">
        <f t="shared" si="3"/>
        <v>25</v>
      </c>
      <c r="U65" s="78">
        <v>150</v>
      </c>
      <c r="V65" s="16">
        <f t="shared" si="1"/>
        <v>22</v>
      </c>
      <c r="W65" s="78">
        <v>1</v>
      </c>
      <c r="X65" s="78" t="s">
        <v>35</v>
      </c>
      <c r="Y65" s="78" t="s">
        <v>64</v>
      </c>
      <c r="Z65" s="78" t="s">
        <v>47</v>
      </c>
      <c r="AA65" s="78" t="s">
        <v>76</v>
      </c>
      <c r="AB65" s="78" t="s">
        <v>161</v>
      </c>
    </row>
    <row r="66" spans="1:28" x14ac:dyDescent="0.15">
      <c r="A66" s="78" t="s">
        <v>46</v>
      </c>
      <c r="B66" s="78" t="s">
        <v>160</v>
      </c>
      <c r="C66" s="169">
        <v>2020</v>
      </c>
      <c r="D66" s="170" t="s">
        <v>301</v>
      </c>
      <c r="E66" s="78" t="s">
        <v>327</v>
      </c>
      <c r="F66" s="78" t="s">
        <v>315</v>
      </c>
      <c r="G66" s="78" t="s">
        <v>25</v>
      </c>
      <c r="H66" s="78" t="s">
        <v>167</v>
      </c>
      <c r="I66" s="78" t="s">
        <v>111</v>
      </c>
      <c r="J66" s="78" t="s">
        <v>27</v>
      </c>
      <c r="K66" s="78" t="s">
        <v>112</v>
      </c>
      <c r="L66" s="78">
        <v>2</v>
      </c>
      <c r="N66" s="78">
        <v>1</v>
      </c>
      <c r="O66" s="78">
        <v>0.47</v>
      </c>
      <c r="P66" s="78">
        <v>0.38</v>
      </c>
      <c r="Q66" s="44">
        <f t="shared" si="2"/>
        <v>0.42499999999999999</v>
      </c>
      <c r="R66" s="78">
        <v>13.2</v>
      </c>
      <c r="S66" s="78">
        <v>132</v>
      </c>
      <c r="T66" s="16">
        <f t="shared" si="3"/>
        <v>25</v>
      </c>
      <c r="U66" s="78">
        <v>150</v>
      </c>
      <c r="V66" s="16">
        <f t="shared" ref="V66:V152" si="4">IF(J66="","",IF(OR(J66="GREEN",J66="GK"),IF(U66&gt;=$AX$2,VLOOKUP(U66,$AX$2:$AY$12,2,1),""),IF(U66&gt;=$AZ$2,VLOOKUP(U66,$AZ$2:$BA$12,2,1),"")))</f>
        <v>22</v>
      </c>
      <c r="W66" s="78">
        <v>1</v>
      </c>
      <c r="X66" s="78" t="s">
        <v>35</v>
      </c>
      <c r="Y66" s="78" t="s">
        <v>64</v>
      </c>
      <c r="Z66" s="78" t="s">
        <v>47</v>
      </c>
      <c r="AA66" s="78" t="s">
        <v>76</v>
      </c>
      <c r="AB66" s="78" t="s">
        <v>161</v>
      </c>
    </row>
    <row r="67" spans="1:28" x14ac:dyDescent="0.15">
      <c r="A67" s="78" t="s">
        <v>46</v>
      </c>
      <c r="B67" s="78" t="s">
        <v>160</v>
      </c>
      <c r="C67" s="169">
        <v>2020</v>
      </c>
      <c r="D67" s="170" t="s">
        <v>301</v>
      </c>
      <c r="E67" s="78" t="s">
        <v>327</v>
      </c>
      <c r="F67" s="78" t="s">
        <v>315</v>
      </c>
      <c r="G67" s="78" t="s">
        <v>25</v>
      </c>
      <c r="H67" s="78" t="s">
        <v>167</v>
      </c>
      <c r="I67" s="78" t="s">
        <v>111</v>
      </c>
      <c r="J67" s="78" t="s">
        <v>27</v>
      </c>
      <c r="K67" s="78" t="s">
        <v>112</v>
      </c>
      <c r="L67" s="78">
        <v>3</v>
      </c>
      <c r="N67" s="78">
        <v>1</v>
      </c>
      <c r="O67" s="78">
        <v>0.66</v>
      </c>
      <c r="P67" s="78">
        <v>0.72</v>
      </c>
      <c r="Q67" s="44">
        <f t="shared" ref="Q67:Q150" si="5">IF(OR(O67="",P67=""),"",AVERAGE(O67,P67))</f>
        <v>0.69</v>
      </c>
      <c r="R67" s="78">
        <v>13.9</v>
      </c>
      <c r="S67" s="78">
        <v>136</v>
      </c>
      <c r="T67" s="16">
        <f t="shared" si="3"/>
        <v>25</v>
      </c>
      <c r="U67" s="78">
        <v>150</v>
      </c>
      <c r="V67" s="16">
        <f t="shared" si="4"/>
        <v>22</v>
      </c>
      <c r="W67" s="78">
        <v>1</v>
      </c>
      <c r="X67" s="78" t="s">
        <v>35</v>
      </c>
      <c r="Y67" s="78" t="s">
        <v>64</v>
      </c>
      <c r="Z67" s="78" t="s">
        <v>47</v>
      </c>
      <c r="AA67" s="78" t="s">
        <v>76</v>
      </c>
      <c r="AB67" s="78" t="s">
        <v>161</v>
      </c>
    </row>
    <row r="68" spans="1:28" x14ac:dyDescent="0.15">
      <c r="A68" s="78" t="s">
        <v>46</v>
      </c>
      <c r="B68" s="78" t="s">
        <v>160</v>
      </c>
      <c r="C68" s="169">
        <v>2020</v>
      </c>
      <c r="D68" s="170" t="s">
        <v>301</v>
      </c>
      <c r="E68" s="78" t="s">
        <v>327</v>
      </c>
      <c r="F68" s="78" t="s">
        <v>315</v>
      </c>
      <c r="G68" s="78" t="s">
        <v>25</v>
      </c>
      <c r="H68" s="78" t="s">
        <v>113</v>
      </c>
      <c r="I68" s="78" t="s">
        <v>111</v>
      </c>
      <c r="J68" s="78" t="s">
        <v>27</v>
      </c>
      <c r="K68" s="78" t="s">
        <v>112</v>
      </c>
      <c r="L68" s="78">
        <v>1</v>
      </c>
      <c r="N68" s="78">
        <v>10</v>
      </c>
      <c r="O68" s="78">
        <v>0.65</v>
      </c>
      <c r="P68" s="78">
        <v>0.66</v>
      </c>
      <c r="Q68" s="44">
        <f t="shared" si="5"/>
        <v>0.65500000000000003</v>
      </c>
      <c r="R68" s="78">
        <v>12.6</v>
      </c>
      <c r="S68" s="78">
        <v>119</v>
      </c>
      <c r="T68" s="16">
        <f t="shared" si="3"/>
        <v>30</v>
      </c>
      <c r="U68" s="78">
        <v>498</v>
      </c>
      <c r="V68" s="16">
        <f t="shared" si="4"/>
        <v>16</v>
      </c>
      <c r="W68" s="78">
        <v>2</v>
      </c>
      <c r="X68" s="78" t="s">
        <v>35</v>
      </c>
      <c r="Y68" s="78" t="s">
        <v>64</v>
      </c>
      <c r="Z68" s="78" t="s">
        <v>47</v>
      </c>
      <c r="AA68" s="78" t="s">
        <v>76</v>
      </c>
      <c r="AB68" s="78" t="s">
        <v>161</v>
      </c>
    </row>
    <row r="69" spans="1:28" x14ac:dyDescent="0.15">
      <c r="A69" s="78" t="s">
        <v>46</v>
      </c>
      <c r="B69" s="78" t="s">
        <v>160</v>
      </c>
      <c r="C69" s="169">
        <v>2020</v>
      </c>
      <c r="D69" s="170" t="s">
        <v>301</v>
      </c>
      <c r="E69" s="78" t="s">
        <v>327</v>
      </c>
      <c r="F69" s="78" t="s">
        <v>315</v>
      </c>
      <c r="G69" s="78" t="s">
        <v>25</v>
      </c>
      <c r="H69" s="78" t="s">
        <v>113</v>
      </c>
      <c r="I69" s="78" t="s">
        <v>111</v>
      </c>
      <c r="J69" s="78" t="s">
        <v>27</v>
      </c>
      <c r="K69" s="78" t="s">
        <v>112</v>
      </c>
      <c r="L69" s="78">
        <v>2</v>
      </c>
      <c r="N69" s="78">
        <v>10</v>
      </c>
      <c r="O69" s="78">
        <v>0.4</v>
      </c>
      <c r="P69" s="78">
        <v>0.41</v>
      </c>
      <c r="Q69" s="44">
        <f t="shared" si="5"/>
        <v>0.40500000000000003</v>
      </c>
      <c r="R69" s="78">
        <v>12.5</v>
      </c>
      <c r="S69" s="78">
        <v>113</v>
      </c>
      <c r="T69" s="16">
        <f t="shared" si="3"/>
        <v>30</v>
      </c>
      <c r="U69" s="78">
        <v>498</v>
      </c>
      <c r="V69" s="16">
        <f t="shared" si="4"/>
        <v>16</v>
      </c>
      <c r="W69" s="78">
        <v>2</v>
      </c>
      <c r="X69" s="78" t="s">
        <v>35</v>
      </c>
      <c r="Y69" s="78" t="s">
        <v>64</v>
      </c>
      <c r="Z69" s="78" t="s">
        <v>47</v>
      </c>
      <c r="AA69" s="78" t="s">
        <v>76</v>
      </c>
      <c r="AB69" s="78" t="s">
        <v>161</v>
      </c>
    </row>
    <row r="70" spans="1:28" x14ac:dyDescent="0.15">
      <c r="A70" s="78" t="s">
        <v>46</v>
      </c>
      <c r="B70" s="78" t="s">
        <v>160</v>
      </c>
      <c r="C70" s="169">
        <v>2020</v>
      </c>
      <c r="D70" s="170" t="s">
        <v>301</v>
      </c>
      <c r="E70" s="78" t="s">
        <v>327</v>
      </c>
      <c r="F70" s="78" t="s">
        <v>315</v>
      </c>
      <c r="G70" s="78" t="s">
        <v>25</v>
      </c>
      <c r="H70" s="78" t="s">
        <v>113</v>
      </c>
      <c r="I70" s="78" t="s">
        <v>111</v>
      </c>
      <c r="J70" s="78" t="s">
        <v>27</v>
      </c>
      <c r="K70" s="78" t="s">
        <v>112</v>
      </c>
      <c r="L70" s="78">
        <v>3</v>
      </c>
      <c r="N70" s="78">
        <v>10</v>
      </c>
      <c r="O70" s="78">
        <v>0.35</v>
      </c>
      <c r="P70" s="78">
        <v>0.39</v>
      </c>
      <c r="Q70" s="44">
        <f t="shared" si="5"/>
        <v>0.37</v>
      </c>
      <c r="R70" s="78">
        <v>12.7</v>
      </c>
      <c r="S70" s="78">
        <v>116</v>
      </c>
      <c r="T70" s="16">
        <f t="shared" si="3"/>
        <v>30</v>
      </c>
      <c r="U70" s="78">
        <v>498</v>
      </c>
      <c r="V70" s="16">
        <f t="shared" si="4"/>
        <v>16</v>
      </c>
      <c r="W70" s="78">
        <v>2</v>
      </c>
      <c r="X70" s="78" t="s">
        <v>35</v>
      </c>
      <c r="Y70" s="78" t="s">
        <v>64</v>
      </c>
      <c r="Z70" s="78" t="s">
        <v>47</v>
      </c>
      <c r="AA70" s="78" t="s">
        <v>76</v>
      </c>
      <c r="AB70" s="78" t="s">
        <v>161</v>
      </c>
    </row>
    <row r="71" spans="1:28" x14ac:dyDescent="0.15">
      <c r="A71" s="78" t="s">
        <v>46</v>
      </c>
      <c r="B71" s="78" t="s">
        <v>160</v>
      </c>
      <c r="C71" s="169">
        <v>2020</v>
      </c>
      <c r="D71" s="170" t="s">
        <v>301</v>
      </c>
      <c r="E71" s="78" t="s">
        <v>327</v>
      </c>
      <c r="F71" s="78" t="s">
        <v>315</v>
      </c>
      <c r="G71" s="78" t="s">
        <v>25</v>
      </c>
      <c r="H71" s="78" t="s">
        <v>113</v>
      </c>
      <c r="I71" s="78" t="s">
        <v>111</v>
      </c>
      <c r="J71" s="78" t="s">
        <v>27</v>
      </c>
      <c r="K71" s="78" t="s">
        <v>112</v>
      </c>
      <c r="L71" s="78">
        <v>1</v>
      </c>
      <c r="N71" s="78">
        <v>1</v>
      </c>
      <c r="O71" s="78">
        <v>0.6</v>
      </c>
      <c r="P71" s="78">
        <v>0.57999999999999996</v>
      </c>
      <c r="Q71" s="44">
        <f t="shared" si="5"/>
        <v>0.59</v>
      </c>
      <c r="R71" s="78">
        <v>15.2</v>
      </c>
      <c r="S71" s="78">
        <v>136</v>
      </c>
      <c r="T71" s="16">
        <f t="shared" si="3"/>
        <v>25</v>
      </c>
      <c r="U71" s="78">
        <v>158</v>
      </c>
      <c r="V71" s="16">
        <f t="shared" si="4"/>
        <v>18</v>
      </c>
      <c r="W71" s="78">
        <v>1</v>
      </c>
      <c r="X71" s="78" t="s">
        <v>35</v>
      </c>
      <c r="Y71" s="78" t="s">
        <v>64</v>
      </c>
      <c r="Z71" s="78" t="s">
        <v>47</v>
      </c>
      <c r="AA71" s="78" t="s">
        <v>76</v>
      </c>
      <c r="AB71" s="78" t="s">
        <v>161</v>
      </c>
    </row>
    <row r="72" spans="1:28" x14ac:dyDescent="0.15">
      <c r="A72" s="78" t="s">
        <v>46</v>
      </c>
      <c r="B72" s="78" t="s">
        <v>160</v>
      </c>
      <c r="C72" s="169">
        <v>2020</v>
      </c>
      <c r="D72" s="170" t="s">
        <v>301</v>
      </c>
      <c r="E72" s="78" t="s">
        <v>327</v>
      </c>
      <c r="F72" s="78" t="s">
        <v>315</v>
      </c>
      <c r="G72" s="78" t="s">
        <v>25</v>
      </c>
      <c r="H72" s="78" t="s">
        <v>113</v>
      </c>
      <c r="I72" s="78" t="s">
        <v>111</v>
      </c>
      <c r="J72" s="78" t="s">
        <v>27</v>
      </c>
      <c r="K72" s="78" t="s">
        <v>112</v>
      </c>
      <c r="L72" s="78">
        <v>2</v>
      </c>
      <c r="N72" s="78">
        <v>1</v>
      </c>
      <c r="O72" s="78">
        <v>0.36</v>
      </c>
      <c r="P72" s="78">
        <v>0.37</v>
      </c>
      <c r="Q72" s="44">
        <f t="shared" si="5"/>
        <v>0.36499999999999999</v>
      </c>
      <c r="R72" s="78">
        <v>16.7</v>
      </c>
      <c r="S72" s="78">
        <v>144</v>
      </c>
      <c r="T72" s="16">
        <f t="shared" si="3"/>
        <v>22</v>
      </c>
      <c r="U72" s="78">
        <v>158</v>
      </c>
      <c r="V72" s="16">
        <f t="shared" si="4"/>
        <v>18</v>
      </c>
      <c r="W72" s="78">
        <v>1</v>
      </c>
      <c r="X72" s="78" t="s">
        <v>35</v>
      </c>
      <c r="Y72" s="78" t="s">
        <v>64</v>
      </c>
      <c r="Z72" s="78" t="s">
        <v>47</v>
      </c>
      <c r="AA72" s="78" t="s">
        <v>76</v>
      </c>
      <c r="AB72" s="78" t="s">
        <v>161</v>
      </c>
    </row>
    <row r="73" spans="1:28" x14ac:dyDescent="0.15">
      <c r="A73" s="78" t="s">
        <v>46</v>
      </c>
      <c r="B73" s="78" t="s">
        <v>160</v>
      </c>
      <c r="C73" s="169">
        <v>2020</v>
      </c>
      <c r="D73" s="170" t="s">
        <v>301</v>
      </c>
      <c r="E73" s="78" t="s">
        <v>327</v>
      </c>
      <c r="F73" s="78" t="s">
        <v>315</v>
      </c>
      <c r="G73" s="78" t="s">
        <v>25</v>
      </c>
      <c r="H73" s="78" t="s">
        <v>113</v>
      </c>
      <c r="I73" s="78" t="s">
        <v>111</v>
      </c>
      <c r="J73" s="78" t="s">
        <v>27</v>
      </c>
      <c r="K73" s="78" t="s">
        <v>112</v>
      </c>
      <c r="L73" s="78">
        <v>3</v>
      </c>
      <c r="N73" s="78">
        <v>1</v>
      </c>
      <c r="O73" s="78">
        <v>0.59</v>
      </c>
      <c r="P73" s="78">
        <v>0.63</v>
      </c>
      <c r="Q73" s="44">
        <f t="shared" si="5"/>
        <v>0.61</v>
      </c>
      <c r="R73" s="78">
        <v>15.1</v>
      </c>
      <c r="S73" s="78">
        <v>140</v>
      </c>
      <c r="T73" s="16">
        <f t="shared" si="3"/>
        <v>22</v>
      </c>
      <c r="U73" s="78">
        <v>158</v>
      </c>
      <c r="V73" s="16">
        <f t="shared" si="4"/>
        <v>18</v>
      </c>
      <c r="W73" s="78">
        <v>1</v>
      </c>
      <c r="X73" s="78" t="s">
        <v>35</v>
      </c>
      <c r="Y73" s="78" t="s">
        <v>64</v>
      </c>
      <c r="Z73" s="78" t="s">
        <v>47</v>
      </c>
      <c r="AA73" s="78" t="s">
        <v>76</v>
      </c>
      <c r="AB73" s="78" t="s">
        <v>161</v>
      </c>
    </row>
    <row r="74" spans="1:28" x14ac:dyDescent="0.15">
      <c r="A74" s="78" t="s">
        <v>46</v>
      </c>
      <c r="B74" s="78" t="s">
        <v>160</v>
      </c>
      <c r="C74" s="169">
        <v>2020</v>
      </c>
      <c r="D74" s="170" t="s">
        <v>301</v>
      </c>
      <c r="E74" s="78" t="s">
        <v>327</v>
      </c>
      <c r="F74" s="78" t="s">
        <v>315</v>
      </c>
      <c r="G74" s="78" t="s">
        <v>25</v>
      </c>
      <c r="H74" s="78" t="s">
        <v>165</v>
      </c>
      <c r="I74" s="78" t="s">
        <v>111</v>
      </c>
      <c r="J74" s="78" t="s">
        <v>27</v>
      </c>
      <c r="K74" s="78" t="s">
        <v>112</v>
      </c>
      <c r="L74" s="78">
        <v>1</v>
      </c>
      <c r="N74" s="78">
        <v>5</v>
      </c>
      <c r="O74" s="78">
        <v>0.47</v>
      </c>
      <c r="P74" s="78">
        <v>0.47</v>
      </c>
      <c r="Q74" s="44">
        <f t="shared" si="5"/>
        <v>0.47</v>
      </c>
      <c r="R74" s="78">
        <v>14.6</v>
      </c>
      <c r="S74" s="78">
        <v>89</v>
      </c>
      <c r="T74" s="16">
        <f t="shared" si="3"/>
        <v>36</v>
      </c>
      <c r="U74" s="78">
        <v>398</v>
      </c>
      <c r="V74" s="16">
        <f t="shared" si="4"/>
        <v>16</v>
      </c>
      <c r="W74" s="78">
        <v>1</v>
      </c>
      <c r="X74" s="78" t="s">
        <v>35</v>
      </c>
      <c r="Y74" s="78" t="s">
        <v>64</v>
      </c>
      <c r="Z74" s="78" t="s">
        <v>47</v>
      </c>
      <c r="AA74" s="78" t="s">
        <v>76</v>
      </c>
      <c r="AB74" s="78" t="s">
        <v>161</v>
      </c>
    </row>
    <row r="75" spans="1:28" x14ac:dyDescent="0.15">
      <c r="A75" s="78" t="s">
        <v>46</v>
      </c>
      <c r="B75" s="78" t="s">
        <v>160</v>
      </c>
      <c r="C75" s="169">
        <v>2020</v>
      </c>
      <c r="D75" s="170" t="s">
        <v>301</v>
      </c>
      <c r="E75" s="78" t="s">
        <v>327</v>
      </c>
      <c r="F75" s="78" t="s">
        <v>315</v>
      </c>
      <c r="G75" s="78" t="s">
        <v>25</v>
      </c>
      <c r="H75" s="78" t="s">
        <v>165</v>
      </c>
      <c r="I75" s="78" t="s">
        <v>111</v>
      </c>
      <c r="J75" s="78" t="s">
        <v>27</v>
      </c>
      <c r="K75" s="78" t="s">
        <v>112</v>
      </c>
      <c r="L75" s="78">
        <v>2</v>
      </c>
      <c r="N75" s="78">
        <v>5</v>
      </c>
      <c r="O75" s="78">
        <v>0.4</v>
      </c>
      <c r="P75" s="78">
        <v>0.46</v>
      </c>
      <c r="Q75" s="44">
        <f t="shared" si="5"/>
        <v>0.43000000000000005</v>
      </c>
      <c r="R75" s="78">
        <v>14.4</v>
      </c>
      <c r="S75" s="78">
        <v>104</v>
      </c>
      <c r="T75" s="16">
        <f t="shared" si="3"/>
        <v>33</v>
      </c>
      <c r="U75" s="78">
        <v>398</v>
      </c>
      <c r="V75" s="16">
        <f t="shared" si="4"/>
        <v>16</v>
      </c>
      <c r="W75" s="78">
        <v>1</v>
      </c>
      <c r="X75" s="78" t="s">
        <v>35</v>
      </c>
      <c r="Y75" s="78" t="s">
        <v>64</v>
      </c>
      <c r="Z75" s="78" t="s">
        <v>47</v>
      </c>
      <c r="AA75" s="78" t="s">
        <v>76</v>
      </c>
      <c r="AB75" s="78" t="s">
        <v>161</v>
      </c>
    </row>
    <row r="76" spans="1:28" x14ac:dyDescent="0.15">
      <c r="A76" s="78" t="s">
        <v>46</v>
      </c>
      <c r="B76" s="78" t="s">
        <v>160</v>
      </c>
      <c r="C76" s="169">
        <v>2020</v>
      </c>
      <c r="D76" s="170" t="s">
        <v>301</v>
      </c>
      <c r="E76" s="78" t="s">
        <v>327</v>
      </c>
      <c r="F76" s="78" t="s">
        <v>315</v>
      </c>
      <c r="G76" s="78" t="s">
        <v>25</v>
      </c>
      <c r="H76" s="78" t="s">
        <v>165</v>
      </c>
      <c r="I76" s="78" t="s">
        <v>111</v>
      </c>
      <c r="J76" s="78" t="s">
        <v>27</v>
      </c>
      <c r="K76" s="78" t="s">
        <v>112</v>
      </c>
      <c r="L76" s="78">
        <v>3</v>
      </c>
      <c r="N76" s="78">
        <v>5</v>
      </c>
      <c r="O76" s="78">
        <v>0.31</v>
      </c>
      <c r="P76" s="78">
        <v>0.3</v>
      </c>
      <c r="Q76" s="44">
        <f t="shared" si="5"/>
        <v>0.30499999999999999</v>
      </c>
      <c r="R76" s="78">
        <v>15.6</v>
      </c>
      <c r="S76" s="78">
        <v>98</v>
      </c>
      <c r="T76" s="16">
        <f t="shared" si="3"/>
        <v>36</v>
      </c>
      <c r="U76" s="78">
        <v>398</v>
      </c>
      <c r="V76" s="16">
        <f t="shared" si="4"/>
        <v>16</v>
      </c>
      <c r="W76" s="78">
        <v>1</v>
      </c>
      <c r="X76" s="78" t="s">
        <v>35</v>
      </c>
      <c r="Y76" s="78" t="s">
        <v>64</v>
      </c>
      <c r="Z76" s="78" t="s">
        <v>47</v>
      </c>
      <c r="AA76" s="78" t="s">
        <v>76</v>
      </c>
      <c r="AB76" s="78" t="s">
        <v>161</v>
      </c>
    </row>
    <row r="77" spans="1:28" x14ac:dyDescent="0.15">
      <c r="A77" s="78" t="s">
        <v>46</v>
      </c>
      <c r="B77" s="78" t="s">
        <v>160</v>
      </c>
      <c r="C77" s="169">
        <v>2020</v>
      </c>
      <c r="D77" s="170" t="s">
        <v>301</v>
      </c>
      <c r="E77" s="78" t="s">
        <v>197</v>
      </c>
      <c r="F77" s="78" t="s">
        <v>324</v>
      </c>
      <c r="G77" s="78" t="s">
        <v>25</v>
      </c>
      <c r="H77" s="78" t="s">
        <v>167</v>
      </c>
      <c r="I77" s="78" t="s">
        <v>111</v>
      </c>
      <c r="J77" s="78" t="s">
        <v>27</v>
      </c>
      <c r="K77" s="78" t="s">
        <v>112</v>
      </c>
      <c r="L77" s="78">
        <v>1</v>
      </c>
      <c r="N77" s="78">
        <v>1</v>
      </c>
      <c r="O77" s="78">
        <v>0.48</v>
      </c>
      <c r="P77" s="78">
        <v>0.53</v>
      </c>
      <c r="Q77" s="44">
        <f t="shared" si="5"/>
        <v>0.505</v>
      </c>
      <c r="R77" s="78">
        <v>14.2</v>
      </c>
      <c r="S77" s="78">
        <v>125</v>
      </c>
      <c r="T77" s="16">
        <f t="shared" si="3"/>
        <v>27</v>
      </c>
      <c r="U77" s="78">
        <v>98</v>
      </c>
      <c r="V77" s="16">
        <f t="shared" si="4"/>
        <v>36</v>
      </c>
      <c r="W77" s="78">
        <v>7</v>
      </c>
      <c r="X77" s="78" t="s">
        <v>35</v>
      </c>
      <c r="Y77" s="78" t="s">
        <v>55</v>
      </c>
      <c r="Z77" s="78" t="s">
        <v>43</v>
      </c>
      <c r="AA77" s="78" t="s">
        <v>76</v>
      </c>
      <c r="AB77" s="78" t="s">
        <v>161</v>
      </c>
    </row>
    <row r="78" spans="1:28" x14ac:dyDescent="0.15">
      <c r="A78" s="78" t="s">
        <v>46</v>
      </c>
      <c r="B78" s="78" t="s">
        <v>160</v>
      </c>
      <c r="C78" s="169">
        <v>2020</v>
      </c>
      <c r="D78" s="170" t="s">
        <v>301</v>
      </c>
      <c r="E78" s="78" t="s">
        <v>197</v>
      </c>
      <c r="F78" s="78" t="s">
        <v>324</v>
      </c>
      <c r="G78" s="78" t="s">
        <v>25</v>
      </c>
      <c r="H78" s="78" t="s">
        <v>167</v>
      </c>
      <c r="I78" s="78" t="s">
        <v>111</v>
      </c>
      <c r="J78" s="78" t="s">
        <v>27</v>
      </c>
      <c r="K78" s="78" t="s">
        <v>112</v>
      </c>
      <c r="L78" s="78">
        <v>2</v>
      </c>
      <c r="N78" s="78">
        <v>1</v>
      </c>
      <c r="O78" s="78">
        <v>0.44</v>
      </c>
      <c r="P78" s="78">
        <v>0.43</v>
      </c>
      <c r="Q78" s="44">
        <f t="shared" si="5"/>
        <v>0.435</v>
      </c>
      <c r="R78" s="78">
        <v>15</v>
      </c>
      <c r="S78" s="78">
        <v>116</v>
      </c>
      <c r="T78" s="16">
        <f t="shared" si="3"/>
        <v>30</v>
      </c>
      <c r="U78" s="78">
        <v>98</v>
      </c>
      <c r="V78" s="16">
        <f t="shared" si="4"/>
        <v>36</v>
      </c>
      <c r="W78" s="78">
        <v>7</v>
      </c>
      <c r="X78" s="78" t="s">
        <v>35</v>
      </c>
      <c r="Y78" s="78" t="s">
        <v>55</v>
      </c>
      <c r="Z78" s="78" t="s">
        <v>43</v>
      </c>
      <c r="AA78" s="78" t="s">
        <v>76</v>
      </c>
      <c r="AB78" s="78" t="s">
        <v>161</v>
      </c>
    </row>
    <row r="79" spans="1:28" x14ac:dyDescent="0.15">
      <c r="A79" s="78" t="s">
        <v>46</v>
      </c>
      <c r="B79" s="78" t="s">
        <v>160</v>
      </c>
      <c r="C79" s="169">
        <v>2020</v>
      </c>
      <c r="D79" s="170" t="s">
        <v>301</v>
      </c>
      <c r="E79" s="78" t="s">
        <v>197</v>
      </c>
      <c r="F79" s="78" t="s">
        <v>324</v>
      </c>
      <c r="G79" s="78" t="s">
        <v>25</v>
      </c>
      <c r="H79" s="78" t="s">
        <v>167</v>
      </c>
      <c r="I79" s="78" t="s">
        <v>111</v>
      </c>
      <c r="J79" s="78" t="s">
        <v>27</v>
      </c>
      <c r="K79" s="78" t="s">
        <v>112</v>
      </c>
      <c r="L79" s="78">
        <v>3</v>
      </c>
      <c r="N79" s="78">
        <v>1</v>
      </c>
      <c r="O79" s="78">
        <v>0.43</v>
      </c>
      <c r="P79" s="78">
        <v>0.47</v>
      </c>
      <c r="Q79" s="44">
        <f t="shared" si="5"/>
        <v>0.44999999999999996</v>
      </c>
      <c r="R79" s="78">
        <v>14.7</v>
      </c>
      <c r="S79" s="78">
        <v>122</v>
      </c>
      <c r="T79" s="16">
        <f t="shared" si="3"/>
        <v>27</v>
      </c>
      <c r="U79" s="78">
        <v>98</v>
      </c>
      <c r="V79" s="16">
        <f t="shared" si="4"/>
        <v>36</v>
      </c>
      <c r="W79" s="78">
        <v>7</v>
      </c>
      <c r="X79" s="78" t="s">
        <v>35</v>
      </c>
      <c r="Y79" s="78" t="s">
        <v>55</v>
      </c>
      <c r="Z79" s="78" t="s">
        <v>43</v>
      </c>
      <c r="AA79" s="78" t="s">
        <v>76</v>
      </c>
      <c r="AB79" s="78" t="s">
        <v>161</v>
      </c>
    </row>
    <row r="80" spans="1:28" x14ac:dyDescent="0.15">
      <c r="A80" s="78" t="s">
        <v>46</v>
      </c>
      <c r="B80" s="78" t="s">
        <v>160</v>
      </c>
      <c r="C80" s="169">
        <v>2020</v>
      </c>
      <c r="D80" s="170" t="s">
        <v>301</v>
      </c>
      <c r="E80" s="78" t="s">
        <v>197</v>
      </c>
      <c r="F80" s="78" t="s">
        <v>324</v>
      </c>
      <c r="G80" s="78" t="s">
        <v>25</v>
      </c>
      <c r="H80" s="78" t="s">
        <v>113</v>
      </c>
      <c r="I80" s="78" t="s">
        <v>111</v>
      </c>
      <c r="J80" s="78" t="s">
        <v>27</v>
      </c>
      <c r="K80" s="78" t="s">
        <v>112</v>
      </c>
      <c r="L80" s="78">
        <v>1</v>
      </c>
      <c r="N80" s="78">
        <v>10</v>
      </c>
      <c r="O80" s="78">
        <v>0.39</v>
      </c>
      <c r="P80" s="78">
        <v>0.41</v>
      </c>
      <c r="Q80" s="44">
        <f t="shared" si="5"/>
        <v>0.4</v>
      </c>
      <c r="R80" s="78">
        <v>13.2</v>
      </c>
      <c r="S80" s="78">
        <v>84</v>
      </c>
      <c r="T80" s="16">
        <f t="shared" si="3"/>
        <v>36</v>
      </c>
      <c r="U80" s="78">
        <v>598</v>
      </c>
      <c r="V80" s="16">
        <f t="shared" si="4"/>
        <v>16</v>
      </c>
      <c r="W80" s="78">
        <v>1</v>
      </c>
      <c r="X80" s="78" t="s">
        <v>35</v>
      </c>
      <c r="Y80" s="78" t="s">
        <v>55</v>
      </c>
      <c r="Z80" s="78" t="s">
        <v>43</v>
      </c>
      <c r="AA80" s="78" t="s">
        <v>76</v>
      </c>
      <c r="AB80" s="78" t="s">
        <v>161</v>
      </c>
    </row>
    <row r="81" spans="1:28" x14ac:dyDescent="0.15">
      <c r="A81" s="78" t="s">
        <v>46</v>
      </c>
      <c r="B81" s="78" t="s">
        <v>160</v>
      </c>
      <c r="C81" s="169">
        <v>2020</v>
      </c>
      <c r="D81" s="170" t="s">
        <v>301</v>
      </c>
      <c r="E81" s="78" t="s">
        <v>197</v>
      </c>
      <c r="F81" s="78" t="s">
        <v>324</v>
      </c>
      <c r="G81" s="78" t="s">
        <v>25</v>
      </c>
      <c r="H81" s="78" t="s">
        <v>113</v>
      </c>
      <c r="I81" s="78" t="s">
        <v>111</v>
      </c>
      <c r="J81" s="78" t="s">
        <v>27</v>
      </c>
      <c r="K81" s="78" t="s">
        <v>112</v>
      </c>
      <c r="L81" s="78">
        <v>2</v>
      </c>
      <c r="N81" s="78">
        <v>10</v>
      </c>
      <c r="O81" s="78">
        <v>0.46</v>
      </c>
      <c r="P81" s="78">
        <v>0.46</v>
      </c>
      <c r="Q81" s="44">
        <f t="shared" si="5"/>
        <v>0.46</v>
      </c>
      <c r="R81" s="78">
        <v>12.3</v>
      </c>
      <c r="S81" s="78">
        <v>85</v>
      </c>
      <c r="T81" s="16">
        <f t="shared" si="3"/>
        <v>36</v>
      </c>
      <c r="U81" s="78">
        <v>598</v>
      </c>
      <c r="V81" s="16">
        <f t="shared" si="4"/>
        <v>16</v>
      </c>
      <c r="W81" s="78">
        <v>1</v>
      </c>
      <c r="X81" s="78" t="s">
        <v>35</v>
      </c>
      <c r="Y81" s="78" t="s">
        <v>55</v>
      </c>
      <c r="Z81" s="78" t="s">
        <v>43</v>
      </c>
      <c r="AA81" s="78" t="s">
        <v>76</v>
      </c>
      <c r="AB81" s="78" t="s">
        <v>161</v>
      </c>
    </row>
    <row r="82" spans="1:28" x14ac:dyDescent="0.15">
      <c r="A82" s="78" t="s">
        <v>46</v>
      </c>
      <c r="B82" s="78" t="s">
        <v>160</v>
      </c>
      <c r="C82" s="169">
        <v>2020</v>
      </c>
      <c r="D82" s="170" t="s">
        <v>301</v>
      </c>
      <c r="E82" s="78" t="s">
        <v>197</v>
      </c>
      <c r="F82" s="78" t="s">
        <v>324</v>
      </c>
      <c r="G82" s="78" t="s">
        <v>25</v>
      </c>
      <c r="H82" s="78" t="s">
        <v>113</v>
      </c>
      <c r="I82" s="78" t="s">
        <v>111</v>
      </c>
      <c r="J82" s="78" t="s">
        <v>27</v>
      </c>
      <c r="K82" s="78" t="s">
        <v>112</v>
      </c>
      <c r="L82" s="78">
        <v>3</v>
      </c>
      <c r="N82" s="78">
        <v>10</v>
      </c>
      <c r="O82" s="78">
        <v>0.45</v>
      </c>
      <c r="P82" s="78">
        <v>0.44</v>
      </c>
      <c r="Q82" s="44">
        <f t="shared" si="5"/>
        <v>0.44500000000000001</v>
      </c>
      <c r="R82" s="78">
        <v>13.3</v>
      </c>
      <c r="S82" s="78">
        <v>93</v>
      </c>
      <c r="T82" s="16">
        <f t="shared" si="3"/>
        <v>36</v>
      </c>
      <c r="U82" s="78">
        <v>598</v>
      </c>
      <c r="V82" s="16">
        <f t="shared" si="4"/>
        <v>16</v>
      </c>
      <c r="W82" s="78">
        <v>1</v>
      </c>
      <c r="X82" s="78" t="s">
        <v>35</v>
      </c>
      <c r="Y82" s="78" t="s">
        <v>55</v>
      </c>
      <c r="Z82" s="78" t="s">
        <v>43</v>
      </c>
      <c r="AA82" s="78" t="s">
        <v>76</v>
      </c>
      <c r="AB82" s="78" t="s">
        <v>161</v>
      </c>
    </row>
    <row r="83" spans="1:28" x14ac:dyDescent="0.15">
      <c r="A83" s="78" t="s">
        <v>46</v>
      </c>
      <c r="B83" s="78" t="s">
        <v>160</v>
      </c>
      <c r="C83" s="169">
        <v>2020</v>
      </c>
      <c r="D83" s="170" t="s">
        <v>301</v>
      </c>
      <c r="E83" s="78" t="s">
        <v>197</v>
      </c>
      <c r="F83" s="78" t="s">
        <v>324</v>
      </c>
      <c r="G83" s="78" t="s">
        <v>25</v>
      </c>
      <c r="H83" s="78" t="s">
        <v>113</v>
      </c>
      <c r="I83" s="78" t="s">
        <v>111</v>
      </c>
      <c r="J83" s="78" t="s">
        <v>27</v>
      </c>
      <c r="K83" s="78" t="s">
        <v>112</v>
      </c>
      <c r="L83" s="78">
        <v>1</v>
      </c>
      <c r="N83" s="78">
        <v>4</v>
      </c>
      <c r="O83" s="78">
        <v>0.21</v>
      </c>
      <c r="P83" s="78">
        <v>0.23</v>
      </c>
      <c r="Q83" s="44">
        <f t="shared" si="5"/>
        <v>0.22</v>
      </c>
      <c r="R83" s="78">
        <v>14.1</v>
      </c>
      <c r="S83" s="78">
        <v>105</v>
      </c>
      <c r="T83" s="16">
        <f t="shared" ref="T83:T96" si="6">IF(H83="","",IF(OR(H83="GREEN",H83="GK"),IF(S89&gt;=$AX$2,VLOOKUP(S89,$AX$2:$AY$12,2,1),""),IF(S89&gt;=$AZ$2,VLOOKUP(S89,$AZ$2:$BA$12,2,1),"")))</f>
        <v>36</v>
      </c>
      <c r="U83" s="78">
        <v>298</v>
      </c>
      <c r="V83" s="16">
        <f t="shared" si="4"/>
        <v>16</v>
      </c>
      <c r="W83" s="78">
        <v>3</v>
      </c>
      <c r="X83" s="78" t="s">
        <v>35</v>
      </c>
      <c r="Y83" s="78" t="s">
        <v>55</v>
      </c>
      <c r="Z83" s="78" t="s">
        <v>43</v>
      </c>
      <c r="AA83" s="78" t="s">
        <v>76</v>
      </c>
      <c r="AB83" s="78" t="s">
        <v>161</v>
      </c>
    </row>
    <row r="84" spans="1:28" x14ac:dyDescent="0.15">
      <c r="A84" s="78" t="s">
        <v>46</v>
      </c>
      <c r="B84" s="78" t="s">
        <v>160</v>
      </c>
      <c r="C84" s="169">
        <v>2020</v>
      </c>
      <c r="D84" s="170" t="s">
        <v>301</v>
      </c>
      <c r="E84" s="78" t="s">
        <v>197</v>
      </c>
      <c r="F84" s="78" t="s">
        <v>324</v>
      </c>
      <c r="G84" s="78" t="s">
        <v>25</v>
      </c>
      <c r="H84" s="78" t="s">
        <v>113</v>
      </c>
      <c r="I84" s="78" t="s">
        <v>111</v>
      </c>
      <c r="J84" s="78" t="s">
        <v>27</v>
      </c>
      <c r="K84" s="78" t="s">
        <v>112</v>
      </c>
      <c r="L84" s="78">
        <v>2</v>
      </c>
      <c r="N84" s="78">
        <v>4</v>
      </c>
      <c r="O84" s="78">
        <v>0.22</v>
      </c>
      <c r="P84" s="78">
        <v>0.22</v>
      </c>
      <c r="Q84" s="44">
        <f t="shared" si="5"/>
        <v>0.22</v>
      </c>
      <c r="R84" s="78">
        <v>14.5</v>
      </c>
      <c r="S84" s="78">
        <v>99</v>
      </c>
      <c r="T84" s="16">
        <f t="shared" si="6"/>
        <v>33</v>
      </c>
      <c r="U84" s="78">
        <v>298</v>
      </c>
      <c r="V84" s="16">
        <f t="shared" si="4"/>
        <v>16</v>
      </c>
      <c r="W84" s="78">
        <v>3</v>
      </c>
      <c r="X84" s="78" t="s">
        <v>35</v>
      </c>
      <c r="Y84" s="78" t="s">
        <v>55</v>
      </c>
      <c r="Z84" s="78" t="s">
        <v>43</v>
      </c>
      <c r="AA84" s="78" t="s">
        <v>76</v>
      </c>
      <c r="AB84" s="78" t="s">
        <v>161</v>
      </c>
    </row>
    <row r="85" spans="1:28" x14ac:dyDescent="0.15">
      <c r="A85" s="78" t="s">
        <v>46</v>
      </c>
      <c r="B85" s="78" t="s">
        <v>160</v>
      </c>
      <c r="C85" s="169">
        <v>2020</v>
      </c>
      <c r="D85" s="170" t="s">
        <v>301</v>
      </c>
      <c r="E85" s="78" t="s">
        <v>197</v>
      </c>
      <c r="F85" s="78" t="s">
        <v>324</v>
      </c>
      <c r="G85" s="78" t="s">
        <v>25</v>
      </c>
      <c r="H85" s="78" t="s">
        <v>113</v>
      </c>
      <c r="I85" s="78" t="s">
        <v>111</v>
      </c>
      <c r="J85" s="78" t="s">
        <v>27</v>
      </c>
      <c r="K85" s="78" t="s">
        <v>112</v>
      </c>
      <c r="L85" s="78">
        <v>3</v>
      </c>
      <c r="N85" s="78">
        <v>4</v>
      </c>
      <c r="O85" s="78">
        <v>0.44</v>
      </c>
      <c r="P85" s="78">
        <v>0.41</v>
      </c>
      <c r="Q85" s="44">
        <f t="shared" si="5"/>
        <v>0.42499999999999999</v>
      </c>
      <c r="R85" s="78">
        <v>12.3</v>
      </c>
      <c r="S85" s="78">
        <v>109</v>
      </c>
      <c r="T85" s="16">
        <f t="shared" si="6"/>
        <v>33</v>
      </c>
      <c r="U85" s="78">
        <v>298</v>
      </c>
      <c r="V85" s="16">
        <f t="shared" si="4"/>
        <v>16</v>
      </c>
      <c r="W85" s="78">
        <v>3</v>
      </c>
      <c r="X85" s="78" t="s">
        <v>35</v>
      </c>
      <c r="Y85" s="78" t="s">
        <v>55</v>
      </c>
      <c r="Z85" s="78" t="s">
        <v>43</v>
      </c>
      <c r="AA85" s="78" t="s">
        <v>76</v>
      </c>
      <c r="AB85" s="78" t="s">
        <v>161</v>
      </c>
    </row>
    <row r="86" spans="1:28" x14ac:dyDescent="0.15">
      <c r="A86" s="78" t="s">
        <v>46</v>
      </c>
      <c r="B86" s="78" t="s">
        <v>160</v>
      </c>
      <c r="C86" s="169">
        <v>2020</v>
      </c>
      <c r="D86" s="170" t="s">
        <v>301</v>
      </c>
      <c r="E86" s="78" t="s">
        <v>197</v>
      </c>
      <c r="F86" s="78" t="s">
        <v>324</v>
      </c>
      <c r="G86" s="78" t="s">
        <v>25</v>
      </c>
      <c r="H86" s="78" t="s">
        <v>113</v>
      </c>
      <c r="I86" s="78" t="s">
        <v>111</v>
      </c>
      <c r="J86" s="78" t="s">
        <v>27</v>
      </c>
      <c r="K86" s="78" t="s">
        <v>112</v>
      </c>
      <c r="L86" s="78">
        <v>1</v>
      </c>
      <c r="N86" s="78">
        <v>1</v>
      </c>
      <c r="O86" s="78">
        <v>0.4</v>
      </c>
      <c r="P86" s="78">
        <v>0.33</v>
      </c>
      <c r="Q86" s="44">
        <f t="shared" si="5"/>
        <v>0.36499999999999999</v>
      </c>
      <c r="R86" s="78">
        <v>14.2</v>
      </c>
      <c r="S86" s="78">
        <v>125</v>
      </c>
      <c r="T86" s="16">
        <f t="shared" si="6"/>
        <v>25</v>
      </c>
      <c r="U86" s="78">
        <v>98</v>
      </c>
      <c r="V86" s="16">
        <f t="shared" si="4"/>
        <v>36</v>
      </c>
      <c r="W86" s="78">
        <v>1</v>
      </c>
      <c r="X86" s="78" t="s">
        <v>35</v>
      </c>
      <c r="Y86" s="78" t="s">
        <v>55</v>
      </c>
      <c r="Z86" s="78" t="s">
        <v>43</v>
      </c>
      <c r="AA86" s="78" t="s">
        <v>76</v>
      </c>
      <c r="AB86" s="78" t="s">
        <v>161</v>
      </c>
    </row>
    <row r="87" spans="1:28" x14ac:dyDescent="0.15">
      <c r="A87" s="78" t="s">
        <v>46</v>
      </c>
      <c r="B87" s="78" t="s">
        <v>160</v>
      </c>
      <c r="C87" s="169">
        <v>2020</v>
      </c>
      <c r="D87" s="170" t="s">
        <v>301</v>
      </c>
      <c r="E87" s="78" t="s">
        <v>197</v>
      </c>
      <c r="F87" s="78" t="s">
        <v>324</v>
      </c>
      <c r="G87" s="78" t="s">
        <v>25</v>
      </c>
      <c r="H87" s="78" t="s">
        <v>113</v>
      </c>
      <c r="I87" s="78" t="s">
        <v>111</v>
      </c>
      <c r="J87" s="78" t="s">
        <v>27</v>
      </c>
      <c r="K87" s="78" t="s">
        <v>112</v>
      </c>
      <c r="L87" s="78">
        <v>2</v>
      </c>
      <c r="N87" s="78">
        <v>1</v>
      </c>
      <c r="O87" s="78">
        <v>0.3</v>
      </c>
      <c r="P87" s="78">
        <v>0.3</v>
      </c>
      <c r="Q87" s="44">
        <f t="shared" si="5"/>
        <v>0.3</v>
      </c>
      <c r="R87" s="78">
        <v>14.5</v>
      </c>
      <c r="S87" s="78">
        <v>120</v>
      </c>
      <c r="T87" s="16">
        <f t="shared" si="6"/>
        <v>25</v>
      </c>
      <c r="U87" s="78">
        <v>98</v>
      </c>
      <c r="V87" s="16">
        <f t="shared" si="4"/>
        <v>36</v>
      </c>
      <c r="W87" s="78">
        <v>1</v>
      </c>
      <c r="X87" s="78" t="s">
        <v>35</v>
      </c>
      <c r="Y87" s="78" t="s">
        <v>55</v>
      </c>
      <c r="Z87" s="78" t="s">
        <v>43</v>
      </c>
      <c r="AA87" s="78" t="s">
        <v>76</v>
      </c>
      <c r="AB87" s="78" t="s">
        <v>161</v>
      </c>
    </row>
    <row r="88" spans="1:28" x14ac:dyDescent="0.15">
      <c r="A88" s="78" t="s">
        <v>46</v>
      </c>
      <c r="B88" s="78" t="s">
        <v>160</v>
      </c>
      <c r="C88" s="169">
        <v>2020</v>
      </c>
      <c r="D88" s="170" t="s">
        <v>301</v>
      </c>
      <c r="E88" s="78" t="s">
        <v>197</v>
      </c>
      <c r="F88" s="78" t="s">
        <v>324</v>
      </c>
      <c r="G88" s="78" t="s">
        <v>25</v>
      </c>
      <c r="H88" s="78" t="s">
        <v>113</v>
      </c>
      <c r="I88" s="78" t="s">
        <v>111</v>
      </c>
      <c r="J88" s="78" t="s">
        <v>27</v>
      </c>
      <c r="K88" s="78" t="s">
        <v>112</v>
      </c>
      <c r="L88" s="78">
        <v>3</v>
      </c>
      <c r="N88" s="78">
        <v>1</v>
      </c>
      <c r="O88" s="78">
        <v>0.32</v>
      </c>
      <c r="P88" s="78">
        <v>0.34</v>
      </c>
      <c r="Q88" s="44">
        <f t="shared" si="5"/>
        <v>0.33</v>
      </c>
      <c r="R88" s="78">
        <v>14.2</v>
      </c>
      <c r="S88" s="78">
        <v>120</v>
      </c>
      <c r="T88" s="16">
        <f t="shared" si="6"/>
        <v>25</v>
      </c>
      <c r="U88" s="78">
        <v>98</v>
      </c>
      <c r="V88" s="16">
        <f t="shared" si="4"/>
        <v>36</v>
      </c>
      <c r="W88" s="78">
        <v>1</v>
      </c>
      <c r="X88" s="78" t="s">
        <v>35</v>
      </c>
      <c r="Y88" s="78" t="s">
        <v>55</v>
      </c>
      <c r="Z88" s="78" t="s">
        <v>43</v>
      </c>
      <c r="AA88" s="78" t="s">
        <v>76</v>
      </c>
      <c r="AB88" s="78" t="s">
        <v>161</v>
      </c>
    </row>
    <row r="89" spans="1:28" x14ac:dyDescent="0.15">
      <c r="A89" s="78" t="s">
        <v>46</v>
      </c>
      <c r="B89" s="78" t="s">
        <v>160</v>
      </c>
      <c r="C89" s="169">
        <v>2020</v>
      </c>
      <c r="D89" s="170" t="s">
        <v>301</v>
      </c>
      <c r="E89" s="78" t="s">
        <v>321</v>
      </c>
      <c r="F89" s="78" t="s">
        <v>322</v>
      </c>
      <c r="G89" s="78" t="s">
        <v>25</v>
      </c>
      <c r="H89" s="78" t="s">
        <v>167</v>
      </c>
      <c r="I89" s="78" t="s">
        <v>111</v>
      </c>
      <c r="J89" s="78" t="s">
        <v>27</v>
      </c>
      <c r="K89" s="78" t="s">
        <v>112</v>
      </c>
      <c r="L89" s="78">
        <v>1</v>
      </c>
      <c r="N89" s="78">
        <v>4</v>
      </c>
      <c r="O89" s="78">
        <v>0.43</v>
      </c>
      <c r="P89" s="78">
        <v>0.45</v>
      </c>
      <c r="Q89" s="44">
        <f t="shared" si="5"/>
        <v>0.44</v>
      </c>
      <c r="R89" s="78">
        <v>16.7</v>
      </c>
      <c r="S89" s="78">
        <v>89</v>
      </c>
      <c r="T89" s="16">
        <f t="shared" si="6"/>
        <v>22</v>
      </c>
      <c r="U89" s="78">
        <v>399</v>
      </c>
      <c r="V89" s="16">
        <f t="shared" si="4"/>
        <v>16</v>
      </c>
      <c r="W89" s="78">
        <v>3</v>
      </c>
      <c r="X89" s="78" t="s">
        <v>35</v>
      </c>
      <c r="Y89" s="78" t="s">
        <v>55</v>
      </c>
      <c r="Z89" s="78" t="s">
        <v>82</v>
      </c>
      <c r="AA89" s="78" t="s">
        <v>76</v>
      </c>
      <c r="AB89" s="78" t="s">
        <v>161</v>
      </c>
    </row>
    <row r="90" spans="1:28" x14ac:dyDescent="0.15">
      <c r="A90" s="78" t="s">
        <v>46</v>
      </c>
      <c r="B90" s="78" t="s">
        <v>160</v>
      </c>
      <c r="C90" s="169">
        <v>2020</v>
      </c>
      <c r="D90" s="170" t="s">
        <v>301</v>
      </c>
      <c r="E90" s="78" t="s">
        <v>321</v>
      </c>
      <c r="F90" s="78" t="s">
        <v>322</v>
      </c>
      <c r="G90" s="78" t="s">
        <v>25</v>
      </c>
      <c r="H90" s="78" t="s">
        <v>167</v>
      </c>
      <c r="I90" s="78" t="s">
        <v>111</v>
      </c>
      <c r="J90" s="78" t="s">
        <v>27</v>
      </c>
      <c r="K90" s="78" t="s">
        <v>112</v>
      </c>
      <c r="L90" s="78">
        <v>2</v>
      </c>
      <c r="N90" s="78">
        <v>4</v>
      </c>
      <c r="O90" s="78">
        <v>0.52</v>
      </c>
      <c r="P90" s="78">
        <v>0.51</v>
      </c>
      <c r="Q90" s="44">
        <f t="shared" si="5"/>
        <v>0.51500000000000001</v>
      </c>
      <c r="R90" s="78">
        <v>17.2</v>
      </c>
      <c r="S90" s="78">
        <v>110</v>
      </c>
      <c r="T90" s="16">
        <f t="shared" si="6"/>
        <v>22</v>
      </c>
      <c r="U90" s="78">
        <v>399</v>
      </c>
      <c r="V90" s="16">
        <f t="shared" si="4"/>
        <v>16</v>
      </c>
      <c r="W90" s="78">
        <v>3</v>
      </c>
      <c r="X90" s="78" t="s">
        <v>35</v>
      </c>
      <c r="Y90" s="78" t="s">
        <v>55</v>
      </c>
      <c r="Z90" s="78" t="s">
        <v>82</v>
      </c>
      <c r="AA90" s="78" t="s">
        <v>76</v>
      </c>
      <c r="AB90" s="78" t="s">
        <v>161</v>
      </c>
    </row>
    <row r="91" spans="1:28" x14ac:dyDescent="0.15">
      <c r="A91" s="78" t="s">
        <v>46</v>
      </c>
      <c r="B91" s="78" t="s">
        <v>160</v>
      </c>
      <c r="C91" s="169">
        <v>2020</v>
      </c>
      <c r="D91" s="170" t="s">
        <v>301</v>
      </c>
      <c r="E91" s="78" t="s">
        <v>321</v>
      </c>
      <c r="F91" s="78" t="s">
        <v>322</v>
      </c>
      <c r="G91" s="78" t="s">
        <v>25</v>
      </c>
      <c r="H91" s="78" t="s">
        <v>167</v>
      </c>
      <c r="I91" s="78" t="s">
        <v>111</v>
      </c>
      <c r="J91" s="78" t="s">
        <v>27</v>
      </c>
      <c r="K91" s="78" t="s">
        <v>112</v>
      </c>
      <c r="L91" s="78">
        <v>3</v>
      </c>
      <c r="N91" s="78">
        <v>4</v>
      </c>
      <c r="O91" s="78">
        <v>0.53</v>
      </c>
      <c r="P91" s="78">
        <v>0.49</v>
      </c>
      <c r="Q91" s="44">
        <f t="shared" si="5"/>
        <v>0.51</v>
      </c>
      <c r="R91" s="78">
        <v>16.899999999999999</v>
      </c>
      <c r="S91" s="78">
        <v>112</v>
      </c>
      <c r="T91" s="16">
        <f t="shared" si="6"/>
        <v>25</v>
      </c>
      <c r="U91" s="78">
        <v>399</v>
      </c>
      <c r="V91" s="16">
        <f t="shared" si="4"/>
        <v>16</v>
      </c>
      <c r="W91" s="78">
        <v>3</v>
      </c>
      <c r="X91" s="78" t="s">
        <v>35</v>
      </c>
      <c r="Y91" s="78" t="s">
        <v>55</v>
      </c>
      <c r="Z91" s="78" t="s">
        <v>82</v>
      </c>
      <c r="AA91" s="78" t="s">
        <v>76</v>
      </c>
      <c r="AB91" s="78" t="s">
        <v>161</v>
      </c>
    </row>
    <row r="92" spans="1:28" x14ac:dyDescent="0.15">
      <c r="A92" s="78" t="s">
        <v>46</v>
      </c>
      <c r="B92" s="78" t="s">
        <v>160</v>
      </c>
      <c r="C92" s="169">
        <v>2020</v>
      </c>
      <c r="D92" s="170" t="s">
        <v>301</v>
      </c>
      <c r="E92" s="78" t="s">
        <v>321</v>
      </c>
      <c r="F92" s="78" t="s">
        <v>322</v>
      </c>
      <c r="G92" s="78" t="s">
        <v>25</v>
      </c>
      <c r="H92" s="78" t="s">
        <v>167</v>
      </c>
      <c r="I92" s="78" t="s">
        <v>111</v>
      </c>
      <c r="J92" s="78" t="s">
        <v>27</v>
      </c>
      <c r="K92" s="78" t="s">
        <v>112</v>
      </c>
      <c r="L92" s="78">
        <v>1</v>
      </c>
      <c r="N92" s="78">
        <v>3</v>
      </c>
      <c r="O92" s="78">
        <v>0.56999999999999995</v>
      </c>
      <c r="P92" s="78">
        <v>0.6</v>
      </c>
      <c r="Q92" s="44">
        <f t="shared" si="5"/>
        <v>0.58499999999999996</v>
      </c>
      <c r="R92" s="78">
        <v>15.8</v>
      </c>
      <c r="S92" s="78">
        <v>133</v>
      </c>
      <c r="T92" s="16">
        <f t="shared" si="6"/>
        <v>36</v>
      </c>
      <c r="U92" s="78">
        <v>299</v>
      </c>
      <c r="V92" s="16">
        <f t="shared" si="4"/>
        <v>16</v>
      </c>
      <c r="W92" s="78">
        <v>4</v>
      </c>
      <c r="X92" s="78" t="s">
        <v>35</v>
      </c>
      <c r="Y92" s="78" t="s">
        <v>55</v>
      </c>
      <c r="Z92" s="78" t="s">
        <v>82</v>
      </c>
      <c r="AA92" s="78" t="s">
        <v>76</v>
      </c>
      <c r="AB92" s="78" t="s">
        <v>161</v>
      </c>
    </row>
    <row r="93" spans="1:28" x14ac:dyDescent="0.15">
      <c r="A93" s="78" t="s">
        <v>46</v>
      </c>
      <c r="B93" s="78" t="s">
        <v>160</v>
      </c>
      <c r="C93" s="169">
        <v>2020</v>
      </c>
      <c r="D93" s="170" t="s">
        <v>301</v>
      </c>
      <c r="E93" s="78" t="s">
        <v>321</v>
      </c>
      <c r="F93" s="78" t="s">
        <v>322</v>
      </c>
      <c r="G93" s="78" t="s">
        <v>25</v>
      </c>
      <c r="H93" s="78" t="s">
        <v>167</v>
      </c>
      <c r="I93" s="78" t="s">
        <v>111</v>
      </c>
      <c r="J93" s="78" t="s">
        <v>27</v>
      </c>
      <c r="K93" s="78" t="s">
        <v>112</v>
      </c>
      <c r="L93" s="78">
        <v>2</v>
      </c>
      <c r="N93" s="78">
        <v>3</v>
      </c>
      <c r="O93" s="78">
        <v>0.54</v>
      </c>
      <c r="P93" s="78">
        <v>0.54</v>
      </c>
      <c r="Q93" s="44">
        <f t="shared" si="5"/>
        <v>0.54</v>
      </c>
      <c r="R93" s="78">
        <v>17.5</v>
      </c>
      <c r="S93" s="78">
        <v>132</v>
      </c>
      <c r="T93" s="16">
        <f t="shared" si="6"/>
        <v>36</v>
      </c>
      <c r="U93" s="78">
        <v>299</v>
      </c>
      <c r="V93" s="16">
        <f t="shared" si="4"/>
        <v>16</v>
      </c>
      <c r="W93" s="78">
        <v>4</v>
      </c>
      <c r="X93" s="78" t="s">
        <v>35</v>
      </c>
      <c r="Y93" s="78" t="s">
        <v>55</v>
      </c>
      <c r="Z93" s="78" t="s">
        <v>82</v>
      </c>
      <c r="AA93" s="78" t="s">
        <v>76</v>
      </c>
      <c r="AB93" s="78" t="s">
        <v>161</v>
      </c>
    </row>
    <row r="94" spans="1:28" x14ac:dyDescent="0.15">
      <c r="A94" s="78" t="s">
        <v>46</v>
      </c>
      <c r="B94" s="78" t="s">
        <v>160</v>
      </c>
      <c r="C94" s="169">
        <v>2020</v>
      </c>
      <c r="D94" s="170" t="s">
        <v>301</v>
      </c>
      <c r="E94" s="78" t="s">
        <v>321</v>
      </c>
      <c r="F94" s="78" t="s">
        <v>322</v>
      </c>
      <c r="G94" s="78" t="s">
        <v>25</v>
      </c>
      <c r="H94" s="78" t="s">
        <v>167</v>
      </c>
      <c r="I94" s="78" t="s">
        <v>111</v>
      </c>
      <c r="J94" s="78" t="s">
        <v>27</v>
      </c>
      <c r="K94" s="78" t="s">
        <v>112</v>
      </c>
      <c r="L94" s="78">
        <v>3</v>
      </c>
      <c r="N94" s="78">
        <v>3</v>
      </c>
      <c r="O94" s="78">
        <v>0.57999999999999996</v>
      </c>
      <c r="P94" s="78">
        <v>0.56000000000000005</v>
      </c>
      <c r="Q94" s="44">
        <f t="shared" si="5"/>
        <v>0.57000000000000006</v>
      </c>
      <c r="R94" s="78">
        <v>15.5</v>
      </c>
      <c r="S94" s="78">
        <v>135</v>
      </c>
      <c r="T94" s="16">
        <f t="shared" si="6"/>
        <v>36</v>
      </c>
      <c r="U94" s="78">
        <v>299</v>
      </c>
      <c r="V94" s="16">
        <f t="shared" si="4"/>
        <v>16</v>
      </c>
      <c r="W94" s="78">
        <v>4</v>
      </c>
      <c r="X94" s="78" t="s">
        <v>35</v>
      </c>
      <c r="Y94" s="78" t="s">
        <v>55</v>
      </c>
      <c r="Z94" s="78" t="s">
        <v>82</v>
      </c>
      <c r="AA94" s="78" t="s">
        <v>76</v>
      </c>
      <c r="AB94" s="78" t="s">
        <v>161</v>
      </c>
    </row>
    <row r="95" spans="1:28" x14ac:dyDescent="0.15">
      <c r="A95" s="78" t="s">
        <v>46</v>
      </c>
      <c r="B95" s="78" t="s">
        <v>160</v>
      </c>
      <c r="C95" s="169">
        <v>2020</v>
      </c>
      <c r="D95" s="170" t="s">
        <v>301</v>
      </c>
      <c r="E95" s="78" t="s">
        <v>321</v>
      </c>
      <c r="F95" s="78" t="s">
        <v>322</v>
      </c>
      <c r="G95" s="78" t="s">
        <v>25</v>
      </c>
      <c r="H95" s="78" t="s">
        <v>167</v>
      </c>
      <c r="I95" s="78" t="s">
        <v>111</v>
      </c>
      <c r="J95" s="78" t="s">
        <v>27</v>
      </c>
      <c r="K95" s="78" t="s">
        <v>112</v>
      </c>
      <c r="L95" s="78">
        <v>1</v>
      </c>
      <c r="N95" s="78">
        <v>1</v>
      </c>
      <c r="O95" s="78">
        <v>0.59</v>
      </c>
      <c r="P95" s="78">
        <v>0.66</v>
      </c>
      <c r="Q95" s="44">
        <f t="shared" si="5"/>
        <v>0.625</v>
      </c>
      <c r="R95" s="78">
        <v>16.100000000000001</v>
      </c>
      <c r="S95" s="78">
        <v>139</v>
      </c>
      <c r="T95" s="16">
        <f t="shared" si="6"/>
        <v>25</v>
      </c>
      <c r="U95" s="78">
        <v>139</v>
      </c>
      <c r="V95" s="16">
        <f t="shared" si="4"/>
        <v>22</v>
      </c>
      <c r="W95" s="78">
        <v>2</v>
      </c>
      <c r="X95" s="78" t="s">
        <v>35</v>
      </c>
      <c r="Y95" s="78" t="s">
        <v>55</v>
      </c>
      <c r="Z95" s="78" t="s">
        <v>82</v>
      </c>
      <c r="AA95" s="78" t="s">
        <v>76</v>
      </c>
      <c r="AB95" s="78" t="s">
        <v>161</v>
      </c>
    </row>
    <row r="96" spans="1:28" x14ac:dyDescent="0.15">
      <c r="A96" s="78" t="s">
        <v>46</v>
      </c>
      <c r="B96" s="78" t="s">
        <v>160</v>
      </c>
      <c r="C96" s="169">
        <v>2020</v>
      </c>
      <c r="D96" s="170" t="s">
        <v>301</v>
      </c>
      <c r="E96" s="78" t="s">
        <v>321</v>
      </c>
      <c r="F96" s="78" t="s">
        <v>322</v>
      </c>
      <c r="G96" s="78" t="s">
        <v>25</v>
      </c>
      <c r="H96" s="78" t="s">
        <v>167</v>
      </c>
      <c r="I96" s="78" t="s">
        <v>111</v>
      </c>
      <c r="J96" s="78" t="s">
        <v>27</v>
      </c>
      <c r="K96" s="78" t="s">
        <v>112</v>
      </c>
      <c r="L96" s="78">
        <v>2</v>
      </c>
      <c r="N96" s="78">
        <v>1</v>
      </c>
      <c r="O96" s="78">
        <v>0.62</v>
      </c>
      <c r="P96" s="78">
        <v>0.56999999999999995</v>
      </c>
      <c r="Q96" s="44">
        <f t="shared" si="5"/>
        <v>0.59499999999999997</v>
      </c>
      <c r="R96" s="78">
        <v>15.7</v>
      </c>
      <c r="S96" s="78">
        <v>141</v>
      </c>
      <c r="T96" s="16">
        <f t="shared" si="6"/>
        <v>25</v>
      </c>
      <c r="U96" s="78">
        <v>139</v>
      </c>
      <c r="V96" s="16">
        <f t="shared" si="4"/>
        <v>22</v>
      </c>
      <c r="W96" s="78">
        <v>2</v>
      </c>
      <c r="X96" s="78" t="s">
        <v>35</v>
      </c>
      <c r="Y96" s="78" t="s">
        <v>55</v>
      </c>
      <c r="Z96" s="78" t="s">
        <v>82</v>
      </c>
      <c r="AA96" s="78" t="s">
        <v>76</v>
      </c>
      <c r="AB96" s="78" t="s">
        <v>161</v>
      </c>
    </row>
    <row r="97" spans="1:28" x14ac:dyDescent="0.15">
      <c r="A97" s="78" t="s">
        <v>46</v>
      </c>
      <c r="B97" s="78" t="s">
        <v>160</v>
      </c>
      <c r="C97" s="169">
        <v>2020</v>
      </c>
      <c r="D97" s="170" t="s">
        <v>301</v>
      </c>
      <c r="E97" s="78" t="s">
        <v>321</v>
      </c>
      <c r="F97" s="78" t="s">
        <v>322</v>
      </c>
      <c r="G97" s="78" t="s">
        <v>25</v>
      </c>
      <c r="H97" s="78" t="s">
        <v>167</v>
      </c>
      <c r="I97" s="78" t="s">
        <v>111</v>
      </c>
      <c r="J97" s="78" t="s">
        <v>27</v>
      </c>
      <c r="K97" s="78" t="s">
        <v>112</v>
      </c>
      <c r="L97" s="78">
        <v>3</v>
      </c>
      <c r="N97" s="78">
        <v>1</v>
      </c>
      <c r="O97" s="78">
        <v>0.63</v>
      </c>
      <c r="P97" s="78">
        <v>0.6</v>
      </c>
      <c r="Q97" s="44">
        <f t="shared" si="5"/>
        <v>0.61499999999999999</v>
      </c>
      <c r="R97" s="78">
        <v>15.9</v>
      </c>
      <c r="S97" s="78">
        <v>136</v>
      </c>
      <c r="T97" s="16">
        <f t="shared" si="3"/>
        <v>25</v>
      </c>
      <c r="U97" s="78">
        <v>139</v>
      </c>
      <c r="V97" s="16">
        <f t="shared" si="4"/>
        <v>22</v>
      </c>
      <c r="W97" s="78">
        <v>2</v>
      </c>
      <c r="X97" s="78" t="s">
        <v>35</v>
      </c>
      <c r="Y97" s="78" t="s">
        <v>55</v>
      </c>
      <c r="Z97" s="78" t="s">
        <v>82</v>
      </c>
      <c r="AA97" s="78" t="s">
        <v>76</v>
      </c>
      <c r="AB97" s="78" t="s">
        <v>161</v>
      </c>
    </row>
    <row r="98" spans="1:28" x14ac:dyDescent="0.15">
      <c r="A98" s="78" t="s">
        <v>46</v>
      </c>
      <c r="B98" s="78" t="s">
        <v>160</v>
      </c>
      <c r="C98" s="169">
        <v>2020</v>
      </c>
      <c r="D98" s="170" t="s">
        <v>301</v>
      </c>
      <c r="E98" s="78" t="s">
        <v>321</v>
      </c>
      <c r="F98" s="78" t="s">
        <v>322</v>
      </c>
      <c r="G98" s="78" t="s">
        <v>25</v>
      </c>
      <c r="H98" s="78" t="s">
        <v>113</v>
      </c>
      <c r="I98" s="78" t="s">
        <v>111</v>
      </c>
      <c r="J98" s="78" t="s">
        <v>27</v>
      </c>
      <c r="K98" s="78" t="s">
        <v>112</v>
      </c>
      <c r="L98" s="78">
        <v>1</v>
      </c>
      <c r="N98" s="78">
        <v>6</v>
      </c>
      <c r="O98" s="78">
        <v>0.39</v>
      </c>
      <c r="P98" s="78">
        <v>0.47</v>
      </c>
      <c r="Q98" s="44">
        <f t="shared" si="5"/>
        <v>0.43</v>
      </c>
      <c r="R98" s="78">
        <v>14.4</v>
      </c>
      <c r="S98" s="78">
        <v>90</v>
      </c>
      <c r="T98" s="16">
        <f t="shared" si="3"/>
        <v>36</v>
      </c>
      <c r="U98" s="78">
        <v>399</v>
      </c>
      <c r="V98" s="16">
        <f t="shared" si="4"/>
        <v>16</v>
      </c>
      <c r="W98" s="78">
        <v>3</v>
      </c>
      <c r="X98" s="78" t="s">
        <v>35</v>
      </c>
      <c r="Y98" s="78" t="s">
        <v>55</v>
      </c>
      <c r="Z98" s="78" t="s">
        <v>82</v>
      </c>
      <c r="AA98" s="78" t="s">
        <v>76</v>
      </c>
      <c r="AB98" s="78" t="s">
        <v>161</v>
      </c>
    </row>
    <row r="99" spans="1:28" x14ac:dyDescent="0.15">
      <c r="A99" s="78" t="s">
        <v>46</v>
      </c>
      <c r="B99" s="78" t="s">
        <v>160</v>
      </c>
      <c r="C99" s="169">
        <v>2020</v>
      </c>
      <c r="D99" s="170" t="s">
        <v>301</v>
      </c>
      <c r="E99" s="78" t="s">
        <v>321</v>
      </c>
      <c r="F99" s="78" t="s">
        <v>322</v>
      </c>
      <c r="G99" s="78" t="s">
        <v>25</v>
      </c>
      <c r="H99" s="78" t="s">
        <v>113</v>
      </c>
      <c r="I99" s="78" t="s">
        <v>111</v>
      </c>
      <c r="J99" s="78" t="s">
        <v>27</v>
      </c>
      <c r="K99" s="78" t="s">
        <v>112</v>
      </c>
      <c r="L99" s="78">
        <v>2</v>
      </c>
      <c r="N99" s="78">
        <v>6</v>
      </c>
      <c r="O99" s="78">
        <v>0.5</v>
      </c>
      <c r="P99" s="78">
        <v>0.52</v>
      </c>
      <c r="Q99" s="16">
        <f t="shared" si="5"/>
        <v>0.51</v>
      </c>
      <c r="R99" s="78">
        <v>13.2</v>
      </c>
      <c r="S99" s="78">
        <v>93</v>
      </c>
      <c r="T99" s="16">
        <f t="shared" si="3"/>
        <v>36</v>
      </c>
      <c r="U99" s="78">
        <v>399</v>
      </c>
      <c r="V99" s="16">
        <f t="shared" si="4"/>
        <v>16</v>
      </c>
      <c r="W99" s="78">
        <v>3</v>
      </c>
      <c r="X99" s="78" t="s">
        <v>35</v>
      </c>
      <c r="Y99" s="78" t="s">
        <v>55</v>
      </c>
      <c r="Z99" s="78" t="s">
        <v>82</v>
      </c>
      <c r="AA99" s="78" t="s">
        <v>76</v>
      </c>
      <c r="AB99" s="78" t="s">
        <v>161</v>
      </c>
    </row>
    <row r="100" spans="1:28" x14ac:dyDescent="0.15">
      <c r="A100" s="78" t="s">
        <v>46</v>
      </c>
      <c r="B100" s="78" t="s">
        <v>160</v>
      </c>
      <c r="C100" s="169">
        <v>2020</v>
      </c>
      <c r="D100" s="170" t="s">
        <v>301</v>
      </c>
      <c r="E100" s="78" t="s">
        <v>321</v>
      </c>
      <c r="F100" s="78" t="s">
        <v>322</v>
      </c>
      <c r="G100" s="78" t="s">
        <v>25</v>
      </c>
      <c r="H100" s="78" t="s">
        <v>113</v>
      </c>
      <c r="I100" s="78" t="s">
        <v>111</v>
      </c>
      <c r="J100" s="78" t="s">
        <v>27</v>
      </c>
      <c r="K100" s="78" t="s">
        <v>112</v>
      </c>
      <c r="L100" s="78">
        <v>3</v>
      </c>
      <c r="N100" s="78">
        <v>6</v>
      </c>
      <c r="O100" s="78">
        <v>0.32</v>
      </c>
      <c r="P100" s="78">
        <v>0.41</v>
      </c>
      <c r="Q100" s="16">
        <f t="shared" si="5"/>
        <v>0.36499999999999999</v>
      </c>
      <c r="R100" s="78">
        <v>13.8</v>
      </c>
      <c r="S100" s="78">
        <v>94</v>
      </c>
      <c r="T100" s="16">
        <f t="shared" si="3"/>
        <v>36</v>
      </c>
      <c r="U100" s="78">
        <v>399</v>
      </c>
      <c r="V100" s="16">
        <f t="shared" si="4"/>
        <v>16</v>
      </c>
      <c r="W100" s="78">
        <v>3</v>
      </c>
      <c r="X100" s="78" t="s">
        <v>35</v>
      </c>
      <c r="Y100" s="78" t="s">
        <v>55</v>
      </c>
      <c r="Z100" s="78" t="s">
        <v>82</v>
      </c>
      <c r="AA100" s="78" t="s">
        <v>76</v>
      </c>
      <c r="AB100" s="78" t="s">
        <v>161</v>
      </c>
    </row>
    <row r="101" spans="1:28" x14ac:dyDescent="0.15">
      <c r="A101" s="78" t="s">
        <v>46</v>
      </c>
      <c r="B101" s="78" t="s">
        <v>160</v>
      </c>
      <c r="C101" s="169">
        <v>2020</v>
      </c>
      <c r="D101" s="170" t="s">
        <v>301</v>
      </c>
      <c r="E101" s="78" t="s">
        <v>321</v>
      </c>
      <c r="F101" s="78" t="s">
        <v>322</v>
      </c>
      <c r="G101" s="78" t="s">
        <v>25</v>
      </c>
      <c r="H101" s="78" t="s">
        <v>113</v>
      </c>
      <c r="I101" s="78" t="s">
        <v>111</v>
      </c>
      <c r="J101" s="78" t="s">
        <v>27</v>
      </c>
      <c r="K101" s="78" t="s">
        <v>112</v>
      </c>
      <c r="L101" s="78">
        <v>1</v>
      </c>
      <c r="N101" s="78">
        <v>3</v>
      </c>
      <c r="O101" s="78">
        <v>0.23</v>
      </c>
      <c r="P101" s="78">
        <v>0.23</v>
      </c>
      <c r="Q101" s="16">
        <f t="shared" si="5"/>
        <v>0.23</v>
      </c>
      <c r="R101" s="78">
        <v>15.6</v>
      </c>
      <c r="S101" s="78">
        <v>133</v>
      </c>
      <c r="T101" s="16">
        <f t="shared" si="3"/>
        <v>25</v>
      </c>
      <c r="U101" s="78">
        <v>399</v>
      </c>
      <c r="V101" s="16">
        <f t="shared" si="4"/>
        <v>16</v>
      </c>
      <c r="W101" s="78">
        <v>4</v>
      </c>
      <c r="X101" s="78" t="s">
        <v>35</v>
      </c>
      <c r="Y101" s="78" t="s">
        <v>55</v>
      </c>
      <c r="Z101" s="78" t="s">
        <v>82</v>
      </c>
      <c r="AA101" s="78" t="s">
        <v>76</v>
      </c>
      <c r="AB101" s="78" t="s">
        <v>161</v>
      </c>
    </row>
    <row r="102" spans="1:28" x14ac:dyDescent="0.15">
      <c r="A102" s="78" t="s">
        <v>46</v>
      </c>
      <c r="B102" s="78" t="s">
        <v>160</v>
      </c>
      <c r="C102" s="169">
        <v>2020</v>
      </c>
      <c r="D102" s="170" t="s">
        <v>301</v>
      </c>
      <c r="E102" s="78" t="s">
        <v>321</v>
      </c>
      <c r="F102" s="78" t="s">
        <v>322</v>
      </c>
      <c r="G102" s="78" t="s">
        <v>25</v>
      </c>
      <c r="H102" s="78" t="s">
        <v>113</v>
      </c>
      <c r="I102" s="78" t="s">
        <v>111</v>
      </c>
      <c r="J102" s="78" t="s">
        <v>27</v>
      </c>
      <c r="K102" s="78" t="s">
        <v>112</v>
      </c>
      <c r="L102" s="78">
        <v>2</v>
      </c>
      <c r="N102" s="78">
        <v>3</v>
      </c>
      <c r="O102" s="78">
        <v>0.24</v>
      </c>
      <c r="P102" s="78">
        <v>0.25</v>
      </c>
      <c r="Q102" s="16">
        <f t="shared" si="5"/>
        <v>0.245</v>
      </c>
      <c r="R102" s="78">
        <v>16.2</v>
      </c>
      <c r="S102" s="78">
        <v>130</v>
      </c>
      <c r="T102" s="16">
        <f t="shared" si="3"/>
        <v>25</v>
      </c>
      <c r="U102" s="78">
        <v>399</v>
      </c>
      <c r="V102" s="16">
        <f t="shared" si="4"/>
        <v>16</v>
      </c>
      <c r="W102" s="78">
        <v>4</v>
      </c>
      <c r="X102" s="78" t="s">
        <v>35</v>
      </c>
      <c r="Y102" s="78" t="s">
        <v>55</v>
      </c>
      <c r="Z102" s="78" t="s">
        <v>82</v>
      </c>
      <c r="AA102" s="78" t="s">
        <v>76</v>
      </c>
      <c r="AB102" s="78" t="s">
        <v>161</v>
      </c>
    </row>
    <row r="103" spans="1:28" x14ac:dyDescent="0.15">
      <c r="A103" s="78" t="s">
        <v>46</v>
      </c>
      <c r="B103" s="78" t="s">
        <v>160</v>
      </c>
      <c r="C103" s="169">
        <v>2020</v>
      </c>
      <c r="D103" s="170" t="s">
        <v>301</v>
      </c>
      <c r="E103" s="78" t="s">
        <v>321</v>
      </c>
      <c r="F103" s="78" t="s">
        <v>322</v>
      </c>
      <c r="G103" s="78" t="s">
        <v>25</v>
      </c>
      <c r="H103" s="78" t="s">
        <v>113</v>
      </c>
      <c r="I103" s="78" t="s">
        <v>111</v>
      </c>
      <c r="J103" s="78" t="s">
        <v>27</v>
      </c>
      <c r="K103" s="78" t="s">
        <v>112</v>
      </c>
      <c r="L103" s="78">
        <v>3</v>
      </c>
      <c r="N103" s="78">
        <v>3</v>
      </c>
      <c r="O103" s="78">
        <v>0.25</v>
      </c>
      <c r="P103" s="78">
        <v>0.22</v>
      </c>
      <c r="Q103" s="16">
        <f t="shared" si="5"/>
        <v>0.23499999999999999</v>
      </c>
      <c r="R103" s="78">
        <v>15.6</v>
      </c>
      <c r="S103" s="78">
        <v>136</v>
      </c>
      <c r="T103" s="16">
        <f t="shared" si="3"/>
        <v>25</v>
      </c>
      <c r="U103" s="78">
        <v>399</v>
      </c>
      <c r="V103" s="16">
        <f t="shared" si="4"/>
        <v>16</v>
      </c>
      <c r="W103" s="78">
        <v>4</v>
      </c>
      <c r="X103" s="78" t="s">
        <v>35</v>
      </c>
      <c r="Y103" s="78" t="s">
        <v>55</v>
      </c>
      <c r="Z103" s="78" t="s">
        <v>82</v>
      </c>
      <c r="AA103" s="78" t="s">
        <v>76</v>
      </c>
      <c r="AB103" s="78" t="s">
        <v>161</v>
      </c>
    </row>
    <row r="104" spans="1:28" x14ac:dyDescent="0.15">
      <c r="A104" s="78" t="s">
        <v>46</v>
      </c>
      <c r="B104" s="78" t="s">
        <v>160</v>
      </c>
      <c r="C104" s="169">
        <v>2020</v>
      </c>
      <c r="D104" s="170" t="s">
        <v>301</v>
      </c>
      <c r="E104" s="78" t="s">
        <v>321</v>
      </c>
      <c r="F104" s="78" t="s">
        <v>322</v>
      </c>
      <c r="G104" s="78" t="s">
        <v>25</v>
      </c>
      <c r="H104" s="78" t="s">
        <v>113</v>
      </c>
      <c r="I104" s="78" t="s">
        <v>111</v>
      </c>
      <c r="J104" s="78" t="s">
        <v>27</v>
      </c>
      <c r="K104" s="78" t="s">
        <v>112</v>
      </c>
      <c r="L104" s="78">
        <v>1</v>
      </c>
      <c r="N104" s="78">
        <v>1</v>
      </c>
      <c r="O104" s="78">
        <v>0.25</v>
      </c>
      <c r="P104" s="78">
        <v>0.24</v>
      </c>
      <c r="Q104" s="16">
        <f t="shared" si="5"/>
        <v>0.245</v>
      </c>
      <c r="R104" s="78">
        <v>14.1</v>
      </c>
      <c r="S104" s="78">
        <v>140</v>
      </c>
      <c r="T104" s="16">
        <f t="shared" si="3"/>
        <v>22</v>
      </c>
      <c r="U104" s="78">
        <v>139</v>
      </c>
      <c r="V104" s="16">
        <f t="shared" si="4"/>
        <v>22</v>
      </c>
      <c r="W104" s="78">
        <v>2</v>
      </c>
      <c r="X104" s="78" t="s">
        <v>35</v>
      </c>
      <c r="Y104" s="78" t="s">
        <v>55</v>
      </c>
      <c r="Z104" s="78" t="s">
        <v>82</v>
      </c>
      <c r="AA104" s="78" t="s">
        <v>76</v>
      </c>
      <c r="AB104" s="78" t="s">
        <v>161</v>
      </c>
    </row>
    <row r="105" spans="1:28" x14ac:dyDescent="0.15">
      <c r="A105" s="78" t="s">
        <v>46</v>
      </c>
      <c r="B105" s="78" t="s">
        <v>160</v>
      </c>
      <c r="C105" s="169">
        <v>2020</v>
      </c>
      <c r="D105" s="170" t="s">
        <v>301</v>
      </c>
      <c r="E105" s="78" t="s">
        <v>321</v>
      </c>
      <c r="F105" s="78" t="s">
        <v>322</v>
      </c>
      <c r="G105" s="78" t="s">
        <v>25</v>
      </c>
      <c r="H105" s="78" t="s">
        <v>113</v>
      </c>
      <c r="I105" s="78" t="s">
        <v>111</v>
      </c>
      <c r="J105" s="78" t="s">
        <v>27</v>
      </c>
      <c r="K105" s="78" t="s">
        <v>112</v>
      </c>
      <c r="L105" s="78">
        <v>2</v>
      </c>
      <c r="N105" s="78">
        <v>1</v>
      </c>
      <c r="O105" s="78">
        <v>0.24</v>
      </c>
      <c r="P105" s="78">
        <v>0.24</v>
      </c>
      <c r="Q105" s="16">
        <f t="shared" si="5"/>
        <v>0.24</v>
      </c>
      <c r="R105" s="78">
        <v>13.8</v>
      </c>
      <c r="S105" s="78">
        <v>138</v>
      </c>
      <c r="T105" s="16">
        <f t="shared" si="3"/>
        <v>22</v>
      </c>
      <c r="U105" s="78">
        <v>139</v>
      </c>
      <c r="V105" s="16">
        <f t="shared" si="4"/>
        <v>22</v>
      </c>
      <c r="W105" s="78">
        <v>2</v>
      </c>
      <c r="X105" s="78" t="s">
        <v>35</v>
      </c>
      <c r="Y105" s="78" t="s">
        <v>55</v>
      </c>
      <c r="Z105" s="78" t="s">
        <v>82</v>
      </c>
      <c r="AA105" s="78" t="s">
        <v>76</v>
      </c>
      <c r="AB105" s="78" t="s">
        <v>161</v>
      </c>
    </row>
    <row r="106" spans="1:28" x14ac:dyDescent="0.15">
      <c r="A106" s="78" t="s">
        <v>46</v>
      </c>
      <c r="B106" s="78" t="s">
        <v>160</v>
      </c>
      <c r="C106" s="169">
        <v>2020</v>
      </c>
      <c r="D106" s="170" t="s">
        <v>301</v>
      </c>
      <c r="E106" s="78" t="s">
        <v>321</v>
      </c>
      <c r="F106" s="78" t="s">
        <v>322</v>
      </c>
      <c r="G106" s="78" t="s">
        <v>25</v>
      </c>
      <c r="H106" s="78" t="s">
        <v>113</v>
      </c>
      <c r="I106" s="78" t="s">
        <v>111</v>
      </c>
      <c r="J106" s="78" t="s">
        <v>27</v>
      </c>
      <c r="K106" s="78" t="s">
        <v>112</v>
      </c>
      <c r="L106" s="78">
        <v>3</v>
      </c>
      <c r="N106" s="78">
        <v>1</v>
      </c>
      <c r="O106" s="78">
        <v>0.24</v>
      </c>
      <c r="P106" s="78">
        <v>0.23</v>
      </c>
      <c r="Q106" s="16">
        <f t="shared" si="5"/>
        <v>0.23499999999999999</v>
      </c>
      <c r="R106" s="78">
        <v>13.9</v>
      </c>
      <c r="S106" s="78">
        <v>136</v>
      </c>
      <c r="T106" s="16">
        <f t="shared" si="3"/>
        <v>25</v>
      </c>
      <c r="U106" s="78">
        <v>139</v>
      </c>
      <c r="V106" s="16">
        <f t="shared" si="4"/>
        <v>22</v>
      </c>
      <c r="W106" s="78">
        <v>2</v>
      </c>
      <c r="X106" s="78" t="s">
        <v>35</v>
      </c>
      <c r="Y106" s="78" t="s">
        <v>55</v>
      </c>
      <c r="Z106" s="78" t="s">
        <v>82</v>
      </c>
      <c r="AA106" s="78" t="s">
        <v>76</v>
      </c>
      <c r="AB106" s="78" t="s">
        <v>161</v>
      </c>
    </row>
    <row r="107" spans="1:28" x14ac:dyDescent="0.15">
      <c r="A107" s="78" t="s">
        <v>46</v>
      </c>
      <c r="B107" s="78" t="s">
        <v>160</v>
      </c>
      <c r="C107" s="169">
        <v>2020</v>
      </c>
      <c r="D107" s="170" t="s">
        <v>301</v>
      </c>
      <c r="E107" s="78" t="s">
        <v>310</v>
      </c>
      <c r="F107" s="78" t="s">
        <v>311</v>
      </c>
      <c r="G107" s="78" t="s">
        <v>31</v>
      </c>
      <c r="H107" s="78" t="s">
        <v>113</v>
      </c>
      <c r="I107" s="78" t="s">
        <v>111</v>
      </c>
      <c r="J107" s="78" t="s">
        <v>27</v>
      </c>
      <c r="K107" s="78" t="s">
        <v>112</v>
      </c>
      <c r="L107" s="78">
        <v>1</v>
      </c>
      <c r="N107" s="78">
        <v>1</v>
      </c>
      <c r="O107" s="78">
        <v>0.76</v>
      </c>
      <c r="P107" s="78">
        <v>0.82</v>
      </c>
      <c r="Q107" s="16">
        <f t="shared" si="5"/>
        <v>0.79</v>
      </c>
      <c r="R107" s="78">
        <v>13.2</v>
      </c>
      <c r="S107" s="78">
        <v>125</v>
      </c>
      <c r="T107" s="16">
        <f t="shared" si="3"/>
        <v>27</v>
      </c>
      <c r="U107" s="78">
        <v>98</v>
      </c>
      <c r="V107" s="16">
        <f t="shared" si="4"/>
        <v>36</v>
      </c>
      <c r="W107" s="78">
        <v>1</v>
      </c>
      <c r="X107" s="78" t="s">
        <v>28</v>
      </c>
      <c r="Y107" s="78" t="s">
        <v>55</v>
      </c>
      <c r="Z107" s="78" t="s">
        <v>64</v>
      </c>
      <c r="AA107" s="78" t="s">
        <v>36</v>
      </c>
      <c r="AB107" s="78" t="s">
        <v>161</v>
      </c>
    </row>
    <row r="108" spans="1:28" x14ac:dyDescent="0.15">
      <c r="A108" s="78" t="s">
        <v>46</v>
      </c>
      <c r="B108" s="78" t="s">
        <v>160</v>
      </c>
      <c r="C108" s="169">
        <v>2020</v>
      </c>
      <c r="D108" s="170" t="s">
        <v>301</v>
      </c>
      <c r="E108" s="78" t="s">
        <v>310</v>
      </c>
      <c r="F108" s="78" t="s">
        <v>311</v>
      </c>
      <c r="G108" s="78" t="s">
        <v>31</v>
      </c>
      <c r="H108" s="78" t="s">
        <v>113</v>
      </c>
      <c r="I108" s="78" t="s">
        <v>111</v>
      </c>
      <c r="J108" s="78" t="s">
        <v>27</v>
      </c>
      <c r="K108" s="78" t="s">
        <v>112</v>
      </c>
      <c r="L108" s="78">
        <v>2</v>
      </c>
      <c r="N108" s="78">
        <v>1</v>
      </c>
      <c r="O108" s="78">
        <v>0.84</v>
      </c>
      <c r="P108" s="78">
        <v>0.85</v>
      </c>
      <c r="Q108" s="16">
        <f t="shared" si="5"/>
        <v>0.84499999999999997</v>
      </c>
      <c r="R108" s="78">
        <v>13.4</v>
      </c>
      <c r="S108" s="78">
        <v>123</v>
      </c>
      <c r="T108" s="16">
        <f t="shared" si="3"/>
        <v>27</v>
      </c>
      <c r="U108" s="78">
        <v>98</v>
      </c>
      <c r="V108" s="16">
        <f t="shared" si="4"/>
        <v>36</v>
      </c>
      <c r="W108" s="78">
        <v>1</v>
      </c>
      <c r="X108" s="78" t="s">
        <v>28</v>
      </c>
      <c r="Y108" s="78" t="s">
        <v>55</v>
      </c>
      <c r="Z108" s="78" t="s">
        <v>64</v>
      </c>
      <c r="AA108" s="78" t="s">
        <v>36</v>
      </c>
      <c r="AB108" s="78" t="s">
        <v>161</v>
      </c>
    </row>
    <row r="109" spans="1:28" x14ac:dyDescent="0.15">
      <c r="A109" s="78" t="s">
        <v>46</v>
      </c>
      <c r="B109" s="78" t="s">
        <v>160</v>
      </c>
      <c r="C109" s="169">
        <v>2020</v>
      </c>
      <c r="D109" s="170" t="s">
        <v>301</v>
      </c>
      <c r="E109" s="78" t="s">
        <v>310</v>
      </c>
      <c r="F109" s="78" t="s">
        <v>311</v>
      </c>
      <c r="G109" s="78" t="s">
        <v>31</v>
      </c>
      <c r="H109" s="78" t="s">
        <v>113</v>
      </c>
      <c r="I109" s="78" t="s">
        <v>111</v>
      </c>
      <c r="J109" s="78" t="s">
        <v>27</v>
      </c>
      <c r="K109" s="78" t="s">
        <v>112</v>
      </c>
      <c r="L109" s="78">
        <v>3</v>
      </c>
      <c r="N109" s="78">
        <v>1</v>
      </c>
      <c r="O109" s="78">
        <v>0.76</v>
      </c>
      <c r="P109" s="78">
        <v>0.68</v>
      </c>
      <c r="Q109" s="16">
        <f t="shared" si="5"/>
        <v>0.72</v>
      </c>
      <c r="R109" s="78">
        <v>13.8</v>
      </c>
      <c r="S109" s="78">
        <v>120</v>
      </c>
      <c r="T109" s="16">
        <f t="shared" si="3"/>
        <v>30</v>
      </c>
      <c r="U109" s="78">
        <v>98</v>
      </c>
      <c r="V109" s="16">
        <f t="shared" si="4"/>
        <v>36</v>
      </c>
      <c r="W109" s="78">
        <v>1</v>
      </c>
      <c r="X109" s="78" t="s">
        <v>28</v>
      </c>
      <c r="Y109" s="78" t="s">
        <v>55</v>
      </c>
      <c r="Z109" s="78" t="s">
        <v>64</v>
      </c>
      <c r="AA109" s="78" t="s">
        <v>36</v>
      </c>
      <c r="AB109" s="78" t="s">
        <v>161</v>
      </c>
    </row>
    <row r="110" spans="1:28" x14ac:dyDescent="0.15">
      <c r="A110" s="78" t="s">
        <v>46</v>
      </c>
      <c r="B110" s="78" t="s">
        <v>160</v>
      </c>
      <c r="C110" s="169">
        <v>2020</v>
      </c>
      <c r="D110" s="170" t="s">
        <v>301</v>
      </c>
      <c r="E110" s="78" t="s">
        <v>328</v>
      </c>
      <c r="F110" s="78" t="s">
        <v>329</v>
      </c>
      <c r="G110" s="78" t="s">
        <v>31</v>
      </c>
      <c r="H110" s="78" t="s">
        <v>167</v>
      </c>
      <c r="I110" s="78" t="s">
        <v>111</v>
      </c>
      <c r="J110" s="78" t="s">
        <v>27</v>
      </c>
      <c r="K110" s="78" t="s">
        <v>112</v>
      </c>
      <c r="L110" s="78">
        <v>1</v>
      </c>
      <c r="N110" s="78">
        <v>4</v>
      </c>
      <c r="O110" s="78">
        <v>0.62</v>
      </c>
      <c r="P110" s="78">
        <v>0.53</v>
      </c>
      <c r="Q110" s="16">
        <f t="shared" si="5"/>
        <v>0.57499999999999996</v>
      </c>
      <c r="R110" s="78">
        <v>16.5</v>
      </c>
      <c r="S110" s="78">
        <v>137</v>
      </c>
      <c r="T110" s="16">
        <f t="shared" si="3"/>
        <v>25</v>
      </c>
      <c r="U110" s="78">
        <v>480</v>
      </c>
      <c r="V110" s="16">
        <f t="shared" si="4"/>
        <v>16</v>
      </c>
      <c r="W110" s="78">
        <v>4</v>
      </c>
      <c r="X110" s="78" t="s">
        <v>35</v>
      </c>
      <c r="Y110" s="78" t="s">
        <v>43</v>
      </c>
      <c r="Z110" s="78" t="s">
        <v>72</v>
      </c>
      <c r="AA110" s="78" t="s">
        <v>82</v>
      </c>
      <c r="AB110" s="78" t="s">
        <v>161</v>
      </c>
    </row>
    <row r="111" spans="1:28" x14ac:dyDescent="0.15">
      <c r="A111" s="78" t="s">
        <v>46</v>
      </c>
      <c r="B111" s="78" t="s">
        <v>160</v>
      </c>
      <c r="C111" s="169">
        <v>2020</v>
      </c>
      <c r="D111" s="170" t="s">
        <v>301</v>
      </c>
      <c r="E111" s="78" t="s">
        <v>328</v>
      </c>
      <c r="F111" s="78" t="s">
        <v>329</v>
      </c>
      <c r="G111" s="78" t="s">
        <v>31</v>
      </c>
      <c r="H111" s="78" t="s">
        <v>167</v>
      </c>
      <c r="I111" s="78" t="s">
        <v>111</v>
      </c>
      <c r="J111" s="78" t="s">
        <v>27</v>
      </c>
      <c r="K111" s="78" t="s">
        <v>112</v>
      </c>
      <c r="L111" s="78">
        <v>2</v>
      </c>
      <c r="N111" s="78">
        <v>4</v>
      </c>
      <c r="O111" s="78">
        <v>0.56999999999999995</v>
      </c>
      <c r="P111" s="78">
        <v>0.59</v>
      </c>
      <c r="Q111" s="16">
        <f t="shared" si="5"/>
        <v>0.57999999999999996</v>
      </c>
      <c r="R111" s="78">
        <v>16.100000000000001</v>
      </c>
      <c r="S111" s="78">
        <v>137</v>
      </c>
      <c r="T111" s="16">
        <f t="shared" si="3"/>
        <v>25</v>
      </c>
      <c r="U111" s="78">
        <v>480</v>
      </c>
      <c r="V111" s="16">
        <f t="shared" si="4"/>
        <v>16</v>
      </c>
      <c r="W111" s="78">
        <v>4</v>
      </c>
      <c r="X111" s="78" t="s">
        <v>35</v>
      </c>
      <c r="Y111" s="78" t="s">
        <v>43</v>
      </c>
      <c r="Z111" s="78" t="s">
        <v>72</v>
      </c>
      <c r="AA111" s="78" t="s">
        <v>82</v>
      </c>
      <c r="AB111" s="78" t="s">
        <v>161</v>
      </c>
    </row>
    <row r="112" spans="1:28" x14ac:dyDescent="0.15">
      <c r="A112" s="78" t="s">
        <v>46</v>
      </c>
      <c r="B112" s="78" t="s">
        <v>160</v>
      </c>
      <c r="C112" s="169">
        <v>2020</v>
      </c>
      <c r="D112" s="170" t="s">
        <v>301</v>
      </c>
      <c r="E112" s="78" t="s">
        <v>328</v>
      </c>
      <c r="F112" s="78" t="s">
        <v>329</v>
      </c>
      <c r="G112" s="78" t="s">
        <v>31</v>
      </c>
      <c r="H112" s="78" t="s">
        <v>167</v>
      </c>
      <c r="I112" s="78" t="s">
        <v>111</v>
      </c>
      <c r="J112" s="78" t="s">
        <v>27</v>
      </c>
      <c r="K112" s="78" t="s">
        <v>112</v>
      </c>
      <c r="L112" s="78">
        <v>3</v>
      </c>
      <c r="N112" s="78">
        <v>4</v>
      </c>
      <c r="O112" s="78">
        <v>0.55000000000000004</v>
      </c>
      <c r="P112" s="78">
        <v>0.61</v>
      </c>
      <c r="Q112" s="16">
        <f t="shared" si="5"/>
        <v>0.58000000000000007</v>
      </c>
      <c r="R112" s="78">
        <v>16.399999999999999</v>
      </c>
      <c r="S112" s="78">
        <v>134</v>
      </c>
      <c r="T112" s="16">
        <f t="shared" si="3"/>
        <v>25</v>
      </c>
      <c r="U112" s="78">
        <v>480</v>
      </c>
      <c r="V112" s="16">
        <f t="shared" si="4"/>
        <v>16</v>
      </c>
      <c r="W112" s="78">
        <v>4</v>
      </c>
      <c r="X112" s="78" t="s">
        <v>35</v>
      </c>
      <c r="Y112" s="78" t="s">
        <v>43</v>
      </c>
      <c r="Z112" s="78" t="s">
        <v>72</v>
      </c>
      <c r="AA112" s="78" t="s">
        <v>82</v>
      </c>
      <c r="AB112" s="78" t="s">
        <v>161</v>
      </c>
    </row>
    <row r="113" spans="1:28" x14ac:dyDescent="0.15">
      <c r="A113" s="78" t="s">
        <v>46</v>
      </c>
      <c r="B113" s="78" t="s">
        <v>160</v>
      </c>
      <c r="C113" s="169">
        <v>2020</v>
      </c>
      <c r="D113" s="170" t="s">
        <v>301</v>
      </c>
      <c r="E113" s="78" t="s">
        <v>328</v>
      </c>
      <c r="F113" s="78" t="s">
        <v>329</v>
      </c>
      <c r="G113" s="78" t="s">
        <v>31</v>
      </c>
      <c r="H113" s="78" t="s">
        <v>167</v>
      </c>
      <c r="I113" s="78" t="s">
        <v>111</v>
      </c>
      <c r="J113" s="78" t="s">
        <v>27</v>
      </c>
      <c r="K113" s="78" t="s">
        <v>112</v>
      </c>
      <c r="L113" s="78">
        <v>1</v>
      </c>
      <c r="N113" s="78">
        <v>1</v>
      </c>
      <c r="O113" s="78">
        <v>0.65</v>
      </c>
      <c r="P113" s="78">
        <v>0.62</v>
      </c>
      <c r="Q113" s="16">
        <f t="shared" si="5"/>
        <v>0.63500000000000001</v>
      </c>
      <c r="R113" s="78">
        <v>15.8</v>
      </c>
      <c r="S113" s="78">
        <v>155</v>
      </c>
      <c r="T113" s="16">
        <f t="shared" si="3"/>
        <v>18</v>
      </c>
      <c r="U113" s="78">
        <v>138</v>
      </c>
      <c r="V113" s="16">
        <f t="shared" si="4"/>
        <v>22</v>
      </c>
      <c r="W113" s="78">
        <v>4</v>
      </c>
      <c r="X113" s="78" t="s">
        <v>35</v>
      </c>
      <c r="Y113" s="78" t="s">
        <v>43</v>
      </c>
      <c r="Z113" s="78" t="s">
        <v>72</v>
      </c>
      <c r="AA113" s="78" t="s">
        <v>82</v>
      </c>
      <c r="AB113" s="78" t="s">
        <v>161</v>
      </c>
    </row>
    <row r="114" spans="1:28" x14ac:dyDescent="0.15">
      <c r="A114" s="78" t="s">
        <v>46</v>
      </c>
      <c r="B114" s="78" t="s">
        <v>160</v>
      </c>
      <c r="C114" s="169">
        <v>2020</v>
      </c>
      <c r="D114" s="170" t="s">
        <v>301</v>
      </c>
      <c r="E114" s="78" t="s">
        <v>328</v>
      </c>
      <c r="F114" s="78" t="s">
        <v>329</v>
      </c>
      <c r="G114" s="78" t="s">
        <v>31</v>
      </c>
      <c r="H114" s="78" t="s">
        <v>167</v>
      </c>
      <c r="I114" s="78" t="s">
        <v>111</v>
      </c>
      <c r="J114" s="78" t="s">
        <v>27</v>
      </c>
      <c r="K114" s="78" t="s">
        <v>112</v>
      </c>
      <c r="L114" s="78">
        <v>2</v>
      </c>
      <c r="N114" s="78">
        <v>1</v>
      </c>
      <c r="O114" s="78">
        <v>0.53</v>
      </c>
      <c r="P114" s="78">
        <v>0.48</v>
      </c>
      <c r="Q114" s="16">
        <f t="shared" si="5"/>
        <v>0.505</v>
      </c>
      <c r="R114" s="78">
        <v>16.600000000000001</v>
      </c>
      <c r="S114" s="78">
        <v>160</v>
      </c>
      <c r="T114" s="16">
        <f t="shared" si="3"/>
        <v>18</v>
      </c>
      <c r="U114" s="78">
        <v>138</v>
      </c>
      <c r="V114" s="16">
        <f t="shared" si="4"/>
        <v>22</v>
      </c>
      <c r="W114" s="78">
        <v>4</v>
      </c>
      <c r="X114" s="78" t="s">
        <v>35</v>
      </c>
      <c r="Y114" s="78" t="s">
        <v>43</v>
      </c>
      <c r="Z114" s="78" t="s">
        <v>72</v>
      </c>
      <c r="AA114" s="78" t="s">
        <v>82</v>
      </c>
      <c r="AB114" s="78" t="s">
        <v>161</v>
      </c>
    </row>
    <row r="115" spans="1:28" x14ac:dyDescent="0.15">
      <c r="A115" s="78" t="s">
        <v>46</v>
      </c>
      <c r="B115" s="78" t="s">
        <v>160</v>
      </c>
      <c r="C115" s="169">
        <v>2020</v>
      </c>
      <c r="D115" s="170" t="s">
        <v>301</v>
      </c>
      <c r="E115" s="78" t="s">
        <v>328</v>
      </c>
      <c r="F115" s="78" t="s">
        <v>329</v>
      </c>
      <c r="G115" s="78" t="s">
        <v>31</v>
      </c>
      <c r="H115" s="78" t="s">
        <v>167</v>
      </c>
      <c r="I115" s="78" t="s">
        <v>111</v>
      </c>
      <c r="J115" s="78" t="s">
        <v>27</v>
      </c>
      <c r="K115" s="78" t="s">
        <v>112</v>
      </c>
      <c r="L115" s="78">
        <v>3</v>
      </c>
      <c r="N115" s="78">
        <v>1</v>
      </c>
      <c r="O115" s="78">
        <v>0.63</v>
      </c>
      <c r="P115" s="78">
        <v>0.6</v>
      </c>
      <c r="Q115" s="16">
        <f t="shared" si="5"/>
        <v>0.61499999999999999</v>
      </c>
      <c r="R115" s="78">
        <v>15.5</v>
      </c>
      <c r="S115" s="78">
        <v>156</v>
      </c>
      <c r="T115" s="16">
        <f t="shared" si="3"/>
        <v>18</v>
      </c>
      <c r="U115" s="78">
        <v>138</v>
      </c>
      <c r="V115" s="16">
        <f t="shared" si="4"/>
        <v>22</v>
      </c>
      <c r="W115" s="78">
        <v>4</v>
      </c>
      <c r="X115" s="78" t="s">
        <v>35</v>
      </c>
      <c r="Y115" s="78" t="s">
        <v>43</v>
      </c>
      <c r="Z115" s="78" t="s">
        <v>72</v>
      </c>
      <c r="AA115" s="78" t="s">
        <v>82</v>
      </c>
      <c r="AB115" s="78" t="s">
        <v>161</v>
      </c>
    </row>
    <row r="116" spans="1:28" x14ac:dyDescent="0.15">
      <c r="A116" s="78" t="s">
        <v>46</v>
      </c>
      <c r="B116" s="78" t="s">
        <v>160</v>
      </c>
      <c r="C116" s="169">
        <v>2020</v>
      </c>
      <c r="D116" s="170" t="s">
        <v>301</v>
      </c>
      <c r="E116" s="78" t="s">
        <v>328</v>
      </c>
      <c r="F116" s="78" t="s">
        <v>329</v>
      </c>
      <c r="G116" s="78" t="s">
        <v>31</v>
      </c>
      <c r="H116" s="78" t="s">
        <v>113</v>
      </c>
      <c r="I116" s="78" t="s">
        <v>111</v>
      </c>
      <c r="J116" s="78" t="s">
        <v>27</v>
      </c>
      <c r="K116" s="78" t="s">
        <v>112</v>
      </c>
      <c r="L116" s="78">
        <v>1</v>
      </c>
      <c r="N116" s="78">
        <v>4</v>
      </c>
      <c r="O116" s="78">
        <v>0.24</v>
      </c>
      <c r="P116" s="78">
        <v>0.22</v>
      </c>
      <c r="Q116" s="16">
        <f t="shared" si="5"/>
        <v>0.22999999999999998</v>
      </c>
      <c r="R116" s="78">
        <v>13.7</v>
      </c>
      <c r="S116" s="78">
        <v>90</v>
      </c>
      <c r="T116" s="16">
        <f t="shared" si="3"/>
        <v>36</v>
      </c>
      <c r="U116" s="78">
        <v>398</v>
      </c>
      <c r="V116" s="16">
        <f t="shared" si="4"/>
        <v>16</v>
      </c>
      <c r="W116" s="78">
        <v>1</v>
      </c>
      <c r="X116" s="78" t="s">
        <v>35</v>
      </c>
      <c r="Y116" s="78" t="s">
        <v>43</v>
      </c>
      <c r="Z116" s="78" t="s">
        <v>72</v>
      </c>
      <c r="AA116" s="78" t="s">
        <v>82</v>
      </c>
      <c r="AB116" s="78" t="s">
        <v>161</v>
      </c>
    </row>
    <row r="117" spans="1:28" x14ac:dyDescent="0.15">
      <c r="A117" s="78" t="s">
        <v>46</v>
      </c>
      <c r="B117" s="78" t="s">
        <v>160</v>
      </c>
      <c r="C117" s="169">
        <v>2020</v>
      </c>
      <c r="D117" s="170" t="s">
        <v>301</v>
      </c>
      <c r="E117" s="78" t="s">
        <v>328</v>
      </c>
      <c r="F117" s="78" t="s">
        <v>329</v>
      </c>
      <c r="G117" s="78" t="s">
        <v>31</v>
      </c>
      <c r="H117" s="78" t="s">
        <v>113</v>
      </c>
      <c r="I117" s="78" t="s">
        <v>111</v>
      </c>
      <c r="J117" s="78" t="s">
        <v>27</v>
      </c>
      <c r="K117" s="78" t="s">
        <v>112</v>
      </c>
      <c r="L117" s="78">
        <v>2</v>
      </c>
      <c r="N117" s="78">
        <v>4</v>
      </c>
      <c r="O117" s="78">
        <v>0.24</v>
      </c>
      <c r="P117" s="78">
        <v>0.24</v>
      </c>
      <c r="Q117" s="16">
        <f t="shared" si="5"/>
        <v>0.24</v>
      </c>
      <c r="R117" s="78">
        <v>14.2</v>
      </c>
      <c r="S117" s="78">
        <v>86</v>
      </c>
      <c r="T117" s="16">
        <f t="shared" si="3"/>
        <v>36</v>
      </c>
      <c r="U117" s="78">
        <v>398</v>
      </c>
      <c r="V117" s="16">
        <f t="shared" si="4"/>
        <v>16</v>
      </c>
      <c r="W117" s="78">
        <v>1</v>
      </c>
      <c r="X117" s="78" t="s">
        <v>35</v>
      </c>
      <c r="Y117" s="78" t="s">
        <v>43</v>
      </c>
      <c r="Z117" s="78" t="s">
        <v>72</v>
      </c>
      <c r="AA117" s="78" t="s">
        <v>82</v>
      </c>
      <c r="AB117" s="78" t="s">
        <v>161</v>
      </c>
    </row>
    <row r="118" spans="1:28" x14ac:dyDescent="0.15">
      <c r="A118" s="78" t="s">
        <v>46</v>
      </c>
      <c r="B118" s="78" t="s">
        <v>160</v>
      </c>
      <c r="C118" s="169">
        <v>2020</v>
      </c>
      <c r="D118" s="170" t="s">
        <v>301</v>
      </c>
      <c r="E118" s="78" t="s">
        <v>328</v>
      </c>
      <c r="F118" s="78" t="s">
        <v>329</v>
      </c>
      <c r="G118" s="78" t="s">
        <v>31</v>
      </c>
      <c r="H118" s="78" t="s">
        <v>113</v>
      </c>
      <c r="I118" s="78" t="s">
        <v>111</v>
      </c>
      <c r="J118" s="78" t="s">
        <v>27</v>
      </c>
      <c r="K118" s="78" t="s">
        <v>112</v>
      </c>
      <c r="L118" s="78">
        <v>3</v>
      </c>
      <c r="N118" s="78">
        <v>4</v>
      </c>
      <c r="O118" s="78">
        <v>0.22</v>
      </c>
      <c r="P118" s="78">
        <v>0.22</v>
      </c>
      <c r="Q118" s="16">
        <f t="shared" si="5"/>
        <v>0.22</v>
      </c>
      <c r="R118" s="78">
        <v>13.1</v>
      </c>
      <c r="S118" s="78">
        <v>86</v>
      </c>
      <c r="T118" s="16">
        <f t="shared" si="3"/>
        <v>36</v>
      </c>
      <c r="U118" s="78">
        <v>398</v>
      </c>
      <c r="V118" s="16">
        <f t="shared" si="4"/>
        <v>16</v>
      </c>
      <c r="W118" s="78">
        <v>1</v>
      </c>
      <c r="X118" s="78" t="s">
        <v>35</v>
      </c>
      <c r="Y118" s="78" t="s">
        <v>43</v>
      </c>
      <c r="Z118" s="78" t="s">
        <v>72</v>
      </c>
      <c r="AA118" s="78" t="s">
        <v>82</v>
      </c>
      <c r="AB118" s="78" t="s">
        <v>161</v>
      </c>
    </row>
    <row r="119" spans="1:28" x14ac:dyDescent="0.15">
      <c r="A119" s="78" t="s">
        <v>46</v>
      </c>
      <c r="B119" s="78" t="s">
        <v>160</v>
      </c>
      <c r="C119" s="169">
        <v>2020</v>
      </c>
      <c r="D119" s="170" t="s">
        <v>301</v>
      </c>
      <c r="E119" s="78" t="s">
        <v>328</v>
      </c>
      <c r="F119" s="78" t="s">
        <v>329</v>
      </c>
      <c r="G119" s="78" t="s">
        <v>31</v>
      </c>
      <c r="H119" s="78" t="s">
        <v>113</v>
      </c>
      <c r="I119" s="78" t="s">
        <v>111</v>
      </c>
      <c r="J119" s="78" t="s">
        <v>27</v>
      </c>
      <c r="K119" s="78" t="s">
        <v>112</v>
      </c>
      <c r="L119" s="78">
        <v>1</v>
      </c>
      <c r="N119" s="78">
        <v>1</v>
      </c>
      <c r="O119" s="78">
        <v>0.63</v>
      </c>
      <c r="P119" s="78">
        <v>0.68</v>
      </c>
      <c r="Q119" s="16">
        <f t="shared" si="5"/>
        <v>0.65500000000000003</v>
      </c>
      <c r="R119" s="78">
        <v>14.2</v>
      </c>
      <c r="S119" s="78">
        <v>149</v>
      </c>
      <c r="T119" s="16">
        <f t="shared" si="3"/>
        <v>22</v>
      </c>
      <c r="U119" s="78">
        <v>108</v>
      </c>
      <c r="V119" s="16">
        <f t="shared" si="4"/>
        <v>33</v>
      </c>
      <c r="W119" s="78">
        <v>4</v>
      </c>
      <c r="X119" s="78" t="s">
        <v>35</v>
      </c>
      <c r="Y119" s="78" t="s">
        <v>43</v>
      </c>
      <c r="Z119" s="78" t="s">
        <v>72</v>
      </c>
      <c r="AA119" s="78" t="s">
        <v>82</v>
      </c>
      <c r="AB119" s="78" t="s">
        <v>161</v>
      </c>
    </row>
    <row r="120" spans="1:28" x14ac:dyDescent="0.15">
      <c r="A120" s="78" t="s">
        <v>46</v>
      </c>
      <c r="B120" s="78" t="s">
        <v>160</v>
      </c>
      <c r="C120" s="169">
        <v>2020</v>
      </c>
      <c r="D120" s="170" t="s">
        <v>301</v>
      </c>
      <c r="E120" s="78" t="s">
        <v>328</v>
      </c>
      <c r="F120" s="78" t="s">
        <v>329</v>
      </c>
      <c r="G120" s="78" t="s">
        <v>31</v>
      </c>
      <c r="H120" s="78" t="s">
        <v>113</v>
      </c>
      <c r="I120" s="78" t="s">
        <v>111</v>
      </c>
      <c r="J120" s="78" t="s">
        <v>27</v>
      </c>
      <c r="K120" s="78" t="s">
        <v>112</v>
      </c>
      <c r="L120" s="78">
        <v>2</v>
      </c>
      <c r="N120" s="78">
        <v>1</v>
      </c>
      <c r="O120" s="78">
        <v>0.55000000000000004</v>
      </c>
      <c r="P120" s="78">
        <v>0.52</v>
      </c>
      <c r="Q120" s="16">
        <f t="shared" si="5"/>
        <v>0.53500000000000003</v>
      </c>
      <c r="R120" s="78">
        <v>15</v>
      </c>
      <c r="S120" s="78">
        <v>140</v>
      </c>
      <c r="T120" s="16">
        <f t="shared" si="3"/>
        <v>22</v>
      </c>
      <c r="U120" s="78">
        <v>108</v>
      </c>
      <c r="V120" s="16">
        <f t="shared" si="4"/>
        <v>33</v>
      </c>
      <c r="W120" s="78">
        <v>4</v>
      </c>
      <c r="X120" s="78" t="s">
        <v>35</v>
      </c>
      <c r="Y120" s="78" t="s">
        <v>43</v>
      </c>
      <c r="Z120" s="78" t="s">
        <v>72</v>
      </c>
      <c r="AA120" s="78" t="s">
        <v>82</v>
      </c>
      <c r="AB120" s="78" t="s">
        <v>161</v>
      </c>
    </row>
    <row r="121" spans="1:28" x14ac:dyDescent="0.15">
      <c r="A121" s="78" t="s">
        <v>46</v>
      </c>
      <c r="B121" s="78" t="s">
        <v>160</v>
      </c>
      <c r="C121" s="169">
        <v>2020</v>
      </c>
      <c r="D121" s="170" t="s">
        <v>301</v>
      </c>
      <c r="E121" s="78" t="s">
        <v>328</v>
      </c>
      <c r="F121" s="78" t="s">
        <v>329</v>
      </c>
      <c r="G121" s="78" t="s">
        <v>31</v>
      </c>
      <c r="H121" s="78" t="s">
        <v>113</v>
      </c>
      <c r="I121" s="78" t="s">
        <v>111</v>
      </c>
      <c r="J121" s="78" t="s">
        <v>27</v>
      </c>
      <c r="K121" s="78" t="s">
        <v>112</v>
      </c>
      <c r="L121" s="78">
        <v>3</v>
      </c>
      <c r="N121" s="78">
        <v>1</v>
      </c>
      <c r="O121" s="78">
        <v>0.65</v>
      </c>
      <c r="P121" s="78">
        <v>0.72</v>
      </c>
      <c r="Q121" s="16">
        <f t="shared" si="5"/>
        <v>0.68500000000000005</v>
      </c>
      <c r="R121" s="78">
        <v>13.2</v>
      </c>
      <c r="S121" s="78">
        <v>141</v>
      </c>
      <c r="T121" s="16">
        <f t="shared" si="3"/>
        <v>22</v>
      </c>
      <c r="U121" s="78">
        <v>108</v>
      </c>
      <c r="V121" s="16">
        <f t="shared" si="4"/>
        <v>33</v>
      </c>
      <c r="W121" s="78">
        <v>4</v>
      </c>
      <c r="X121" s="78" t="s">
        <v>35</v>
      </c>
      <c r="Y121" s="78" t="s">
        <v>43</v>
      </c>
      <c r="Z121" s="78" t="s">
        <v>72</v>
      </c>
      <c r="AA121" s="78" t="s">
        <v>82</v>
      </c>
      <c r="AB121" s="78" t="s">
        <v>161</v>
      </c>
    </row>
    <row r="122" spans="1:28" x14ac:dyDescent="0.15">
      <c r="A122" s="78" t="s">
        <v>46</v>
      </c>
      <c r="B122" s="78" t="s">
        <v>160</v>
      </c>
      <c r="C122" s="169">
        <v>2020</v>
      </c>
      <c r="D122" s="170" t="s">
        <v>301</v>
      </c>
      <c r="E122" s="78" t="s">
        <v>318</v>
      </c>
      <c r="F122" s="78" t="s">
        <v>319</v>
      </c>
      <c r="G122" s="78" t="s">
        <v>25</v>
      </c>
      <c r="H122" s="78" t="s">
        <v>167</v>
      </c>
      <c r="I122" s="78" t="s">
        <v>111</v>
      </c>
      <c r="J122" s="78" t="s">
        <v>27</v>
      </c>
      <c r="K122" s="78" t="s">
        <v>112</v>
      </c>
      <c r="L122" s="78">
        <v>1</v>
      </c>
      <c r="N122" s="78">
        <v>8</v>
      </c>
      <c r="O122" s="78">
        <v>0.22</v>
      </c>
      <c r="P122" s="78">
        <v>0.22</v>
      </c>
      <c r="Q122" s="16">
        <f t="shared" si="5"/>
        <v>0.22</v>
      </c>
      <c r="R122" s="78">
        <v>18.399999999999999</v>
      </c>
      <c r="S122" s="78">
        <v>110</v>
      </c>
      <c r="T122" s="16">
        <f t="shared" si="3"/>
        <v>33</v>
      </c>
      <c r="U122" s="78">
        <v>880</v>
      </c>
      <c r="V122" s="16">
        <f t="shared" si="4"/>
        <v>16</v>
      </c>
      <c r="W122" s="78">
        <v>1</v>
      </c>
      <c r="X122" s="78" t="s">
        <v>28</v>
      </c>
      <c r="Y122" s="78" t="s">
        <v>55</v>
      </c>
      <c r="Z122" s="78" t="s">
        <v>43</v>
      </c>
      <c r="AA122" s="78" t="s">
        <v>76</v>
      </c>
      <c r="AB122" s="78" t="s">
        <v>161</v>
      </c>
    </row>
    <row r="123" spans="1:28" x14ac:dyDescent="0.15">
      <c r="A123" s="78" t="s">
        <v>46</v>
      </c>
      <c r="B123" s="78" t="s">
        <v>160</v>
      </c>
      <c r="C123" s="169">
        <v>2020</v>
      </c>
      <c r="D123" s="170" t="s">
        <v>301</v>
      </c>
      <c r="E123" s="78" t="s">
        <v>318</v>
      </c>
      <c r="F123" s="78" t="s">
        <v>319</v>
      </c>
      <c r="G123" s="78" t="s">
        <v>25</v>
      </c>
      <c r="H123" s="78" t="s">
        <v>167</v>
      </c>
      <c r="I123" s="78" t="s">
        <v>111</v>
      </c>
      <c r="J123" s="78" t="s">
        <v>27</v>
      </c>
      <c r="K123" s="78" t="s">
        <v>112</v>
      </c>
      <c r="L123" s="78">
        <v>2</v>
      </c>
      <c r="N123" s="78">
        <v>8</v>
      </c>
      <c r="O123" s="78">
        <v>0.22</v>
      </c>
      <c r="P123" s="78">
        <v>0.22</v>
      </c>
      <c r="Q123" s="16">
        <f t="shared" si="5"/>
        <v>0.22</v>
      </c>
      <c r="R123" s="78">
        <v>20.3</v>
      </c>
      <c r="S123" s="78">
        <v>116</v>
      </c>
      <c r="T123" s="16">
        <f t="shared" si="3"/>
        <v>30</v>
      </c>
      <c r="U123" s="78">
        <v>880</v>
      </c>
      <c r="V123" s="16">
        <f t="shared" si="4"/>
        <v>16</v>
      </c>
      <c r="W123" s="78">
        <v>1</v>
      </c>
      <c r="X123" s="78" t="s">
        <v>28</v>
      </c>
      <c r="Y123" s="78" t="s">
        <v>55</v>
      </c>
      <c r="Z123" s="78" t="s">
        <v>43</v>
      </c>
      <c r="AA123" s="78" t="s">
        <v>76</v>
      </c>
      <c r="AB123" s="78" t="s">
        <v>161</v>
      </c>
    </row>
    <row r="124" spans="1:28" x14ac:dyDescent="0.15">
      <c r="A124" s="78" t="s">
        <v>46</v>
      </c>
      <c r="B124" s="78" t="s">
        <v>160</v>
      </c>
      <c r="C124" s="169">
        <v>2020</v>
      </c>
      <c r="D124" s="170" t="s">
        <v>301</v>
      </c>
      <c r="E124" s="78" t="s">
        <v>318</v>
      </c>
      <c r="F124" s="78" t="s">
        <v>319</v>
      </c>
      <c r="G124" s="78" t="s">
        <v>25</v>
      </c>
      <c r="H124" s="78" t="s">
        <v>167</v>
      </c>
      <c r="I124" s="78" t="s">
        <v>111</v>
      </c>
      <c r="J124" s="78" t="s">
        <v>27</v>
      </c>
      <c r="K124" s="78" t="s">
        <v>112</v>
      </c>
      <c r="L124" s="78">
        <v>3</v>
      </c>
      <c r="N124" s="78">
        <v>8</v>
      </c>
      <c r="O124" s="78">
        <v>0.31</v>
      </c>
      <c r="P124" s="78">
        <v>0.3</v>
      </c>
      <c r="Q124" s="16">
        <f t="shared" si="5"/>
        <v>0.30499999999999999</v>
      </c>
      <c r="R124" s="78">
        <v>20.2</v>
      </c>
      <c r="S124" s="78">
        <v>120</v>
      </c>
      <c r="T124" s="16">
        <f t="shared" si="3"/>
        <v>30</v>
      </c>
      <c r="U124" s="78">
        <v>880</v>
      </c>
      <c r="V124" s="16">
        <f t="shared" si="4"/>
        <v>16</v>
      </c>
      <c r="W124" s="78">
        <v>1</v>
      </c>
      <c r="X124" s="78" t="s">
        <v>28</v>
      </c>
      <c r="Y124" s="78" t="s">
        <v>55</v>
      </c>
      <c r="Z124" s="78" t="s">
        <v>43</v>
      </c>
      <c r="AA124" s="78" t="s">
        <v>76</v>
      </c>
      <c r="AB124" s="78" t="s">
        <v>161</v>
      </c>
    </row>
    <row r="125" spans="1:28" x14ac:dyDescent="0.15">
      <c r="A125" s="78" t="s">
        <v>46</v>
      </c>
      <c r="B125" s="78" t="s">
        <v>160</v>
      </c>
      <c r="C125" s="169">
        <v>2020</v>
      </c>
      <c r="D125" s="170" t="s">
        <v>301</v>
      </c>
      <c r="E125" s="78" t="s">
        <v>318</v>
      </c>
      <c r="F125" s="78" t="s">
        <v>319</v>
      </c>
      <c r="G125" s="78" t="s">
        <v>25</v>
      </c>
      <c r="H125" s="78" t="s">
        <v>167</v>
      </c>
      <c r="I125" s="78" t="s">
        <v>111</v>
      </c>
      <c r="J125" s="78" t="s">
        <v>27</v>
      </c>
      <c r="K125" s="78" t="s">
        <v>112</v>
      </c>
      <c r="L125" s="78">
        <v>1</v>
      </c>
      <c r="N125" s="78">
        <v>4</v>
      </c>
      <c r="O125" s="78">
        <v>0.24</v>
      </c>
      <c r="P125" s="78">
        <v>0.23</v>
      </c>
      <c r="Q125" s="16">
        <f t="shared" si="5"/>
        <v>0.23499999999999999</v>
      </c>
      <c r="R125" s="78">
        <v>14.4</v>
      </c>
      <c r="S125" s="78">
        <v>114</v>
      </c>
      <c r="T125" s="16">
        <f t="shared" si="3"/>
        <v>30</v>
      </c>
      <c r="U125" s="78">
        <v>258</v>
      </c>
      <c r="V125" s="16">
        <f t="shared" si="4"/>
        <v>16</v>
      </c>
      <c r="W125" s="78">
        <v>5</v>
      </c>
      <c r="X125" s="78" t="s">
        <v>35</v>
      </c>
      <c r="Y125" s="78" t="s">
        <v>55</v>
      </c>
      <c r="Z125" s="78" t="s">
        <v>43</v>
      </c>
      <c r="AA125" s="78" t="s">
        <v>76</v>
      </c>
      <c r="AB125" s="78" t="s">
        <v>161</v>
      </c>
    </row>
    <row r="126" spans="1:28" x14ac:dyDescent="0.15">
      <c r="A126" s="78" t="s">
        <v>46</v>
      </c>
      <c r="B126" s="78" t="s">
        <v>160</v>
      </c>
      <c r="C126" s="169">
        <v>2020</v>
      </c>
      <c r="D126" s="170" t="s">
        <v>301</v>
      </c>
      <c r="E126" s="78" t="s">
        <v>318</v>
      </c>
      <c r="F126" s="78" t="s">
        <v>319</v>
      </c>
      <c r="G126" s="78" t="s">
        <v>25</v>
      </c>
      <c r="H126" s="78" t="s">
        <v>167</v>
      </c>
      <c r="I126" s="78" t="s">
        <v>111</v>
      </c>
      <c r="J126" s="78" t="s">
        <v>27</v>
      </c>
      <c r="K126" s="78" t="s">
        <v>112</v>
      </c>
      <c r="L126" s="78">
        <v>2</v>
      </c>
      <c r="N126" s="78">
        <v>4</v>
      </c>
      <c r="O126" s="78">
        <v>0.27</v>
      </c>
      <c r="P126" s="78">
        <v>0.28999999999999998</v>
      </c>
      <c r="Q126" s="16">
        <f t="shared" si="5"/>
        <v>0.28000000000000003</v>
      </c>
      <c r="R126" s="78">
        <v>16.399999999999999</v>
      </c>
      <c r="S126" s="78">
        <v>113</v>
      </c>
      <c r="T126" s="16">
        <f t="shared" si="3"/>
        <v>30</v>
      </c>
      <c r="U126" s="78">
        <v>258</v>
      </c>
      <c r="V126" s="16">
        <f t="shared" si="4"/>
        <v>16</v>
      </c>
      <c r="W126" s="78">
        <v>5</v>
      </c>
      <c r="X126" s="78" t="s">
        <v>35</v>
      </c>
      <c r="Y126" s="78" t="s">
        <v>55</v>
      </c>
      <c r="Z126" s="78" t="s">
        <v>43</v>
      </c>
      <c r="AA126" s="78" t="s">
        <v>76</v>
      </c>
      <c r="AB126" s="78" t="s">
        <v>161</v>
      </c>
    </row>
    <row r="127" spans="1:28" x14ac:dyDescent="0.15">
      <c r="A127" s="78" t="s">
        <v>46</v>
      </c>
      <c r="B127" s="78" t="s">
        <v>160</v>
      </c>
      <c r="C127" s="169">
        <v>2020</v>
      </c>
      <c r="D127" s="170" t="s">
        <v>301</v>
      </c>
      <c r="E127" s="78" t="s">
        <v>318</v>
      </c>
      <c r="F127" s="78" t="s">
        <v>319</v>
      </c>
      <c r="G127" s="78" t="s">
        <v>25</v>
      </c>
      <c r="H127" s="78" t="s">
        <v>167</v>
      </c>
      <c r="I127" s="78" t="s">
        <v>111</v>
      </c>
      <c r="J127" s="78" t="s">
        <v>27</v>
      </c>
      <c r="K127" s="78" t="s">
        <v>112</v>
      </c>
      <c r="L127" s="78">
        <v>3</v>
      </c>
      <c r="N127" s="78">
        <v>4</v>
      </c>
      <c r="O127" s="78">
        <v>0.24</v>
      </c>
      <c r="P127" s="78">
        <v>0.25</v>
      </c>
      <c r="Q127" s="16">
        <f t="shared" si="5"/>
        <v>0.245</v>
      </c>
      <c r="R127" s="78">
        <v>15.7</v>
      </c>
      <c r="S127" s="78">
        <v>110</v>
      </c>
      <c r="T127" s="16">
        <f t="shared" si="3"/>
        <v>33</v>
      </c>
      <c r="U127" s="78">
        <v>258</v>
      </c>
      <c r="V127" s="16">
        <f t="shared" si="4"/>
        <v>16</v>
      </c>
      <c r="W127" s="78">
        <v>5</v>
      </c>
      <c r="X127" s="78" t="s">
        <v>35</v>
      </c>
      <c r="Y127" s="78" t="s">
        <v>55</v>
      </c>
      <c r="Z127" s="78" t="s">
        <v>43</v>
      </c>
      <c r="AA127" s="78" t="s">
        <v>76</v>
      </c>
      <c r="AB127" s="78" t="s">
        <v>161</v>
      </c>
    </row>
    <row r="128" spans="1:28" x14ac:dyDescent="0.15">
      <c r="A128" s="78" t="s">
        <v>46</v>
      </c>
      <c r="B128" s="78" t="s">
        <v>160</v>
      </c>
      <c r="C128" s="169">
        <v>2020</v>
      </c>
      <c r="D128" s="170" t="s">
        <v>301</v>
      </c>
      <c r="E128" s="78" t="s">
        <v>318</v>
      </c>
      <c r="F128" s="78" t="s">
        <v>319</v>
      </c>
      <c r="G128" s="78" t="s">
        <v>25</v>
      </c>
      <c r="H128" s="78" t="s">
        <v>167</v>
      </c>
      <c r="I128" s="78" t="s">
        <v>111</v>
      </c>
      <c r="J128" s="78" t="s">
        <v>27</v>
      </c>
      <c r="K128" s="78" t="s">
        <v>112</v>
      </c>
      <c r="L128" s="78">
        <v>1</v>
      </c>
      <c r="N128" s="78">
        <v>1</v>
      </c>
      <c r="O128" s="78">
        <v>0.6</v>
      </c>
      <c r="P128" s="78">
        <v>0.67</v>
      </c>
      <c r="Q128" s="16">
        <f t="shared" si="5"/>
        <v>0.63500000000000001</v>
      </c>
      <c r="R128" s="78">
        <v>17</v>
      </c>
      <c r="S128" s="78">
        <v>136</v>
      </c>
      <c r="T128" s="16">
        <f t="shared" si="3"/>
        <v>25</v>
      </c>
      <c r="U128" s="78">
        <v>138</v>
      </c>
      <c r="V128" s="16">
        <f t="shared" si="4"/>
        <v>22</v>
      </c>
      <c r="W128" s="78">
        <v>2</v>
      </c>
      <c r="X128" s="78" t="s">
        <v>35</v>
      </c>
      <c r="Y128" s="78" t="s">
        <v>55</v>
      </c>
      <c r="Z128" s="78" t="s">
        <v>43</v>
      </c>
      <c r="AA128" s="78" t="s">
        <v>76</v>
      </c>
      <c r="AB128" s="78" t="s">
        <v>161</v>
      </c>
    </row>
    <row r="129" spans="1:28" x14ac:dyDescent="0.15">
      <c r="A129" s="78" t="s">
        <v>46</v>
      </c>
      <c r="B129" s="78" t="s">
        <v>160</v>
      </c>
      <c r="C129" s="169">
        <v>2020</v>
      </c>
      <c r="D129" s="170" t="s">
        <v>301</v>
      </c>
      <c r="E129" s="78" t="s">
        <v>318</v>
      </c>
      <c r="F129" s="78" t="s">
        <v>319</v>
      </c>
      <c r="G129" s="78" t="s">
        <v>25</v>
      </c>
      <c r="H129" s="78" t="s">
        <v>167</v>
      </c>
      <c r="I129" s="78" t="s">
        <v>111</v>
      </c>
      <c r="J129" s="78" t="s">
        <v>27</v>
      </c>
      <c r="K129" s="78" t="s">
        <v>112</v>
      </c>
      <c r="L129" s="78">
        <v>2</v>
      </c>
      <c r="N129" s="78">
        <v>1</v>
      </c>
      <c r="O129" s="78">
        <v>0.62</v>
      </c>
      <c r="P129" s="78">
        <v>0.56000000000000005</v>
      </c>
      <c r="Q129" s="16">
        <f t="shared" si="5"/>
        <v>0.59000000000000008</v>
      </c>
      <c r="R129" s="78">
        <v>15.7</v>
      </c>
      <c r="S129" s="78">
        <v>133</v>
      </c>
      <c r="T129" s="16">
        <f t="shared" si="3"/>
        <v>25</v>
      </c>
      <c r="U129" s="78">
        <v>138</v>
      </c>
      <c r="V129" s="16">
        <f t="shared" si="4"/>
        <v>22</v>
      </c>
      <c r="W129" s="78">
        <v>2</v>
      </c>
      <c r="X129" s="78" t="s">
        <v>35</v>
      </c>
      <c r="Y129" s="78" t="s">
        <v>55</v>
      </c>
      <c r="Z129" s="78" t="s">
        <v>43</v>
      </c>
      <c r="AA129" s="78" t="s">
        <v>76</v>
      </c>
      <c r="AB129" s="78" t="s">
        <v>161</v>
      </c>
    </row>
    <row r="130" spans="1:28" x14ac:dyDescent="0.15">
      <c r="A130" s="78" t="s">
        <v>46</v>
      </c>
      <c r="B130" s="78" t="s">
        <v>160</v>
      </c>
      <c r="C130" s="169">
        <v>2020</v>
      </c>
      <c r="D130" s="170" t="s">
        <v>301</v>
      </c>
      <c r="E130" s="78" t="s">
        <v>318</v>
      </c>
      <c r="F130" s="78" t="s">
        <v>319</v>
      </c>
      <c r="G130" s="78" t="s">
        <v>25</v>
      </c>
      <c r="H130" s="78" t="s">
        <v>167</v>
      </c>
      <c r="I130" s="78" t="s">
        <v>111</v>
      </c>
      <c r="J130" s="78" t="s">
        <v>27</v>
      </c>
      <c r="K130" s="78" t="s">
        <v>112</v>
      </c>
      <c r="L130" s="78">
        <v>3</v>
      </c>
      <c r="N130" s="78">
        <v>1</v>
      </c>
      <c r="O130" s="78">
        <v>0.61</v>
      </c>
      <c r="P130" s="78">
        <v>0.56999999999999995</v>
      </c>
      <c r="Q130" s="16">
        <f t="shared" si="5"/>
        <v>0.59</v>
      </c>
      <c r="R130" s="78">
        <v>16.600000000000001</v>
      </c>
      <c r="S130" s="78">
        <v>136</v>
      </c>
      <c r="T130" s="16">
        <f t="shared" si="3"/>
        <v>25</v>
      </c>
      <c r="U130" s="78">
        <v>138</v>
      </c>
      <c r="V130" s="16">
        <f t="shared" si="4"/>
        <v>22</v>
      </c>
      <c r="W130" s="78">
        <v>2</v>
      </c>
      <c r="X130" s="78" t="s">
        <v>35</v>
      </c>
      <c r="Y130" s="78" t="s">
        <v>55</v>
      </c>
      <c r="Z130" s="78" t="s">
        <v>43</v>
      </c>
      <c r="AA130" s="78" t="s">
        <v>76</v>
      </c>
      <c r="AB130" s="78" t="s">
        <v>161</v>
      </c>
    </row>
    <row r="131" spans="1:28" x14ac:dyDescent="0.15">
      <c r="A131" s="78" t="s">
        <v>46</v>
      </c>
      <c r="B131" s="78" t="s">
        <v>160</v>
      </c>
      <c r="C131" s="169">
        <v>2020</v>
      </c>
      <c r="D131" s="170" t="s">
        <v>301</v>
      </c>
      <c r="E131" s="78" t="s">
        <v>318</v>
      </c>
      <c r="F131" s="78" t="s">
        <v>319</v>
      </c>
      <c r="G131" s="78" t="s">
        <v>25</v>
      </c>
      <c r="H131" s="78" t="s">
        <v>113</v>
      </c>
      <c r="I131" s="78" t="s">
        <v>111</v>
      </c>
      <c r="J131" s="78" t="s">
        <v>27</v>
      </c>
      <c r="K131" s="78" t="s">
        <v>112</v>
      </c>
      <c r="L131" s="78">
        <v>1</v>
      </c>
      <c r="N131" s="78">
        <v>10</v>
      </c>
      <c r="O131" s="78">
        <v>0.25</v>
      </c>
      <c r="P131" s="78">
        <v>0.26</v>
      </c>
      <c r="Q131" s="16">
        <f t="shared" si="5"/>
        <v>0.255</v>
      </c>
      <c r="R131" s="78">
        <v>14.7</v>
      </c>
      <c r="S131" s="78">
        <v>90</v>
      </c>
      <c r="T131" s="16">
        <f t="shared" si="3"/>
        <v>36</v>
      </c>
      <c r="U131" s="78">
        <v>580</v>
      </c>
      <c r="V131" s="16">
        <f t="shared" si="4"/>
        <v>16</v>
      </c>
      <c r="W131" s="78">
        <v>1</v>
      </c>
      <c r="X131" s="78" t="s">
        <v>28</v>
      </c>
      <c r="Y131" s="78" t="s">
        <v>55</v>
      </c>
      <c r="Z131" s="78" t="s">
        <v>43</v>
      </c>
      <c r="AA131" s="78" t="s">
        <v>76</v>
      </c>
      <c r="AB131" s="78" t="s">
        <v>161</v>
      </c>
    </row>
    <row r="132" spans="1:28" x14ac:dyDescent="0.15">
      <c r="A132" s="78" t="s">
        <v>46</v>
      </c>
      <c r="B132" s="78" t="s">
        <v>160</v>
      </c>
      <c r="C132" s="169">
        <v>2020</v>
      </c>
      <c r="D132" s="170" t="s">
        <v>301</v>
      </c>
      <c r="E132" s="78" t="s">
        <v>318</v>
      </c>
      <c r="F132" s="78" t="s">
        <v>319</v>
      </c>
      <c r="G132" s="78" t="s">
        <v>25</v>
      </c>
      <c r="H132" s="78" t="s">
        <v>113</v>
      </c>
      <c r="I132" s="78" t="s">
        <v>111</v>
      </c>
      <c r="J132" s="78" t="s">
        <v>27</v>
      </c>
      <c r="K132" s="78" t="s">
        <v>112</v>
      </c>
      <c r="L132" s="78">
        <v>2</v>
      </c>
      <c r="N132" s="78">
        <v>10</v>
      </c>
      <c r="O132" s="78">
        <v>0.26</v>
      </c>
      <c r="P132" s="78">
        <v>0.24</v>
      </c>
      <c r="Q132" s="16">
        <f t="shared" si="5"/>
        <v>0.25</v>
      </c>
      <c r="R132" s="78">
        <v>14.7</v>
      </c>
      <c r="S132" s="78">
        <v>92</v>
      </c>
      <c r="T132" s="16">
        <f t="shared" si="3"/>
        <v>36</v>
      </c>
      <c r="U132" s="78">
        <v>580</v>
      </c>
      <c r="V132" s="16">
        <f t="shared" si="4"/>
        <v>16</v>
      </c>
      <c r="W132" s="78">
        <v>1</v>
      </c>
      <c r="X132" s="78" t="s">
        <v>28</v>
      </c>
      <c r="Y132" s="78" t="s">
        <v>55</v>
      </c>
      <c r="Z132" s="78" t="s">
        <v>43</v>
      </c>
      <c r="AA132" s="78" t="s">
        <v>76</v>
      </c>
      <c r="AB132" s="78" t="s">
        <v>161</v>
      </c>
    </row>
    <row r="133" spans="1:28" x14ac:dyDescent="0.15">
      <c r="A133" s="78" t="s">
        <v>46</v>
      </c>
      <c r="B133" s="78" t="s">
        <v>160</v>
      </c>
      <c r="C133" s="169">
        <v>2020</v>
      </c>
      <c r="D133" s="170" t="s">
        <v>301</v>
      </c>
      <c r="E133" s="78" t="s">
        <v>318</v>
      </c>
      <c r="F133" s="78" t="s">
        <v>319</v>
      </c>
      <c r="G133" s="78" t="s">
        <v>25</v>
      </c>
      <c r="H133" s="78" t="s">
        <v>113</v>
      </c>
      <c r="I133" s="78" t="s">
        <v>111</v>
      </c>
      <c r="J133" s="78" t="s">
        <v>27</v>
      </c>
      <c r="K133" s="78" t="s">
        <v>112</v>
      </c>
      <c r="L133" s="78">
        <v>3</v>
      </c>
      <c r="N133" s="78">
        <v>10</v>
      </c>
      <c r="O133" s="78">
        <v>0.24</v>
      </c>
      <c r="P133" s="78">
        <v>0.24</v>
      </c>
      <c r="Q133" s="16">
        <f t="shared" si="5"/>
        <v>0.24</v>
      </c>
      <c r="R133" s="78">
        <v>15</v>
      </c>
      <c r="S133" s="78">
        <v>87</v>
      </c>
      <c r="T133" s="16">
        <f t="shared" si="3"/>
        <v>36</v>
      </c>
      <c r="U133" s="78">
        <v>580</v>
      </c>
      <c r="V133" s="16">
        <f t="shared" si="4"/>
        <v>16</v>
      </c>
      <c r="W133" s="78">
        <v>1</v>
      </c>
      <c r="X133" s="78" t="s">
        <v>28</v>
      </c>
      <c r="Y133" s="78" t="s">
        <v>55</v>
      </c>
      <c r="Z133" s="78" t="s">
        <v>43</v>
      </c>
      <c r="AA133" s="78" t="s">
        <v>76</v>
      </c>
      <c r="AB133" s="78" t="s">
        <v>161</v>
      </c>
    </row>
    <row r="134" spans="1:28" x14ac:dyDescent="0.15">
      <c r="A134" s="78" t="s">
        <v>46</v>
      </c>
      <c r="B134" s="78" t="s">
        <v>160</v>
      </c>
      <c r="C134" s="169">
        <v>2020</v>
      </c>
      <c r="D134" s="170" t="s">
        <v>301</v>
      </c>
      <c r="E134" s="78" t="s">
        <v>318</v>
      </c>
      <c r="F134" s="78" t="s">
        <v>319</v>
      </c>
      <c r="G134" s="78" t="s">
        <v>25</v>
      </c>
      <c r="H134" s="78" t="s">
        <v>113</v>
      </c>
      <c r="I134" s="78" t="s">
        <v>111</v>
      </c>
      <c r="J134" s="78" t="s">
        <v>27</v>
      </c>
      <c r="K134" s="78" t="s">
        <v>112</v>
      </c>
      <c r="L134" s="78">
        <v>1</v>
      </c>
      <c r="N134" s="78">
        <v>4</v>
      </c>
      <c r="O134" s="78">
        <v>0.23</v>
      </c>
      <c r="P134" s="78">
        <v>0.22</v>
      </c>
      <c r="Q134" s="16">
        <f t="shared" si="5"/>
        <v>0.22500000000000001</v>
      </c>
      <c r="R134" s="78">
        <v>14.5</v>
      </c>
      <c r="S134" s="78">
        <v>109</v>
      </c>
      <c r="T134" s="16">
        <f t="shared" si="3"/>
        <v>33</v>
      </c>
      <c r="U134" s="78">
        <v>238</v>
      </c>
      <c r="V134" s="16">
        <f t="shared" si="4"/>
        <v>16</v>
      </c>
      <c r="W134" s="78">
        <v>2</v>
      </c>
      <c r="X134" s="78" t="s">
        <v>35</v>
      </c>
      <c r="Y134" s="78" t="s">
        <v>55</v>
      </c>
      <c r="Z134" s="78" t="s">
        <v>43</v>
      </c>
      <c r="AA134" s="78" t="s">
        <v>76</v>
      </c>
      <c r="AB134" s="78" t="s">
        <v>161</v>
      </c>
    </row>
    <row r="135" spans="1:28" x14ac:dyDescent="0.15">
      <c r="A135" s="78" t="s">
        <v>46</v>
      </c>
      <c r="B135" s="78" t="s">
        <v>160</v>
      </c>
      <c r="C135" s="169">
        <v>2020</v>
      </c>
      <c r="D135" s="170" t="s">
        <v>301</v>
      </c>
      <c r="E135" s="78" t="s">
        <v>318</v>
      </c>
      <c r="F135" s="78" t="s">
        <v>319</v>
      </c>
      <c r="G135" s="78" t="s">
        <v>25</v>
      </c>
      <c r="H135" s="78" t="s">
        <v>113</v>
      </c>
      <c r="I135" s="78" t="s">
        <v>111</v>
      </c>
      <c r="J135" s="78" t="s">
        <v>27</v>
      </c>
      <c r="K135" s="78" t="s">
        <v>112</v>
      </c>
      <c r="L135" s="78">
        <v>2</v>
      </c>
      <c r="N135" s="78">
        <v>4</v>
      </c>
      <c r="O135" s="78">
        <v>0.26</v>
      </c>
      <c r="P135" s="78">
        <v>0.24</v>
      </c>
      <c r="Q135" s="16">
        <f t="shared" si="5"/>
        <v>0.25</v>
      </c>
      <c r="R135" s="78">
        <v>12.9</v>
      </c>
      <c r="S135" s="78">
        <v>103</v>
      </c>
      <c r="T135" s="16">
        <f t="shared" si="3"/>
        <v>33</v>
      </c>
      <c r="U135" s="78">
        <v>238</v>
      </c>
      <c r="V135" s="16">
        <f t="shared" si="4"/>
        <v>16</v>
      </c>
      <c r="W135" s="78">
        <v>2</v>
      </c>
      <c r="X135" s="78" t="s">
        <v>35</v>
      </c>
      <c r="Y135" s="78" t="s">
        <v>55</v>
      </c>
      <c r="Z135" s="78" t="s">
        <v>43</v>
      </c>
      <c r="AA135" s="78" t="s">
        <v>76</v>
      </c>
      <c r="AB135" s="78" t="s">
        <v>161</v>
      </c>
    </row>
    <row r="136" spans="1:28" x14ac:dyDescent="0.15">
      <c r="A136" s="78" t="s">
        <v>46</v>
      </c>
      <c r="B136" s="78" t="s">
        <v>160</v>
      </c>
      <c r="C136" s="169">
        <v>2020</v>
      </c>
      <c r="D136" s="170" t="s">
        <v>301</v>
      </c>
      <c r="E136" s="78" t="s">
        <v>318</v>
      </c>
      <c r="F136" s="78" t="s">
        <v>319</v>
      </c>
      <c r="G136" s="78" t="s">
        <v>25</v>
      </c>
      <c r="H136" s="78" t="s">
        <v>113</v>
      </c>
      <c r="I136" s="78" t="s">
        <v>111</v>
      </c>
      <c r="J136" s="78" t="s">
        <v>27</v>
      </c>
      <c r="K136" s="78" t="s">
        <v>112</v>
      </c>
      <c r="L136" s="78">
        <v>3</v>
      </c>
      <c r="N136" s="78">
        <v>4</v>
      </c>
      <c r="O136" s="78">
        <v>0.3</v>
      </c>
      <c r="P136" s="78">
        <v>0.26</v>
      </c>
      <c r="Q136" s="16">
        <f t="shared" si="5"/>
        <v>0.28000000000000003</v>
      </c>
      <c r="R136" s="78">
        <v>13</v>
      </c>
      <c r="S136" s="78">
        <v>104</v>
      </c>
      <c r="T136" s="16">
        <f t="shared" si="3"/>
        <v>33</v>
      </c>
      <c r="U136" s="78">
        <v>238</v>
      </c>
      <c r="V136" s="16">
        <f t="shared" si="4"/>
        <v>16</v>
      </c>
      <c r="W136" s="78">
        <v>2</v>
      </c>
      <c r="X136" s="78" t="s">
        <v>35</v>
      </c>
      <c r="Y136" s="78" t="s">
        <v>55</v>
      </c>
      <c r="Z136" s="78" t="s">
        <v>43</v>
      </c>
      <c r="AA136" s="78" t="s">
        <v>76</v>
      </c>
      <c r="AB136" s="78" t="s">
        <v>161</v>
      </c>
    </row>
    <row r="137" spans="1:28" x14ac:dyDescent="0.15">
      <c r="A137" s="78" t="s">
        <v>46</v>
      </c>
      <c r="B137" s="78" t="s">
        <v>160</v>
      </c>
      <c r="C137" s="169">
        <v>2020</v>
      </c>
      <c r="D137" s="170" t="s">
        <v>301</v>
      </c>
      <c r="E137" s="78" t="s">
        <v>318</v>
      </c>
      <c r="F137" s="78" t="s">
        <v>319</v>
      </c>
      <c r="G137" s="78" t="s">
        <v>25</v>
      </c>
      <c r="H137" s="78" t="s">
        <v>113</v>
      </c>
      <c r="I137" s="78" t="s">
        <v>111</v>
      </c>
      <c r="J137" s="78" t="s">
        <v>27</v>
      </c>
      <c r="K137" s="78" t="s">
        <v>112</v>
      </c>
      <c r="L137" s="78">
        <v>1</v>
      </c>
      <c r="N137" s="78">
        <v>1</v>
      </c>
      <c r="O137" s="78">
        <v>0.45</v>
      </c>
      <c r="P137" s="78">
        <v>0.47</v>
      </c>
      <c r="Q137" s="16">
        <f t="shared" si="5"/>
        <v>0.45999999999999996</v>
      </c>
      <c r="R137" s="78">
        <v>15.3</v>
      </c>
      <c r="S137" s="78">
        <v>131</v>
      </c>
      <c r="T137" s="16">
        <f t="shared" si="3"/>
        <v>25</v>
      </c>
      <c r="U137" s="78">
        <v>98</v>
      </c>
      <c r="V137" s="16">
        <f t="shared" si="4"/>
        <v>36</v>
      </c>
      <c r="W137" s="78">
        <v>4</v>
      </c>
      <c r="X137" s="78" t="s">
        <v>35</v>
      </c>
      <c r="Y137" s="78" t="s">
        <v>55</v>
      </c>
      <c r="Z137" s="78" t="s">
        <v>43</v>
      </c>
      <c r="AA137" s="78" t="s">
        <v>76</v>
      </c>
      <c r="AB137" s="78" t="s">
        <v>161</v>
      </c>
    </row>
    <row r="138" spans="1:28" x14ac:dyDescent="0.15">
      <c r="A138" s="78" t="s">
        <v>46</v>
      </c>
      <c r="B138" s="78" t="s">
        <v>160</v>
      </c>
      <c r="C138" s="169">
        <v>2020</v>
      </c>
      <c r="D138" s="170" t="s">
        <v>301</v>
      </c>
      <c r="E138" s="78" t="s">
        <v>318</v>
      </c>
      <c r="F138" s="78" t="s">
        <v>319</v>
      </c>
      <c r="G138" s="78" t="s">
        <v>25</v>
      </c>
      <c r="H138" s="78" t="s">
        <v>113</v>
      </c>
      <c r="I138" s="78" t="s">
        <v>111</v>
      </c>
      <c r="J138" s="78" t="s">
        <v>27</v>
      </c>
      <c r="K138" s="78" t="s">
        <v>112</v>
      </c>
      <c r="L138" s="78">
        <v>2</v>
      </c>
      <c r="N138" s="78">
        <v>1</v>
      </c>
      <c r="O138" s="78">
        <v>0.38</v>
      </c>
      <c r="P138" s="78">
        <v>0.45</v>
      </c>
      <c r="Q138" s="16">
        <f t="shared" si="5"/>
        <v>0.41500000000000004</v>
      </c>
      <c r="R138" s="78">
        <v>13.9</v>
      </c>
      <c r="S138" s="78">
        <v>132</v>
      </c>
      <c r="T138" s="16">
        <f t="shared" ref="T138:T152" si="7">IF(H138="","",IF(OR(H138="GREEN",H138="GK"),IF(S138&gt;=$AX$2,VLOOKUP(S138,$AX$2:$AY$12,2,1),""),IF(S138&gt;=$AZ$2,VLOOKUP(S138,$AZ$2:$BA$12,2,1),"")))</f>
        <v>25</v>
      </c>
      <c r="U138" s="78">
        <v>98</v>
      </c>
      <c r="V138" s="16">
        <f t="shared" si="4"/>
        <v>36</v>
      </c>
      <c r="W138" s="78">
        <v>4</v>
      </c>
      <c r="X138" s="78" t="s">
        <v>35</v>
      </c>
      <c r="Y138" s="78" t="s">
        <v>55</v>
      </c>
      <c r="Z138" s="78" t="s">
        <v>43</v>
      </c>
      <c r="AA138" s="78" t="s">
        <v>76</v>
      </c>
      <c r="AB138" s="78" t="s">
        <v>161</v>
      </c>
    </row>
    <row r="139" spans="1:28" x14ac:dyDescent="0.15">
      <c r="A139" s="78" t="s">
        <v>46</v>
      </c>
      <c r="B139" s="78" t="s">
        <v>160</v>
      </c>
      <c r="C139" s="169">
        <v>2020</v>
      </c>
      <c r="D139" s="170" t="s">
        <v>301</v>
      </c>
      <c r="E139" s="78" t="s">
        <v>318</v>
      </c>
      <c r="F139" s="78" t="s">
        <v>319</v>
      </c>
      <c r="G139" s="78" t="s">
        <v>25</v>
      </c>
      <c r="H139" s="78" t="s">
        <v>113</v>
      </c>
      <c r="I139" s="78" t="s">
        <v>111</v>
      </c>
      <c r="J139" s="78" t="s">
        <v>27</v>
      </c>
      <c r="K139" s="78" t="s">
        <v>112</v>
      </c>
      <c r="L139" s="78">
        <v>3</v>
      </c>
      <c r="N139" s="78">
        <v>1</v>
      </c>
      <c r="O139" s="78">
        <v>0.42</v>
      </c>
      <c r="P139" s="78">
        <v>0.46</v>
      </c>
      <c r="Q139" s="16">
        <f t="shared" si="5"/>
        <v>0.44</v>
      </c>
      <c r="R139" s="78">
        <v>13.8</v>
      </c>
      <c r="S139" s="78">
        <v>135</v>
      </c>
      <c r="T139" s="16">
        <f t="shared" si="7"/>
        <v>25</v>
      </c>
      <c r="U139" s="78">
        <v>98</v>
      </c>
      <c r="V139" s="16">
        <f t="shared" si="4"/>
        <v>36</v>
      </c>
      <c r="W139" s="78">
        <v>4</v>
      </c>
      <c r="X139" s="78" t="s">
        <v>35</v>
      </c>
      <c r="Y139" s="78" t="s">
        <v>55</v>
      </c>
      <c r="Z139" s="78" t="s">
        <v>43</v>
      </c>
      <c r="AA139" s="78" t="s">
        <v>76</v>
      </c>
      <c r="AB139" s="78" t="s">
        <v>161</v>
      </c>
    </row>
    <row r="140" spans="1:28" x14ac:dyDescent="0.15">
      <c r="C140" s="169"/>
      <c r="D140" s="170"/>
      <c r="Q140" s="16" t="str">
        <f t="shared" si="5"/>
        <v/>
      </c>
      <c r="T140" s="16" t="str">
        <f t="shared" si="7"/>
        <v/>
      </c>
      <c r="V140" s="16" t="str">
        <f t="shared" si="4"/>
        <v/>
      </c>
    </row>
    <row r="141" spans="1:28" x14ac:dyDescent="0.15">
      <c r="C141" s="169"/>
      <c r="D141" s="170"/>
      <c r="Q141" s="16" t="str">
        <f t="shared" si="5"/>
        <v/>
      </c>
      <c r="T141" s="16" t="str">
        <f t="shared" si="7"/>
        <v/>
      </c>
      <c r="V141" s="16" t="str">
        <f t="shared" si="4"/>
        <v/>
      </c>
    </row>
    <row r="142" spans="1:28" x14ac:dyDescent="0.15">
      <c r="C142" s="169"/>
      <c r="D142" s="170"/>
      <c r="Q142" s="16" t="str">
        <f t="shared" si="5"/>
        <v/>
      </c>
      <c r="T142" s="16" t="str">
        <f t="shared" si="7"/>
        <v/>
      </c>
      <c r="V142" s="16" t="str">
        <f t="shared" si="4"/>
        <v/>
      </c>
    </row>
    <row r="143" spans="1:28" x14ac:dyDescent="0.15">
      <c r="C143" s="169"/>
      <c r="D143" s="170"/>
      <c r="Q143" s="16" t="str">
        <f t="shared" si="5"/>
        <v/>
      </c>
      <c r="T143" s="16" t="str">
        <f t="shared" si="7"/>
        <v/>
      </c>
      <c r="V143" s="16" t="str">
        <f t="shared" si="4"/>
        <v/>
      </c>
    </row>
    <row r="144" spans="1:28" x14ac:dyDescent="0.15">
      <c r="C144" s="169"/>
      <c r="D144" s="170"/>
      <c r="Q144" s="16" t="str">
        <f t="shared" si="5"/>
        <v/>
      </c>
      <c r="T144" s="16" t="str">
        <f t="shared" si="7"/>
        <v/>
      </c>
      <c r="V144" s="16" t="str">
        <f t="shared" si="4"/>
        <v/>
      </c>
    </row>
    <row r="145" spans="3:22" x14ac:dyDescent="0.15">
      <c r="C145" s="169"/>
      <c r="D145" s="170"/>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7B8080B6-EFB9-420B-86C4-E1B02F93A94A}">
      <formula1>$AR$2:$AR$29</formula1>
    </dataValidation>
    <dataValidation type="list" allowBlank="1" showInputMessage="1" showErrorMessage="1" sqref="J2:J1000" xr:uid="{08F42589-0B30-4687-B27F-86E0828D44AD}">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9BC2ECA-15CE-4E47-88EC-8D2EBC993317}">
      <formula1>$AR$2:$AR$30</formula1>
    </dataValidation>
    <dataValidation type="list" allowBlank="1" showInputMessage="1" showErrorMessage="1" sqref="H2:H1307" xr:uid="{8A8BD87E-F183-47E5-8F5C-CBE83CCFFEAE}">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79E3DA86-FB2E-4463-9628-ED54285D25B6}">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64824B09-3BB4-43B6-8C8F-BA7A5FB692E5}">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CC2C0242-2908-41A6-A425-0B2CD4B1E8E1}">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73135D65-818D-4CC7-9DE8-67655FBFB75D}">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9F4DBF08-9E09-4066-868A-4E8B839FE4BF}">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E8A59F4F-37A6-4D3A-A23D-0731D58CCBAE}">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7FC976E2-E723-487C-9716-8B2D0D5173A5}">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53B10022-3FFA-458A-A3CE-FA910DBBA6B5}">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49082FDA-AE19-4BC1-8319-76BA4E6DE059}">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F4307401-E431-422B-A9C9-6536D656CB1D}">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D5721808-7BCD-4664-A758-C948EEB831B5}">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9116C8BC-B53A-4E17-8F7E-B37D7A7F6474}">
      <formula1>#REF!</formula1>
    </dataValidation>
    <dataValidation type="list" allowBlank="1" showInputMessage="1" showErrorMessage="1" sqref="E2:E492" xr:uid="{BAC22CFD-93D2-43AD-8098-BB743061E0A7}">
      <formula1>$AG$2:$AG$11</formula1>
    </dataValidation>
    <dataValidation type="decimal" allowBlank="1" showInputMessage="1" showErrorMessage="1" error="硬度を正しく入力して下さい。" sqref="O2:P492" xr:uid="{EAE5F8AD-7DD0-4A84-83B3-47A842E9AD2A}">
      <formula1>0</formula1>
      <formula2>7</formula2>
    </dataValidation>
    <dataValidation type="list" allowBlank="1" showInputMessage="1" showErrorMessage="1" sqref="F2:F1446" xr:uid="{76A101D9-CA78-4C9D-A563-36877564FF1E}">
      <formula1>$AH$2:$AH$11</formula1>
    </dataValidation>
    <dataValidation type="list" allowBlank="1" showInputMessage="1" showErrorMessage="1" sqref="AC38 Y2:AA583" xr:uid="{76E7466E-8617-4C73-B8A0-3D9A6EAC25A6}">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BD49-5D36-40E6-9923-AEE67E77AE5B}">
  <dimension ref="A1:BA157"/>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2" width="8.5" style="78" bestFit="1" customWidth="1"/>
    <col min="3" max="3" width="8.375" style="78" bestFit="1" customWidth="1"/>
    <col min="4" max="4" width="9.25" style="78" bestFit="1" customWidth="1"/>
    <col min="5" max="5" width="20.25" style="78" customWidth="1"/>
    <col min="6" max="6" width="17.25" style="78" bestFit="1" customWidth="1"/>
    <col min="7" max="7" width="11.5" style="78" bestFit="1" customWidth="1"/>
    <col min="8" max="9" width="8.5" style="78" bestFit="1" customWidth="1"/>
    <col min="10" max="10" width="10.375" style="78" bestFit="1" customWidth="1"/>
    <col min="11" max="11" width="10.875" style="78" bestFit="1" customWidth="1"/>
    <col min="12" max="12" width="5.5" style="78" bestFit="1" customWidth="1"/>
    <col min="13" max="13" width="7" style="78" bestFit="1" customWidth="1"/>
    <col min="14" max="14" width="7.625" style="78" bestFit="1" customWidth="1"/>
    <col min="15" max="16" width="9" style="78"/>
    <col min="17" max="17" width="9" style="16"/>
    <col min="18" max="19" width="9" style="78"/>
    <col min="20" max="20" width="9" style="16"/>
    <col min="21" max="21" width="9" style="78"/>
    <col min="22" max="22" width="9.375" style="16" customWidth="1"/>
    <col min="23" max="23" width="5.5" style="78" customWidth="1"/>
    <col min="24" max="24" width="9.625" style="78" customWidth="1"/>
    <col min="25" max="26" width="9" style="78"/>
    <col min="27" max="27" width="12.125" style="78" customWidth="1"/>
    <col min="28" max="32" width="9" style="78"/>
    <col min="33" max="33" width="15.125" style="78" bestFit="1" customWidth="1"/>
    <col min="34" max="34" width="19.625" style="78" bestFit="1" customWidth="1"/>
    <col min="35" max="16384" width="9" style="78"/>
  </cols>
  <sheetData>
    <row r="1" spans="1:53" ht="67.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11</v>
      </c>
      <c r="O1" s="94" t="s">
        <v>120</v>
      </c>
      <c r="P1" s="94" t="s">
        <v>121</v>
      </c>
      <c r="Q1" s="3" t="s">
        <v>12</v>
      </c>
      <c r="R1" s="94" t="s">
        <v>122</v>
      </c>
      <c r="S1" s="94" t="s">
        <v>123</v>
      </c>
      <c r="T1" s="3" t="s">
        <v>13</v>
      </c>
      <c r="U1" s="95" t="s">
        <v>300</v>
      </c>
      <c r="V1" s="5" t="s">
        <v>14</v>
      </c>
      <c r="W1" s="94" t="s">
        <v>15</v>
      </c>
      <c r="X1" s="84" t="s">
        <v>16</v>
      </c>
      <c r="Y1" s="84" t="s">
        <v>17</v>
      </c>
      <c r="Z1" s="84" t="s">
        <v>344</v>
      </c>
      <c r="AA1" s="42" t="s">
        <v>19</v>
      </c>
      <c r="AB1" s="96" t="s">
        <v>124</v>
      </c>
      <c r="AE1" s="97" t="s">
        <v>0</v>
      </c>
      <c r="AF1" s="98"/>
      <c r="AG1" s="175" t="s">
        <v>3</v>
      </c>
      <c r="AH1" s="97" t="s">
        <v>4</v>
      </c>
      <c r="AI1" s="98"/>
      <c r="AJ1" s="97" t="s">
        <v>5</v>
      </c>
      <c r="AK1" s="98"/>
      <c r="AL1" s="10" t="s">
        <v>6</v>
      </c>
      <c r="AM1" s="98"/>
      <c r="AN1" s="10" t="s">
        <v>7</v>
      </c>
      <c r="AO1" s="98"/>
      <c r="AP1" s="10" t="s">
        <v>20</v>
      </c>
      <c r="AQ1" s="98"/>
      <c r="AR1" s="10" t="s">
        <v>9</v>
      </c>
      <c r="AS1" s="98"/>
      <c r="AT1" s="11" t="s">
        <v>21</v>
      </c>
      <c r="AU1" s="98"/>
      <c r="AV1" s="10" t="s">
        <v>22</v>
      </c>
      <c r="AX1" s="12" t="s">
        <v>125</v>
      </c>
      <c r="AY1" s="13" t="s">
        <v>126</v>
      </c>
      <c r="AZ1" s="13" t="s">
        <v>127</v>
      </c>
      <c r="BA1" s="14" t="s">
        <v>128</v>
      </c>
    </row>
    <row r="2" spans="1:53" x14ac:dyDescent="0.15">
      <c r="A2" s="78" t="s">
        <v>23</v>
      </c>
      <c r="B2" s="78" t="s">
        <v>160</v>
      </c>
      <c r="C2" s="78">
        <v>2020</v>
      </c>
      <c r="D2" s="176" t="s">
        <v>373</v>
      </c>
      <c r="E2" s="78" t="s">
        <v>345</v>
      </c>
      <c r="F2" s="78" t="s">
        <v>346</v>
      </c>
      <c r="G2" s="78" t="s">
        <v>31</v>
      </c>
      <c r="H2" s="78" t="s">
        <v>113</v>
      </c>
      <c r="I2" s="78" t="s">
        <v>111</v>
      </c>
      <c r="J2" s="78" t="s">
        <v>27</v>
      </c>
      <c r="K2" s="78" t="s">
        <v>112</v>
      </c>
      <c r="L2" s="78">
        <v>1</v>
      </c>
      <c r="N2" s="78">
        <v>1</v>
      </c>
      <c r="O2" s="78">
        <v>0.6</v>
      </c>
      <c r="P2" s="78">
        <v>0.7</v>
      </c>
      <c r="Q2" s="44">
        <f t="shared" ref="Q2:Q85" si="0">IF(OR(O2="",P2=""),"",AVERAGE(O2,P2))</f>
        <v>0.64999999999999991</v>
      </c>
      <c r="R2" s="78">
        <v>17.100000000000001</v>
      </c>
      <c r="S2" s="78">
        <v>108</v>
      </c>
      <c r="T2" s="16">
        <f t="shared" ref="T2:T136" si="1">IF(H2="","",IF(OR(H2="GREEN",H2="GK"),IF(S2&gt;=$AX$2,VLOOKUP(S2,$AX$2:$AY$9,2,1),""),IF(S2&gt;=$AZ$2,VLOOKUP(S2,$AZ$2:$BA$9,2,1),"")))</f>
        <v>33</v>
      </c>
      <c r="U2" s="78">
        <v>96</v>
      </c>
      <c r="V2" s="16">
        <f t="shared" ref="V2:V136" si="2">IF(OR(N2="",U2="",T2=""),"",U2/N2*T2)</f>
        <v>3168</v>
      </c>
      <c r="W2" s="78">
        <v>3</v>
      </c>
      <c r="X2" s="78" t="s">
        <v>35</v>
      </c>
      <c r="Y2" s="78" t="s">
        <v>55</v>
      </c>
      <c r="Z2" s="78" t="s">
        <v>47</v>
      </c>
      <c r="AA2" s="78" t="s">
        <v>43</v>
      </c>
      <c r="AB2" s="78" t="s">
        <v>161</v>
      </c>
      <c r="AE2" s="102" t="s">
        <v>24</v>
      </c>
      <c r="AG2" s="177" t="s">
        <v>347</v>
      </c>
      <c r="AH2" s="50" t="s">
        <v>346</v>
      </c>
      <c r="AJ2" s="50" t="s">
        <v>25</v>
      </c>
      <c r="AL2" s="104" t="s">
        <v>107</v>
      </c>
      <c r="AN2" s="50" t="s">
        <v>26</v>
      </c>
      <c r="AP2" s="50" t="s">
        <v>27</v>
      </c>
      <c r="AR2" s="50" t="s">
        <v>129</v>
      </c>
      <c r="AT2" s="50" t="s">
        <v>28</v>
      </c>
      <c r="AV2" s="50" t="s">
        <v>29</v>
      </c>
      <c r="AX2" s="105">
        <v>1</v>
      </c>
      <c r="AY2" s="106">
        <v>50</v>
      </c>
      <c r="AZ2" s="106">
        <v>1</v>
      </c>
      <c r="BA2" s="107">
        <v>50</v>
      </c>
    </row>
    <row r="3" spans="1:53" x14ac:dyDescent="0.15">
      <c r="A3" s="78" t="s">
        <v>23</v>
      </c>
      <c r="B3" s="78" t="s">
        <v>160</v>
      </c>
      <c r="C3" s="78">
        <v>2020</v>
      </c>
      <c r="D3" s="176" t="s">
        <v>373</v>
      </c>
      <c r="E3" s="78" t="s">
        <v>345</v>
      </c>
      <c r="F3" s="78" t="s">
        <v>346</v>
      </c>
      <c r="G3" s="78" t="s">
        <v>31</v>
      </c>
      <c r="H3" s="78" t="s">
        <v>113</v>
      </c>
      <c r="I3" s="78" t="s">
        <v>111</v>
      </c>
      <c r="J3" s="78" t="s">
        <v>27</v>
      </c>
      <c r="K3" s="78" t="s">
        <v>112</v>
      </c>
      <c r="L3" s="78">
        <v>2</v>
      </c>
      <c r="N3" s="78">
        <v>1</v>
      </c>
      <c r="O3" s="78">
        <v>0.5</v>
      </c>
      <c r="P3" s="78">
        <v>0.55000000000000004</v>
      </c>
      <c r="Q3" s="44">
        <f t="shared" si="0"/>
        <v>0.52500000000000002</v>
      </c>
      <c r="R3" s="78">
        <v>16.3</v>
      </c>
      <c r="S3" s="78">
        <v>106.5</v>
      </c>
      <c r="T3" s="16">
        <f t="shared" si="1"/>
        <v>33</v>
      </c>
      <c r="U3" s="78">
        <v>96</v>
      </c>
      <c r="V3" s="16">
        <f t="shared" si="2"/>
        <v>3168</v>
      </c>
      <c r="W3" s="78">
        <v>3</v>
      </c>
      <c r="X3" s="78" t="s">
        <v>35</v>
      </c>
      <c r="Y3" s="78" t="s">
        <v>55</v>
      </c>
      <c r="Z3" s="78" t="s">
        <v>47</v>
      </c>
      <c r="AA3" s="78" t="s">
        <v>43</v>
      </c>
      <c r="AB3" s="78" t="s">
        <v>161</v>
      </c>
      <c r="AE3" s="22" t="s">
        <v>30</v>
      </c>
      <c r="AG3" s="178" t="s">
        <v>348</v>
      </c>
      <c r="AH3" s="50" t="s">
        <v>349</v>
      </c>
      <c r="AJ3" s="81" t="s">
        <v>31</v>
      </c>
      <c r="AL3" s="81" t="s">
        <v>108</v>
      </c>
      <c r="AN3" s="81" t="s">
        <v>32</v>
      </c>
      <c r="AP3" s="81" t="s">
        <v>33</v>
      </c>
      <c r="AR3" s="81" t="s">
        <v>34</v>
      </c>
      <c r="AT3" s="81" t="s">
        <v>35</v>
      </c>
      <c r="AV3" s="81" t="s">
        <v>36</v>
      </c>
      <c r="AX3" s="24">
        <v>72</v>
      </c>
      <c r="AY3" s="25">
        <v>46</v>
      </c>
      <c r="AZ3" s="25">
        <v>71</v>
      </c>
      <c r="BA3" s="26">
        <v>42</v>
      </c>
    </row>
    <row r="4" spans="1:53" x14ac:dyDescent="0.15">
      <c r="A4" s="78" t="s">
        <v>23</v>
      </c>
      <c r="B4" s="78" t="s">
        <v>160</v>
      </c>
      <c r="C4" s="78">
        <v>2020</v>
      </c>
      <c r="D4" s="176" t="s">
        <v>373</v>
      </c>
      <c r="E4" s="78" t="s">
        <v>345</v>
      </c>
      <c r="F4" s="78" t="s">
        <v>346</v>
      </c>
      <c r="G4" s="78" t="s">
        <v>31</v>
      </c>
      <c r="H4" s="78" t="s">
        <v>113</v>
      </c>
      <c r="I4" s="78" t="s">
        <v>111</v>
      </c>
      <c r="J4" s="78" t="s">
        <v>27</v>
      </c>
      <c r="K4" s="78" t="s">
        <v>112</v>
      </c>
      <c r="L4" s="78">
        <v>3</v>
      </c>
      <c r="N4" s="78">
        <v>1</v>
      </c>
      <c r="O4" s="78">
        <v>0.65</v>
      </c>
      <c r="P4" s="78">
        <v>0.75</v>
      </c>
      <c r="Q4" s="44">
        <f t="shared" si="0"/>
        <v>0.7</v>
      </c>
      <c r="R4" s="78">
        <v>16.100000000000001</v>
      </c>
      <c r="S4" s="78">
        <v>112</v>
      </c>
      <c r="T4" s="16">
        <f t="shared" si="1"/>
        <v>33</v>
      </c>
      <c r="U4" s="78">
        <v>96</v>
      </c>
      <c r="V4" s="16">
        <f t="shared" si="2"/>
        <v>3168</v>
      </c>
      <c r="W4" s="78">
        <v>3</v>
      </c>
      <c r="X4" s="78" t="s">
        <v>35</v>
      </c>
      <c r="Y4" s="78" t="s">
        <v>55</v>
      </c>
      <c r="Z4" s="78" t="s">
        <v>47</v>
      </c>
      <c r="AA4" s="78" t="s">
        <v>43</v>
      </c>
      <c r="AB4" s="78" t="s">
        <v>161</v>
      </c>
      <c r="AE4" s="22" t="s">
        <v>23</v>
      </c>
      <c r="AG4" s="178" t="s">
        <v>350</v>
      </c>
      <c r="AH4" s="50" t="s">
        <v>351</v>
      </c>
      <c r="AJ4" s="27" t="s">
        <v>37</v>
      </c>
      <c r="AL4" s="81" t="s">
        <v>109</v>
      </c>
      <c r="AN4" s="28" t="s">
        <v>38</v>
      </c>
      <c r="AP4" s="81" t="s">
        <v>130</v>
      </c>
      <c r="AR4" s="81" t="s">
        <v>131</v>
      </c>
      <c r="AT4" s="28"/>
      <c r="AV4" s="81" t="s">
        <v>39</v>
      </c>
      <c r="AX4" s="24">
        <v>75</v>
      </c>
      <c r="AY4" s="25">
        <v>42</v>
      </c>
      <c r="AZ4" s="25">
        <v>76</v>
      </c>
      <c r="BA4" s="26">
        <v>39</v>
      </c>
    </row>
    <row r="5" spans="1:53" x14ac:dyDescent="0.15">
      <c r="A5" s="78" t="s">
        <v>23</v>
      </c>
      <c r="B5" s="78" t="s">
        <v>160</v>
      </c>
      <c r="C5" s="78">
        <v>2020</v>
      </c>
      <c r="D5" s="176" t="s">
        <v>373</v>
      </c>
      <c r="E5" s="78" t="s">
        <v>345</v>
      </c>
      <c r="F5" s="78" t="s">
        <v>346</v>
      </c>
      <c r="G5" s="78" t="s">
        <v>31</v>
      </c>
      <c r="H5" s="78" t="s">
        <v>113</v>
      </c>
      <c r="I5" s="78" t="s">
        <v>111</v>
      </c>
      <c r="J5" s="78" t="s">
        <v>27</v>
      </c>
      <c r="K5" s="78" t="s">
        <v>112</v>
      </c>
      <c r="L5" s="78">
        <v>1</v>
      </c>
      <c r="N5" s="78">
        <v>4</v>
      </c>
      <c r="O5" s="78">
        <v>0.2</v>
      </c>
      <c r="P5" s="78">
        <v>0.2</v>
      </c>
      <c r="Q5" s="44">
        <f t="shared" si="0"/>
        <v>0.2</v>
      </c>
      <c r="R5" s="78">
        <v>17.100000000000001</v>
      </c>
      <c r="S5" s="78">
        <v>78.5</v>
      </c>
      <c r="T5" s="16">
        <f t="shared" si="1"/>
        <v>39</v>
      </c>
      <c r="U5" s="78">
        <v>296</v>
      </c>
      <c r="V5" s="16">
        <f t="shared" si="2"/>
        <v>2886</v>
      </c>
      <c r="W5" s="78">
        <v>3</v>
      </c>
      <c r="X5" s="78" t="s">
        <v>35</v>
      </c>
      <c r="Y5" s="78" t="s">
        <v>55</v>
      </c>
      <c r="Z5" s="78" t="s">
        <v>47</v>
      </c>
      <c r="AA5" s="78" t="s">
        <v>43</v>
      </c>
      <c r="AB5" s="78" t="s">
        <v>161</v>
      </c>
      <c r="AE5" s="22" t="s">
        <v>40</v>
      </c>
      <c r="AG5" s="178" t="s">
        <v>352</v>
      </c>
      <c r="AH5" s="50" t="s">
        <v>353</v>
      </c>
      <c r="AJ5" s="28"/>
      <c r="AL5" s="81" t="s">
        <v>132</v>
      </c>
      <c r="AN5" s="110" t="s">
        <v>133</v>
      </c>
      <c r="AP5" s="81" t="s">
        <v>134</v>
      </c>
      <c r="AR5" s="81" t="s">
        <v>42</v>
      </c>
      <c r="AV5" s="81" t="s">
        <v>43</v>
      </c>
      <c r="AX5" s="24">
        <v>84</v>
      </c>
      <c r="AY5" s="25">
        <v>39</v>
      </c>
      <c r="AZ5" s="25">
        <v>84</v>
      </c>
      <c r="BA5" s="26">
        <v>36</v>
      </c>
    </row>
    <row r="6" spans="1:53" x14ac:dyDescent="0.15">
      <c r="A6" s="78" t="s">
        <v>23</v>
      </c>
      <c r="B6" s="78" t="s">
        <v>160</v>
      </c>
      <c r="C6" s="78">
        <v>2020</v>
      </c>
      <c r="D6" s="176" t="s">
        <v>373</v>
      </c>
      <c r="E6" s="78" t="s">
        <v>345</v>
      </c>
      <c r="F6" s="78" t="s">
        <v>346</v>
      </c>
      <c r="G6" s="78" t="s">
        <v>31</v>
      </c>
      <c r="H6" s="78" t="s">
        <v>113</v>
      </c>
      <c r="I6" s="78" t="s">
        <v>111</v>
      </c>
      <c r="J6" s="78" t="s">
        <v>27</v>
      </c>
      <c r="K6" s="78" t="s">
        <v>112</v>
      </c>
      <c r="L6" s="78">
        <v>2</v>
      </c>
      <c r="N6" s="78">
        <v>4</v>
      </c>
      <c r="O6" s="78">
        <v>0.5</v>
      </c>
      <c r="P6" s="78">
        <v>0.2</v>
      </c>
      <c r="Q6" s="44">
        <f t="shared" si="0"/>
        <v>0.35</v>
      </c>
      <c r="R6" s="78">
        <v>15.4</v>
      </c>
      <c r="S6" s="78">
        <v>75.5</v>
      </c>
      <c r="T6" s="16">
        <f t="shared" si="1"/>
        <v>42</v>
      </c>
      <c r="U6" s="78">
        <v>296</v>
      </c>
      <c r="V6" s="16">
        <f t="shared" si="2"/>
        <v>3108</v>
      </c>
      <c r="W6" s="78">
        <v>3</v>
      </c>
      <c r="X6" s="78" t="s">
        <v>35</v>
      </c>
      <c r="Y6" s="78" t="s">
        <v>55</v>
      </c>
      <c r="Z6" s="78" t="s">
        <v>47</v>
      </c>
      <c r="AA6" s="78" t="s">
        <v>43</v>
      </c>
      <c r="AB6" s="78" t="s">
        <v>161</v>
      </c>
      <c r="AE6" s="22" t="s">
        <v>44</v>
      </c>
      <c r="AG6" s="178" t="s">
        <v>354</v>
      </c>
      <c r="AH6" s="50" t="s">
        <v>355</v>
      </c>
      <c r="AL6" s="81" t="s">
        <v>135</v>
      </c>
      <c r="AN6" s="110" t="s">
        <v>136</v>
      </c>
      <c r="AP6" s="81" t="s">
        <v>41</v>
      </c>
      <c r="AR6" s="81" t="s">
        <v>46</v>
      </c>
      <c r="AV6" s="81" t="s">
        <v>47</v>
      </c>
      <c r="AX6" s="24">
        <v>97</v>
      </c>
      <c r="AY6" s="25">
        <v>36</v>
      </c>
      <c r="AZ6" s="25">
        <v>99</v>
      </c>
      <c r="BA6" s="26">
        <v>33</v>
      </c>
    </row>
    <row r="7" spans="1:53" x14ac:dyDescent="0.15">
      <c r="A7" s="78" t="s">
        <v>23</v>
      </c>
      <c r="B7" s="78" t="s">
        <v>160</v>
      </c>
      <c r="C7" s="78">
        <v>2020</v>
      </c>
      <c r="D7" s="176" t="s">
        <v>373</v>
      </c>
      <c r="E7" s="78" t="s">
        <v>345</v>
      </c>
      <c r="F7" s="78" t="s">
        <v>346</v>
      </c>
      <c r="G7" s="78" t="s">
        <v>31</v>
      </c>
      <c r="H7" s="78" t="s">
        <v>113</v>
      </c>
      <c r="I7" s="78" t="s">
        <v>111</v>
      </c>
      <c r="J7" s="78" t="s">
        <v>27</v>
      </c>
      <c r="K7" s="78" t="s">
        <v>112</v>
      </c>
      <c r="L7" s="78">
        <v>3</v>
      </c>
      <c r="N7" s="78">
        <v>4</v>
      </c>
      <c r="O7" s="78">
        <v>0.2</v>
      </c>
      <c r="P7" s="78">
        <v>0.5</v>
      </c>
      <c r="Q7" s="44">
        <f t="shared" si="0"/>
        <v>0.35</v>
      </c>
      <c r="R7" s="78">
        <v>17.899999999999999</v>
      </c>
      <c r="S7" s="78">
        <v>76.5</v>
      </c>
      <c r="T7" s="16">
        <f t="shared" si="1"/>
        <v>39</v>
      </c>
      <c r="U7" s="78">
        <v>296</v>
      </c>
      <c r="V7" s="16">
        <f t="shared" si="2"/>
        <v>2886</v>
      </c>
      <c r="W7" s="78">
        <v>3</v>
      </c>
      <c r="X7" s="78" t="s">
        <v>35</v>
      </c>
      <c r="Y7" s="78" t="s">
        <v>55</v>
      </c>
      <c r="Z7" s="78" t="s">
        <v>47</v>
      </c>
      <c r="AA7" s="78" t="s">
        <v>43</v>
      </c>
      <c r="AB7" s="78" t="s">
        <v>161</v>
      </c>
      <c r="AE7" s="22" t="s">
        <v>48</v>
      </c>
      <c r="AG7" s="178" t="s">
        <v>176</v>
      </c>
      <c r="AH7" s="50" t="s">
        <v>356</v>
      </c>
      <c r="AL7" s="87" t="s">
        <v>137</v>
      </c>
      <c r="AP7" s="81" t="s">
        <v>45</v>
      </c>
      <c r="AR7" s="81" t="s">
        <v>102</v>
      </c>
      <c r="AV7" s="81" t="s">
        <v>51</v>
      </c>
      <c r="AX7" s="24">
        <v>109</v>
      </c>
      <c r="AY7" s="25">
        <v>33</v>
      </c>
      <c r="AZ7" s="25">
        <v>113</v>
      </c>
      <c r="BA7" s="26">
        <v>30</v>
      </c>
    </row>
    <row r="8" spans="1:53" x14ac:dyDescent="0.15">
      <c r="A8" s="78" t="s">
        <v>23</v>
      </c>
      <c r="B8" s="78" t="s">
        <v>160</v>
      </c>
      <c r="C8" s="78">
        <v>2020</v>
      </c>
      <c r="D8" s="176" t="s">
        <v>373</v>
      </c>
      <c r="E8" s="78" t="s">
        <v>345</v>
      </c>
      <c r="F8" s="78" t="s">
        <v>346</v>
      </c>
      <c r="G8" s="78" t="s">
        <v>31</v>
      </c>
      <c r="H8" s="78" t="s">
        <v>167</v>
      </c>
      <c r="I8" s="78" t="s">
        <v>111</v>
      </c>
      <c r="J8" s="78" t="s">
        <v>27</v>
      </c>
      <c r="K8" s="78" t="s">
        <v>112</v>
      </c>
      <c r="L8" s="78">
        <v>1</v>
      </c>
      <c r="N8" s="78">
        <v>1</v>
      </c>
      <c r="O8" s="78">
        <v>0.5</v>
      </c>
      <c r="P8" s="78">
        <v>0.65</v>
      </c>
      <c r="Q8" s="44">
        <f t="shared" si="0"/>
        <v>0.57499999999999996</v>
      </c>
      <c r="R8" s="78">
        <v>15.9</v>
      </c>
      <c r="S8" s="78">
        <v>114</v>
      </c>
      <c r="T8" s="16">
        <f t="shared" si="1"/>
        <v>30</v>
      </c>
      <c r="U8" s="78">
        <v>126</v>
      </c>
      <c r="V8" s="16">
        <f t="shared" si="2"/>
        <v>3780</v>
      </c>
      <c r="W8" s="78">
        <v>3</v>
      </c>
      <c r="X8" s="78" t="s">
        <v>35</v>
      </c>
      <c r="Y8" s="78" t="s">
        <v>55</v>
      </c>
      <c r="Z8" s="78" t="s">
        <v>47</v>
      </c>
      <c r="AA8" s="78" t="s">
        <v>43</v>
      </c>
      <c r="AB8" s="78" t="s">
        <v>161</v>
      </c>
      <c r="AE8" s="22" t="s">
        <v>46</v>
      </c>
      <c r="AG8" s="178" t="s">
        <v>357</v>
      </c>
      <c r="AH8" s="50" t="s">
        <v>358</v>
      </c>
      <c r="AL8" s="87" t="s">
        <v>110</v>
      </c>
      <c r="AP8" s="81" t="s">
        <v>49</v>
      </c>
      <c r="AR8" s="81" t="s">
        <v>67</v>
      </c>
      <c r="AV8" s="81" t="s">
        <v>82</v>
      </c>
      <c r="AX8" s="24">
        <v>151</v>
      </c>
      <c r="AY8" s="25">
        <v>22</v>
      </c>
      <c r="AZ8" s="25">
        <v>152</v>
      </c>
      <c r="BA8" s="26">
        <v>18</v>
      </c>
    </row>
    <row r="9" spans="1:53" x14ac:dyDescent="0.15">
      <c r="A9" s="78" t="s">
        <v>23</v>
      </c>
      <c r="B9" s="78" t="s">
        <v>160</v>
      </c>
      <c r="C9" s="78">
        <v>2020</v>
      </c>
      <c r="D9" s="176" t="s">
        <v>373</v>
      </c>
      <c r="E9" s="78" t="s">
        <v>345</v>
      </c>
      <c r="F9" s="78" t="s">
        <v>346</v>
      </c>
      <c r="G9" s="78" t="s">
        <v>31</v>
      </c>
      <c r="H9" s="78" t="s">
        <v>167</v>
      </c>
      <c r="I9" s="78" t="s">
        <v>111</v>
      </c>
      <c r="J9" s="78" t="s">
        <v>27</v>
      </c>
      <c r="K9" s="78" t="s">
        <v>112</v>
      </c>
      <c r="L9" s="78">
        <v>2</v>
      </c>
      <c r="N9" s="78">
        <v>1</v>
      </c>
      <c r="O9" s="78">
        <v>0.5</v>
      </c>
      <c r="P9" s="78">
        <v>0.45</v>
      </c>
      <c r="Q9" s="44">
        <f t="shared" si="0"/>
        <v>0.47499999999999998</v>
      </c>
      <c r="R9" s="78">
        <v>16</v>
      </c>
      <c r="S9" s="78">
        <v>99.5</v>
      </c>
      <c r="T9" s="16">
        <f t="shared" si="1"/>
        <v>33</v>
      </c>
      <c r="U9" s="78">
        <v>126</v>
      </c>
      <c r="V9" s="16">
        <f t="shared" si="2"/>
        <v>4158</v>
      </c>
      <c r="W9" s="78">
        <v>3</v>
      </c>
      <c r="X9" s="78" t="s">
        <v>35</v>
      </c>
      <c r="Y9" s="78" t="s">
        <v>55</v>
      </c>
      <c r="Z9" s="78" t="s">
        <v>47</v>
      </c>
      <c r="AA9" s="78" t="s">
        <v>43</v>
      </c>
      <c r="AB9" s="78" t="s">
        <v>161</v>
      </c>
      <c r="AE9" s="22" t="s">
        <v>83</v>
      </c>
      <c r="AG9" s="178" t="s">
        <v>359</v>
      </c>
      <c r="AH9" s="50" t="s">
        <v>360</v>
      </c>
      <c r="AL9" s="81" t="s">
        <v>139</v>
      </c>
      <c r="AP9" s="81" t="s">
        <v>80</v>
      </c>
      <c r="AR9" s="81" t="s">
        <v>75</v>
      </c>
      <c r="AV9" s="81" t="s">
        <v>86</v>
      </c>
      <c r="AX9" s="31">
        <v>180</v>
      </c>
      <c r="AY9" s="32">
        <v>18</v>
      </c>
      <c r="AZ9" s="32">
        <v>181</v>
      </c>
      <c r="BA9" s="33">
        <v>16</v>
      </c>
    </row>
    <row r="10" spans="1:53" x14ac:dyDescent="0.15">
      <c r="A10" s="78" t="s">
        <v>23</v>
      </c>
      <c r="B10" s="78" t="s">
        <v>160</v>
      </c>
      <c r="C10" s="78">
        <v>2020</v>
      </c>
      <c r="D10" s="176" t="s">
        <v>373</v>
      </c>
      <c r="E10" s="78" t="s">
        <v>345</v>
      </c>
      <c r="F10" s="78" t="s">
        <v>346</v>
      </c>
      <c r="G10" s="78" t="s">
        <v>31</v>
      </c>
      <c r="H10" s="78" t="s">
        <v>167</v>
      </c>
      <c r="I10" s="78" t="s">
        <v>111</v>
      </c>
      <c r="J10" s="78" t="s">
        <v>27</v>
      </c>
      <c r="K10" s="78" t="s">
        <v>112</v>
      </c>
      <c r="L10" s="78">
        <v>3</v>
      </c>
      <c r="N10" s="78">
        <v>1</v>
      </c>
      <c r="O10" s="78">
        <v>0.45</v>
      </c>
      <c r="P10" s="78">
        <v>0.7</v>
      </c>
      <c r="Q10" s="44">
        <f t="shared" si="0"/>
        <v>0.57499999999999996</v>
      </c>
      <c r="R10" s="78">
        <v>15.1</v>
      </c>
      <c r="S10" s="78">
        <v>110.5</v>
      </c>
      <c r="T10" s="16">
        <f t="shared" si="1"/>
        <v>33</v>
      </c>
      <c r="U10" s="78">
        <v>126</v>
      </c>
      <c r="V10" s="16">
        <f t="shared" si="2"/>
        <v>4158</v>
      </c>
      <c r="W10" s="78">
        <v>3</v>
      </c>
      <c r="X10" s="78" t="s">
        <v>35</v>
      </c>
      <c r="Y10" s="78" t="s">
        <v>55</v>
      </c>
      <c r="Z10" s="78" t="s">
        <v>47</v>
      </c>
      <c r="AA10" s="78" t="s">
        <v>43</v>
      </c>
      <c r="AB10" s="78" t="s">
        <v>161</v>
      </c>
      <c r="AE10" s="22" t="s">
        <v>87</v>
      </c>
      <c r="AG10" s="178" t="s">
        <v>361</v>
      </c>
      <c r="AH10" s="50" t="s">
        <v>362</v>
      </c>
      <c r="AL10" s="34"/>
      <c r="AP10" s="81" t="s">
        <v>84</v>
      </c>
      <c r="AR10" s="81" t="s">
        <v>103</v>
      </c>
      <c r="AV10" s="81" t="s">
        <v>90</v>
      </c>
    </row>
    <row r="11" spans="1:53" x14ac:dyDescent="0.15">
      <c r="A11" s="78" t="s">
        <v>23</v>
      </c>
      <c r="B11" s="78" t="s">
        <v>160</v>
      </c>
      <c r="C11" s="78">
        <v>2020</v>
      </c>
      <c r="D11" s="176" t="s">
        <v>373</v>
      </c>
      <c r="E11" s="78" t="s">
        <v>345</v>
      </c>
      <c r="F11" s="78" t="s">
        <v>346</v>
      </c>
      <c r="G11" s="78" t="s">
        <v>31</v>
      </c>
      <c r="H11" s="78" t="s">
        <v>167</v>
      </c>
      <c r="I11" s="78" t="s">
        <v>111</v>
      </c>
      <c r="J11" s="78" t="s">
        <v>27</v>
      </c>
      <c r="K11" s="78" t="s">
        <v>112</v>
      </c>
      <c r="L11" s="78">
        <v>1</v>
      </c>
      <c r="N11" s="78">
        <v>4</v>
      </c>
      <c r="O11" s="78">
        <v>0.2</v>
      </c>
      <c r="P11" s="78">
        <v>0.2</v>
      </c>
      <c r="Q11" s="44">
        <f t="shared" si="0"/>
        <v>0.2</v>
      </c>
      <c r="R11" s="78">
        <v>16.8</v>
      </c>
      <c r="S11" s="78">
        <v>99</v>
      </c>
      <c r="T11" s="16">
        <f t="shared" si="1"/>
        <v>33</v>
      </c>
      <c r="U11" s="78">
        <v>396</v>
      </c>
      <c r="V11" s="16">
        <f t="shared" si="2"/>
        <v>3267</v>
      </c>
      <c r="W11" s="78">
        <v>3</v>
      </c>
      <c r="X11" s="78" t="s">
        <v>35</v>
      </c>
      <c r="Y11" s="78" t="s">
        <v>55</v>
      </c>
      <c r="Z11" s="78" t="s">
        <v>47</v>
      </c>
      <c r="AA11" s="78" t="s">
        <v>43</v>
      </c>
      <c r="AB11" s="78" t="s">
        <v>161</v>
      </c>
      <c r="AE11" s="22" t="s">
        <v>52</v>
      </c>
      <c r="AG11" s="178" t="s">
        <v>363</v>
      </c>
      <c r="AH11" s="50" t="s">
        <v>364</v>
      </c>
      <c r="AL11" s="34"/>
      <c r="AP11" s="81" t="s">
        <v>88</v>
      </c>
      <c r="AR11" s="81" t="s">
        <v>73</v>
      </c>
      <c r="AV11" s="81" t="s">
        <v>55</v>
      </c>
    </row>
    <row r="12" spans="1:53" x14ac:dyDescent="0.15">
      <c r="A12" s="78" t="s">
        <v>23</v>
      </c>
      <c r="B12" s="78" t="s">
        <v>160</v>
      </c>
      <c r="C12" s="78">
        <v>2020</v>
      </c>
      <c r="D12" s="176" t="s">
        <v>373</v>
      </c>
      <c r="E12" s="78" t="s">
        <v>345</v>
      </c>
      <c r="F12" s="78" t="s">
        <v>346</v>
      </c>
      <c r="G12" s="78" t="s">
        <v>31</v>
      </c>
      <c r="H12" s="78" t="s">
        <v>167</v>
      </c>
      <c r="I12" s="78" t="s">
        <v>111</v>
      </c>
      <c r="J12" s="78" t="s">
        <v>27</v>
      </c>
      <c r="K12" s="78" t="s">
        <v>112</v>
      </c>
      <c r="L12" s="78">
        <v>2</v>
      </c>
      <c r="N12" s="78">
        <v>4</v>
      </c>
      <c r="O12" s="78">
        <v>0.2</v>
      </c>
      <c r="P12" s="78">
        <v>0.2</v>
      </c>
      <c r="Q12" s="44">
        <f t="shared" si="0"/>
        <v>0.2</v>
      </c>
      <c r="R12" s="78">
        <v>16.2</v>
      </c>
      <c r="S12" s="78">
        <v>101.5</v>
      </c>
      <c r="T12" s="16">
        <f t="shared" si="1"/>
        <v>33</v>
      </c>
      <c r="U12" s="78">
        <v>396</v>
      </c>
      <c r="V12" s="16">
        <f t="shared" si="2"/>
        <v>3267</v>
      </c>
      <c r="W12" s="78">
        <v>3</v>
      </c>
      <c r="X12" s="78" t="s">
        <v>35</v>
      </c>
      <c r="Y12" s="78" t="s">
        <v>55</v>
      </c>
      <c r="Z12" s="78" t="s">
        <v>47</v>
      </c>
      <c r="AA12" s="78" t="s">
        <v>43</v>
      </c>
      <c r="AB12" s="78" t="s">
        <v>161</v>
      </c>
      <c r="AE12" s="22" t="s">
        <v>56</v>
      </c>
      <c r="AG12" s="28"/>
      <c r="AH12" s="81"/>
      <c r="AL12" s="34"/>
      <c r="AP12" s="81" t="s">
        <v>53</v>
      </c>
      <c r="AR12" s="81" t="s">
        <v>104</v>
      </c>
      <c r="AV12" s="81" t="s">
        <v>58</v>
      </c>
    </row>
    <row r="13" spans="1:53" x14ac:dyDescent="0.15">
      <c r="A13" s="78" t="s">
        <v>23</v>
      </c>
      <c r="B13" s="78" t="s">
        <v>160</v>
      </c>
      <c r="C13" s="78">
        <v>2020</v>
      </c>
      <c r="D13" s="176" t="s">
        <v>373</v>
      </c>
      <c r="E13" s="78" t="s">
        <v>345</v>
      </c>
      <c r="F13" s="78" t="s">
        <v>346</v>
      </c>
      <c r="G13" s="78" t="s">
        <v>31</v>
      </c>
      <c r="H13" s="78" t="s">
        <v>167</v>
      </c>
      <c r="I13" s="78" t="s">
        <v>111</v>
      </c>
      <c r="J13" s="78" t="s">
        <v>27</v>
      </c>
      <c r="K13" s="78" t="s">
        <v>112</v>
      </c>
      <c r="L13" s="78">
        <v>3</v>
      </c>
      <c r="N13" s="78">
        <v>4</v>
      </c>
      <c r="O13" s="78">
        <v>0.2</v>
      </c>
      <c r="P13" s="78">
        <v>0.2</v>
      </c>
      <c r="Q13" s="44">
        <f t="shared" si="0"/>
        <v>0.2</v>
      </c>
      <c r="R13" s="78">
        <v>15.7</v>
      </c>
      <c r="S13" s="78">
        <v>104</v>
      </c>
      <c r="T13" s="16">
        <f t="shared" si="1"/>
        <v>33</v>
      </c>
      <c r="U13" s="78">
        <v>396</v>
      </c>
      <c r="V13" s="16">
        <f t="shared" si="2"/>
        <v>3267</v>
      </c>
      <c r="W13" s="78">
        <v>3</v>
      </c>
      <c r="X13" s="78" t="s">
        <v>35</v>
      </c>
      <c r="Y13" s="78" t="s">
        <v>55</v>
      </c>
      <c r="Z13" s="78" t="s">
        <v>47</v>
      </c>
      <c r="AA13" s="78" t="s">
        <v>43</v>
      </c>
      <c r="AB13" s="78" t="s">
        <v>161</v>
      </c>
      <c r="AE13" s="22" t="s">
        <v>59</v>
      </c>
      <c r="AH13" s="28"/>
      <c r="AP13" s="81" t="s">
        <v>57</v>
      </c>
      <c r="AR13" s="81" t="s">
        <v>87</v>
      </c>
      <c r="AV13" s="81" t="s">
        <v>61</v>
      </c>
    </row>
    <row r="14" spans="1:53" x14ac:dyDescent="0.15">
      <c r="A14" s="78" t="s">
        <v>23</v>
      </c>
      <c r="B14" s="78" t="s">
        <v>160</v>
      </c>
      <c r="C14" s="78">
        <v>2020</v>
      </c>
      <c r="D14" s="176" t="s">
        <v>373</v>
      </c>
      <c r="E14" s="78" t="s">
        <v>365</v>
      </c>
      <c r="F14" s="78" t="s">
        <v>366</v>
      </c>
      <c r="G14" s="78" t="s">
        <v>25</v>
      </c>
      <c r="H14" s="78" t="s">
        <v>113</v>
      </c>
      <c r="I14" s="78" t="s">
        <v>111</v>
      </c>
      <c r="J14" s="78" t="s">
        <v>27</v>
      </c>
      <c r="K14" s="78" t="s">
        <v>112</v>
      </c>
      <c r="L14" s="78">
        <v>1</v>
      </c>
      <c r="N14" s="78">
        <v>1</v>
      </c>
      <c r="O14" s="78">
        <v>0.7</v>
      </c>
      <c r="P14" s="78">
        <v>0.65</v>
      </c>
      <c r="Q14" s="44">
        <f t="shared" si="0"/>
        <v>0.67500000000000004</v>
      </c>
      <c r="R14" s="78">
        <v>15.8</v>
      </c>
      <c r="S14" s="78">
        <v>142</v>
      </c>
      <c r="T14" s="16">
        <f t="shared" si="1"/>
        <v>30</v>
      </c>
      <c r="U14" s="78">
        <v>94</v>
      </c>
      <c r="V14" s="16">
        <f t="shared" si="2"/>
        <v>2820</v>
      </c>
      <c r="W14" s="78">
        <v>10</v>
      </c>
      <c r="X14" s="78" t="s">
        <v>35</v>
      </c>
      <c r="Y14" s="78" t="s">
        <v>55</v>
      </c>
      <c r="Z14" s="78" t="s">
        <v>43</v>
      </c>
      <c r="AA14" s="78" t="s">
        <v>64</v>
      </c>
      <c r="AB14" s="78" t="s">
        <v>161</v>
      </c>
      <c r="AE14" s="22" t="s">
        <v>62</v>
      </c>
      <c r="AG14" s="179"/>
      <c r="AP14" s="81" t="s">
        <v>60</v>
      </c>
      <c r="AR14" s="81" t="s">
        <v>105</v>
      </c>
      <c r="AV14" s="81" t="s">
        <v>64</v>
      </c>
    </row>
    <row r="15" spans="1:53" x14ac:dyDescent="0.15">
      <c r="A15" s="78" t="s">
        <v>23</v>
      </c>
      <c r="B15" s="78" t="s">
        <v>160</v>
      </c>
      <c r="C15" s="78">
        <v>2020</v>
      </c>
      <c r="D15" s="176" t="s">
        <v>373</v>
      </c>
      <c r="E15" s="78" t="s">
        <v>365</v>
      </c>
      <c r="F15" s="78" t="s">
        <v>366</v>
      </c>
      <c r="G15" s="78" t="s">
        <v>25</v>
      </c>
      <c r="H15" s="78" t="s">
        <v>113</v>
      </c>
      <c r="I15" s="78" t="s">
        <v>111</v>
      </c>
      <c r="J15" s="78" t="s">
        <v>27</v>
      </c>
      <c r="K15" s="78" t="s">
        <v>112</v>
      </c>
      <c r="L15" s="78">
        <v>2</v>
      </c>
      <c r="N15" s="78">
        <v>1</v>
      </c>
      <c r="O15" s="78">
        <v>0.7</v>
      </c>
      <c r="P15" s="78">
        <v>0.8</v>
      </c>
      <c r="Q15" s="44">
        <f t="shared" si="0"/>
        <v>0.75</v>
      </c>
      <c r="R15" s="78">
        <v>15</v>
      </c>
      <c r="S15" s="78">
        <v>126.5</v>
      </c>
      <c r="T15" s="16">
        <f t="shared" si="1"/>
        <v>30</v>
      </c>
      <c r="U15" s="78">
        <v>94</v>
      </c>
      <c r="V15" s="16">
        <f t="shared" si="2"/>
        <v>2820</v>
      </c>
      <c r="W15" s="78">
        <v>10</v>
      </c>
      <c r="X15" s="78" t="s">
        <v>35</v>
      </c>
      <c r="Y15" s="78" t="s">
        <v>55</v>
      </c>
      <c r="Z15" s="78" t="s">
        <v>43</v>
      </c>
      <c r="AA15" s="78" t="s">
        <v>64</v>
      </c>
      <c r="AB15" s="78" t="s">
        <v>161</v>
      </c>
      <c r="AE15" s="22" t="s">
        <v>65</v>
      </c>
      <c r="AP15" s="81" t="s">
        <v>63</v>
      </c>
      <c r="AR15" s="81" t="s">
        <v>79</v>
      </c>
      <c r="AV15" s="81" t="s">
        <v>91</v>
      </c>
    </row>
    <row r="16" spans="1:53" x14ac:dyDescent="0.15">
      <c r="A16" s="78" t="s">
        <v>23</v>
      </c>
      <c r="B16" s="78" t="s">
        <v>160</v>
      </c>
      <c r="C16" s="78">
        <v>2020</v>
      </c>
      <c r="D16" s="176" t="s">
        <v>373</v>
      </c>
      <c r="E16" s="78" t="s">
        <v>365</v>
      </c>
      <c r="F16" s="78" t="s">
        <v>366</v>
      </c>
      <c r="G16" s="78" t="s">
        <v>25</v>
      </c>
      <c r="H16" s="78" t="s">
        <v>113</v>
      </c>
      <c r="I16" s="78" t="s">
        <v>111</v>
      </c>
      <c r="J16" s="78" t="s">
        <v>27</v>
      </c>
      <c r="K16" s="78" t="s">
        <v>112</v>
      </c>
      <c r="L16" s="78">
        <v>3</v>
      </c>
      <c r="N16" s="78">
        <v>1</v>
      </c>
      <c r="O16" s="78">
        <v>0.6</v>
      </c>
      <c r="P16" s="78">
        <v>0.8</v>
      </c>
      <c r="Q16" s="44">
        <f t="shared" si="0"/>
        <v>0.7</v>
      </c>
      <c r="R16" s="78">
        <v>15.1</v>
      </c>
      <c r="S16" s="78">
        <v>131.5</v>
      </c>
      <c r="T16" s="16">
        <f t="shared" si="1"/>
        <v>30</v>
      </c>
      <c r="U16" s="78">
        <v>94</v>
      </c>
      <c r="V16" s="16">
        <f t="shared" si="2"/>
        <v>2820</v>
      </c>
      <c r="W16" s="78">
        <v>10</v>
      </c>
      <c r="X16" s="78" t="s">
        <v>35</v>
      </c>
      <c r="Y16" s="78" t="s">
        <v>55</v>
      </c>
      <c r="Z16" s="78" t="s">
        <v>43</v>
      </c>
      <c r="AA16" s="78" t="s">
        <v>64</v>
      </c>
      <c r="AB16" s="78" t="s">
        <v>161</v>
      </c>
      <c r="AE16" s="22" t="s">
        <v>68</v>
      </c>
      <c r="AP16" s="81" t="s">
        <v>66</v>
      </c>
      <c r="AR16" s="81" t="s">
        <v>50</v>
      </c>
      <c r="AV16" s="81" t="s">
        <v>70</v>
      </c>
    </row>
    <row r="17" spans="1:48" x14ac:dyDescent="0.15">
      <c r="A17" s="78" t="s">
        <v>23</v>
      </c>
      <c r="B17" s="78" t="s">
        <v>160</v>
      </c>
      <c r="C17" s="78">
        <v>2020</v>
      </c>
      <c r="D17" s="176" t="s">
        <v>373</v>
      </c>
      <c r="E17" s="78" t="s">
        <v>365</v>
      </c>
      <c r="F17" s="78" t="s">
        <v>366</v>
      </c>
      <c r="G17" s="78" t="s">
        <v>25</v>
      </c>
      <c r="H17" s="78" t="s">
        <v>113</v>
      </c>
      <c r="I17" s="78" t="s">
        <v>111</v>
      </c>
      <c r="J17" s="78" t="s">
        <v>27</v>
      </c>
      <c r="K17" s="78" t="s">
        <v>112</v>
      </c>
      <c r="L17" s="78">
        <v>1</v>
      </c>
      <c r="N17" s="78">
        <v>10</v>
      </c>
      <c r="O17" s="78">
        <v>0.5</v>
      </c>
      <c r="P17" s="78">
        <v>0.6</v>
      </c>
      <c r="Q17" s="44">
        <f>IF(OR(O18="",P17=""),"",AVERAGE(O18,P17))</f>
        <v>0.6</v>
      </c>
      <c r="R17" s="78">
        <v>13.8</v>
      </c>
      <c r="S17" s="78">
        <v>77.5</v>
      </c>
      <c r="T17" s="16">
        <f t="shared" si="1"/>
        <v>39</v>
      </c>
      <c r="U17" s="78">
        <v>398</v>
      </c>
      <c r="V17" s="16">
        <f t="shared" si="2"/>
        <v>1552.1999999999998</v>
      </c>
      <c r="W17" s="78">
        <v>10</v>
      </c>
      <c r="X17" s="78" t="s">
        <v>35</v>
      </c>
      <c r="Y17" s="78" t="s">
        <v>55</v>
      </c>
      <c r="Z17" s="78" t="s">
        <v>43</v>
      </c>
      <c r="AA17" s="78" t="s">
        <v>64</v>
      </c>
      <c r="AB17" s="78" t="s">
        <v>161</v>
      </c>
      <c r="AE17" s="22" t="s">
        <v>71</v>
      </c>
      <c r="AP17" s="27" t="s">
        <v>93</v>
      </c>
      <c r="AR17" s="81" t="s">
        <v>81</v>
      </c>
      <c r="AV17" s="81" t="s">
        <v>72</v>
      </c>
    </row>
    <row r="18" spans="1:48" x14ac:dyDescent="0.15">
      <c r="A18" s="78" t="s">
        <v>23</v>
      </c>
      <c r="B18" s="78" t="s">
        <v>160</v>
      </c>
      <c r="C18" s="78">
        <v>2020</v>
      </c>
      <c r="D18" s="176" t="s">
        <v>373</v>
      </c>
      <c r="E18" s="78" t="s">
        <v>365</v>
      </c>
      <c r="F18" s="78" t="s">
        <v>366</v>
      </c>
      <c r="G18" s="78" t="s">
        <v>25</v>
      </c>
      <c r="H18" s="78" t="s">
        <v>113</v>
      </c>
      <c r="I18" s="78" t="s">
        <v>111</v>
      </c>
      <c r="J18" s="78" t="s">
        <v>27</v>
      </c>
      <c r="K18" s="78" t="s">
        <v>112</v>
      </c>
      <c r="L18" s="78">
        <v>2</v>
      </c>
      <c r="N18" s="78">
        <v>10</v>
      </c>
      <c r="O18" s="78">
        <v>0.6</v>
      </c>
      <c r="P18" s="78">
        <v>0.75</v>
      </c>
      <c r="Q18" s="44">
        <f>IF(OR(O19="",P18=""),"",AVERAGE(O19,P18))</f>
        <v>0.7</v>
      </c>
      <c r="R18" s="78">
        <v>12.2</v>
      </c>
      <c r="S18" s="78">
        <v>81.5</v>
      </c>
      <c r="T18" s="16">
        <f t="shared" si="1"/>
        <v>39</v>
      </c>
      <c r="U18" s="78">
        <v>398</v>
      </c>
      <c r="V18" s="16">
        <f t="shared" si="2"/>
        <v>1552.1999999999998</v>
      </c>
      <c r="W18" s="78">
        <v>10</v>
      </c>
      <c r="X18" s="78" t="s">
        <v>35</v>
      </c>
      <c r="Y18" s="78" t="s">
        <v>55</v>
      </c>
      <c r="Z18" s="78" t="s">
        <v>43</v>
      </c>
      <c r="AA18" s="78" t="s">
        <v>64</v>
      </c>
      <c r="AB18" s="78" t="s">
        <v>161</v>
      </c>
      <c r="AE18" s="22" t="s">
        <v>73</v>
      </c>
      <c r="AP18" s="27" t="s">
        <v>94</v>
      </c>
      <c r="AR18" s="81" t="s">
        <v>85</v>
      </c>
      <c r="AV18" s="81" t="s">
        <v>74</v>
      </c>
    </row>
    <row r="19" spans="1:48" x14ac:dyDescent="0.15">
      <c r="A19" s="78" t="s">
        <v>23</v>
      </c>
      <c r="B19" s="78" t="s">
        <v>160</v>
      </c>
      <c r="C19" s="78">
        <v>2020</v>
      </c>
      <c r="D19" s="176" t="s">
        <v>373</v>
      </c>
      <c r="E19" s="78" t="s">
        <v>365</v>
      </c>
      <c r="F19" s="78" t="s">
        <v>366</v>
      </c>
      <c r="G19" s="78" t="s">
        <v>25</v>
      </c>
      <c r="H19" s="78" t="s">
        <v>113</v>
      </c>
      <c r="I19" s="78" t="s">
        <v>111</v>
      </c>
      <c r="J19" s="78" t="s">
        <v>27</v>
      </c>
      <c r="K19" s="78" t="s">
        <v>112</v>
      </c>
      <c r="L19" s="78">
        <v>3</v>
      </c>
      <c r="N19" s="78">
        <v>10</v>
      </c>
      <c r="O19" s="78">
        <v>0.65</v>
      </c>
      <c r="P19" s="78">
        <v>0.7</v>
      </c>
      <c r="Q19" s="44">
        <f>IF(OR(O20="",P19=""),"",AVERAGE(O20,P19))</f>
        <v>0.625</v>
      </c>
      <c r="R19" s="78">
        <v>13.1</v>
      </c>
      <c r="S19" s="78">
        <v>82</v>
      </c>
      <c r="T19" s="16">
        <f t="shared" si="1"/>
        <v>39</v>
      </c>
      <c r="U19" s="78">
        <v>398</v>
      </c>
      <c r="V19" s="16">
        <f t="shared" si="2"/>
        <v>1552.1999999999998</v>
      </c>
      <c r="W19" s="78">
        <v>10</v>
      </c>
      <c r="X19" s="78" t="s">
        <v>35</v>
      </c>
      <c r="Y19" s="78" t="s">
        <v>55</v>
      </c>
      <c r="Z19" s="78" t="s">
        <v>43</v>
      </c>
      <c r="AA19" s="78" t="s">
        <v>64</v>
      </c>
      <c r="AB19" s="78" t="s">
        <v>161</v>
      </c>
      <c r="AE19" s="35" t="s">
        <v>75</v>
      </c>
      <c r="AP19" s="27" t="s">
        <v>95</v>
      </c>
      <c r="AR19" s="81" t="s">
        <v>106</v>
      </c>
      <c r="AV19" s="81" t="s">
        <v>76</v>
      </c>
    </row>
    <row r="20" spans="1:48" x14ac:dyDescent="0.15">
      <c r="A20" s="78" t="s">
        <v>23</v>
      </c>
      <c r="B20" s="78" t="s">
        <v>160</v>
      </c>
      <c r="C20" s="78">
        <v>2020</v>
      </c>
      <c r="D20" s="176" t="s">
        <v>373</v>
      </c>
      <c r="E20" s="78" t="s">
        <v>365</v>
      </c>
      <c r="F20" s="78" t="s">
        <v>366</v>
      </c>
      <c r="G20" s="78" t="s">
        <v>25</v>
      </c>
      <c r="H20" s="78" t="s">
        <v>165</v>
      </c>
      <c r="I20" s="78" t="s">
        <v>111</v>
      </c>
      <c r="J20" s="78" t="s">
        <v>27</v>
      </c>
      <c r="K20" s="78" t="s">
        <v>112</v>
      </c>
      <c r="L20" s="78">
        <v>1</v>
      </c>
      <c r="N20" s="78">
        <v>5</v>
      </c>
      <c r="O20" s="78">
        <v>0.55000000000000004</v>
      </c>
      <c r="P20" s="78">
        <v>0.75</v>
      </c>
      <c r="Q20" s="44">
        <f>IF(OR(O21="",P20=""),"",AVERAGE(O21,P20))</f>
        <v>0.65</v>
      </c>
      <c r="R20" s="78">
        <v>16.2</v>
      </c>
      <c r="S20" s="78">
        <v>104</v>
      </c>
      <c r="T20" s="16">
        <f t="shared" si="1"/>
        <v>33</v>
      </c>
      <c r="U20" s="78">
        <v>398</v>
      </c>
      <c r="V20" s="16">
        <f t="shared" si="2"/>
        <v>2626.7999999999997</v>
      </c>
      <c r="W20" s="78">
        <v>10</v>
      </c>
      <c r="X20" s="78" t="s">
        <v>35</v>
      </c>
      <c r="Y20" s="78" t="s">
        <v>55</v>
      </c>
      <c r="Z20" s="78" t="s">
        <v>43</v>
      </c>
      <c r="AA20" s="78" t="s">
        <v>64</v>
      </c>
      <c r="AB20" s="78" t="s">
        <v>161</v>
      </c>
      <c r="AP20" s="27" t="s">
        <v>96</v>
      </c>
      <c r="AR20" s="81" t="s">
        <v>89</v>
      </c>
      <c r="AV20" s="27" t="s">
        <v>114</v>
      </c>
    </row>
    <row r="21" spans="1:48" x14ac:dyDescent="0.15">
      <c r="A21" s="78" t="s">
        <v>23</v>
      </c>
      <c r="B21" s="78" t="s">
        <v>160</v>
      </c>
      <c r="C21" s="78">
        <v>2020</v>
      </c>
      <c r="D21" s="176" t="s">
        <v>373</v>
      </c>
      <c r="E21" s="78" t="s">
        <v>365</v>
      </c>
      <c r="F21" s="78" t="s">
        <v>366</v>
      </c>
      <c r="G21" s="78" t="s">
        <v>25</v>
      </c>
      <c r="H21" s="78" t="s">
        <v>165</v>
      </c>
      <c r="I21" s="78" t="s">
        <v>111</v>
      </c>
      <c r="J21" s="78" t="s">
        <v>27</v>
      </c>
      <c r="K21" s="78" t="s">
        <v>112</v>
      </c>
      <c r="L21" s="78">
        <v>2</v>
      </c>
      <c r="N21" s="78">
        <v>5</v>
      </c>
      <c r="O21" s="78">
        <v>0.55000000000000004</v>
      </c>
      <c r="P21" s="78">
        <v>0.65</v>
      </c>
      <c r="Q21" s="44">
        <f>IF(OR(O22="",P21=""),"",AVERAGE(O22,P21))</f>
        <v>0.67500000000000004</v>
      </c>
      <c r="R21" s="78">
        <v>16.399999999999999</v>
      </c>
      <c r="S21" s="78">
        <v>95</v>
      </c>
      <c r="T21" s="16">
        <f t="shared" si="1"/>
        <v>36</v>
      </c>
      <c r="U21" s="78">
        <v>398</v>
      </c>
      <c r="V21" s="16">
        <f t="shared" si="2"/>
        <v>2865.6</v>
      </c>
      <c r="W21" s="78">
        <v>10</v>
      </c>
      <c r="X21" s="78" t="s">
        <v>35</v>
      </c>
      <c r="Y21" s="78" t="s">
        <v>55</v>
      </c>
      <c r="Z21" s="78" t="s">
        <v>43</v>
      </c>
      <c r="AA21" s="78" t="s">
        <v>64</v>
      </c>
      <c r="AB21" s="78" t="s">
        <v>161</v>
      </c>
      <c r="AP21" s="27" t="s">
        <v>97</v>
      </c>
      <c r="AR21" s="81" t="s">
        <v>54</v>
      </c>
      <c r="AV21" s="27" t="s">
        <v>115</v>
      </c>
    </row>
    <row r="22" spans="1:48" x14ac:dyDescent="0.15">
      <c r="A22" s="78" t="s">
        <v>23</v>
      </c>
      <c r="B22" s="78" t="s">
        <v>160</v>
      </c>
      <c r="C22" s="78">
        <v>2020</v>
      </c>
      <c r="D22" s="176" t="s">
        <v>373</v>
      </c>
      <c r="E22" s="78" t="s">
        <v>365</v>
      </c>
      <c r="F22" s="78" t="s">
        <v>366</v>
      </c>
      <c r="G22" s="78" t="s">
        <v>25</v>
      </c>
      <c r="H22" s="78" t="s">
        <v>165</v>
      </c>
      <c r="I22" s="78" t="s">
        <v>111</v>
      </c>
      <c r="J22" s="78" t="s">
        <v>27</v>
      </c>
      <c r="K22" s="78" t="s">
        <v>112</v>
      </c>
      <c r="L22" s="78">
        <v>3</v>
      </c>
      <c r="N22" s="78">
        <v>5</v>
      </c>
      <c r="O22" s="78">
        <v>0.7</v>
      </c>
      <c r="P22" s="78">
        <v>0.85</v>
      </c>
      <c r="Q22" s="44">
        <f t="shared" ref="Q22:Q23" si="3">IF(OR(O23="",P22=""),"",AVERAGE(O23,P22))</f>
        <v>0.52500000000000002</v>
      </c>
      <c r="R22" s="78">
        <v>16.3</v>
      </c>
      <c r="S22" s="78">
        <v>97</v>
      </c>
      <c r="T22" s="16">
        <f t="shared" si="1"/>
        <v>36</v>
      </c>
      <c r="U22" s="78">
        <v>398</v>
      </c>
      <c r="V22" s="16">
        <f t="shared" si="2"/>
        <v>2865.6</v>
      </c>
      <c r="W22" s="78">
        <v>10</v>
      </c>
      <c r="X22" s="78" t="s">
        <v>35</v>
      </c>
      <c r="Y22" s="78" t="s">
        <v>55</v>
      </c>
      <c r="Z22" s="78" t="s">
        <v>43</v>
      </c>
      <c r="AA22" s="78" t="s">
        <v>64</v>
      </c>
      <c r="AB22" s="78" t="s">
        <v>161</v>
      </c>
      <c r="AP22" s="27" t="s">
        <v>98</v>
      </c>
      <c r="AR22" s="81" t="s">
        <v>69</v>
      </c>
      <c r="AV22" s="27"/>
    </row>
    <row r="23" spans="1:48" x14ac:dyDescent="0.15">
      <c r="A23" s="78" t="s">
        <v>23</v>
      </c>
      <c r="B23" s="78" t="s">
        <v>160</v>
      </c>
      <c r="C23" s="78">
        <v>2020</v>
      </c>
      <c r="D23" s="176" t="s">
        <v>373</v>
      </c>
      <c r="E23" s="78" t="s">
        <v>365</v>
      </c>
      <c r="F23" s="78" t="s">
        <v>366</v>
      </c>
      <c r="G23" s="78" t="s">
        <v>25</v>
      </c>
      <c r="H23" s="78" t="s">
        <v>167</v>
      </c>
      <c r="I23" s="78" t="s">
        <v>111</v>
      </c>
      <c r="J23" s="78" t="s">
        <v>27</v>
      </c>
      <c r="K23" s="78" t="s">
        <v>112</v>
      </c>
      <c r="L23" s="78">
        <v>1</v>
      </c>
      <c r="N23" s="78">
        <v>1</v>
      </c>
      <c r="O23" s="78">
        <v>0.2</v>
      </c>
      <c r="P23" s="78">
        <v>0.2</v>
      </c>
      <c r="Q23" s="44">
        <f t="shared" si="3"/>
        <v>0.2</v>
      </c>
      <c r="R23" s="78">
        <v>16.3</v>
      </c>
      <c r="S23" s="78">
        <v>145</v>
      </c>
      <c r="T23" s="16">
        <f t="shared" si="1"/>
        <v>30</v>
      </c>
      <c r="U23" s="78">
        <v>94</v>
      </c>
      <c r="V23" s="16">
        <f t="shared" si="2"/>
        <v>2820</v>
      </c>
      <c r="W23" s="78">
        <v>10</v>
      </c>
      <c r="X23" s="78" t="s">
        <v>35</v>
      </c>
      <c r="Y23" s="78" t="s">
        <v>55</v>
      </c>
      <c r="Z23" s="78" t="s">
        <v>43</v>
      </c>
      <c r="AA23" s="78" t="s">
        <v>64</v>
      </c>
      <c r="AB23" s="78" t="s">
        <v>161</v>
      </c>
      <c r="AP23" s="27" t="s">
        <v>100</v>
      </c>
      <c r="AR23" s="81" t="s">
        <v>138</v>
      </c>
    </row>
    <row r="24" spans="1:48" x14ac:dyDescent="0.15">
      <c r="A24" s="78" t="s">
        <v>23</v>
      </c>
      <c r="B24" s="78" t="s">
        <v>160</v>
      </c>
      <c r="C24" s="78">
        <v>2020</v>
      </c>
      <c r="D24" s="176" t="s">
        <v>373</v>
      </c>
      <c r="E24" s="78" t="s">
        <v>365</v>
      </c>
      <c r="F24" s="78" t="s">
        <v>366</v>
      </c>
      <c r="G24" s="78" t="s">
        <v>25</v>
      </c>
      <c r="H24" s="78" t="s">
        <v>167</v>
      </c>
      <c r="I24" s="78" t="s">
        <v>111</v>
      </c>
      <c r="J24" s="78" t="s">
        <v>27</v>
      </c>
      <c r="K24" s="78" t="s">
        <v>112</v>
      </c>
      <c r="L24" s="78">
        <v>2</v>
      </c>
      <c r="N24" s="78">
        <v>1</v>
      </c>
      <c r="O24" s="78">
        <v>0.2</v>
      </c>
      <c r="P24" s="78">
        <v>0.2</v>
      </c>
      <c r="Q24" s="44">
        <f t="shared" si="0"/>
        <v>0.2</v>
      </c>
      <c r="R24" s="78">
        <v>17.399999999999999</v>
      </c>
      <c r="S24" s="78">
        <v>146.5</v>
      </c>
      <c r="T24" s="16">
        <f t="shared" si="1"/>
        <v>30</v>
      </c>
      <c r="U24" s="78">
        <v>94</v>
      </c>
      <c r="V24" s="16">
        <f t="shared" si="2"/>
        <v>2820</v>
      </c>
      <c r="W24" s="78">
        <v>10</v>
      </c>
      <c r="X24" s="78" t="s">
        <v>35</v>
      </c>
      <c r="Y24" s="78" t="s">
        <v>55</v>
      </c>
      <c r="Z24" s="78" t="s">
        <v>43</v>
      </c>
      <c r="AA24" s="78" t="s">
        <v>64</v>
      </c>
      <c r="AB24" s="78" t="s">
        <v>161</v>
      </c>
      <c r="AP24" s="27" t="s">
        <v>101</v>
      </c>
      <c r="AR24" s="81" t="s">
        <v>159</v>
      </c>
    </row>
    <row r="25" spans="1:48" x14ac:dyDescent="0.15">
      <c r="A25" s="78" t="s">
        <v>23</v>
      </c>
      <c r="B25" s="78" t="s">
        <v>160</v>
      </c>
      <c r="C25" s="78">
        <v>2020</v>
      </c>
      <c r="D25" s="176" t="s">
        <v>373</v>
      </c>
      <c r="E25" s="78" t="s">
        <v>365</v>
      </c>
      <c r="F25" s="78" t="s">
        <v>366</v>
      </c>
      <c r="G25" s="78" t="s">
        <v>25</v>
      </c>
      <c r="H25" s="78" t="s">
        <v>167</v>
      </c>
      <c r="I25" s="78" t="s">
        <v>111</v>
      </c>
      <c r="J25" s="78" t="s">
        <v>27</v>
      </c>
      <c r="K25" s="78" t="s">
        <v>112</v>
      </c>
      <c r="L25" s="78">
        <v>3</v>
      </c>
      <c r="N25" s="78">
        <v>1</v>
      </c>
      <c r="O25" s="78">
        <v>0.45</v>
      </c>
      <c r="P25" s="78">
        <v>0.45</v>
      </c>
      <c r="Q25" s="44">
        <f t="shared" si="0"/>
        <v>0.45</v>
      </c>
      <c r="R25" s="78">
        <v>17.399999999999999</v>
      </c>
      <c r="S25" s="78">
        <v>142</v>
      </c>
      <c r="T25" s="16">
        <f t="shared" si="1"/>
        <v>30</v>
      </c>
      <c r="U25" s="78">
        <v>94</v>
      </c>
      <c r="V25" s="16">
        <f t="shared" si="2"/>
        <v>2820</v>
      </c>
      <c r="W25" s="78">
        <v>10</v>
      </c>
      <c r="X25" s="78" t="s">
        <v>35</v>
      </c>
      <c r="Y25" s="78" t="s">
        <v>55</v>
      </c>
      <c r="Z25" s="78" t="s">
        <v>43</v>
      </c>
      <c r="AA25" s="78" t="s">
        <v>64</v>
      </c>
      <c r="AB25" s="78" t="s">
        <v>161</v>
      </c>
      <c r="AP25" s="27" t="s">
        <v>156</v>
      </c>
      <c r="AR25" s="81" t="s">
        <v>158</v>
      </c>
    </row>
    <row r="26" spans="1:48" x14ac:dyDescent="0.15">
      <c r="A26" s="78" t="s">
        <v>23</v>
      </c>
      <c r="B26" s="78" t="s">
        <v>160</v>
      </c>
      <c r="C26" s="78">
        <v>2020</v>
      </c>
      <c r="D26" s="176" t="s">
        <v>373</v>
      </c>
      <c r="E26" s="78" t="s">
        <v>365</v>
      </c>
      <c r="F26" s="78" t="s">
        <v>366</v>
      </c>
      <c r="G26" s="78" t="s">
        <v>25</v>
      </c>
      <c r="H26" s="78" t="s">
        <v>167</v>
      </c>
      <c r="I26" s="78" t="s">
        <v>111</v>
      </c>
      <c r="J26" s="78" t="s">
        <v>27</v>
      </c>
      <c r="K26" s="78" t="s">
        <v>112</v>
      </c>
      <c r="L26" s="78">
        <v>1</v>
      </c>
      <c r="N26" s="78">
        <v>5</v>
      </c>
      <c r="O26" s="78">
        <v>0.6</v>
      </c>
      <c r="P26" s="78">
        <v>0.7</v>
      </c>
      <c r="Q26" s="44">
        <f t="shared" si="0"/>
        <v>0.64999999999999991</v>
      </c>
      <c r="R26" s="78">
        <v>14.8</v>
      </c>
      <c r="S26" s="78">
        <v>101.5</v>
      </c>
      <c r="T26" s="16">
        <f t="shared" si="1"/>
        <v>33</v>
      </c>
      <c r="U26" s="78">
        <v>398</v>
      </c>
      <c r="V26" s="16">
        <f t="shared" si="2"/>
        <v>2626.7999999999997</v>
      </c>
      <c r="W26" s="78">
        <v>10</v>
      </c>
      <c r="X26" s="78" t="s">
        <v>35</v>
      </c>
      <c r="Y26" s="78" t="s">
        <v>55</v>
      </c>
      <c r="Z26" s="78" t="s">
        <v>43</v>
      </c>
      <c r="AA26" s="78" t="s">
        <v>64</v>
      </c>
      <c r="AB26" s="78" t="s">
        <v>161</v>
      </c>
      <c r="AP26" s="27" t="s">
        <v>157</v>
      </c>
      <c r="AR26" s="28"/>
    </row>
    <row r="27" spans="1:48" x14ac:dyDescent="0.15">
      <c r="A27" s="78" t="s">
        <v>23</v>
      </c>
      <c r="B27" s="78" t="s">
        <v>160</v>
      </c>
      <c r="C27" s="78">
        <v>2020</v>
      </c>
      <c r="D27" s="176" t="s">
        <v>373</v>
      </c>
      <c r="E27" s="78" t="s">
        <v>365</v>
      </c>
      <c r="F27" s="78" t="s">
        <v>366</v>
      </c>
      <c r="G27" s="78" t="s">
        <v>25</v>
      </c>
      <c r="H27" s="78" t="s">
        <v>167</v>
      </c>
      <c r="I27" s="78" t="s">
        <v>111</v>
      </c>
      <c r="J27" s="78" t="s">
        <v>27</v>
      </c>
      <c r="K27" s="78" t="s">
        <v>112</v>
      </c>
      <c r="L27" s="78">
        <v>2</v>
      </c>
      <c r="N27" s="78">
        <v>5</v>
      </c>
      <c r="O27" s="78">
        <v>0.6</v>
      </c>
      <c r="P27" s="78">
        <v>0.6</v>
      </c>
      <c r="Q27" s="44">
        <f t="shared" si="0"/>
        <v>0.6</v>
      </c>
      <c r="R27" s="78">
        <v>15.8</v>
      </c>
      <c r="S27" s="78">
        <v>105.5</v>
      </c>
      <c r="T27" s="16">
        <f t="shared" si="1"/>
        <v>33</v>
      </c>
      <c r="U27" s="78">
        <v>398</v>
      </c>
      <c r="V27" s="16">
        <f t="shared" si="2"/>
        <v>2626.7999999999997</v>
      </c>
      <c r="W27" s="78">
        <v>10</v>
      </c>
      <c r="X27" s="78" t="s">
        <v>35</v>
      </c>
      <c r="Y27" s="78" t="s">
        <v>55</v>
      </c>
      <c r="Z27" s="78" t="s">
        <v>43</v>
      </c>
      <c r="AA27" s="78" t="s">
        <v>64</v>
      </c>
      <c r="AB27" s="78" t="s">
        <v>161</v>
      </c>
    </row>
    <row r="28" spans="1:48" x14ac:dyDescent="0.15">
      <c r="A28" s="78" t="s">
        <v>23</v>
      </c>
      <c r="B28" s="78" t="s">
        <v>160</v>
      </c>
      <c r="C28" s="78">
        <v>2020</v>
      </c>
      <c r="D28" s="176" t="s">
        <v>373</v>
      </c>
      <c r="E28" s="78" t="s">
        <v>365</v>
      </c>
      <c r="F28" s="78" t="s">
        <v>366</v>
      </c>
      <c r="G28" s="78" t="s">
        <v>25</v>
      </c>
      <c r="H28" s="78" t="s">
        <v>167</v>
      </c>
      <c r="I28" s="78" t="s">
        <v>111</v>
      </c>
      <c r="J28" s="78" t="s">
        <v>27</v>
      </c>
      <c r="K28" s="78" t="s">
        <v>112</v>
      </c>
      <c r="L28" s="78">
        <v>3</v>
      </c>
      <c r="N28" s="78">
        <v>5</v>
      </c>
      <c r="O28" s="78">
        <v>0.6</v>
      </c>
      <c r="P28" s="78">
        <v>0.2</v>
      </c>
      <c r="Q28" s="44">
        <f t="shared" si="0"/>
        <v>0.4</v>
      </c>
      <c r="R28" s="78">
        <v>16.2</v>
      </c>
      <c r="S28" s="78">
        <v>106</v>
      </c>
      <c r="T28" s="16">
        <f t="shared" si="1"/>
        <v>33</v>
      </c>
      <c r="U28" s="78">
        <v>398</v>
      </c>
      <c r="V28" s="16">
        <f t="shared" si="2"/>
        <v>2626.7999999999997</v>
      </c>
      <c r="W28" s="78">
        <v>10</v>
      </c>
      <c r="X28" s="78" t="s">
        <v>35</v>
      </c>
      <c r="Y28" s="78" t="s">
        <v>55</v>
      </c>
      <c r="Z28" s="78" t="s">
        <v>43</v>
      </c>
      <c r="AA28" s="78" t="s">
        <v>64</v>
      </c>
      <c r="AB28" s="78" t="s">
        <v>161</v>
      </c>
    </row>
    <row r="29" spans="1:48" x14ac:dyDescent="0.15">
      <c r="A29" s="78" t="s">
        <v>23</v>
      </c>
      <c r="B29" s="78" t="s">
        <v>160</v>
      </c>
      <c r="C29" s="78">
        <v>2020</v>
      </c>
      <c r="D29" s="176" t="s">
        <v>373</v>
      </c>
      <c r="E29" s="78" t="s">
        <v>171</v>
      </c>
      <c r="F29" s="78" t="s">
        <v>351</v>
      </c>
      <c r="G29" s="78" t="s">
        <v>25</v>
      </c>
      <c r="H29" s="78" t="s">
        <v>113</v>
      </c>
      <c r="I29" s="78" t="s">
        <v>111</v>
      </c>
      <c r="J29" s="78" t="s">
        <v>27</v>
      </c>
      <c r="K29" s="78" t="s">
        <v>112</v>
      </c>
      <c r="L29" s="78">
        <v>1</v>
      </c>
      <c r="N29" s="78">
        <v>1</v>
      </c>
      <c r="O29" s="78">
        <v>0.65</v>
      </c>
      <c r="P29" s="78">
        <v>0.55000000000000004</v>
      </c>
      <c r="Q29" s="44">
        <f t="shared" si="0"/>
        <v>0.60000000000000009</v>
      </c>
      <c r="R29" s="78">
        <v>15.9</v>
      </c>
      <c r="S29" s="78">
        <v>118</v>
      </c>
      <c r="T29" s="16">
        <f t="shared" si="1"/>
        <v>30</v>
      </c>
      <c r="U29" s="78">
        <v>98</v>
      </c>
      <c r="V29" s="16">
        <f t="shared" si="2"/>
        <v>2940</v>
      </c>
      <c r="W29" s="78">
        <v>12</v>
      </c>
      <c r="X29" s="78" t="s">
        <v>35</v>
      </c>
      <c r="Y29" s="78" t="s">
        <v>43</v>
      </c>
      <c r="Z29" s="78" t="s">
        <v>55</v>
      </c>
      <c r="AA29" s="78" t="s">
        <v>36</v>
      </c>
      <c r="AB29" s="78" t="s">
        <v>161</v>
      </c>
    </row>
    <row r="30" spans="1:48" x14ac:dyDescent="0.15">
      <c r="A30" s="78" t="s">
        <v>23</v>
      </c>
      <c r="B30" s="78" t="s">
        <v>160</v>
      </c>
      <c r="C30" s="78">
        <v>2020</v>
      </c>
      <c r="D30" s="176" t="s">
        <v>373</v>
      </c>
      <c r="E30" s="78" t="s">
        <v>171</v>
      </c>
      <c r="F30" s="78" t="s">
        <v>351</v>
      </c>
      <c r="G30" s="78" t="s">
        <v>25</v>
      </c>
      <c r="H30" s="78" t="s">
        <v>113</v>
      </c>
      <c r="I30" s="78" t="s">
        <v>111</v>
      </c>
      <c r="J30" s="78" t="s">
        <v>27</v>
      </c>
      <c r="K30" s="78" t="s">
        <v>112</v>
      </c>
      <c r="L30" s="78">
        <v>2</v>
      </c>
      <c r="N30" s="78">
        <v>1</v>
      </c>
      <c r="O30" s="78">
        <v>1</v>
      </c>
      <c r="P30" s="78">
        <v>0.9</v>
      </c>
      <c r="Q30" s="44">
        <f t="shared" si="0"/>
        <v>0.95</v>
      </c>
      <c r="R30" s="78">
        <v>15.4</v>
      </c>
      <c r="S30" s="78">
        <v>107</v>
      </c>
      <c r="T30" s="16">
        <f t="shared" si="1"/>
        <v>33</v>
      </c>
      <c r="U30" s="78">
        <v>98</v>
      </c>
      <c r="V30" s="16">
        <f t="shared" si="2"/>
        <v>3234</v>
      </c>
      <c r="W30" s="78">
        <v>12</v>
      </c>
      <c r="X30" s="78" t="s">
        <v>35</v>
      </c>
      <c r="Y30" s="78" t="s">
        <v>43</v>
      </c>
      <c r="Z30" s="78" t="s">
        <v>55</v>
      </c>
      <c r="AA30" s="78" t="s">
        <v>36</v>
      </c>
      <c r="AB30" s="78" t="s">
        <v>161</v>
      </c>
    </row>
    <row r="31" spans="1:48" x14ac:dyDescent="0.15">
      <c r="A31" s="78" t="s">
        <v>23</v>
      </c>
      <c r="B31" s="78" t="s">
        <v>160</v>
      </c>
      <c r="C31" s="78">
        <v>2020</v>
      </c>
      <c r="D31" s="176" t="s">
        <v>373</v>
      </c>
      <c r="E31" s="78" t="s">
        <v>171</v>
      </c>
      <c r="F31" s="78" t="s">
        <v>351</v>
      </c>
      <c r="G31" s="78" t="s">
        <v>25</v>
      </c>
      <c r="H31" s="78" t="s">
        <v>113</v>
      </c>
      <c r="I31" s="78" t="s">
        <v>111</v>
      </c>
      <c r="J31" s="78" t="s">
        <v>27</v>
      </c>
      <c r="K31" s="78" t="s">
        <v>112</v>
      </c>
      <c r="L31" s="78">
        <v>3</v>
      </c>
      <c r="N31" s="78">
        <v>1</v>
      </c>
      <c r="O31" s="78">
        <v>0.7</v>
      </c>
      <c r="P31" s="78">
        <v>0.6</v>
      </c>
      <c r="Q31" s="44">
        <f t="shared" si="0"/>
        <v>0.64999999999999991</v>
      </c>
      <c r="R31" s="78">
        <v>15.7</v>
      </c>
      <c r="S31" s="78">
        <v>118</v>
      </c>
      <c r="T31" s="16">
        <f t="shared" si="1"/>
        <v>30</v>
      </c>
      <c r="U31" s="78">
        <v>98</v>
      </c>
      <c r="V31" s="16">
        <f t="shared" si="2"/>
        <v>2940</v>
      </c>
      <c r="W31" s="78">
        <v>12</v>
      </c>
      <c r="X31" s="78" t="s">
        <v>35</v>
      </c>
      <c r="Y31" s="78" t="s">
        <v>43</v>
      </c>
      <c r="Z31" s="78" t="s">
        <v>55</v>
      </c>
      <c r="AA31" s="78" t="s">
        <v>36</v>
      </c>
      <c r="AB31" s="78" t="s">
        <v>161</v>
      </c>
    </row>
    <row r="32" spans="1:48" x14ac:dyDescent="0.15">
      <c r="A32" s="78" t="s">
        <v>23</v>
      </c>
      <c r="B32" s="78" t="s">
        <v>160</v>
      </c>
      <c r="C32" s="78">
        <v>2020</v>
      </c>
      <c r="D32" s="176" t="s">
        <v>373</v>
      </c>
      <c r="E32" s="78" t="s">
        <v>171</v>
      </c>
      <c r="F32" s="78" t="s">
        <v>351</v>
      </c>
      <c r="G32" s="78" t="s">
        <v>25</v>
      </c>
      <c r="H32" s="78" t="s">
        <v>113</v>
      </c>
      <c r="I32" s="78" t="s">
        <v>111</v>
      </c>
      <c r="J32" s="78" t="s">
        <v>27</v>
      </c>
      <c r="K32" s="78" t="s">
        <v>112</v>
      </c>
      <c r="L32" s="78">
        <v>1</v>
      </c>
      <c r="N32" s="78">
        <v>8</v>
      </c>
      <c r="O32" s="78">
        <v>0.7</v>
      </c>
      <c r="P32" s="78">
        <v>0.65</v>
      </c>
      <c r="Q32" s="44">
        <f t="shared" si="0"/>
        <v>0.67500000000000004</v>
      </c>
      <c r="R32" s="78">
        <v>15.3</v>
      </c>
      <c r="S32" s="78">
        <v>90.5</v>
      </c>
      <c r="T32" s="16">
        <f t="shared" si="1"/>
        <v>36</v>
      </c>
      <c r="U32" s="78">
        <v>398</v>
      </c>
      <c r="V32" s="16">
        <f t="shared" si="2"/>
        <v>1791</v>
      </c>
      <c r="W32" s="78">
        <v>12</v>
      </c>
      <c r="X32" s="78" t="s">
        <v>35</v>
      </c>
      <c r="Y32" s="78" t="s">
        <v>43</v>
      </c>
      <c r="Z32" s="78" t="s">
        <v>55</v>
      </c>
      <c r="AA32" s="78" t="s">
        <v>36</v>
      </c>
      <c r="AB32" s="78" t="s">
        <v>161</v>
      </c>
    </row>
    <row r="33" spans="1:28" x14ac:dyDescent="0.15">
      <c r="A33" s="78" t="s">
        <v>23</v>
      </c>
      <c r="B33" s="78" t="s">
        <v>160</v>
      </c>
      <c r="C33" s="78">
        <v>2020</v>
      </c>
      <c r="D33" s="176" t="s">
        <v>373</v>
      </c>
      <c r="E33" s="78" t="s">
        <v>171</v>
      </c>
      <c r="F33" s="78" t="s">
        <v>351</v>
      </c>
      <c r="G33" s="78" t="s">
        <v>25</v>
      </c>
      <c r="H33" s="78" t="s">
        <v>113</v>
      </c>
      <c r="I33" s="78" t="s">
        <v>111</v>
      </c>
      <c r="J33" s="78" t="s">
        <v>27</v>
      </c>
      <c r="K33" s="78" t="s">
        <v>112</v>
      </c>
      <c r="L33" s="78">
        <v>2</v>
      </c>
      <c r="N33" s="78">
        <v>8</v>
      </c>
      <c r="O33" s="78">
        <v>0.2</v>
      </c>
      <c r="P33" s="78">
        <v>0.2</v>
      </c>
      <c r="Q33" s="44">
        <f t="shared" si="0"/>
        <v>0.2</v>
      </c>
      <c r="R33" s="78">
        <v>12.6</v>
      </c>
      <c r="S33" s="78">
        <v>87</v>
      </c>
      <c r="T33" s="16">
        <f t="shared" si="1"/>
        <v>36</v>
      </c>
      <c r="U33" s="78">
        <v>398</v>
      </c>
      <c r="V33" s="16">
        <f t="shared" si="2"/>
        <v>1791</v>
      </c>
      <c r="W33" s="78">
        <v>12</v>
      </c>
      <c r="X33" s="78" t="s">
        <v>35</v>
      </c>
      <c r="Y33" s="78" t="s">
        <v>43</v>
      </c>
      <c r="Z33" s="78" t="s">
        <v>55</v>
      </c>
      <c r="AA33" s="78" t="s">
        <v>36</v>
      </c>
      <c r="AB33" s="78" t="s">
        <v>161</v>
      </c>
    </row>
    <row r="34" spans="1:28" x14ac:dyDescent="0.15">
      <c r="A34" s="78" t="s">
        <v>23</v>
      </c>
      <c r="B34" s="78" t="s">
        <v>160</v>
      </c>
      <c r="C34" s="78">
        <v>2020</v>
      </c>
      <c r="D34" s="176" t="s">
        <v>373</v>
      </c>
      <c r="E34" s="78" t="s">
        <v>171</v>
      </c>
      <c r="F34" s="78" t="s">
        <v>351</v>
      </c>
      <c r="G34" s="78" t="s">
        <v>25</v>
      </c>
      <c r="H34" s="78" t="s">
        <v>113</v>
      </c>
      <c r="I34" s="78" t="s">
        <v>111</v>
      </c>
      <c r="J34" s="78" t="s">
        <v>27</v>
      </c>
      <c r="K34" s="78" t="s">
        <v>112</v>
      </c>
      <c r="L34" s="78">
        <v>3</v>
      </c>
      <c r="N34" s="78">
        <v>8</v>
      </c>
      <c r="O34" s="78">
        <v>0.75</v>
      </c>
      <c r="P34" s="78">
        <v>0.7</v>
      </c>
      <c r="Q34" s="44">
        <f t="shared" si="0"/>
        <v>0.72499999999999998</v>
      </c>
      <c r="R34" s="78">
        <v>11.1</v>
      </c>
      <c r="S34" s="78">
        <v>87.5</v>
      </c>
      <c r="T34" s="16">
        <f t="shared" si="1"/>
        <v>36</v>
      </c>
      <c r="U34" s="78">
        <v>398</v>
      </c>
      <c r="V34" s="16">
        <f t="shared" si="2"/>
        <v>1791</v>
      </c>
      <c r="W34" s="78">
        <v>12</v>
      </c>
      <c r="X34" s="78" t="s">
        <v>35</v>
      </c>
      <c r="Y34" s="78" t="s">
        <v>43</v>
      </c>
      <c r="Z34" s="78" t="s">
        <v>55</v>
      </c>
      <c r="AA34" s="78" t="s">
        <v>36</v>
      </c>
      <c r="AB34" s="78" t="s">
        <v>161</v>
      </c>
    </row>
    <row r="35" spans="1:28" x14ac:dyDescent="0.15">
      <c r="A35" s="78" t="s">
        <v>23</v>
      </c>
      <c r="B35" s="78" t="s">
        <v>160</v>
      </c>
      <c r="C35" s="78">
        <v>2020</v>
      </c>
      <c r="D35" s="176" t="s">
        <v>373</v>
      </c>
      <c r="E35" s="78" t="s">
        <v>171</v>
      </c>
      <c r="F35" s="78" t="s">
        <v>351</v>
      </c>
      <c r="G35" s="78" t="s">
        <v>25</v>
      </c>
      <c r="H35" s="78" t="s">
        <v>113</v>
      </c>
      <c r="I35" s="78" t="s">
        <v>166</v>
      </c>
      <c r="J35" s="78" t="s">
        <v>27</v>
      </c>
      <c r="K35" s="78" t="s">
        <v>112</v>
      </c>
      <c r="L35" s="78">
        <v>1</v>
      </c>
      <c r="N35" s="78">
        <v>4</v>
      </c>
      <c r="O35" s="78">
        <v>0.45</v>
      </c>
      <c r="P35" s="78">
        <v>0.5</v>
      </c>
      <c r="Q35" s="44">
        <f t="shared" si="0"/>
        <v>0.47499999999999998</v>
      </c>
      <c r="R35" s="78">
        <v>15</v>
      </c>
      <c r="S35" s="78">
        <v>83</v>
      </c>
      <c r="T35" s="16">
        <f t="shared" si="1"/>
        <v>39</v>
      </c>
      <c r="U35" s="78">
        <v>398</v>
      </c>
      <c r="V35" s="16">
        <f t="shared" si="2"/>
        <v>3880.5</v>
      </c>
      <c r="W35" s="78">
        <v>12</v>
      </c>
      <c r="X35" s="78" t="s">
        <v>35</v>
      </c>
      <c r="Y35" s="78" t="s">
        <v>43</v>
      </c>
      <c r="Z35" s="78" t="s">
        <v>55</v>
      </c>
      <c r="AA35" s="78" t="s">
        <v>36</v>
      </c>
      <c r="AB35" s="78" t="s">
        <v>161</v>
      </c>
    </row>
    <row r="36" spans="1:28" x14ac:dyDescent="0.15">
      <c r="A36" s="78" t="s">
        <v>23</v>
      </c>
      <c r="B36" s="78" t="s">
        <v>160</v>
      </c>
      <c r="C36" s="78">
        <v>2020</v>
      </c>
      <c r="D36" s="176" t="s">
        <v>373</v>
      </c>
      <c r="E36" s="78" t="s">
        <v>171</v>
      </c>
      <c r="F36" s="78" t="s">
        <v>351</v>
      </c>
      <c r="G36" s="78" t="s">
        <v>25</v>
      </c>
      <c r="H36" s="78" t="s">
        <v>113</v>
      </c>
      <c r="I36" s="78" t="s">
        <v>166</v>
      </c>
      <c r="J36" s="78" t="s">
        <v>27</v>
      </c>
      <c r="K36" s="78" t="s">
        <v>112</v>
      </c>
      <c r="L36" s="78">
        <v>2</v>
      </c>
      <c r="N36" s="78">
        <v>4</v>
      </c>
      <c r="O36" s="78">
        <v>0.2</v>
      </c>
      <c r="P36" s="78">
        <v>0.2</v>
      </c>
      <c r="Q36" s="44">
        <f t="shared" si="0"/>
        <v>0.2</v>
      </c>
      <c r="R36" s="78">
        <v>15.6</v>
      </c>
      <c r="S36" s="78">
        <v>84.5</v>
      </c>
      <c r="T36" s="16">
        <f t="shared" si="1"/>
        <v>36</v>
      </c>
      <c r="U36" s="78">
        <v>398</v>
      </c>
      <c r="V36" s="16">
        <f t="shared" si="2"/>
        <v>3582</v>
      </c>
      <c r="W36" s="78">
        <v>12</v>
      </c>
      <c r="X36" s="78" t="s">
        <v>35</v>
      </c>
      <c r="Y36" s="78" t="s">
        <v>43</v>
      </c>
      <c r="Z36" s="78" t="s">
        <v>55</v>
      </c>
      <c r="AA36" s="78" t="s">
        <v>36</v>
      </c>
      <c r="AB36" s="78" t="s">
        <v>161</v>
      </c>
    </row>
    <row r="37" spans="1:28" x14ac:dyDescent="0.15">
      <c r="A37" s="78" t="s">
        <v>23</v>
      </c>
      <c r="B37" s="78" t="s">
        <v>160</v>
      </c>
      <c r="C37" s="78">
        <v>2020</v>
      </c>
      <c r="D37" s="176" t="s">
        <v>373</v>
      </c>
      <c r="E37" s="78" t="s">
        <v>171</v>
      </c>
      <c r="F37" s="78" t="s">
        <v>351</v>
      </c>
      <c r="G37" s="78" t="s">
        <v>25</v>
      </c>
      <c r="H37" s="78" t="s">
        <v>113</v>
      </c>
      <c r="I37" s="78" t="s">
        <v>166</v>
      </c>
      <c r="J37" s="78" t="s">
        <v>27</v>
      </c>
      <c r="K37" s="78" t="s">
        <v>112</v>
      </c>
      <c r="L37" s="78">
        <v>3</v>
      </c>
      <c r="N37" s="78">
        <v>4</v>
      </c>
      <c r="O37" s="78">
        <v>0.5</v>
      </c>
      <c r="P37" s="78">
        <v>0.5</v>
      </c>
      <c r="Q37" s="44">
        <f t="shared" si="0"/>
        <v>0.5</v>
      </c>
      <c r="R37" s="78">
        <v>15.7</v>
      </c>
      <c r="S37" s="78">
        <v>86.5</v>
      </c>
      <c r="T37" s="16">
        <f t="shared" si="1"/>
        <v>36</v>
      </c>
      <c r="U37" s="78">
        <v>398</v>
      </c>
      <c r="V37" s="16">
        <f t="shared" si="2"/>
        <v>3582</v>
      </c>
      <c r="W37" s="78">
        <v>12</v>
      </c>
      <c r="X37" s="78" t="s">
        <v>35</v>
      </c>
      <c r="Y37" s="78" t="s">
        <v>43</v>
      </c>
      <c r="Z37" s="78" t="s">
        <v>55</v>
      </c>
      <c r="AA37" s="78" t="s">
        <v>36</v>
      </c>
      <c r="AB37" s="78" t="s">
        <v>161</v>
      </c>
    </row>
    <row r="38" spans="1:28" x14ac:dyDescent="0.15">
      <c r="A38" s="78" t="s">
        <v>23</v>
      </c>
      <c r="B38" s="78" t="s">
        <v>160</v>
      </c>
      <c r="C38" s="78">
        <v>2020</v>
      </c>
      <c r="D38" s="176" t="s">
        <v>373</v>
      </c>
      <c r="E38" s="78" t="s">
        <v>171</v>
      </c>
      <c r="F38" s="78" t="s">
        <v>351</v>
      </c>
      <c r="G38" s="78" t="s">
        <v>25</v>
      </c>
      <c r="H38" s="78" t="s">
        <v>167</v>
      </c>
      <c r="I38" s="78" t="s">
        <v>111</v>
      </c>
      <c r="J38" s="78" t="s">
        <v>27</v>
      </c>
      <c r="K38" s="78" t="s">
        <v>112</v>
      </c>
      <c r="L38" s="78">
        <v>1</v>
      </c>
      <c r="N38" s="78">
        <v>1</v>
      </c>
      <c r="O38" s="78">
        <v>0.5</v>
      </c>
      <c r="P38" s="78">
        <v>0.55000000000000004</v>
      </c>
      <c r="Q38" s="44">
        <f t="shared" si="0"/>
        <v>0.52500000000000002</v>
      </c>
      <c r="R38" s="78">
        <v>17.100000000000001</v>
      </c>
      <c r="S38" s="78">
        <v>126.5</v>
      </c>
      <c r="T38" s="16">
        <f t="shared" si="1"/>
        <v>30</v>
      </c>
      <c r="U38" s="78">
        <v>138</v>
      </c>
      <c r="V38" s="16">
        <f>IF(OR(N41="",U38="",T38=""),"",U38/N41*T38)</f>
        <v>1035</v>
      </c>
      <c r="W38" s="78">
        <v>12</v>
      </c>
      <c r="X38" s="78" t="s">
        <v>35</v>
      </c>
      <c r="Y38" s="78" t="s">
        <v>43</v>
      </c>
      <c r="Z38" s="78" t="s">
        <v>55</v>
      </c>
      <c r="AA38" s="78" t="s">
        <v>36</v>
      </c>
      <c r="AB38" s="78" t="s">
        <v>161</v>
      </c>
    </row>
    <row r="39" spans="1:28" x14ac:dyDescent="0.15">
      <c r="A39" s="78" t="s">
        <v>23</v>
      </c>
      <c r="B39" s="78" t="s">
        <v>160</v>
      </c>
      <c r="C39" s="78">
        <v>2020</v>
      </c>
      <c r="D39" s="176" t="s">
        <v>373</v>
      </c>
      <c r="E39" s="78" t="s">
        <v>171</v>
      </c>
      <c r="F39" s="78" t="s">
        <v>351</v>
      </c>
      <c r="G39" s="78" t="s">
        <v>25</v>
      </c>
      <c r="H39" s="78" t="s">
        <v>167</v>
      </c>
      <c r="I39" s="78" t="s">
        <v>111</v>
      </c>
      <c r="J39" s="78" t="s">
        <v>27</v>
      </c>
      <c r="K39" s="78" t="s">
        <v>112</v>
      </c>
      <c r="L39" s="78">
        <v>2</v>
      </c>
      <c r="N39" s="78">
        <v>1</v>
      </c>
      <c r="O39" s="78">
        <v>0.5</v>
      </c>
      <c r="P39" s="78">
        <v>0.65</v>
      </c>
      <c r="Q39" s="44">
        <f t="shared" si="0"/>
        <v>0.57499999999999996</v>
      </c>
      <c r="R39" s="78">
        <v>18.100000000000001</v>
      </c>
      <c r="S39" s="78">
        <v>129</v>
      </c>
      <c r="T39" s="16">
        <f t="shared" si="1"/>
        <v>30</v>
      </c>
      <c r="U39" s="78">
        <v>138</v>
      </c>
      <c r="V39" s="16">
        <f>IF(OR(N42="",U39="",T39=""),"",U39/N42*T39)</f>
        <v>1035</v>
      </c>
      <c r="W39" s="78">
        <v>12</v>
      </c>
      <c r="X39" s="78" t="s">
        <v>35</v>
      </c>
      <c r="Y39" s="78" t="s">
        <v>43</v>
      </c>
      <c r="Z39" s="78" t="s">
        <v>55</v>
      </c>
      <c r="AA39" s="78" t="s">
        <v>36</v>
      </c>
      <c r="AB39" s="78" t="s">
        <v>161</v>
      </c>
    </row>
    <row r="40" spans="1:28" x14ac:dyDescent="0.15">
      <c r="A40" s="78" t="s">
        <v>23</v>
      </c>
      <c r="B40" s="78" t="s">
        <v>160</v>
      </c>
      <c r="C40" s="78">
        <v>2020</v>
      </c>
      <c r="D40" s="176" t="s">
        <v>373</v>
      </c>
      <c r="E40" s="78" t="s">
        <v>171</v>
      </c>
      <c r="F40" s="78" t="s">
        <v>351</v>
      </c>
      <c r="G40" s="78" t="s">
        <v>25</v>
      </c>
      <c r="H40" s="78" t="s">
        <v>167</v>
      </c>
      <c r="I40" s="78" t="s">
        <v>111</v>
      </c>
      <c r="J40" s="78" t="s">
        <v>27</v>
      </c>
      <c r="K40" s="78" t="s">
        <v>112</v>
      </c>
      <c r="L40" s="78">
        <v>3</v>
      </c>
      <c r="N40" s="78">
        <v>1</v>
      </c>
      <c r="O40" s="78">
        <v>0.55000000000000004</v>
      </c>
      <c r="P40" s="78">
        <v>0.75</v>
      </c>
      <c r="Q40" s="44">
        <f>IF(OR(O40="",P40=""),"",AVERAGE(O40,P40))</f>
        <v>0.65</v>
      </c>
      <c r="R40" s="78">
        <v>17.2</v>
      </c>
      <c r="S40" s="78">
        <v>133.5</v>
      </c>
      <c r="T40" s="16">
        <f t="shared" si="1"/>
        <v>30</v>
      </c>
      <c r="U40" s="78">
        <v>138</v>
      </c>
      <c r="V40" s="16">
        <f>IF(OR(N43="",U40="",T40=""),"",U40/N43*T40)</f>
        <v>1035</v>
      </c>
      <c r="W40" s="78">
        <v>12</v>
      </c>
      <c r="X40" s="78" t="s">
        <v>35</v>
      </c>
      <c r="Y40" s="78" t="s">
        <v>43</v>
      </c>
      <c r="Z40" s="78" t="s">
        <v>55</v>
      </c>
      <c r="AA40" s="78" t="s">
        <v>36</v>
      </c>
      <c r="AB40" s="78" t="s">
        <v>161</v>
      </c>
    </row>
    <row r="41" spans="1:28" x14ac:dyDescent="0.15">
      <c r="A41" s="78" t="s">
        <v>23</v>
      </c>
      <c r="B41" s="78" t="s">
        <v>160</v>
      </c>
      <c r="C41" s="78">
        <v>2020</v>
      </c>
      <c r="D41" s="176" t="s">
        <v>373</v>
      </c>
      <c r="E41" s="78" t="s">
        <v>171</v>
      </c>
      <c r="F41" s="78" t="s">
        <v>351</v>
      </c>
      <c r="G41" s="78" t="s">
        <v>25</v>
      </c>
      <c r="H41" s="78" t="s">
        <v>167</v>
      </c>
      <c r="I41" s="78" t="s">
        <v>111</v>
      </c>
      <c r="J41" s="78" t="s">
        <v>27</v>
      </c>
      <c r="K41" s="78" t="s">
        <v>112</v>
      </c>
      <c r="L41" s="78">
        <v>1</v>
      </c>
      <c r="N41" s="78">
        <v>4</v>
      </c>
      <c r="O41" s="78">
        <v>0.7</v>
      </c>
      <c r="P41" s="78">
        <v>0.8</v>
      </c>
      <c r="Q41" s="44">
        <f t="shared" ref="Q41:Q42" si="4">IF(OR(O41="",P41=""),"",AVERAGE(O41,P41))</f>
        <v>0.75</v>
      </c>
      <c r="R41" s="78">
        <v>16</v>
      </c>
      <c r="S41" s="78">
        <v>117</v>
      </c>
      <c r="T41" s="16">
        <f t="shared" si="1"/>
        <v>30</v>
      </c>
      <c r="U41" s="78">
        <v>398</v>
      </c>
      <c r="V41" s="16">
        <f t="shared" ref="V41:V45" si="5">IF(OR(N44="",U41="",T41=""),"",U41/N44*T41)</f>
        <v>2985</v>
      </c>
      <c r="W41" s="78">
        <v>12</v>
      </c>
      <c r="X41" s="78" t="s">
        <v>35</v>
      </c>
      <c r="Y41" s="78" t="s">
        <v>43</v>
      </c>
      <c r="Z41" s="78" t="s">
        <v>55</v>
      </c>
      <c r="AA41" s="78" t="s">
        <v>36</v>
      </c>
      <c r="AB41" s="78" t="s">
        <v>161</v>
      </c>
    </row>
    <row r="42" spans="1:28" x14ac:dyDescent="0.15">
      <c r="A42" s="78" t="s">
        <v>23</v>
      </c>
      <c r="B42" s="78" t="s">
        <v>160</v>
      </c>
      <c r="C42" s="78">
        <v>2020</v>
      </c>
      <c r="D42" s="176" t="s">
        <v>373</v>
      </c>
      <c r="E42" s="78" t="s">
        <v>171</v>
      </c>
      <c r="F42" s="78" t="s">
        <v>351</v>
      </c>
      <c r="G42" s="78" t="s">
        <v>25</v>
      </c>
      <c r="H42" s="78" t="s">
        <v>167</v>
      </c>
      <c r="I42" s="78" t="s">
        <v>111</v>
      </c>
      <c r="J42" s="78" t="s">
        <v>27</v>
      </c>
      <c r="K42" s="78" t="s">
        <v>112</v>
      </c>
      <c r="L42" s="78">
        <v>2</v>
      </c>
      <c r="N42" s="78">
        <v>4</v>
      </c>
      <c r="O42" s="78">
        <v>0.6</v>
      </c>
      <c r="P42" s="78">
        <v>0.7</v>
      </c>
      <c r="Q42" s="44">
        <f t="shared" si="4"/>
        <v>0.64999999999999991</v>
      </c>
      <c r="R42" s="78">
        <v>15.9</v>
      </c>
      <c r="S42" s="78">
        <v>117</v>
      </c>
      <c r="T42" s="16">
        <f t="shared" si="1"/>
        <v>30</v>
      </c>
      <c r="U42" s="78">
        <v>398</v>
      </c>
      <c r="V42" s="16">
        <f t="shared" si="5"/>
        <v>2985</v>
      </c>
      <c r="W42" s="78">
        <v>12</v>
      </c>
      <c r="X42" s="78" t="s">
        <v>35</v>
      </c>
      <c r="Y42" s="78" t="s">
        <v>43</v>
      </c>
      <c r="Z42" s="78" t="s">
        <v>55</v>
      </c>
      <c r="AA42" s="78" t="s">
        <v>36</v>
      </c>
      <c r="AB42" s="78" t="s">
        <v>161</v>
      </c>
    </row>
    <row r="43" spans="1:28" x14ac:dyDescent="0.15">
      <c r="A43" s="78" t="s">
        <v>23</v>
      </c>
      <c r="B43" s="78" t="s">
        <v>160</v>
      </c>
      <c r="C43" s="78">
        <v>2020</v>
      </c>
      <c r="D43" s="176" t="s">
        <v>373</v>
      </c>
      <c r="E43" s="78" t="s">
        <v>171</v>
      </c>
      <c r="F43" s="78" t="s">
        <v>351</v>
      </c>
      <c r="G43" s="78" t="s">
        <v>25</v>
      </c>
      <c r="H43" s="78" t="s">
        <v>167</v>
      </c>
      <c r="I43" s="78" t="s">
        <v>111</v>
      </c>
      <c r="J43" s="78" t="s">
        <v>27</v>
      </c>
      <c r="K43" s="78" t="s">
        <v>112</v>
      </c>
      <c r="L43" s="78">
        <v>3</v>
      </c>
      <c r="N43" s="78">
        <v>4</v>
      </c>
      <c r="O43" s="78">
        <v>0.55000000000000004</v>
      </c>
      <c r="P43" s="78">
        <v>0.65</v>
      </c>
      <c r="Q43" s="44">
        <f>IF(OR(O43="",P43=""),"",AVERAGE(O43,P43))</f>
        <v>0.60000000000000009</v>
      </c>
      <c r="R43" s="78">
        <v>17.100000000000001</v>
      </c>
      <c r="S43" s="78">
        <v>110</v>
      </c>
      <c r="T43" s="16">
        <f t="shared" si="1"/>
        <v>33</v>
      </c>
      <c r="U43" s="78">
        <v>398</v>
      </c>
      <c r="V43" s="16">
        <f t="shared" si="5"/>
        <v>3283.5</v>
      </c>
      <c r="W43" s="78">
        <v>12</v>
      </c>
      <c r="X43" s="78" t="s">
        <v>35</v>
      </c>
      <c r="Y43" s="78" t="s">
        <v>43</v>
      </c>
      <c r="Z43" s="78" t="s">
        <v>55</v>
      </c>
      <c r="AA43" s="78" t="s">
        <v>36</v>
      </c>
      <c r="AB43" s="78" t="s">
        <v>161</v>
      </c>
    </row>
    <row r="44" spans="1:28" x14ac:dyDescent="0.15">
      <c r="A44" s="78" t="s">
        <v>23</v>
      </c>
      <c r="B44" s="78" t="s">
        <v>160</v>
      </c>
      <c r="C44" s="78">
        <v>2020</v>
      </c>
      <c r="D44" s="176" t="s">
        <v>373</v>
      </c>
      <c r="E44" s="78" t="s">
        <v>171</v>
      </c>
      <c r="F44" s="78" t="s">
        <v>351</v>
      </c>
      <c r="G44" s="78" t="s">
        <v>25</v>
      </c>
      <c r="H44" s="78" t="s">
        <v>167</v>
      </c>
      <c r="I44" s="78" t="s">
        <v>166</v>
      </c>
      <c r="J44" s="78" t="s">
        <v>27</v>
      </c>
      <c r="K44" s="78" t="s">
        <v>112</v>
      </c>
      <c r="L44" s="78">
        <v>1</v>
      </c>
      <c r="N44" s="78">
        <v>4</v>
      </c>
      <c r="O44" s="78">
        <v>0.55000000000000004</v>
      </c>
      <c r="P44" s="78">
        <v>0.55000000000000004</v>
      </c>
      <c r="Q44" s="44">
        <f t="shared" si="0"/>
        <v>0.55000000000000004</v>
      </c>
      <c r="R44" s="78">
        <v>16.3</v>
      </c>
      <c r="S44" s="78">
        <v>128</v>
      </c>
      <c r="T44" s="16">
        <f t="shared" si="1"/>
        <v>30</v>
      </c>
      <c r="U44" s="78">
        <v>550</v>
      </c>
      <c r="V44" s="16">
        <f t="shared" si="5"/>
        <v>16500</v>
      </c>
      <c r="W44" s="78">
        <v>12</v>
      </c>
      <c r="X44" s="78" t="s">
        <v>35</v>
      </c>
      <c r="Y44" s="78" t="s">
        <v>43</v>
      </c>
      <c r="Z44" s="78" t="s">
        <v>55</v>
      </c>
      <c r="AA44" s="78" t="s">
        <v>36</v>
      </c>
      <c r="AB44" s="78" t="s">
        <v>161</v>
      </c>
    </row>
    <row r="45" spans="1:28" x14ac:dyDescent="0.15">
      <c r="A45" s="78" t="s">
        <v>23</v>
      </c>
      <c r="B45" s="78" t="s">
        <v>160</v>
      </c>
      <c r="C45" s="78">
        <v>2020</v>
      </c>
      <c r="D45" s="176" t="s">
        <v>373</v>
      </c>
      <c r="E45" s="78" t="s">
        <v>171</v>
      </c>
      <c r="F45" s="78" t="s">
        <v>351</v>
      </c>
      <c r="G45" s="78" t="s">
        <v>25</v>
      </c>
      <c r="H45" s="78" t="s">
        <v>167</v>
      </c>
      <c r="I45" s="78" t="s">
        <v>166</v>
      </c>
      <c r="J45" s="78" t="s">
        <v>27</v>
      </c>
      <c r="K45" s="78" t="s">
        <v>112</v>
      </c>
      <c r="L45" s="78">
        <v>2</v>
      </c>
      <c r="N45" s="78">
        <v>4</v>
      </c>
      <c r="O45" s="78">
        <v>0.45</v>
      </c>
      <c r="P45" s="78">
        <v>0.5</v>
      </c>
      <c r="Q45" s="44">
        <f t="shared" si="0"/>
        <v>0.47499999999999998</v>
      </c>
      <c r="R45" s="78">
        <v>16.3</v>
      </c>
      <c r="S45" s="78">
        <v>126.5</v>
      </c>
      <c r="T45" s="16">
        <f t="shared" si="1"/>
        <v>30</v>
      </c>
      <c r="U45" s="78">
        <v>550</v>
      </c>
      <c r="V45" s="16">
        <f t="shared" si="5"/>
        <v>16500</v>
      </c>
      <c r="W45" s="78">
        <v>12</v>
      </c>
      <c r="X45" s="78" t="s">
        <v>35</v>
      </c>
      <c r="Y45" s="78" t="s">
        <v>43</v>
      </c>
      <c r="Z45" s="78" t="s">
        <v>55</v>
      </c>
      <c r="AA45" s="78" t="s">
        <v>36</v>
      </c>
      <c r="AB45" s="78" t="s">
        <v>161</v>
      </c>
    </row>
    <row r="46" spans="1:28" x14ac:dyDescent="0.15">
      <c r="A46" s="78" t="s">
        <v>23</v>
      </c>
      <c r="B46" s="78" t="s">
        <v>160</v>
      </c>
      <c r="C46" s="78">
        <v>2020</v>
      </c>
      <c r="D46" s="176" t="s">
        <v>373</v>
      </c>
      <c r="E46" s="78" t="s">
        <v>171</v>
      </c>
      <c r="F46" s="78" t="s">
        <v>351</v>
      </c>
      <c r="G46" s="78" t="s">
        <v>25</v>
      </c>
      <c r="H46" s="78" t="s">
        <v>167</v>
      </c>
      <c r="I46" s="78" t="s">
        <v>166</v>
      </c>
      <c r="J46" s="78" t="s">
        <v>27</v>
      </c>
      <c r="K46" s="78" t="s">
        <v>112</v>
      </c>
      <c r="L46" s="78">
        <v>3</v>
      </c>
      <c r="N46" s="78">
        <v>4</v>
      </c>
      <c r="O46" s="78">
        <v>0.5</v>
      </c>
      <c r="P46" s="78">
        <v>0.55000000000000004</v>
      </c>
      <c r="Q46" s="44">
        <f t="shared" si="0"/>
        <v>0.52500000000000002</v>
      </c>
      <c r="R46" s="78">
        <v>16.2</v>
      </c>
      <c r="S46" s="78">
        <v>125.5</v>
      </c>
      <c r="T46" s="16">
        <f t="shared" si="1"/>
        <v>30</v>
      </c>
      <c r="U46" s="78">
        <v>550</v>
      </c>
      <c r="V46" s="16">
        <f t="shared" si="2"/>
        <v>4125</v>
      </c>
      <c r="W46" s="78">
        <v>12</v>
      </c>
      <c r="X46" s="78" t="s">
        <v>35</v>
      </c>
      <c r="Y46" s="78" t="s">
        <v>43</v>
      </c>
      <c r="Z46" s="78" t="s">
        <v>55</v>
      </c>
      <c r="AA46" s="78" t="s">
        <v>36</v>
      </c>
      <c r="AB46" s="78" t="s">
        <v>161</v>
      </c>
    </row>
    <row r="47" spans="1:28" x14ac:dyDescent="0.15">
      <c r="A47" s="78" t="s">
        <v>23</v>
      </c>
      <c r="B47" s="78" t="s">
        <v>160</v>
      </c>
      <c r="C47" s="78">
        <v>2020</v>
      </c>
      <c r="D47" s="176" t="s">
        <v>373</v>
      </c>
      <c r="E47" s="78" t="s">
        <v>171</v>
      </c>
      <c r="F47" s="78" t="s">
        <v>351</v>
      </c>
      <c r="G47" s="78" t="s">
        <v>25</v>
      </c>
      <c r="H47" s="78" t="s">
        <v>167</v>
      </c>
      <c r="I47" s="78" t="s">
        <v>111</v>
      </c>
      <c r="J47" s="78" t="s">
        <v>27</v>
      </c>
      <c r="K47" s="78" t="s">
        <v>112</v>
      </c>
      <c r="L47" s="78">
        <v>1</v>
      </c>
      <c r="N47" s="78">
        <v>1</v>
      </c>
      <c r="O47" s="78">
        <v>0.65</v>
      </c>
      <c r="P47" s="78">
        <v>0.7</v>
      </c>
      <c r="Q47" s="44">
        <f t="shared" si="0"/>
        <v>0.67500000000000004</v>
      </c>
      <c r="R47" s="78">
        <v>17.5</v>
      </c>
      <c r="S47" s="78">
        <v>153</v>
      </c>
      <c r="T47" s="16">
        <f t="shared" si="1"/>
        <v>18</v>
      </c>
      <c r="U47" s="78">
        <v>178</v>
      </c>
      <c r="V47" s="16">
        <f t="shared" si="2"/>
        <v>3204</v>
      </c>
      <c r="W47" s="78">
        <v>12</v>
      </c>
      <c r="X47" s="78" t="s">
        <v>35</v>
      </c>
      <c r="Y47" s="78" t="s">
        <v>43</v>
      </c>
      <c r="Z47" s="78" t="s">
        <v>55</v>
      </c>
      <c r="AA47" s="78" t="s">
        <v>36</v>
      </c>
      <c r="AB47" s="78" t="s">
        <v>161</v>
      </c>
    </row>
    <row r="48" spans="1:28" x14ac:dyDescent="0.15">
      <c r="A48" s="78" t="s">
        <v>23</v>
      </c>
      <c r="B48" s="78" t="s">
        <v>160</v>
      </c>
      <c r="C48" s="78">
        <v>2020</v>
      </c>
      <c r="D48" s="176" t="s">
        <v>373</v>
      </c>
      <c r="E48" s="78" t="s">
        <v>171</v>
      </c>
      <c r="F48" s="78" t="s">
        <v>351</v>
      </c>
      <c r="G48" s="78" t="s">
        <v>25</v>
      </c>
      <c r="H48" s="78" t="s">
        <v>167</v>
      </c>
      <c r="I48" s="78" t="s">
        <v>111</v>
      </c>
      <c r="J48" s="78" t="s">
        <v>27</v>
      </c>
      <c r="K48" s="78" t="s">
        <v>112</v>
      </c>
      <c r="L48" s="78">
        <v>2</v>
      </c>
      <c r="N48" s="78">
        <v>1</v>
      </c>
      <c r="O48" s="78">
        <v>0.55000000000000004</v>
      </c>
      <c r="P48" s="78">
        <v>0.55000000000000004</v>
      </c>
      <c r="Q48" s="44">
        <f t="shared" si="0"/>
        <v>0.55000000000000004</v>
      </c>
      <c r="R48" s="78">
        <v>17.5</v>
      </c>
      <c r="S48" s="78">
        <v>154</v>
      </c>
      <c r="T48" s="16">
        <f t="shared" si="1"/>
        <v>18</v>
      </c>
      <c r="U48" s="78">
        <v>178</v>
      </c>
      <c r="V48" s="16">
        <f t="shared" si="2"/>
        <v>3204</v>
      </c>
      <c r="W48" s="78">
        <v>12</v>
      </c>
      <c r="X48" s="78" t="s">
        <v>35</v>
      </c>
      <c r="Y48" s="78" t="s">
        <v>43</v>
      </c>
      <c r="Z48" s="78" t="s">
        <v>55</v>
      </c>
      <c r="AA48" s="78" t="s">
        <v>36</v>
      </c>
      <c r="AB48" s="78" t="s">
        <v>161</v>
      </c>
    </row>
    <row r="49" spans="1:28" x14ac:dyDescent="0.15">
      <c r="A49" s="78" t="s">
        <v>23</v>
      </c>
      <c r="B49" s="78" t="s">
        <v>160</v>
      </c>
      <c r="C49" s="78">
        <v>2020</v>
      </c>
      <c r="D49" s="176" t="s">
        <v>373</v>
      </c>
      <c r="E49" s="78" t="s">
        <v>171</v>
      </c>
      <c r="F49" s="78" t="s">
        <v>351</v>
      </c>
      <c r="G49" s="78" t="s">
        <v>25</v>
      </c>
      <c r="H49" s="78" t="s">
        <v>167</v>
      </c>
      <c r="I49" s="78" t="s">
        <v>111</v>
      </c>
      <c r="J49" s="78" t="s">
        <v>27</v>
      </c>
      <c r="K49" s="78" t="s">
        <v>112</v>
      </c>
      <c r="L49" s="78">
        <v>3</v>
      </c>
      <c r="N49" s="78">
        <v>1</v>
      </c>
      <c r="O49" s="78">
        <v>0.75</v>
      </c>
      <c r="P49" s="78">
        <v>0.7</v>
      </c>
      <c r="Q49" s="44">
        <f t="shared" si="0"/>
        <v>0.72499999999999998</v>
      </c>
      <c r="R49" s="78">
        <v>17.5</v>
      </c>
      <c r="S49" s="78">
        <v>154.5</v>
      </c>
      <c r="T49" s="16">
        <f t="shared" si="1"/>
        <v>18</v>
      </c>
      <c r="U49" s="78">
        <v>178</v>
      </c>
      <c r="V49" s="16">
        <f t="shared" si="2"/>
        <v>3204</v>
      </c>
      <c r="W49" s="78">
        <v>12</v>
      </c>
      <c r="X49" s="78" t="s">
        <v>35</v>
      </c>
      <c r="Y49" s="78" t="s">
        <v>43</v>
      </c>
      <c r="Z49" s="78" t="s">
        <v>55</v>
      </c>
      <c r="AA49" s="78" t="s">
        <v>36</v>
      </c>
      <c r="AB49" s="78" t="s">
        <v>161</v>
      </c>
    </row>
    <row r="50" spans="1:28" x14ac:dyDescent="0.15">
      <c r="A50" s="78" t="s">
        <v>23</v>
      </c>
      <c r="B50" s="78" t="s">
        <v>160</v>
      </c>
      <c r="C50" s="78">
        <v>2020</v>
      </c>
      <c r="D50" s="176" t="s">
        <v>373</v>
      </c>
      <c r="E50" s="78" t="s">
        <v>171</v>
      </c>
      <c r="F50" s="78" t="s">
        <v>351</v>
      </c>
      <c r="G50" s="78" t="s">
        <v>25</v>
      </c>
      <c r="H50" s="78" t="s">
        <v>167</v>
      </c>
      <c r="I50" s="78" t="s">
        <v>166</v>
      </c>
      <c r="J50" s="78" t="s">
        <v>27</v>
      </c>
      <c r="K50" s="78" t="s">
        <v>112</v>
      </c>
      <c r="L50" s="78">
        <v>1</v>
      </c>
      <c r="N50" s="78">
        <v>4</v>
      </c>
      <c r="O50" s="78">
        <v>0.55000000000000004</v>
      </c>
      <c r="P50" s="78">
        <v>0.2</v>
      </c>
      <c r="Q50" s="44">
        <f t="shared" si="0"/>
        <v>0.375</v>
      </c>
      <c r="R50" s="78">
        <v>17.2</v>
      </c>
      <c r="S50" s="78">
        <v>100.5</v>
      </c>
      <c r="T50" s="16">
        <f t="shared" si="1"/>
        <v>33</v>
      </c>
      <c r="U50" s="78">
        <v>498</v>
      </c>
      <c r="V50" s="16">
        <f t="shared" si="2"/>
        <v>4108.5</v>
      </c>
      <c r="W50" s="78">
        <v>12</v>
      </c>
      <c r="X50" s="78" t="s">
        <v>35</v>
      </c>
      <c r="Y50" s="78" t="s">
        <v>43</v>
      </c>
      <c r="Z50" s="78" t="s">
        <v>55</v>
      </c>
      <c r="AA50" s="78" t="s">
        <v>36</v>
      </c>
      <c r="AB50" s="78" t="s">
        <v>161</v>
      </c>
    </row>
    <row r="51" spans="1:28" x14ac:dyDescent="0.15">
      <c r="A51" s="78" t="s">
        <v>23</v>
      </c>
      <c r="B51" s="78" t="s">
        <v>160</v>
      </c>
      <c r="C51" s="78">
        <v>2020</v>
      </c>
      <c r="D51" s="176" t="s">
        <v>373</v>
      </c>
      <c r="E51" s="78" t="s">
        <v>171</v>
      </c>
      <c r="F51" s="78" t="s">
        <v>351</v>
      </c>
      <c r="G51" s="78" t="s">
        <v>25</v>
      </c>
      <c r="H51" s="78" t="s">
        <v>167</v>
      </c>
      <c r="I51" s="78" t="s">
        <v>166</v>
      </c>
      <c r="J51" s="78" t="s">
        <v>27</v>
      </c>
      <c r="K51" s="78" t="s">
        <v>112</v>
      </c>
      <c r="L51" s="78">
        <v>2</v>
      </c>
      <c r="N51" s="78">
        <v>4</v>
      </c>
      <c r="O51" s="78">
        <v>0.45</v>
      </c>
      <c r="P51" s="78">
        <v>0.2</v>
      </c>
      <c r="Q51" s="44">
        <f t="shared" si="0"/>
        <v>0.32500000000000001</v>
      </c>
      <c r="R51" s="78">
        <v>15.2</v>
      </c>
      <c r="S51" s="78">
        <v>102.5</v>
      </c>
      <c r="T51" s="16">
        <f t="shared" si="1"/>
        <v>33</v>
      </c>
      <c r="U51" s="78">
        <v>498</v>
      </c>
      <c r="V51" s="16">
        <f t="shared" si="2"/>
        <v>4108.5</v>
      </c>
      <c r="W51" s="78">
        <v>12</v>
      </c>
      <c r="X51" s="78" t="s">
        <v>35</v>
      </c>
      <c r="Y51" s="78" t="s">
        <v>43</v>
      </c>
      <c r="Z51" s="78" t="s">
        <v>55</v>
      </c>
      <c r="AA51" s="78" t="s">
        <v>36</v>
      </c>
      <c r="AB51" s="78" t="s">
        <v>161</v>
      </c>
    </row>
    <row r="52" spans="1:28" x14ac:dyDescent="0.15">
      <c r="A52" s="78" t="s">
        <v>23</v>
      </c>
      <c r="B52" s="78" t="s">
        <v>160</v>
      </c>
      <c r="C52" s="78">
        <v>2020</v>
      </c>
      <c r="D52" s="176" t="s">
        <v>373</v>
      </c>
      <c r="E52" s="78" t="s">
        <v>171</v>
      </c>
      <c r="F52" s="78" t="s">
        <v>351</v>
      </c>
      <c r="G52" s="78" t="s">
        <v>25</v>
      </c>
      <c r="H52" s="78" t="s">
        <v>167</v>
      </c>
      <c r="I52" s="78" t="s">
        <v>166</v>
      </c>
      <c r="J52" s="78" t="s">
        <v>27</v>
      </c>
      <c r="K52" s="78" t="s">
        <v>112</v>
      </c>
      <c r="L52" s="78">
        <v>3</v>
      </c>
      <c r="N52" s="78">
        <v>4</v>
      </c>
      <c r="O52" s="78">
        <v>0.55000000000000004</v>
      </c>
      <c r="P52" s="78">
        <v>0.55000000000000004</v>
      </c>
      <c r="Q52" s="44">
        <f t="shared" si="0"/>
        <v>0.55000000000000004</v>
      </c>
      <c r="R52" s="78">
        <v>14.2</v>
      </c>
      <c r="S52" s="78">
        <v>104.5</v>
      </c>
      <c r="T52" s="16">
        <f t="shared" si="1"/>
        <v>33</v>
      </c>
      <c r="U52" s="78">
        <v>498</v>
      </c>
      <c r="V52" s="16">
        <f t="shared" si="2"/>
        <v>4108.5</v>
      </c>
      <c r="W52" s="78">
        <v>12</v>
      </c>
      <c r="X52" s="78" t="s">
        <v>35</v>
      </c>
      <c r="Y52" s="78" t="s">
        <v>43</v>
      </c>
      <c r="Z52" s="78" t="s">
        <v>55</v>
      </c>
      <c r="AA52" s="78" t="s">
        <v>36</v>
      </c>
      <c r="AB52" s="78" t="s">
        <v>161</v>
      </c>
    </row>
    <row r="53" spans="1:28" x14ac:dyDescent="0.15">
      <c r="A53" s="78" t="s">
        <v>23</v>
      </c>
      <c r="B53" s="78" t="s">
        <v>160</v>
      </c>
      <c r="C53" s="78">
        <v>2020</v>
      </c>
      <c r="D53" s="176" t="s">
        <v>373</v>
      </c>
      <c r="E53" s="78" t="s">
        <v>367</v>
      </c>
      <c r="F53" s="78" t="s">
        <v>353</v>
      </c>
      <c r="G53" s="78" t="s">
        <v>31</v>
      </c>
      <c r="H53" s="78" t="s">
        <v>113</v>
      </c>
      <c r="I53" s="78" t="s">
        <v>111</v>
      </c>
      <c r="J53" s="78" t="s">
        <v>27</v>
      </c>
      <c r="K53" s="78" t="s">
        <v>112</v>
      </c>
      <c r="L53" s="78">
        <v>1</v>
      </c>
      <c r="N53" s="78">
        <v>1</v>
      </c>
      <c r="O53" s="78">
        <v>0.5</v>
      </c>
      <c r="P53" s="78">
        <v>0.45</v>
      </c>
      <c r="Q53" s="44">
        <f t="shared" si="0"/>
        <v>0.47499999999999998</v>
      </c>
      <c r="R53" s="78">
        <v>16</v>
      </c>
      <c r="S53" s="78">
        <v>138.5</v>
      </c>
      <c r="T53" s="16">
        <f t="shared" si="1"/>
        <v>30</v>
      </c>
      <c r="U53" s="78">
        <v>100</v>
      </c>
      <c r="V53" s="16">
        <f t="shared" si="2"/>
        <v>3000</v>
      </c>
      <c r="W53" s="78">
        <v>10</v>
      </c>
      <c r="X53" s="78" t="s">
        <v>35</v>
      </c>
      <c r="Y53" s="78" t="s">
        <v>43</v>
      </c>
      <c r="Z53" s="78" t="s">
        <v>55</v>
      </c>
      <c r="AA53" s="78" t="s">
        <v>76</v>
      </c>
      <c r="AB53" s="78" t="s">
        <v>161</v>
      </c>
    </row>
    <row r="54" spans="1:28" x14ac:dyDescent="0.15">
      <c r="A54" s="78" t="s">
        <v>23</v>
      </c>
      <c r="B54" s="78" t="s">
        <v>160</v>
      </c>
      <c r="C54" s="78">
        <v>2020</v>
      </c>
      <c r="D54" s="176" t="s">
        <v>373</v>
      </c>
      <c r="E54" s="78" t="s">
        <v>367</v>
      </c>
      <c r="F54" s="78" t="s">
        <v>353</v>
      </c>
      <c r="G54" s="78" t="s">
        <v>31</v>
      </c>
      <c r="H54" s="78" t="s">
        <v>113</v>
      </c>
      <c r="I54" s="78" t="s">
        <v>111</v>
      </c>
      <c r="J54" s="78" t="s">
        <v>27</v>
      </c>
      <c r="K54" s="78" t="s">
        <v>112</v>
      </c>
      <c r="L54" s="78">
        <v>2</v>
      </c>
      <c r="N54" s="78">
        <v>1</v>
      </c>
      <c r="O54" s="78">
        <v>0.2</v>
      </c>
      <c r="P54" s="78">
        <v>0.2</v>
      </c>
      <c r="Q54" s="44">
        <f t="shared" si="0"/>
        <v>0.2</v>
      </c>
      <c r="R54" s="78">
        <v>15.8</v>
      </c>
      <c r="S54" s="78">
        <v>123.5</v>
      </c>
      <c r="T54" s="16">
        <f t="shared" si="1"/>
        <v>30</v>
      </c>
      <c r="U54" s="78">
        <v>100</v>
      </c>
      <c r="V54" s="16">
        <f t="shared" si="2"/>
        <v>3000</v>
      </c>
      <c r="W54" s="78">
        <v>10</v>
      </c>
      <c r="X54" s="78" t="s">
        <v>35</v>
      </c>
      <c r="Y54" s="78" t="s">
        <v>43</v>
      </c>
      <c r="Z54" s="78" t="s">
        <v>55</v>
      </c>
      <c r="AA54" s="78" t="s">
        <v>76</v>
      </c>
      <c r="AB54" s="78" t="s">
        <v>161</v>
      </c>
    </row>
    <row r="55" spans="1:28" x14ac:dyDescent="0.15">
      <c r="A55" s="78" t="s">
        <v>23</v>
      </c>
      <c r="B55" s="78" t="s">
        <v>160</v>
      </c>
      <c r="C55" s="78">
        <v>2020</v>
      </c>
      <c r="D55" s="176" t="s">
        <v>373</v>
      </c>
      <c r="E55" s="78" t="s">
        <v>367</v>
      </c>
      <c r="F55" s="78" t="s">
        <v>353</v>
      </c>
      <c r="G55" s="78" t="s">
        <v>31</v>
      </c>
      <c r="H55" s="78" t="s">
        <v>113</v>
      </c>
      <c r="I55" s="78" t="s">
        <v>111</v>
      </c>
      <c r="J55" s="78" t="s">
        <v>27</v>
      </c>
      <c r="K55" s="78" t="s">
        <v>112</v>
      </c>
      <c r="L55" s="78">
        <v>3</v>
      </c>
      <c r="N55" s="78">
        <v>1</v>
      </c>
      <c r="O55" s="78">
        <v>0.5</v>
      </c>
      <c r="P55" s="78">
        <v>0.55000000000000004</v>
      </c>
      <c r="Q55" s="44">
        <f t="shared" si="0"/>
        <v>0.52500000000000002</v>
      </c>
      <c r="R55" s="78">
        <v>15.4</v>
      </c>
      <c r="S55" s="78">
        <v>126</v>
      </c>
      <c r="T55" s="16">
        <f t="shared" si="1"/>
        <v>30</v>
      </c>
      <c r="U55" s="78">
        <v>100</v>
      </c>
      <c r="V55" s="16">
        <f t="shared" si="2"/>
        <v>3000</v>
      </c>
      <c r="W55" s="78">
        <v>10</v>
      </c>
      <c r="X55" s="78" t="s">
        <v>35</v>
      </c>
      <c r="Y55" s="78" t="s">
        <v>43</v>
      </c>
      <c r="Z55" s="78" t="s">
        <v>55</v>
      </c>
      <c r="AA55" s="78" t="s">
        <v>76</v>
      </c>
      <c r="AB55" s="78" t="s">
        <v>161</v>
      </c>
    </row>
    <row r="56" spans="1:28" x14ac:dyDescent="0.15">
      <c r="A56" s="78" t="s">
        <v>23</v>
      </c>
      <c r="B56" s="78" t="s">
        <v>160</v>
      </c>
      <c r="C56" s="78">
        <v>2020</v>
      </c>
      <c r="D56" s="176" t="s">
        <v>373</v>
      </c>
      <c r="E56" s="78" t="s">
        <v>367</v>
      </c>
      <c r="F56" s="78" t="s">
        <v>353</v>
      </c>
      <c r="G56" s="78" t="s">
        <v>31</v>
      </c>
      <c r="H56" s="78" t="s">
        <v>113</v>
      </c>
      <c r="I56" s="78" t="s">
        <v>111</v>
      </c>
      <c r="J56" s="78" t="s">
        <v>27</v>
      </c>
      <c r="K56" s="78" t="s">
        <v>112</v>
      </c>
      <c r="L56" s="78">
        <v>1</v>
      </c>
      <c r="N56" s="78">
        <v>5</v>
      </c>
      <c r="O56" s="78">
        <v>0.7</v>
      </c>
      <c r="P56" s="78">
        <v>0.7</v>
      </c>
      <c r="Q56" s="44">
        <f t="shared" si="0"/>
        <v>0.7</v>
      </c>
      <c r="R56" s="78">
        <v>15.2</v>
      </c>
      <c r="S56" s="78">
        <v>106.5</v>
      </c>
      <c r="T56" s="16">
        <f t="shared" si="1"/>
        <v>33</v>
      </c>
      <c r="U56" s="78">
        <v>398</v>
      </c>
      <c r="V56" s="16">
        <f t="shared" si="2"/>
        <v>2626.7999999999997</v>
      </c>
      <c r="W56" s="78">
        <v>10</v>
      </c>
      <c r="X56" s="78" t="s">
        <v>35</v>
      </c>
      <c r="Y56" s="78" t="s">
        <v>43</v>
      </c>
      <c r="Z56" s="78" t="s">
        <v>55</v>
      </c>
      <c r="AA56" s="78" t="s">
        <v>76</v>
      </c>
      <c r="AB56" s="78" t="s">
        <v>161</v>
      </c>
    </row>
    <row r="57" spans="1:28" x14ac:dyDescent="0.15">
      <c r="A57" s="78" t="s">
        <v>23</v>
      </c>
      <c r="B57" s="78" t="s">
        <v>160</v>
      </c>
      <c r="C57" s="78">
        <v>2020</v>
      </c>
      <c r="D57" s="176" t="s">
        <v>373</v>
      </c>
      <c r="E57" s="78" t="s">
        <v>367</v>
      </c>
      <c r="F57" s="78" t="s">
        <v>353</v>
      </c>
      <c r="G57" s="78" t="s">
        <v>31</v>
      </c>
      <c r="H57" s="78" t="s">
        <v>113</v>
      </c>
      <c r="I57" s="78" t="s">
        <v>111</v>
      </c>
      <c r="J57" s="78" t="s">
        <v>27</v>
      </c>
      <c r="K57" s="78" t="s">
        <v>112</v>
      </c>
      <c r="L57" s="78">
        <v>2</v>
      </c>
      <c r="N57" s="78">
        <v>5</v>
      </c>
      <c r="O57" s="78">
        <v>0.75</v>
      </c>
      <c r="P57" s="78">
        <v>0.65</v>
      </c>
      <c r="Q57" s="44">
        <f t="shared" si="0"/>
        <v>0.7</v>
      </c>
      <c r="R57" s="78">
        <v>12.7</v>
      </c>
      <c r="S57" s="78">
        <v>97.5</v>
      </c>
      <c r="T57" s="16">
        <f t="shared" si="1"/>
        <v>36</v>
      </c>
      <c r="U57" s="78">
        <v>398</v>
      </c>
      <c r="V57" s="16">
        <f t="shared" si="2"/>
        <v>2865.6</v>
      </c>
      <c r="W57" s="78">
        <v>10</v>
      </c>
      <c r="X57" s="78" t="s">
        <v>35</v>
      </c>
      <c r="Y57" s="78" t="s">
        <v>43</v>
      </c>
      <c r="Z57" s="78" t="s">
        <v>55</v>
      </c>
      <c r="AA57" s="78" t="s">
        <v>76</v>
      </c>
      <c r="AB57" s="78" t="s">
        <v>161</v>
      </c>
    </row>
    <row r="58" spans="1:28" x14ac:dyDescent="0.15">
      <c r="A58" s="78" t="s">
        <v>23</v>
      </c>
      <c r="B58" s="78" t="s">
        <v>160</v>
      </c>
      <c r="C58" s="78">
        <v>2020</v>
      </c>
      <c r="D58" s="176" t="s">
        <v>373</v>
      </c>
      <c r="E58" s="78" t="s">
        <v>367</v>
      </c>
      <c r="F58" s="78" t="s">
        <v>353</v>
      </c>
      <c r="G58" s="78" t="s">
        <v>31</v>
      </c>
      <c r="H58" s="78" t="s">
        <v>113</v>
      </c>
      <c r="I58" s="78" t="s">
        <v>111</v>
      </c>
      <c r="J58" s="78" t="s">
        <v>27</v>
      </c>
      <c r="K58" s="78" t="s">
        <v>112</v>
      </c>
      <c r="L58" s="78">
        <v>3</v>
      </c>
      <c r="N58" s="78">
        <v>5</v>
      </c>
      <c r="O58" s="78">
        <v>0.6</v>
      </c>
      <c r="P58" s="78">
        <v>0.65</v>
      </c>
      <c r="Q58" s="44">
        <f t="shared" si="0"/>
        <v>0.625</v>
      </c>
      <c r="R58" s="78">
        <v>12.7</v>
      </c>
      <c r="S58" s="78">
        <v>95</v>
      </c>
      <c r="T58" s="16">
        <f t="shared" si="1"/>
        <v>36</v>
      </c>
      <c r="U58" s="78">
        <v>398</v>
      </c>
      <c r="V58" s="16">
        <f t="shared" si="2"/>
        <v>2865.6</v>
      </c>
      <c r="W58" s="78">
        <v>10</v>
      </c>
      <c r="X58" s="78" t="s">
        <v>35</v>
      </c>
      <c r="Y58" s="78" t="s">
        <v>43</v>
      </c>
      <c r="Z58" s="78" t="s">
        <v>55</v>
      </c>
      <c r="AA58" s="78" t="s">
        <v>76</v>
      </c>
      <c r="AB58" s="78" t="s">
        <v>161</v>
      </c>
    </row>
    <row r="59" spans="1:28" x14ac:dyDescent="0.15">
      <c r="A59" s="78" t="s">
        <v>23</v>
      </c>
      <c r="B59" s="78" t="s">
        <v>160</v>
      </c>
      <c r="C59" s="78">
        <v>2020</v>
      </c>
      <c r="D59" s="176" t="s">
        <v>373</v>
      </c>
      <c r="E59" s="78" t="s">
        <v>367</v>
      </c>
      <c r="F59" s="78" t="s">
        <v>353</v>
      </c>
      <c r="G59" s="78" t="s">
        <v>31</v>
      </c>
      <c r="H59" s="78" t="s">
        <v>167</v>
      </c>
      <c r="I59" s="78" t="s">
        <v>111</v>
      </c>
      <c r="J59" s="78" t="s">
        <v>27</v>
      </c>
      <c r="K59" s="78" t="s">
        <v>112</v>
      </c>
      <c r="L59" s="78">
        <v>1</v>
      </c>
      <c r="N59" s="78">
        <v>1</v>
      </c>
      <c r="O59" s="78">
        <v>0.6</v>
      </c>
      <c r="P59" s="78">
        <v>0.7</v>
      </c>
      <c r="Q59" s="44">
        <f t="shared" si="0"/>
        <v>0.64999999999999991</v>
      </c>
      <c r="R59" s="78">
        <v>18.7</v>
      </c>
      <c r="S59" s="78">
        <v>129.5</v>
      </c>
      <c r="T59" s="16">
        <f t="shared" si="1"/>
        <v>30</v>
      </c>
      <c r="U59" s="78">
        <v>100</v>
      </c>
      <c r="V59" s="16">
        <f t="shared" si="2"/>
        <v>3000</v>
      </c>
      <c r="W59" s="78">
        <v>10</v>
      </c>
      <c r="X59" s="78" t="s">
        <v>35</v>
      </c>
      <c r="Y59" s="78" t="s">
        <v>43</v>
      </c>
      <c r="Z59" s="78" t="s">
        <v>55</v>
      </c>
      <c r="AA59" s="78" t="s">
        <v>76</v>
      </c>
      <c r="AB59" s="78" t="s">
        <v>161</v>
      </c>
    </row>
    <row r="60" spans="1:28" x14ac:dyDescent="0.15">
      <c r="A60" s="78" t="s">
        <v>23</v>
      </c>
      <c r="B60" s="78" t="s">
        <v>160</v>
      </c>
      <c r="C60" s="78">
        <v>2020</v>
      </c>
      <c r="D60" s="176" t="s">
        <v>373</v>
      </c>
      <c r="E60" s="78" t="s">
        <v>367</v>
      </c>
      <c r="F60" s="78" t="s">
        <v>353</v>
      </c>
      <c r="G60" s="78" t="s">
        <v>31</v>
      </c>
      <c r="H60" s="78" t="s">
        <v>167</v>
      </c>
      <c r="I60" s="78" t="s">
        <v>111</v>
      </c>
      <c r="J60" s="78" t="s">
        <v>27</v>
      </c>
      <c r="K60" s="78" t="s">
        <v>112</v>
      </c>
      <c r="L60" s="78">
        <v>2</v>
      </c>
      <c r="N60" s="78">
        <v>1</v>
      </c>
      <c r="O60" s="78">
        <v>0.2</v>
      </c>
      <c r="P60" s="78">
        <v>0.45</v>
      </c>
      <c r="Q60" s="44">
        <f t="shared" si="0"/>
        <v>0.32500000000000001</v>
      </c>
      <c r="R60" s="78">
        <v>16.600000000000001</v>
      </c>
      <c r="S60" s="78">
        <v>127</v>
      </c>
      <c r="T60" s="16">
        <f t="shared" si="1"/>
        <v>30</v>
      </c>
      <c r="U60" s="78">
        <v>100</v>
      </c>
      <c r="V60" s="16">
        <f t="shared" si="2"/>
        <v>3000</v>
      </c>
      <c r="W60" s="78">
        <v>10</v>
      </c>
      <c r="X60" s="78" t="s">
        <v>35</v>
      </c>
      <c r="Y60" s="78" t="s">
        <v>43</v>
      </c>
      <c r="Z60" s="78" t="s">
        <v>55</v>
      </c>
      <c r="AA60" s="78" t="s">
        <v>76</v>
      </c>
      <c r="AB60" s="78" t="s">
        <v>161</v>
      </c>
    </row>
    <row r="61" spans="1:28" x14ac:dyDescent="0.15">
      <c r="A61" s="78" t="s">
        <v>23</v>
      </c>
      <c r="B61" s="78" t="s">
        <v>160</v>
      </c>
      <c r="C61" s="78">
        <v>2020</v>
      </c>
      <c r="D61" s="176" t="s">
        <v>373</v>
      </c>
      <c r="E61" s="78" t="s">
        <v>367</v>
      </c>
      <c r="F61" s="78" t="s">
        <v>353</v>
      </c>
      <c r="G61" s="78" t="s">
        <v>31</v>
      </c>
      <c r="H61" s="78" t="s">
        <v>167</v>
      </c>
      <c r="I61" s="78" t="s">
        <v>111</v>
      </c>
      <c r="J61" s="78" t="s">
        <v>27</v>
      </c>
      <c r="K61" s="78" t="s">
        <v>112</v>
      </c>
      <c r="L61" s="78">
        <v>3</v>
      </c>
      <c r="N61" s="78">
        <v>1</v>
      </c>
      <c r="O61" s="78">
        <v>0.45</v>
      </c>
      <c r="P61" s="78">
        <v>0.45</v>
      </c>
      <c r="Q61" s="44">
        <f t="shared" si="0"/>
        <v>0.45</v>
      </c>
      <c r="R61" s="78">
        <v>15.9</v>
      </c>
      <c r="S61" s="78">
        <v>137.5</v>
      </c>
      <c r="T61" s="16">
        <f t="shared" si="1"/>
        <v>30</v>
      </c>
      <c r="U61" s="78">
        <v>100</v>
      </c>
      <c r="V61" s="16">
        <f t="shared" si="2"/>
        <v>3000</v>
      </c>
      <c r="W61" s="78">
        <v>10</v>
      </c>
      <c r="X61" s="78" t="s">
        <v>35</v>
      </c>
      <c r="Y61" s="78" t="s">
        <v>43</v>
      </c>
      <c r="Z61" s="78" t="s">
        <v>55</v>
      </c>
      <c r="AA61" s="78" t="s">
        <v>76</v>
      </c>
      <c r="AB61" s="78" t="s">
        <v>161</v>
      </c>
    </row>
    <row r="62" spans="1:28" x14ac:dyDescent="0.15">
      <c r="A62" s="78" t="s">
        <v>23</v>
      </c>
      <c r="B62" s="78" t="s">
        <v>160</v>
      </c>
      <c r="C62" s="78">
        <v>2020</v>
      </c>
      <c r="D62" s="176" t="s">
        <v>373</v>
      </c>
      <c r="E62" s="78" t="s">
        <v>367</v>
      </c>
      <c r="F62" s="78" t="s">
        <v>353</v>
      </c>
      <c r="G62" s="78" t="s">
        <v>31</v>
      </c>
      <c r="H62" s="78" t="s">
        <v>167</v>
      </c>
      <c r="I62" s="78" t="s">
        <v>111</v>
      </c>
      <c r="J62" s="78" t="s">
        <v>27</v>
      </c>
      <c r="K62" s="78" t="s">
        <v>112</v>
      </c>
      <c r="L62" s="78">
        <v>1</v>
      </c>
      <c r="N62" s="78">
        <v>4</v>
      </c>
      <c r="O62" s="78">
        <v>0.8</v>
      </c>
      <c r="P62" s="78">
        <v>0.45</v>
      </c>
      <c r="Q62" s="44">
        <f t="shared" si="0"/>
        <v>0.625</v>
      </c>
      <c r="R62" s="78">
        <v>15.6</v>
      </c>
      <c r="S62" s="78">
        <v>89</v>
      </c>
      <c r="T62" s="16">
        <f t="shared" si="1"/>
        <v>36</v>
      </c>
      <c r="U62" s="78">
        <v>398</v>
      </c>
      <c r="V62" s="16">
        <f t="shared" si="2"/>
        <v>3582</v>
      </c>
      <c r="W62" s="78">
        <v>10</v>
      </c>
      <c r="X62" s="78" t="s">
        <v>35</v>
      </c>
      <c r="Y62" s="78" t="s">
        <v>43</v>
      </c>
      <c r="Z62" s="78" t="s">
        <v>55</v>
      </c>
      <c r="AA62" s="78" t="s">
        <v>76</v>
      </c>
      <c r="AB62" s="78" t="s">
        <v>161</v>
      </c>
    </row>
    <row r="63" spans="1:28" x14ac:dyDescent="0.15">
      <c r="A63" s="78" t="s">
        <v>23</v>
      </c>
      <c r="B63" s="78" t="s">
        <v>160</v>
      </c>
      <c r="C63" s="78">
        <v>2020</v>
      </c>
      <c r="D63" s="176" t="s">
        <v>373</v>
      </c>
      <c r="E63" s="78" t="s">
        <v>367</v>
      </c>
      <c r="F63" s="78" t="s">
        <v>353</v>
      </c>
      <c r="G63" s="78" t="s">
        <v>31</v>
      </c>
      <c r="H63" s="78" t="s">
        <v>167</v>
      </c>
      <c r="I63" s="78" t="s">
        <v>111</v>
      </c>
      <c r="J63" s="78" t="s">
        <v>27</v>
      </c>
      <c r="K63" s="78" t="s">
        <v>112</v>
      </c>
      <c r="L63" s="78">
        <v>2</v>
      </c>
      <c r="N63" s="78">
        <v>4</v>
      </c>
      <c r="O63" s="78">
        <v>0.55000000000000004</v>
      </c>
      <c r="P63" s="78">
        <v>0.6</v>
      </c>
      <c r="Q63" s="44">
        <f t="shared" si="0"/>
        <v>0.57499999999999996</v>
      </c>
      <c r="R63" s="78">
        <v>15.5</v>
      </c>
      <c r="S63" s="78">
        <v>89.5</v>
      </c>
      <c r="T63" s="16">
        <f t="shared" si="1"/>
        <v>36</v>
      </c>
      <c r="U63" s="78">
        <v>398</v>
      </c>
      <c r="V63" s="16">
        <f t="shared" si="2"/>
        <v>3582</v>
      </c>
      <c r="W63" s="78">
        <v>10</v>
      </c>
      <c r="X63" s="78" t="s">
        <v>35</v>
      </c>
      <c r="Y63" s="78" t="s">
        <v>43</v>
      </c>
      <c r="Z63" s="78" t="s">
        <v>55</v>
      </c>
      <c r="AA63" s="78" t="s">
        <v>76</v>
      </c>
      <c r="AB63" s="78" t="s">
        <v>161</v>
      </c>
    </row>
    <row r="64" spans="1:28" x14ac:dyDescent="0.15">
      <c r="A64" s="78" t="s">
        <v>23</v>
      </c>
      <c r="B64" s="78" t="s">
        <v>160</v>
      </c>
      <c r="C64" s="78">
        <v>2020</v>
      </c>
      <c r="D64" s="176" t="s">
        <v>373</v>
      </c>
      <c r="E64" s="78" t="s">
        <v>367</v>
      </c>
      <c r="F64" s="78" t="s">
        <v>353</v>
      </c>
      <c r="G64" s="78" t="s">
        <v>31</v>
      </c>
      <c r="H64" s="78" t="s">
        <v>167</v>
      </c>
      <c r="I64" s="78" t="s">
        <v>111</v>
      </c>
      <c r="J64" s="78" t="s">
        <v>27</v>
      </c>
      <c r="K64" s="78" t="s">
        <v>112</v>
      </c>
      <c r="L64" s="78">
        <v>3</v>
      </c>
      <c r="N64" s="78">
        <v>4</v>
      </c>
      <c r="O64" s="78">
        <v>0.5</v>
      </c>
      <c r="P64" s="78">
        <v>0.55000000000000004</v>
      </c>
      <c r="Q64" s="44">
        <f t="shared" si="0"/>
        <v>0.52500000000000002</v>
      </c>
      <c r="R64" s="78">
        <v>15.3</v>
      </c>
      <c r="S64" s="78">
        <v>89.5</v>
      </c>
      <c r="T64" s="16">
        <f t="shared" si="1"/>
        <v>36</v>
      </c>
      <c r="U64" s="78">
        <v>398</v>
      </c>
      <c r="V64" s="16">
        <f t="shared" si="2"/>
        <v>3582</v>
      </c>
      <c r="W64" s="78">
        <v>10</v>
      </c>
      <c r="X64" s="78" t="s">
        <v>35</v>
      </c>
      <c r="Y64" s="78" t="s">
        <v>43</v>
      </c>
      <c r="Z64" s="78" t="s">
        <v>55</v>
      </c>
      <c r="AA64" s="78" t="s">
        <v>76</v>
      </c>
      <c r="AB64" s="78" t="s">
        <v>161</v>
      </c>
    </row>
    <row r="65" spans="1:28" x14ac:dyDescent="0.15">
      <c r="A65" s="78" t="s">
        <v>23</v>
      </c>
      <c r="B65" s="78" t="s">
        <v>160</v>
      </c>
      <c r="C65" s="78">
        <v>2020</v>
      </c>
      <c r="D65" s="176" t="s">
        <v>373</v>
      </c>
      <c r="E65" s="78" t="s">
        <v>368</v>
      </c>
      <c r="F65" s="78" t="s">
        <v>355</v>
      </c>
      <c r="G65" s="78" t="s">
        <v>25</v>
      </c>
      <c r="H65" s="78" t="s">
        <v>113</v>
      </c>
      <c r="I65" s="78" t="s">
        <v>111</v>
      </c>
      <c r="J65" s="78" t="s">
        <v>27</v>
      </c>
      <c r="K65" s="78" t="s">
        <v>112</v>
      </c>
      <c r="L65" s="78">
        <v>1</v>
      </c>
      <c r="N65" s="78">
        <v>1</v>
      </c>
      <c r="O65" s="78">
        <v>0.5</v>
      </c>
      <c r="P65" s="78">
        <v>0.5</v>
      </c>
      <c r="Q65" s="44">
        <f t="shared" si="0"/>
        <v>0.5</v>
      </c>
      <c r="R65" s="78">
        <v>15.1</v>
      </c>
      <c r="S65" s="78">
        <v>115.5</v>
      </c>
      <c r="T65" s="16">
        <f t="shared" si="1"/>
        <v>30</v>
      </c>
      <c r="U65" s="78">
        <v>88</v>
      </c>
      <c r="V65" s="16">
        <f t="shared" si="2"/>
        <v>2640</v>
      </c>
      <c r="W65" s="78">
        <v>10</v>
      </c>
      <c r="X65" s="78" t="s">
        <v>35</v>
      </c>
      <c r="Y65" s="78" t="s">
        <v>43</v>
      </c>
      <c r="Z65" s="78" t="s">
        <v>55</v>
      </c>
      <c r="AA65" s="78" t="s">
        <v>64</v>
      </c>
      <c r="AB65" s="78" t="s">
        <v>161</v>
      </c>
    </row>
    <row r="66" spans="1:28" x14ac:dyDescent="0.15">
      <c r="A66" s="78" t="s">
        <v>23</v>
      </c>
      <c r="B66" s="78" t="s">
        <v>160</v>
      </c>
      <c r="C66" s="78">
        <v>2020</v>
      </c>
      <c r="D66" s="176" t="s">
        <v>373</v>
      </c>
      <c r="E66" s="78" t="s">
        <v>368</v>
      </c>
      <c r="F66" s="78" t="s">
        <v>355</v>
      </c>
      <c r="G66" s="78" t="s">
        <v>25</v>
      </c>
      <c r="H66" s="78" t="s">
        <v>113</v>
      </c>
      <c r="I66" s="78" t="s">
        <v>111</v>
      </c>
      <c r="J66" s="78" t="s">
        <v>27</v>
      </c>
      <c r="K66" s="78" t="s">
        <v>112</v>
      </c>
      <c r="L66" s="78">
        <v>2</v>
      </c>
      <c r="N66" s="78">
        <v>1</v>
      </c>
      <c r="O66" s="78">
        <v>0.55000000000000004</v>
      </c>
      <c r="P66" s="78">
        <v>0.5</v>
      </c>
      <c r="Q66" s="44">
        <f t="shared" si="0"/>
        <v>0.52500000000000002</v>
      </c>
      <c r="R66" s="78">
        <v>15.4</v>
      </c>
      <c r="S66" s="78">
        <v>105.5</v>
      </c>
      <c r="T66" s="16">
        <f t="shared" si="1"/>
        <v>33</v>
      </c>
      <c r="U66" s="78">
        <v>88</v>
      </c>
      <c r="V66" s="16">
        <f t="shared" si="2"/>
        <v>2904</v>
      </c>
      <c r="W66" s="78">
        <v>10</v>
      </c>
      <c r="X66" s="78" t="s">
        <v>35</v>
      </c>
      <c r="Y66" s="78" t="s">
        <v>43</v>
      </c>
      <c r="Z66" s="78" t="s">
        <v>55</v>
      </c>
      <c r="AA66" s="78" t="s">
        <v>64</v>
      </c>
      <c r="AB66" s="78" t="s">
        <v>161</v>
      </c>
    </row>
    <row r="67" spans="1:28" x14ac:dyDescent="0.15">
      <c r="A67" s="78" t="s">
        <v>23</v>
      </c>
      <c r="B67" s="78" t="s">
        <v>160</v>
      </c>
      <c r="C67" s="78">
        <v>2020</v>
      </c>
      <c r="D67" s="176" t="s">
        <v>373</v>
      </c>
      <c r="E67" s="78" t="s">
        <v>368</v>
      </c>
      <c r="F67" s="78" t="s">
        <v>355</v>
      </c>
      <c r="G67" s="78" t="s">
        <v>25</v>
      </c>
      <c r="H67" s="78" t="s">
        <v>113</v>
      </c>
      <c r="I67" s="78" t="s">
        <v>111</v>
      </c>
      <c r="J67" s="78" t="s">
        <v>27</v>
      </c>
      <c r="K67" s="78" t="s">
        <v>112</v>
      </c>
      <c r="L67" s="78">
        <v>3</v>
      </c>
      <c r="N67" s="78">
        <v>1</v>
      </c>
      <c r="O67" s="78">
        <v>0.5</v>
      </c>
      <c r="P67" s="78">
        <v>0.2</v>
      </c>
      <c r="Q67" s="44">
        <f t="shared" si="0"/>
        <v>0.35</v>
      </c>
      <c r="R67" s="78">
        <v>15.3</v>
      </c>
      <c r="S67" s="78">
        <v>119.5</v>
      </c>
      <c r="T67" s="16">
        <f t="shared" si="1"/>
        <v>30</v>
      </c>
      <c r="U67" s="78">
        <v>88</v>
      </c>
      <c r="V67" s="16">
        <f t="shared" si="2"/>
        <v>2640</v>
      </c>
      <c r="W67" s="78">
        <v>10</v>
      </c>
      <c r="X67" s="78" t="s">
        <v>35</v>
      </c>
      <c r="Y67" s="78" t="s">
        <v>43</v>
      </c>
      <c r="Z67" s="78" t="s">
        <v>55</v>
      </c>
      <c r="AA67" s="78" t="s">
        <v>64</v>
      </c>
      <c r="AB67" s="78" t="s">
        <v>161</v>
      </c>
    </row>
    <row r="68" spans="1:28" x14ac:dyDescent="0.15">
      <c r="A68" s="78" t="s">
        <v>23</v>
      </c>
      <c r="B68" s="78" t="s">
        <v>160</v>
      </c>
      <c r="C68" s="78">
        <v>2020</v>
      </c>
      <c r="D68" s="176" t="s">
        <v>373</v>
      </c>
      <c r="E68" s="78" t="s">
        <v>368</v>
      </c>
      <c r="F68" s="78" t="s">
        <v>355</v>
      </c>
      <c r="G68" s="78" t="s">
        <v>25</v>
      </c>
      <c r="H68" s="78" t="s">
        <v>113</v>
      </c>
      <c r="I68" s="78" t="s">
        <v>111</v>
      </c>
      <c r="J68" s="78" t="s">
        <v>27</v>
      </c>
      <c r="K68" s="78" t="s">
        <v>112</v>
      </c>
      <c r="L68" s="78">
        <v>1</v>
      </c>
      <c r="N68" s="78">
        <v>4</v>
      </c>
      <c r="O68" s="78">
        <v>0.5</v>
      </c>
      <c r="P68" s="78">
        <v>0.6</v>
      </c>
      <c r="Q68" s="44">
        <f t="shared" si="0"/>
        <v>0.55000000000000004</v>
      </c>
      <c r="R68" s="78">
        <v>15.5</v>
      </c>
      <c r="S68" s="78">
        <v>90</v>
      </c>
      <c r="T68" s="16">
        <f t="shared" si="1"/>
        <v>36</v>
      </c>
      <c r="U68" s="78">
        <v>398</v>
      </c>
      <c r="V68" s="16">
        <f t="shared" si="2"/>
        <v>3582</v>
      </c>
      <c r="W68" s="78">
        <v>10</v>
      </c>
      <c r="X68" s="78" t="s">
        <v>35</v>
      </c>
      <c r="Y68" s="78" t="s">
        <v>43</v>
      </c>
      <c r="Z68" s="78" t="s">
        <v>55</v>
      </c>
      <c r="AA68" s="78" t="s">
        <v>64</v>
      </c>
      <c r="AB68" s="78" t="s">
        <v>161</v>
      </c>
    </row>
    <row r="69" spans="1:28" x14ac:dyDescent="0.15">
      <c r="A69" s="78" t="s">
        <v>23</v>
      </c>
      <c r="B69" s="78" t="s">
        <v>160</v>
      </c>
      <c r="C69" s="78">
        <v>2020</v>
      </c>
      <c r="D69" s="176" t="s">
        <v>373</v>
      </c>
      <c r="E69" s="78" t="s">
        <v>368</v>
      </c>
      <c r="F69" s="78" t="s">
        <v>355</v>
      </c>
      <c r="G69" s="78" t="s">
        <v>25</v>
      </c>
      <c r="H69" s="78" t="s">
        <v>113</v>
      </c>
      <c r="I69" s="78" t="s">
        <v>111</v>
      </c>
      <c r="J69" s="78" t="s">
        <v>27</v>
      </c>
      <c r="K69" s="78" t="s">
        <v>112</v>
      </c>
      <c r="L69" s="78">
        <v>2</v>
      </c>
      <c r="N69" s="78">
        <v>4</v>
      </c>
      <c r="O69" s="78">
        <v>0.65</v>
      </c>
      <c r="P69" s="78">
        <v>0.7</v>
      </c>
      <c r="Q69" s="44">
        <f t="shared" si="0"/>
        <v>0.67500000000000004</v>
      </c>
      <c r="R69" s="78">
        <v>15.2</v>
      </c>
      <c r="S69" s="78">
        <v>85.5</v>
      </c>
      <c r="T69" s="16">
        <f t="shared" si="1"/>
        <v>36</v>
      </c>
      <c r="U69" s="78">
        <v>398</v>
      </c>
      <c r="V69" s="16">
        <f t="shared" si="2"/>
        <v>3582</v>
      </c>
      <c r="W69" s="78">
        <v>10</v>
      </c>
      <c r="X69" s="78" t="s">
        <v>35</v>
      </c>
      <c r="Y69" s="78" t="s">
        <v>43</v>
      </c>
      <c r="Z69" s="78" t="s">
        <v>55</v>
      </c>
      <c r="AA69" s="78" t="s">
        <v>64</v>
      </c>
      <c r="AB69" s="78" t="s">
        <v>161</v>
      </c>
    </row>
    <row r="70" spans="1:28" x14ac:dyDescent="0.15">
      <c r="A70" s="78" t="s">
        <v>23</v>
      </c>
      <c r="B70" s="78" t="s">
        <v>160</v>
      </c>
      <c r="C70" s="78">
        <v>2020</v>
      </c>
      <c r="D70" s="176" t="s">
        <v>373</v>
      </c>
      <c r="E70" s="78" t="s">
        <v>368</v>
      </c>
      <c r="F70" s="78" t="s">
        <v>355</v>
      </c>
      <c r="G70" s="78" t="s">
        <v>25</v>
      </c>
      <c r="H70" s="78" t="s">
        <v>113</v>
      </c>
      <c r="I70" s="78" t="s">
        <v>111</v>
      </c>
      <c r="J70" s="78" t="s">
        <v>27</v>
      </c>
      <c r="K70" s="78" t="s">
        <v>112</v>
      </c>
      <c r="L70" s="78">
        <v>3</v>
      </c>
      <c r="N70" s="78">
        <v>4</v>
      </c>
      <c r="O70" s="78">
        <v>0.75</v>
      </c>
      <c r="P70" s="78">
        <v>0.5</v>
      </c>
      <c r="Q70" s="44">
        <f t="shared" si="0"/>
        <v>0.625</v>
      </c>
      <c r="R70" s="78">
        <v>13.9</v>
      </c>
      <c r="S70" s="78">
        <v>83.5</v>
      </c>
      <c r="T70" s="16">
        <f t="shared" si="1"/>
        <v>39</v>
      </c>
      <c r="U70" s="78">
        <v>398</v>
      </c>
      <c r="V70" s="16">
        <f t="shared" si="2"/>
        <v>3880.5</v>
      </c>
      <c r="W70" s="78">
        <v>10</v>
      </c>
      <c r="X70" s="78" t="s">
        <v>35</v>
      </c>
      <c r="Y70" s="78" t="s">
        <v>43</v>
      </c>
      <c r="Z70" s="78" t="s">
        <v>55</v>
      </c>
      <c r="AA70" s="78" t="s">
        <v>64</v>
      </c>
      <c r="AB70" s="78" t="s">
        <v>161</v>
      </c>
    </row>
    <row r="71" spans="1:28" x14ac:dyDescent="0.15">
      <c r="A71" s="78" t="s">
        <v>23</v>
      </c>
      <c r="B71" s="78" t="s">
        <v>160</v>
      </c>
      <c r="C71" s="78">
        <v>2020</v>
      </c>
      <c r="D71" s="176" t="s">
        <v>373</v>
      </c>
      <c r="E71" s="78" t="s">
        <v>368</v>
      </c>
      <c r="F71" s="78" t="s">
        <v>355</v>
      </c>
      <c r="G71" s="78" t="s">
        <v>25</v>
      </c>
      <c r="H71" s="78" t="s">
        <v>113</v>
      </c>
      <c r="I71" s="78" t="s">
        <v>111</v>
      </c>
      <c r="J71" s="78" t="s">
        <v>27</v>
      </c>
      <c r="K71" s="78" t="s">
        <v>112</v>
      </c>
      <c r="L71" s="78">
        <v>1</v>
      </c>
      <c r="N71" s="78">
        <v>8</v>
      </c>
      <c r="O71" s="78">
        <v>0.75</v>
      </c>
      <c r="P71" s="78">
        <v>0.6</v>
      </c>
      <c r="Q71" s="44">
        <f t="shared" si="0"/>
        <v>0.67500000000000004</v>
      </c>
      <c r="R71" s="78">
        <v>15.6</v>
      </c>
      <c r="S71" s="78">
        <v>122</v>
      </c>
      <c r="T71" s="16">
        <f>IF(H71="","",IF(OR(H71="GREEN",H71="GK"),IF(S71&gt;=$AX$2,VLOOKUP(S71,$AX$2:$AY$9,2,1),""),IF(S71&gt;=$AZ$2,VLOOKUP(S71,$AZ$2:$BA$9,2,1),"")))</f>
        <v>30</v>
      </c>
      <c r="U71" s="78">
        <v>698</v>
      </c>
      <c r="V71" s="16">
        <f t="shared" si="2"/>
        <v>2617.5</v>
      </c>
      <c r="W71" s="78">
        <v>10</v>
      </c>
      <c r="X71" s="78" t="s">
        <v>35</v>
      </c>
      <c r="Y71" s="78" t="s">
        <v>43</v>
      </c>
      <c r="Z71" s="78" t="s">
        <v>55</v>
      </c>
      <c r="AA71" s="78" t="s">
        <v>64</v>
      </c>
      <c r="AB71" s="78" t="s">
        <v>161</v>
      </c>
    </row>
    <row r="72" spans="1:28" x14ac:dyDescent="0.15">
      <c r="A72" s="78" t="s">
        <v>23</v>
      </c>
      <c r="B72" s="78" t="s">
        <v>160</v>
      </c>
      <c r="C72" s="78">
        <v>2020</v>
      </c>
      <c r="D72" s="176" t="s">
        <v>373</v>
      </c>
      <c r="E72" s="78" t="s">
        <v>368</v>
      </c>
      <c r="F72" s="78" t="s">
        <v>355</v>
      </c>
      <c r="G72" s="78" t="s">
        <v>25</v>
      </c>
      <c r="H72" s="78" t="s">
        <v>113</v>
      </c>
      <c r="I72" s="78" t="s">
        <v>111</v>
      </c>
      <c r="J72" s="78" t="s">
        <v>27</v>
      </c>
      <c r="K72" s="78" t="s">
        <v>112</v>
      </c>
      <c r="L72" s="78">
        <v>2</v>
      </c>
      <c r="N72" s="78">
        <v>8</v>
      </c>
      <c r="O72" s="78">
        <v>0.6</v>
      </c>
      <c r="P72" s="78">
        <v>0.45</v>
      </c>
      <c r="Q72" s="44">
        <f t="shared" si="0"/>
        <v>0.52500000000000002</v>
      </c>
      <c r="R72" s="78">
        <v>16</v>
      </c>
      <c r="S72" s="78">
        <v>116.5</v>
      </c>
      <c r="T72" s="16">
        <f t="shared" ref="T72:T73" si="6">IF(H72="","",IF(OR(H72="GREEN",H72="GK"),IF(S72&gt;=$AX$2,VLOOKUP(S72,$AX$2:$AY$9,2,1),""),IF(S72&gt;=$AZ$2,VLOOKUP(S72,$AZ$2:$BA$9,2,1),"")))</f>
        <v>30</v>
      </c>
      <c r="U72" s="78">
        <v>698</v>
      </c>
      <c r="V72" s="16">
        <f t="shared" si="2"/>
        <v>2617.5</v>
      </c>
      <c r="W72" s="78">
        <v>10</v>
      </c>
      <c r="X72" s="78" t="s">
        <v>35</v>
      </c>
      <c r="Y72" s="78" t="s">
        <v>43</v>
      </c>
      <c r="Z72" s="78" t="s">
        <v>55</v>
      </c>
      <c r="AA72" s="78" t="s">
        <v>64</v>
      </c>
      <c r="AB72" s="78" t="s">
        <v>161</v>
      </c>
    </row>
    <row r="73" spans="1:28" x14ac:dyDescent="0.15">
      <c r="A73" s="78" t="s">
        <v>23</v>
      </c>
      <c r="B73" s="78" t="s">
        <v>160</v>
      </c>
      <c r="C73" s="78">
        <v>2020</v>
      </c>
      <c r="D73" s="176" t="s">
        <v>373</v>
      </c>
      <c r="E73" s="78" t="s">
        <v>368</v>
      </c>
      <c r="F73" s="78" t="s">
        <v>355</v>
      </c>
      <c r="G73" s="78" t="s">
        <v>25</v>
      </c>
      <c r="H73" s="78" t="s">
        <v>113</v>
      </c>
      <c r="I73" s="78" t="s">
        <v>111</v>
      </c>
      <c r="J73" s="78" t="s">
        <v>27</v>
      </c>
      <c r="K73" s="78" t="s">
        <v>112</v>
      </c>
      <c r="L73" s="78">
        <v>3</v>
      </c>
      <c r="N73" s="78">
        <v>8</v>
      </c>
      <c r="O73" s="78">
        <v>0.5</v>
      </c>
      <c r="P73" s="78">
        <v>0.45</v>
      </c>
      <c r="Q73" s="44">
        <f t="shared" si="0"/>
        <v>0.47499999999999998</v>
      </c>
      <c r="R73" s="78">
        <v>15.6</v>
      </c>
      <c r="S73" s="78">
        <v>99.5</v>
      </c>
      <c r="T73" s="16">
        <f t="shared" si="6"/>
        <v>33</v>
      </c>
      <c r="U73" s="78">
        <v>698</v>
      </c>
      <c r="V73" s="16">
        <f t="shared" si="2"/>
        <v>2879.25</v>
      </c>
      <c r="W73" s="78">
        <v>10</v>
      </c>
      <c r="X73" s="78" t="s">
        <v>35</v>
      </c>
      <c r="Y73" s="78" t="s">
        <v>43</v>
      </c>
      <c r="Z73" s="78" t="s">
        <v>55</v>
      </c>
      <c r="AA73" s="78" t="s">
        <v>64</v>
      </c>
      <c r="AB73" s="78" t="s">
        <v>161</v>
      </c>
    </row>
    <row r="74" spans="1:28" x14ac:dyDescent="0.15">
      <c r="A74" s="78" t="s">
        <v>23</v>
      </c>
      <c r="B74" s="78" t="s">
        <v>160</v>
      </c>
      <c r="C74" s="78">
        <v>2020</v>
      </c>
      <c r="D74" s="176" t="s">
        <v>373</v>
      </c>
      <c r="E74" s="78" t="s">
        <v>368</v>
      </c>
      <c r="F74" s="78" t="s">
        <v>355</v>
      </c>
      <c r="G74" s="78" t="s">
        <v>25</v>
      </c>
      <c r="H74" s="78" t="s">
        <v>167</v>
      </c>
      <c r="I74" s="78" t="s">
        <v>111</v>
      </c>
      <c r="J74" s="78" t="s">
        <v>27</v>
      </c>
      <c r="K74" s="78" t="s">
        <v>112</v>
      </c>
      <c r="L74" s="78">
        <v>1</v>
      </c>
      <c r="N74" s="78">
        <v>1</v>
      </c>
      <c r="O74" s="78">
        <v>0.7</v>
      </c>
      <c r="P74" s="78">
        <v>0.8</v>
      </c>
      <c r="Q74" s="44">
        <f t="shared" si="0"/>
        <v>0.75</v>
      </c>
      <c r="R74" s="78">
        <v>15.5</v>
      </c>
      <c r="S74" s="78">
        <v>119</v>
      </c>
      <c r="T74" s="16">
        <f t="shared" si="1"/>
        <v>30</v>
      </c>
      <c r="U74" s="78">
        <v>138</v>
      </c>
      <c r="V74" s="16">
        <f t="shared" si="2"/>
        <v>4140</v>
      </c>
      <c r="W74" s="78">
        <v>10</v>
      </c>
      <c r="X74" s="78" t="s">
        <v>35</v>
      </c>
      <c r="Y74" s="78" t="s">
        <v>43</v>
      </c>
      <c r="Z74" s="78" t="s">
        <v>55</v>
      </c>
      <c r="AA74" s="78" t="s">
        <v>64</v>
      </c>
      <c r="AB74" s="78" t="s">
        <v>161</v>
      </c>
    </row>
    <row r="75" spans="1:28" x14ac:dyDescent="0.15">
      <c r="A75" s="78" t="s">
        <v>23</v>
      </c>
      <c r="B75" s="78" t="s">
        <v>160</v>
      </c>
      <c r="C75" s="78">
        <v>2020</v>
      </c>
      <c r="D75" s="176" t="s">
        <v>373</v>
      </c>
      <c r="E75" s="78" t="s">
        <v>368</v>
      </c>
      <c r="F75" s="78" t="s">
        <v>355</v>
      </c>
      <c r="G75" s="78" t="s">
        <v>25</v>
      </c>
      <c r="H75" s="78" t="s">
        <v>167</v>
      </c>
      <c r="I75" s="78" t="s">
        <v>111</v>
      </c>
      <c r="J75" s="78" t="s">
        <v>27</v>
      </c>
      <c r="K75" s="78" t="s">
        <v>112</v>
      </c>
      <c r="L75" s="78">
        <v>2</v>
      </c>
      <c r="N75" s="78">
        <v>1</v>
      </c>
      <c r="O75" s="78">
        <v>0.7</v>
      </c>
      <c r="P75" s="78">
        <v>0.6</v>
      </c>
      <c r="Q75" s="44">
        <f t="shared" si="0"/>
        <v>0.64999999999999991</v>
      </c>
      <c r="R75" s="78">
        <v>16.399999999999999</v>
      </c>
      <c r="S75" s="78">
        <v>117</v>
      </c>
      <c r="T75" s="16">
        <f t="shared" si="1"/>
        <v>30</v>
      </c>
      <c r="U75" s="78">
        <v>138</v>
      </c>
      <c r="V75" s="16">
        <f t="shared" si="2"/>
        <v>4140</v>
      </c>
      <c r="W75" s="78">
        <v>10</v>
      </c>
      <c r="X75" s="78" t="s">
        <v>35</v>
      </c>
      <c r="Y75" s="78" t="s">
        <v>43</v>
      </c>
      <c r="Z75" s="78" t="s">
        <v>55</v>
      </c>
      <c r="AA75" s="78" t="s">
        <v>64</v>
      </c>
      <c r="AB75" s="78" t="s">
        <v>161</v>
      </c>
    </row>
    <row r="76" spans="1:28" x14ac:dyDescent="0.15">
      <c r="A76" s="78" t="s">
        <v>23</v>
      </c>
      <c r="B76" s="78" t="s">
        <v>160</v>
      </c>
      <c r="C76" s="78">
        <v>2020</v>
      </c>
      <c r="D76" s="176" t="s">
        <v>373</v>
      </c>
      <c r="E76" s="78" t="s">
        <v>368</v>
      </c>
      <c r="F76" s="78" t="s">
        <v>355</v>
      </c>
      <c r="G76" s="78" t="s">
        <v>25</v>
      </c>
      <c r="H76" s="78" t="s">
        <v>167</v>
      </c>
      <c r="I76" s="78" t="s">
        <v>111</v>
      </c>
      <c r="J76" s="78" t="s">
        <v>27</v>
      </c>
      <c r="K76" s="78" t="s">
        <v>112</v>
      </c>
      <c r="L76" s="78">
        <v>3</v>
      </c>
      <c r="N76" s="78">
        <v>1</v>
      </c>
      <c r="O76" s="78">
        <v>0.5</v>
      </c>
      <c r="P76" s="78">
        <v>0.55000000000000004</v>
      </c>
      <c r="Q76" s="44">
        <f t="shared" si="0"/>
        <v>0.52500000000000002</v>
      </c>
      <c r="R76" s="78">
        <v>16.2</v>
      </c>
      <c r="S76" s="78">
        <v>113.5</v>
      </c>
      <c r="T76" s="16">
        <f t="shared" si="1"/>
        <v>30</v>
      </c>
      <c r="U76" s="78">
        <v>138</v>
      </c>
      <c r="V76" s="16">
        <f t="shared" si="2"/>
        <v>4140</v>
      </c>
      <c r="W76" s="78">
        <v>10</v>
      </c>
      <c r="X76" s="78" t="s">
        <v>35</v>
      </c>
      <c r="Y76" s="78" t="s">
        <v>43</v>
      </c>
      <c r="Z76" s="78" t="s">
        <v>55</v>
      </c>
      <c r="AA76" s="78" t="s">
        <v>64</v>
      </c>
      <c r="AB76" s="78" t="s">
        <v>161</v>
      </c>
    </row>
    <row r="77" spans="1:28" x14ac:dyDescent="0.15">
      <c r="A77" s="78" t="s">
        <v>23</v>
      </c>
      <c r="B77" s="78" t="s">
        <v>160</v>
      </c>
      <c r="C77" s="78">
        <v>2020</v>
      </c>
      <c r="D77" s="176" t="s">
        <v>373</v>
      </c>
      <c r="E77" s="78" t="s">
        <v>368</v>
      </c>
      <c r="F77" s="78" t="s">
        <v>355</v>
      </c>
      <c r="G77" s="78" t="s">
        <v>25</v>
      </c>
      <c r="H77" s="78" t="s">
        <v>167</v>
      </c>
      <c r="I77" s="78" t="s">
        <v>111</v>
      </c>
      <c r="J77" s="78" t="s">
        <v>27</v>
      </c>
      <c r="K77" s="78" t="s">
        <v>112</v>
      </c>
      <c r="L77" s="78">
        <v>1</v>
      </c>
      <c r="N77" s="78">
        <v>4</v>
      </c>
      <c r="O77" s="78">
        <v>0.75</v>
      </c>
      <c r="P77" s="78">
        <v>0.9</v>
      </c>
      <c r="Q77" s="44">
        <f t="shared" si="0"/>
        <v>0.82499999999999996</v>
      </c>
      <c r="R77" s="78">
        <v>15.3</v>
      </c>
      <c r="S77" s="78">
        <v>99.5</v>
      </c>
      <c r="T77" s="16">
        <f t="shared" si="1"/>
        <v>33</v>
      </c>
      <c r="U77" s="78">
        <v>498</v>
      </c>
      <c r="V77" s="16">
        <f t="shared" si="2"/>
        <v>4108.5</v>
      </c>
      <c r="W77" s="78">
        <v>10</v>
      </c>
      <c r="X77" s="78" t="s">
        <v>35</v>
      </c>
      <c r="Y77" s="78" t="s">
        <v>43</v>
      </c>
      <c r="Z77" s="78" t="s">
        <v>55</v>
      </c>
      <c r="AA77" s="78" t="s">
        <v>64</v>
      </c>
      <c r="AB77" s="78" t="s">
        <v>161</v>
      </c>
    </row>
    <row r="78" spans="1:28" x14ac:dyDescent="0.15">
      <c r="A78" s="78" t="s">
        <v>23</v>
      </c>
      <c r="B78" s="78" t="s">
        <v>160</v>
      </c>
      <c r="C78" s="78">
        <v>2020</v>
      </c>
      <c r="D78" s="176" t="s">
        <v>373</v>
      </c>
      <c r="E78" s="78" t="s">
        <v>368</v>
      </c>
      <c r="F78" s="78" t="s">
        <v>355</v>
      </c>
      <c r="G78" s="78" t="s">
        <v>25</v>
      </c>
      <c r="H78" s="78" t="s">
        <v>167</v>
      </c>
      <c r="I78" s="78" t="s">
        <v>111</v>
      </c>
      <c r="J78" s="78" t="s">
        <v>27</v>
      </c>
      <c r="K78" s="78" t="s">
        <v>112</v>
      </c>
      <c r="L78" s="78">
        <v>2</v>
      </c>
      <c r="N78" s="78">
        <v>4</v>
      </c>
      <c r="O78" s="78">
        <v>0.9</v>
      </c>
      <c r="P78" s="78">
        <v>0.85</v>
      </c>
      <c r="Q78" s="44">
        <f t="shared" si="0"/>
        <v>0.875</v>
      </c>
      <c r="R78" s="78">
        <v>15.8</v>
      </c>
      <c r="S78" s="78">
        <v>97</v>
      </c>
      <c r="T78" s="16">
        <f t="shared" si="1"/>
        <v>36</v>
      </c>
      <c r="U78" s="78">
        <v>498</v>
      </c>
      <c r="V78" s="16">
        <f t="shared" si="2"/>
        <v>4482</v>
      </c>
      <c r="W78" s="78">
        <v>10</v>
      </c>
      <c r="X78" s="78" t="s">
        <v>35</v>
      </c>
      <c r="Y78" s="78" t="s">
        <v>43</v>
      </c>
      <c r="Z78" s="78" t="s">
        <v>55</v>
      </c>
      <c r="AA78" s="78" t="s">
        <v>64</v>
      </c>
      <c r="AB78" s="78" t="s">
        <v>161</v>
      </c>
    </row>
    <row r="79" spans="1:28" x14ac:dyDescent="0.15">
      <c r="A79" s="78" t="s">
        <v>23</v>
      </c>
      <c r="B79" s="78" t="s">
        <v>160</v>
      </c>
      <c r="C79" s="78">
        <v>2020</v>
      </c>
      <c r="D79" s="176" t="s">
        <v>373</v>
      </c>
      <c r="E79" s="78" t="s">
        <v>368</v>
      </c>
      <c r="F79" s="78" t="s">
        <v>355</v>
      </c>
      <c r="G79" s="78" t="s">
        <v>25</v>
      </c>
      <c r="H79" s="78" t="s">
        <v>167</v>
      </c>
      <c r="I79" s="78" t="s">
        <v>111</v>
      </c>
      <c r="J79" s="78" t="s">
        <v>27</v>
      </c>
      <c r="K79" s="78" t="s">
        <v>112</v>
      </c>
      <c r="L79" s="78">
        <v>3</v>
      </c>
      <c r="N79" s="78">
        <v>4</v>
      </c>
      <c r="O79" s="78">
        <v>0.8</v>
      </c>
      <c r="P79" s="78">
        <v>0.75</v>
      </c>
      <c r="Q79" s="44">
        <f t="shared" si="0"/>
        <v>0.77500000000000002</v>
      </c>
      <c r="R79" s="78">
        <v>16</v>
      </c>
      <c r="S79" s="78">
        <v>105</v>
      </c>
      <c r="T79" s="16">
        <f t="shared" si="1"/>
        <v>33</v>
      </c>
      <c r="U79" s="78">
        <v>498</v>
      </c>
      <c r="V79" s="16">
        <f t="shared" si="2"/>
        <v>4108.5</v>
      </c>
      <c r="W79" s="78">
        <v>10</v>
      </c>
      <c r="X79" s="78" t="s">
        <v>35</v>
      </c>
      <c r="Y79" s="78" t="s">
        <v>43</v>
      </c>
      <c r="Z79" s="78" t="s">
        <v>55</v>
      </c>
      <c r="AA79" s="78" t="s">
        <v>64</v>
      </c>
      <c r="AB79" s="78" t="s">
        <v>161</v>
      </c>
    </row>
    <row r="80" spans="1:28" x14ac:dyDescent="0.15">
      <c r="A80" s="78" t="s">
        <v>23</v>
      </c>
      <c r="B80" s="78" t="s">
        <v>160</v>
      </c>
      <c r="C80" s="78">
        <v>2020</v>
      </c>
      <c r="D80" s="176" t="s">
        <v>373</v>
      </c>
      <c r="E80" s="78" t="s">
        <v>368</v>
      </c>
      <c r="F80" s="78" t="s">
        <v>355</v>
      </c>
      <c r="G80" s="78" t="s">
        <v>25</v>
      </c>
      <c r="H80" s="78" t="s">
        <v>167</v>
      </c>
      <c r="I80" s="78" t="s">
        <v>111</v>
      </c>
      <c r="J80" s="78" t="s">
        <v>27</v>
      </c>
      <c r="K80" s="78" t="s">
        <v>112</v>
      </c>
      <c r="L80" s="78">
        <v>1</v>
      </c>
      <c r="N80" s="78">
        <v>8</v>
      </c>
      <c r="O80" s="78">
        <v>0.2</v>
      </c>
      <c r="P80" s="78">
        <v>0.2</v>
      </c>
      <c r="Q80" s="44">
        <f t="shared" si="0"/>
        <v>0.2</v>
      </c>
      <c r="R80" s="78">
        <v>16</v>
      </c>
      <c r="S80" s="78">
        <v>102</v>
      </c>
      <c r="T80" s="16">
        <f t="shared" si="1"/>
        <v>33</v>
      </c>
      <c r="U80" s="78">
        <v>980</v>
      </c>
      <c r="V80" s="16">
        <f t="shared" si="2"/>
        <v>4042.5</v>
      </c>
      <c r="W80" s="78">
        <v>10</v>
      </c>
      <c r="X80" s="78" t="s">
        <v>35</v>
      </c>
      <c r="Y80" s="78" t="s">
        <v>43</v>
      </c>
      <c r="Z80" s="78" t="s">
        <v>55</v>
      </c>
      <c r="AA80" s="78" t="s">
        <v>64</v>
      </c>
      <c r="AB80" s="78" t="s">
        <v>161</v>
      </c>
    </row>
    <row r="81" spans="1:28" x14ac:dyDescent="0.15">
      <c r="A81" s="78" t="s">
        <v>23</v>
      </c>
      <c r="B81" s="78" t="s">
        <v>160</v>
      </c>
      <c r="C81" s="78">
        <v>2020</v>
      </c>
      <c r="D81" s="176" t="s">
        <v>373</v>
      </c>
      <c r="E81" s="78" t="s">
        <v>368</v>
      </c>
      <c r="F81" s="78" t="s">
        <v>355</v>
      </c>
      <c r="G81" s="78" t="s">
        <v>25</v>
      </c>
      <c r="H81" s="78" t="s">
        <v>167</v>
      </c>
      <c r="I81" s="78" t="s">
        <v>111</v>
      </c>
      <c r="J81" s="78" t="s">
        <v>27</v>
      </c>
      <c r="K81" s="78" t="s">
        <v>112</v>
      </c>
      <c r="L81" s="78">
        <v>2</v>
      </c>
      <c r="N81" s="78">
        <v>8</v>
      </c>
      <c r="O81" s="78">
        <v>0.2</v>
      </c>
      <c r="P81" s="78">
        <v>0.2</v>
      </c>
      <c r="Q81" s="44">
        <f t="shared" si="0"/>
        <v>0.2</v>
      </c>
      <c r="R81" s="78">
        <v>13.8</v>
      </c>
      <c r="S81" s="78">
        <v>103.5</v>
      </c>
      <c r="T81" s="16">
        <f t="shared" si="1"/>
        <v>33</v>
      </c>
      <c r="U81" s="78">
        <v>980</v>
      </c>
      <c r="V81" s="16">
        <f t="shared" si="2"/>
        <v>4042.5</v>
      </c>
      <c r="W81" s="78">
        <v>10</v>
      </c>
      <c r="X81" s="78" t="s">
        <v>35</v>
      </c>
      <c r="Y81" s="78" t="s">
        <v>43</v>
      </c>
      <c r="Z81" s="78" t="s">
        <v>55</v>
      </c>
      <c r="AA81" s="78" t="s">
        <v>64</v>
      </c>
      <c r="AB81" s="78" t="s">
        <v>161</v>
      </c>
    </row>
    <row r="82" spans="1:28" x14ac:dyDescent="0.15">
      <c r="A82" s="78" t="s">
        <v>23</v>
      </c>
      <c r="B82" s="78" t="s">
        <v>160</v>
      </c>
      <c r="C82" s="78">
        <v>2020</v>
      </c>
      <c r="D82" s="176" t="s">
        <v>373</v>
      </c>
      <c r="E82" s="78" t="s">
        <v>368</v>
      </c>
      <c r="F82" s="78" t="s">
        <v>355</v>
      </c>
      <c r="G82" s="78" t="s">
        <v>25</v>
      </c>
      <c r="H82" s="78" t="s">
        <v>167</v>
      </c>
      <c r="I82" s="78" t="s">
        <v>111</v>
      </c>
      <c r="J82" s="78" t="s">
        <v>27</v>
      </c>
      <c r="K82" s="78" t="s">
        <v>112</v>
      </c>
      <c r="L82" s="78">
        <v>3</v>
      </c>
      <c r="N82" s="78">
        <v>8</v>
      </c>
      <c r="O82" s="78">
        <v>0.2</v>
      </c>
      <c r="P82" s="78">
        <v>0.2</v>
      </c>
      <c r="Q82" s="44">
        <f t="shared" si="0"/>
        <v>0.2</v>
      </c>
      <c r="R82" s="78">
        <v>15.4</v>
      </c>
      <c r="S82" s="78">
        <v>95</v>
      </c>
      <c r="T82" s="16">
        <f t="shared" si="1"/>
        <v>36</v>
      </c>
      <c r="U82" s="78">
        <v>980</v>
      </c>
      <c r="V82" s="16">
        <f t="shared" si="2"/>
        <v>4410</v>
      </c>
      <c r="W82" s="78">
        <v>10</v>
      </c>
      <c r="X82" s="78" t="s">
        <v>35</v>
      </c>
      <c r="Y82" s="78" t="s">
        <v>43</v>
      </c>
      <c r="Z82" s="78" t="s">
        <v>55</v>
      </c>
      <c r="AA82" s="78" t="s">
        <v>64</v>
      </c>
      <c r="AB82" s="78" t="s">
        <v>161</v>
      </c>
    </row>
    <row r="83" spans="1:28" x14ac:dyDescent="0.15">
      <c r="A83" s="78" t="s">
        <v>23</v>
      </c>
      <c r="B83" s="78" t="s">
        <v>160</v>
      </c>
      <c r="C83" s="78">
        <v>2020</v>
      </c>
      <c r="D83" s="176" t="s">
        <v>373</v>
      </c>
      <c r="E83" s="78" t="s">
        <v>176</v>
      </c>
      <c r="F83" s="78" t="s">
        <v>356</v>
      </c>
      <c r="G83" s="78" t="s">
        <v>25</v>
      </c>
      <c r="H83" s="78" t="s">
        <v>113</v>
      </c>
      <c r="I83" s="78" t="s">
        <v>111</v>
      </c>
      <c r="J83" s="78" t="s">
        <v>27</v>
      </c>
      <c r="K83" s="78" t="s">
        <v>112</v>
      </c>
      <c r="L83" s="78">
        <v>1</v>
      </c>
      <c r="N83" s="78">
        <v>1</v>
      </c>
      <c r="O83" s="78">
        <v>0.55000000000000004</v>
      </c>
      <c r="P83" s="78">
        <v>0.45</v>
      </c>
      <c r="Q83" s="44">
        <f t="shared" si="0"/>
        <v>0.5</v>
      </c>
      <c r="R83" s="78">
        <v>15.8</v>
      </c>
      <c r="S83" s="78">
        <v>112.5</v>
      </c>
      <c r="T83" s="16">
        <f t="shared" si="1"/>
        <v>33</v>
      </c>
      <c r="U83" s="78">
        <v>97</v>
      </c>
      <c r="V83" s="16">
        <f t="shared" si="2"/>
        <v>3201</v>
      </c>
      <c r="W83" s="78">
        <v>14</v>
      </c>
      <c r="X83" s="78" t="s">
        <v>35</v>
      </c>
      <c r="Y83" s="78" t="s">
        <v>43</v>
      </c>
      <c r="Z83" s="78" t="s">
        <v>55</v>
      </c>
      <c r="AA83" s="78" t="s">
        <v>36</v>
      </c>
      <c r="AB83" s="78" t="s">
        <v>161</v>
      </c>
    </row>
    <row r="84" spans="1:28" x14ac:dyDescent="0.15">
      <c r="A84" s="78" t="s">
        <v>23</v>
      </c>
      <c r="B84" s="78" t="s">
        <v>160</v>
      </c>
      <c r="C84" s="78">
        <v>2020</v>
      </c>
      <c r="D84" s="176" t="s">
        <v>373</v>
      </c>
      <c r="E84" s="78" t="s">
        <v>176</v>
      </c>
      <c r="F84" s="78" t="s">
        <v>356</v>
      </c>
      <c r="G84" s="78" t="s">
        <v>25</v>
      </c>
      <c r="H84" s="78" t="s">
        <v>113</v>
      </c>
      <c r="I84" s="78" t="s">
        <v>111</v>
      </c>
      <c r="J84" s="78" t="s">
        <v>27</v>
      </c>
      <c r="K84" s="78" t="s">
        <v>112</v>
      </c>
      <c r="L84" s="78">
        <v>2</v>
      </c>
      <c r="N84" s="78">
        <v>1</v>
      </c>
      <c r="O84" s="78">
        <v>0.55000000000000004</v>
      </c>
      <c r="P84" s="78">
        <v>0.45</v>
      </c>
      <c r="Q84" s="44">
        <f t="shared" si="0"/>
        <v>0.5</v>
      </c>
      <c r="R84" s="78">
        <v>15.9</v>
      </c>
      <c r="S84" s="78">
        <v>112</v>
      </c>
      <c r="T84" s="16">
        <f t="shared" si="1"/>
        <v>33</v>
      </c>
      <c r="U84" s="78">
        <v>97</v>
      </c>
      <c r="V84" s="16">
        <f t="shared" si="2"/>
        <v>3201</v>
      </c>
      <c r="W84" s="78">
        <v>14</v>
      </c>
      <c r="X84" s="78" t="s">
        <v>35</v>
      </c>
      <c r="Y84" s="78" t="s">
        <v>43</v>
      </c>
      <c r="Z84" s="78" t="s">
        <v>55</v>
      </c>
      <c r="AA84" s="78" t="s">
        <v>36</v>
      </c>
      <c r="AB84" s="78" t="s">
        <v>161</v>
      </c>
    </row>
    <row r="85" spans="1:28" x14ac:dyDescent="0.15">
      <c r="A85" s="78" t="s">
        <v>23</v>
      </c>
      <c r="B85" s="78" t="s">
        <v>160</v>
      </c>
      <c r="C85" s="78">
        <v>2020</v>
      </c>
      <c r="D85" s="176" t="s">
        <v>373</v>
      </c>
      <c r="E85" s="78" t="s">
        <v>176</v>
      </c>
      <c r="F85" s="78" t="s">
        <v>356</v>
      </c>
      <c r="G85" s="78" t="s">
        <v>25</v>
      </c>
      <c r="H85" s="78" t="s">
        <v>113</v>
      </c>
      <c r="I85" s="78" t="s">
        <v>111</v>
      </c>
      <c r="J85" s="78" t="s">
        <v>27</v>
      </c>
      <c r="K85" s="78" t="s">
        <v>112</v>
      </c>
      <c r="L85" s="78">
        <v>3</v>
      </c>
      <c r="N85" s="78">
        <v>1</v>
      </c>
      <c r="O85" s="78">
        <v>0.55000000000000004</v>
      </c>
      <c r="P85" s="78">
        <v>0.55000000000000004</v>
      </c>
      <c r="Q85" s="44">
        <f t="shared" si="0"/>
        <v>0.55000000000000004</v>
      </c>
      <c r="R85" s="78">
        <v>17.5</v>
      </c>
      <c r="S85" s="78">
        <v>111.5</v>
      </c>
      <c r="T85" s="16">
        <f t="shared" si="1"/>
        <v>33</v>
      </c>
      <c r="U85" s="78">
        <v>97</v>
      </c>
      <c r="V85" s="16">
        <f t="shared" si="2"/>
        <v>3201</v>
      </c>
      <c r="W85" s="78">
        <v>14</v>
      </c>
      <c r="X85" s="78" t="s">
        <v>35</v>
      </c>
      <c r="Y85" s="78" t="s">
        <v>43</v>
      </c>
      <c r="Z85" s="78" t="s">
        <v>55</v>
      </c>
      <c r="AA85" s="78" t="s">
        <v>36</v>
      </c>
      <c r="AB85" s="78" t="s">
        <v>161</v>
      </c>
    </row>
    <row r="86" spans="1:28" x14ac:dyDescent="0.15">
      <c r="A86" s="78" t="s">
        <v>23</v>
      </c>
      <c r="B86" s="78" t="s">
        <v>160</v>
      </c>
      <c r="C86" s="78">
        <v>2020</v>
      </c>
      <c r="D86" s="176" t="s">
        <v>373</v>
      </c>
      <c r="E86" s="78" t="s">
        <v>176</v>
      </c>
      <c r="F86" s="78" t="s">
        <v>356</v>
      </c>
      <c r="G86" s="78" t="s">
        <v>25</v>
      </c>
      <c r="H86" s="78" t="s">
        <v>113</v>
      </c>
      <c r="I86" s="78" t="s">
        <v>111</v>
      </c>
      <c r="J86" s="78" t="s">
        <v>27</v>
      </c>
      <c r="K86" s="78" t="s">
        <v>112</v>
      </c>
      <c r="L86" s="78">
        <v>1</v>
      </c>
      <c r="N86" s="78">
        <v>5</v>
      </c>
      <c r="O86" s="78">
        <v>0.65</v>
      </c>
      <c r="P86" s="78">
        <v>0.75</v>
      </c>
      <c r="Q86" s="44">
        <f t="shared" ref="Q86:Q157" si="7">IF(OR(O86="",P86=""),"",AVERAGE(O86,P86))</f>
        <v>0.7</v>
      </c>
      <c r="R86" s="78">
        <v>15</v>
      </c>
      <c r="S86" s="78">
        <v>87.5</v>
      </c>
      <c r="T86" s="16">
        <f t="shared" si="1"/>
        <v>36</v>
      </c>
      <c r="U86" s="78">
        <v>297</v>
      </c>
      <c r="V86" s="16">
        <f t="shared" si="2"/>
        <v>2138.4</v>
      </c>
      <c r="W86" s="78">
        <v>14</v>
      </c>
      <c r="X86" s="78" t="s">
        <v>35</v>
      </c>
      <c r="Y86" s="78" t="s">
        <v>43</v>
      </c>
      <c r="Z86" s="78" t="s">
        <v>55</v>
      </c>
      <c r="AA86" s="78" t="s">
        <v>36</v>
      </c>
      <c r="AB86" s="78" t="s">
        <v>161</v>
      </c>
    </row>
    <row r="87" spans="1:28" x14ac:dyDescent="0.15">
      <c r="A87" s="78" t="s">
        <v>23</v>
      </c>
      <c r="B87" s="78" t="s">
        <v>160</v>
      </c>
      <c r="C87" s="78">
        <v>2020</v>
      </c>
      <c r="D87" s="176" t="s">
        <v>373</v>
      </c>
      <c r="E87" s="78" t="s">
        <v>176</v>
      </c>
      <c r="F87" s="78" t="s">
        <v>356</v>
      </c>
      <c r="G87" s="78" t="s">
        <v>25</v>
      </c>
      <c r="H87" s="78" t="s">
        <v>113</v>
      </c>
      <c r="I87" s="78" t="s">
        <v>111</v>
      </c>
      <c r="J87" s="78" t="s">
        <v>27</v>
      </c>
      <c r="K87" s="78" t="s">
        <v>112</v>
      </c>
      <c r="L87" s="78">
        <v>2</v>
      </c>
      <c r="N87" s="78">
        <v>5</v>
      </c>
      <c r="O87" s="78">
        <v>0.85</v>
      </c>
      <c r="P87" s="78">
        <v>0.9</v>
      </c>
      <c r="Q87" s="44">
        <f t="shared" si="7"/>
        <v>0.875</v>
      </c>
      <c r="R87" s="78">
        <v>15.7</v>
      </c>
      <c r="S87" s="78">
        <v>93</v>
      </c>
      <c r="T87" s="16">
        <f t="shared" si="1"/>
        <v>36</v>
      </c>
      <c r="U87" s="78">
        <v>297</v>
      </c>
      <c r="V87" s="16">
        <f t="shared" si="2"/>
        <v>2138.4</v>
      </c>
      <c r="W87" s="78">
        <v>14</v>
      </c>
      <c r="X87" s="78" t="s">
        <v>35</v>
      </c>
      <c r="Y87" s="78" t="s">
        <v>43</v>
      </c>
      <c r="Z87" s="78" t="s">
        <v>55</v>
      </c>
      <c r="AA87" s="78" t="s">
        <v>36</v>
      </c>
      <c r="AB87" s="78" t="s">
        <v>161</v>
      </c>
    </row>
    <row r="88" spans="1:28" x14ac:dyDescent="0.15">
      <c r="A88" s="78" t="s">
        <v>23</v>
      </c>
      <c r="B88" s="78" t="s">
        <v>160</v>
      </c>
      <c r="C88" s="78">
        <v>2020</v>
      </c>
      <c r="D88" s="176" t="s">
        <v>373</v>
      </c>
      <c r="E88" s="78" t="s">
        <v>176</v>
      </c>
      <c r="F88" s="78" t="s">
        <v>356</v>
      </c>
      <c r="G88" s="78" t="s">
        <v>25</v>
      </c>
      <c r="H88" s="78" t="s">
        <v>113</v>
      </c>
      <c r="I88" s="78" t="s">
        <v>111</v>
      </c>
      <c r="J88" s="78" t="s">
        <v>27</v>
      </c>
      <c r="K88" s="78" t="s">
        <v>112</v>
      </c>
      <c r="L88" s="78">
        <v>3</v>
      </c>
      <c r="N88" s="78">
        <v>5</v>
      </c>
      <c r="O88" s="78">
        <v>0.5</v>
      </c>
      <c r="P88" s="78">
        <v>0.5</v>
      </c>
      <c r="Q88" s="16">
        <f t="shared" si="7"/>
        <v>0.5</v>
      </c>
      <c r="R88" s="78">
        <v>15.7</v>
      </c>
      <c r="S88" s="78">
        <v>89</v>
      </c>
      <c r="T88" s="16">
        <f t="shared" si="1"/>
        <v>36</v>
      </c>
      <c r="U88" s="78">
        <v>297</v>
      </c>
      <c r="V88" s="16">
        <f t="shared" si="2"/>
        <v>2138.4</v>
      </c>
      <c r="W88" s="78">
        <v>14</v>
      </c>
      <c r="X88" s="78" t="s">
        <v>35</v>
      </c>
      <c r="Y88" s="78" t="s">
        <v>43</v>
      </c>
      <c r="Z88" s="78" t="s">
        <v>55</v>
      </c>
      <c r="AA88" s="78" t="s">
        <v>36</v>
      </c>
      <c r="AB88" s="78" t="s">
        <v>161</v>
      </c>
    </row>
    <row r="89" spans="1:28" x14ac:dyDescent="0.15">
      <c r="A89" s="78" t="s">
        <v>23</v>
      </c>
      <c r="B89" s="78" t="s">
        <v>160</v>
      </c>
      <c r="C89" s="78">
        <v>2020</v>
      </c>
      <c r="D89" s="176" t="s">
        <v>373</v>
      </c>
      <c r="E89" s="78" t="s">
        <v>176</v>
      </c>
      <c r="F89" s="78" t="s">
        <v>356</v>
      </c>
      <c r="G89" s="78" t="s">
        <v>25</v>
      </c>
      <c r="H89" s="78" t="s">
        <v>167</v>
      </c>
      <c r="I89" s="78" t="s">
        <v>111</v>
      </c>
      <c r="J89" s="78" t="s">
        <v>27</v>
      </c>
      <c r="K89" s="78" t="s">
        <v>112</v>
      </c>
      <c r="L89" s="78">
        <v>1</v>
      </c>
      <c r="N89" s="78">
        <v>1</v>
      </c>
      <c r="O89" s="78">
        <v>0.2</v>
      </c>
      <c r="P89" s="78">
        <v>0.2</v>
      </c>
      <c r="Q89" s="16">
        <f t="shared" si="7"/>
        <v>0.2</v>
      </c>
      <c r="R89" s="78">
        <v>17</v>
      </c>
      <c r="S89" s="78">
        <v>145</v>
      </c>
      <c r="T89" s="16">
        <f t="shared" si="1"/>
        <v>30</v>
      </c>
      <c r="U89" s="78">
        <v>97</v>
      </c>
      <c r="V89" s="16">
        <f t="shared" si="2"/>
        <v>2910</v>
      </c>
      <c r="W89" s="78">
        <v>14</v>
      </c>
      <c r="X89" s="78" t="s">
        <v>35</v>
      </c>
      <c r="Y89" s="78" t="s">
        <v>43</v>
      </c>
      <c r="Z89" s="78" t="s">
        <v>55</v>
      </c>
      <c r="AA89" s="78" t="s">
        <v>36</v>
      </c>
      <c r="AB89" s="78" t="s">
        <v>161</v>
      </c>
    </row>
    <row r="90" spans="1:28" x14ac:dyDescent="0.15">
      <c r="A90" s="78" t="s">
        <v>23</v>
      </c>
      <c r="B90" s="78" t="s">
        <v>160</v>
      </c>
      <c r="C90" s="78">
        <v>2020</v>
      </c>
      <c r="D90" s="176" t="s">
        <v>373</v>
      </c>
      <c r="E90" s="78" t="s">
        <v>176</v>
      </c>
      <c r="F90" s="78" t="s">
        <v>356</v>
      </c>
      <c r="G90" s="78" t="s">
        <v>25</v>
      </c>
      <c r="H90" s="78" t="s">
        <v>167</v>
      </c>
      <c r="I90" s="78" t="s">
        <v>111</v>
      </c>
      <c r="J90" s="78" t="s">
        <v>27</v>
      </c>
      <c r="K90" s="78" t="s">
        <v>112</v>
      </c>
      <c r="L90" s="78">
        <v>2</v>
      </c>
      <c r="N90" s="78">
        <v>1</v>
      </c>
      <c r="O90" s="78">
        <v>0.55000000000000004</v>
      </c>
      <c r="P90" s="78">
        <v>0.5</v>
      </c>
      <c r="Q90" s="16">
        <f t="shared" si="7"/>
        <v>0.52500000000000002</v>
      </c>
      <c r="R90" s="78">
        <v>15.9</v>
      </c>
      <c r="S90" s="78">
        <v>143</v>
      </c>
      <c r="T90" s="16">
        <f t="shared" si="1"/>
        <v>30</v>
      </c>
      <c r="U90" s="78">
        <v>97</v>
      </c>
      <c r="V90" s="16">
        <f t="shared" si="2"/>
        <v>2910</v>
      </c>
      <c r="W90" s="78">
        <v>14</v>
      </c>
      <c r="X90" s="78" t="s">
        <v>35</v>
      </c>
      <c r="Y90" s="78" t="s">
        <v>43</v>
      </c>
      <c r="Z90" s="78" t="s">
        <v>55</v>
      </c>
      <c r="AA90" s="78" t="s">
        <v>36</v>
      </c>
      <c r="AB90" s="78" t="s">
        <v>161</v>
      </c>
    </row>
    <row r="91" spans="1:28" x14ac:dyDescent="0.15">
      <c r="A91" s="78" t="s">
        <v>23</v>
      </c>
      <c r="B91" s="78" t="s">
        <v>160</v>
      </c>
      <c r="C91" s="78">
        <v>2020</v>
      </c>
      <c r="D91" s="176" t="s">
        <v>373</v>
      </c>
      <c r="E91" s="78" t="s">
        <v>176</v>
      </c>
      <c r="F91" s="78" t="s">
        <v>356</v>
      </c>
      <c r="G91" s="78" t="s">
        <v>25</v>
      </c>
      <c r="H91" s="78" t="s">
        <v>167</v>
      </c>
      <c r="I91" s="78" t="s">
        <v>111</v>
      </c>
      <c r="J91" s="78" t="s">
        <v>27</v>
      </c>
      <c r="K91" s="78" t="s">
        <v>112</v>
      </c>
      <c r="L91" s="78">
        <v>3</v>
      </c>
      <c r="N91" s="78">
        <v>1</v>
      </c>
      <c r="O91" s="78">
        <v>0.5</v>
      </c>
      <c r="P91" s="78">
        <v>0.45</v>
      </c>
      <c r="Q91" s="16">
        <f t="shared" si="7"/>
        <v>0.47499999999999998</v>
      </c>
      <c r="R91" s="78">
        <v>15.9</v>
      </c>
      <c r="S91" s="78">
        <v>140.5</v>
      </c>
      <c r="T91" s="16">
        <f t="shared" si="1"/>
        <v>30</v>
      </c>
      <c r="U91" s="78">
        <v>97</v>
      </c>
      <c r="V91" s="16">
        <f t="shared" si="2"/>
        <v>2910</v>
      </c>
      <c r="W91" s="78">
        <v>14</v>
      </c>
      <c r="X91" s="78" t="s">
        <v>35</v>
      </c>
      <c r="Y91" s="78" t="s">
        <v>43</v>
      </c>
      <c r="Z91" s="78" t="s">
        <v>55</v>
      </c>
      <c r="AA91" s="78" t="s">
        <v>36</v>
      </c>
      <c r="AB91" s="78" t="s">
        <v>161</v>
      </c>
    </row>
    <row r="92" spans="1:28" x14ac:dyDescent="0.15">
      <c r="A92" s="78" t="s">
        <v>23</v>
      </c>
      <c r="B92" s="78" t="s">
        <v>160</v>
      </c>
      <c r="C92" s="78">
        <v>2020</v>
      </c>
      <c r="D92" s="176" t="s">
        <v>373</v>
      </c>
      <c r="E92" s="78" t="s">
        <v>176</v>
      </c>
      <c r="F92" s="78" t="s">
        <v>356</v>
      </c>
      <c r="G92" s="78" t="s">
        <v>25</v>
      </c>
      <c r="H92" s="78" t="s">
        <v>167</v>
      </c>
      <c r="I92" s="78" t="s">
        <v>111</v>
      </c>
      <c r="J92" s="78" t="s">
        <v>27</v>
      </c>
      <c r="K92" s="78" t="s">
        <v>112</v>
      </c>
      <c r="L92" s="78">
        <v>1</v>
      </c>
      <c r="N92" s="78">
        <v>5</v>
      </c>
      <c r="O92" s="78">
        <v>0.5</v>
      </c>
      <c r="P92" s="78">
        <v>0.5</v>
      </c>
      <c r="Q92" s="16">
        <f t="shared" si="7"/>
        <v>0.5</v>
      </c>
      <c r="R92" s="78">
        <v>16.3</v>
      </c>
      <c r="S92" s="78">
        <v>117.5</v>
      </c>
      <c r="T92" s="16">
        <f t="shared" si="1"/>
        <v>30</v>
      </c>
      <c r="U92" s="78">
        <v>377</v>
      </c>
      <c r="V92" s="16">
        <f t="shared" si="2"/>
        <v>2262</v>
      </c>
      <c r="W92" s="78">
        <v>14</v>
      </c>
      <c r="X92" s="78" t="s">
        <v>35</v>
      </c>
      <c r="Y92" s="78" t="s">
        <v>43</v>
      </c>
      <c r="Z92" s="78" t="s">
        <v>55</v>
      </c>
      <c r="AA92" s="78" t="s">
        <v>36</v>
      </c>
      <c r="AB92" s="78" t="s">
        <v>161</v>
      </c>
    </row>
    <row r="93" spans="1:28" x14ac:dyDescent="0.15">
      <c r="A93" s="78" t="s">
        <v>23</v>
      </c>
      <c r="B93" s="78" t="s">
        <v>160</v>
      </c>
      <c r="C93" s="78">
        <v>2020</v>
      </c>
      <c r="D93" s="176" t="s">
        <v>373</v>
      </c>
      <c r="E93" s="78" t="s">
        <v>176</v>
      </c>
      <c r="F93" s="78" t="s">
        <v>356</v>
      </c>
      <c r="G93" s="78" t="s">
        <v>25</v>
      </c>
      <c r="H93" s="78" t="s">
        <v>167</v>
      </c>
      <c r="I93" s="78" t="s">
        <v>111</v>
      </c>
      <c r="J93" s="78" t="s">
        <v>27</v>
      </c>
      <c r="K93" s="78" t="s">
        <v>112</v>
      </c>
      <c r="L93" s="78">
        <v>2</v>
      </c>
      <c r="N93" s="78">
        <v>5</v>
      </c>
      <c r="O93" s="78">
        <v>0.45</v>
      </c>
      <c r="P93" s="78">
        <v>0.5</v>
      </c>
      <c r="Q93" s="16">
        <f t="shared" si="7"/>
        <v>0.47499999999999998</v>
      </c>
      <c r="R93" s="78">
        <v>15.8</v>
      </c>
      <c r="S93" s="78">
        <v>114.5</v>
      </c>
      <c r="T93" s="16">
        <f t="shared" si="1"/>
        <v>30</v>
      </c>
      <c r="U93" s="78">
        <v>377</v>
      </c>
      <c r="V93" s="16">
        <f t="shared" si="2"/>
        <v>2262</v>
      </c>
      <c r="W93" s="78">
        <v>14</v>
      </c>
      <c r="X93" s="78" t="s">
        <v>35</v>
      </c>
      <c r="Y93" s="78" t="s">
        <v>43</v>
      </c>
      <c r="Z93" s="78" t="s">
        <v>55</v>
      </c>
      <c r="AA93" s="78" t="s">
        <v>36</v>
      </c>
      <c r="AB93" s="78" t="s">
        <v>161</v>
      </c>
    </row>
    <row r="94" spans="1:28" x14ac:dyDescent="0.15">
      <c r="A94" s="78" t="s">
        <v>23</v>
      </c>
      <c r="B94" s="78" t="s">
        <v>160</v>
      </c>
      <c r="C94" s="78">
        <v>2020</v>
      </c>
      <c r="D94" s="176" t="s">
        <v>373</v>
      </c>
      <c r="E94" s="78" t="s">
        <v>176</v>
      </c>
      <c r="F94" s="78" t="s">
        <v>356</v>
      </c>
      <c r="G94" s="78" t="s">
        <v>25</v>
      </c>
      <c r="H94" s="78" t="s">
        <v>167</v>
      </c>
      <c r="I94" s="78" t="s">
        <v>111</v>
      </c>
      <c r="J94" s="78" t="s">
        <v>27</v>
      </c>
      <c r="K94" s="78" t="s">
        <v>112</v>
      </c>
      <c r="L94" s="78">
        <v>3</v>
      </c>
      <c r="N94" s="78">
        <v>5</v>
      </c>
      <c r="O94" s="78">
        <v>0.55000000000000004</v>
      </c>
      <c r="P94" s="78">
        <v>0.7</v>
      </c>
      <c r="Q94" s="16">
        <f t="shared" si="7"/>
        <v>0.625</v>
      </c>
      <c r="R94" s="78">
        <v>16.100000000000001</v>
      </c>
      <c r="S94" s="78">
        <v>116.5</v>
      </c>
      <c r="T94" s="16">
        <f t="shared" si="1"/>
        <v>30</v>
      </c>
      <c r="U94" s="78">
        <v>377</v>
      </c>
      <c r="V94" s="16">
        <f t="shared" si="2"/>
        <v>2262</v>
      </c>
      <c r="W94" s="78">
        <v>14</v>
      </c>
      <c r="X94" s="78" t="s">
        <v>35</v>
      </c>
      <c r="Y94" s="78" t="s">
        <v>43</v>
      </c>
      <c r="Z94" s="78" t="s">
        <v>55</v>
      </c>
      <c r="AA94" s="78" t="s">
        <v>36</v>
      </c>
      <c r="AB94" s="78" t="s">
        <v>161</v>
      </c>
    </row>
    <row r="95" spans="1:28" x14ac:dyDescent="0.15">
      <c r="A95" s="78" t="s">
        <v>23</v>
      </c>
      <c r="B95" s="78" t="s">
        <v>160</v>
      </c>
      <c r="C95" s="78">
        <v>2020</v>
      </c>
      <c r="D95" s="176" t="s">
        <v>373</v>
      </c>
      <c r="E95" s="78" t="s">
        <v>369</v>
      </c>
      <c r="F95" s="78" t="s">
        <v>358</v>
      </c>
      <c r="G95" s="78" t="s">
        <v>25</v>
      </c>
      <c r="H95" s="78" t="s">
        <v>113</v>
      </c>
      <c r="I95" s="78" t="s">
        <v>111</v>
      </c>
      <c r="J95" s="78" t="s">
        <v>27</v>
      </c>
      <c r="K95" s="78" t="s">
        <v>112</v>
      </c>
      <c r="L95" s="78">
        <v>1</v>
      </c>
      <c r="N95" s="78">
        <v>1</v>
      </c>
      <c r="O95" s="78">
        <v>0.75</v>
      </c>
      <c r="P95" s="78">
        <v>0.85</v>
      </c>
      <c r="Q95" s="16">
        <f t="shared" si="7"/>
        <v>0.8</v>
      </c>
      <c r="R95" s="78">
        <v>15.4</v>
      </c>
      <c r="S95" s="78">
        <v>116</v>
      </c>
      <c r="T95" s="16">
        <f t="shared" si="1"/>
        <v>30</v>
      </c>
      <c r="U95" s="78">
        <v>98</v>
      </c>
      <c r="V95" s="16">
        <f t="shared" si="2"/>
        <v>2940</v>
      </c>
      <c r="W95" s="78">
        <v>11</v>
      </c>
      <c r="X95" s="78" t="s">
        <v>35</v>
      </c>
      <c r="Y95" s="78" t="s">
        <v>43</v>
      </c>
      <c r="Z95" s="78" t="s">
        <v>55</v>
      </c>
      <c r="AA95" s="78" t="s">
        <v>64</v>
      </c>
      <c r="AB95" s="78" t="s">
        <v>161</v>
      </c>
    </row>
    <row r="96" spans="1:28" x14ac:dyDescent="0.15">
      <c r="A96" s="78" t="s">
        <v>23</v>
      </c>
      <c r="B96" s="78" t="s">
        <v>160</v>
      </c>
      <c r="C96" s="78">
        <v>2020</v>
      </c>
      <c r="D96" s="176" t="s">
        <v>373</v>
      </c>
      <c r="E96" s="78" t="s">
        <v>369</v>
      </c>
      <c r="F96" s="78" t="s">
        <v>358</v>
      </c>
      <c r="G96" s="78" t="s">
        <v>25</v>
      </c>
      <c r="H96" s="78" t="s">
        <v>113</v>
      </c>
      <c r="I96" s="78" t="s">
        <v>111</v>
      </c>
      <c r="J96" s="78" t="s">
        <v>27</v>
      </c>
      <c r="K96" s="78" t="s">
        <v>112</v>
      </c>
      <c r="L96" s="78">
        <v>2</v>
      </c>
      <c r="N96" s="78">
        <v>1</v>
      </c>
      <c r="O96" s="78">
        <v>0.6</v>
      </c>
      <c r="P96" s="78">
        <v>0.7</v>
      </c>
      <c r="Q96" s="16">
        <f t="shared" si="7"/>
        <v>0.64999999999999991</v>
      </c>
      <c r="R96" s="78">
        <v>15.5</v>
      </c>
      <c r="S96" s="78">
        <v>120</v>
      </c>
      <c r="T96" s="16">
        <f t="shared" si="1"/>
        <v>30</v>
      </c>
      <c r="U96" s="78">
        <v>98</v>
      </c>
      <c r="V96" s="16">
        <f t="shared" si="2"/>
        <v>2940</v>
      </c>
      <c r="W96" s="78">
        <v>11</v>
      </c>
      <c r="X96" s="78" t="s">
        <v>35</v>
      </c>
      <c r="Y96" s="78" t="s">
        <v>43</v>
      </c>
      <c r="Z96" s="78" t="s">
        <v>55</v>
      </c>
      <c r="AA96" s="78" t="s">
        <v>64</v>
      </c>
      <c r="AB96" s="78" t="s">
        <v>161</v>
      </c>
    </row>
    <row r="97" spans="1:28" x14ac:dyDescent="0.15">
      <c r="A97" s="78" t="s">
        <v>23</v>
      </c>
      <c r="B97" s="78" t="s">
        <v>160</v>
      </c>
      <c r="C97" s="78">
        <v>2020</v>
      </c>
      <c r="D97" s="176" t="s">
        <v>373</v>
      </c>
      <c r="E97" s="78" t="s">
        <v>369</v>
      </c>
      <c r="F97" s="78" t="s">
        <v>358</v>
      </c>
      <c r="G97" s="78" t="s">
        <v>25</v>
      </c>
      <c r="H97" s="78" t="s">
        <v>113</v>
      </c>
      <c r="I97" s="78" t="s">
        <v>111</v>
      </c>
      <c r="J97" s="78" t="s">
        <v>27</v>
      </c>
      <c r="K97" s="78" t="s">
        <v>112</v>
      </c>
      <c r="L97" s="78">
        <v>3</v>
      </c>
      <c r="N97" s="78">
        <v>1</v>
      </c>
      <c r="O97" s="78">
        <v>0.55000000000000004</v>
      </c>
      <c r="P97" s="78">
        <v>0.5</v>
      </c>
      <c r="Q97" s="16">
        <f t="shared" si="7"/>
        <v>0.52500000000000002</v>
      </c>
      <c r="R97" s="78">
        <v>15.9</v>
      </c>
      <c r="S97" s="78">
        <v>115</v>
      </c>
      <c r="T97" s="16">
        <f t="shared" si="1"/>
        <v>30</v>
      </c>
      <c r="U97" s="78">
        <v>98</v>
      </c>
      <c r="V97" s="16">
        <f t="shared" si="2"/>
        <v>2940</v>
      </c>
      <c r="W97" s="78">
        <v>11</v>
      </c>
      <c r="X97" s="78" t="s">
        <v>35</v>
      </c>
      <c r="Y97" s="78" t="s">
        <v>43</v>
      </c>
      <c r="Z97" s="78" t="s">
        <v>55</v>
      </c>
      <c r="AA97" s="78" t="s">
        <v>64</v>
      </c>
      <c r="AB97" s="78" t="s">
        <v>161</v>
      </c>
    </row>
    <row r="98" spans="1:28" x14ac:dyDescent="0.15">
      <c r="A98" s="78" t="s">
        <v>23</v>
      </c>
      <c r="B98" s="78" t="s">
        <v>160</v>
      </c>
      <c r="C98" s="78">
        <v>2020</v>
      </c>
      <c r="D98" s="176" t="s">
        <v>373</v>
      </c>
      <c r="E98" s="78" t="s">
        <v>369</v>
      </c>
      <c r="F98" s="78" t="s">
        <v>358</v>
      </c>
      <c r="G98" s="78" t="s">
        <v>25</v>
      </c>
      <c r="H98" s="78" t="s">
        <v>113</v>
      </c>
      <c r="I98" s="78" t="s">
        <v>111</v>
      </c>
      <c r="J98" s="78" t="s">
        <v>27</v>
      </c>
      <c r="K98" s="78" t="s">
        <v>112</v>
      </c>
      <c r="L98" s="78">
        <v>1</v>
      </c>
      <c r="N98" s="78">
        <v>6</v>
      </c>
      <c r="O98" s="78">
        <v>0.2</v>
      </c>
      <c r="P98" s="78">
        <v>0.2</v>
      </c>
      <c r="Q98" s="16">
        <f t="shared" si="7"/>
        <v>0.2</v>
      </c>
      <c r="R98" s="78">
        <v>16.2</v>
      </c>
      <c r="S98" s="78">
        <v>83</v>
      </c>
      <c r="T98" s="16">
        <f t="shared" si="1"/>
        <v>39</v>
      </c>
      <c r="U98" s="78">
        <v>398</v>
      </c>
      <c r="V98" s="16">
        <f t="shared" si="2"/>
        <v>2587</v>
      </c>
      <c r="W98" s="78">
        <v>11</v>
      </c>
      <c r="X98" s="78" t="s">
        <v>35</v>
      </c>
      <c r="Y98" s="78" t="s">
        <v>43</v>
      </c>
      <c r="Z98" s="78" t="s">
        <v>55</v>
      </c>
      <c r="AA98" s="78" t="s">
        <v>64</v>
      </c>
      <c r="AB98" s="78" t="s">
        <v>161</v>
      </c>
    </row>
    <row r="99" spans="1:28" x14ac:dyDescent="0.15">
      <c r="A99" s="78" t="s">
        <v>23</v>
      </c>
      <c r="B99" s="78" t="s">
        <v>160</v>
      </c>
      <c r="C99" s="78">
        <v>2020</v>
      </c>
      <c r="D99" s="176" t="s">
        <v>373</v>
      </c>
      <c r="E99" s="78" t="s">
        <v>369</v>
      </c>
      <c r="F99" s="78" t="s">
        <v>358</v>
      </c>
      <c r="G99" s="78" t="s">
        <v>25</v>
      </c>
      <c r="H99" s="78" t="s">
        <v>113</v>
      </c>
      <c r="I99" s="78" t="s">
        <v>111</v>
      </c>
      <c r="J99" s="78" t="s">
        <v>27</v>
      </c>
      <c r="K99" s="78" t="s">
        <v>112</v>
      </c>
      <c r="L99" s="78">
        <v>2</v>
      </c>
      <c r="N99" s="78">
        <v>6</v>
      </c>
      <c r="O99" s="78">
        <v>0.55000000000000004</v>
      </c>
      <c r="P99" s="78">
        <v>0.5</v>
      </c>
      <c r="Q99" s="16">
        <f t="shared" si="7"/>
        <v>0.52500000000000002</v>
      </c>
      <c r="R99" s="78">
        <v>15.4</v>
      </c>
      <c r="S99" s="78">
        <v>84.5</v>
      </c>
      <c r="T99" s="16">
        <f t="shared" si="1"/>
        <v>36</v>
      </c>
      <c r="U99" s="78">
        <v>398</v>
      </c>
      <c r="V99" s="16">
        <f t="shared" si="2"/>
        <v>2388</v>
      </c>
      <c r="W99" s="78">
        <v>11</v>
      </c>
      <c r="X99" s="78" t="s">
        <v>35</v>
      </c>
      <c r="Y99" s="78" t="s">
        <v>43</v>
      </c>
      <c r="Z99" s="78" t="s">
        <v>55</v>
      </c>
      <c r="AA99" s="78" t="s">
        <v>64</v>
      </c>
      <c r="AB99" s="78" t="s">
        <v>161</v>
      </c>
    </row>
    <row r="100" spans="1:28" x14ac:dyDescent="0.15">
      <c r="A100" s="78" t="s">
        <v>23</v>
      </c>
      <c r="B100" s="78" t="s">
        <v>160</v>
      </c>
      <c r="C100" s="78">
        <v>2020</v>
      </c>
      <c r="D100" s="176" t="s">
        <v>373</v>
      </c>
      <c r="E100" s="78" t="s">
        <v>369</v>
      </c>
      <c r="F100" s="78" t="s">
        <v>358</v>
      </c>
      <c r="G100" s="78" t="s">
        <v>25</v>
      </c>
      <c r="H100" s="78" t="s">
        <v>113</v>
      </c>
      <c r="I100" s="78" t="s">
        <v>111</v>
      </c>
      <c r="J100" s="78" t="s">
        <v>27</v>
      </c>
      <c r="K100" s="78" t="s">
        <v>112</v>
      </c>
      <c r="L100" s="78">
        <v>3</v>
      </c>
      <c r="N100" s="78">
        <v>6</v>
      </c>
      <c r="O100" s="78">
        <v>0.2</v>
      </c>
      <c r="P100" s="78">
        <v>0.5</v>
      </c>
      <c r="Q100" s="16">
        <f t="shared" si="7"/>
        <v>0.35</v>
      </c>
      <c r="R100" s="78">
        <v>15.5</v>
      </c>
      <c r="S100" s="78">
        <v>87.5</v>
      </c>
      <c r="T100" s="16">
        <f t="shared" si="1"/>
        <v>36</v>
      </c>
      <c r="U100" s="78">
        <v>398</v>
      </c>
      <c r="V100" s="16">
        <f t="shared" si="2"/>
        <v>2388</v>
      </c>
      <c r="W100" s="78">
        <v>11</v>
      </c>
      <c r="X100" s="78" t="s">
        <v>35</v>
      </c>
      <c r="Y100" s="78" t="s">
        <v>43</v>
      </c>
      <c r="Z100" s="78" t="s">
        <v>55</v>
      </c>
      <c r="AA100" s="78" t="s">
        <v>64</v>
      </c>
      <c r="AB100" s="78" t="s">
        <v>161</v>
      </c>
    </row>
    <row r="101" spans="1:28" x14ac:dyDescent="0.15">
      <c r="A101" s="78" t="s">
        <v>23</v>
      </c>
      <c r="B101" s="78" t="s">
        <v>160</v>
      </c>
      <c r="C101" s="78">
        <v>2020</v>
      </c>
      <c r="D101" s="176" t="s">
        <v>373</v>
      </c>
      <c r="E101" s="78" t="s">
        <v>369</v>
      </c>
      <c r="F101" s="78" t="s">
        <v>358</v>
      </c>
      <c r="G101" s="78" t="s">
        <v>25</v>
      </c>
      <c r="H101" s="78" t="s">
        <v>167</v>
      </c>
      <c r="I101" s="78" t="s">
        <v>111</v>
      </c>
      <c r="J101" s="78" t="s">
        <v>27</v>
      </c>
      <c r="K101" s="78" t="s">
        <v>112</v>
      </c>
      <c r="L101" s="78">
        <v>1</v>
      </c>
      <c r="N101" s="78">
        <v>1</v>
      </c>
      <c r="O101" s="78">
        <v>0.2</v>
      </c>
      <c r="P101" s="78">
        <v>0.2</v>
      </c>
      <c r="Q101" s="16">
        <f t="shared" si="7"/>
        <v>0.2</v>
      </c>
      <c r="R101" s="78">
        <v>16.899999999999999</v>
      </c>
      <c r="S101" s="78">
        <v>114</v>
      </c>
      <c r="T101" s="16">
        <f t="shared" si="1"/>
        <v>30</v>
      </c>
      <c r="U101" s="78">
        <v>98</v>
      </c>
      <c r="V101" s="16">
        <f t="shared" si="2"/>
        <v>2940</v>
      </c>
      <c r="W101" s="78">
        <v>11</v>
      </c>
      <c r="X101" s="78" t="s">
        <v>35</v>
      </c>
      <c r="Y101" s="78" t="s">
        <v>43</v>
      </c>
      <c r="Z101" s="78" t="s">
        <v>55</v>
      </c>
      <c r="AA101" s="78" t="s">
        <v>64</v>
      </c>
      <c r="AB101" s="78" t="s">
        <v>161</v>
      </c>
    </row>
    <row r="102" spans="1:28" x14ac:dyDescent="0.15">
      <c r="A102" s="78" t="s">
        <v>23</v>
      </c>
      <c r="B102" s="78" t="s">
        <v>160</v>
      </c>
      <c r="C102" s="78">
        <v>2020</v>
      </c>
      <c r="D102" s="176" t="s">
        <v>373</v>
      </c>
      <c r="E102" s="78" t="s">
        <v>369</v>
      </c>
      <c r="F102" s="78" t="s">
        <v>358</v>
      </c>
      <c r="G102" s="78" t="s">
        <v>25</v>
      </c>
      <c r="H102" s="78" t="s">
        <v>167</v>
      </c>
      <c r="I102" s="78" t="s">
        <v>111</v>
      </c>
      <c r="J102" s="78" t="s">
        <v>27</v>
      </c>
      <c r="K102" s="78" t="s">
        <v>112</v>
      </c>
      <c r="L102" s="78">
        <v>2</v>
      </c>
      <c r="N102" s="78">
        <v>1</v>
      </c>
      <c r="O102" s="78">
        <v>0.2</v>
      </c>
      <c r="P102" s="78">
        <v>0.2</v>
      </c>
      <c r="Q102" s="16">
        <f t="shared" si="7"/>
        <v>0.2</v>
      </c>
      <c r="R102" s="78">
        <v>17.100000000000001</v>
      </c>
      <c r="S102" s="78">
        <v>114.5</v>
      </c>
      <c r="T102" s="16">
        <f>IF(H102="","",IF(OR(H102="GREEN",H102="GK"),IF(S103&gt;=$AX$2,VLOOKUP(S103,$AX$2:$AY$9,2,1),""),IF(S103&gt;=$AZ$2,VLOOKUP(S103,$AZ$2:$BA$9,2,1),"")))</f>
        <v>30</v>
      </c>
      <c r="U102" s="78">
        <v>98</v>
      </c>
      <c r="V102" s="16">
        <f t="shared" si="2"/>
        <v>2940</v>
      </c>
      <c r="W102" s="78">
        <v>11</v>
      </c>
      <c r="X102" s="78" t="s">
        <v>35</v>
      </c>
      <c r="Y102" s="78" t="s">
        <v>43</v>
      </c>
      <c r="Z102" s="78" t="s">
        <v>55</v>
      </c>
      <c r="AA102" s="78" t="s">
        <v>64</v>
      </c>
      <c r="AB102" s="78" t="s">
        <v>161</v>
      </c>
    </row>
    <row r="103" spans="1:28" x14ac:dyDescent="0.15">
      <c r="A103" s="78" t="s">
        <v>23</v>
      </c>
      <c r="B103" s="78" t="s">
        <v>160</v>
      </c>
      <c r="C103" s="78">
        <v>2020</v>
      </c>
      <c r="D103" s="176" t="s">
        <v>373</v>
      </c>
      <c r="E103" s="78" t="s">
        <v>369</v>
      </c>
      <c r="F103" s="78" t="s">
        <v>358</v>
      </c>
      <c r="G103" s="78" t="s">
        <v>25</v>
      </c>
      <c r="H103" s="78" t="s">
        <v>167</v>
      </c>
      <c r="I103" s="78" t="s">
        <v>111</v>
      </c>
      <c r="J103" s="78" t="s">
        <v>27</v>
      </c>
      <c r="K103" s="78" t="s">
        <v>112</v>
      </c>
      <c r="L103" s="78">
        <v>3</v>
      </c>
      <c r="N103" s="78">
        <v>1</v>
      </c>
      <c r="O103" s="78">
        <v>0.2</v>
      </c>
      <c r="P103" s="78">
        <v>0.2</v>
      </c>
      <c r="Q103" s="16">
        <f t="shared" si="7"/>
        <v>0.2</v>
      </c>
      <c r="R103" s="78">
        <v>16.8</v>
      </c>
      <c r="S103" s="78">
        <v>115</v>
      </c>
      <c r="T103" s="16">
        <f>IF(H103="","",IF(OR(H103="GREEN",H103="GK"),IF(S104&gt;=$AX$2,VLOOKUP(S104,$AX$2:$AY$9,2,1),""),IF(S104&gt;=$AZ$2,VLOOKUP(S104,$AZ$2:$BA$9,2,1),"")))</f>
        <v>33</v>
      </c>
      <c r="U103" s="78">
        <v>98</v>
      </c>
      <c r="V103" s="16">
        <f t="shared" si="2"/>
        <v>3234</v>
      </c>
      <c r="W103" s="78">
        <v>11</v>
      </c>
      <c r="X103" s="78" t="s">
        <v>35</v>
      </c>
      <c r="Y103" s="78" t="s">
        <v>43</v>
      </c>
      <c r="Z103" s="78" t="s">
        <v>55</v>
      </c>
      <c r="AA103" s="78" t="s">
        <v>64</v>
      </c>
      <c r="AB103" s="78" t="s">
        <v>161</v>
      </c>
    </row>
    <row r="104" spans="1:28" x14ac:dyDescent="0.15">
      <c r="A104" s="78" t="s">
        <v>23</v>
      </c>
      <c r="B104" s="78" t="s">
        <v>160</v>
      </c>
      <c r="C104" s="78">
        <v>2020</v>
      </c>
      <c r="D104" s="176" t="s">
        <v>373</v>
      </c>
      <c r="E104" s="78" t="s">
        <v>369</v>
      </c>
      <c r="F104" s="78" t="s">
        <v>358</v>
      </c>
      <c r="G104" s="78" t="s">
        <v>25</v>
      </c>
      <c r="H104" s="78" t="s">
        <v>167</v>
      </c>
      <c r="I104" s="78" t="s">
        <v>111</v>
      </c>
      <c r="J104" s="78" t="s">
        <v>27</v>
      </c>
      <c r="K104" s="78" t="s">
        <v>112</v>
      </c>
      <c r="L104" s="78">
        <v>1</v>
      </c>
      <c r="N104" s="78">
        <v>4</v>
      </c>
      <c r="O104" s="78">
        <v>0.45</v>
      </c>
      <c r="P104" s="78">
        <v>0.2</v>
      </c>
      <c r="Q104" s="16">
        <f t="shared" si="7"/>
        <v>0.32500000000000001</v>
      </c>
      <c r="R104" s="78">
        <v>16</v>
      </c>
      <c r="S104" s="78">
        <v>109.5</v>
      </c>
      <c r="T104" s="16">
        <f>IF(H104="","",IF(OR(H104="GREEN",H104="GK"),IF(S105&gt;=$AX$2,VLOOKUP(S105,$AX$2:$AY$9,2,1),""),IF(S105&gt;=$AZ$2,VLOOKUP(S105,$AZ$2:$BA$9,2,1),"")))</f>
        <v>30</v>
      </c>
      <c r="U104" s="78">
        <v>398</v>
      </c>
      <c r="V104" s="16">
        <f t="shared" si="2"/>
        <v>2985</v>
      </c>
      <c r="W104" s="78">
        <v>11</v>
      </c>
      <c r="X104" s="78" t="s">
        <v>35</v>
      </c>
      <c r="Y104" s="78" t="s">
        <v>43</v>
      </c>
      <c r="Z104" s="78" t="s">
        <v>55</v>
      </c>
      <c r="AA104" s="78" t="s">
        <v>64</v>
      </c>
      <c r="AB104" s="78" t="s">
        <v>161</v>
      </c>
    </row>
    <row r="105" spans="1:28" x14ac:dyDescent="0.15">
      <c r="A105" s="78" t="s">
        <v>23</v>
      </c>
      <c r="B105" s="78" t="s">
        <v>160</v>
      </c>
      <c r="C105" s="78">
        <v>2020</v>
      </c>
      <c r="D105" s="176" t="s">
        <v>373</v>
      </c>
      <c r="E105" s="78" t="s">
        <v>369</v>
      </c>
      <c r="F105" s="78" t="s">
        <v>358</v>
      </c>
      <c r="G105" s="78" t="s">
        <v>25</v>
      </c>
      <c r="H105" s="78" t="s">
        <v>167</v>
      </c>
      <c r="I105" s="78" t="s">
        <v>111</v>
      </c>
      <c r="J105" s="78" t="s">
        <v>27</v>
      </c>
      <c r="K105" s="78" t="s">
        <v>112</v>
      </c>
      <c r="L105" s="78">
        <v>2</v>
      </c>
      <c r="N105" s="78">
        <v>4</v>
      </c>
      <c r="O105" s="78">
        <v>0.2</v>
      </c>
      <c r="P105" s="78">
        <v>0.5</v>
      </c>
      <c r="Q105" s="16">
        <f t="shared" si="7"/>
        <v>0.35</v>
      </c>
      <c r="R105" s="78">
        <v>15.8</v>
      </c>
      <c r="S105" s="78">
        <v>117.5</v>
      </c>
      <c r="T105" s="16">
        <f>IF(H105="","",IF(OR(H105="GREEN",H105="GK"),IF(S106&gt;=$AX$2,VLOOKUP(S106,$AX$2:$AY$9,2,1),""),IF(S106&gt;=$AZ$2,VLOOKUP(S106,$AZ$2:$BA$9,2,1),"")))</f>
        <v>33</v>
      </c>
      <c r="U105" s="78">
        <v>398</v>
      </c>
      <c r="V105" s="16">
        <f t="shared" si="2"/>
        <v>3283.5</v>
      </c>
      <c r="W105" s="78">
        <v>11</v>
      </c>
      <c r="X105" s="78" t="s">
        <v>35</v>
      </c>
      <c r="Y105" s="78" t="s">
        <v>43</v>
      </c>
      <c r="Z105" s="78" t="s">
        <v>55</v>
      </c>
      <c r="AA105" s="78" t="s">
        <v>64</v>
      </c>
      <c r="AB105" s="78" t="s">
        <v>161</v>
      </c>
    </row>
    <row r="106" spans="1:28" x14ac:dyDescent="0.15">
      <c r="A106" s="78" t="s">
        <v>23</v>
      </c>
      <c r="B106" s="78" t="s">
        <v>160</v>
      </c>
      <c r="C106" s="78">
        <v>2020</v>
      </c>
      <c r="D106" s="176" t="s">
        <v>373</v>
      </c>
      <c r="E106" s="78" t="s">
        <v>369</v>
      </c>
      <c r="F106" s="78" t="s">
        <v>358</v>
      </c>
      <c r="G106" s="78" t="s">
        <v>25</v>
      </c>
      <c r="H106" s="78" t="s">
        <v>167</v>
      </c>
      <c r="I106" s="78" t="s">
        <v>111</v>
      </c>
      <c r="J106" s="78" t="s">
        <v>27</v>
      </c>
      <c r="K106" s="78" t="s">
        <v>112</v>
      </c>
      <c r="L106" s="78">
        <v>3</v>
      </c>
      <c r="N106" s="78">
        <v>4</v>
      </c>
      <c r="O106" s="78">
        <v>0.2</v>
      </c>
      <c r="P106" s="78">
        <v>0.2</v>
      </c>
      <c r="Q106" s="16">
        <f t="shared" si="7"/>
        <v>0.2</v>
      </c>
      <c r="R106" s="78">
        <v>15.4</v>
      </c>
      <c r="S106" s="78">
        <v>106</v>
      </c>
      <c r="T106" s="16">
        <f t="shared" ref="T106:T107" si="8">IF(H106="","",IF(OR(H106="GREEN",H106="GK"),IF(S107&gt;=$AX$2,VLOOKUP(S107,$AX$2:$AY$9,2,1),""),IF(S107&gt;=$AZ$2,VLOOKUP(S107,$AZ$2:$BA$9,2,1),"")))</f>
        <v>30</v>
      </c>
      <c r="U106" s="78">
        <v>398</v>
      </c>
      <c r="V106" s="16">
        <f t="shared" si="2"/>
        <v>2985</v>
      </c>
      <c r="W106" s="78">
        <v>11</v>
      </c>
      <c r="X106" s="78" t="s">
        <v>35</v>
      </c>
      <c r="Y106" s="78" t="s">
        <v>43</v>
      </c>
      <c r="Z106" s="78" t="s">
        <v>55</v>
      </c>
      <c r="AA106" s="78" t="s">
        <v>64</v>
      </c>
      <c r="AB106" s="78" t="s">
        <v>161</v>
      </c>
    </row>
    <row r="107" spans="1:28" x14ac:dyDescent="0.15">
      <c r="A107" s="78" t="s">
        <v>23</v>
      </c>
      <c r="B107" s="78" t="s">
        <v>160</v>
      </c>
      <c r="C107" s="78">
        <v>2020</v>
      </c>
      <c r="D107" s="176" t="s">
        <v>373</v>
      </c>
      <c r="E107" s="78" t="s">
        <v>369</v>
      </c>
      <c r="F107" s="78" t="s">
        <v>358</v>
      </c>
      <c r="G107" s="78" t="s">
        <v>25</v>
      </c>
      <c r="H107" s="78" t="s">
        <v>167</v>
      </c>
      <c r="I107" s="78" t="s">
        <v>111</v>
      </c>
      <c r="J107" s="78" t="s">
        <v>27</v>
      </c>
      <c r="K107" s="78" t="s">
        <v>112</v>
      </c>
      <c r="L107" s="78">
        <v>1</v>
      </c>
      <c r="N107" s="78">
        <v>4</v>
      </c>
      <c r="O107" s="78">
        <v>0.75</v>
      </c>
      <c r="P107" s="78">
        <v>0.95</v>
      </c>
      <c r="Q107" s="16">
        <f t="shared" si="7"/>
        <v>0.85</v>
      </c>
      <c r="R107" s="78">
        <v>16</v>
      </c>
      <c r="S107" s="78">
        <v>143.5</v>
      </c>
      <c r="T107" s="16">
        <f t="shared" si="8"/>
        <v>30</v>
      </c>
      <c r="U107" s="78">
        <v>680</v>
      </c>
      <c r="V107" s="16">
        <f t="shared" si="2"/>
        <v>5100</v>
      </c>
      <c r="W107" s="78">
        <v>11</v>
      </c>
      <c r="X107" s="78" t="s">
        <v>35</v>
      </c>
      <c r="Y107" s="78" t="s">
        <v>43</v>
      </c>
      <c r="Z107" s="78" t="s">
        <v>55</v>
      </c>
      <c r="AA107" s="78" t="s">
        <v>64</v>
      </c>
      <c r="AB107" s="78" t="s">
        <v>161</v>
      </c>
    </row>
    <row r="108" spans="1:28" x14ac:dyDescent="0.15">
      <c r="A108" s="78" t="s">
        <v>23</v>
      </c>
      <c r="B108" s="78" t="s">
        <v>160</v>
      </c>
      <c r="C108" s="78">
        <v>2020</v>
      </c>
      <c r="D108" s="176" t="s">
        <v>373</v>
      </c>
      <c r="E108" s="78" t="s">
        <v>369</v>
      </c>
      <c r="F108" s="78" t="s">
        <v>358</v>
      </c>
      <c r="G108" s="78" t="s">
        <v>25</v>
      </c>
      <c r="H108" s="78" t="s">
        <v>167</v>
      </c>
      <c r="I108" s="78" t="s">
        <v>111</v>
      </c>
      <c r="J108" s="78" t="s">
        <v>27</v>
      </c>
      <c r="K108" s="78" t="s">
        <v>112</v>
      </c>
      <c r="L108" s="78">
        <v>2</v>
      </c>
      <c r="N108" s="78">
        <v>4</v>
      </c>
      <c r="O108" s="78">
        <v>0.75</v>
      </c>
      <c r="P108" s="78">
        <v>0.7</v>
      </c>
      <c r="Q108" s="16">
        <f t="shared" si="7"/>
        <v>0.72499999999999998</v>
      </c>
      <c r="R108" s="78">
        <v>16.899999999999999</v>
      </c>
      <c r="S108" s="78">
        <v>150.5</v>
      </c>
      <c r="T108" s="16">
        <f t="shared" si="1"/>
        <v>30</v>
      </c>
      <c r="U108" s="78">
        <v>680</v>
      </c>
      <c r="V108" s="16">
        <f t="shared" si="2"/>
        <v>5100</v>
      </c>
      <c r="W108" s="78">
        <v>11</v>
      </c>
      <c r="X108" s="78" t="s">
        <v>35</v>
      </c>
      <c r="Y108" s="78" t="s">
        <v>43</v>
      </c>
      <c r="Z108" s="78" t="s">
        <v>55</v>
      </c>
      <c r="AA108" s="78" t="s">
        <v>64</v>
      </c>
      <c r="AB108" s="78" t="s">
        <v>161</v>
      </c>
    </row>
    <row r="109" spans="1:28" x14ac:dyDescent="0.15">
      <c r="A109" s="78" t="s">
        <v>23</v>
      </c>
      <c r="B109" s="78" t="s">
        <v>160</v>
      </c>
      <c r="C109" s="78">
        <v>2020</v>
      </c>
      <c r="D109" s="176" t="s">
        <v>373</v>
      </c>
      <c r="E109" s="78" t="s">
        <v>369</v>
      </c>
      <c r="F109" s="78" t="s">
        <v>358</v>
      </c>
      <c r="G109" s="78" t="s">
        <v>25</v>
      </c>
      <c r="H109" s="78" t="s">
        <v>167</v>
      </c>
      <c r="I109" s="78" t="s">
        <v>111</v>
      </c>
      <c r="J109" s="78" t="s">
        <v>27</v>
      </c>
      <c r="K109" s="78" t="s">
        <v>112</v>
      </c>
      <c r="L109" s="78">
        <v>3</v>
      </c>
      <c r="N109" s="78">
        <v>4</v>
      </c>
      <c r="O109" s="78">
        <v>0.45</v>
      </c>
      <c r="P109" s="78">
        <v>0.7</v>
      </c>
      <c r="Q109" s="16">
        <f t="shared" si="7"/>
        <v>0.57499999999999996</v>
      </c>
      <c r="R109" s="78">
        <v>17.100000000000001</v>
      </c>
      <c r="S109" s="78">
        <v>146</v>
      </c>
      <c r="T109" s="16">
        <f t="shared" si="1"/>
        <v>30</v>
      </c>
      <c r="U109" s="78">
        <v>680</v>
      </c>
      <c r="V109" s="16">
        <f t="shared" si="2"/>
        <v>5100</v>
      </c>
      <c r="W109" s="78">
        <v>11</v>
      </c>
      <c r="X109" s="78" t="s">
        <v>35</v>
      </c>
      <c r="Y109" s="78" t="s">
        <v>43</v>
      </c>
      <c r="Z109" s="78" t="s">
        <v>55</v>
      </c>
      <c r="AA109" s="78" t="s">
        <v>64</v>
      </c>
      <c r="AB109" s="78" t="s">
        <v>161</v>
      </c>
    </row>
    <row r="110" spans="1:28" x14ac:dyDescent="0.15">
      <c r="A110" s="78" t="s">
        <v>23</v>
      </c>
      <c r="B110" s="78" t="s">
        <v>160</v>
      </c>
      <c r="C110" s="78">
        <v>2020</v>
      </c>
      <c r="D110" s="176" t="s">
        <v>373</v>
      </c>
      <c r="E110" s="78" t="s">
        <v>172</v>
      </c>
      <c r="F110" s="78" t="s">
        <v>370</v>
      </c>
      <c r="G110" s="78" t="s">
        <v>25</v>
      </c>
      <c r="H110" s="78" t="s">
        <v>113</v>
      </c>
      <c r="I110" s="78" t="s">
        <v>111</v>
      </c>
      <c r="J110" s="78" t="s">
        <v>27</v>
      </c>
      <c r="K110" s="78" t="s">
        <v>112</v>
      </c>
      <c r="L110" s="78">
        <v>1</v>
      </c>
      <c r="N110" s="78">
        <v>1</v>
      </c>
      <c r="O110" s="78">
        <v>0.5</v>
      </c>
      <c r="P110" s="78">
        <v>0.55000000000000004</v>
      </c>
      <c r="Q110" s="16">
        <f t="shared" si="7"/>
        <v>0.52500000000000002</v>
      </c>
      <c r="R110" s="78">
        <v>15.4</v>
      </c>
      <c r="S110" s="78">
        <v>118</v>
      </c>
      <c r="T110" s="16">
        <f t="shared" si="1"/>
        <v>30</v>
      </c>
      <c r="U110" s="78">
        <v>79</v>
      </c>
      <c r="V110" s="16">
        <f t="shared" si="2"/>
        <v>2370</v>
      </c>
      <c r="W110" s="78">
        <v>8</v>
      </c>
      <c r="X110" s="78" t="s">
        <v>35</v>
      </c>
      <c r="Y110" s="78" t="s">
        <v>43</v>
      </c>
      <c r="Z110" s="78" t="s">
        <v>64</v>
      </c>
      <c r="AA110" s="78" t="s">
        <v>36</v>
      </c>
      <c r="AB110" s="78" t="s">
        <v>161</v>
      </c>
    </row>
    <row r="111" spans="1:28" x14ac:dyDescent="0.15">
      <c r="A111" s="78" t="s">
        <v>23</v>
      </c>
      <c r="B111" s="78" t="s">
        <v>160</v>
      </c>
      <c r="C111" s="78">
        <v>2020</v>
      </c>
      <c r="D111" s="176" t="s">
        <v>373</v>
      </c>
      <c r="E111" s="78" t="s">
        <v>172</v>
      </c>
      <c r="F111" s="78" t="s">
        <v>370</v>
      </c>
      <c r="G111" s="78" t="s">
        <v>25</v>
      </c>
      <c r="H111" s="78" t="s">
        <v>113</v>
      </c>
      <c r="I111" s="78" t="s">
        <v>111</v>
      </c>
      <c r="J111" s="78" t="s">
        <v>27</v>
      </c>
      <c r="K111" s="78" t="s">
        <v>112</v>
      </c>
      <c r="L111" s="78">
        <v>2</v>
      </c>
      <c r="N111" s="78">
        <v>1</v>
      </c>
      <c r="O111" s="78">
        <v>0.45</v>
      </c>
      <c r="P111" s="78">
        <v>0.5</v>
      </c>
      <c r="Q111" s="16">
        <f t="shared" si="7"/>
        <v>0.47499999999999998</v>
      </c>
      <c r="R111" s="78">
        <v>13.8</v>
      </c>
      <c r="S111" s="78">
        <v>123</v>
      </c>
      <c r="T111" s="16">
        <f t="shared" si="1"/>
        <v>30</v>
      </c>
      <c r="U111" s="78">
        <v>79</v>
      </c>
      <c r="V111" s="16">
        <f t="shared" si="2"/>
        <v>2370</v>
      </c>
      <c r="W111" s="78">
        <v>8</v>
      </c>
      <c r="X111" s="78" t="s">
        <v>35</v>
      </c>
      <c r="Y111" s="78" t="s">
        <v>43</v>
      </c>
      <c r="Z111" s="78" t="s">
        <v>64</v>
      </c>
      <c r="AA111" s="78" t="s">
        <v>36</v>
      </c>
      <c r="AB111" s="78" t="s">
        <v>161</v>
      </c>
    </row>
    <row r="112" spans="1:28" x14ac:dyDescent="0.15">
      <c r="A112" s="78" t="s">
        <v>23</v>
      </c>
      <c r="B112" s="78" t="s">
        <v>160</v>
      </c>
      <c r="C112" s="78">
        <v>2020</v>
      </c>
      <c r="D112" s="176" t="s">
        <v>373</v>
      </c>
      <c r="E112" s="78" t="s">
        <v>172</v>
      </c>
      <c r="F112" s="78" t="s">
        <v>370</v>
      </c>
      <c r="G112" s="78" t="s">
        <v>25</v>
      </c>
      <c r="H112" s="78" t="s">
        <v>113</v>
      </c>
      <c r="I112" s="78" t="s">
        <v>111</v>
      </c>
      <c r="J112" s="78" t="s">
        <v>27</v>
      </c>
      <c r="K112" s="78" t="s">
        <v>112</v>
      </c>
      <c r="L112" s="78">
        <v>3</v>
      </c>
      <c r="N112" s="78">
        <v>1</v>
      </c>
      <c r="O112" s="78">
        <v>0.55000000000000004</v>
      </c>
      <c r="P112" s="78">
        <v>0.6</v>
      </c>
      <c r="Q112" s="16">
        <f t="shared" si="7"/>
        <v>0.57499999999999996</v>
      </c>
      <c r="R112" s="78">
        <v>16.100000000000001</v>
      </c>
      <c r="S112" s="78">
        <v>122.5</v>
      </c>
      <c r="T112" s="16">
        <f t="shared" si="1"/>
        <v>30</v>
      </c>
      <c r="U112" s="78">
        <v>79</v>
      </c>
      <c r="V112" s="16">
        <f t="shared" si="2"/>
        <v>2370</v>
      </c>
      <c r="W112" s="78">
        <v>8</v>
      </c>
      <c r="X112" s="78" t="s">
        <v>35</v>
      </c>
      <c r="Y112" s="78" t="s">
        <v>43</v>
      </c>
      <c r="Z112" s="78" t="s">
        <v>64</v>
      </c>
      <c r="AA112" s="78" t="s">
        <v>36</v>
      </c>
      <c r="AB112" s="78" t="s">
        <v>161</v>
      </c>
    </row>
    <row r="113" spans="1:28" x14ac:dyDescent="0.15">
      <c r="A113" s="78" t="s">
        <v>23</v>
      </c>
      <c r="B113" s="78" t="s">
        <v>160</v>
      </c>
      <c r="C113" s="78">
        <v>2020</v>
      </c>
      <c r="D113" s="176" t="s">
        <v>373</v>
      </c>
      <c r="E113" s="78" t="s">
        <v>172</v>
      </c>
      <c r="F113" s="78" t="s">
        <v>370</v>
      </c>
      <c r="G113" s="78" t="s">
        <v>25</v>
      </c>
      <c r="H113" s="78" t="s">
        <v>113</v>
      </c>
      <c r="I113" s="78" t="s">
        <v>111</v>
      </c>
      <c r="J113" s="78" t="s">
        <v>27</v>
      </c>
      <c r="K113" s="78" t="s">
        <v>112</v>
      </c>
      <c r="L113" s="78">
        <v>1</v>
      </c>
      <c r="N113" s="78">
        <v>14</v>
      </c>
      <c r="O113" s="78">
        <v>0.7</v>
      </c>
      <c r="P113" s="78">
        <v>0.55000000000000004</v>
      </c>
      <c r="Q113" s="16">
        <f t="shared" si="7"/>
        <v>0.625</v>
      </c>
      <c r="R113" s="78">
        <v>15.3</v>
      </c>
      <c r="S113" s="78">
        <v>75</v>
      </c>
      <c r="T113" s="16">
        <f t="shared" si="1"/>
        <v>42</v>
      </c>
      <c r="U113" s="78">
        <v>777</v>
      </c>
      <c r="V113" s="16">
        <f t="shared" si="2"/>
        <v>2331</v>
      </c>
      <c r="W113" s="78">
        <v>8</v>
      </c>
      <c r="X113" s="78" t="s">
        <v>35</v>
      </c>
      <c r="Y113" s="78" t="s">
        <v>43</v>
      </c>
      <c r="Z113" s="78" t="s">
        <v>64</v>
      </c>
      <c r="AA113" s="78" t="s">
        <v>36</v>
      </c>
      <c r="AB113" s="78" t="s">
        <v>161</v>
      </c>
    </row>
    <row r="114" spans="1:28" x14ac:dyDescent="0.15">
      <c r="A114" s="78" t="s">
        <v>23</v>
      </c>
      <c r="B114" s="78" t="s">
        <v>160</v>
      </c>
      <c r="C114" s="78">
        <v>2020</v>
      </c>
      <c r="D114" s="176" t="s">
        <v>373</v>
      </c>
      <c r="E114" s="78" t="s">
        <v>172</v>
      </c>
      <c r="F114" s="78" t="s">
        <v>370</v>
      </c>
      <c r="G114" s="78" t="s">
        <v>25</v>
      </c>
      <c r="H114" s="78" t="s">
        <v>113</v>
      </c>
      <c r="I114" s="78" t="s">
        <v>111</v>
      </c>
      <c r="J114" s="78" t="s">
        <v>27</v>
      </c>
      <c r="K114" s="78" t="s">
        <v>112</v>
      </c>
      <c r="L114" s="78">
        <v>2</v>
      </c>
      <c r="N114" s="78">
        <v>14</v>
      </c>
      <c r="O114" s="78">
        <v>0.65</v>
      </c>
      <c r="P114" s="78">
        <v>0.75</v>
      </c>
      <c r="Q114" s="16">
        <f t="shared" si="7"/>
        <v>0.7</v>
      </c>
      <c r="R114" s="78">
        <v>14.9</v>
      </c>
      <c r="S114" s="78">
        <v>79</v>
      </c>
      <c r="T114" s="16">
        <f t="shared" si="1"/>
        <v>39</v>
      </c>
      <c r="U114" s="78">
        <v>777</v>
      </c>
      <c r="V114" s="16">
        <f t="shared" si="2"/>
        <v>2164.5</v>
      </c>
      <c r="W114" s="78">
        <v>8</v>
      </c>
      <c r="X114" s="78" t="s">
        <v>35</v>
      </c>
      <c r="Y114" s="78" t="s">
        <v>43</v>
      </c>
      <c r="Z114" s="78" t="s">
        <v>64</v>
      </c>
      <c r="AA114" s="78" t="s">
        <v>36</v>
      </c>
      <c r="AB114" s="78" t="s">
        <v>161</v>
      </c>
    </row>
    <row r="115" spans="1:28" x14ac:dyDescent="0.15">
      <c r="A115" s="78" t="s">
        <v>23</v>
      </c>
      <c r="B115" s="78" t="s">
        <v>160</v>
      </c>
      <c r="C115" s="78">
        <v>2020</v>
      </c>
      <c r="D115" s="176" t="s">
        <v>373</v>
      </c>
      <c r="E115" s="78" t="s">
        <v>172</v>
      </c>
      <c r="F115" s="78" t="s">
        <v>370</v>
      </c>
      <c r="G115" s="78" t="s">
        <v>25</v>
      </c>
      <c r="H115" s="78" t="s">
        <v>113</v>
      </c>
      <c r="I115" s="78" t="s">
        <v>111</v>
      </c>
      <c r="J115" s="78" t="s">
        <v>27</v>
      </c>
      <c r="K115" s="78" t="s">
        <v>112</v>
      </c>
      <c r="L115" s="78">
        <v>3</v>
      </c>
      <c r="N115" s="78">
        <v>14</v>
      </c>
      <c r="O115" s="78">
        <v>0.55000000000000004</v>
      </c>
      <c r="P115" s="78">
        <v>0.7</v>
      </c>
      <c r="Q115" s="16">
        <f>IF(OR(O116="",P115=""),"",AVERAGE(O116,P115))</f>
        <v>0.64999999999999991</v>
      </c>
      <c r="R115" s="78">
        <v>11.7</v>
      </c>
      <c r="S115" s="78">
        <v>76</v>
      </c>
      <c r="T115" s="16">
        <f t="shared" si="1"/>
        <v>39</v>
      </c>
      <c r="U115" s="78">
        <v>777</v>
      </c>
      <c r="V115" s="16">
        <f t="shared" si="2"/>
        <v>2164.5</v>
      </c>
      <c r="W115" s="78">
        <v>8</v>
      </c>
      <c r="X115" s="78" t="s">
        <v>35</v>
      </c>
      <c r="Y115" s="78" t="s">
        <v>43</v>
      </c>
      <c r="Z115" s="78" t="s">
        <v>64</v>
      </c>
      <c r="AA115" s="78" t="s">
        <v>36</v>
      </c>
      <c r="AB115" s="78" t="s">
        <v>161</v>
      </c>
    </row>
    <row r="116" spans="1:28" x14ac:dyDescent="0.15">
      <c r="A116" s="78" t="s">
        <v>23</v>
      </c>
      <c r="B116" s="78" t="s">
        <v>160</v>
      </c>
      <c r="C116" s="78">
        <v>2020</v>
      </c>
      <c r="D116" s="176" t="s">
        <v>373</v>
      </c>
      <c r="E116" s="78" t="s">
        <v>172</v>
      </c>
      <c r="F116" s="78" t="s">
        <v>370</v>
      </c>
      <c r="G116" s="78" t="s">
        <v>25</v>
      </c>
      <c r="H116" s="78" t="s">
        <v>167</v>
      </c>
      <c r="I116" s="78" t="s">
        <v>111</v>
      </c>
      <c r="J116" s="78" t="s">
        <v>27</v>
      </c>
      <c r="K116" s="78" t="s">
        <v>112</v>
      </c>
      <c r="L116" s="78">
        <v>1</v>
      </c>
      <c r="N116" s="78">
        <v>1</v>
      </c>
      <c r="O116" s="78">
        <v>0.6</v>
      </c>
      <c r="P116" s="78">
        <v>0.65</v>
      </c>
      <c r="Q116" s="16">
        <f>IF(OR(O117="",P116=""),"",AVERAGE(O117,P116))</f>
        <v>0.7</v>
      </c>
      <c r="R116" s="78">
        <v>16</v>
      </c>
      <c r="S116" s="78">
        <v>147</v>
      </c>
      <c r="T116" s="16">
        <f t="shared" si="1"/>
        <v>30</v>
      </c>
      <c r="U116" s="78">
        <v>98</v>
      </c>
      <c r="V116" s="16">
        <f t="shared" si="2"/>
        <v>2940</v>
      </c>
      <c r="W116" s="78">
        <v>8</v>
      </c>
      <c r="X116" s="78" t="s">
        <v>35</v>
      </c>
      <c r="Y116" s="78" t="s">
        <v>43</v>
      </c>
      <c r="Z116" s="78" t="s">
        <v>64</v>
      </c>
      <c r="AA116" s="78" t="s">
        <v>36</v>
      </c>
      <c r="AB116" s="78" t="s">
        <v>161</v>
      </c>
    </row>
    <row r="117" spans="1:28" x14ac:dyDescent="0.15">
      <c r="A117" s="78" t="s">
        <v>23</v>
      </c>
      <c r="B117" s="78" t="s">
        <v>160</v>
      </c>
      <c r="C117" s="78">
        <v>2020</v>
      </c>
      <c r="D117" s="176" t="s">
        <v>373</v>
      </c>
      <c r="E117" s="78" t="s">
        <v>172</v>
      </c>
      <c r="F117" s="78" t="s">
        <v>370</v>
      </c>
      <c r="G117" s="78" t="s">
        <v>25</v>
      </c>
      <c r="H117" s="78" t="s">
        <v>167</v>
      </c>
      <c r="I117" s="78" t="s">
        <v>111</v>
      </c>
      <c r="J117" s="78" t="s">
        <v>27</v>
      </c>
      <c r="K117" s="78" t="s">
        <v>112</v>
      </c>
      <c r="L117" s="78">
        <v>2</v>
      </c>
      <c r="N117" s="78">
        <v>1</v>
      </c>
      <c r="O117" s="78">
        <v>0.75</v>
      </c>
      <c r="P117" s="78">
        <v>0.7</v>
      </c>
      <c r="Q117" s="16">
        <f t="shared" ref="Q117:Q119" si="9">IF(OR(O118="",P117=""),"",AVERAGE(O118,P117))</f>
        <v>0.6</v>
      </c>
      <c r="R117" s="78">
        <v>15.9</v>
      </c>
      <c r="S117" s="78">
        <v>157</v>
      </c>
      <c r="T117" s="16">
        <f t="shared" si="1"/>
        <v>18</v>
      </c>
      <c r="U117" s="78">
        <v>98</v>
      </c>
      <c r="V117" s="16">
        <f t="shared" si="2"/>
        <v>1764</v>
      </c>
      <c r="W117" s="78">
        <v>8</v>
      </c>
      <c r="X117" s="78" t="s">
        <v>35</v>
      </c>
      <c r="Y117" s="78" t="s">
        <v>43</v>
      </c>
      <c r="Z117" s="78" t="s">
        <v>64</v>
      </c>
      <c r="AA117" s="78" t="s">
        <v>36</v>
      </c>
      <c r="AB117" s="78" t="s">
        <v>161</v>
      </c>
    </row>
    <row r="118" spans="1:28" x14ac:dyDescent="0.15">
      <c r="A118" s="78" t="s">
        <v>23</v>
      </c>
      <c r="B118" s="78" t="s">
        <v>160</v>
      </c>
      <c r="C118" s="78">
        <v>2020</v>
      </c>
      <c r="D118" s="176" t="s">
        <v>373</v>
      </c>
      <c r="E118" s="78" t="s">
        <v>172</v>
      </c>
      <c r="F118" s="78" t="s">
        <v>370</v>
      </c>
      <c r="G118" s="78" t="s">
        <v>25</v>
      </c>
      <c r="H118" s="78" t="s">
        <v>167</v>
      </c>
      <c r="I118" s="78" t="s">
        <v>111</v>
      </c>
      <c r="J118" s="78" t="s">
        <v>27</v>
      </c>
      <c r="K118" s="78" t="s">
        <v>112</v>
      </c>
      <c r="L118" s="78">
        <v>3</v>
      </c>
      <c r="N118" s="78">
        <v>1</v>
      </c>
      <c r="O118" s="78">
        <v>0.5</v>
      </c>
      <c r="P118" s="78">
        <v>0.5</v>
      </c>
      <c r="Q118" s="16">
        <f t="shared" si="9"/>
        <v>0.35</v>
      </c>
      <c r="R118" s="78">
        <v>16.100000000000001</v>
      </c>
      <c r="S118" s="78">
        <v>168</v>
      </c>
      <c r="T118" s="16">
        <f t="shared" si="1"/>
        <v>18</v>
      </c>
      <c r="U118" s="78">
        <v>98</v>
      </c>
      <c r="V118" s="16">
        <f t="shared" si="2"/>
        <v>1764</v>
      </c>
      <c r="W118" s="78">
        <v>8</v>
      </c>
      <c r="X118" s="78" t="s">
        <v>35</v>
      </c>
      <c r="Y118" s="78" t="s">
        <v>43</v>
      </c>
      <c r="Z118" s="78" t="s">
        <v>64</v>
      </c>
      <c r="AA118" s="78" t="s">
        <v>36</v>
      </c>
      <c r="AB118" s="78" t="s">
        <v>161</v>
      </c>
    </row>
    <row r="119" spans="1:28" x14ac:dyDescent="0.15">
      <c r="A119" s="78" t="s">
        <v>23</v>
      </c>
      <c r="B119" s="78" t="s">
        <v>160</v>
      </c>
      <c r="C119" s="78">
        <v>2020</v>
      </c>
      <c r="D119" s="176" t="s">
        <v>373</v>
      </c>
      <c r="E119" s="78" t="s">
        <v>172</v>
      </c>
      <c r="F119" s="78" t="s">
        <v>370</v>
      </c>
      <c r="G119" s="78" t="s">
        <v>25</v>
      </c>
      <c r="H119" s="78" t="s">
        <v>167</v>
      </c>
      <c r="I119" s="78" t="s">
        <v>111</v>
      </c>
      <c r="J119" s="78" t="s">
        <v>27</v>
      </c>
      <c r="K119" s="78" t="s">
        <v>112</v>
      </c>
      <c r="L119" s="78">
        <v>1</v>
      </c>
      <c r="N119" s="78">
        <v>5</v>
      </c>
      <c r="O119" s="78">
        <v>0.2</v>
      </c>
      <c r="P119" s="78">
        <v>0.5</v>
      </c>
      <c r="Q119" s="16">
        <f t="shared" si="9"/>
        <v>0.35</v>
      </c>
      <c r="R119" s="78">
        <v>16.5</v>
      </c>
      <c r="S119" s="78">
        <v>126</v>
      </c>
      <c r="T119" s="16">
        <f t="shared" si="1"/>
        <v>30</v>
      </c>
      <c r="U119" s="78">
        <v>398</v>
      </c>
      <c r="V119" s="16">
        <f t="shared" si="2"/>
        <v>2388</v>
      </c>
      <c r="W119" s="78">
        <v>8</v>
      </c>
      <c r="X119" s="78" t="s">
        <v>35</v>
      </c>
      <c r="Y119" s="78" t="s">
        <v>43</v>
      </c>
      <c r="Z119" s="78" t="s">
        <v>64</v>
      </c>
      <c r="AA119" s="78" t="s">
        <v>36</v>
      </c>
      <c r="AB119" s="78" t="s">
        <v>161</v>
      </c>
    </row>
    <row r="120" spans="1:28" x14ac:dyDescent="0.15">
      <c r="A120" s="78" t="s">
        <v>23</v>
      </c>
      <c r="B120" s="78" t="s">
        <v>160</v>
      </c>
      <c r="C120" s="78">
        <v>2020</v>
      </c>
      <c r="D120" s="176" t="s">
        <v>373</v>
      </c>
      <c r="E120" s="78" t="s">
        <v>172</v>
      </c>
      <c r="F120" s="78" t="s">
        <v>370</v>
      </c>
      <c r="G120" s="78" t="s">
        <v>25</v>
      </c>
      <c r="H120" s="78" t="s">
        <v>167</v>
      </c>
      <c r="I120" s="78" t="s">
        <v>111</v>
      </c>
      <c r="J120" s="78" t="s">
        <v>27</v>
      </c>
      <c r="K120" s="78" t="s">
        <v>112</v>
      </c>
      <c r="L120" s="78">
        <v>2</v>
      </c>
      <c r="N120" s="78">
        <v>5</v>
      </c>
      <c r="O120" s="78">
        <v>0.2</v>
      </c>
      <c r="P120" s="78">
        <v>0.2</v>
      </c>
      <c r="Q120" s="16">
        <f t="shared" si="7"/>
        <v>0.2</v>
      </c>
      <c r="R120" s="78">
        <v>17.899999999999999</v>
      </c>
      <c r="S120" s="78">
        <v>119.5</v>
      </c>
      <c r="T120" s="16">
        <f t="shared" si="1"/>
        <v>30</v>
      </c>
      <c r="U120" s="78">
        <v>398</v>
      </c>
      <c r="V120" s="16">
        <f t="shared" si="2"/>
        <v>2388</v>
      </c>
      <c r="W120" s="78">
        <v>8</v>
      </c>
      <c r="X120" s="78" t="s">
        <v>35</v>
      </c>
      <c r="Y120" s="78" t="s">
        <v>43</v>
      </c>
      <c r="Z120" s="78" t="s">
        <v>64</v>
      </c>
      <c r="AA120" s="78" t="s">
        <v>36</v>
      </c>
      <c r="AB120" s="78" t="s">
        <v>161</v>
      </c>
    </row>
    <row r="121" spans="1:28" x14ac:dyDescent="0.15">
      <c r="A121" s="78" t="s">
        <v>23</v>
      </c>
      <c r="B121" s="78" t="s">
        <v>160</v>
      </c>
      <c r="C121" s="78">
        <v>2020</v>
      </c>
      <c r="D121" s="176" t="s">
        <v>373</v>
      </c>
      <c r="E121" s="78" t="s">
        <v>172</v>
      </c>
      <c r="F121" s="78" t="s">
        <v>370</v>
      </c>
      <c r="G121" s="78" t="s">
        <v>25</v>
      </c>
      <c r="H121" s="78" t="s">
        <v>167</v>
      </c>
      <c r="I121" s="78" t="s">
        <v>111</v>
      </c>
      <c r="J121" s="78" t="s">
        <v>27</v>
      </c>
      <c r="K121" s="78" t="s">
        <v>112</v>
      </c>
      <c r="L121" s="78">
        <v>3</v>
      </c>
      <c r="N121" s="78">
        <v>5</v>
      </c>
      <c r="O121" s="78">
        <v>0.2</v>
      </c>
      <c r="P121" s="78">
        <v>0.2</v>
      </c>
      <c r="Q121" s="16">
        <f t="shared" si="7"/>
        <v>0.2</v>
      </c>
      <c r="R121" s="78">
        <v>18.399999999999999</v>
      </c>
      <c r="S121" s="78">
        <v>125</v>
      </c>
      <c r="T121" s="16">
        <f t="shared" si="1"/>
        <v>30</v>
      </c>
      <c r="U121" s="78">
        <v>398</v>
      </c>
      <c r="V121" s="16">
        <f t="shared" si="2"/>
        <v>2388</v>
      </c>
      <c r="W121" s="78">
        <v>8</v>
      </c>
      <c r="X121" s="78" t="s">
        <v>35</v>
      </c>
      <c r="Y121" s="78" t="s">
        <v>43</v>
      </c>
      <c r="Z121" s="78" t="s">
        <v>64</v>
      </c>
      <c r="AA121" s="78" t="s">
        <v>36</v>
      </c>
      <c r="AB121" s="78" t="s">
        <v>161</v>
      </c>
    </row>
    <row r="122" spans="1:28" x14ac:dyDescent="0.15">
      <c r="A122" s="78" t="s">
        <v>23</v>
      </c>
      <c r="B122" s="78" t="s">
        <v>160</v>
      </c>
      <c r="C122" s="78">
        <v>2020</v>
      </c>
      <c r="D122" s="176" t="s">
        <v>373</v>
      </c>
      <c r="E122" s="78" t="s">
        <v>172</v>
      </c>
      <c r="F122" s="78" t="s">
        <v>370</v>
      </c>
      <c r="G122" s="78" t="s">
        <v>25</v>
      </c>
      <c r="H122" s="78" t="s">
        <v>167</v>
      </c>
      <c r="I122" s="78" t="s">
        <v>111</v>
      </c>
      <c r="J122" s="78" t="s">
        <v>27</v>
      </c>
      <c r="K122" s="78" t="s">
        <v>112</v>
      </c>
      <c r="L122" s="78">
        <v>1</v>
      </c>
      <c r="N122" s="78">
        <v>18</v>
      </c>
      <c r="O122" s="78">
        <v>0.2</v>
      </c>
      <c r="P122" s="78">
        <v>0.2</v>
      </c>
      <c r="Q122" s="16">
        <f t="shared" si="7"/>
        <v>0.2</v>
      </c>
      <c r="R122" s="78">
        <v>13.6</v>
      </c>
      <c r="S122" s="78">
        <v>97</v>
      </c>
      <c r="T122" s="16">
        <f t="shared" si="1"/>
        <v>36</v>
      </c>
      <c r="U122" s="78">
        <v>980</v>
      </c>
      <c r="V122" s="16">
        <f t="shared" si="2"/>
        <v>1960</v>
      </c>
      <c r="W122" s="78">
        <v>8</v>
      </c>
      <c r="X122" s="78" t="s">
        <v>35</v>
      </c>
      <c r="Y122" s="78" t="s">
        <v>43</v>
      </c>
      <c r="Z122" s="78" t="s">
        <v>64</v>
      </c>
      <c r="AA122" s="78" t="s">
        <v>36</v>
      </c>
      <c r="AB122" s="78" t="s">
        <v>161</v>
      </c>
    </row>
    <row r="123" spans="1:28" x14ac:dyDescent="0.15">
      <c r="A123" s="78" t="s">
        <v>23</v>
      </c>
      <c r="B123" s="78" t="s">
        <v>160</v>
      </c>
      <c r="C123" s="78">
        <v>2020</v>
      </c>
      <c r="D123" s="176" t="s">
        <v>373</v>
      </c>
      <c r="E123" s="78" t="s">
        <v>172</v>
      </c>
      <c r="F123" s="78" t="s">
        <v>370</v>
      </c>
      <c r="G123" s="78" t="s">
        <v>25</v>
      </c>
      <c r="H123" s="78" t="s">
        <v>167</v>
      </c>
      <c r="I123" s="78" t="s">
        <v>111</v>
      </c>
      <c r="J123" s="78" t="s">
        <v>27</v>
      </c>
      <c r="K123" s="78" t="s">
        <v>112</v>
      </c>
      <c r="L123" s="78">
        <v>2</v>
      </c>
      <c r="N123" s="78">
        <v>18</v>
      </c>
      <c r="O123" s="78">
        <v>0.2</v>
      </c>
      <c r="P123" s="78">
        <v>0.55000000000000004</v>
      </c>
      <c r="Q123" s="16">
        <f t="shared" si="7"/>
        <v>0.375</v>
      </c>
      <c r="R123" s="78">
        <v>16.2</v>
      </c>
      <c r="S123" s="78">
        <v>103</v>
      </c>
      <c r="T123" s="16">
        <f t="shared" si="1"/>
        <v>33</v>
      </c>
      <c r="U123" s="78">
        <v>980</v>
      </c>
      <c r="V123" s="16">
        <f t="shared" si="2"/>
        <v>1796.6666666666665</v>
      </c>
      <c r="W123" s="78">
        <v>8</v>
      </c>
      <c r="X123" s="78" t="s">
        <v>35</v>
      </c>
      <c r="Y123" s="78" t="s">
        <v>43</v>
      </c>
      <c r="Z123" s="78" t="s">
        <v>64</v>
      </c>
      <c r="AA123" s="78" t="s">
        <v>36</v>
      </c>
      <c r="AB123" s="78" t="s">
        <v>161</v>
      </c>
    </row>
    <row r="124" spans="1:28" x14ac:dyDescent="0.15">
      <c r="A124" s="78" t="s">
        <v>23</v>
      </c>
      <c r="B124" s="78" t="s">
        <v>160</v>
      </c>
      <c r="C124" s="78">
        <v>2020</v>
      </c>
      <c r="D124" s="176" t="s">
        <v>373</v>
      </c>
      <c r="E124" s="78" t="s">
        <v>172</v>
      </c>
      <c r="F124" s="78" t="s">
        <v>370</v>
      </c>
      <c r="G124" s="78" t="s">
        <v>25</v>
      </c>
      <c r="H124" s="78" t="s">
        <v>167</v>
      </c>
      <c r="I124" s="78" t="s">
        <v>111</v>
      </c>
      <c r="J124" s="78" t="s">
        <v>27</v>
      </c>
      <c r="K124" s="78" t="s">
        <v>112</v>
      </c>
      <c r="L124" s="78">
        <v>3</v>
      </c>
      <c r="N124" s="78">
        <v>18</v>
      </c>
      <c r="O124" s="78">
        <v>0.45</v>
      </c>
      <c r="P124" s="78">
        <v>0.45</v>
      </c>
      <c r="Q124" s="16">
        <f t="shared" si="7"/>
        <v>0.45</v>
      </c>
      <c r="R124" s="78">
        <v>17.100000000000001</v>
      </c>
      <c r="S124" s="78">
        <v>92.5</v>
      </c>
      <c r="T124" s="16">
        <f t="shared" si="1"/>
        <v>36</v>
      </c>
      <c r="U124" s="78">
        <v>980</v>
      </c>
      <c r="V124" s="16">
        <f t="shared" si="2"/>
        <v>1960</v>
      </c>
      <c r="W124" s="78">
        <v>8</v>
      </c>
      <c r="X124" s="78" t="s">
        <v>35</v>
      </c>
      <c r="Y124" s="78" t="s">
        <v>43</v>
      </c>
      <c r="Z124" s="78" t="s">
        <v>64</v>
      </c>
      <c r="AA124" s="78" t="s">
        <v>36</v>
      </c>
      <c r="AB124" s="78" t="s">
        <v>161</v>
      </c>
    </row>
    <row r="125" spans="1:28" x14ac:dyDescent="0.15">
      <c r="A125" s="78" t="s">
        <v>23</v>
      </c>
      <c r="B125" s="78" t="s">
        <v>160</v>
      </c>
      <c r="C125" s="78">
        <v>2020</v>
      </c>
      <c r="D125" s="176" t="s">
        <v>373</v>
      </c>
      <c r="E125" s="78" t="s">
        <v>371</v>
      </c>
      <c r="F125" s="78" t="s">
        <v>362</v>
      </c>
      <c r="G125" s="78" t="s">
        <v>31</v>
      </c>
      <c r="H125" s="78" t="s">
        <v>113</v>
      </c>
      <c r="I125" s="78" t="s">
        <v>111</v>
      </c>
      <c r="J125" s="78" t="s">
        <v>27</v>
      </c>
      <c r="K125" s="78" t="s">
        <v>112</v>
      </c>
      <c r="L125" s="78">
        <v>1</v>
      </c>
      <c r="N125" s="78">
        <v>1</v>
      </c>
      <c r="O125" s="78">
        <v>0.9</v>
      </c>
      <c r="P125" s="78">
        <v>0.85</v>
      </c>
      <c r="Q125" s="16">
        <f t="shared" si="7"/>
        <v>0.875</v>
      </c>
      <c r="R125" s="78">
        <v>16.399999999999999</v>
      </c>
      <c r="S125" s="78">
        <v>131</v>
      </c>
      <c r="T125" s="16">
        <f t="shared" si="1"/>
        <v>30</v>
      </c>
      <c r="U125" s="78">
        <v>118</v>
      </c>
      <c r="V125" s="16">
        <f t="shared" si="2"/>
        <v>3540</v>
      </c>
      <c r="W125" s="78">
        <v>10</v>
      </c>
      <c r="X125" s="78" t="s">
        <v>35</v>
      </c>
      <c r="Y125" s="78" t="s">
        <v>43</v>
      </c>
      <c r="Z125" s="78" t="s">
        <v>55</v>
      </c>
      <c r="AA125" s="78" t="s">
        <v>36</v>
      </c>
      <c r="AB125" s="78" t="s">
        <v>161</v>
      </c>
    </row>
    <row r="126" spans="1:28" x14ac:dyDescent="0.15">
      <c r="A126" s="78" t="s">
        <v>23</v>
      </c>
      <c r="B126" s="78" t="s">
        <v>160</v>
      </c>
      <c r="C126" s="78">
        <v>2020</v>
      </c>
      <c r="D126" s="176" t="s">
        <v>373</v>
      </c>
      <c r="E126" s="78" t="s">
        <v>371</v>
      </c>
      <c r="F126" s="78" t="s">
        <v>362</v>
      </c>
      <c r="G126" s="78" t="s">
        <v>31</v>
      </c>
      <c r="H126" s="78" t="s">
        <v>113</v>
      </c>
      <c r="I126" s="78" t="s">
        <v>111</v>
      </c>
      <c r="J126" s="78" t="s">
        <v>27</v>
      </c>
      <c r="K126" s="78" t="s">
        <v>112</v>
      </c>
      <c r="L126" s="78">
        <v>2</v>
      </c>
      <c r="N126" s="78">
        <v>1</v>
      </c>
      <c r="O126" s="78">
        <v>0.5</v>
      </c>
      <c r="P126" s="78">
        <v>0.7</v>
      </c>
      <c r="Q126" s="16">
        <f t="shared" si="7"/>
        <v>0.6</v>
      </c>
      <c r="R126" s="78">
        <v>15.3</v>
      </c>
      <c r="S126" s="78">
        <v>126</v>
      </c>
      <c r="T126" s="16">
        <f t="shared" si="1"/>
        <v>30</v>
      </c>
      <c r="U126" s="78">
        <v>118</v>
      </c>
      <c r="V126" s="16">
        <f t="shared" si="2"/>
        <v>3540</v>
      </c>
      <c r="W126" s="78">
        <v>10</v>
      </c>
      <c r="X126" s="78" t="s">
        <v>35</v>
      </c>
      <c r="Y126" s="78" t="s">
        <v>43</v>
      </c>
      <c r="Z126" s="78" t="s">
        <v>55</v>
      </c>
      <c r="AA126" s="78" t="s">
        <v>36</v>
      </c>
      <c r="AB126" s="78" t="s">
        <v>161</v>
      </c>
    </row>
    <row r="127" spans="1:28" x14ac:dyDescent="0.15">
      <c r="A127" s="78" t="s">
        <v>23</v>
      </c>
      <c r="B127" s="78" t="s">
        <v>160</v>
      </c>
      <c r="C127" s="78">
        <v>2020</v>
      </c>
      <c r="D127" s="176" t="s">
        <v>373</v>
      </c>
      <c r="E127" s="78" t="s">
        <v>371</v>
      </c>
      <c r="F127" s="78" t="s">
        <v>362</v>
      </c>
      <c r="G127" s="78" t="s">
        <v>31</v>
      </c>
      <c r="H127" s="78" t="s">
        <v>113</v>
      </c>
      <c r="I127" s="78" t="s">
        <v>111</v>
      </c>
      <c r="J127" s="78" t="s">
        <v>27</v>
      </c>
      <c r="K127" s="78" t="s">
        <v>112</v>
      </c>
      <c r="L127" s="78">
        <v>3</v>
      </c>
      <c r="N127" s="78">
        <v>1</v>
      </c>
      <c r="O127" s="78">
        <v>0.7</v>
      </c>
      <c r="P127" s="78">
        <v>0.7</v>
      </c>
      <c r="Q127" s="16">
        <f t="shared" si="7"/>
        <v>0.7</v>
      </c>
      <c r="R127" s="78">
        <v>15.1</v>
      </c>
      <c r="S127" s="78">
        <v>128.5</v>
      </c>
      <c r="T127" s="16">
        <f t="shared" si="1"/>
        <v>30</v>
      </c>
      <c r="U127" s="78">
        <v>118</v>
      </c>
      <c r="V127" s="16">
        <f t="shared" si="2"/>
        <v>3540</v>
      </c>
      <c r="W127" s="78">
        <v>10</v>
      </c>
      <c r="X127" s="78" t="s">
        <v>35</v>
      </c>
      <c r="Y127" s="78" t="s">
        <v>43</v>
      </c>
      <c r="Z127" s="78" t="s">
        <v>55</v>
      </c>
      <c r="AA127" s="78" t="s">
        <v>36</v>
      </c>
      <c r="AB127" s="78" t="s">
        <v>161</v>
      </c>
    </row>
    <row r="128" spans="1:28" x14ac:dyDescent="0.15">
      <c r="A128" s="78" t="s">
        <v>23</v>
      </c>
      <c r="B128" s="78" t="s">
        <v>160</v>
      </c>
      <c r="C128" s="78">
        <v>2020</v>
      </c>
      <c r="D128" s="176" t="s">
        <v>373</v>
      </c>
      <c r="E128" s="78" t="s">
        <v>371</v>
      </c>
      <c r="F128" s="78" t="s">
        <v>362</v>
      </c>
      <c r="G128" s="78" t="s">
        <v>31</v>
      </c>
      <c r="H128" s="78" t="s">
        <v>165</v>
      </c>
      <c r="I128" s="78" t="s">
        <v>111</v>
      </c>
      <c r="J128" s="78" t="s">
        <v>27</v>
      </c>
      <c r="K128" s="78" t="s">
        <v>112</v>
      </c>
      <c r="L128" s="78">
        <v>1</v>
      </c>
      <c r="N128" s="78">
        <v>4</v>
      </c>
      <c r="O128" s="78">
        <v>0.2</v>
      </c>
      <c r="P128" s="78">
        <v>0.2</v>
      </c>
      <c r="Q128" s="16">
        <f t="shared" si="7"/>
        <v>0.2</v>
      </c>
      <c r="R128" s="78">
        <v>17.5</v>
      </c>
      <c r="S128" s="78">
        <v>104.5</v>
      </c>
      <c r="T128" s="16">
        <f t="shared" si="1"/>
        <v>33</v>
      </c>
      <c r="U128" s="78">
        <v>398</v>
      </c>
      <c r="V128" s="16">
        <f t="shared" si="2"/>
        <v>3283.5</v>
      </c>
      <c r="W128" s="78">
        <v>10</v>
      </c>
      <c r="X128" s="78" t="s">
        <v>35</v>
      </c>
      <c r="Y128" s="78" t="s">
        <v>43</v>
      </c>
      <c r="Z128" s="78" t="s">
        <v>55</v>
      </c>
      <c r="AA128" s="78" t="s">
        <v>36</v>
      </c>
      <c r="AB128" s="78" t="s">
        <v>161</v>
      </c>
    </row>
    <row r="129" spans="1:28" x14ac:dyDescent="0.15">
      <c r="A129" s="78" t="s">
        <v>23</v>
      </c>
      <c r="B129" s="78" t="s">
        <v>160</v>
      </c>
      <c r="C129" s="78">
        <v>2020</v>
      </c>
      <c r="D129" s="176" t="s">
        <v>373</v>
      </c>
      <c r="E129" s="78" t="s">
        <v>371</v>
      </c>
      <c r="F129" s="78" t="s">
        <v>362</v>
      </c>
      <c r="G129" s="78" t="s">
        <v>31</v>
      </c>
      <c r="H129" s="78" t="s">
        <v>165</v>
      </c>
      <c r="I129" s="78" t="s">
        <v>111</v>
      </c>
      <c r="J129" s="78" t="s">
        <v>27</v>
      </c>
      <c r="K129" s="78" t="s">
        <v>112</v>
      </c>
      <c r="L129" s="78">
        <v>2</v>
      </c>
      <c r="N129" s="78">
        <v>4</v>
      </c>
      <c r="O129" s="78">
        <v>0.2</v>
      </c>
      <c r="P129" s="78">
        <v>0.2</v>
      </c>
      <c r="Q129" s="16">
        <f t="shared" si="7"/>
        <v>0.2</v>
      </c>
      <c r="R129" s="78">
        <v>18</v>
      </c>
      <c r="S129" s="78">
        <v>96.5</v>
      </c>
      <c r="T129" s="16">
        <f t="shared" si="1"/>
        <v>36</v>
      </c>
      <c r="U129" s="78">
        <v>398</v>
      </c>
      <c r="V129" s="16">
        <f t="shared" si="2"/>
        <v>3582</v>
      </c>
      <c r="W129" s="78">
        <v>10</v>
      </c>
      <c r="X129" s="78" t="s">
        <v>35</v>
      </c>
      <c r="Y129" s="78" t="s">
        <v>43</v>
      </c>
      <c r="Z129" s="78" t="s">
        <v>55</v>
      </c>
      <c r="AA129" s="78" t="s">
        <v>36</v>
      </c>
      <c r="AB129" s="78" t="s">
        <v>161</v>
      </c>
    </row>
    <row r="130" spans="1:28" x14ac:dyDescent="0.15">
      <c r="A130" s="78" t="s">
        <v>23</v>
      </c>
      <c r="B130" s="78" t="s">
        <v>160</v>
      </c>
      <c r="C130" s="78">
        <v>2020</v>
      </c>
      <c r="D130" s="176" t="s">
        <v>373</v>
      </c>
      <c r="E130" s="78" t="s">
        <v>371</v>
      </c>
      <c r="F130" s="78" t="s">
        <v>362</v>
      </c>
      <c r="G130" s="78" t="s">
        <v>31</v>
      </c>
      <c r="H130" s="78" t="s">
        <v>165</v>
      </c>
      <c r="I130" s="78" t="s">
        <v>111</v>
      </c>
      <c r="J130" s="78" t="s">
        <v>27</v>
      </c>
      <c r="K130" s="78" t="s">
        <v>112</v>
      </c>
      <c r="L130" s="78">
        <v>3</v>
      </c>
      <c r="N130" s="78">
        <v>4</v>
      </c>
      <c r="O130" s="78">
        <v>0.2</v>
      </c>
      <c r="P130" s="78">
        <v>0.2</v>
      </c>
      <c r="Q130" s="16">
        <f t="shared" si="7"/>
        <v>0.2</v>
      </c>
      <c r="R130" s="78">
        <v>18.399999999999999</v>
      </c>
      <c r="S130" s="78">
        <v>100.5</v>
      </c>
      <c r="T130" s="16">
        <f t="shared" si="1"/>
        <v>33</v>
      </c>
      <c r="U130" s="78">
        <v>398</v>
      </c>
      <c r="V130" s="16">
        <f t="shared" si="2"/>
        <v>3283.5</v>
      </c>
      <c r="W130" s="78">
        <v>10</v>
      </c>
      <c r="X130" s="78" t="s">
        <v>35</v>
      </c>
      <c r="Y130" s="78" t="s">
        <v>43</v>
      </c>
      <c r="Z130" s="78" t="s">
        <v>55</v>
      </c>
      <c r="AA130" s="78" t="s">
        <v>36</v>
      </c>
      <c r="AB130" s="78" t="s">
        <v>161</v>
      </c>
    </row>
    <row r="131" spans="1:28" x14ac:dyDescent="0.15">
      <c r="A131" s="78" t="s">
        <v>23</v>
      </c>
      <c r="B131" s="78" t="s">
        <v>160</v>
      </c>
      <c r="C131" s="78">
        <v>2020</v>
      </c>
      <c r="D131" s="176" t="s">
        <v>373</v>
      </c>
      <c r="E131" s="78" t="s">
        <v>371</v>
      </c>
      <c r="F131" s="78" t="s">
        <v>362</v>
      </c>
      <c r="G131" s="78" t="s">
        <v>31</v>
      </c>
      <c r="H131" s="78" t="s">
        <v>167</v>
      </c>
      <c r="I131" s="78" t="s">
        <v>111</v>
      </c>
      <c r="J131" s="78" t="s">
        <v>27</v>
      </c>
      <c r="K131" s="78" t="s">
        <v>112</v>
      </c>
      <c r="L131" s="78">
        <v>1</v>
      </c>
      <c r="N131" s="78">
        <v>1</v>
      </c>
      <c r="O131" s="78">
        <v>0.45</v>
      </c>
      <c r="P131" s="78">
        <v>0.45</v>
      </c>
      <c r="Q131" s="16">
        <f t="shared" si="7"/>
        <v>0.45</v>
      </c>
      <c r="R131" s="78">
        <v>15.9</v>
      </c>
      <c r="S131" s="78">
        <v>132</v>
      </c>
      <c r="T131" s="16">
        <f>IF(H131="","",IF(OR(H131="GREEN",H131="GK"),IF(S131&gt;=$AX$2,VLOOKUP(S131,$AX$2:$AY$9,2,1),""),IF(S131&gt;=$AZ$2,VLOOKUP(S131,$AZ$2:$BA$9,2,1),"")))</f>
        <v>30</v>
      </c>
      <c r="U131" s="78">
        <v>118</v>
      </c>
      <c r="V131" s="16">
        <f t="shared" si="2"/>
        <v>3540</v>
      </c>
      <c r="W131" s="78">
        <v>10</v>
      </c>
      <c r="X131" s="78" t="s">
        <v>35</v>
      </c>
      <c r="Y131" s="78" t="s">
        <v>43</v>
      </c>
      <c r="Z131" s="78" t="s">
        <v>55</v>
      </c>
      <c r="AA131" s="78" t="s">
        <v>36</v>
      </c>
      <c r="AB131" s="78" t="s">
        <v>161</v>
      </c>
    </row>
    <row r="132" spans="1:28" x14ac:dyDescent="0.15">
      <c r="A132" s="78" t="s">
        <v>23</v>
      </c>
      <c r="B132" s="78" t="s">
        <v>160</v>
      </c>
      <c r="C132" s="78">
        <v>2020</v>
      </c>
      <c r="D132" s="176" t="s">
        <v>373</v>
      </c>
      <c r="E132" s="78" t="s">
        <v>371</v>
      </c>
      <c r="F132" s="78" t="s">
        <v>362</v>
      </c>
      <c r="G132" s="78" t="s">
        <v>31</v>
      </c>
      <c r="H132" s="78" t="s">
        <v>167</v>
      </c>
      <c r="I132" s="78" t="s">
        <v>111</v>
      </c>
      <c r="J132" s="78" t="s">
        <v>27</v>
      </c>
      <c r="K132" s="78" t="s">
        <v>112</v>
      </c>
      <c r="L132" s="78">
        <v>2</v>
      </c>
      <c r="N132" s="78">
        <v>1</v>
      </c>
      <c r="O132" s="78">
        <v>0.2</v>
      </c>
      <c r="P132" s="78">
        <v>0.2</v>
      </c>
      <c r="Q132" s="16">
        <f t="shared" si="7"/>
        <v>0.2</v>
      </c>
      <c r="R132" s="78">
        <v>16.399999999999999</v>
      </c>
      <c r="S132" s="78">
        <v>125.5</v>
      </c>
      <c r="T132" s="16">
        <f t="shared" si="1"/>
        <v>30</v>
      </c>
      <c r="U132" s="78">
        <v>118</v>
      </c>
      <c r="V132" s="16">
        <f t="shared" si="2"/>
        <v>3540</v>
      </c>
      <c r="W132" s="78">
        <v>10</v>
      </c>
      <c r="X132" s="78" t="s">
        <v>35</v>
      </c>
      <c r="Y132" s="78" t="s">
        <v>43</v>
      </c>
      <c r="Z132" s="78" t="s">
        <v>55</v>
      </c>
      <c r="AA132" s="78" t="s">
        <v>36</v>
      </c>
      <c r="AB132" s="78" t="s">
        <v>161</v>
      </c>
    </row>
    <row r="133" spans="1:28" x14ac:dyDescent="0.15">
      <c r="A133" s="78" t="s">
        <v>23</v>
      </c>
      <c r="B133" s="78" t="s">
        <v>160</v>
      </c>
      <c r="C133" s="78">
        <v>2020</v>
      </c>
      <c r="D133" s="176" t="s">
        <v>373</v>
      </c>
      <c r="E133" s="78" t="s">
        <v>371</v>
      </c>
      <c r="F133" s="78" t="s">
        <v>362</v>
      </c>
      <c r="G133" s="78" t="s">
        <v>31</v>
      </c>
      <c r="H133" s="78" t="s">
        <v>167</v>
      </c>
      <c r="I133" s="78" t="s">
        <v>111</v>
      </c>
      <c r="J133" s="78" t="s">
        <v>27</v>
      </c>
      <c r="K133" s="78" t="s">
        <v>112</v>
      </c>
      <c r="L133" s="78">
        <v>3</v>
      </c>
      <c r="N133" s="78">
        <v>1</v>
      </c>
      <c r="O133" s="78">
        <v>0.2</v>
      </c>
      <c r="P133" s="78">
        <v>0.2</v>
      </c>
      <c r="Q133" s="16">
        <f t="shared" si="7"/>
        <v>0.2</v>
      </c>
      <c r="R133" s="78">
        <v>16.3</v>
      </c>
      <c r="S133" s="78">
        <v>135.5</v>
      </c>
      <c r="T133" s="16">
        <f t="shared" si="1"/>
        <v>30</v>
      </c>
      <c r="U133" s="78">
        <v>118</v>
      </c>
      <c r="V133" s="16">
        <f t="shared" si="2"/>
        <v>3540</v>
      </c>
      <c r="W133" s="78">
        <v>10</v>
      </c>
      <c r="X133" s="78" t="s">
        <v>35</v>
      </c>
      <c r="Y133" s="78" t="s">
        <v>43</v>
      </c>
      <c r="Z133" s="78" t="s">
        <v>55</v>
      </c>
      <c r="AA133" s="78" t="s">
        <v>36</v>
      </c>
      <c r="AB133" s="78" t="s">
        <v>161</v>
      </c>
    </row>
    <row r="134" spans="1:28" x14ac:dyDescent="0.15">
      <c r="A134" s="78" t="s">
        <v>23</v>
      </c>
      <c r="B134" s="78" t="s">
        <v>160</v>
      </c>
      <c r="C134" s="78">
        <v>2020</v>
      </c>
      <c r="D134" s="176" t="s">
        <v>373</v>
      </c>
      <c r="E134" s="78" t="s">
        <v>371</v>
      </c>
      <c r="F134" s="78" t="s">
        <v>362</v>
      </c>
      <c r="G134" s="78" t="s">
        <v>31</v>
      </c>
      <c r="H134" s="78" t="s">
        <v>167</v>
      </c>
      <c r="I134" s="78" t="s">
        <v>111</v>
      </c>
      <c r="J134" s="78" t="s">
        <v>27</v>
      </c>
      <c r="K134" s="78" t="s">
        <v>112</v>
      </c>
      <c r="L134" s="78">
        <v>1</v>
      </c>
      <c r="N134" s="78">
        <v>4</v>
      </c>
      <c r="O134" s="78">
        <v>0.2</v>
      </c>
      <c r="P134" s="78">
        <v>0.45</v>
      </c>
      <c r="Q134" s="16">
        <f t="shared" si="7"/>
        <v>0.32500000000000001</v>
      </c>
      <c r="R134" s="78">
        <v>15.9</v>
      </c>
      <c r="S134" s="78">
        <v>131.5</v>
      </c>
      <c r="T134" s="16">
        <f t="shared" si="1"/>
        <v>30</v>
      </c>
      <c r="U134" s="78">
        <v>498</v>
      </c>
      <c r="V134" s="16">
        <f t="shared" si="2"/>
        <v>3735</v>
      </c>
      <c r="W134" s="78">
        <v>10</v>
      </c>
      <c r="X134" s="78" t="s">
        <v>35</v>
      </c>
      <c r="Y134" s="78" t="s">
        <v>43</v>
      </c>
      <c r="Z134" s="78" t="s">
        <v>55</v>
      </c>
      <c r="AA134" s="78" t="s">
        <v>36</v>
      </c>
      <c r="AB134" s="78" t="s">
        <v>161</v>
      </c>
    </row>
    <row r="135" spans="1:28" x14ac:dyDescent="0.15">
      <c r="A135" s="78" t="s">
        <v>23</v>
      </c>
      <c r="B135" s="78" t="s">
        <v>160</v>
      </c>
      <c r="C135" s="78">
        <v>2020</v>
      </c>
      <c r="D135" s="176" t="s">
        <v>373</v>
      </c>
      <c r="E135" s="78" t="s">
        <v>371</v>
      </c>
      <c r="F135" s="78" t="s">
        <v>362</v>
      </c>
      <c r="G135" s="78" t="s">
        <v>31</v>
      </c>
      <c r="H135" s="78" t="s">
        <v>167</v>
      </c>
      <c r="I135" s="78" t="s">
        <v>111</v>
      </c>
      <c r="J135" s="78" t="s">
        <v>27</v>
      </c>
      <c r="K135" s="78" t="s">
        <v>112</v>
      </c>
      <c r="L135" s="78">
        <v>2</v>
      </c>
      <c r="N135" s="78">
        <v>4</v>
      </c>
      <c r="O135" s="78">
        <v>0.55000000000000004</v>
      </c>
      <c r="P135" s="78">
        <v>0.55000000000000004</v>
      </c>
      <c r="Q135" s="16">
        <f t="shared" si="7"/>
        <v>0.55000000000000004</v>
      </c>
      <c r="R135" s="78">
        <v>15.4</v>
      </c>
      <c r="S135" s="78">
        <v>133</v>
      </c>
      <c r="T135" s="16">
        <f t="shared" si="1"/>
        <v>30</v>
      </c>
      <c r="U135" s="78">
        <v>498</v>
      </c>
      <c r="V135" s="16">
        <f t="shared" si="2"/>
        <v>3735</v>
      </c>
      <c r="W135" s="78">
        <v>10</v>
      </c>
      <c r="X135" s="78" t="s">
        <v>35</v>
      </c>
      <c r="Y135" s="78" t="s">
        <v>43</v>
      </c>
      <c r="Z135" s="78" t="s">
        <v>55</v>
      </c>
      <c r="AA135" s="78" t="s">
        <v>36</v>
      </c>
      <c r="AB135" s="78" t="s">
        <v>161</v>
      </c>
    </row>
    <row r="136" spans="1:28" x14ac:dyDescent="0.15">
      <c r="A136" s="78" t="s">
        <v>23</v>
      </c>
      <c r="B136" s="78" t="s">
        <v>160</v>
      </c>
      <c r="C136" s="78">
        <v>2020</v>
      </c>
      <c r="D136" s="176" t="s">
        <v>373</v>
      </c>
      <c r="E136" s="78" t="s">
        <v>371</v>
      </c>
      <c r="F136" s="78" t="s">
        <v>362</v>
      </c>
      <c r="G136" s="78" t="s">
        <v>31</v>
      </c>
      <c r="H136" s="78" t="s">
        <v>167</v>
      </c>
      <c r="I136" s="78" t="s">
        <v>111</v>
      </c>
      <c r="J136" s="78" t="s">
        <v>27</v>
      </c>
      <c r="K136" s="78" t="s">
        <v>112</v>
      </c>
      <c r="L136" s="78">
        <v>3</v>
      </c>
      <c r="N136" s="78">
        <v>4</v>
      </c>
      <c r="O136" s="78">
        <v>0.45</v>
      </c>
      <c r="P136" s="78">
        <v>0.6</v>
      </c>
      <c r="Q136" s="16">
        <f t="shared" si="7"/>
        <v>0.52500000000000002</v>
      </c>
      <c r="R136" s="78">
        <v>15.5</v>
      </c>
      <c r="S136" s="78">
        <v>129.5</v>
      </c>
      <c r="T136" s="16">
        <f t="shared" si="1"/>
        <v>30</v>
      </c>
      <c r="U136" s="78">
        <v>498</v>
      </c>
      <c r="V136" s="16">
        <f t="shared" si="2"/>
        <v>3735</v>
      </c>
      <c r="W136" s="78">
        <v>10</v>
      </c>
      <c r="X136" s="78" t="s">
        <v>35</v>
      </c>
      <c r="Y136" s="78" t="s">
        <v>43</v>
      </c>
      <c r="Z136" s="78" t="s">
        <v>55</v>
      </c>
      <c r="AA136" s="78" t="s">
        <v>36</v>
      </c>
      <c r="AB136" s="78" t="s">
        <v>161</v>
      </c>
    </row>
    <row r="137" spans="1:28" x14ac:dyDescent="0.15">
      <c r="A137" s="78" t="s">
        <v>23</v>
      </c>
      <c r="B137" s="78" t="s">
        <v>160</v>
      </c>
      <c r="C137" s="78">
        <v>2020</v>
      </c>
      <c r="D137" s="176" t="s">
        <v>373</v>
      </c>
      <c r="E137" s="78" t="s">
        <v>371</v>
      </c>
      <c r="F137" s="78" t="s">
        <v>362</v>
      </c>
      <c r="G137" s="78" t="s">
        <v>31</v>
      </c>
      <c r="H137" s="78" t="s">
        <v>167</v>
      </c>
      <c r="I137" s="78" t="s">
        <v>111</v>
      </c>
      <c r="J137" s="78" t="s">
        <v>27</v>
      </c>
      <c r="K137" s="78" t="s">
        <v>112</v>
      </c>
      <c r="L137" s="78">
        <v>1</v>
      </c>
      <c r="N137" s="78">
        <v>10</v>
      </c>
      <c r="O137" s="78">
        <v>0.65</v>
      </c>
      <c r="P137" s="78">
        <v>0.55000000000000004</v>
      </c>
      <c r="Q137" s="16">
        <f t="shared" si="7"/>
        <v>0.60000000000000009</v>
      </c>
      <c r="R137" s="78">
        <v>16.3</v>
      </c>
      <c r="S137" s="78">
        <v>90</v>
      </c>
      <c r="T137" s="16">
        <f t="shared" ref="T137:T157" si="10">IF(H137="","",IF(OR(H137="GREEN",H137="GK"),IF(S137&gt;=$AX$2,VLOOKUP(S137,$AX$2:$AY$9,2,1),""),IF(S137&gt;=$AZ$2,VLOOKUP(S137,$AZ$2:$BA$9,2,1),"")))</f>
        <v>36</v>
      </c>
      <c r="U137" s="78">
        <v>780</v>
      </c>
      <c r="V137" s="16">
        <f t="shared" ref="V137:V157" si="11">IF(OR(N137="",U137="",T137=""),"",U137/N137*T137)</f>
        <v>2808</v>
      </c>
      <c r="W137" s="78">
        <v>10</v>
      </c>
      <c r="X137" s="78" t="s">
        <v>35</v>
      </c>
      <c r="Y137" s="78" t="s">
        <v>43</v>
      </c>
      <c r="Z137" s="78" t="s">
        <v>55</v>
      </c>
      <c r="AA137" s="78" t="s">
        <v>36</v>
      </c>
      <c r="AB137" s="78" t="s">
        <v>161</v>
      </c>
    </row>
    <row r="138" spans="1:28" x14ac:dyDescent="0.15">
      <c r="A138" s="78" t="s">
        <v>23</v>
      </c>
      <c r="B138" s="78" t="s">
        <v>160</v>
      </c>
      <c r="C138" s="78">
        <v>2020</v>
      </c>
      <c r="D138" s="176" t="s">
        <v>373</v>
      </c>
      <c r="E138" s="78" t="s">
        <v>371</v>
      </c>
      <c r="F138" s="78" t="s">
        <v>362</v>
      </c>
      <c r="G138" s="78" t="s">
        <v>31</v>
      </c>
      <c r="H138" s="78" t="s">
        <v>167</v>
      </c>
      <c r="I138" s="78" t="s">
        <v>111</v>
      </c>
      <c r="J138" s="78" t="s">
        <v>27</v>
      </c>
      <c r="K138" s="78" t="s">
        <v>112</v>
      </c>
      <c r="L138" s="78">
        <v>2</v>
      </c>
      <c r="N138" s="78">
        <v>10</v>
      </c>
      <c r="O138" s="78">
        <v>0.2</v>
      </c>
      <c r="P138" s="78">
        <v>0.5</v>
      </c>
      <c r="Q138" s="16">
        <f t="shared" si="7"/>
        <v>0.35</v>
      </c>
      <c r="R138" s="78">
        <v>15.3</v>
      </c>
      <c r="S138" s="78">
        <v>82</v>
      </c>
      <c r="T138" s="16">
        <f t="shared" si="10"/>
        <v>39</v>
      </c>
      <c r="U138" s="78">
        <v>780</v>
      </c>
      <c r="V138" s="16">
        <f t="shared" si="11"/>
        <v>3042</v>
      </c>
      <c r="W138" s="78">
        <v>10</v>
      </c>
      <c r="X138" s="78" t="s">
        <v>35</v>
      </c>
      <c r="Y138" s="78" t="s">
        <v>43</v>
      </c>
      <c r="Z138" s="78" t="s">
        <v>55</v>
      </c>
      <c r="AA138" s="78" t="s">
        <v>36</v>
      </c>
      <c r="AB138" s="78" t="s">
        <v>161</v>
      </c>
    </row>
    <row r="139" spans="1:28" x14ac:dyDescent="0.15">
      <c r="A139" s="78" t="s">
        <v>23</v>
      </c>
      <c r="B139" s="78" t="s">
        <v>160</v>
      </c>
      <c r="C139" s="78">
        <v>2020</v>
      </c>
      <c r="D139" s="176" t="s">
        <v>373</v>
      </c>
      <c r="E139" s="78" t="s">
        <v>371</v>
      </c>
      <c r="F139" s="78" t="s">
        <v>362</v>
      </c>
      <c r="G139" s="78" t="s">
        <v>31</v>
      </c>
      <c r="H139" s="78" t="s">
        <v>167</v>
      </c>
      <c r="I139" s="78" t="s">
        <v>111</v>
      </c>
      <c r="J139" s="78" t="s">
        <v>27</v>
      </c>
      <c r="K139" s="78" t="s">
        <v>112</v>
      </c>
      <c r="L139" s="78">
        <v>3</v>
      </c>
      <c r="N139" s="78">
        <v>10</v>
      </c>
      <c r="O139" s="78">
        <v>0.2</v>
      </c>
      <c r="P139" s="78">
        <v>0.2</v>
      </c>
      <c r="Q139" s="16">
        <f t="shared" si="7"/>
        <v>0.2</v>
      </c>
      <c r="R139" s="78">
        <v>16.2</v>
      </c>
      <c r="S139" s="78">
        <v>86.5</v>
      </c>
      <c r="T139" s="16">
        <f t="shared" si="10"/>
        <v>36</v>
      </c>
      <c r="U139" s="78">
        <v>780</v>
      </c>
      <c r="V139" s="16">
        <f t="shared" si="11"/>
        <v>2808</v>
      </c>
      <c r="W139" s="78">
        <v>10</v>
      </c>
      <c r="X139" s="78" t="s">
        <v>35</v>
      </c>
      <c r="Y139" s="78" t="s">
        <v>43</v>
      </c>
      <c r="Z139" s="78" t="s">
        <v>55</v>
      </c>
      <c r="AA139" s="78" t="s">
        <v>36</v>
      </c>
      <c r="AB139" s="78" t="s">
        <v>161</v>
      </c>
    </row>
    <row r="140" spans="1:28" x14ac:dyDescent="0.15">
      <c r="A140" s="78" t="s">
        <v>23</v>
      </c>
      <c r="B140" s="78" t="s">
        <v>160</v>
      </c>
      <c r="C140" s="78">
        <v>2020</v>
      </c>
      <c r="D140" s="176" t="s">
        <v>373</v>
      </c>
      <c r="E140" s="78" t="s">
        <v>372</v>
      </c>
      <c r="F140" s="78" t="s">
        <v>364</v>
      </c>
      <c r="G140" s="78" t="s">
        <v>25</v>
      </c>
      <c r="H140" s="78" t="s">
        <v>113</v>
      </c>
      <c r="I140" s="78" t="s">
        <v>111</v>
      </c>
      <c r="J140" s="78" t="s">
        <v>27</v>
      </c>
      <c r="K140" s="78" t="s">
        <v>112</v>
      </c>
      <c r="L140" s="78">
        <v>1</v>
      </c>
      <c r="N140" s="78">
        <v>1</v>
      </c>
      <c r="O140" s="78">
        <v>0.5</v>
      </c>
      <c r="P140" s="78">
        <v>0.55000000000000004</v>
      </c>
      <c r="Q140" s="16">
        <f t="shared" si="7"/>
        <v>0.52500000000000002</v>
      </c>
      <c r="R140" s="78">
        <v>13.2</v>
      </c>
      <c r="S140" s="78">
        <v>108.5</v>
      </c>
      <c r="T140" s="16">
        <f t="shared" si="10"/>
        <v>33</v>
      </c>
      <c r="U140" s="78">
        <v>94</v>
      </c>
      <c r="V140" s="16">
        <f t="shared" si="11"/>
        <v>3102</v>
      </c>
      <c r="W140" s="78">
        <v>14</v>
      </c>
      <c r="X140" s="78" t="s">
        <v>35</v>
      </c>
      <c r="Y140" s="78" t="s">
        <v>43</v>
      </c>
      <c r="Z140" s="78" t="s">
        <v>55</v>
      </c>
      <c r="AA140" s="78" t="s">
        <v>64</v>
      </c>
      <c r="AB140" s="78" t="s">
        <v>161</v>
      </c>
    </row>
    <row r="141" spans="1:28" x14ac:dyDescent="0.15">
      <c r="A141" s="78" t="s">
        <v>23</v>
      </c>
      <c r="B141" s="78" t="s">
        <v>160</v>
      </c>
      <c r="C141" s="78">
        <v>2020</v>
      </c>
      <c r="D141" s="176" t="s">
        <v>373</v>
      </c>
      <c r="E141" s="78" t="s">
        <v>372</v>
      </c>
      <c r="F141" s="78" t="s">
        <v>364</v>
      </c>
      <c r="G141" s="78" t="s">
        <v>25</v>
      </c>
      <c r="H141" s="78" t="s">
        <v>113</v>
      </c>
      <c r="I141" s="78" t="s">
        <v>111</v>
      </c>
      <c r="J141" s="78" t="s">
        <v>27</v>
      </c>
      <c r="K141" s="78" t="s">
        <v>112</v>
      </c>
      <c r="L141" s="78">
        <v>2</v>
      </c>
      <c r="N141" s="78">
        <v>1</v>
      </c>
      <c r="O141" s="78">
        <v>0.8</v>
      </c>
      <c r="P141" s="78">
        <v>0.8</v>
      </c>
      <c r="Q141" s="16">
        <f t="shared" si="7"/>
        <v>0.8</v>
      </c>
      <c r="R141" s="78">
        <v>15.5</v>
      </c>
      <c r="S141" s="78">
        <v>109</v>
      </c>
      <c r="T141" s="16">
        <f t="shared" si="10"/>
        <v>33</v>
      </c>
      <c r="U141" s="78">
        <v>94</v>
      </c>
      <c r="V141" s="16">
        <f t="shared" si="11"/>
        <v>3102</v>
      </c>
      <c r="W141" s="78">
        <v>14</v>
      </c>
      <c r="X141" s="78" t="s">
        <v>35</v>
      </c>
      <c r="Y141" s="78" t="s">
        <v>43</v>
      </c>
      <c r="Z141" s="78" t="s">
        <v>55</v>
      </c>
      <c r="AA141" s="78" t="s">
        <v>64</v>
      </c>
      <c r="AB141" s="78" t="s">
        <v>161</v>
      </c>
    </row>
    <row r="142" spans="1:28" x14ac:dyDescent="0.15">
      <c r="A142" s="78" t="s">
        <v>23</v>
      </c>
      <c r="B142" s="78" t="s">
        <v>160</v>
      </c>
      <c r="C142" s="78">
        <v>2020</v>
      </c>
      <c r="D142" s="176" t="s">
        <v>373</v>
      </c>
      <c r="E142" s="78" t="s">
        <v>372</v>
      </c>
      <c r="F142" s="78" t="s">
        <v>364</v>
      </c>
      <c r="G142" s="78" t="s">
        <v>25</v>
      </c>
      <c r="H142" s="78" t="s">
        <v>113</v>
      </c>
      <c r="I142" s="78" t="s">
        <v>111</v>
      </c>
      <c r="J142" s="78" t="s">
        <v>27</v>
      </c>
      <c r="K142" s="78" t="s">
        <v>112</v>
      </c>
      <c r="L142" s="78">
        <v>3</v>
      </c>
      <c r="N142" s="78">
        <v>1</v>
      </c>
      <c r="O142" s="78">
        <v>1</v>
      </c>
      <c r="P142" s="78">
        <v>1.25</v>
      </c>
      <c r="Q142" s="16">
        <f t="shared" si="7"/>
        <v>1.125</v>
      </c>
      <c r="R142" s="78">
        <v>15.3</v>
      </c>
      <c r="S142" s="78">
        <v>109</v>
      </c>
      <c r="T142" s="16">
        <f t="shared" si="10"/>
        <v>33</v>
      </c>
      <c r="U142" s="78">
        <v>94</v>
      </c>
      <c r="V142" s="16">
        <f t="shared" si="11"/>
        <v>3102</v>
      </c>
      <c r="W142" s="78">
        <v>14</v>
      </c>
      <c r="X142" s="78" t="s">
        <v>35</v>
      </c>
      <c r="Y142" s="78" t="s">
        <v>43</v>
      </c>
      <c r="Z142" s="78" t="s">
        <v>55</v>
      </c>
      <c r="AA142" s="78" t="s">
        <v>64</v>
      </c>
      <c r="AB142" s="78" t="s">
        <v>161</v>
      </c>
    </row>
    <row r="143" spans="1:28" x14ac:dyDescent="0.15">
      <c r="A143" s="78" t="s">
        <v>23</v>
      </c>
      <c r="B143" s="78" t="s">
        <v>160</v>
      </c>
      <c r="C143" s="78">
        <v>2020</v>
      </c>
      <c r="D143" s="176" t="s">
        <v>373</v>
      </c>
      <c r="E143" s="78" t="s">
        <v>372</v>
      </c>
      <c r="F143" s="78" t="s">
        <v>364</v>
      </c>
      <c r="G143" s="78" t="s">
        <v>25</v>
      </c>
      <c r="H143" s="78" t="s">
        <v>113</v>
      </c>
      <c r="I143" s="78" t="s">
        <v>111</v>
      </c>
      <c r="J143" s="78" t="s">
        <v>27</v>
      </c>
      <c r="K143" s="78" t="s">
        <v>112</v>
      </c>
      <c r="L143" s="78">
        <v>1</v>
      </c>
      <c r="N143" s="78">
        <v>4</v>
      </c>
      <c r="O143" s="78">
        <v>0.6</v>
      </c>
      <c r="P143" s="78">
        <v>0.7</v>
      </c>
      <c r="Q143" s="16">
        <f t="shared" si="7"/>
        <v>0.64999999999999991</v>
      </c>
      <c r="R143" s="78">
        <v>11.1</v>
      </c>
      <c r="S143" s="78">
        <v>115.5</v>
      </c>
      <c r="T143" s="16">
        <f t="shared" si="10"/>
        <v>30</v>
      </c>
      <c r="U143" s="78">
        <v>368</v>
      </c>
      <c r="V143" s="16">
        <f t="shared" si="11"/>
        <v>2760</v>
      </c>
      <c r="W143" s="78">
        <v>14</v>
      </c>
      <c r="X143" s="78" t="s">
        <v>35</v>
      </c>
      <c r="Y143" s="78" t="s">
        <v>43</v>
      </c>
      <c r="Z143" s="78" t="s">
        <v>55</v>
      </c>
      <c r="AA143" s="78" t="s">
        <v>64</v>
      </c>
      <c r="AB143" s="78" t="s">
        <v>161</v>
      </c>
    </row>
    <row r="144" spans="1:28" x14ac:dyDescent="0.15">
      <c r="A144" s="78" t="s">
        <v>23</v>
      </c>
      <c r="B144" s="78" t="s">
        <v>160</v>
      </c>
      <c r="C144" s="78">
        <v>2020</v>
      </c>
      <c r="D144" s="176" t="s">
        <v>373</v>
      </c>
      <c r="E144" s="78" t="s">
        <v>372</v>
      </c>
      <c r="F144" s="78" t="s">
        <v>364</v>
      </c>
      <c r="G144" s="78" t="s">
        <v>25</v>
      </c>
      <c r="H144" s="78" t="s">
        <v>113</v>
      </c>
      <c r="I144" s="78" t="s">
        <v>111</v>
      </c>
      <c r="J144" s="78" t="s">
        <v>27</v>
      </c>
      <c r="K144" s="78" t="s">
        <v>112</v>
      </c>
      <c r="L144" s="78">
        <v>2</v>
      </c>
      <c r="N144" s="78">
        <v>4</v>
      </c>
      <c r="O144" s="78">
        <v>0.85</v>
      </c>
      <c r="P144" s="78">
        <v>0.8</v>
      </c>
      <c r="Q144" s="16">
        <f t="shared" si="7"/>
        <v>0.82499999999999996</v>
      </c>
      <c r="R144" s="78">
        <v>11</v>
      </c>
      <c r="S144" s="78">
        <v>110.5</v>
      </c>
      <c r="T144" s="16">
        <f t="shared" si="10"/>
        <v>33</v>
      </c>
      <c r="U144" s="78">
        <v>368</v>
      </c>
      <c r="V144" s="16">
        <f t="shared" si="11"/>
        <v>3036</v>
      </c>
      <c r="W144" s="78">
        <v>14</v>
      </c>
      <c r="X144" s="78" t="s">
        <v>35</v>
      </c>
      <c r="Y144" s="78" t="s">
        <v>43</v>
      </c>
      <c r="Z144" s="78" t="s">
        <v>55</v>
      </c>
      <c r="AA144" s="78" t="s">
        <v>64</v>
      </c>
      <c r="AB144" s="78" t="s">
        <v>161</v>
      </c>
    </row>
    <row r="145" spans="1:28" x14ac:dyDescent="0.15">
      <c r="A145" s="78" t="s">
        <v>23</v>
      </c>
      <c r="B145" s="78" t="s">
        <v>160</v>
      </c>
      <c r="C145" s="78">
        <v>2020</v>
      </c>
      <c r="D145" s="176" t="s">
        <v>373</v>
      </c>
      <c r="E145" s="78" t="s">
        <v>372</v>
      </c>
      <c r="F145" s="78" t="s">
        <v>364</v>
      </c>
      <c r="G145" s="78" t="s">
        <v>25</v>
      </c>
      <c r="H145" s="78" t="s">
        <v>113</v>
      </c>
      <c r="I145" s="78" t="s">
        <v>111</v>
      </c>
      <c r="J145" s="78" t="s">
        <v>27</v>
      </c>
      <c r="K145" s="78" t="s">
        <v>112</v>
      </c>
      <c r="L145" s="78">
        <v>3</v>
      </c>
      <c r="N145" s="78">
        <v>4</v>
      </c>
      <c r="O145" s="78">
        <v>0.75</v>
      </c>
      <c r="P145" s="78">
        <v>0.65</v>
      </c>
      <c r="Q145" s="16">
        <f t="shared" si="7"/>
        <v>0.7</v>
      </c>
      <c r="R145" s="78">
        <v>11</v>
      </c>
      <c r="S145" s="78">
        <v>114.5</v>
      </c>
      <c r="T145" s="16">
        <f t="shared" si="10"/>
        <v>30</v>
      </c>
      <c r="U145" s="78">
        <v>368</v>
      </c>
      <c r="V145" s="16">
        <f t="shared" si="11"/>
        <v>2760</v>
      </c>
      <c r="W145" s="78">
        <v>14</v>
      </c>
      <c r="X145" s="78" t="s">
        <v>35</v>
      </c>
      <c r="Y145" s="78" t="s">
        <v>43</v>
      </c>
      <c r="Z145" s="78" t="s">
        <v>55</v>
      </c>
      <c r="AA145" s="78" t="s">
        <v>64</v>
      </c>
      <c r="AB145" s="78" t="s">
        <v>161</v>
      </c>
    </row>
    <row r="146" spans="1:28" x14ac:dyDescent="0.15">
      <c r="A146" s="78" t="s">
        <v>23</v>
      </c>
      <c r="B146" s="78" t="s">
        <v>160</v>
      </c>
      <c r="C146" s="78">
        <v>2020</v>
      </c>
      <c r="D146" s="176" t="s">
        <v>373</v>
      </c>
      <c r="E146" s="78" t="s">
        <v>372</v>
      </c>
      <c r="F146" s="78" t="s">
        <v>364</v>
      </c>
      <c r="G146" s="78" t="s">
        <v>25</v>
      </c>
      <c r="H146" s="78" t="s">
        <v>113</v>
      </c>
      <c r="I146" s="78" t="s">
        <v>111</v>
      </c>
      <c r="J146" s="78" t="s">
        <v>27</v>
      </c>
      <c r="K146" s="78" t="s">
        <v>112</v>
      </c>
      <c r="L146" s="78">
        <v>1</v>
      </c>
      <c r="N146" s="78">
        <v>8</v>
      </c>
      <c r="O146" s="78">
        <v>0.6</v>
      </c>
      <c r="P146" s="78">
        <v>0.7</v>
      </c>
      <c r="Q146" s="16">
        <f t="shared" si="7"/>
        <v>0.64999999999999991</v>
      </c>
      <c r="R146" s="78">
        <v>15.2</v>
      </c>
      <c r="S146" s="78">
        <v>114</v>
      </c>
      <c r="T146" s="16">
        <f t="shared" si="10"/>
        <v>30</v>
      </c>
      <c r="U146" s="78">
        <v>728</v>
      </c>
      <c r="V146" s="16">
        <f t="shared" si="11"/>
        <v>2730</v>
      </c>
      <c r="W146" s="78">
        <v>14</v>
      </c>
      <c r="X146" s="78" t="s">
        <v>35</v>
      </c>
      <c r="Y146" s="78" t="s">
        <v>43</v>
      </c>
      <c r="Z146" s="78" t="s">
        <v>55</v>
      </c>
      <c r="AA146" s="78" t="s">
        <v>64</v>
      </c>
      <c r="AB146" s="78" t="s">
        <v>161</v>
      </c>
    </row>
    <row r="147" spans="1:28" x14ac:dyDescent="0.15">
      <c r="A147" s="78" t="s">
        <v>23</v>
      </c>
      <c r="B147" s="78" t="s">
        <v>160</v>
      </c>
      <c r="C147" s="78">
        <v>2020</v>
      </c>
      <c r="D147" s="176" t="s">
        <v>373</v>
      </c>
      <c r="E147" s="78" t="s">
        <v>372</v>
      </c>
      <c r="F147" s="78" t="s">
        <v>364</v>
      </c>
      <c r="G147" s="78" t="s">
        <v>25</v>
      </c>
      <c r="H147" s="78" t="s">
        <v>113</v>
      </c>
      <c r="I147" s="78" t="s">
        <v>111</v>
      </c>
      <c r="J147" s="78" t="s">
        <v>27</v>
      </c>
      <c r="K147" s="78" t="s">
        <v>112</v>
      </c>
      <c r="L147" s="78">
        <v>2</v>
      </c>
      <c r="N147" s="78">
        <v>8</v>
      </c>
      <c r="O147" s="78">
        <v>1.1000000000000001</v>
      </c>
      <c r="P147" s="78">
        <v>1.1000000000000001</v>
      </c>
      <c r="Q147" s="16">
        <f t="shared" si="7"/>
        <v>1.1000000000000001</v>
      </c>
      <c r="R147" s="78">
        <v>14.2</v>
      </c>
      <c r="S147" s="78">
        <v>111.5</v>
      </c>
      <c r="T147" s="16">
        <f t="shared" si="10"/>
        <v>33</v>
      </c>
      <c r="U147" s="78">
        <v>728</v>
      </c>
      <c r="V147" s="16">
        <f t="shared" si="11"/>
        <v>3003</v>
      </c>
      <c r="W147" s="78">
        <v>14</v>
      </c>
      <c r="X147" s="78" t="s">
        <v>35</v>
      </c>
      <c r="Y147" s="78" t="s">
        <v>43</v>
      </c>
      <c r="Z147" s="78" t="s">
        <v>55</v>
      </c>
      <c r="AA147" s="78" t="s">
        <v>64</v>
      </c>
      <c r="AB147" s="78" t="s">
        <v>161</v>
      </c>
    </row>
    <row r="148" spans="1:28" x14ac:dyDescent="0.15">
      <c r="A148" s="78" t="s">
        <v>23</v>
      </c>
      <c r="B148" s="78" t="s">
        <v>160</v>
      </c>
      <c r="C148" s="78">
        <v>2020</v>
      </c>
      <c r="D148" s="176" t="s">
        <v>373</v>
      </c>
      <c r="E148" s="78" t="s">
        <v>372</v>
      </c>
      <c r="F148" s="78" t="s">
        <v>364</v>
      </c>
      <c r="G148" s="78" t="s">
        <v>25</v>
      </c>
      <c r="H148" s="78" t="s">
        <v>113</v>
      </c>
      <c r="I148" s="78" t="s">
        <v>111</v>
      </c>
      <c r="J148" s="78" t="s">
        <v>27</v>
      </c>
      <c r="K148" s="78" t="s">
        <v>112</v>
      </c>
      <c r="L148" s="78">
        <v>3</v>
      </c>
      <c r="N148" s="78">
        <v>8</v>
      </c>
      <c r="O148" s="78">
        <v>1.25</v>
      </c>
      <c r="P148" s="78">
        <v>1.25</v>
      </c>
      <c r="Q148" s="16">
        <f t="shared" si="7"/>
        <v>1.25</v>
      </c>
      <c r="R148" s="78">
        <v>15.4</v>
      </c>
      <c r="S148" s="78">
        <v>108</v>
      </c>
      <c r="T148" s="16">
        <f t="shared" si="10"/>
        <v>33</v>
      </c>
      <c r="U148" s="78">
        <v>728</v>
      </c>
      <c r="V148" s="16">
        <f t="shared" si="11"/>
        <v>3003</v>
      </c>
      <c r="W148" s="78">
        <v>14</v>
      </c>
      <c r="X148" s="78" t="s">
        <v>35</v>
      </c>
      <c r="Y148" s="78" t="s">
        <v>43</v>
      </c>
      <c r="Z148" s="78" t="s">
        <v>55</v>
      </c>
      <c r="AA148" s="78" t="s">
        <v>64</v>
      </c>
      <c r="AB148" s="78" t="s">
        <v>161</v>
      </c>
    </row>
    <row r="149" spans="1:28" x14ac:dyDescent="0.15">
      <c r="A149" s="78" t="s">
        <v>23</v>
      </c>
      <c r="B149" s="78" t="s">
        <v>160</v>
      </c>
      <c r="C149" s="78">
        <v>2020</v>
      </c>
      <c r="D149" s="176" t="s">
        <v>373</v>
      </c>
      <c r="E149" s="78" t="s">
        <v>372</v>
      </c>
      <c r="F149" s="78" t="s">
        <v>364</v>
      </c>
      <c r="G149" s="78" t="s">
        <v>25</v>
      </c>
      <c r="H149" s="78" t="s">
        <v>167</v>
      </c>
      <c r="I149" s="78" t="s">
        <v>111</v>
      </c>
      <c r="J149" s="78" t="s">
        <v>27</v>
      </c>
      <c r="K149" s="78" t="s">
        <v>112</v>
      </c>
      <c r="L149" s="78">
        <v>1</v>
      </c>
      <c r="N149" s="78">
        <v>1</v>
      </c>
      <c r="O149" s="78">
        <v>0.45</v>
      </c>
      <c r="P149" s="78">
        <v>0.55000000000000004</v>
      </c>
      <c r="Q149" s="16">
        <f t="shared" si="7"/>
        <v>0.5</v>
      </c>
      <c r="R149" s="78">
        <v>15.8</v>
      </c>
      <c r="S149" s="78">
        <v>148.5</v>
      </c>
      <c r="T149" s="16">
        <f t="shared" si="10"/>
        <v>30</v>
      </c>
      <c r="U149" s="78">
        <v>158</v>
      </c>
      <c r="V149" s="16">
        <f t="shared" si="11"/>
        <v>4740</v>
      </c>
      <c r="W149" s="78">
        <v>14</v>
      </c>
      <c r="X149" s="78" t="s">
        <v>35</v>
      </c>
      <c r="Y149" s="78" t="s">
        <v>43</v>
      </c>
      <c r="Z149" s="78" t="s">
        <v>55</v>
      </c>
      <c r="AA149" s="78" t="s">
        <v>64</v>
      </c>
      <c r="AB149" s="78" t="s">
        <v>161</v>
      </c>
    </row>
    <row r="150" spans="1:28" x14ac:dyDescent="0.15">
      <c r="A150" s="78" t="s">
        <v>23</v>
      </c>
      <c r="B150" s="78" t="s">
        <v>160</v>
      </c>
      <c r="C150" s="78">
        <v>2020</v>
      </c>
      <c r="D150" s="176" t="s">
        <v>373</v>
      </c>
      <c r="E150" s="78" t="s">
        <v>372</v>
      </c>
      <c r="F150" s="78" t="s">
        <v>364</v>
      </c>
      <c r="G150" s="78" t="s">
        <v>25</v>
      </c>
      <c r="H150" s="78" t="s">
        <v>167</v>
      </c>
      <c r="I150" s="78" t="s">
        <v>111</v>
      </c>
      <c r="J150" s="78" t="s">
        <v>27</v>
      </c>
      <c r="K150" s="78" t="s">
        <v>112</v>
      </c>
      <c r="L150" s="78">
        <v>2</v>
      </c>
      <c r="N150" s="78">
        <v>1</v>
      </c>
      <c r="O150" s="78">
        <v>0.2</v>
      </c>
      <c r="P150" s="78">
        <v>0.2</v>
      </c>
      <c r="Q150" s="16">
        <f t="shared" si="7"/>
        <v>0.2</v>
      </c>
      <c r="R150" s="78">
        <v>16.3</v>
      </c>
      <c r="S150" s="78">
        <v>143.5</v>
      </c>
      <c r="T150" s="16">
        <f t="shared" si="10"/>
        <v>30</v>
      </c>
      <c r="U150" s="78">
        <v>158</v>
      </c>
      <c r="V150" s="16">
        <f t="shared" si="11"/>
        <v>4740</v>
      </c>
      <c r="W150" s="78">
        <v>14</v>
      </c>
      <c r="X150" s="78" t="s">
        <v>35</v>
      </c>
      <c r="Y150" s="78" t="s">
        <v>43</v>
      </c>
      <c r="Z150" s="78" t="s">
        <v>55</v>
      </c>
      <c r="AA150" s="78" t="s">
        <v>64</v>
      </c>
      <c r="AB150" s="78" t="s">
        <v>161</v>
      </c>
    </row>
    <row r="151" spans="1:28" x14ac:dyDescent="0.15">
      <c r="A151" s="78" t="s">
        <v>23</v>
      </c>
      <c r="B151" s="78" t="s">
        <v>160</v>
      </c>
      <c r="C151" s="78">
        <v>2020</v>
      </c>
      <c r="D151" s="176" t="s">
        <v>373</v>
      </c>
      <c r="E151" s="78" t="s">
        <v>372</v>
      </c>
      <c r="F151" s="78" t="s">
        <v>364</v>
      </c>
      <c r="G151" s="78" t="s">
        <v>25</v>
      </c>
      <c r="H151" s="78" t="s">
        <v>167</v>
      </c>
      <c r="I151" s="78" t="s">
        <v>111</v>
      </c>
      <c r="J151" s="78" t="s">
        <v>27</v>
      </c>
      <c r="K151" s="78" t="s">
        <v>112</v>
      </c>
      <c r="L151" s="78">
        <v>3</v>
      </c>
      <c r="N151" s="78">
        <v>1</v>
      </c>
      <c r="O151" s="78">
        <v>0.2</v>
      </c>
      <c r="P151" s="78">
        <v>0.2</v>
      </c>
      <c r="Q151" s="16">
        <f t="shared" si="7"/>
        <v>0.2</v>
      </c>
      <c r="R151" s="78">
        <v>16.899999999999999</v>
      </c>
      <c r="S151" s="78">
        <v>142.5</v>
      </c>
      <c r="T151" s="16">
        <f t="shared" si="10"/>
        <v>30</v>
      </c>
      <c r="U151" s="78">
        <v>158</v>
      </c>
      <c r="V151" s="16">
        <f t="shared" si="11"/>
        <v>4740</v>
      </c>
      <c r="W151" s="78">
        <v>14</v>
      </c>
      <c r="X151" s="78" t="s">
        <v>35</v>
      </c>
      <c r="Y151" s="78" t="s">
        <v>43</v>
      </c>
      <c r="Z151" s="78" t="s">
        <v>55</v>
      </c>
      <c r="AA151" s="78" t="s">
        <v>64</v>
      </c>
      <c r="AB151" s="78" t="s">
        <v>161</v>
      </c>
    </row>
    <row r="152" spans="1:28" x14ac:dyDescent="0.15">
      <c r="A152" s="78" t="s">
        <v>23</v>
      </c>
      <c r="B152" s="78" t="s">
        <v>160</v>
      </c>
      <c r="C152" s="78">
        <v>2020</v>
      </c>
      <c r="D152" s="176" t="s">
        <v>373</v>
      </c>
      <c r="E152" s="78" t="s">
        <v>372</v>
      </c>
      <c r="F152" s="78" t="s">
        <v>364</v>
      </c>
      <c r="G152" s="78" t="s">
        <v>25</v>
      </c>
      <c r="H152" s="78" t="s">
        <v>167</v>
      </c>
      <c r="I152" s="78" t="s">
        <v>111</v>
      </c>
      <c r="J152" s="78" t="s">
        <v>27</v>
      </c>
      <c r="K152" s="78" t="s">
        <v>112</v>
      </c>
      <c r="L152" s="78">
        <v>1</v>
      </c>
      <c r="N152" s="78">
        <v>4</v>
      </c>
      <c r="O152" s="78">
        <v>0.55000000000000004</v>
      </c>
      <c r="P152" s="78">
        <v>0.7</v>
      </c>
      <c r="Q152" s="16">
        <f t="shared" si="7"/>
        <v>0.625</v>
      </c>
      <c r="R152" s="78">
        <v>16.7</v>
      </c>
      <c r="S152" s="78">
        <v>141</v>
      </c>
      <c r="T152" s="16">
        <f t="shared" si="10"/>
        <v>30</v>
      </c>
      <c r="U152" s="78">
        <v>450</v>
      </c>
      <c r="V152" s="16">
        <f t="shared" si="11"/>
        <v>3375</v>
      </c>
      <c r="W152" s="78">
        <v>14</v>
      </c>
      <c r="X152" s="78" t="s">
        <v>35</v>
      </c>
      <c r="Y152" s="78" t="s">
        <v>43</v>
      </c>
      <c r="Z152" s="78" t="s">
        <v>55</v>
      </c>
      <c r="AA152" s="78" t="s">
        <v>64</v>
      </c>
      <c r="AB152" s="78" t="s">
        <v>161</v>
      </c>
    </row>
    <row r="153" spans="1:28" x14ac:dyDescent="0.15">
      <c r="A153" s="78" t="s">
        <v>23</v>
      </c>
      <c r="B153" s="78" t="s">
        <v>160</v>
      </c>
      <c r="C153" s="78">
        <v>2020</v>
      </c>
      <c r="D153" s="176" t="s">
        <v>373</v>
      </c>
      <c r="E153" s="78" t="s">
        <v>372</v>
      </c>
      <c r="F153" s="78" t="s">
        <v>364</v>
      </c>
      <c r="G153" s="78" t="s">
        <v>25</v>
      </c>
      <c r="H153" s="78" t="s">
        <v>167</v>
      </c>
      <c r="I153" s="78" t="s">
        <v>111</v>
      </c>
      <c r="J153" s="78" t="s">
        <v>27</v>
      </c>
      <c r="K153" s="78" t="s">
        <v>112</v>
      </c>
      <c r="L153" s="78">
        <v>2</v>
      </c>
      <c r="N153" s="78">
        <v>4</v>
      </c>
      <c r="O153" s="78">
        <v>0.2</v>
      </c>
      <c r="P153" s="78">
        <v>0.2</v>
      </c>
      <c r="Q153" s="16">
        <f t="shared" si="7"/>
        <v>0.2</v>
      </c>
      <c r="R153" s="78">
        <v>17.3</v>
      </c>
      <c r="S153" s="78">
        <v>137.5</v>
      </c>
      <c r="T153" s="16">
        <f t="shared" si="10"/>
        <v>30</v>
      </c>
      <c r="U153" s="78">
        <v>450</v>
      </c>
      <c r="V153" s="16">
        <f t="shared" si="11"/>
        <v>3375</v>
      </c>
      <c r="W153" s="78">
        <v>14</v>
      </c>
      <c r="X153" s="78" t="s">
        <v>35</v>
      </c>
      <c r="Y153" s="78" t="s">
        <v>43</v>
      </c>
      <c r="Z153" s="78" t="s">
        <v>55</v>
      </c>
      <c r="AA153" s="78" t="s">
        <v>64</v>
      </c>
      <c r="AB153" s="78" t="s">
        <v>161</v>
      </c>
    </row>
    <row r="154" spans="1:28" x14ac:dyDescent="0.15">
      <c r="A154" s="78" t="s">
        <v>23</v>
      </c>
      <c r="B154" s="78" t="s">
        <v>160</v>
      </c>
      <c r="C154" s="78">
        <v>2020</v>
      </c>
      <c r="D154" s="176" t="s">
        <v>373</v>
      </c>
      <c r="E154" s="78" t="s">
        <v>372</v>
      </c>
      <c r="F154" s="78" t="s">
        <v>364</v>
      </c>
      <c r="G154" s="78" t="s">
        <v>25</v>
      </c>
      <c r="H154" s="78" t="s">
        <v>167</v>
      </c>
      <c r="I154" s="78" t="s">
        <v>111</v>
      </c>
      <c r="J154" s="78" t="s">
        <v>27</v>
      </c>
      <c r="K154" s="78" t="s">
        <v>112</v>
      </c>
      <c r="L154" s="78">
        <v>3</v>
      </c>
      <c r="N154" s="78">
        <v>4</v>
      </c>
      <c r="O154" s="78">
        <v>0.55000000000000004</v>
      </c>
      <c r="P154" s="78">
        <v>0.55000000000000004</v>
      </c>
      <c r="Q154" s="16">
        <f t="shared" si="7"/>
        <v>0.55000000000000004</v>
      </c>
      <c r="R154" s="78">
        <v>16.600000000000001</v>
      </c>
      <c r="S154" s="78">
        <v>143</v>
      </c>
      <c r="T154" s="16">
        <f t="shared" si="10"/>
        <v>30</v>
      </c>
      <c r="U154" s="78">
        <v>450</v>
      </c>
      <c r="V154" s="16">
        <f t="shared" si="11"/>
        <v>3375</v>
      </c>
      <c r="W154" s="78">
        <v>14</v>
      </c>
      <c r="X154" s="78" t="s">
        <v>35</v>
      </c>
      <c r="Y154" s="78" t="s">
        <v>43</v>
      </c>
      <c r="Z154" s="78" t="s">
        <v>55</v>
      </c>
      <c r="AA154" s="78" t="s">
        <v>64</v>
      </c>
      <c r="AB154" s="78" t="s">
        <v>161</v>
      </c>
    </row>
    <row r="155" spans="1:28" x14ac:dyDescent="0.15">
      <c r="A155" s="78" t="s">
        <v>23</v>
      </c>
      <c r="B155" s="78" t="s">
        <v>160</v>
      </c>
      <c r="C155" s="78">
        <v>2020</v>
      </c>
      <c r="D155" s="176" t="s">
        <v>373</v>
      </c>
      <c r="E155" s="78" t="s">
        <v>372</v>
      </c>
      <c r="F155" s="78" t="s">
        <v>364</v>
      </c>
      <c r="G155" s="78" t="s">
        <v>25</v>
      </c>
      <c r="H155" s="78" t="s">
        <v>167</v>
      </c>
      <c r="I155" s="78" t="s">
        <v>111</v>
      </c>
      <c r="J155" s="78" t="s">
        <v>27</v>
      </c>
      <c r="K155" s="78" t="s">
        <v>112</v>
      </c>
      <c r="L155" s="78">
        <v>1</v>
      </c>
      <c r="N155" s="78">
        <v>6</v>
      </c>
      <c r="O155" s="78">
        <v>0.5</v>
      </c>
      <c r="P155" s="78">
        <v>0.5</v>
      </c>
      <c r="Q155" s="16">
        <f t="shared" si="7"/>
        <v>0.5</v>
      </c>
      <c r="R155" s="78">
        <v>19.100000000000001</v>
      </c>
      <c r="S155" s="78">
        <v>141</v>
      </c>
      <c r="T155" s="16">
        <f t="shared" si="10"/>
        <v>30</v>
      </c>
      <c r="U155" s="78">
        <v>880</v>
      </c>
      <c r="V155" s="16">
        <f t="shared" si="11"/>
        <v>4400</v>
      </c>
      <c r="W155" s="78">
        <v>14</v>
      </c>
      <c r="X155" s="78" t="s">
        <v>35</v>
      </c>
      <c r="Y155" s="78" t="s">
        <v>43</v>
      </c>
      <c r="Z155" s="78" t="s">
        <v>55</v>
      </c>
      <c r="AA155" s="78" t="s">
        <v>64</v>
      </c>
      <c r="AB155" s="78" t="s">
        <v>161</v>
      </c>
    </row>
    <row r="156" spans="1:28" x14ac:dyDescent="0.15">
      <c r="A156" s="78" t="s">
        <v>23</v>
      </c>
      <c r="B156" s="78" t="s">
        <v>160</v>
      </c>
      <c r="C156" s="78">
        <v>2020</v>
      </c>
      <c r="D156" s="176" t="s">
        <v>373</v>
      </c>
      <c r="E156" s="78" t="s">
        <v>372</v>
      </c>
      <c r="F156" s="78" t="s">
        <v>364</v>
      </c>
      <c r="G156" s="78" t="s">
        <v>25</v>
      </c>
      <c r="H156" s="78" t="s">
        <v>167</v>
      </c>
      <c r="I156" s="78" t="s">
        <v>111</v>
      </c>
      <c r="J156" s="78" t="s">
        <v>27</v>
      </c>
      <c r="K156" s="78" t="s">
        <v>112</v>
      </c>
      <c r="L156" s="78">
        <v>2</v>
      </c>
      <c r="N156" s="78">
        <v>6</v>
      </c>
      <c r="O156" s="78">
        <v>0.65</v>
      </c>
      <c r="P156" s="78">
        <v>0.55000000000000004</v>
      </c>
      <c r="Q156" s="16">
        <f t="shared" si="7"/>
        <v>0.60000000000000009</v>
      </c>
      <c r="R156" s="78">
        <v>17.5</v>
      </c>
      <c r="S156" s="78">
        <v>139.5</v>
      </c>
      <c r="T156" s="16">
        <f t="shared" si="10"/>
        <v>30</v>
      </c>
      <c r="U156" s="78">
        <v>880</v>
      </c>
      <c r="V156" s="16">
        <f t="shared" si="11"/>
        <v>4400</v>
      </c>
      <c r="W156" s="78">
        <v>14</v>
      </c>
      <c r="X156" s="78" t="s">
        <v>35</v>
      </c>
      <c r="Y156" s="78" t="s">
        <v>43</v>
      </c>
      <c r="Z156" s="78" t="s">
        <v>55</v>
      </c>
      <c r="AA156" s="78" t="s">
        <v>64</v>
      </c>
      <c r="AB156" s="78" t="s">
        <v>161</v>
      </c>
    </row>
    <row r="157" spans="1:28" x14ac:dyDescent="0.15">
      <c r="A157" s="78" t="s">
        <v>23</v>
      </c>
      <c r="B157" s="78" t="s">
        <v>160</v>
      </c>
      <c r="C157" s="78">
        <v>2020</v>
      </c>
      <c r="D157" s="176" t="s">
        <v>373</v>
      </c>
      <c r="E157" s="78" t="s">
        <v>372</v>
      </c>
      <c r="F157" s="78" t="s">
        <v>364</v>
      </c>
      <c r="G157" s="78" t="s">
        <v>25</v>
      </c>
      <c r="H157" s="78" t="s">
        <v>167</v>
      </c>
      <c r="I157" s="78" t="s">
        <v>111</v>
      </c>
      <c r="J157" s="78" t="s">
        <v>27</v>
      </c>
      <c r="K157" s="78" t="s">
        <v>112</v>
      </c>
      <c r="L157" s="78">
        <v>3</v>
      </c>
      <c r="N157" s="78">
        <v>6</v>
      </c>
      <c r="O157" s="78">
        <v>0.55000000000000004</v>
      </c>
      <c r="P157" s="78">
        <v>0.75</v>
      </c>
      <c r="Q157" s="16">
        <f t="shared" si="7"/>
        <v>0.65</v>
      </c>
      <c r="R157" s="78">
        <v>16.7</v>
      </c>
      <c r="S157" s="78">
        <v>142.5</v>
      </c>
      <c r="T157" s="16">
        <f t="shared" si="10"/>
        <v>30</v>
      </c>
      <c r="U157" s="78">
        <v>880</v>
      </c>
      <c r="V157" s="16">
        <f t="shared" si="11"/>
        <v>4400</v>
      </c>
      <c r="W157" s="78">
        <v>14</v>
      </c>
      <c r="X157" s="78" t="s">
        <v>35</v>
      </c>
      <c r="Y157" s="78" t="s">
        <v>43</v>
      </c>
      <c r="Z157" s="78" t="s">
        <v>55</v>
      </c>
      <c r="AA157" s="78" t="s">
        <v>64</v>
      </c>
      <c r="AB157" s="78" t="s">
        <v>161</v>
      </c>
    </row>
  </sheetData>
  <autoFilter ref="A1:BA157" xr:uid="{00000000-0009-0000-0000-000000000000}"/>
  <phoneticPr fontId="3"/>
  <dataValidations count="15">
    <dataValidation type="list" allowBlank="1" showInputMessage="1" showErrorMessage="1" sqref="K2:K1003" xr:uid="{C1EC1FC0-CA7C-4012-99BE-DA4AA27A4AFF}">
      <formula1>$AR$2:$AR$25</formula1>
    </dataValidation>
    <dataValidation type="list" allowBlank="1" showInputMessage="1" showErrorMessage="1" sqref="J2:J1003" xr:uid="{9468A614-455F-40F6-A985-141510AB2B3E}">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78CF9578-B8A9-4ECB-AC76-4242FB545201}">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3C1D7263-0554-49D8-AEFA-A441486C7008}">
      <formula1>$AR$2:$AR$33</formula1>
    </dataValidation>
    <dataValidation type="list" allowBlank="1" showInputMessage="1" showErrorMessage="1" sqref="H2:H7" xr:uid="{EC23A912-DB47-47FB-ACB1-83F549E04D6E}">
      <formula1>$AL$2:$AL$20</formula1>
    </dataValidation>
    <dataValidation type="list" allowBlank="1" showInputMessage="1" showErrorMessage="1" sqref="H8:H1096" xr:uid="{9D705427-B226-47E8-8EF6-3B3FD3DE6734}">
      <formula1>$AL$2:$AL$9</formula1>
    </dataValidation>
    <dataValidation type="list" allowBlank="1" showInputMessage="1" showErrorMessage="1" sqref="E2:E473" xr:uid="{38B88C36-FF68-4496-BC21-3F98AACCA04C}">
      <formula1>$AG$2:$AG$11</formula1>
    </dataValidation>
    <dataValidation type="list" allowBlank="1" showInputMessage="1" showErrorMessage="1" sqref="F2:F473" xr:uid="{645A6B04-4B5C-46A6-AC04-F08488BFCB16}">
      <formula1>$AH$2:$AH$11</formula1>
    </dataValidation>
    <dataValidation type="list" allowBlank="1" showInputMessage="1" showErrorMessage="1" sqref="I2:I473" xr:uid="{9DF7CFEF-119F-4F0D-9B0D-3C126A2B9973}">
      <formula1>$AN$5:$AN$6</formula1>
    </dataValidation>
    <dataValidation type="list" allowBlank="1" showInputMessage="1" showErrorMessage="1" sqref="G2:G473" xr:uid="{EE1EF4F3-D7D4-405F-96EF-5002629F4F27}">
      <formula1>$AJ$2:$AJ$4</formula1>
    </dataValidation>
    <dataValidation type="list" allowBlank="1" showInputMessage="1" showErrorMessage="1" sqref="X2:X473" xr:uid="{CB50F8FF-0C84-4CA1-808D-C53C6FE2A3AE}">
      <formula1>$AT$2:$AT$3</formula1>
    </dataValidation>
    <dataValidation type="list" allowBlank="1" showInputMessage="1" showErrorMessage="1" sqref="Y2:AA473" xr:uid="{1FC2A9D4-36C6-493E-A912-01A91848181D}">
      <formula1>$AV$2:$AV$21</formula1>
    </dataValidation>
    <dataValidation type="list" allowBlank="1" showInputMessage="1" showErrorMessage="1" sqref="A2:A472" xr:uid="{4F79ABDB-0C87-4C57-A24E-D8D2AA10325C}">
      <formula1>$AE$2:$AE$19</formula1>
    </dataValidation>
    <dataValidation operator="equal" allowBlank="1" showInputMessage="1" showErrorMessage="1" sqref="B2:B157" xr:uid="{B120D22F-0792-417B-8394-90658A2DF307}"/>
    <dataValidation type="decimal" allowBlank="1" showInputMessage="1" showErrorMessage="1" error="硬度を正しく入力して下さい。" sqref="O2:O16 P2:P52 O18:O52 P62:P473 O116:O473 O62:O114" xr:uid="{DC9680F4-87D7-4029-B001-0097736BE0C7}">
      <formula1>0</formula1>
      <formula2>7</formula2>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347"/>
  <sheetViews>
    <sheetView tabSelected="1" zoomScale="70" zoomScaleNormal="70"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8"/>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164</v>
      </c>
      <c r="H1" s="41" t="s">
        <v>6</v>
      </c>
      <c r="I1" s="41" t="s">
        <v>7</v>
      </c>
      <c r="J1" s="84" t="s">
        <v>8</v>
      </c>
      <c r="K1" s="84"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5" t="s">
        <v>23</v>
      </c>
      <c r="B2" s="85" t="s">
        <v>160</v>
      </c>
      <c r="C2" s="85">
        <v>2020</v>
      </c>
      <c r="D2" s="45" t="s">
        <v>163</v>
      </c>
      <c r="E2" s="85" t="s">
        <v>152</v>
      </c>
      <c r="F2" s="85" t="s">
        <v>147</v>
      </c>
      <c r="G2" s="85" t="s">
        <v>25</v>
      </c>
      <c r="H2" s="85" t="s">
        <v>113</v>
      </c>
      <c r="I2" s="85" t="s">
        <v>111</v>
      </c>
      <c r="J2" s="79" t="s">
        <v>27</v>
      </c>
      <c r="K2" s="78" t="s">
        <v>112</v>
      </c>
      <c r="L2" s="85">
        <v>1</v>
      </c>
      <c r="M2" s="55"/>
      <c r="N2" s="55">
        <v>1</v>
      </c>
      <c r="O2" s="55">
        <v>0.85</v>
      </c>
      <c r="P2" s="55">
        <v>1.1000000000000001</v>
      </c>
      <c r="Q2" s="56">
        <f t="shared" ref="Q2:Q142" si="0">IF(OR(O2="",P2=""),"",AVERAGE(O2,P2))</f>
        <v>0.97500000000000009</v>
      </c>
      <c r="R2" s="57">
        <v>14.2</v>
      </c>
      <c r="S2" s="54">
        <v>121</v>
      </c>
      <c r="T2" s="58">
        <f t="shared" ref="T2:T142" si="1">IF(H2="","",IF(OR(H2="GREEN",H2="GK"),IF(S2&gt;=$AX$2,VLOOKUP(S2,$AX$2:$AY$7,2,1),""),IF(S2&gt;=$AZ$2,VLOOKUP(S2,$AZ$2:$BA$7,2,1),"")))</f>
        <v>30</v>
      </c>
      <c r="U2" s="46">
        <v>98</v>
      </c>
      <c r="V2" s="58">
        <f t="shared" ref="V2:V142" si="2">IF(OR(N2="",U2="",T2=""),"",U2/N2*T2)</f>
        <v>2940</v>
      </c>
      <c r="W2" s="59">
        <v>28</v>
      </c>
      <c r="X2" s="60" t="s">
        <v>35</v>
      </c>
      <c r="Y2" s="60" t="s">
        <v>43</v>
      </c>
      <c r="Z2" s="60" t="s">
        <v>55</v>
      </c>
      <c r="AA2" s="61" t="s">
        <v>76</v>
      </c>
      <c r="AB2" s="43" t="s">
        <v>161</v>
      </c>
      <c r="AE2" s="17" t="s">
        <v>24</v>
      </c>
      <c r="AG2" s="88" t="s">
        <v>140</v>
      </c>
      <c r="AH2" s="88" t="s">
        <v>141</v>
      </c>
      <c r="AJ2" s="49" t="s">
        <v>25</v>
      </c>
      <c r="AL2" s="86"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5" t="s">
        <v>23</v>
      </c>
      <c r="B3" s="85" t="s">
        <v>160</v>
      </c>
      <c r="C3" s="85">
        <v>2020</v>
      </c>
      <c r="D3" s="45" t="s">
        <v>163</v>
      </c>
      <c r="E3" s="85" t="s">
        <v>152</v>
      </c>
      <c r="F3" s="85" t="s">
        <v>147</v>
      </c>
      <c r="G3" s="85" t="s">
        <v>25</v>
      </c>
      <c r="H3" s="85" t="s">
        <v>113</v>
      </c>
      <c r="I3" s="85" t="s">
        <v>111</v>
      </c>
      <c r="J3" s="79" t="s">
        <v>27</v>
      </c>
      <c r="K3" s="78" t="s">
        <v>112</v>
      </c>
      <c r="L3" s="85">
        <v>2</v>
      </c>
      <c r="N3" s="7">
        <v>1</v>
      </c>
      <c r="O3" s="7">
        <v>0.8</v>
      </c>
      <c r="P3" s="34">
        <v>0.85</v>
      </c>
      <c r="Q3" s="62">
        <f t="shared" si="0"/>
        <v>0.82499999999999996</v>
      </c>
      <c r="R3" s="63">
        <v>13.8</v>
      </c>
      <c r="S3" s="63">
        <v>118</v>
      </c>
      <c r="T3" s="16">
        <f t="shared" si="1"/>
        <v>30</v>
      </c>
      <c r="U3" s="46">
        <v>98</v>
      </c>
      <c r="V3" s="64">
        <f t="shared" si="2"/>
        <v>2940</v>
      </c>
      <c r="W3" s="59">
        <v>28</v>
      </c>
      <c r="X3" s="60" t="s">
        <v>35</v>
      </c>
      <c r="Y3" s="60" t="s">
        <v>43</v>
      </c>
      <c r="Z3" s="60" t="s">
        <v>55</v>
      </c>
      <c r="AA3" s="61" t="s">
        <v>76</v>
      </c>
      <c r="AB3" s="43" t="s">
        <v>161</v>
      </c>
      <c r="AE3" s="22" t="s">
        <v>30</v>
      </c>
      <c r="AG3" s="89" t="s">
        <v>142</v>
      </c>
      <c r="AH3" s="89" t="s">
        <v>143</v>
      </c>
      <c r="AJ3" s="66" t="s">
        <v>31</v>
      </c>
      <c r="AL3" s="81" t="s">
        <v>108</v>
      </c>
      <c r="AN3" s="23" t="s">
        <v>32</v>
      </c>
      <c r="AP3" s="23" t="s">
        <v>33</v>
      </c>
      <c r="AR3" s="37" t="s">
        <v>34</v>
      </c>
      <c r="AT3" s="23" t="s">
        <v>35</v>
      </c>
      <c r="AV3" s="23" t="s">
        <v>36</v>
      </c>
      <c r="AX3" s="24">
        <v>72</v>
      </c>
      <c r="AY3" s="25">
        <v>46</v>
      </c>
      <c r="AZ3" s="25">
        <v>71</v>
      </c>
      <c r="BA3" s="26">
        <v>42</v>
      </c>
    </row>
    <row r="4" spans="1:53" x14ac:dyDescent="0.15">
      <c r="A4" s="85" t="s">
        <v>23</v>
      </c>
      <c r="B4" s="85" t="s">
        <v>160</v>
      </c>
      <c r="C4" s="85">
        <v>2020</v>
      </c>
      <c r="D4" s="45" t="s">
        <v>163</v>
      </c>
      <c r="E4" s="85" t="s">
        <v>152</v>
      </c>
      <c r="F4" s="85" t="s">
        <v>147</v>
      </c>
      <c r="G4" s="85" t="s">
        <v>25</v>
      </c>
      <c r="H4" s="85" t="s">
        <v>113</v>
      </c>
      <c r="I4" s="85" t="s">
        <v>111</v>
      </c>
      <c r="J4" s="79" t="s">
        <v>27</v>
      </c>
      <c r="K4" s="78" t="s">
        <v>112</v>
      </c>
      <c r="L4" s="85">
        <v>3</v>
      </c>
      <c r="N4" s="7">
        <v>1</v>
      </c>
      <c r="O4" s="7">
        <v>1</v>
      </c>
      <c r="P4" s="34">
        <v>0.85</v>
      </c>
      <c r="Q4" s="44">
        <f t="shared" si="0"/>
        <v>0.92500000000000004</v>
      </c>
      <c r="R4" s="67">
        <v>15.2</v>
      </c>
      <c r="S4" s="67">
        <v>118</v>
      </c>
      <c r="T4" s="16">
        <f t="shared" si="1"/>
        <v>30</v>
      </c>
      <c r="U4" s="46">
        <v>98</v>
      </c>
      <c r="V4" s="64">
        <f t="shared" si="2"/>
        <v>2940</v>
      </c>
      <c r="W4" s="59">
        <v>28</v>
      </c>
      <c r="X4" s="60" t="s">
        <v>35</v>
      </c>
      <c r="Y4" s="60" t="s">
        <v>43</v>
      </c>
      <c r="Z4" s="60" t="s">
        <v>55</v>
      </c>
      <c r="AA4" s="61" t="s">
        <v>76</v>
      </c>
      <c r="AB4" s="43" t="s">
        <v>161</v>
      </c>
      <c r="AE4" s="22" t="s">
        <v>23</v>
      </c>
      <c r="AG4" s="89" t="s">
        <v>144</v>
      </c>
      <c r="AH4" s="89" t="s">
        <v>145</v>
      </c>
      <c r="AJ4" s="70" t="s">
        <v>37</v>
      </c>
      <c r="AL4" s="81" t="s">
        <v>109</v>
      </c>
      <c r="AN4" s="28" t="s">
        <v>38</v>
      </c>
      <c r="AP4" s="23" t="s">
        <v>130</v>
      </c>
      <c r="AR4" s="37" t="s">
        <v>131</v>
      </c>
      <c r="AT4" s="28"/>
      <c r="AV4" s="23" t="s">
        <v>39</v>
      </c>
      <c r="AX4" s="24">
        <v>75</v>
      </c>
      <c r="AY4" s="25">
        <v>42</v>
      </c>
      <c r="AZ4" s="25">
        <v>76</v>
      </c>
      <c r="BA4" s="26">
        <v>39</v>
      </c>
    </row>
    <row r="5" spans="1:53" x14ac:dyDescent="0.15">
      <c r="A5" s="85" t="s">
        <v>23</v>
      </c>
      <c r="B5" s="85" t="s">
        <v>160</v>
      </c>
      <c r="C5" s="85">
        <v>2020</v>
      </c>
      <c r="D5" s="45" t="s">
        <v>163</v>
      </c>
      <c r="E5" s="85" t="s">
        <v>152</v>
      </c>
      <c r="F5" s="85" t="s">
        <v>147</v>
      </c>
      <c r="G5" s="85" t="s">
        <v>25</v>
      </c>
      <c r="H5" s="85" t="s">
        <v>113</v>
      </c>
      <c r="I5" s="85" t="s">
        <v>111</v>
      </c>
      <c r="J5" s="79" t="s">
        <v>27</v>
      </c>
      <c r="K5" s="78" t="s">
        <v>112</v>
      </c>
      <c r="L5" s="85">
        <v>1</v>
      </c>
      <c r="N5" s="7">
        <v>4</v>
      </c>
      <c r="O5" s="7">
        <v>0.2</v>
      </c>
      <c r="P5" s="78">
        <v>0.2</v>
      </c>
      <c r="Q5" s="44">
        <f t="shared" si="0"/>
        <v>0.2</v>
      </c>
      <c r="R5" s="67">
        <v>12.8</v>
      </c>
      <c r="S5" s="67">
        <v>92</v>
      </c>
      <c r="T5" s="16">
        <f t="shared" si="1"/>
        <v>36</v>
      </c>
      <c r="U5" s="68">
        <v>398</v>
      </c>
      <c r="V5" s="64">
        <f t="shared" si="2"/>
        <v>3582</v>
      </c>
      <c r="W5" s="59">
        <v>28</v>
      </c>
      <c r="X5" s="60" t="s">
        <v>35</v>
      </c>
      <c r="Y5" s="60" t="s">
        <v>43</v>
      </c>
      <c r="Z5" s="60" t="s">
        <v>55</v>
      </c>
      <c r="AA5" s="61" t="s">
        <v>76</v>
      </c>
      <c r="AB5" s="43" t="s">
        <v>161</v>
      </c>
      <c r="AE5" s="22" t="s">
        <v>40</v>
      </c>
      <c r="AG5" s="89" t="s">
        <v>146</v>
      </c>
      <c r="AH5" s="89" t="s">
        <v>147</v>
      </c>
      <c r="AJ5" s="71"/>
      <c r="AL5" s="82" t="s">
        <v>132</v>
      </c>
      <c r="AN5" s="29" t="s">
        <v>133</v>
      </c>
      <c r="AP5" s="23" t="s">
        <v>134</v>
      </c>
      <c r="AR5" s="37" t="s">
        <v>42</v>
      </c>
      <c r="AT5" s="47"/>
      <c r="AV5" s="23" t="s">
        <v>43</v>
      </c>
      <c r="AX5" s="24">
        <v>84</v>
      </c>
      <c r="AY5" s="25">
        <v>39</v>
      </c>
      <c r="AZ5" s="25">
        <v>84</v>
      </c>
      <c r="BA5" s="26">
        <v>36</v>
      </c>
    </row>
    <row r="6" spans="1:53" x14ac:dyDescent="0.15">
      <c r="A6" s="85" t="s">
        <v>23</v>
      </c>
      <c r="B6" s="85" t="s">
        <v>160</v>
      </c>
      <c r="C6" s="85">
        <v>2020</v>
      </c>
      <c r="D6" s="45" t="s">
        <v>163</v>
      </c>
      <c r="E6" s="85" t="s">
        <v>152</v>
      </c>
      <c r="F6" s="85" t="s">
        <v>147</v>
      </c>
      <c r="G6" s="85" t="s">
        <v>25</v>
      </c>
      <c r="H6" s="85" t="s">
        <v>113</v>
      </c>
      <c r="I6" s="85" t="s">
        <v>111</v>
      </c>
      <c r="J6" s="79" t="s">
        <v>27</v>
      </c>
      <c r="K6" s="78" t="s">
        <v>112</v>
      </c>
      <c r="L6" s="85">
        <v>2</v>
      </c>
      <c r="N6" s="7">
        <v>4</v>
      </c>
      <c r="O6" s="78">
        <v>0.2</v>
      </c>
      <c r="P6" s="78">
        <v>0.2</v>
      </c>
      <c r="Q6" s="44">
        <f t="shared" si="0"/>
        <v>0.2</v>
      </c>
      <c r="R6" s="67">
        <v>14.3</v>
      </c>
      <c r="S6" s="67">
        <v>83</v>
      </c>
      <c r="T6" s="16">
        <f t="shared" si="1"/>
        <v>39</v>
      </c>
      <c r="U6" s="68">
        <v>398</v>
      </c>
      <c r="V6" s="64">
        <f t="shared" si="2"/>
        <v>3880.5</v>
      </c>
      <c r="W6" s="59">
        <v>28</v>
      </c>
      <c r="X6" s="60" t="s">
        <v>35</v>
      </c>
      <c r="Y6" s="60" t="s">
        <v>43</v>
      </c>
      <c r="Z6" s="60" t="s">
        <v>55</v>
      </c>
      <c r="AA6" s="61" t="s">
        <v>76</v>
      </c>
      <c r="AB6" s="43" t="s">
        <v>161</v>
      </c>
      <c r="AE6" s="22" t="s">
        <v>44</v>
      </c>
      <c r="AG6" s="89" t="s">
        <v>148</v>
      </c>
      <c r="AH6" s="89" t="s">
        <v>149</v>
      </c>
      <c r="AL6" s="82" t="s">
        <v>135</v>
      </c>
      <c r="AN6" s="29" t="s">
        <v>136</v>
      </c>
      <c r="AP6" s="23" t="s">
        <v>41</v>
      </c>
      <c r="AR6" s="37" t="s">
        <v>46</v>
      </c>
      <c r="AV6" s="23" t="s">
        <v>47</v>
      </c>
      <c r="AX6" s="24">
        <v>97</v>
      </c>
      <c r="AY6" s="25">
        <v>36</v>
      </c>
      <c r="AZ6" s="25">
        <v>99</v>
      </c>
      <c r="BA6" s="26">
        <v>33</v>
      </c>
    </row>
    <row r="7" spans="1:53" x14ac:dyDescent="0.15">
      <c r="A7" s="85" t="s">
        <v>23</v>
      </c>
      <c r="B7" s="85" t="s">
        <v>160</v>
      </c>
      <c r="C7" s="85">
        <v>2020</v>
      </c>
      <c r="D7" s="45" t="s">
        <v>163</v>
      </c>
      <c r="E7" s="85" t="s">
        <v>152</v>
      </c>
      <c r="F7" s="85" t="s">
        <v>147</v>
      </c>
      <c r="G7" s="85" t="s">
        <v>25</v>
      </c>
      <c r="H7" s="85" t="s">
        <v>113</v>
      </c>
      <c r="I7" s="85" t="s">
        <v>111</v>
      </c>
      <c r="J7" s="79" t="s">
        <v>27</v>
      </c>
      <c r="K7" s="78" t="s">
        <v>112</v>
      </c>
      <c r="L7" s="85">
        <v>3</v>
      </c>
      <c r="N7" s="7">
        <v>4</v>
      </c>
      <c r="O7" s="78">
        <v>0.2</v>
      </c>
      <c r="P7" s="78">
        <v>0.2</v>
      </c>
      <c r="Q7" s="44">
        <f t="shared" si="0"/>
        <v>0.2</v>
      </c>
      <c r="R7" s="67">
        <v>14.8</v>
      </c>
      <c r="S7" s="67">
        <v>82</v>
      </c>
      <c r="T7" s="16">
        <f t="shared" si="1"/>
        <v>39</v>
      </c>
      <c r="U7" s="68">
        <v>398</v>
      </c>
      <c r="V7" s="64">
        <f t="shared" si="2"/>
        <v>3880.5</v>
      </c>
      <c r="W7" s="59">
        <v>28</v>
      </c>
      <c r="X7" s="60" t="s">
        <v>35</v>
      </c>
      <c r="Y7" s="60" t="s">
        <v>43</v>
      </c>
      <c r="Z7" s="60" t="s">
        <v>55</v>
      </c>
      <c r="AA7" s="61" t="s">
        <v>76</v>
      </c>
      <c r="AB7" s="43" t="s">
        <v>161</v>
      </c>
      <c r="AE7" s="22" t="s">
        <v>48</v>
      </c>
      <c r="AG7" s="89" t="s">
        <v>150</v>
      </c>
      <c r="AH7" s="89" t="s">
        <v>147</v>
      </c>
      <c r="AL7" s="87" t="s">
        <v>137</v>
      </c>
      <c r="AP7" s="23" t="s">
        <v>45</v>
      </c>
      <c r="AR7" s="30" t="s">
        <v>102</v>
      </c>
      <c r="AV7" s="23" t="s">
        <v>51</v>
      </c>
      <c r="AX7" s="24">
        <v>109</v>
      </c>
      <c r="AY7" s="25">
        <v>33</v>
      </c>
      <c r="AZ7" s="25">
        <v>113</v>
      </c>
      <c r="BA7" s="26">
        <v>30</v>
      </c>
    </row>
    <row r="8" spans="1:53" x14ac:dyDescent="0.15">
      <c r="A8" s="85" t="s">
        <v>23</v>
      </c>
      <c r="B8" s="85" t="s">
        <v>160</v>
      </c>
      <c r="C8" s="85">
        <v>2020</v>
      </c>
      <c r="D8" s="45" t="s">
        <v>163</v>
      </c>
      <c r="E8" s="85" t="s">
        <v>152</v>
      </c>
      <c r="F8" s="85" t="s">
        <v>147</v>
      </c>
      <c r="G8" s="85" t="s">
        <v>25</v>
      </c>
      <c r="H8" s="85" t="s">
        <v>165</v>
      </c>
      <c r="I8" s="85" t="s">
        <v>111</v>
      </c>
      <c r="J8" s="79" t="s">
        <v>27</v>
      </c>
      <c r="K8" s="78" t="s">
        <v>112</v>
      </c>
      <c r="L8" s="85">
        <v>1</v>
      </c>
      <c r="N8" s="7">
        <v>4</v>
      </c>
      <c r="O8" s="7">
        <v>1.1000000000000001</v>
      </c>
      <c r="P8" s="7">
        <v>1.1499999999999999</v>
      </c>
      <c r="Q8" s="44">
        <f t="shared" si="0"/>
        <v>1.125</v>
      </c>
      <c r="R8" s="67">
        <v>16.5</v>
      </c>
      <c r="S8" s="67">
        <v>96</v>
      </c>
      <c r="T8" s="16">
        <f t="shared" si="1"/>
        <v>36</v>
      </c>
      <c r="U8" s="68">
        <v>398</v>
      </c>
      <c r="V8" s="64">
        <f t="shared" si="2"/>
        <v>3582</v>
      </c>
      <c r="W8" s="59">
        <v>28</v>
      </c>
      <c r="X8" s="60" t="s">
        <v>35</v>
      </c>
      <c r="Y8" s="60" t="s">
        <v>43</v>
      </c>
      <c r="Z8" s="60" t="s">
        <v>55</v>
      </c>
      <c r="AA8" s="61" t="s">
        <v>76</v>
      </c>
      <c r="AB8" s="43" t="s">
        <v>161</v>
      </c>
      <c r="AE8" s="22" t="s">
        <v>46</v>
      </c>
      <c r="AG8" s="89" t="s">
        <v>151</v>
      </c>
      <c r="AH8" s="89" t="s">
        <v>147</v>
      </c>
      <c r="AL8" s="87" t="s">
        <v>110</v>
      </c>
      <c r="AP8" s="23" t="s">
        <v>49</v>
      </c>
      <c r="AR8" s="37" t="s">
        <v>67</v>
      </c>
      <c r="AV8" s="23" t="s">
        <v>82</v>
      </c>
      <c r="AX8" s="24">
        <v>151</v>
      </c>
      <c r="AY8" s="25">
        <v>22</v>
      </c>
      <c r="AZ8" s="25">
        <v>152</v>
      </c>
      <c r="BA8" s="26">
        <v>18</v>
      </c>
    </row>
    <row r="9" spans="1:53" x14ac:dyDescent="0.15">
      <c r="A9" s="85" t="s">
        <v>23</v>
      </c>
      <c r="B9" s="85" t="s">
        <v>160</v>
      </c>
      <c r="C9" s="85">
        <v>2020</v>
      </c>
      <c r="D9" s="45" t="s">
        <v>163</v>
      </c>
      <c r="E9" s="85" t="s">
        <v>152</v>
      </c>
      <c r="F9" s="85" t="s">
        <v>147</v>
      </c>
      <c r="G9" s="85" t="s">
        <v>25</v>
      </c>
      <c r="H9" s="85" t="s">
        <v>165</v>
      </c>
      <c r="I9" s="85" t="s">
        <v>111</v>
      </c>
      <c r="J9" s="79" t="s">
        <v>27</v>
      </c>
      <c r="K9" s="78" t="s">
        <v>112</v>
      </c>
      <c r="L9" s="85">
        <v>2</v>
      </c>
      <c r="N9" s="7">
        <v>4</v>
      </c>
      <c r="O9" s="7">
        <v>0.35</v>
      </c>
      <c r="P9" s="7">
        <v>0.5</v>
      </c>
      <c r="Q9" s="44">
        <f t="shared" si="0"/>
        <v>0.42499999999999999</v>
      </c>
      <c r="R9" s="67">
        <v>17.399999999999999</v>
      </c>
      <c r="S9" s="67">
        <v>104</v>
      </c>
      <c r="T9" s="16">
        <f t="shared" si="1"/>
        <v>33</v>
      </c>
      <c r="U9" s="68">
        <v>398</v>
      </c>
      <c r="V9" s="64">
        <f t="shared" si="2"/>
        <v>3283.5</v>
      </c>
      <c r="W9" s="59">
        <v>28</v>
      </c>
      <c r="X9" s="60" t="s">
        <v>35</v>
      </c>
      <c r="Y9" s="60" t="s">
        <v>43</v>
      </c>
      <c r="Z9" s="60" t="s">
        <v>55</v>
      </c>
      <c r="AA9" s="61" t="s">
        <v>76</v>
      </c>
      <c r="AB9" s="43" t="s">
        <v>161</v>
      </c>
      <c r="AE9" s="22" t="s">
        <v>83</v>
      </c>
      <c r="AG9" s="89" t="s">
        <v>152</v>
      </c>
      <c r="AH9" s="89" t="s">
        <v>147</v>
      </c>
      <c r="AL9" s="82" t="s">
        <v>139</v>
      </c>
      <c r="AP9" s="23" t="s">
        <v>80</v>
      </c>
      <c r="AR9" s="30" t="s">
        <v>75</v>
      </c>
      <c r="AV9" s="23" t="s">
        <v>86</v>
      </c>
      <c r="AX9" s="31">
        <v>180</v>
      </c>
      <c r="AY9" s="32">
        <v>18</v>
      </c>
      <c r="AZ9" s="32">
        <v>181</v>
      </c>
      <c r="BA9" s="33">
        <v>16</v>
      </c>
    </row>
    <row r="10" spans="1:53" x14ac:dyDescent="0.15">
      <c r="A10" s="85" t="s">
        <v>23</v>
      </c>
      <c r="B10" s="85" t="s">
        <v>160</v>
      </c>
      <c r="C10" s="85">
        <v>2020</v>
      </c>
      <c r="D10" s="45" t="s">
        <v>163</v>
      </c>
      <c r="E10" s="85" t="s">
        <v>152</v>
      </c>
      <c r="F10" s="85" t="s">
        <v>147</v>
      </c>
      <c r="G10" s="85" t="s">
        <v>25</v>
      </c>
      <c r="H10" s="85" t="s">
        <v>165</v>
      </c>
      <c r="I10" s="85" t="s">
        <v>111</v>
      </c>
      <c r="J10" s="79" t="s">
        <v>27</v>
      </c>
      <c r="K10" s="78" t="s">
        <v>112</v>
      </c>
      <c r="L10" s="85">
        <v>3</v>
      </c>
      <c r="N10" s="7">
        <v>4</v>
      </c>
      <c r="O10" s="7">
        <v>0.75</v>
      </c>
      <c r="P10" s="7">
        <v>0.7</v>
      </c>
      <c r="Q10" s="44">
        <f t="shared" si="0"/>
        <v>0.72499999999999998</v>
      </c>
      <c r="R10" s="67">
        <v>14.5</v>
      </c>
      <c r="S10" s="67">
        <v>92</v>
      </c>
      <c r="T10" s="16">
        <f t="shared" si="1"/>
        <v>36</v>
      </c>
      <c r="U10" s="68">
        <v>398</v>
      </c>
      <c r="V10" s="64">
        <f t="shared" si="2"/>
        <v>3582</v>
      </c>
      <c r="W10" s="59">
        <v>28</v>
      </c>
      <c r="X10" s="60" t="s">
        <v>35</v>
      </c>
      <c r="Y10" s="60" t="s">
        <v>43</v>
      </c>
      <c r="Z10" s="60" t="s">
        <v>55</v>
      </c>
      <c r="AA10" s="61" t="s">
        <v>76</v>
      </c>
      <c r="AB10" s="43" t="s">
        <v>161</v>
      </c>
      <c r="AE10" s="22" t="s">
        <v>87</v>
      </c>
      <c r="AG10" s="89" t="s">
        <v>153</v>
      </c>
      <c r="AH10" s="89" t="s">
        <v>154</v>
      </c>
      <c r="AL10" s="34"/>
      <c r="AP10" s="23" t="s">
        <v>84</v>
      </c>
      <c r="AR10" s="30" t="s">
        <v>103</v>
      </c>
      <c r="AV10" s="23" t="s">
        <v>90</v>
      </c>
    </row>
    <row r="11" spans="1:53" x14ac:dyDescent="0.15">
      <c r="A11" s="85" t="s">
        <v>23</v>
      </c>
      <c r="B11" s="85" t="s">
        <v>160</v>
      </c>
      <c r="C11" s="85">
        <v>2020</v>
      </c>
      <c r="D11" s="45" t="s">
        <v>163</v>
      </c>
      <c r="E11" s="85" t="s">
        <v>152</v>
      </c>
      <c r="F11" s="85" t="s">
        <v>147</v>
      </c>
      <c r="G11" s="85" t="s">
        <v>25</v>
      </c>
      <c r="H11" s="85" t="s">
        <v>167</v>
      </c>
      <c r="I11" s="85" t="s">
        <v>111</v>
      </c>
      <c r="J11" s="79" t="s">
        <v>27</v>
      </c>
      <c r="K11" s="78" t="s">
        <v>112</v>
      </c>
      <c r="L11" s="85">
        <v>1</v>
      </c>
      <c r="N11" s="7">
        <v>1</v>
      </c>
      <c r="O11" s="7">
        <v>1.1000000000000001</v>
      </c>
      <c r="P11" s="7">
        <v>1.3</v>
      </c>
      <c r="Q11" s="44">
        <f t="shared" si="0"/>
        <v>1.2000000000000002</v>
      </c>
      <c r="R11" s="67">
        <v>17.8</v>
      </c>
      <c r="S11" s="67">
        <v>134</v>
      </c>
      <c r="T11" s="16">
        <f t="shared" si="1"/>
        <v>30</v>
      </c>
      <c r="U11" s="72">
        <v>98</v>
      </c>
      <c r="V11" s="64">
        <f t="shared" si="2"/>
        <v>2940</v>
      </c>
      <c r="W11" s="59">
        <v>28</v>
      </c>
      <c r="X11" s="60" t="s">
        <v>35</v>
      </c>
      <c r="Y11" s="60" t="s">
        <v>43</v>
      </c>
      <c r="Z11" s="60" t="s">
        <v>55</v>
      </c>
      <c r="AA11" s="61" t="s">
        <v>76</v>
      </c>
      <c r="AB11" s="43" t="s">
        <v>161</v>
      </c>
      <c r="AE11" s="22" t="s">
        <v>52</v>
      </c>
      <c r="AG11" s="89" t="s">
        <v>148</v>
      </c>
      <c r="AH11" s="89" t="s">
        <v>155</v>
      </c>
      <c r="AL11" s="34"/>
      <c r="AP11" s="23" t="s">
        <v>88</v>
      </c>
      <c r="AR11" s="30" t="s">
        <v>73</v>
      </c>
      <c r="AV11" s="23" t="s">
        <v>55</v>
      </c>
    </row>
    <row r="12" spans="1:53" x14ac:dyDescent="0.15">
      <c r="A12" s="85" t="s">
        <v>23</v>
      </c>
      <c r="B12" s="85" t="s">
        <v>160</v>
      </c>
      <c r="C12" s="85">
        <v>2020</v>
      </c>
      <c r="D12" s="45" t="s">
        <v>163</v>
      </c>
      <c r="E12" s="85" t="s">
        <v>152</v>
      </c>
      <c r="F12" s="85" t="s">
        <v>147</v>
      </c>
      <c r="G12" s="85" t="s">
        <v>25</v>
      </c>
      <c r="H12" s="85" t="s">
        <v>167</v>
      </c>
      <c r="I12" s="85" t="s">
        <v>111</v>
      </c>
      <c r="J12" s="79" t="s">
        <v>27</v>
      </c>
      <c r="K12" s="78" t="s">
        <v>112</v>
      </c>
      <c r="L12" s="85">
        <v>2</v>
      </c>
      <c r="N12" s="7">
        <v>1</v>
      </c>
      <c r="O12" s="7">
        <v>1.3</v>
      </c>
      <c r="P12" s="7">
        <v>1.35</v>
      </c>
      <c r="Q12" s="44">
        <f t="shared" si="0"/>
        <v>1.3250000000000002</v>
      </c>
      <c r="R12" s="67">
        <v>18.399999999999999</v>
      </c>
      <c r="S12" s="67">
        <v>133</v>
      </c>
      <c r="T12" s="16">
        <f t="shared" si="1"/>
        <v>30</v>
      </c>
      <c r="U12" s="72">
        <v>98</v>
      </c>
      <c r="V12" s="64">
        <f t="shared" si="2"/>
        <v>2940</v>
      </c>
      <c r="W12" s="59">
        <v>28</v>
      </c>
      <c r="X12" s="60" t="s">
        <v>35</v>
      </c>
      <c r="Y12" s="60" t="s">
        <v>43</v>
      </c>
      <c r="Z12" s="60" t="s">
        <v>55</v>
      </c>
      <c r="AA12" s="61" t="s">
        <v>76</v>
      </c>
      <c r="AB12" s="43" t="s">
        <v>161</v>
      </c>
      <c r="AE12" s="22" t="s">
        <v>56</v>
      </c>
      <c r="AG12" s="80"/>
      <c r="AH12" s="80"/>
      <c r="AL12" s="34"/>
      <c r="AP12" s="23" t="s">
        <v>53</v>
      </c>
      <c r="AR12" s="30" t="s">
        <v>104</v>
      </c>
      <c r="AV12" s="23" t="s">
        <v>58</v>
      </c>
    </row>
    <row r="13" spans="1:53" x14ac:dyDescent="0.15">
      <c r="A13" s="85" t="s">
        <v>23</v>
      </c>
      <c r="B13" s="85" t="s">
        <v>160</v>
      </c>
      <c r="C13" s="85">
        <v>2020</v>
      </c>
      <c r="D13" s="45" t="s">
        <v>163</v>
      </c>
      <c r="E13" s="85" t="s">
        <v>152</v>
      </c>
      <c r="F13" s="85" t="s">
        <v>147</v>
      </c>
      <c r="G13" s="85" t="s">
        <v>25</v>
      </c>
      <c r="H13" s="85" t="s">
        <v>167</v>
      </c>
      <c r="I13" s="85" t="s">
        <v>111</v>
      </c>
      <c r="J13" s="79" t="s">
        <v>27</v>
      </c>
      <c r="K13" s="78" t="s">
        <v>112</v>
      </c>
      <c r="L13" s="85">
        <v>3</v>
      </c>
      <c r="N13" s="7">
        <v>1</v>
      </c>
      <c r="O13" s="7">
        <v>1.1000000000000001</v>
      </c>
      <c r="P13" s="7">
        <v>1.35</v>
      </c>
      <c r="Q13" s="44">
        <f t="shared" si="0"/>
        <v>1.2250000000000001</v>
      </c>
      <c r="R13" s="67">
        <v>18</v>
      </c>
      <c r="S13" s="67">
        <v>127</v>
      </c>
      <c r="T13" s="16">
        <f t="shared" si="1"/>
        <v>30</v>
      </c>
      <c r="U13" s="72">
        <v>98</v>
      </c>
      <c r="V13" s="64">
        <f t="shared" si="2"/>
        <v>2940</v>
      </c>
      <c r="W13" s="59">
        <v>28</v>
      </c>
      <c r="X13" s="60" t="s">
        <v>35</v>
      </c>
      <c r="Y13" s="60" t="s">
        <v>43</v>
      </c>
      <c r="Z13" s="60" t="s">
        <v>55</v>
      </c>
      <c r="AA13" s="61" t="s">
        <v>76</v>
      </c>
      <c r="AB13" s="43" t="s">
        <v>161</v>
      </c>
      <c r="AE13" s="22" t="s">
        <v>59</v>
      </c>
      <c r="AG13" s="75"/>
      <c r="AH13" s="75"/>
      <c r="AP13" s="23" t="s">
        <v>57</v>
      </c>
      <c r="AR13" s="30" t="s">
        <v>87</v>
      </c>
      <c r="AV13" s="23" t="s">
        <v>61</v>
      </c>
    </row>
    <row r="14" spans="1:53" x14ac:dyDescent="0.15">
      <c r="A14" s="85" t="s">
        <v>23</v>
      </c>
      <c r="B14" s="85" t="s">
        <v>160</v>
      </c>
      <c r="C14" s="85">
        <v>2020</v>
      </c>
      <c r="D14" s="45" t="s">
        <v>163</v>
      </c>
      <c r="E14" s="85" t="s">
        <v>152</v>
      </c>
      <c r="F14" s="85" t="s">
        <v>147</v>
      </c>
      <c r="G14" s="85" t="s">
        <v>25</v>
      </c>
      <c r="H14" s="85" t="s">
        <v>167</v>
      </c>
      <c r="I14" s="85" t="s">
        <v>111</v>
      </c>
      <c r="J14" s="79" t="s">
        <v>27</v>
      </c>
      <c r="K14" s="78" t="s">
        <v>112</v>
      </c>
      <c r="L14" s="85">
        <v>1</v>
      </c>
      <c r="N14" s="7">
        <v>4</v>
      </c>
      <c r="O14" s="7">
        <v>0.2</v>
      </c>
      <c r="P14" s="7">
        <v>0.3</v>
      </c>
      <c r="Q14" s="44">
        <f t="shared" si="0"/>
        <v>0.25</v>
      </c>
      <c r="R14" s="67">
        <v>17.100000000000001</v>
      </c>
      <c r="S14" s="67">
        <v>103</v>
      </c>
      <c r="T14" s="16">
        <f t="shared" si="1"/>
        <v>33</v>
      </c>
      <c r="U14" s="72">
        <v>498</v>
      </c>
      <c r="V14" s="64">
        <f t="shared" si="2"/>
        <v>4108.5</v>
      </c>
      <c r="W14" s="59">
        <v>28</v>
      </c>
      <c r="X14" s="60" t="s">
        <v>35</v>
      </c>
      <c r="Y14" s="60" t="s">
        <v>43</v>
      </c>
      <c r="Z14" s="60" t="s">
        <v>55</v>
      </c>
      <c r="AA14" s="61" t="s">
        <v>76</v>
      </c>
      <c r="AB14" s="43" t="s">
        <v>161</v>
      </c>
      <c r="AC14" s="34"/>
      <c r="AE14" s="22" t="s">
        <v>62</v>
      </c>
      <c r="AG14" s="47"/>
      <c r="AH14" s="47"/>
      <c r="AP14" s="23" t="s">
        <v>60</v>
      </c>
      <c r="AR14" s="30" t="s">
        <v>105</v>
      </c>
      <c r="AV14" s="23" t="s">
        <v>64</v>
      </c>
    </row>
    <row r="15" spans="1:53" x14ac:dyDescent="0.15">
      <c r="A15" s="85" t="s">
        <v>23</v>
      </c>
      <c r="B15" s="85" t="s">
        <v>160</v>
      </c>
      <c r="C15" s="85">
        <v>2020</v>
      </c>
      <c r="D15" s="45" t="s">
        <v>163</v>
      </c>
      <c r="E15" s="85" t="s">
        <v>152</v>
      </c>
      <c r="F15" s="85" t="s">
        <v>147</v>
      </c>
      <c r="G15" s="85" t="s">
        <v>25</v>
      </c>
      <c r="H15" s="85" t="s">
        <v>167</v>
      </c>
      <c r="I15" s="85" t="s">
        <v>111</v>
      </c>
      <c r="J15" s="79" t="s">
        <v>27</v>
      </c>
      <c r="K15" s="78" t="s">
        <v>112</v>
      </c>
      <c r="L15" s="85">
        <v>2</v>
      </c>
      <c r="N15" s="7">
        <v>4</v>
      </c>
      <c r="O15" s="7">
        <v>0.2</v>
      </c>
      <c r="P15" s="78">
        <v>0.3</v>
      </c>
      <c r="Q15" s="44">
        <f t="shared" si="0"/>
        <v>0.25</v>
      </c>
      <c r="R15" s="67">
        <v>14.3</v>
      </c>
      <c r="S15" s="67">
        <v>94</v>
      </c>
      <c r="T15" s="16">
        <f t="shared" si="1"/>
        <v>36</v>
      </c>
      <c r="U15" s="72">
        <v>498</v>
      </c>
      <c r="V15" s="64">
        <f t="shared" si="2"/>
        <v>4482</v>
      </c>
      <c r="W15" s="59">
        <v>28</v>
      </c>
      <c r="X15" s="60" t="s">
        <v>35</v>
      </c>
      <c r="Y15" s="60" t="s">
        <v>43</v>
      </c>
      <c r="Z15" s="60" t="s">
        <v>55</v>
      </c>
      <c r="AA15" s="61" t="s">
        <v>76</v>
      </c>
      <c r="AB15" s="43" t="s">
        <v>161</v>
      </c>
      <c r="AC15" s="34"/>
      <c r="AE15" s="22" t="s">
        <v>65</v>
      </c>
      <c r="AP15" s="23" t="s">
        <v>63</v>
      </c>
      <c r="AR15" s="30" t="s">
        <v>79</v>
      </c>
      <c r="AV15" s="23" t="s">
        <v>91</v>
      </c>
    </row>
    <row r="16" spans="1:53" x14ac:dyDescent="0.15">
      <c r="A16" s="85" t="s">
        <v>23</v>
      </c>
      <c r="B16" s="85" t="s">
        <v>160</v>
      </c>
      <c r="C16" s="85">
        <v>2020</v>
      </c>
      <c r="D16" s="45" t="s">
        <v>163</v>
      </c>
      <c r="E16" s="85" t="s">
        <v>152</v>
      </c>
      <c r="F16" s="85" t="s">
        <v>147</v>
      </c>
      <c r="G16" s="85" t="s">
        <v>25</v>
      </c>
      <c r="H16" s="85" t="s">
        <v>167</v>
      </c>
      <c r="I16" s="85" t="s">
        <v>111</v>
      </c>
      <c r="J16" s="79" t="s">
        <v>27</v>
      </c>
      <c r="K16" s="78" t="s">
        <v>112</v>
      </c>
      <c r="L16" s="85">
        <v>3</v>
      </c>
      <c r="N16" s="7">
        <v>4</v>
      </c>
      <c r="O16" s="78">
        <v>0.2</v>
      </c>
      <c r="P16" s="7">
        <v>0.35</v>
      </c>
      <c r="Q16" s="44">
        <f t="shared" si="0"/>
        <v>0.27500000000000002</v>
      </c>
      <c r="R16" s="67">
        <v>15</v>
      </c>
      <c r="S16" s="67">
        <v>102</v>
      </c>
      <c r="T16" s="16">
        <f t="shared" si="1"/>
        <v>33</v>
      </c>
      <c r="U16" s="72">
        <v>498</v>
      </c>
      <c r="V16" s="64">
        <f t="shared" si="2"/>
        <v>4108.5</v>
      </c>
      <c r="W16" s="59">
        <v>28</v>
      </c>
      <c r="X16" s="60" t="s">
        <v>35</v>
      </c>
      <c r="Y16" s="60" t="s">
        <v>43</v>
      </c>
      <c r="Z16" s="60" t="s">
        <v>55</v>
      </c>
      <c r="AA16" s="61" t="s">
        <v>76</v>
      </c>
      <c r="AB16" s="43" t="s">
        <v>161</v>
      </c>
      <c r="AC16" s="34"/>
      <c r="AE16" s="22" t="s">
        <v>68</v>
      </c>
      <c r="AP16" s="23" t="s">
        <v>66</v>
      </c>
      <c r="AR16" s="37" t="s">
        <v>50</v>
      </c>
      <c r="AV16" s="23" t="s">
        <v>70</v>
      </c>
    </row>
    <row r="17" spans="1:48" x14ac:dyDescent="0.15">
      <c r="A17" s="85" t="s">
        <v>23</v>
      </c>
      <c r="B17" s="85" t="s">
        <v>160</v>
      </c>
      <c r="C17" s="85">
        <v>2020</v>
      </c>
      <c r="D17" s="45" t="s">
        <v>163</v>
      </c>
      <c r="E17" s="85" t="s">
        <v>152</v>
      </c>
      <c r="F17" s="85" t="s">
        <v>147</v>
      </c>
      <c r="G17" s="85" t="s">
        <v>25</v>
      </c>
      <c r="H17" s="85" t="s">
        <v>167</v>
      </c>
      <c r="I17" s="85" t="s">
        <v>111</v>
      </c>
      <c r="J17" s="79" t="s">
        <v>27</v>
      </c>
      <c r="K17" s="78" t="s">
        <v>112</v>
      </c>
      <c r="L17" s="85">
        <v>1</v>
      </c>
      <c r="N17" s="7">
        <v>8</v>
      </c>
      <c r="O17" s="7">
        <v>1.3</v>
      </c>
      <c r="P17" s="78">
        <v>1.3</v>
      </c>
      <c r="Q17" s="44">
        <f t="shared" si="0"/>
        <v>1.3</v>
      </c>
      <c r="R17" s="67">
        <v>16.3</v>
      </c>
      <c r="S17" s="67">
        <v>132</v>
      </c>
      <c r="T17" s="16">
        <f t="shared" si="1"/>
        <v>30</v>
      </c>
      <c r="U17" s="72">
        <v>780</v>
      </c>
      <c r="V17" s="64">
        <f t="shared" si="2"/>
        <v>2925</v>
      </c>
      <c r="W17" s="59">
        <v>28</v>
      </c>
      <c r="X17" s="60" t="s">
        <v>35</v>
      </c>
      <c r="Y17" s="60" t="s">
        <v>43</v>
      </c>
      <c r="Z17" s="60" t="s">
        <v>55</v>
      </c>
      <c r="AA17" s="61" t="s">
        <v>76</v>
      </c>
      <c r="AB17" s="43" t="s">
        <v>161</v>
      </c>
      <c r="AC17" s="34"/>
      <c r="AE17" s="22" t="s">
        <v>71</v>
      </c>
      <c r="AP17" s="39" t="s">
        <v>93</v>
      </c>
      <c r="AR17" s="37" t="s">
        <v>81</v>
      </c>
      <c r="AV17" s="23" t="s">
        <v>72</v>
      </c>
    </row>
    <row r="18" spans="1:48" x14ac:dyDescent="0.15">
      <c r="A18" s="85" t="s">
        <v>23</v>
      </c>
      <c r="B18" s="85" t="s">
        <v>160</v>
      </c>
      <c r="C18" s="85">
        <v>2020</v>
      </c>
      <c r="D18" s="45" t="s">
        <v>163</v>
      </c>
      <c r="E18" s="85" t="s">
        <v>152</v>
      </c>
      <c r="F18" s="85" t="s">
        <v>147</v>
      </c>
      <c r="G18" s="85" t="s">
        <v>25</v>
      </c>
      <c r="H18" s="85" t="s">
        <v>167</v>
      </c>
      <c r="I18" s="85" t="s">
        <v>111</v>
      </c>
      <c r="J18" s="79" t="s">
        <v>27</v>
      </c>
      <c r="K18" s="78" t="s">
        <v>112</v>
      </c>
      <c r="L18" s="85">
        <v>2</v>
      </c>
      <c r="N18" s="7">
        <v>8</v>
      </c>
      <c r="O18" s="7">
        <v>0.95</v>
      </c>
      <c r="P18" s="7">
        <v>1</v>
      </c>
      <c r="Q18" s="44">
        <f t="shared" si="0"/>
        <v>0.97499999999999998</v>
      </c>
      <c r="R18" s="67">
        <v>18.2</v>
      </c>
      <c r="S18" s="67">
        <v>133</v>
      </c>
      <c r="T18" s="16">
        <f t="shared" si="1"/>
        <v>30</v>
      </c>
      <c r="U18" s="72">
        <v>780</v>
      </c>
      <c r="V18" s="64">
        <f t="shared" si="2"/>
        <v>2925</v>
      </c>
      <c r="W18" s="59">
        <v>28</v>
      </c>
      <c r="X18" s="60" t="s">
        <v>35</v>
      </c>
      <c r="Y18" s="60" t="s">
        <v>43</v>
      </c>
      <c r="Z18" s="60" t="s">
        <v>55</v>
      </c>
      <c r="AA18" s="61" t="s">
        <v>76</v>
      </c>
      <c r="AB18" s="43" t="s">
        <v>161</v>
      </c>
      <c r="AC18" s="34"/>
      <c r="AE18" s="22" t="s">
        <v>73</v>
      </c>
      <c r="AP18" s="39" t="s">
        <v>94</v>
      </c>
      <c r="AR18" s="37" t="s">
        <v>85</v>
      </c>
      <c r="AV18" s="23" t="s">
        <v>74</v>
      </c>
    </row>
    <row r="19" spans="1:48" x14ac:dyDescent="0.15">
      <c r="A19" s="85" t="s">
        <v>23</v>
      </c>
      <c r="B19" s="85" t="s">
        <v>160</v>
      </c>
      <c r="C19" s="85">
        <v>2020</v>
      </c>
      <c r="D19" s="45" t="s">
        <v>163</v>
      </c>
      <c r="E19" s="85" t="s">
        <v>152</v>
      </c>
      <c r="F19" s="85" t="s">
        <v>147</v>
      </c>
      <c r="G19" s="85" t="s">
        <v>25</v>
      </c>
      <c r="H19" s="85" t="s">
        <v>167</v>
      </c>
      <c r="I19" s="85" t="s">
        <v>111</v>
      </c>
      <c r="J19" s="79" t="s">
        <v>27</v>
      </c>
      <c r="K19" s="78" t="s">
        <v>112</v>
      </c>
      <c r="L19" s="85">
        <v>3</v>
      </c>
      <c r="N19" s="7">
        <v>8</v>
      </c>
      <c r="O19" s="7">
        <v>1</v>
      </c>
      <c r="P19" s="7">
        <v>1.1000000000000001</v>
      </c>
      <c r="Q19" s="44">
        <f t="shared" si="0"/>
        <v>1.05</v>
      </c>
      <c r="R19" s="67">
        <v>18.8</v>
      </c>
      <c r="S19" s="67">
        <v>129</v>
      </c>
      <c r="T19" s="16">
        <f t="shared" si="1"/>
        <v>30</v>
      </c>
      <c r="U19" s="72">
        <v>780</v>
      </c>
      <c r="V19" s="64">
        <f t="shared" si="2"/>
        <v>2925</v>
      </c>
      <c r="W19" s="59">
        <v>28</v>
      </c>
      <c r="X19" s="60" t="s">
        <v>35</v>
      </c>
      <c r="Y19" s="60" t="s">
        <v>43</v>
      </c>
      <c r="Z19" s="60" t="s">
        <v>55</v>
      </c>
      <c r="AA19" s="61" t="s">
        <v>76</v>
      </c>
      <c r="AB19" s="43" t="s">
        <v>161</v>
      </c>
      <c r="AC19" s="34"/>
      <c r="AE19" s="35" t="s">
        <v>75</v>
      </c>
      <c r="AP19" s="39" t="s">
        <v>95</v>
      </c>
      <c r="AR19" s="30" t="s">
        <v>106</v>
      </c>
      <c r="AV19" s="23" t="s">
        <v>76</v>
      </c>
    </row>
    <row r="20" spans="1:48" x14ac:dyDescent="0.15">
      <c r="A20" s="85" t="s">
        <v>23</v>
      </c>
      <c r="B20" s="85" t="s">
        <v>160</v>
      </c>
      <c r="C20" s="85">
        <v>2020</v>
      </c>
      <c r="D20" s="45" t="s">
        <v>163</v>
      </c>
      <c r="E20" s="85" t="s">
        <v>152</v>
      </c>
      <c r="F20" s="85" t="s">
        <v>147</v>
      </c>
      <c r="G20" s="85" t="s">
        <v>25</v>
      </c>
      <c r="H20" s="85" t="s">
        <v>113</v>
      </c>
      <c r="I20" s="85" t="s">
        <v>166</v>
      </c>
      <c r="J20" s="79" t="s">
        <v>27</v>
      </c>
      <c r="K20" s="78" t="s">
        <v>112</v>
      </c>
      <c r="L20" s="85">
        <v>1</v>
      </c>
      <c r="N20" s="78">
        <v>2</v>
      </c>
      <c r="O20" s="7">
        <v>0.4</v>
      </c>
      <c r="P20" s="7">
        <v>0.45</v>
      </c>
      <c r="Q20" s="44">
        <f t="shared" si="0"/>
        <v>0.42500000000000004</v>
      </c>
      <c r="R20" s="67">
        <v>16.3</v>
      </c>
      <c r="S20" s="76">
        <v>130</v>
      </c>
      <c r="T20" s="16">
        <f t="shared" si="1"/>
        <v>30</v>
      </c>
      <c r="U20" s="72">
        <v>298</v>
      </c>
      <c r="V20" s="64">
        <f t="shared" si="2"/>
        <v>4470</v>
      </c>
      <c r="W20" s="59">
        <v>28</v>
      </c>
      <c r="X20" s="60" t="s">
        <v>35</v>
      </c>
      <c r="Y20" s="60" t="s">
        <v>43</v>
      </c>
      <c r="Z20" s="60" t="s">
        <v>55</v>
      </c>
      <c r="AA20" s="61" t="s">
        <v>76</v>
      </c>
      <c r="AB20" s="43" t="s">
        <v>161</v>
      </c>
      <c r="AE20" s="35"/>
      <c r="AP20" s="39" t="s">
        <v>96</v>
      </c>
      <c r="AR20" s="37" t="s">
        <v>89</v>
      </c>
      <c r="AV20" s="27" t="s">
        <v>114</v>
      </c>
    </row>
    <row r="21" spans="1:48" x14ac:dyDescent="0.15">
      <c r="A21" s="85" t="s">
        <v>23</v>
      </c>
      <c r="B21" s="85" t="s">
        <v>160</v>
      </c>
      <c r="C21" s="85">
        <v>2020</v>
      </c>
      <c r="D21" s="45" t="s">
        <v>163</v>
      </c>
      <c r="E21" s="85" t="s">
        <v>152</v>
      </c>
      <c r="F21" s="85" t="s">
        <v>147</v>
      </c>
      <c r="G21" s="85" t="s">
        <v>25</v>
      </c>
      <c r="H21" s="85" t="s">
        <v>113</v>
      </c>
      <c r="I21" s="85" t="s">
        <v>166</v>
      </c>
      <c r="J21" s="79" t="s">
        <v>27</v>
      </c>
      <c r="K21" s="78" t="s">
        <v>112</v>
      </c>
      <c r="L21" s="85">
        <v>2</v>
      </c>
      <c r="N21" s="78">
        <v>2</v>
      </c>
      <c r="O21" s="7">
        <v>0.65</v>
      </c>
      <c r="P21" s="7">
        <v>0.6</v>
      </c>
      <c r="Q21" s="44">
        <f t="shared" si="0"/>
        <v>0.625</v>
      </c>
      <c r="R21" s="76">
        <v>14.8</v>
      </c>
      <c r="S21" s="67">
        <v>121</v>
      </c>
      <c r="T21" s="16">
        <f t="shared" si="1"/>
        <v>30</v>
      </c>
      <c r="U21" s="72">
        <v>298</v>
      </c>
      <c r="V21" s="64">
        <f t="shared" si="2"/>
        <v>4470</v>
      </c>
      <c r="W21" s="59">
        <v>28</v>
      </c>
      <c r="X21" s="60" t="s">
        <v>35</v>
      </c>
      <c r="Y21" s="60" t="s">
        <v>43</v>
      </c>
      <c r="Z21" s="60" t="s">
        <v>55</v>
      </c>
      <c r="AA21" s="61" t="s">
        <v>76</v>
      </c>
      <c r="AB21" s="43" t="s">
        <v>161</v>
      </c>
      <c r="AE21" s="28"/>
      <c r="AP21" s="39" t="s">
        <v>97</v>
      </c>
      <c r="AR21" s="37" t="s">
        <v>54</v>
      </c>
      <c r="AV21" s="27" t="s">
        <v>115</v>
      </c>
    </row>
    <row r="22" spans="1:48" x14ac:dyDescent="0.15">
      <c r="A22" s="85" t="s">
        <v>23</v>
      </c>
      <c r="B22" s="85" t="s">
        <v>160</v>
      </c>
      <c r="C22" s="85">
        <v>2020</v>
      </c>
      <c r="D22" s="45" t="s">
        <v>163</v>
      </c>
      <c r="E22" s="85" t="s">
        <v>152</v>
      </c>
      <c r="F22" s="85" t="s">
        <v>147</v>
      </c>
      <c r="G22" s="85" t="s">
        <v>25</v>
      </c>
      <c r="H22" s="85" t="s">
        <v>113</v>
      </c>
      <c r="I22" s="85" t="s">
        <v>166</v>
      </c>
      <c r="J22" s="79" t="s">
        <v>27</v>
      </c>
      <c r="K22" s="78" t="s">
        <v>112</v>
      </c>
      <c r="L22" s="85">
        <v>3</v>
      </c>
      <c r="N22" s="78">
        <v>2</v>
      </c>
      <c r="O22" s="7">
        <v>0.36</v>
      </c>
      <c r="P22" s="34">
        <v>4.4999999999999998E-2</v>
      </c>
      <c r="Q22" s="44">
        <f t="shared" si="0"/>
        <v>0.20249999999999999</v>
      </c>
      <c r="R22" s="67">
        <v>17.2</v>
      </c>
      <c r="S22" s="67">
        <v>125</v>
      </c>
      <c r="T22" s="16">
        <f t="shared" si="1"/>
        <v>30</v>
      </c>
      <c r="U22" s="72">
        <v>298</v>
      </c>
      <c r="V22" s="64">
        <f t="shared" si="2"/>
        <v>4470</v>
      </c>
      <c r="W22" s="59">
        <v>28</v>
      </c>
      <c r="X22" s="60" t="s">
        <v>35</v>
      </c>
      <c r="Y22" s="60" t="s">
        <v>43</v>
      </c>
      <c r="Z22" s="60" t="s">
        <v>55</v>
      </c>
      <c r="AA22" s="61" t="s">
        <v>76</v>
      </c>
      <c r="AB22" s="43" t="s">
        <v>161</v>
      </c>
      <c r="AP22" s="39" t="s">
        <v>98</v>
      </c>
      <c r="AR22" s="37" t="s">
        <v>69</v>
      </c>
      <c r="AV22" s="23"/>
    </row>
    <row r="23" spans="1:48" x14ac:dyDescent="0.15">
      <c r="A23" s="85" t="s">
        <v>23</v>
      </c>
      <c r="B23" s="85" t="s">
        <v>160</v>
      </c>
      <c r="C23" s="85">
        <v>2020</v>
      </c>
      <c r="D23" s="45" t="s">
        <v>163</v>
      </c>
      <c r="E23" s="85" t="s">
        <v>152</v>
      </c>
      <c r="F23" s="85" t="s">
        <v>147</v>
      </c>
      <c r="G23" s="85" t="s">
        <v>25</v>
      </c>
      <c r="H23" s="85" t="s">
        <v>167</v>
      </c>
      <c r="I23" s="85" t="s">
        <v>166</v>
      </c>
      <c r="J23" s="79" t="s">
        <v>27</v>
      </c>
      <c r="K23" s="78" t="s">
        <v>112</v>
      </c>
      <c r="L23" s="85">
        <v>1</v>
      </c>
      <c r="N23" s="78">
        <v>2</v>
      </c>
      <c r="O23" s="7">
        <v>0.9</v>
      </c>
      <c r="P23" s="78">
        <v>0.9</v>
      </c>
      <c r="Q23" s="44">
        <f t="shared" si="0"/>
        <v>0.9</v>
      </c>
      <c r="R23" s="67">
        <v>16.399999999999999</v>
      </c>
      <c r="S23" s="67">
        <v>125</v>
      </c>
      <c r="T23" s="16">
        <f t="shared" si="1"/>
        <v>30</v>
      </c>
      <c r="U23" s="72">
        <v>358</v>
      </c>
      <c r="V23" s="64">
        <f t="shared" si="2"/>
        <v>5370</v>
      </c>
      <c r="W23" s="59">
        <v>28</v>
      </c>
      <c r="X23" s="60" t="s">
        <v>35</v>
      </c>
      <c r="Y23" s="60" t="s">
        <v>43</v>
      </c>
      <c r="Z23" s="60" t="s">
        <v>55</v>
      </c>
      <c r="AA23" s="61" t="s">
        <v>76</v>
      </c>
      <c r="AB23" s="43" t="s">
        <v>161</v>
      </c>
      <c r="AP23" s="39" t="s">
        <v>116</v>
      </c>
      <c r="AR23" s="37" t="s">
        <v>48</v>
      </c>
      <c r="AV23" s="23"/>
    </row>
    <row r="24" spans="1:48" x14ac:dyDescent="0.15">
      <c r="A24" s="85" t="s">
        <v>23</v>
      </c>
      <c r="B24" s="85" t="s">
        <v>160</v>
      </c>
      <c r="C24" s="85">
        <v>2020</v>
      </c>
      <c r="D24" s="45" t="s">
        <v>163</v>
      </c>
      <c r="E24" s="85" t="s">
        <v>152</v>
      </c>
      <c r="F24" s="85" t="s">
        <v>147</v>
      </c>
      <c r="G24" s="85" t="s">
        <v>25</v>
      </c>
      <c r="H24" s="85" t="s">
        <v>167</v>
      </c>
      <c r="I24" s="85" t="s">
        <v>166</v>
      </c>
      <c r="J24" s="79" t="s">
        <v>27</v>
      </c>
      <c r="K24" s="78" t="s">
        <v>112</v>
      </c>
      <c r="L24" s="85">
        <v>2</v>
      </c>
      <c r="N24" s="78">
        <v>2</v>
      </c>
      <c r="O24" s="7">
        <v>0.55000000000000004</v>
      </c>
      <c r="P24" s="34">
        <v>0.45</v>
      </c>
      <c r="Q24" s="44">
        <f t="shared" si="0"/>
        <v>0.5</v>
      </c>
      <c r="R24" s="67">
        <v>18.7</v>
      </c>
      <c r="S24" s="67">
        <v>126</v>
      </c>
      <c r="T24" s="16">
        <f t="shared" si="1"/>
        <v>30</v>
      </c>
      <c r="U24" s="72">
        <v>358</v>
      </c>
      <c r="V24" s="64">
        <f t="shared" si="2"/>
        <v>5370</v>
      </c>
      <c r="W24" s="59">
        <v>28</v>
      </c>
      <c r="X24" s="60" t="s">
        <v>35</v>
      </c>
      <c r="Y24" s="60" t="s">
        <v>43</v>
      </c>
      <c r="Z24" s="60" t="s">
        <v>55</v>
      </c>
      <c r="AA24" s="61" t="s">
        <v>76</v>
      </c>
      <c r="AB24" s="43" t="s">
        <v>161</v>
      </c>
      <c r="AP24" s="39" t="s">
        <v>117</v>
      </c>
      <c r="AR24" s="37" t="s">
        <v>77</v>
      </c>
      <c r="AV24" s="23"/>
    </row>
    <row r="25" spans="1:48" x14ac:dyDescent="0.15">
      <c r="A25" s="85" t="s">
        <v>23</v>
      </c>
      <c r="B25" s="85" t="s">
        <v>160</v>
      </c>
      <c r="C25" s="85">
        <v>2020</v>
      </c>
      <c r="D25" s="45" t="s">
        <v>163</v>
      </c>
      <c r="E25" s="85" t="s">
        <v>152</v>
      </c>
      <c r="F25" s="85" t="s">
        <v>147</v>
      </c>
      <c r="G25" s="85" t="s">
        <v>25</v>
      </c>
      <c r="H25" s="85" t="s">
        <v>167</v>
      </c>
      <c r="I25" s="85" t="s">
        <v>166</v>
      </c>
      <c r="J25" s="79" t="s">
        <v>27</v>
      </c>
      <c r="K25" s="78" t="s">
        <v>112</v>
      </c>
      <c r="L25" s="85">
        <v>3</v>
      </c>
      <c r="N25" s="78">
        <v>2</v>
      </c>
      <c r="O25" s="7">
        <v>0.7</v>
      </c>
      <c r="P25" s="78">
        <v>0.7</v>
      </c>
      <c r="Q25" s="44">
        <f t="shared" si="0"/>
        <v>0.7</v>
      </c>
      <c r="R25" s="67">
        <v>16.7</v>
      </c>
      <c r="S25" s="67">
        <v>125</v>
      </c>
      <c r="T25" s="16">
        <f t="shared" si="1"/>
        <v>30</v>
      </c>
      <c r="U25" s="72">
        <v>358</v>
      </c>
      <c r="V25" s="64">
        <f t="shared" si="2"/>
        <v>5370</v>
      </c>
      <c r="W25" s="59">
        <v>28</v>
      </c>
      <c r="X25" s="60" t="s">
        <v>35</v>
      </c>
      <c r="Y25" s="60" t="s">
        <v>43</v>
      </c>
      <c r="Z25" s="60" t="s">
        <v>55</v>
      </c>
      <c r="AA25" s="61" t="s">
        <v>76</v>
      </c>
      <c r="AB25" s="43" t="s">
        <v>161</v>
      </c>
      <c r="AP25" s="39" t="s">
        <v>99</v>
      </c>
      <c r="AR25" s="38" t="s">
        <v>78</v>
      </c>
      <c r="AV25" s="23"/>
    </row>
    <row r="26" spans="1:48" x14ac:dyDescent="0.15">
      <c r="A26" s="85" t="s">
        <v>23</v>
      </c>
      <c r="B26" s="85" t="s">
        <v>160</v>
      </c>
      <c r="C26" s="85">
        <v>2020</v>
      </c>
      <c r="D26" s="45" t="s">
        <v>163</v>
      </c>
      <c r="E26" s="85" t="s">
        <v>153</v>
      </c>
      <c r="F26" s="85" t="s">
        <v>154</v>
      </c>
      <c r="G26" s="85" t="s">
        <v>31</v>
      </c>
      <c r="H26" s="85" t="s">
        <v>113</v>
      </c>
      <c r="I26" s="85" t="s">
        <v>111</v>
      </c>
      <c r="J26" s="79" t="s">
        <v>27</v>
      </c>
      <c r="K26" s="78" t="s">
        <v>162</v>
      </c>
      <c r="L26" s="85">
        <v>1</v>
      </c>
      <c r="N26" s="78">
        <v>4</v>
      </c>
      <c r="O26" s="7">
        <v>1</v>
      </c>
      <c r="P26" s="36">
        <v>1.1000000000000001</v>
      </c>
      <c r="Q26" s="44">
        <f t="shared" si="0"/>
        <v>1.05</v>
      </c>
      <c r="R26" s="67">
        <v>15</v>
      </c>
      <c r="S26" s="67">
        <v>111</v>
      </c>
      <c r="T26" s="16">
        <f t="shared" si="1"/>
        <v>33</v>
      </c>
      <c r="U26" s="72">
        <v>359</v>
      </c>
      <c r="V26" s="64">
        <f t="shared" si="2"/>
        <v>2961.75</v>
      </c>
      <c r="W26" s="69">
        <v>4</v>
      </c>
      <c r="X26" s="65" t="s">
        <v>28</v>
      </c>
      <c r="Y26" s="74" t="s">
        <v>43</v>
      </c>
      <c r="Z26" s="73" t="s">
        <v>90</v>
      </c>
      <c r="AA26" s="73" t="s">
        <v>55</v>
      </c>
      <c r="AB26" s="43" t="s">
        <v>161</v>
      </c>
      <c r="AP26" s="39" t="s">
        <v>100</v>
      </c>
      <c r="AR26" s="23" t="s">
        <v>138</v>
      </c>
      <c r="AV26" s="27"/>
    </row>
    <row r="27" spans="1:48" x14ac:dyDescent="0.15">
      <c r="A27" s="85" t="s">
        <v>23</v>
      </c>
      <c r="B27" s="85" t="s">
        <v>160</v>
      </c>
      <c r="C27" s="85">
        <v>2020</v>
      </c>
      <c r="D27" s="45" t="s">
        <v>163</v>
      </c>
      <c r="E27" s="85" t="s">
        <v>153</v>
      </c>
      <c r="F27" s="85" t="s">
        <v>154</v>
      </c>
      <c r="G27" s="85" t="s">
        <v>31</v>
      </c>
      <c r="H27" s="85" t="s">
        <v>113</v>
      </c>
      <c r="I27" s="85" t="s">
        <v>111</v>
      </c>
      <c r="J27" s="79" t="s">
        <v>27</v>
      </c>
      <c r="K27" s="78" t="s">
        <v>162</v>
      </c>
      <c r="L27" s="85">
        <v>2</v>
      </c>
      <c r="N27" s="78">
        <v>4</v>
      </c>
      <c r="O27" s="34">
        <v>1.1499999999999999</v>
      </c>
      <c r="P27" s="36">
        <v>1.2</v>
      </c>
      <c r="Q27" s="44">
        <f t="shared" si="0"/>
        <v>1.1749999999999998</v>
      </c>
      <c r="R27" s="67">
        <v>14.2</v>
      </c>
      <c r="S27" s="67">
        <v>106</v>
      </c>
      <c r="T27" s="16">
        <f t="shared" si="1"/>
        <v>33</v>
      </c>
      <c r="U27" s="72">
        <v>359</v>
      </c>
      <c r="V27" s="64">
        <f t="shared" si="2"/>
        <v>2961.75</v>
      </c>
      <c r="W27" s="69">
        <v>4</v>
      </c>
      <c r="X27" s="65" t="s">
        <v>28</v>
      </c>
      <c r="Y27" s="74" t="s">
        <v>43</v>
      </c>
      <c r="Z27" s="73" t="s">
        <v>90</v>
      </c>
      <c r="AA27" s="73" t="s">
        <v>55</v>
      </c>
      <c r="AB27" s="43" t="s">
        <v>161</v>
      </c>
      <c r="AP27" s="39" t="s">
        <v>101</v>
      </c>
      <c r="AR27" s="23" t="s">
        <v>159</v>
      </c>
    </row>
    <row r="28" spans="1:48" x14ac:dyDescent="0.15">
      <c r="A28" s="85" t="s">
        <v>23</v>
      </c>
      <c r="B28" s="85" t="s">
        <v>160</v>
      </c>
      <c r="C28" s="85">
        <v>2020</v>
      </c>
      <c r="D28" s="45" t="s">
        <v>163</v>
      </c>
      <c r="E28" s="85" t="s">
        <v>153</v>
      </c>
      <c r="F28" s="85" t="s">
        <v>154</v>
      </c>
      <c r="G28" s="85" t="s">
        <v>31</v>
      </c>
      <c r="H28" s="85" t="s">
        <v>113</v>
      </c>
      <c r="I28" s="85" t="s">
        <v>111</v>
      </c>
      <c r="J28" s="79" t="s">
        <v>27</v>
      </c>
      <c r="K28" s="78" t="s">
        <v>112</v>
      </c>
      <c r="L28" s="85">
        <v>3</v>
      </c>
      <c r="N28" s="78">
        <v>4</v>
      </c>
      <c r="O28" s="34">
        <v>0.85</v>
      </c>
      <c r="P28" s="7">
        <v>0.9</v>
      </c>
      <c r="Q28" s="44">
        <f t="shared" si="0"/>
        <v>0.875</v>
      </c>
      <c r="R28" s="67">
        <v>15.3</v>
      </c>
      <c r="S28" s="67">
        <v>116</v>
      </c>
      <c r="T28" s="16">
        <f t="shared" si="1"/>
        <v>30</v>
      </c>
      <c r="U28" s="72">
        <v>359</v>
      </c>
      <c r="V28" s="64">
        <f t="shared" si="2"/>
        <v>2692.5</v>
      </c>
      <c r="W28" s="69">
        <v>4</v>
      </c>
      <c r="X28" s="65" t="s">
        <v>28</v>
      </c>
      <c r="Y28" s="74" t="s">
        <v>43</v>
      </c>
      <c r="Z28" s="73" t="s">
        <v>90</v>
      </c>
      <c r="AA28" s="73" t="s">
        <v>55</v>
      </c>
      <c r="AB28" s="43" t="s">
        <v>161</v>
      </c>
      <c r="AP28" s="83" t="s">
        <v>156</v>
      </c>
      <c r="AR28" s="23" t="s">
        <v>158</v>
      </c>
    </row>
    <row r="29" spans="1:48" x14ac:dyDescent="0.15">
      <c r="A29" s="85" t="s">
        <v>23</v>
      </c>
      <c r="B29" s="85" t="s">
        <v>160</v>
      </c>
      <c r="C29" s="85">
        <v>2020</v>
      </c>
      <c r="D29" s="45" t="s">
        <v>163</v>
      </c>
      <c r="E29" s="85" t="s">
        <v>153</v>
      </c>
      <c r="F29" s="85" t="s">
        <v>154</v>
      </c>
      <c r="G29" s="85" t="s">
        <v>31</v>
      </c>
      <c r="H29" s="85" t="s">
        <v>167</v>
      </c>
      <c r="I29" s="85" t="s">
        <v>111</v>
      </c>
      <c r="J29" s="79" t="s">
        <v>27</v>
      </c>
      <c r="K29" s="78" t="s">
        <v>112</v>
      </c>
      <c r="L29" s="85">
        <v>1</v>
      </c>
      <c r="N29" s="78">
        <v>4</v>
      </c>
      <c r="O29" s="7">
        <v>0.75</v>
      </c>
      <c r="P29" s="78">
        <v>0.75</v>
      </c>
      <c r="Q29" s="44">
        <f t="shared" si="0"/>
        <v>0.75</v>
      </c>
      <c r="R29" s="67">
        <v>17.3</v>
      </c>
      <c r="S29" s="67">
        <v>104</v>
      </c>
      <c r="T29" s="16">
        <f t="shared" si="1"/>
        <v>33</v>
      </c>
      <c r="U29" s="72">
        <v>599</v>
      </c>
      <c r="V29" s="64">
        <f t="shared" si="2"/>
        <v>4941.75</v>
      </c>
      <c r="W29" s="69">
        <v>4</v>
      </c>
      <c r="X29" s="65" t="s">
        <v>28</v>
      </c>
      <c r="Y29" s="74" t="s">
        <v>43</v>
      </c>
      <c r="Z29" s="73" t="s">
        <v>90</v>
      </c>
      <c r="AA29" s="73" t="s">
        <v>55</v>
      </c>
      <c r="AB29" s="43" t="s">
        <v>161</v>
      </c>
      <c r="AP29" s="83" t="s">
        <v>157</v>
      </c>
      <c r="AR29" s="28"/>
    </row>
    <row r="30" spans="1:48" x14ac:dyDescent="0.15">
      <c r="A30" s="85" t="s">
        <v>23</v>
      </c>
      <c r="B30" s="85" t="s">
        <v>160</v>
      </c>
      <c r="C30" s="85">
        <v>2020</v>
      </c>
      <c r="D30" s="45" t="s">
        <v>163</v>
      </c>
      <c r="E30" s="85" t="s">
        <v>153</v>
      </c>
      <c r="F30" s="85" t="s">
        <v>154</v>
      </c>
      <c r="G30" s="85" t="s">
        <v>31</v>
      </c>
      <c r="H30" s="85" t="s">
        <v>167</v>
      </c>
      <c r="I30" s="85" t="s">
        <v>111</v>
      </c>
      <c r="J30" s="79" t="s">
        <v>27</v>
      </c>
      <c r="K30" s="78" t="s">
        <v>112</v>
      </c>
      <c r="L30" s="85">
        <v>2</v>
      </c>
      <c r="N30" s="78">
        <v>4</v>
      </c>
      <c r="O30" s="7">
        <v>0.8</v>
      </c>
      <c r="P30" s="7">
        <v>0.95</v>
      </c>
      <c r="Q30" s="44">
        <f t="shared" si="0"/>
        <v>0.875</v>
      </c>
      <c r="R30" s="67">
        <v>15.2</v>
      </c>
      <c r="S30" s="67">
        <v>97</v>
      </c>
      <c r="T30" s="16">
        <f t="shared" si="1"/>
        <v>36</v>
      </c>
      <c r="U30" s="72">
        <v>599</v>
      </c>
      <c r="V30" s="64">
        <f t="shared" si="2"/>
        <v>5391</v>
      </c>
      <c r="W30" s="69">
        <v>4</v>
      </c>
      <c r="X30" s="65" t="s">
        <v>28</v>
      </c>
      <c r="Y30" s="74" t="s">
        <v>43</v>
      </c>
      <c r="Z30" s="73" t="s">
        <v>90</v>
      </c>
      <c r="AA30" s="73" t="s">
        <v>55</v>
      </c>
      <c r="AB30" s="43" t="s">
        <v>161</v>
      </c>
    </row>
    <row r="31" spans="1:48" x14ac:dyDescent="0.15">
      <c r="A31" s="85" t="s">
        <v>23</v>
      </c>
      <c r="B31" s="85" t="s">
        <v>160</v>
      </c>
      <c r="C31" s="85">
        <v>2020</v>
      </c>
      <c r="D31" s="45" t="s">
        <v>163</v>
      </c>
      <c r="E31" s="85" t="s">
        <v>153</v>
      </c>
      <c r="F31" s="85" t="s">
        <v>154</v>
      </c>
      <c r="G31" s="85" t="s">
        <v>31</v>
      </c>
      <c r="H31" s="85" t="s">
        <v>167</v>
      </c>
      <c r="I31" s="85" t="s">
        <v>111</v>
      </c>
      <c r="J31" s="79" t="s">
        <v>27</v>
      </c>
      <c r="K31" s="78" t="s">
        <v>112</v>
      </c>
      <c r="L31" s="85">
        <v>3</v>
      </c>
      <c r="N31" s="78">
        <v>4</v>
      </c>
      <c r="O31" s="7">
        <v>0.85</v>
      </c>
      <c r="P31" s="78">
        <v>0.95</v>
      </c>
      <c r="Q31" s="44">
        <f t="shared" si="0"/>
        <v>0.89999999999999991</v>
      </c>
      <c r="R31" s="67">
        <v>14.9</v>
      </c>
      <c r="S31" s="67">
        <v>97</v>
      </c>
      <c r="T31" s="16">
        <f t="shared" si="1"/>
        <v>36</v>
      </c>
      <c r="U31" s="72">
        <v>599</v>
      </c>
      <c r="V31" s="64">
        <f t="shared" si="2"/>
        <v>5391</v>
      </c>
      <c r="W31" s="69">
        <v>4</v>
      </c>
      <c r="X31" s="65" t="s">
        <v>28</v>
      </c>
      <c r="Y31" s="74" t="s">
        <v>43</v>
      </c>
      <c r="Z31" s="73" t="s">
        <v>90</v>
      </c>
      <c r="AA31" s="73" t="s">
        <v>55</v>
      </c>
      <c r="AB31" s="43" t="s">
        <v>161</v>
      </c>
    </row>
    <row r="32" spans="1:48" ht="14.25" customHeight="1" x14ac:dyDescent="0.15">
      <c r="A32" s="85" t="s">
        <v>23</v>
      </c>
      <c r="B32" s="85" t="s">
        <v>160</v>
      </c>
      <c r="C32" s="85">
        <v>2020</v>
      </c>
      <c r="D32" s="45" t="s">
        <v>163</v>
      </c>
      <c r="E32" s="85" t="s">
        <v>151</v>
      </c>
      <c r="F32" s="85" t="s">
        <v>147</v>
      </c>
      <c r="G32" s="85" t="s">
        <v>25</v>
      </c>
      <c r="H32" s="85" t="s">
        <v>113</v>
      </c>
      <c r="I32" s="85" t="s">
        <v>111</v>
      </c>
      <c r="J32" s="79" t="s">
        <v>27</v>
      </c>
      <c r="K32" s="78" t="s">
        <v>112</v>
      </c>
      <c r="L32" s="85">
        <v>1</v>
      </c>
      <c r="N32" s="7">
        <v>4</v>
      </c>
      <c r="O32" s="7">
        <v>0.65</v>
      </c>
      <c r="P32" s="7">
        <v>0.75</v>
      </c>
      <c r="Q32" s="44">
        <f t="shared" si="0"/>
        <v>0.7</v>
      </c>
      <c r="R32" s="67">
        <v>16.399999999999999</v>
      </c>
      <c r="S32" s="67">
        <v>93</v>
      </c>
      <c r="T32" s="16">
        <f t="shared" si="1"/>
        <v>36</v>
      </c>
      <c r="U32" s="72">
        <v>297</v>
      </c>
      <c r="V32" s="64">
        <f t="shared" si="2"/>
        <v>2673</v>
      </c>
      <c r="W32" s="69">
        <v>4</v>
      </c>
      <c r="X32" s="60" t="s">
        <v>35</v>
      </c>
      <c r="Y32" s="60" t="s">
        <v>43</v>
      </c>
      <c r="Z32" s="60" t="s">
        <v>55</v>
      </c>
      <c r="AA32" s="61" t="s">
        <v>76</v>
      </c>
      <c r="AB32" s="43" t="s">
        <v>161</v>
      </c>
    </row>
    <row r="33" spans="1:44" x14ac:dyDescent="0.15">
      <c r="A33" s="85" t="s">
        <v>23</v>
      </c>
      <c r="B33" s="85" t="s">
        <v>160</v>
      </c>
      <c r="C33" s="85">
        <v>2020</v>
      </c>
      <c r="D33" s="45" t="s">
        <v>163</v>
      </c>
      <c r="E33" s="85" t="s">
        <v>151</v>
      </c>
      <c r="F33" s="85" t="s">
        <v>147</v>
      </c>
      <c r="G33" s="85" t="s">
        <v>25</v>
      </c>
      <c r="H33" s="85" t="s">
        <v>113</v>
      </c>
      <c r="I33" s="85" t="s">
        <v>111</v>
      </c>
      <c r="J33" s="79" t="s">
        <v>27</v>
      </c>
      <c r="K33" s="78" t="s">
        <v>112</v>
      </c>
      <c r="L33" s="85">
        <v>2</v>
      </c>
      <c r="N33" s="7">
        <v>4</v>
      </c>
      <c r="O33" s="78">
        <v>0.85</v>
      </c>
      <c r="P33" s="7">
        <v>0.75</v>
      </c>
      <c r="Q33" s="44">
        <f t="shared" si="0"/>
        <v>0.8</v>
      </c>
      <c r="R33" s="67">
        <v>15.4</v>
      </c>
      <c r="S33" s="67">
        <v>76</v>
      </c>
      <c r="T33" s="16">
        <f t="shared" si="1"/>
        <v>39</v>
      </c>
      <c r="U33" s="72">
        <v>297</v>
      </c>
      <c r="V33" s="64">
        <f t="shared" si="2"/>
        <v>2895.75</v>
      </c>
      <c r="W33" s="69">
        <v>4</v>
      </c>
      <c r="X33" s="60" t="s">
        <v>35</v>
      </c>
      <c r="Y33" s="60" t="s">
        <v>43</v>
      </c>
      <c r="Z33" s="60" t="s">
        <v>55</v>
      </c>
      <c r="AA33" s="61" t="s">
        <v>76</v>
      </c>
      <c r="AB33" s="43" t="s">
        <v>161</v>
      </c>
      <c r="AR33" s="78"/>
    </row>
    <row r="34" spans="1:44" x14ac:dyDescent="0.15">
      <c r="A34" s="85" t="s">
        <v>23</v>
      </c>
      <c r="B34" s="85" t="s">
        <v>160</v>
      </c>
      <c r="C34" s="85">
        <v>2020</v>
      </c>
      <c r="D34" s="45" t="s">
        <v>163</v>
      </c>
      <c r="E34" s="85" t="s">
        <v>151</v>
      </c>
      <c r="F34" s="85" t="s">
        <v>147</v>
      </c>
      <c r="G34" s="85" t="s">
        <v>25</v>
      </c>
      <c r="H34" s="85" t="s">
        <v>113</v>
      </c>
      <c r="I34" s="85" t="s">
        <v>111</v>
      </c>
      <c r="J34" s="79" t="s">
        <v>27</v>
      </c>
      <c r="K34" s="78" t="s">
        <v>112</v>
      </c>
      <c r="L34" s="85">
        <v>3</v>
      </c>
      <c r="N34" s="7">
        <v>4</v>
      </c>
      <c r="O34" s="7">
        <v>1.1000000000000001</v>
      </c>
      <c r="P34" s="34">
        <v>1.1000000000000001</v>
      </c>
      <c r="Q34" s="44">
        <f t="shared" si="0"/>
        <v>1.1000000000000001</v>
      </c>
      <c r="R34" s="67">
        <v>14.3</v>
      </c>
      <c r="S34" s="67">
        <v>92</v>
      </c>
      <c r="T34" s="16">
        <f t="shared" si="1"/>
        <v>36</v>
      </c>
      <c r="U34" s="72">
        <v>297</v>
      </c>
      <c r="V34" s="64">
        <f t="shared" si="2"/>
        <v>2673</v>
      </c>
      <c r="W34" s="69">
        <v>4</v>
      </c>
      <c r="X34" s="60" t="s">
        <v>35</v>
      </c>
      <c r="Y34" s="60" t="s">
        <v>43</v>
      </c>
      <c r="Z34" s="60" t="s">
        <v>55</v>
      </c>
      <c r="AA34" s="61" t="s">
        <v>76</v>
      </c>
      <c r="AB34" s="43" t="s">
        <v>161</v>
      </c>
      <c r="AR34" s="78"/>
    </row>
    <row r="35" spans="1:44" x14ac:dyDescent="0.15">
      <c r="A35" s="85" t="s">
        <v>23</v>
      </c>
      <c r="B35" s="85" t="s">
        <v>160</v>
      </c>
      <c r="C35" s="85">
        <v>2020</v>
      </c>
      <c r="D35" s="45" t="s">
        <v>163</v>
      </c>
      <c r="E35" s="85" t="s">
        <v>151</v>
      </c>
      <c r="F35" s="85" t="s">
        <v>147</v>
      </c>
      <c r="G35" s="85" t="s">
        <v>25</v>
      </c>
      <c r="H35" s="85" t="s">
        <v>167</v>
      </c>
      <c r="I35" s="85" t="s">
        <v>111</v>
      </c>
      <c r="J35" s="79" t="s">
        <v>27</v>
      </c>
      <c r="K35" s="78" t="s">
        <v>112</v>
      </c>
      <c r="L35" s="85">
        <v>1</v>
      </c>
      <c r="N35" s="7">
        <v>1</v>
      </c>
      <c r="O35" s="7">
        <v>0.8</v>
      </c>
      <c r="P35" s="7">
        <v>0.9</v>
      </c>
      <c r="Q35" s="44">
        <f t="shared" si="0"/>
        <v>0.85000000000000009</v>
      </c>
      <c r="R35" s="67">
        <v>16.100000000000001</v>
      </c>
      <c r="S35" s="67">
        <v>142</v>
      </c>
      <c r="T35" s="16">
        <f t="shared" si="1"/>
        <v>30</v>
      </c>
      <c r="U35" s="72">
        <v>97</v>
      </c>
      <c r="V35" s="64">
        <f t="shared" si="2"/>
        <v>2910</v>
      </c>
      <c r="W35" s="69">
        <v>1</v>
      </c>
      <c r="X35" s="60" t="s">
        <v>35</v>
      </c>
      <c r="Y35" s="60" t="s">
        <v>43</v>
      </c>
      <c r="Z35" s="60" t="s">
        <v>55</v>
      </c>
      <c r="AA35" s="61" t="s">
        <v>76</v>
      </c>
      <c r="AB35" s="43" t="s">
        <v>161</v>
      </c>
      <c r="AR35" s="78"/>
    </row>
    <row r="36" spans="1:44" x14ac:dyDescent="0.15">
      <c r="A36" s="85" t="s">
        <v>23</v>
      </c>
      <c r="B36" s="85" t="s">
        <v>160</v>
      </c>
      <c r="C36" s="85">
        <v>2020</v>
      </c>
      <c r="D36" s="45" t="s">
        <v>163</v>
      </c>
      <c r="E36" s="85" t="s">
        <v>151</v>
      </c>
      <c r="F36" s="85" t="s">
        <v>147</v>
      </c>
      <c r="G36" s="85" t="s">
        <v>25</v>
      </c>
      <c r="H36" s="85" t="s">
        <v>167</v>
      </c>
      <c r="I36" s="85" t="s">
        <v>111</v>
      </c>
      <c r="J36" s="79" t="s">
        <v>27</v>
      </c>
      <c r="K36" s="78" t="s">
        <v>112</v>
      </c>
      <c r="L36" s="85">
        <v>2</v>
      </c>
      <c r="N36" s="7">
        <v>1</v>
      </c>
      <c r="O36" s="78">
        <v>0.8</v>
      </c>
      <c r="P36" s="7">
        <v>0.85</v>
      </c>
      <c r="Q36" s="44">
        <f t="shared" si="0"/>
        <v>0.82499999999999996</v>
      </c>
      <c r="R36" s="67">
        <v>17.7</v>
      </c>
      <c r="S36" s="67">
        <v>150</v>
      </c>
      <c r="T36" s="16">
        <f t="shared" si="1"/>
        <v>30</v>
      </c>
      <c r="U36" s="72">
        <v>97</v>
      </c>
      <c r="V36" s="64">
        <f t="shared" si="2"/>
        <v>2910</v>
      </c>
      <c r="W36" s="69">
        <v>1</v>
      </c>
      <c r="X36" s="60" t="s">
        <v>35</v>
      </c>
      <c r="Y36" s="60" t="s">
        <v>43</v>
      </c>
      <c r="Z36" s="60" t="s">
        <v>55</v>
      </c>
      <c r="AA36" s="61" t="s">
        <v>76</v>
      </c>
      <c r="AB36" s="43" t="s">
        <v>161</v>
      </c>
      <c r="AR36" s="78"/>
    </row>
    <row r="37" spans="1:44" x14ac:dyDescent="0.15">
      <c r="A37" s="85" t="s">
        <v>23</v>
      </c>
      <c r="B37" s="85" t="s">
        <v>160</v>
      </c>
      <c r="C37" s="85">
        <v>2020</v>
      </c>
      <c r="D37" s="45" t="s">
        <v>163</v>
      </c>
      <c r="E37" s="85" t="s">
        <v>151</v>
      </c>
      <c r="F37" s="85" t="s">
        <v>147</v>
      </c>
      <c r="G37" s="85" t="s">
        <v>25</v>
      </c>
      <c r="H37" s="85" t="s">
        <v>167</v>
      </c>
      <c r="I37" s="85" t="s">
        <v>111</v>
      </c>
      <c r="J37" s="79" t="s">
        <v>27</v>
      </c>
      <c r="K37" s="78" t="s">
        <v>112</v>
      </c>
      <c r="L37" s="85">
        <v>3</v>
      </c>
      <c r="N37" s="7">
        <v>1</v>
      </c>
      <c r="O37" s="78">
        <v>0.8</v>
      </c>
      <c r="P37" s="7">
        <v>0.9</v>
      </c>
      <c r="Q37" s="44">
        <f t="shared" si="0"/>
        <v>0.85000000000000009</v>
      </c>
      <c r="R37" s="67">
        <v>16.7</v>
      </c>
      <c r="S37" s="67">
        <v>141</v>
      </c>
      <c r="T37" s="16">
        <f t="shared" si="1"/>
        <v>30</v>
      </c>
      <c r="U37" s="72">
        <v>97</v>
      </c>
      <c r="V37" s="64">
        <f t="shared" si="2"/>
        <v>2910</v>
      </c>
      <c r="W37" s="69">
        <v>1</v>
      </c>
      <c r="X37" s="60" t="s">
        <v>35</v>
      </c>
      <c r="Y37" s="60" t="s">
        <v>43</v>
      </c>
      <c r="Z37" s="60" t="s">
        <v>55</v>
      </c>
      <c r="AA37" s="61" t="s">
        <v>76</v>
      </c>
      <c r="AB37" s="43" t="s">
        <v>161</v>
      </c>
      <c r="AR37" s="78"/>
    </row>
    <row r="38" spans="1:44" x14ac:dyDescent="0.15">
      <c r="A38" s="85" t="s">
        <v>23</v>
      </c>
      <c r="B38" s="85" t="s">
        <v>160</v>
      </c>
      <c r="C38" s="85">
        <v>2020</v>
      </c>
      <c r="D38" s="45" t="s">
        <v>163</v>
      </c>
      <c r="E38" s="85" t="s">
        <v>151</v>
      </c>
      <c r="F38" s="85" t="s">
        <v>147</v>
      </c>
      <c r="G38" s="85" t="s">
        <v>25</v>
      </c>
      <c r="H38" s="85" t="s">
        <v>167</v>
      </c>
      <c r="I38" s="85" t="s">
        <v>111</v>
      </c>
      <c r="J38" s="79" t="s">
        <v>27</v>
      </c>
      <c r="K38" s="78" t="s">
        <v>112</v>
      </c>
      <c r="L38" s="85">
        <v>1</v>
      </c>
      <c r="N38" s="7">
        <v>4</v>
      </c>
      <c r="O38" s="7">
        <v>0.5</v>
      </c>
      <c r="P38" s="7">
        <v>0.55000000000000004</v>
      </c>
      <c r="Q38" s="44">
        <f t="shared" si="0"/>
        <v>0.52500000000000002</v>
      </c>
      <c r="R38" s="67">
        <v>17.5</v>
      </c>
      <c r="S38" s="67">
        <v>116</v>
      </c>
      <c r="T38" s="16">
        <f t="shared" si="1"/>
        <v>30</v>
      </c>
      <c r="U38" s="72">
        <v>377</v>
      </c>
      <c r="V38" s="64">
        <f t="shared" si="2"/>
        <v>2827.5</v>
      </c>
      <c r="W38" s="69">
        <v>4</v>
      </c>
      <c r="X38" s="60" t="s">
        <v>35</v>
      </c>
      <c r="Y38" s="60" t="s">
        <v>43</v>
      </c>
      <c r="Z38" s="60" t="s">
        <v>55</v>
      </c>
      <c r="AA38" s="61" t="s">
        <v>76</v>
      </c>
      <c r="AB38" s="43" t="s">
        <v>161</v>
      </c>
      <c r="AR38" s="78"/>
    </row>
    <row r="39" spans="1:44" x14ac:dyDescent="0.15">
      <c r="A39" s="85" t="s">
        <v>23</v>
      </c>
      <c r="B39" s="85" t="s">
        <v>160</v>
      </c>
      <c r="C39" s="85">
        <v>2020</v>
      </c>
      <c r="D39" s="45" t="s">
        <v>163</v>
      </c>
      <c r="E39" s="85" t="s">
        <v>151</v>
      </c>
      <c r="F39" s="85" t="s">
        <v>147</v>
      </c>
      <c r="G39" s="85" t="s">
        <v>25</v>
      </c>
      <c r="H39" s="85" t="s">
        <v>167</v>
      </c>
      <c r="I39" s="85" t="s">
        <v>111</v>
      </c>
      <c r="J39" s="79" t="s">
        <v>27</v>
      </c>
      <c r="K39" s="78" t="s">
        <v>112</v>
      </c>
      <c r="L39" s="85">
        <v>2</v>
      </c>
      <c r="N39" s="7">
        <v>4</v>
      </c>
      <c r="O39" s="7">
        <v>0.7</v>
      </c>
      <c r="P39" s="7">
        <v>0.65</v>
      </c>
      <c r="Q39" s="44">
        <f t="shared" si="0"/>
        <v>0.67500000000000004</v>
      </c>
      <c r="R39" s="67">
        <v>16.399999999999999</v>
      </c>
      <c r="S39" s="67">
        <v>111</v>
      </c>
      <c r="T39" s="16">
        <f t="shared" si="1"/>
        <v>33</v>
      </c>
      <c r="U39" s="72">
        <v>377</v>
      </c>
      <c r="V39" s="64">
        <f t="shared" si="2"/>
        <v>3110.25</v>
      </c>
      <c r="W39" s="69">
        <v>4</v>
      </c>
      <c r="X39" s="60" t="s">
        <v>35</v>
      </c>
      <c r="Y39" s="60" t="s">
        <v>43</v>
      </c>
      <c r="Z39" s="60" t="s">
        <v>55</v>
      </c>
      <c r="AA39" s="61" t="s">
        <v>76</v>
      </c>
      <c r="AB39" s="43" t="s">
        <v>161</v>
      </c>
      <c r="AR39" s="78"/>
    </row>
    <row r="40" spans="1:44" ht="12.75" customHeight="1" x14ac:dyDescent="0.15">
      <c r="A40" s="85" t="s">
        <v>23</v>
      </c>
      <c r="B40" s="85" t="s">
        <v>160</v>
      </c>
      <c r="C40" s="85">
        <v>2020</v>
      </c>
      <c r="D40" s="45" t="s">
        <v>163</v>
      </c>
      <c r="E40" s="85" t="s">
        <v>151</v>
      </c>
      <c r="F40" s="85" t="s">
        <v>147</v>
      </c>
      <c r="G40" s="85" t="s">
        <v>25</v>
      </c>
      <c r="H40" s="85" t="s">
        <v>167</v>
      </c>
      <c r="I40" s="85" t="s">
        <v>111</v>
      </c>
      <c r="J40" s="79" t="s">
        <v>27</v>
      </c>
      <c r="K40" s="78" t="s">
        <v>112</v>
      </c>
      <c r="L40" s="85">
        <v>3</v>
      </c>
      <c r="N40" s="7">
        <v>4</v>
      </c>
      <c r="O40" s="78">
        <v>0.7</v>
      </c>
      <c r="P40" s="78">
        <v>0.65</v>
      </c>
      <c r="Q40" s="44">
        <f t="shared" si="0"/>
        <v>0.67500000000000004</v>
      </c>
      <c r="R40" s="67">
        <v>17</v>
      </c>
      <c r="S40" s="67">
        <v>119</v>
      </c>
      <c r="T40" s="16">
        <f t="shared" si="1"/>
        <v>30</v>
      </c>
      <c r="U40" s="72">
        <v>377</v>
      </c>
      <c r="V40" s="64">
        <f t="shared" si="2"/>
        <v>2827.5</v>
      </c>
      <c r="W40" s="69">
        <v>4</v>
      </c>
      <c r="X40" s="60" t="s">
        <v>35</v>
      </c>
      <c r="Y40" s="60" t="s">
        <v>43</v>
      </c>
      <c r="Z40" s="60" t="s">
        <v>55</v>
      </c>
      <c r="AA40" s="61" t="s">
        <v>76</v>
      </c>
      <c r="AB40" s="43" t="s">
        <v>161</v>
      </c>
      <c r="AR40" s="78"/>
    </row>
    <row r="41" spans="1:44" ht="12.75" customHeight="1" x14ac:dyDescent="0.15">
      <c r="A41" s="85" t="s">
        <v>23</v>
      </c>
      <c r="B41" s="85" t="s">
        <v>160</v>
      </c>
      <c r="C41" s="85">
        <v>2020</v>
      </c>
      <c r="D41" s="45" t="s">
        <v>163</v>
      </c>
      <c r="E41" s="85" t="s">
        <v>168</v>
      </c>
      <c r="F41" s="85" t="s">
        <v>155</v>
      </c>
      <c r="G41" s="85" t="s">
        <v>25</v>
      </c>
      <c r="H41" s="85" t="s">
        <v>113</v>
      </c>
      <c r="I41" s="85" t="s">
        <v>111</v>
      </c>
      <c r="J41" s="79" t="s">
        <v>27</v>
      </c>
      <c r="K41" s="78" t="s">
        <v>112</v>
      </c>
      <c r="L41" s="85">
        <v>1</v>
      </c>
      <c r="N41" s="7">
        <v>1</v>
      </c>
      <c r="O41" s="78">
        <v>0.65</v>
      </c>
      <c r="P41" s="78">
        <v>0.35</v>
      </c>
      <c r="Q41" s="44">
        <f t="shared" si="0"/>
        <v>0.5</v>
      </c>
      <c r="R41" s="67">
        <v>16.100000000000001</v>
      </c>
      <c r="S41" s="67">
        <v>132</v>
      </c>
      <c r="T41" s="16">
        <f t="shared" si="1"/>
        <v>30</v>
      </c>
      <c r="U41" s="72">
        <v>138</v>
      </c>
      <c r="V41" s="64">
        <f t="shared" si="2"/>
        <v>4140</v>
      </c>
      <c r="W41" s="47">
        <v>12</v>
      </c>
      <c r="X41" s="60" t="s">
        <v>35</v>
      </c>
      <c r="Y41" s="77" t="s">
        <v>82</v>
      </c>
      <c r="Z41" s="77" t="s">
        <v>72</v>
      </c>
      <c r="AA41" s="60" t="s">
        <v>43</v>
      </c>
      <c r="AB41" s="43" t="s">
        <v>161</v>
      </c>
      <c r="AR41" s="78"/>
    </row>
    <row r="42" spans="1:44" ht="12.75" customHeight="1" x14ac:dyDescent="0.15">
      <c r="A42" s="85" t="s">
        <v>23</v>
      </c>
      <c r="B42" s="85" t="s">
        <v>160</v>
      </c>
      <c r="C42" s="85">
        <v>2020</v>
      </c>
      <c r="D42" s="45" t="s">
        <v>163</v>
      </c>
      <c r="E42" s="85" t="s">
        <v>168</v>
      </c>
      <c r="F42" s="85" t="s">
        <v>155</v>
      </c>
      <c r="G42" s="85" t="s">
        <v>25</v>
      </c>
      <c r="H42" s="85" t="s">
        <v>113</v>
      </c>
      <c r="I42" s="85" t="s">
        <v>111</v>
      </c>
      <c r="J42" s="79" t="s">
        <v>27</v>
      </c>
      <c r="K42" s="78" t="s">
        <v>112</v>
      </c>
      <c r="L42" s="85">
        <v>2</v>
      </c>
      <c r="N42" s="7">
        <v>1</v>
      </c>
      <c r="O42" s="78">
        <v>0.65</v>
      </c>
      <c r="P42" s="7">
        <v>0.7</v>
      </c>
      <c r="Q42" s="44">
        <f t="shared" si="0"/>
        <v>0.67500000000000004</v>
      </c>
      <c r="R42" s="67">
        <v>16.8</v>
      </c>
      <c r="S42" s="67">
        <v>128</v>
      </c>
      <c r="T42" s="16">
        <f t="shared" si="1"/>
        <v>30</v>
      </c>
      <c r="U42" s="72">
        <v>138</v>
      </c>
      <c r="V42" s="64">
        <f t="shared" si="2"/>
        <v>4140</v>
      </c>
      <c r="W42" s="47">
        <v>12</v>
      </c>
      <c r="X42" s="60" t="s">
        <v>35</v>
      </c>
      <c r="Y42" s="77" t="s">
        <v>82</v>
      </c>
      <c r="Z42" s="77" t="s">
        <v>72</v>
      </c>
      <c r="AA42" s="60" t="s">
        <v>43</v>
      </c>
      <c r="AB42" s="43" t="s">
        <v>161</v>
      </c>
      <c r="AR42" s="78"/>
    </row>
    <row r="43" spans="1:44" ht="12.75" customHeight="1" x14ac:dyDescent="0.15">
      <c r="A43" s="85" t="s">
        <v>23</v>
      </c>
      <c r="B43" s="85" t="s">
        <v>160</v>
      </c>
      <c r="C43" s="85">
        <v>2020</v>
      </c>
      <c r="D43" s="45" t="s">
        <v>163</v>
      </c>
      <c r="E43" s="85" t="s">
        <v>168</v>
      </c>
      <c r="F43" s="85" t="s">
        <v>155</v>
      </c>
      <c r="G43" s="85" t="s">
        <v>25</v>
      </c>
      <c r="H43" s="85" t="s">
        <v>113</v>
      </c>
      <c r="I43" s="85" t="s">
        <v>111</v>
      </c>
      <c r="J43" s="79" t="s">
        <v>27</v>
      </c>
      <c r="K43" s="78" t="s">
        <v>112</v>
      </c>
      <c r="L43" s="85">
        <v>3</v>
      </c>
      <c r="N43" s="7">
        <v>1</v>
      </c>
      <c r="O43" s="7">
        <v>0.7</v>
      </c>
      <c r="P43" s="7">
        <v>0.75</v>
      </c>
      <c r="Q43" s="44">
        <f t="shared" si="0"/>
        <v>0.72499999999999998</v>
      </c>
      <c r="R43" s="67">
        <v>15.6</v>
      </c>
      <c r="S43" s="67">
        <v>132</v>
      </c>
      <c r="T43" s="16">
        <f t="shared" si="1"/>
        <v>30</v>
      </c>
      <c r="U43" s="72">
        <v>138</v>
      </c>
      <c r="V43" s="64">
        <f t="shared" si="2"/>
        <v>4140</v>
      </c>
      <c r="W43" s="47">
        <v>12</v>
      </c>
      <c r="X43" s="60" t="s">
        <v>35</v>
      </c>
      <c r="Y43" s="77" t="s">
        <v>82</v>
      </c>
      <c r="Z43" s="77" t="s">
        <v>72</v>
      </c>
      <c r="AA43" s="60" t="s">
        <v>43</v>
      </c>
      <c r="AB43" s="43" t="s">
        <v>161</v>
      </c>
      <c r="AR43" s="78"/>
    </row>
    <row r="44" spans="1:44" x14ac:dyDescent="0.15">
      <c r="A44" s="85" t="s">
        <v>23</v>
      </c>
      <c r="B44" s="85" t="s">
        <v>160</v>
      </c>
      <c r="C44" s="85">
        <v>2020</v>
      </c>
      <c r="D44" s="45" t="s">
        <v>163</v>
      </c>
      <c r="E44" s="85" t="s">
        <v>168</v>
      </c>
      <c r="F44" s="85" t="s">
        <v>155</v>
      </c>
      <c r="G44" s="85" t="s">
        <v>25</v>
      </c>
      <c r="H44" s="85" t="s">
        <v>113</v>
      </c>
      <c r="I44" s="85" t="s">
        <v>111</v>
      </c>
      <c r="J44" s="79" t="s">
        <v>27</v>
      </c>
      <c r="K44" s="78" t="s">
        <v>112</v>
      </c>
      <c r="L44" s="85">
        <v>1</v>
      </c>
      <c r="N44" s="7">
        <v>6</v>
      </c>
      <c r="O44" s="7">
        <v>0.7</v>
      </c>
      <c r="P44" s="7">
        <v>0.8</v>
      </c>
      <c r="Q44" s="44">
        <f t="shared" si="0"/>
        <v>0.75</v>
      </c>
      <c r="R44" s="67">
        <v>12.4</v>
      </c>
      <c r="S44" s="67">
        <v>116</v>
      </c>
      <c r="T44" s="16">
        <f t="shared" si="1"/>
        <v>30</v>
      </c>
      <c r="U44" s="72">
        <v>480</v>
      </c>
      <c r="V44" s="64">
        <f t="shared" si="2"/>
        <v>2400</v>
      </c>
      <c r="W44" s="47">
        <v>12</v>
      </c>
      <c r="X44" s="60" t="s">
        <v>35</v>
      </c>
      <c r="Y44" s="77" t="s">
        <v>82</v>
      </c>
      <c r="Z44" s="77" t="s">
        <v>72</v>
      </c>
      <c r="AA44" s="60" t="s">
        <v>43</v>
      </c>
      <c r="AB44" s="43" t="s">
        <v>161</v>
      </c>
      <c r="AR44" s="78"/>
    </row>
    <row r="45" spans="1:44" x14ac:dyDescent="0.15">
      <c r="A45" s="85" t="s">
        <v>23</v>
      </c>
      <c r="B45" s="85" t="s">
        <v>160</v>
      </c>
      <c r="C45" s="85">
        <v>2020</v>
      </c>
      <c r="D45" s="45" t="s">
        <v>163</v>
      </c>
      <c r="E45" s="85" t="s">
        <v>168</v>
      </c>
      <c r="F45" s="85" t="s">
        <v>155</v>
      </c>
      <c r="G45" s="85" t="s">
        <v>25</v>
      </c>
      <c r="H45" s="85" t="s">
        <v>113</v>
      </c>
      <c r="I45" s="85" t="s">
        <v>111</v>
      </c>
      <c r="J45" s="79" t="s">
        <v>27</v>
      </c>
      <c r="K45" s="78" t="s">
        <v>112</v>
      </c>
      <c r="L45" s="85">
        <v>2</v>
      </c>
      <c r="N45" s="7">
        <v>6</v>
      </c>
      <c r="O45" s="7">
        <v>0.85</v>
      </c>
      <c r="P45" s="7">
        <v>0.8</v>
      </c>
      <c r="Q45" s="44">
        <f t="shared" si="0"/>
        <v>0.82499999999999996</v>
      </c>
      <c r="R45" s="67">
        <v>13.4</v>
      </c>
      <c r="S45" s="67">
        <v>115</v>
      </c>
      <c r="T45" s="16">
        <f t="shared" si="1"/>
        <v>30</v>
      </c>
      <c r="U45" s="72">
        <v>480</v>
      </c>
      <c r="V45" s="64">
        <f t="shared" si="2"/>
        <v>2400</v>
      </c>
      <c r="W45" s="47">
        <v>12</v>
      </c>
      <c r="X45" s="60" t="s">
        <v>35</v>
      </c>
      <c r="Y45" s="77" t="s">
        <v>82</v>
      </c>
      <c r="Z45" s="77" t="s">
        <v>72</v>
      </c>
      <c r="AA45" s="60" t="s">
        <v>43</v>
      </c>
      <c r="AB45" s="43" t="s">
        <v>161</v>
      </c>
      <c r="AR45" s="78"/>
    </row>
    <row r="46" spans="1:44" x14ac:dyDescent="0.15">
      <c r="A46" s="85" t="s">
        <v>23</v>
      </c>
      <c r="B46" s="85" t="s">
        <v>160</v>
      </c>
      <c r="C46" s="85">
        <v>2020</v>
      </c>
      <c r="D46" s="45" t="s">
        <v>163</v>
      </c>
      <c r="E46" s="85" t="s">
        <v>168</v>
      </c>
      <c r="F46" s="85" t="s">
        <v>155</v>
      </c>
      <c r="G46" s="85" t="s">
        <v>25</v>
      </c>
      <c r="H46" s="85" t="s">
        <v>113</v>
      </c>
      <c r="I46" s="85" t="s">
        <v>111</v>
      </c>
      <c r="J46" s="79" t="s">
        <v>27</v>
      </c>
      <c r="K46" s="78" t="s">
        <v>112</v>
      </c>
      <c r="L46" s="85">
        <v>3</v>
      </c>
      <c r="N46" s="7">
        <v>6</v>
      </c>
      <c r="O46" s="7">
        <v>0.75</v>
      </c>
      <c r="P46" s="7">
        <v>0.7</v>
      </c>
      <c r="Q46" s="44">
        <f t="shared" si="0"/>
        <v>0.72499999999999998</v>
      </c>
      <c r="R46" s="67">
        <v>12.4</v>
      </c>
      <c r="S46" s="67">
        <v>111</v>
      </c>
      <c r="T46" s="16">
        <f t="shared" si="1"/>
        <v>33</v>
      </c>
      <c r="U46" s="72">
        <v>480</v>
      </c>
      <c r="V46" s="64">
        <f t="shared" si="2"/>
        <v>2640</v>
      </c>
      <c r="W46" s="47">
        <v>12</v>
      </c>
      <c r="X46" s="60" t="s">
        <v>35</v>
      </c>
      <c r="Y46" s="77" t="s">
        <v>82</v>
      </c>
      <c r="Z46" s="77" t="s">
        <v>72</v>
      </c>
      <c r="AA46" s="60" t="s">
        <v>43</v>
      </c>
      <c r="AB46" s="43" t="s">
        <v>161</v>
      </c>
      <c r="AR46" s="78"/>
    </row>
    <row r="47" spans="1:44" x14ac:dyDescent="0.15">
      <c r="A47" s="85" t="s">
        <v>23</v>
      </c>
      <c r="B47" s="85" t="s">
        <v>160</v>
      </c>
      <c r="C47" s="85">
        <v>2020</v>
      </c>
      <c r="D47" s="45" t="s">
        <v>163</v>
      </c>
      <c r="E47" s="85" t="s">
        <v>168</v>
      </c>
      <c r="F47" s="85" t="s">
        <v>155</v>
      </c>
      <c r="G47" s="85" t="s">
        <v>25</v>
      </c>
      <c r="H47" s="85" t="s">
        <v>167</v>
      </c>
      <c r="I47" s="85" t="s">
        <v>111</v>
      </c>
      <c r="J47" s="79" t="s">
        <v>27</v>
      </c>
      <c r="K47" s="78" t="s">
        <v>112</v>
      </c>
      <c r="L47" s="85">
        <v>1</v>
      </c>
      <c r="N47" s="7">
        <v>1</v>
      </c>
      <c r="O47" s="7">
        <v>0.65</v>
      </c>
      <c r="P47" s="78">
        <v>0.7</v>
      </c>
      <c r="Q47" s="44">
        <f t="shared" si="0"/>
        <v>0.67500000000000004</v>
      </c>
      <c r="R47" s="67">
        <v>16.8</v>
      </c>
      <c r="S47" s="67">
        <v>150</v>
      </c>
      <c r="T47" s="16">
        <f t="shared" si="1"/>
        <v>30</v>
      </c>
      <c r="U47" s="7">
        <v>138</v>
      </c>
      <c r="V47" s="64">
        <f t="shared" si="2"/>
        <v>4140</v>
      </c>
      <c r="W47" s="47">
        <v>12</v>
      </c>
      <c r="X47" s="60" t="s">
        <v>35</v>
      </c>
      <c r="Y47" s="77" t="s">
        <v>82</v>
      </c>
      <c r="Z47" s="77" t="s">
        <v>72</v>
      </c>
      <c r="AA47" s="60" t="s">
        <v>43</v>
      </c>
      <c r="AB47" s="43" t="s">
        <v>161</v>
      </c>
      <c r="AR47" s="78"/>
    </row>
    <row r="48" spans="1:44" x14ac:dyDescent="0.15">
      <c r="A48" s="85" t="s">
        <v>23</v>
      </c>
      <c r="B48" s="85" t="s">
        <v>160</v>
      </c>
      <c r="C48" s="85">
        <v>2020</v>
      </c>
      <c r="D48" s="45" t="s">
        <v>163</v>
      </c>
      <c r="E48" s="85" t="s">
        <v>168</v>
      </c>
      <c r="F48" s="85" t="s">
        <v>155</v>
      </c>
      <c r="G48" s="85" t="s">
        <v>25</v>
      </c>
      <c r="H48" s="85" t="s">
        <v>167</v>
      </c>
      <c r="I48" s="85" t="s">
        <v>111</v>
      </c>
      <c r="J48" s="79" t="s">
        <v>27</v>
      </c>
      <c r="K48" s="78" t="s">
        <v>112</v>
      </c>
      <c r="L48" s="85">
        <v>2</v>
      </c>
      <c r="N48" s="7">
        <v>1</v>
      </c>
      <c r="O48" s="7">
        <v>0.7</v>
      </c>
      <c r="P48" s="7">
        <v>0.55000000000000004</v>
      </c>
      <c r="Q48" s="44">
        <f t="shared" si="0"/>
        <v>0.625</v>
      </c>
      <c r="R48" s="67">
        <v>18.5</v>
      </c>
      <c r="S48" s="67">
        <v>158</v>
      </c>
      <c r="T48" s="16">
        <f t="shared" si="1"/>
        <v>30</v>
      </c>
      <c r="U48" s="78">
        <v>138</v>
      </c>
      <c r="V48" s="64">
        <f t="shared" si="2"/>
        <v>4140</v>
      </c>
      <c r="W48" s="47">
        <v>12</v>
      </c>
      <c r="X48" s="60" t="s">
        <v>35</v>
      </c>
      <c r="Y48" s="77" t="s">
        <v>82</v>
      </c>
      <c r="Z48" s="77" t="s">
        <v>72</v>
      </c>
      <c r="AA48" s="60" t="s">
        <v>43</v>
      </c>
      <c r="AB48" s="43" t="s">
        <v>161</v>
      </c>
      <c r="AR48" s="78"/>
    </row>
    <row r="49" spans="1:44" x14ac:dyDescent="0.15">
      <c r="A49" s="85" t="s">
        <v>23</v>
      </c>
      <c r="B49" s="85" t="s">
        <v>160</v>
      </c>
      <c r="C49" s="85">
        <v>2020</v>
      </c>
      <c r="D49" s="45" t="s">
        <v>163</v>
      </c>
      <c r="E49" s="85" t="s">
        <v>168</v>
      </c>
      <c r="F49" s="85" t="s">
        <v>155</v>
      </c>
      <c r="G49" s="85" t="s">
        <v>25</v>
      </c>
      <c r="H49" s="85" t="s">
        <v>167</v>
      </c>
      <c r="I49" s="85" t="s">
        <v>111</v>
      </c>
      <c r="J49" s="79" t="s">
        <v>27</v>
      </c>
      <c r="K49" s="78" t="s">
        <v>112</v>
      </c>
      <c r="L49" s="85">
        <v>3</v>
      </c>
      <c r="N49" s="7">
        <v>1</v>
      </c>
      <c r="O49" s="7">
        <v>0.55000000000000004</v>
      </c>
      <c r="P49" s="7">
        <v>0.5</v>
      </c>
      <c r="Q49" s="44">
        <f t="shared" si="0"/>
        <v>0.52500000000000002</v>
      </c>
      <c r="R49" s="67">
        <v>19.3</v>
      </c>
      <c r="S49" s="67">
        <v>157</v>
      </c>
      <c r="T49" s="16">
        <f t="shared" si="1"/>
        <v>30</v>
      </c>
      <c r="U49" s="78">
        <v>138</v>
      </c>
      <c r="V49" s="64">
        <f t="shared" si="2"/>
        <v>4140</v>
      </c>
      <c r="W49" s="47">
        <v>12</v>
      </c>
      <c r="X49" s="60" t="s">
        <v>35</v>
      </c>
      <c r="Y49" s="77" t="s">
        <v>82</v>
      </c>
      <c r="Z49" s="77" t="s">
        <v>72</v>
      </c>
      <c r="AA49" s="60" t="s">
        <v>43</v>
      </c>
      <c r="AB49" s="43" t="s">
        <v>161</v>
      </c>
      <c r="AR49" s="78"/>
    </row>
    <row r="50" spans="1:44" x14ac:dyDescent="0.15">
      <c r="A50" s="85" t="s">
        <v>23</v>
      </c>
      <c r="B50" s="85" t="s">
        <v>160</v>
      </c>
      <c r="C50" s="85">
        <v>2020</v>
      </c>
      <c r="D50" s="45" t="s">
        <v>163</v>
      </c>
      <c r="E50" s="85" t="s">
        <v>168</v>
      </c>
      <c r="F50" s="85" t="s">
        <v>155</v>
      </c>
      <c r="G50" s="85" t="s">
        <v>25</v>
      </c>
      <c r="H50" s="85" t="s">
        <v>167</v>
      </c>
      <c r="I50" s="85" t="s">
        <v>111</v>
      </c>
      <c r="J50" s="79" t="s">
        <v>27</v>
      </c>
      <c r="K50" s="78" t="s">
        <v>112</v>
      </c>
      <c r="L50" s="85">
        <v>1</v>
      </c>
      <c r="N50" s="7">
        <v>4</v>
      </c>
      <c r="O50" s="7">
        <v>0.65</v>
      </c>
      <c r="P50" s="7">
        <v>0.75</v>
      </c>
      <c r="Q50" s="44">
        <f t="shared" si="0"/>
        <v>0.7</v>
      </c>
      <c r="R50" s="7">
        <v>18.600000000000001</v>
      </c>
      <c r="S50" s="7">
        <v>174</v>
      </c>
      <c r="T50" s="16">
        <f t="shared" si="1"/>
        <v>30</v>
      </c>
      <c r="U50" s="7">
        <v>480</v>
      </c>
      <c r="V50" s="64">
        <f t="shared" si="2"/>
        <v>3600</v>
      </c>
      <c r="W50" s="47">
        <v>12</v>
      </c>
      <c r="X50" s="60" t="s">
        <v>35</v>
      </c>
      <c r="Y50" s="77" t="s">
        <v>82</v>
      </c>
      <c r="Z50" s="77" t="s">
        <v>72</v>
      </c>
      <c r="AA50" s="60" t="s">
        <v>43</v>
      </c>
      <c r="AB50" s="43" t="s">
        <v>161</v>
      </c>
      <c r="AR50" s="78"/>
    </row>
    <row r="51" spans="1:44" x14ac:dyDescent="0.15">
      <c r="A51" s="85" t="s">
        <v>23</v>
      </c>
      <c r="B51" s="85" t="s">
        <v>160</v>
      </c>
      <c r="C51" s="85">
        <v>2020</v>
      </c>
      <c r="D51" s="45" t="s">
        <v>163</v>
      </c>
      <c r="E51" s="85" t="s">
        <v>168</v>
      </c>
      <c r="F51" s="85" t="s">
        <v>155</v>
      </c>
      <c r="G51" s="85" t="s">
        <v>25</v>
      </c>
      <c r="H51" s="85" t="s">
        <v>167</v>
      </c>
      <c r="I51" s="85" t="s">
        <v>111</v>
      </c>
      <c r="J51" s="79" t="s">
        <v>27</v>
      </c>
      <c r="K51" s="78" t="s">
        <v>112</v>
      </c>
      <c r="L51" s="85">
        <v>2</v>
      </c>
      <c r="N51" s="7">
        <v>4</v>
      </c>
      <c r="O51" s="7">
        <v>0.7</v>
      </c>
      <c r="P51" s="7">
        <v>0.7</v>
      </c>
      <c r="Q51" s="44">
        <f t="shared" si="0"/>
        <v>0.7</v>
      </c>
      <c r="R51" s="7">
        <v>16.100000000000001</v>
      </c>
      <c r="S51" s="7">
        <v>174</v>
      </c>
      <c r="T51" s="16">
        <f t="shared" si="1"/>
        <v>30</v>
      </c>
      <c r="U51" s="78">
        <v>480</v>
      </c>
      <c r="V51" s="64">
        <f t="shared" si="2"/>
        <v>3600</v>
      </c>
      <c r="W51" s="47">
        <v>12</v>
      </c>
      <c r="X51" s="60" t="s">
        <v>35</v>
      </c>
      <c r="Y51" s="77" t="s">
        <v>82</v>
      </c>
      <c r="Z51" s="77" t="s">
        <v>72</v>
      </c>
      <c r="AA51" s="60" t="s">
        <v>43</v>
      </c>
      <c r="AB51" s="43" t="s">
        <v>161</v>
      </c>
      <c r="AR51" s="78"/>
    </row>
    <row r="52" spans="1:44" x14ac:dyDescent="0.15">
      <c r="A52" s="85" t="s">
        <v>23</v>
      </c>
      <c r="B52" s="85" t="s">
        <v>160</v>
      </c>
      <c r="C52" s="85">
        <v>2020</v>
      </c>
      <c r="D52" s="45" t="s">
        <v>163</v>
      </c>
      <c r="E52" s="85" t="s">
        <v>168</v>
      </c>
      <c r="F52" s="85" t="s">
        <v>155</v>
      </c>
      <c r="G52" s="85" t="s">
        <v>25</v>
      </c>
      <c r="H52" s="85" t="s">
        <v>167</v>
      </c>
      <c r="I52" s="85" t="s">
        <v>111</v>
      </c>
      <c r="J52" s="79" t="s">
        <v>27</v>
      </c>
      <c r="K52" s="78" t="s">
        <v>112</v>
      </c>
      <c r="L52" s="85">
        <v>3</v>
      </c>
      <c r="N52" s="7">
        <v>4</v>
      </c>
      <c r="O52" s="7">
        <v>0.75</v>
      </c>
      <c r="P52" s="7">
        <v>0.8</v>
      </c>
      <c r="Q52" s="44">
        <f t="shared" si="0"/>
        <v>0.77500000000000002</v>
      </c>
      <c r="R52" s="7">
        <v>16.8</v>
      </c>
      <c r="S52" s="7">
        <v>175</v>
      </c>
      <c r="T52" s="16">
        <f t="shared" si="1"/>
        <v>30</v>
      </c>
      <c r="U52" s="78">
        <v>480</v>
      </c>
      <c r="V52" s="64">
        <f t="shared" si="2"/>
        <v>3600</v>
      </c>
      <c r="W52" s="47">
        <v>12</v>
      </c>
      <c r="X52" s="60" t="s">
        <v>35</v>
      </c>
      <c r="Y52" s="77" t="s">
        <v>82</v>
      </c>
      <c r="Z52" s="77" t="s">
        <v>72</v>
      </c>
      <c r="AA52" s="60" t="s">
        <v>43</v>
      </c>
      <c r="AB52" s="43" t="s">
        <v>161</v>
      </c>
      <c r="AR52" s="78"/>
    </row>
    <row r="53" spans="1:44" x14ac:dyDescent="0.15">
      <c r="A53" s="85" t="s">
        <v>23</v>
      </c>
      <c r="B53" s="85" t="s">
        <v>160</v>
      </c>
      <c r="C53" s="85">
        <v>2020</v>
      </c>
      <c r="D53" s="45" t="s">
        <v>163</v>
      </c>
      <c r="E53" s="85" t="s">
        <v>168</v>
      </c>
      <c r="F53" s="85" t="s">
        <v>155</v>
      </c>
      <c r="G53" s="85" t="s">
        <v>25</v>
      </c>
      <c r="H53" s="85" t="s">
        <v>167</v>
      </c>
      <c r="I53" s="85" t="s">
        <v>111</v>
      </c>
      <c r="J53" s="79" t="s">
        <v>27</v>
      </c>
      <c r="K53" s="78" t="s">
        <v>112</v>
      </c>
      <c r="L53" s="85">
        <v>1</v>
      </c>
      <c r="N53" s="7">
        <v>8</v>
      </c>
      <c r="O53" s="7">
        <v>0.5</v>
      </c>
      <c r="P53" s="7">
        <v>0.5</v>
      </c>
      <c r="Q53" s="44">
        <f t="shared" si="0"/>
        <v>0.5</v>
      </c>
      <c r="R53" s="7">
        <v>18.100000000000001</v>
      </c>
      <c r="S53" s="7">
        <v>105</v>
      </c>
      <c r="T53" s="16">
        <f t="shared" si="1"/>
        <v>33</v>
      </c>
      <c r="U53" s="7">
        <v>680</v>
      </c>
      <c r="V53" s="64">
        <f t="shared" si="2"/>
        <v>2805</v>
      </c>
      <c r="W53" s="47">
        <v>12</v>
      </c>
      <c r="X53" s="60" t="s">
        <v>35</v>
      </c>
      <c r="Y53" s="77" t="s">
        <v>82</v>
      </c>
      <c r="Z53" s="77" t="s">
        <v>72</v>
      </c>
      <c r="AA53" s="60" t="s">
        <v>43</v>
      </c>
      <c r="AB53" s="43" t="s">
        <v>161</v>
      </c>
      <c r="AR53" s="78"/>
    </row>
    <row r="54" spans="1:44" x14ac:dyDescent="0.15">
      <c r="A54" s="85" t="s">
        <v>23</v>
      </c>
      <c r="B54" s="85" t="s">
        <v>160</v>
      </c>
      <c r="C54" s="85">
        <v>2020</v>
      </c>
      <c r="D54" s="45" t="s">
        <v>163</v>
      </c>
      <c r="E54" s="85" t="s">
        <v>168</v>
      </c>
      <c r="F54" s="85" t="s">
        <v>155</v>
      </c>
      <c r="G54" s="85" t="s">
        <v>25</v>
      </c>
      <c r="H54" s="85" t="s">
        <v>167</v>
      </c>
      <c r="I54" s="85" t="s">
        <v>111</v>
      </c>
      <c r="J54" s="79" t="s">
        <v>27</v>
      </c>
      <c r="K54" s="78" t="s">
        <v>112</v>
      </c>
      <c r="L54" s="85">
        <v>2</v>
      </c>
      <c r="N54" s="7">
        <v>8</v>
      </c>
      <c r="O54" s="7">
        <v>0.7</v>
      </c>
      <c r="P54" s="7">
        <v>0.75</v>
      </c>
      <c r="Q54" s="44">
        <f t="shared" si="0"/>
        <v>0.72499999999999998</v>
      </c>
      <c r="R54" s="7">
        <v>16.899999999999999</v>
      </c>
      <c r="S54" s="7">
        <v>99</v>
      </c>
      <c r="T54" s="16">
        <f t="shared" si="1"/>
        <v>33</v>
      </c>
      <c r="U54" s="78">
        <v>680</v>
      </c>
      <c r="V54" s="64">
        <f t="shared" si="2"/>
        <v>2805</v>
      </c>
      <c r="W54" s="47">
        <v>12</v>
      </c>
      <c r="X54" s="60" t="s">
        <v>35</v>
      </c>
      <c r="Y54" s="77" t="s">
        <v>82</v>
      </c>
      <c r="Z54" s="77" t="s">
        <v>72</v>
      </c>
      <c r="AA54" s="60" t="s">
        <v>43</v>
      </c>
      <c r="AB54" s="43" t="s">
        <v>161</v>
      </c>
      <c r="AR54" s="78"/>
    </row>
    <row r="55" spans="1:44" x14ac:dyDescent="0.15">
      <c r="A55" s="85" t="s">
        <v>23</v>
      </c>
      <c r="B55" s="85" t="s">
        <v>160</v>
      </c>
      <c r="C55" s="85">
        <v>2020</v>
      </c>
      <c r="D55" s="45" t="s">
        <v>163</v>
      </c>
      <c r="E55" s="85" t="s">
        <v>168</v>
      </c>
      <c r="F55" s="85" t="s">
        <v>155</v>
      </c>
      <c r="G55" s="85" t="s">
        <v>25</v>
      </c>
      <c r="H55" s="85" t="s">
        <v>167</v>
      </c>
      <c r="I55" s="85" t="s">
        <v>111</v>
      </c>
      <c r="J55" s="79" t="s">
        <v>27</v>
      </c>
      <c r="K55" s="78" t="s">
        <v>112</v>
      </c>
      <c r="L55" s="85">
        <v>3</v>
      </c>
      <c r="N55" s="7">
        <v>8</v>
      </c>
      <c r="O55" s="7">
        <v>0.5</v>
      </c>
      <c r="P55" s="7">
        <v>0.55000000000000004</v>
      </c>
      <c r="Q55" s="44">
        <f t="shared" si="0"/>
        <v>0.52500000000000002</v>
      </c>
      <c r="R55" s="7">
        <v>16.100000000000001</v>
      </c>
      <c r="S55" s="7">
        <v>103</v>
      </c>
      <c r="T55" s="16">
        <f t="shared" si="1"/>
        <v>33</v>
      </c>
      <c r="U55" s="78">
        <v>680</v>
      </c>
      <c r="V55" s="64">
        <f t="shared" si="2"/>
        <v>2805</v>
      </c>
      <c r="W55" s="47">
        <v>12</v>
      </c>
      <c r="X55" s="60" t="s">
        <v>35</v>
      </c>
      <c r="Y55" s="77" t="s">
        <v>82</v>
      </c>
      <c r="Z55" s="77" t="s">
        <v>72</v>
      </c>
      <c r="AA55" s="60" t="s">
        <v>43</v>
      </c>
      <c r="AB55" s="43" t="s">
        <v>161</v>
      </c>
      <c r="AR55" s="78"/>
    </row>
    <row r="56" spans="1:44" x14ac:dyDescent="0.15">
      <c r="A56" s="85" t="s">
        <v>23</v>
      </c>
      <c r="B56" s="85" t="s">
        <v>160</v>
      </c>
      <c r="C56" s="85">
        <v>2020</v>
      </c>
      <c r="D56" s="45" t="s">
        <v>163</v>
      </c>
      <c r="E56" s="85" t="s">
        <v>169</v>
      </c>
      <c r="F56" s="85" t="s">
        <v>147</v>
      </c>
      <c r="G56" s="85" t="s">
        <v>25</v>
      </c>
      <c r="H56" s="85" t="s">
        <v>113</v>
      </c>
      <c r="I56" s="85" t="s">
        <v>111</v>
      </c>
      <c r="J56" s="79" t="s">
        <v>27</v>
      </c>
      <c r="K56" s="78" t="s">
        <v>112</v>
      </c>
      <c r="L56" s="85">
        <v>1</v>
      </c>
      <c r="N56" s="7">
        <v>1</v>
      </c>
      <c r="O56" s="7">
        <v>0.75</v>
      </c>
      <c r="P56" s="7">
        <v>0.85</v>
      </c>
      <c r="Q56" s="44">
        <f t="shared" si="0"/>
        <v>0.8</v>
      </c>
      <c r="R56" s="7">
        <v>14.9</v>
      </c>
      <c r="S56" s="7">
        <v>113</v>
      </c>
      <c r="T56" s="16">
        <f t="shared" si="1"/>
        <v>30</v>
      </c>
      <c r="U56" s="7">
        <v>98</v>
      </c>
      <c r="V56" s="64">
        <f t="shared" si="2"/>
        <v>2940</v>
      </c>
      <c r="W56" s="7">
        <v>23</v>
      </c>
      <c r="X56" s="60" t="s">
        <v>35</v>
      </c>
      <c r="Y56" s="7" t="s">
        <v>55</v>
      </c>
      <c r="Z56" s="7" t="s">
        <v>43</v>
      </c>
      <c r="AA56" s="7" t="s">
        <v>76</v>
      </c>
      <c r="AB56" s="43" t="s">
        <v>161</v>
      </c>
      <c r="AR56" s="78"/>
    </row>
    <row r="57" spans="1:44" x14ac:dyDescent="0.15">
      <c r="A57" s="85" t="s">
        <v>23</v>
      </c>
      <c r="B57" s="85" t="s">
        <v>160</v>
      </c>
      <c r="C57" s="85">
        <v>2020</v>
      </c>
      <c r="D57" s="45" t="s">
        <v>163</v>
      </c>
      <c r="E57" s="85" t="s">
        <v>169</v>
      </c>
      <c r="F57" s="85" t="s">
        <v>147</v>
      </c>
      <c r="G57" s="85" t="s">
        <v>25</v>
      </c>
      <c r="H57" s="85" t="s">
        <v>113</v>
      </c>
      <c r="I57" s="85" t="s">
        <v>111</v>
      </c>
      <c r="J57" s="79" t="s">
        <v>27</v>
      </c>
      <c r="K57" s="78" t="s">
        <v>112</v>
      </c>
      <c r="L57" s="85">
        <v>2</v>
      </c>
      <c r="N57" s="7">
        <v>1</v>
      </c>
      <c r="O57" s="7">
        <v>0.55000000000000004</v>
      </c>
      <c r="P57" s="7">
        <v>0.5</v>
      </c>
      <c r="Q57" s="44">
        <f t="shared" si="0"/>
        <v>0.52500000000000002</v>
      </c>
      <c r="R57" s="7">
        <v>16</v>
      </c>
      <c r="S57" s="7">
        <v>111</v>
      </c>
      <c r="T57" s="16">
        <f t="shared" si="1"/>
        <v>33</v>
      </c>
      <c r="U57" s="78">
        <v>98</v>
      </c>
      <c r="V57" s="64">
        <f t="shared" si="2"/>
        <v>3234</v>
      </c>
      <c r="W57" s="78">
        <v>23</v>
      </c>
      <c r="X57" s="60" t="s">
        <v>35</v>
      </c>
      <c r="Y57" s="78" t="s">
        <v>55</v>
      </c>
      <c r="Z57" s="78" t="s">
        <v>43</v>
      </c>
      <c r="AA57" s="78" t="s">
        <v>76</v>
      </c>
      <c r="AB57" s="43" t="s">
        <v>161</v>
      </c>
      <c r="AR57" s="78"/>
    </row>
    <row r="58" spans="1:44" x14ac:dyDescent="0.15">
      <c r="A58" s="85" t="s">
        <v>23</v>
      </c>
      <c r="B58" s="85" t="s">
        <v>160</v>
      </c>
      <c r="C58" s="85">
        <v>2020</v>
      </c>
      <c r="D58" s="45" t="s">
        <v>163</v>
      </c>
      <c r="E58" s="85" t="s">
        <v>169</v>
      </c>
      <c r="F58" s="85" t="s">
        <v>147</v>
      </c>
      <c r="G58" s="85" t="s">
        <v>25</v>
      </c>
      <c r="H58" s="85" t="s">
        <v>113</v>
      </c>
      <c r="I58" s="85" t="s">
        <v>111</v>
      </c>
      <c r="J58" s="79" t="s">
        <v>27</v>
      </c>
      <c r="K58" s="78" t="s">
        <v>112</v>
      </c>
      <c r="L58" s="85">
        <v>3</v>
      </c>
      <c r="N58" s="7">
        <v>1</v>
      </c>
      <c r="O58" s="7">
        <v>0.95</v>
      </c>
      <c r="P58" s="7">
        <v>1.05</v>
      </c>
      <c r="Q58" s="44">
        <f t="shared" si="0"/>
        <v>1</v>
      </c>
      <c r="R58" s="7">
        <v>19</v>
      </c>
      <c r="S58" s="7">
        <v>105</v>
      </c>
      <c r="T58" s="16">
        <f t="shared" si="1"/>
        <v>33</v>
      </c>
      <c r="U58" s="78">
        <v>98</v>
      </c>
      <c r="V58" s="64">
        <f t="shared" si="2"/>
        <v>3234</v>
      </c>
      <c r="W58" s="78">
        <v>23</v>
      </c>
      <c r="X58" s="60" t="s">
        <v>35</v>
      </c>
      <c r="Y58" s="78" t="s">
        <v>55</v>
      </c>
      <c r="Z58" s="78" t="s">
        <v>43</v>
      </c>
      <c r="AA58" s="78" t="s">
        <v>76</v>
      </c>
      <c r="AB58" s="43" t="s">
        <v>161</v>
      </c>
      <c r="AR58" s="78"/>
    </row>
    <row r="59" spans="1:44" s="78" customFormat="1" x14ac:dyDescent="0.15">
      <c r="A59" s="85" t="s">
        <v>23</v>
      </c>
      <c r="B59" s="85" t="s">
        <v>160</v>
      </c>
      <c r="C59" s="85">
        <v>2020</v>
      </c>
      <c r="D59" s="45" t="s">
        <v>163</v>
      </c>
      <c r="E59" s="85" t="s">
        <v>169</v>
      </c>
      <c r="F59" s="85" t="s">
        <v>147</v>
      </c>
      <c r="G59" s="85" t="s">
        <v>25</v>
      </c>
      <c r="H59" s="85" t="s">
        <v>113</v>
      </c>
      <c r="I59" s="85" t="s">
        <v>111</v>
      </c>
      <c r="J59" s="79" t="s">
        <v>27</v>
      </c>
      <c r="K59" s="78" t="s">
        <v>112</v>
      </c>
      <c r="L59" s="85">
        <v>1</v>
      </c>
      <c r="N59" s="78">
        <v>7</v>
      </c>
      <c r="O59" s="78">
        <v>0.75</v>
      </c>
      <c r="P59" s="78">
        <v>0.8</v>
      </c>
      <c r="Q59" s="44">
        <f t="shared" si="0"/>
        <v>0.77500000000000002</v>
      </c>
      <c r="R59" s="78">
        <v>16.899999999999999</v>
      </c>
      <c r="S59" s="78">
        <v>99</v>
      </c>
      <c r="T59" s="16">
        <f t="shared" si="1"/>
        <v>33</v>
      </c>
      <c r="U59" s="78">
        <v>498</v>
      </c>
      <c r="V59" s="64">
        <f t="shared" si="2"/>
        <v>2347.7142857142858</v>
      </c>
      <c r="W59" s="78">
        <v>23</v>
      </c>
      <c r="X59" s="60" t="s">
        <v>35</v>
      </c>
      <c r="Y59" s="78" t="s">
        <v>55</v>
      </c>
      <c r="Z59" s="78" t="s">
        <v>43</v>
      </c>
      <c r="AA59" s="78" t="s">
        <v>76</v>
      </c>
      <c r="AB59" s="43" t="s">
        <v>161</v>
      </c>
      <c r="AI59" s="48"/>
      <c r="AJ59" s="48"/>
      <c r="AK59" s="48"/>
      <c r="AL59" s="48"/>
      <c r="AM59" s="48"/>
    </row>
    <row r="60" spans="1:44" s="78" customFormat="1" x14ac:dyDescent="0.15">
      <c r="A60" s="85" t="s">
        <v>23</v>
      </c>
      <c r="B60" s="85" t="s">
        <v>160</v>
      </c>
      <c r="C60" s="85">
        <v>2020</v>
      </c>
      <c r="D60" s="45" t="s">
        <v>163</v>
      </c>
      <c r="E60" s="85" t="s">
        <v>169</v>
      </c>
      <c r="F60" s="85" t="s">
        <v>147</v>
      </c>
      <c r="G60" s="85" t="s">
        <v>25</v>
      </c>
      <c r="H60" s="85" t="s">
        <v>113</v>
      </c>
      <c r="I60" s="85" t="s">
        <v>111</v>
      </c>
      <c r="J60" s="79" t="s">
        <v>27</v>
      </c>
      <c r="K60" s="78" t="s">
        <v>112</v>
      </c>
      <c r="L60" s="85">
        <v>2</v>
      </c>
      <c r="N60" s="78">
        <v>7</v>
      </c>
      <c r="O60" s="78">
        <v>1.1000000000000001</v>
      </c>
      <c r="P60" s="78">
        <v>1.2</v>
      </c>
      <c r="Q60" s="44">
        <f t="shared" si="0"/>
        <v>1.1499999999999999</v>
      </c>
      <c r="R60" s="78">
        <v>15.3</v>
      </c>
      <c r="S60" s="78">
        <v>96</v>
      </c>
      <c r="T60" s="16">
        <f t="shared" si="1"/>
        <v>36</v>
      </c>
      <c r="U60" s="78">
        <v>498</v>
      </c>
      <c r="V60" s="64">
        <f t="shared" si="2"/>
        <v>2561.1428571428569</v>
      </c>
      <c r="W60" s="78">
        <v>23</v>
      </c>
      <c r="X60" s="60" t="s">
        <v>35</v>
      </c>
      <c r="Y60" s="78" t="s">
        <v>55</v>
      </c>
      <c r="Z60" s="78" t="s">
        <v>43</v>
      </c>
      <c r="AA60" s="78" t="s">
        <v>76</v>
      </c>
      <c r="AB60" s="43" t="s">
        <v>161</v>
      </c>
      <c r="AI60" s="48"/>
      <c r="AJ60" s="48"/>
      <c r="AK60" s="48"/>
      <c r="AL60" s="48"/>
      <c r="AM60" s="48"/>
    </row>
    <row r="61" spans="1:44" s="78" customFormat="1" x14ac:dyDescent="0.15">
      <c r="A61" s="85" t="s">
        <v>23</v>
      </c>
      <c r="B61" s="85" t="s">
        <v>160</v>
      </c>
      <c r="C61" s="85">
        <v>2020</v>
      </c>
      <c r="D61" s="45" t="s">
        <v>163</v>
      </c>
      <c r="E61" s="85" t="s">
        <v>169</v>
      </c>
      <c r="F61" s="85" t="s">
        <v>147</v>
      </c>
      <c r="G61" s="85" t="s">
        <v>25</v>
      </c>
      <c r="H61" s="85" t="s">
        <v>113</v>
      </c>
      <c r="I61" s="85" t="s">
        <v>111</v>
      </c>
      <c r="J61" s="79" t="s">
        <v>27</v>
      </c>
      <c r="K61" s="78" t="s">
        <v>112</v>
      </c>
      <c r="L61" s="85">
        <v>3</v>
      </c>
      <c r="N61" s="78">
        <v>7</v>
      </c>
      <c r="O61" s="78">
        <v>0.8</v>
      </c>
      <c r="P61" s="78">
        <v>0.85</v>
      </c>
      <c r="Q61" s="44">
        <f t="shared" si="0"/>
        <v>0.82499999999999996</v>
      </c>
      <c r="R61" s="78">
        <v>15.7</v>
      </c>
      <c r="S61" s="78">
        <v>95</v>
      </c>
      <c r="T61" s="16">
        <f t="shared" si="1"/>
        <v>36</v>
      </c>
      <c r="U61" s="78">
        <v>498</v>
      </c>
      <c r="V61" s="64">
        <f t="shared" si="2"/>
        <v>2561.1428571428569</v>
      </c>
      <c r="W61" s="78">
        <v>23</v>
      </c>
      <c r="X61" s="60" t="s">
        <v>35</v>
      </c>
      <c r="Y61" s="78" t="s">
        <v>55</v>
      </c>
      <c r="Z61" s="78" t="s">
        <v>43</v>
      </c>
      <c r="AA61" s="78" t="s">
        <v>76</v>
      </c>
      <c r="AB61" s="43" t="s">
        <v>161</v>
      </c>
      <c r="AI61" s="48"/>
      <c r="AJ61" s="48"/>
      <c r="AK61" s="48"/>
      <c r="AL61" s="48"/>
      <c r="AM61" s="48"/>
    </row>
    <row r="62" spans="1:44" s="78" customFormat="1" x14ac:dyDescent="0.15">
      <c r="A62" s="85" t="s">
        <v>23</v>
      </c>
      <c r="B62" s="85" t="s">
        <v>160</v>
      </c>
      <c r="C62" s="85">
        <v>2020</v>
      </c>
      <c r="D62" s="45" t="s">
        <v>163</v>
      </c>
      <c r="E62" s="85" t="s">
        <v>169</v>
      </c>
      <c r="F62" s="85" t="s">
        <v>147</v>
      </c>
      <c r="G62" s="85" t="s">
        <v>25</v>
      </c>
      <c r="H62" s="85" t="s">
        <v>113</v>
      </c>
      <c r="I62" s="85" t="s">
        <v>111</v>
      </c>
      <c r="J62" s="79" t="s">
        <v>27</v>
      </c>
      <c r="K62" s="78" t="s">
        <v>112</v>
      </c>
      <c r="L62" s="85">
        <v>1</v>
      </c>
      <c r="N62" s="78">
        <v>15</v>
      </c>
      <c r="O62" s="78">
        <v>0.8</v>
      </c>
      <c r="P62" s="78">
        <v>0.85</v>
      </c>
      <c r="Q62" s="44">
        <f t="shared" si="0"/>
        <v>0.82499999999999996</v>
      </c>
      <c r="R62" s="78">
        <v>16.600000000000001</v>
      </c>
      <c r="S62" s="78">
        <v>77</v>
      </c>
      <c r="T62" s="16">
        <f t="shared" si="1"/>
        <v>39</v>
      </c>
      <c r="U62" s="78">
        <v>798</v>
      </c>
      <c r="V62" s="64">
        <f t="shared" si="2"/>
        <v>2074.8000000000002</v>
      </c>
      <c r="W62" s="78">
        <v>23</v>
      </c>
      <c r="X62" s="60" t="s">
        <v>35</v>
      </c>
      <c r="Y62" s="78" t="s">
        <v>55</v>
      </c>
      <c r="Z62" s="78" t="s">
        <v>43</v>
      </c>
      <c r="AA62" s="78" t="s">
        <v>76</v>
      </c>
      <c r="AB62" s="43" t="s">
        <v>161</v>
      </c>
      <c r="AI62" s="48"/>
      <c r="AJ62" s="48"/>
      <c r="AK62" s="48"/>
      <c r="AL62" s="48"/>
      <c r="AM62" s="48"/>
    </row>
    <row r="63" spans="1:44" s="78" customFormat="1" x14ac:dyDescent="0.15">
      <c r="A63" s="85" t="s">
        <v>23</v>
      </c>
      <c r="B63" s="85" t="s">
        <v>160</v>
      </c>
      <c r="C63" s="85">
        <v>2020</v>
      </c>
      <c r="D63" s="45" t="s">
        <v>163</v>
      </c>
      <c r="E63" s="85" t="s">
        <v>169</v>
      </c>
      <c r="F63" s="85" t="s">
        <v>147</v>
      </c>
      <c r="G63" s="85" t="s">
        <v>25</v>
      </c>
      <c r="H63" s="85" t="s">
        <v>113</v>
      </c>
      <c r="I63" s="85" t="s">
        <v>111</v>
      </c>
      <c r="J63" s="79" t="s">
        <v>27</v>
      </c>
      <c r="K63" s="78" t="s">
        <v>112</v>
      </c>
      <c r="L63" s="85">
        <v>2</v>
      </c>
      <c r="N63" s="78">
        <v>15</v>
      </c>
      <c r="O63" s="78">
        <v>0.95</v>
      </c>
      <c r="P63" s="78">
        <v>1</v>
      </c>
      <c r="Q63" s="44">
        <f t="shared" si="0"/>
        <v>0.97499999999999998</v>
      </c>
      <c r="R63" s="78">
        <v>18.100000000000001</v>
      </c>
      <c r="S63" s="78">
        <v>81</v>
      </c>
      <c r="T63" s="16">
        <f t="shared" si="1"/>
        <v>39</v>
      </c>
      <c r="U63" s="78">
        <v>798</v>
      </c>
      <c r="V63" s="64">
        <f t="shared" si="2"/>
        <v>2074.8000000000002</v>
      </c>
      <c r="W63" s="78">
        <v>23</v>
      </c>
      <c r="X63" s="60" t="s">
        <v>35</v>
      </c>
      <c r="Y63" s="78" t="s">
        <v>55</v>
      </c>
      <c r="Z63" s="78" t="s">
        <v>43</v>
      </c>
      <c r="AA63" s="78" t="s">
        <v>76</v>
      </c>
      <c r="AB63" s="43" t="s">
        <v>161</v>
      </c>
      <c r="AI63" s="48"/>
      <c r="AJ63" s="48"/>
      <c r="AK63" s="48"/>
      <c r="AL63" s="48"/>
      <c r="AM63" s="48"/>
    </row>
    <row r="64" spans="1:44" s="78" customFormat="1" x14ac:dyDescent="0.15">
      <c r="A64" s="85" t="s">
        <v>23</v>
      </c>
      <c r="B64" s="85" t="s">
        <v>160</v>
      </c>
      <c r="C64" s="85">
        <v>2020</v>
      </c>
      <c r="D64" s="45" t="s">
        <v>163</v>
      </c>
      <c r="E64" s="85" t="s">
        <v>169</v>
      </c>
      <c r="F64" s="85" t="s">
        <v>147</v>
      </c>
      <c r="G64" s="85" t="s">
        <v>25</v>
      </c>
      <c r="H64" s="85" t="s">
        <v>113</v>
      </c>
      <c r="I64" s="85" t="s">
        <v>111</v>
      </c>
      <c r="J64" s="79" t="s">
        <v>27</v>
      </c>
      <c r="K64" s="78" t="s">
        <v>112</v>
      </c>
      <c r="L64" s="85">
        <v>3</v>
      </c>
      <c r="N64" s="78">
        <v>15</v>
      </c>
      <c r="O64" s="78">
        <v>0.75</v>
      </c>
      <c r="P64" s="78">
        <v>0.65</v>
      </c>
      <c r="Q64" s="44">
        <f t="shared" si="0"/>
        <v>0.7</v>
      </c>
      <c r="R64" s="78">
        <v>16.399999999999999</v>
      </c>
      <c r="S64" s="78">
        <v>82</v>
      </c>
      <c r="T64" s="16">
        <f t="shared" si="1"/>
        <v>39</v>
      </c>
      <c r="U64" s="78">
        <v>798</v>
      </c>
      <c r="V64" s="64">
        <f t="shared" si="2"/>
        <v>2074.8000000000002</v>
      </c>
      <c r="W64" s="78">
        <v>23</v>
      </c>
      <c r="X64" s="60" t="s">
        <v>35</v>
      </c>
      <c r="Y64" s="78" t="s">
        <v>55</v>
      </c>
      <c r="Z64" s="78" t="s">
        <v>43</v>
      </c>
      <c r="AA64" s="78" t="s">
        <v>76</v>
      </c>
      <c r="AB64" s="43" t="s">
        <v>161</v>
      </c>
      <c r="AI64" s="48"/>
      <c r="AJ64" s="48"/>
      <c r="AK64" s="48"/>
      <c r="AL64" s="48"/>
      <c r="AM64" s="48"/>
    </row>
    <row r="65" spans="1:39" s="78" customFormat="1" x14ac:dyDescent="0.15">
      <c r="A65" s="85" t="s">
        <v>23</v>
      </c>
      <c r="B65" s="85" t="s">
        <v>160</v>
      </c>
      <c r="C65" s="85">
        <v>2020</v>
      </c>
      <c r="D65" s="45" t="s">
        <v>163</v>
      </c>
      <c r="E65" s="85" t="s">
        <v>169</v>
      </c>
      <c r="F65" s="85" t="s">
        <v>147</v>
      </c>
      <c r="G65" s="85" t="s">
        <v>25</v>
      </c>
      <c r="H65" s="85" t="s">
        <v>165</v>
      </c>
      <c r="I65" s="85" t="s">
        <v>111</v>
      </c>
      <c r="J65" s="79" t="s">
        <v>27</v>
      </c>
      <c r="K65" s="78" t="s">
        <v>112</v>
      </c>
      <c r="L65" s="85">
        <v>1</v>
      </c>
      <c r="N65" s="78">
        <v>4</v>
      </c>
      <c r="O65" s="78">
        <v>0.7</v>
      </c>
      <c r="P65" s="78">
        <v>0.7</v>
      </c>
      <c r="Q65" s="44">
        <f t="shared" si="0"/>
        <v>0.7</v>
      </c>
      <c r="R65" s="78">
        <v>18.3</v>
      </c>
      <c r="S65" s="78">
        <v>97</v>
      </c>
      <c r="T65" s="16">
        <f t="shared" si="1"/>
        <v>36</v>
      </c>
      <c r="U65" s="78">
        <v>398</v>
      </c>
      <c r="V65" s="64">
        <f t="shared" si="2"/>
        <v>3582</v>
      </c>
      <c r="W65" s="78">
        <v>23</v>
      </c>
      <c r="X65" s="60" t="s">
        <v>35</v>
      </c>
      <c r="Y65" s="78" t="s">
        <v>55</v>
      </c>
      <c r="Z65" s="78" t="s">
        <v>43</v>
      </c>
      <c r="AA65" s="78" t="s">
        <v>76</v>
      </c>
      <c r="AB65" s="43" t="s">
        <v>161</v>
      </c>
      <c r="AI65" s="48"/>
      <c r="AJ65" s="48"/>
      <c r="AK65" s="48"/>
      <c r="AL65" s="48"/>
      <c r="AM65" s="48"/>
    </row>
    <row r="66" spans="1:39" s="78" customFormat="1" x14ac:dyDescent="0.15">
      <c r="A66" s="85" t="s">
        <v>23</v>
      </c>
      <c r="B66" s="85" t="s">
        <v>160</v>
      </c>
      <c r="C66" s="85">
        <v>2020</v>
      </c>
      <c r="D66" s="45" t="s">
        <v>163</v>
      </c>
      <c r="E66" s="85" t="s">
        <v>169</v>
      </c>
      <c r="F66" s="85" t="s">
        <v>147</v>
      </c>
      <c r="G66" s="85" t="s">
        <v>25</v>
      </c>
      <c r="H66" s="85" t="s">
        <v>165</v>
      </c>
      <c r="I66" s="85" t="s">
        <v>111</v>
      </c>
      <c r="J66" s="79" t="s">
        <v>27</v>
      </c>
      <c r="K66" s="78" t="s">
        <v>112</v>
      </c>
      <c r="L66" s="85">
        <v>2</v>
      </c>
      <c r="N66" s="78">
        <v>4</v>
      </c>
      <c r="O66" s="78">
        <v>0.85</v>
      </c>
      <c r="P66" s="78">
        <v>0.8</v>
      </c>
      <c r="Q66" s="44">
        <f t="shared" si="0"/>
        <v>0.82499999999999996</v>
      </c>
      <c r="R66" s="78">
        <v>18.2</v>
      </c>
      <c r="S66" s="78">
        <v>103</v>
      </c>
      <c r="T66" s="16">
        <f t="shared" si="1"/>
        <v>33</v>
      </c>
      <c r="U66" s="78">
        <v>398</v>
      </c>
      <c r="V66" s="64">
        <f t="shared" si="2"/>
        <v>3283.5</v>
      </c>
      <c r="W66" s="78">
        <v>23</v>
      </c>
      <c r="X66" s="60" t="s">
        <v>35</v>
      </c>
      <c r="Y66" s="78" t="s">
        <v>55</v>
      </c>
      <c r="Z66" s="78" t="s">
        <v>43</v>
      </c>
      <c r="AA66" s="78" t="s">
        <v>76</v>
      </c>
      <c r="AB66" s="43" t="s">
        <v>161</v>
      </c>
      <c r="AI66" s="48"/>
      <c r="AJ66" s="48"/>
      <c r="AK66" s="48"/>
      <c r="AL66" s="48"/>
      <c r="AM66" s="48"/>
    </row>
    <row r="67" spans="1:39" s="78" customFormat="1" x14ac:dyDescent="0.15">
      <c r="A67" s="85" t="s">
        <v>23</v>
      </c>
      <c r="B67" s="85" t="s">
        <v>160</v>
      </c>
      <c r="C67" s="85">
        <v>2020</v>
      </c>
      <c r="D67" s="45" t="s">
        <v>163</v>
      </c>
      <c r="E67" s="85" t="s">
        <v>169</v>
      </c>
      <c r="F67" s="85" t="s">
        <v>147</v>
      </c>
      <c r="G67" s="85" t="s">
        <v>25</v>
      </c>
      <c r="H67" s="85" t="s">
        <v>165</v>
      </c>
      <c r="I67" s="85" t="s">
        <v>111</v>
      </c>
      <c r="J67" s="79" t="s">
        <v>27</v>
      </c>
      <c r="K67" s="78" t="s">
        <v>112</v>
      </c>
      <c r="L67" s="85">
        <v>3</v>
      </c>
      <c r="N67" s="78">
        <v>4</v>
      </c>
      <c r="O67" s="78">
        <v>0.75</v>
      </c>
      <c r="P67" s="78">
        <v>0.95</v>
      </c>
      <c r="Q67" s="44">
        <f t="shared" si="0"/>
        <v>0.85</v>
      </c>
      <c r="R67" s="78">
        <v>14.2</v>
      </c>
      <c r="S67" s="78">
        <v>98</v>
      </c>
      <c r="T67" s="16">
        <f t="shared" si="1"/>
        <v>36</v>
      </c>
      <c r="U67" s="78">
        <v>398</v>
      </c>
      <c r="V67" s="64">
        <f t="shared" si="2"/>
        <v>3582</v>
      </c>
      <c r="W67" s="78">
        <v>23</v>
      </c>
      <c r="X67" s="60" t="s">
        <v>35</v>
      </c>
      <c r="Y67" s="78" t="s">
        <v>55</v>
      </c>
      <c r="Z67" s="78" t="s">
        <v>43</v>
      </c>
      <c r="AA67" s="78" t="s">
        <v>76</v>
      </c>
      <c r="AB67" s="43" t="s">
        <v>161</v>
      </c>
      <c r="AI67" s="48"/>
      <c r="AJ67" s="48"/>
      <c r="AK67" s="48"/>
      <c r="AL67" s="48"/>
      <c r="AM67" s="48"/>
    </row>
    <row r="68" spans="1:39" s="78" customFormat="1" x14ac:dyDescent="0.15">
      <c r="A68" s="85" t="s">
        <v>23</v>
      </c>
      <c r="B68" s="85" t="s">
        <v>160</v>
      </c>
      <c r="C68" s="85">
        <v>2020</v>
      </c>
      <c r="D68" s="45" t="s">
        <v>163</v>
      </c>
      <c r="E68" s="85" t="s">
        <v>169</v>
      </c>
      <c r="F68" s="85" t="s">
        <v>147</v>
      </c>
      <c r="G68" s="85" t="s">
        <v>25</v>
      </c>
      <c r="H68" s="85" t="s">
        <v>167</v>
      </c>
      <c r="I68" s="85" t="s">
        <v>111</v>
      </c>
      <c r="J68" s="79" t="s">
        <v>27</v>
      </c>
      <c r="K68" s="78" t="s">
        <v>112</v>
      </c>
      <c r="L68" s="85">
        <v>1</v>
      </c>
      <c r="N68" s="78">
        <v>1</v>
      </c>
      <c r="O68" s="78">
        <v>0.65</v>
      </c>
      <c r="P68" s="78">
        <v>0.7</v>
      </c>
      <c r="Q68" s="44">
        <f t="shared" si="0"/>
        <v>0.67500000000000004</v>
      </c>
      <c r="R68" s="78">
        <v>18.2</v>
      </c>
      <c r="S68" s="78">
        <v>114</v>
      </c>
      <c r="T68" s="16">
        <f t="shared" si="1"/>
        <v>30</v>
      </c>
      <c r="U68" s="78">
        <v>98</v>
      </c>
      <c r="V68" s="64">
        <f t="shared" si="2"/>
        <v>2940</v>
      </c>
      <c r="W68" s="78">
        <v>23</v>
      </c>
      <c r="X68" s="60" t="s">
        <v>35</v>
      </c>
      <c r="Y68" s="78" t="s">
        <v>55</v>
      </c>
      <c r="Z68" s="78" t="s">
        <v>43</v>
      </c>
      <c r="AA68" s="78" t="s">
        <v>76</v>
      </c>
      <c r="AB68" s="43" t="s">
        <v>161</v>
      </c>
      <c r="AI68" s="48"/>
      <c r="AJ68" s="48"/>
      <c r="AK68" s="48"/>
      <c r="AL68" s="48"/>
      <c r="AM68" s="48"/>
    </row>
    <row r="69" spans="1:39" s="78" customFormat="1" x14ac:dyDescent="0.15">
      <c r="A69" s="85" t="s">
        <v>23</v>
      </c>
      <c r="B69" s="85" t="s">
        <v>160</v>
      </c>
      <c r="C69" s="85">
        <v>2020</v>
      </c>
      <c r="D69" s="45" t="s">
        <v>163</v>
      </c>
      <c r="E69" s="85" t="s">
        <v>169</v>
      </c>
      <c r="F69" s="85" t="s">
        <v>147</v>
      </c>
      <c r="G69" s="85" t="s">
        <v>25</v>
      </c>
      <c r="H69" s="85" t="s">
        <v>167</v>
      </c>
      <c r="I69" s="85" t="s">
        <v>111</v>
      </c>
      <c r="J69" s="79" t="s">
        <v>27</v>
      </c>
      <c r="K69" s="78" t="s">
        <v>112</v>
      </c>
      <c r="L69" s="85">
        <v>2</v>
      </c>
      <c r="N69" s="78">
        <v>1</v>
      </c>
      <c r="O69" s="78">
        <v>0.8</v>
      </c>
      <c r="P69" s="78">
        <v>0.6</v>
      </c>
      <c r="Q69" s="44">
        <f t="shared" si="0"/>
        <v>0.7</v>
      </c>
      <c r="R69" s="78">
        <v>17.600000000000001</v>
      </c>
      <c r="S69" s="78">
        <v>112</v>
      </c>
      <c r="T69" s="16">
        <f t="shared" si="1"/>
        <v>33</v>
      </c>
      <c r="U69" s="78">
        <v>98</v>
      </c>
      <c r="V69" s="64">
        <f t="shared" si="2"/>
        <v>3234</v>
      </c>
      <c r="W69" s="78">
        <v>23</v>
      </c>
      <c r="X69" s="60" t="s">
        <v>35</v>
      </c>
      <c r="Y69" s="78" t="s">
        <v>55</v>
      </c>
      <c r="Z69" s="78" t="s">
        <v>43</v>
      </c>
      <c r="AA69" s="78" t="s">
        <v>76</v>
      </c>
      <c r="AB69" s="43" t="s">
        <v>161</v>
      </c>
      <c r="AI69" s="48"/>
      <c r="AJ69" s="48"/>
      <c r="AK69" s="48"/>
      <c r="AL69" s="48"/>
      <c r="AM69" s="48"/>
    </row>
    <row r="70" spans="1:39" s="78" customFormat="1" x14ac:dyDescent="0.15">
      <c r="A70" s="85" t="s">
        <v>23</v>
      </c>
      <c r="B70" s="85" t="s">
        <v>160</v>
      </c>
      <c r="C70" s="85">
        <v>2020</v>
      </c>
      <c r="D70" s="45" t="s">
        <v>163</v>
      </c>
      <c r="E70" s="85" t="s">
        <v>169</v>
      </c>
      <c r="F70" s="85" t="s">
        <v>147</v>
      </c>
      <c r="G70" s="85" t="s">
        <v>25</v>
      </c>
      <c r="H70" s="85" t="s">
        <v>167</v>
      </c>
      <c r="I70" s="85" t="s">
        <v>111</v>
      </c>
      <c r="J70" s="79" t="s">
        <v>27</v>
      </c>
      <c r="K70" s="78" t="s">
        <v>112</v>
      </c>
      <c r="L70" s="85">
        <v>3</v>
      </c>
      <c r="N70" s="78">
        <v>1</v>
      </c>
      <c r="O70" s="78">
        <v>0.75</v>
      </c>
      <c r="P70" s="78">
        <v>0.65</v>
      </c>
      <c r="Q70" s="44">
        <f t="shared" si="0"/>
        <v>0.7</v>
      </c>
      <c r="R70" s="78">
        <v>18.100000000000001</v>
      </c>
      <c r="S70" s="78">
        <v>110</v>
      </c>
      <c r="T70" s="16">
        <f t="shared" si="1"/>
        <v>33</v>
      </c>
      <c r="U70" s="78">
        <v>98</v>
      </c>
      <c r="V70" s="64">
        <f t="shared" si="2"/>
        <v>3234</v>
      </c>
      <c r="W70" s="78">
        <v>23</v>
      </c>
      <c r="X70" s="60" t="s">
        <v>35</v>
      </c>
      <c r="Y70" s="78" t="s">
        <v>55</v>
      </c>
      <c r="Z70" s="78" t="s">
        <v>43</v>
      </c>
      <c r="AA70" s="78" t="s">
        <v>76</v>
      </c>
      <c r="AB70" s="43" t="s">
        <v>161</v>
      </c>
      <c r="AI70" s="48"/>
      <c r="AJ70" s="48"/>
      <c r="AK70" s="48"/>
      <c r="AL70" s="48"/>
      <c r="AM70" s="48"/>
    </row>
    <row r="71" spans="1:39" s="78" customFormat="1" x14ac:dyDescent="0.15">
      <c r="A71" s="85" t="s">
        <v>23</v>
      </c>
      <c r="B71" s="85" t="s">
        <v>160</v>
      </c>
      <c r="C71" s="85">
        <v>2020</v>
      </c>
      <c r="D71" s="45" t="s">
        <v>163</v>
      </c>
      <c r="E71" s="85" t="s">
        <v>169</v>
      </c>
      <c r="F71" s="85" t="s">
        <v>147</v>
      </c>
      <c r="G71" s="85" t="s">
        <v>25</v>
      </c>
      <c r="H71" s="85" t="s">
        <v>167</v>
      </c>
      <c r="I71" s="85" t="s">
        <v>111</v>
      </c>
      <c r="J71" s="79" t="s">
        <v>27</v>
      </c>
      <c r="K71" s="78" t="s">
        <v>112</v>
      </c>
      <c r="L71" s="85">
        <v>1</v>
      </c>
      <c r="N71" s="78">
        <v>4</v>
      </c>
      <c r="O71" s="78">
        <v>0.8</v>
      </c>
      <c r="P71" s="78">
        <v>0.8</v>
      </c>
      <c r="Q71" s="44">
        <f t="shared" si="0"/>
        <v>0.8</v>
      </c>
      <c r="R71" s="78">
        <v>13.8</v>
      </c>
      <c r="S71" s="78">
        <v>97</v>
      </c>
      <c r="T71" s="16">
        <f t="shared" si="1"/>
        <v>36</v>
      </c>
      <c r="U71" s="78">
        <v>498</v>
      </c>
      <c r="V71" s="64">
        <f t="shared" si="2"/>
        <v>4482</v>
      </c>
      <c r="W71" s="78">
        <v>23</v>
      </c>
      <c r="X71" s="60" t="s">
        <v>35</v>
      </c>
      <c r="Y71" s="78" t="s">
        <v>55</v>
      </c>
      <c r="Z71" s="78" t="s">
        <v>43</v>
      </c>
      <c r="AA71" s="78" t="s">
        <v>76</v>
      </c>
      <c r="AB71" s="43" t="s">
        <v>161</v>
      </c>
      <c r="AI71" s="48"/>
      <c r="AJ71" s="48"/>
      <c r="AK71" s="48"/>
      <c r="AL71" s="48"/>
      <c r="AM71" s="48"/>
    </row>
    <row r="72" spans="1:39" s="78" customFormat="1" x14ac:dyDescent="0.15">
      <c r="A72" s="85" t="s">
        <v>23</v>
      </c>
      <c r="B72" s="85" t="s">
        <v>160</v>
      </c>
      <c r="C72" s="85">
        <v>2020</v>
      </c>
      <c r="D72" s="45" t="s">
        <v>163</v>
      </c>
      <c r="E72" s="85" t="s">
        <v>169</v>
      </c>
      <c r="F72" s="85" t="s">
        <v>147</v>
      </c>
      <c r="G72" s="85" t="s">
        <v>25</v>
      </c>
      <c r="H72" s="85" t="s">
        <v>167</v>
      </c>
      <c r="I72" s="85" t="s">
        <v>111</v>
      </c>
      <c r="J72" s="79" t="s">
        <v>27</v>
      </c>
      <c r="K72" s="78" t="s">
        <v>112</v>
      </c>
      <c r="L72" s="85">
        <v>2</v>
      </c>
      <c r="N72" s="78">
        <v>4</v>
      </c>
      <c r="O72" s="78">
        <v>0.75</v>
      </c>
      <c r="P72" s="78">
        <v>0.8</v>
      </c>
      <c r="Q72" s="44">
        <f t="shared" si="0"/>
        <v>0.77500000000000002</v>
      </c>
      <c r="R72" s="78">
        <v>14</v>
      </c>
      <c r="S72" s="78">
        <v>104</v>
      </c>
      <c r="T72" s="16">
        <f t="shared" si="1"/>
        <v>33</v>
      </c>
      <c r="U72" s="78">
        <v>498</v>
      </c>
      <c r="V72" s="64">
        <f t="shared" si="2"/>
        <v>4108.5</v>
      </c>
      <c r="W72" s="78">
        <v>23</v>
      </c>
      <c r="X72" s="60" t="s">
        <v>35</v>
      </c>
      <c r="Y72" s="78" t="s">
        <v>55</v>
      </c>
      <c r="Z72" s="78" t="s">
        <v>43</v>
      </c>
      <c r="AA72" s="78" t="s">
        <v>76</v>
      </c>
      <c r="AB72" s="43" t="s">
        <v>161</v>
      </c>
      <c r="AI72" s="48"/>
      <c r="AJ72" s="48"/>
      <c r="AK72" s="48"/>
      <c r="AL72" s="48"/>
      <c r="AM72" s="48"/>
    </row>
    <row r="73" spans="1:39" s="78" customFormat="1" x14ac:dyDescent="0.15">
      <c r="A73" s="85" t="s">
        <v>23</v>
      </c>
      <c r="B73" s="85" t="s">
        <v>160</v>
      </c>
      <c r="C73" s="85">
        <v>2020</v>
      </c>
      <c r="D73" s="45" t="s">
        <v>163</v>
      </c>
      <c r="E73" s="85" t="s">
        <v>169</v>
      </c>
      <c r="F73" s="85" t="s">
        <v>147</v>
      </c>
      <c r="G73" s="85" t="s">
        <v>25</v>
      </c>
      <c r="H73" s="85" t="s">
        <v>167</v>
      </c>
      <c r="I73" s="85" t="s">
        <v>111</v>
      </c>
      <c r="J73" s="79" t="s">
        <v>27</v>
      </c>
      <c r="K73" s="78" t="s">
        <v>112</v>
      </c>
      <c r="L73" s="85">
        <v>3</v>
      </c>
      <c r="N73" s="78">
        <v>4</v>
      </c>
      <c r="O73" s="78">
        <v>0.85</v>
      </c>
      <c r="P73" s="78">
        <v>0.85</v>
      </c>
      <c r="Q73" s="44">
        <f t="shared" si="0"/>
        <v>0.85</v>
      </c>
      <c r="R73" s="78">
        <v>15.5</v>
      </c>
      <c r="S73" s="78">
        <v>98</v>
      </c>
      <c r="T73" s="16">
        <f t="shared" si="1"/>
        <v>36</v>
      </c>
      <c r="U73" s="78">
        <v>498</v>
      </c>
      <c r="V73" s="64">
        <f t="shared" si="2"/>
        <v>4482</v>
      </c>
      <c r="W73" s="78">
        <v>23</v>
      </c>
      <c r="X73" s="60" t="s">
        <v>35</v>
      </c>
      <c r="Y73" s="78" t="s">
        <v>55</v>
      </c>
      <c r="Z73" s="78" t="s">
        <v>43</v>
      </c>
      <c r="AA73" s="78" t="s">
        <v>76</v>
      </c>
      <c r="AB73" s="43" t="s">
        <v>161</v>
      </c>
      <c r="AI73" s="48"/>
      <c r="AJ73" s="48"/>
      <c r="AK73" s="48"/>
      <c r="AL73" s="48"/>
      <c r="AM73" s="48"/>
    </row>
    <row r="74" spans="1:39" s="78" customFormat="1" x14ac:dyDescent="0.15">
      <c r="A74" s="85" t="s">
        <v>23</v>
      </c>
      <c r="B74" s="85" t="s">
        <v>160</v>
      </c>
      <c r="C74" s="85">
        <v>2020</v>
      </c>
      <c r="D74" s="45" t="s">
        <v>163</v>
      </c>
      <c r="E74" s="85" t="s">
        <v>169</v>
      </c>
      <c r="F74" s="85" t="s">
        <v>147</v>
      </c>
      <c r="G74" s="85" t="s">
        <v>25</v>
      </c>
      <c r="H74" s="85" t="s">
        <v>167</v>
      </c>
      <c r="I74" s="85" t="s">
        <v>111</v>
      </c>
      <c r="J74" s="79" t="s">
        <v>27</v>
      </c>
      <c r="K74" s="78" t="s">
        <v>112</v>
      </c>
      <c r="L74" s="85">
        <v>1</v>
      </c>
      <c r="N74" s="78">
        <v>8</v>
      </c>
      <c r="O74" s="78">
        <v>0.55000000000000004</v>
      </c>
      <c r="P74" s="78">
        <v>0.7</v>
      </c>
      <c r="Q74" s="44">
        <f t="shared" si="0"/>
        <v>0.625</v>
      </c>
      <c r="R74" s="78">
        <v>16.8</v>
      </c>
      <c r="S74" s="78">
        <v>103</v>
      </c>
      <c r="T74" s="16">
        <f t="shared" si="1"/>
        <v>33</v>
      </c>
      <c r="U74" s="78">
        <v>798</v>
      </c>
      <c r="V74" s="64">
        <f t="shared" si="2"/>
        <v>3291.75</v>
      </c>
      <c r="W74" s="78">
        <v>23</v>
      </c>
      <c r="X74" s="60" t="s">
        <v>35</v>
      </c>
      <c r="Y74" s="78" t="s">
        <v>55</v>
      </c>
      <c r="Z74" s="78" t="s">
        <v>43</v>
      </c>
      <c r="AA74" s="78" t="s">
        <v>76</v>
      </c>
      <c r="AB74" s="43" t="s">
        <v>161</v>
      </c>
      <c r="AI74" s="48"/>
      <c r="AJ74" s="48"/>
      <c r="AK74" s="48"/>
      <c r="AL74" s="48"/>
      <c r="AM74" s="48"/>
    </row>
    <row r="75" spans="1:39" s="78" customFormat="1" x14ac:dyDescent="0.15">
      <c r="A75" s="85" t="s">
        <v>23</v>
      </c>
      <c r="B75" s="85" t="s">
        <v>160</v>
      </c>
      <c r="C75" s="85">
        <v>2020</v>
      </c>
      <c r="D75" s="45" t="s">
        <v>163</v>
      </c>
      <c r="E75" s="85" t="s">
        <v>169</v>
      </c>
      <c r="F75" s="85" t="s">
        <v>147</v>
      </c>
      <c r="G75" s="85" t="s">
        <v>25</v>
      </c>
      <c r="H75" s="85" t="s">
        <v>167</v>
      </c>
      <c r="I75" s="85" t="s">
        <v>111</v>
      </c>
      <c r="J75" s="79" t="s">
        <v>27</v>
      </c>
      <c r="K75" s="78" t="s">
        <v>112</v>
      </c>
      <c r="L75" s="85">
        <v>2</v>
      </c>
      <c r="N75" s="78">
        <v>8</v>
      </c>
      <c r="O75" s="78">
        <v>0.8</v>
      </c>
      <c r="P75" s="78">
        <v>0.85</v>
      </c>
      <c r="Q75" s="44">
        <f t="shared" si="0"/>
        <v>0.82499999999999996</v>
      </c>
      <c r="R75" s="78">
        <v>17</v>
      </c>
      <c r="S75" s="78">
        <v>96</v>
      </c>
      <c r="T75" s="16">
        <f t="shared" si="1"/>
        <v>36</v>
      </c>
      <c r="U75" s="78">
        <v>798</v>
      </c>
      <c r="V75" s="64">
        <f t="shared" si="2"/>
        <v>3591</v>
      </c>
      <c r="W75" s="78">
        <v>23</v>
      </c>
      <c r="X75" s="60" t="s">
        <v>35</v>
      </c>
      <c r="Y75" s="78" t="s">
        <v>55</v>
      </c>
      <c r="Z75" s="78" t="s">
        <v>43</v>
      </c>
      <c r="AA75" s="78" t="s">
        <v>76</v>
      </c>
      <c r="AB75" s="43" t="s">
        <v>161</v>
      </c>
      <c r="AI75" s="48"/>
      <c r="AJ75" s="48"/>
      <c r="AK75" s="48"/>
      <c r="AL75" s="48"/>
      <c r="AM75" s="48"/>
    </row>
    <row r="76" spans="1:39" s="78" customFormat="1" x14ac:dyDescent="0.15">
      <c r="A76" s="85" t="s">
        <v>23</v>
      </c>
      <c r="B76" s="85" t="s">
        <v>160</v>
      </c>
      <c r="C76" s="85">
        <v>2020</v>
      </c>
      <c r="D76" s="45" t="s">
        <v>163</v>
      </c>
      <c r="E76" s="85" t="s">
        <v>169</v>
      </c>
      <c r="F76" s="85" t="s">
        <v>147</v>
      </c>
      <c r="G76" s="85" t="s">
        <v>25</v>
      </c>
      <c r="H76" s="85" t="s">
        <v>167</v>
      </c>
      <c r="I76" s="85" t="s">
        <v>111</v>
      </c>
      <c r="J76" s="79" t="s">
        <v>27</v>
      </c>
      <c r="K76" s="78" t="s">
        <v>112</v>
      </c>
      <c r="L76" s="85">
        <v>3</v>
      </c>
      <c r="N76" s="78">
        <v>8</v>
      </c>
      <c r="O76" s="78">
        <v>0.5</v>
      </c>
      <c r="P76" s="78">
        <v>0.75</v>
      </c>
      <c r="Q76" s="44">
        <f t="shared" si="0"/>
        <v>0.625</v>
      </c>
      <c r="R76" s="78">
        <v>16.2</v>
      </c>
      <c r="S76" s="78">
        <v>99</v>
      </c>
      <c r="T76" s="16">
        <f t="shared" si="1"/>
        <v>33</v>
      </c>
      <c r="U76" s="78">
        <v>798</v>
      </c>
      <c r="V76" s="64">
        <f t="shared" si="2"/>
        <v>3291.75</v>
      </c>
      <c r="W76" s="78">
        <v>23</v>
      </c>
      <c r="X76" s="60" t="s">
        <v>35</v>
      </c>
      <c r="Y76" s="78" t="s">
        <v>55</v>
      </c>
      <c r="Z76" s="78" t="s">
        <v>43</v>
      </c>
      <c r="AA76" s="78" t="s">
        <v>76</v>
      </c>
      <c r="AB76" s="43" t="s">
        <v>161</v>
      </c>
      <c r="AI76" s="48"/>
      <c r="AJ76" s="48"/>
      <c r="AK76" s="48"/>
      <c r="AL76" s="48"/>
      <c r="AM76" s="48"/>
    </row>
    <row r="77" spans="1:39" s="78" customFormat="1" x14ac:dyDescent="0.15">
      <c r="A77" s="85" t="s">
        <v>23</v>
      </c>
      <c r="B77" s="85" t="s">
        <v>160</v>
      </c>
      <c r="C77" s="85">
        <v>2020</v>
      </c>
      <c r="D77" s="45" t="s">
        <v>163</v>
      </c>
      <c r="E77" s="85" t="s">
        <v>169</v>
      </c>
      <c r="F77" s="85" t="s">
        <v>147</v>
      </c>
      <c r="G77" s="85" t="s">
        <v>25</v>
      </c>
      <c r="H77" s="85" t="s">
        <v>113</v>
      </c>
      <c r="I77" s="85" t="s">
        <v>166</v>
      </c>
      <c r="J77" s="79" t="s">
        <v>27</v>
      </c>
      <c r="K77" s="78" t="s">
        <v>112</v>
      </c>
      <c r="L77" s="85">
        <v>1</v>
      </c>
      <c r="N77" s="78">
        <v>4</v>
      </c>
      <c r="O77" s="78">
        <v>0.6</v>
      </c>
      <c r="P77" s="78">
        <v>0.65</v>
      </c>
      <c r="Q77" s="44">
        <f t="shared" si="0"/>
        <v>0.625</v>
      </c>
      <c r="R77" s="78">
        <v>13.5</v>
      </c>
      <c r="S77" s="78">
        <v>87</v>
      </c>
      <c r="T77" s="16">
        <f t="shared" si="1"/>
        <v>36</v>
      </c>
      <c r="U77" s="78">
        <v>398</v>
      </c>
      <c r="V77" s="64">
        <f t="shared" si="2"/>
        <v>3582</v>
      </c>
      <c r="W77" s="78">
        <v>23</v>
      </c>
      <c r="X77" s="60" t="s">
        <v>35</v>
      </c>
      <c r="Y77" s="78" t="s">
        <v>55</v>
      </c>
      <c r="Z77" s="78" t="s">
        <v>43</v>
      </c>
      <c r="AA77" s="78" t="s">
        <v>76</v>
      </c>
      <c r="AB77" s="43" t="s">
        <v>161</v>
      </c>
      <c r="AI77" s="48"/>
      <c r="AJ77" s="48"/>
      <c r="AK77" s="48"/>
      <c r="AL77" s="48"/>
      <c r="AM77" s="48"/>
    </row>
    <row r="78" spans="1:39" s="78" customFormat="1" x14ac:dyDescent="0.15">
      <c r="A78" s="85" t="s">
        <v>23</v>
      </c>
      <c r="B78" s="85" t="s">
        <v>160</v>
      </c>
      <c r="C78" s="85">
        <v>2020</v>
      </c>
      <c r="D78" s="45" t="s">
        <v>163</v>
      </c>
      <c r="E78" s="85" t="s">
        <v>169</v>
      </c>
      <c r="F78" s="85" t="s">
        <v>147</v>
      </c>
      <c r="G78" s="85" t="s">
        <v>25</v>
      </c>
      <c r="H78" s="85" t="s">
        <v>113</v>
      </c>
      <c r="I78" s="85" t="s">
        <v>166</v>
      </c>
      <c r="J78" s="79" t="s">
        <v>27</v>
      </c>
      <c r="K78" s="78" t="s">
        <v>112</v>
      </c>
      <c r="L78" s="85">
        <v>2</v>
      </c>
      <c r="N78" s="78">
        <v>4</v>
      </c>
      <c r="O78" s="78">
        <v>0.6</v>
      </c>
      <c r="P78" s="78">
        <v>0.75</v>
      </c>
      <c r="Q78" s="44">
        <f t="shared" si="0"/>
        <v>0.67500000000000004</v>
      </c>
      <c r="R78" s="78">
        <v>13.5</v>
      </c>
      <c r="S78" s="78">
        <v>93</v>
      </c>
      <c r="T78" s="16">
        <f t="shared" si="1"/>
        <v>36</v>
      </c>
      <c r="U78" s="78">
        <v>398</v>
      </c>
      <c r="V78" s="64">
        <f t="shared" si="2"/>
        <v>3582</v>
      </c>
      <c r="W78" s="78">
        <v>23</v>
      </c>
      <c r="X78" s="60" t="s">
        <v>35</v>
      </c>
      <c r="Y78" s="78" t="s">
        <v>55</v>
      </c>
      <c r="Z78" s="78" t="s">
        <v>43</v>
      </c>
      <c r="AA78" s="78" t="s">
        <v>76</v>
      </c>
      <c r="AB78" s="43" t="s">
        <v>161</v>
      </c>
      <c r="AI78" s="48"/>
      <c r="AJ78" s="48"/>
      <c r="AK78" s="48"/>
      <c r="AL78" s="48"/>
      <c r="AM78" s="48"/>
    </row>
    <row r="79" spans="1:39" s="78" customFormat="1" x14ac:dyDescent="0.15">
      <c r="A79" s="85" t="s">
        <v>23</v>
      </c>
      <c r="B79" s="85" t="s">
        <v>160</v>
      </c>
      <c r="C79" s="85">
        <v>2020</v>
      </c>
      <c r="D79" s="45" t="s">
        <v>163</v>
      </c>
      <c r="E79" s="85" t="s">
        <v>169</v>
      </c>
      <c r="F79" s="85" t="s">
        <v>147</v>
      </c>
      <c r="G79" s="85" t="s">
        <v>25</v>
      </c>
      <c r="H79" s="85" t="s">
        <v>113</v>
      </c>
      <c r="I79" s="85" t="s">
        <v>166</v>
      </c>
      <c r="J79" s="79" t="s">
        <v>27</v>
      </c>
      <c r="K79" s="78" t="s">
        <v>112</v>
      </c>
      <c r="L79" s="85">
        <v>3</v>
      </c>
      <c r="N79" s="78">
        <v>4</v>
      </c>
      <c r="O79" s="78">
        <v>0.7</v>
      </c>
      <c r="P79" s="78">
        <v>0.7</v>
      </c>
      <c r="Q79" s="44">
        <f t="shared" si="0"/>
        <v>0.7</v>
      </c>
      <c r="R79" s="78">
        <v>13.7</v>
      </c>
      <c r="S79" s="78">
        <v>93</v>
      </c>
      <c r="T79" s="16">
        <f t="shared" si="1"/>
        <v>36</v>
      </c>
      <c r="U79" s="78">
        <v>398</v>
      </c>
      <c r="V79" s="64">
        <f t="shared" si="2"/>
        <v>3582</v>
      </c>
      <c r="W79" s="78">
        <v>23</v>
      </c>
      <c r="X79" s="60" t="s">
        <v>35</v>
      </c>
      <c r="Y79" s="78" t="s">
        <v>55</v>
      </c>
      <c r="Z79" s="78" t="s">
        <v>43</v>
      </c>
      <c r="AA79" s="78" t="s">
        <v>76</v>
      </c>
      <c r="AB79" s="43" t="s">
        <v>161</v>
      </c>
      <c r="AI79" s="48"/>
      <c r="AJ79" s="48"/>
      <c r="AK79" s="48"/>
      <c r="AL79" s="48"/>
      <c r="AM79" s="48"/>
    </row>
    <row r="80" spans="1:39" s="78" customFormat="1" x14ac:dyDescent="0.15">
      <c r="A80" s="85" t="s">
        <v>23</v>
      </c>
      <c r="B80" s="85" t="s">
        <v>160</v>
      </c>
      <c r="C80" s="85">
        <v>2020</v>
      </c>
      <c r="D80" s="45" t="s">
        <v>163</v>
      </c>
      <c r="E80" s="85" t="s">
        <v>169</v>
      </c>
      <c r="F80" s="85" t="s">
        <v>147</v>
      </c>
      <c r="G80" s="85" t="s">
        <v>25</v>
      </c>
      <c r="H80" s="85" t="s">
        <v>167</v>
      </c>
      <c r="I80" s="85" t="s">
        <v>166</v>
      </c>
      <c r="J80" s="79" t="s">
        <v>27</v>
      </c>
      <c r="K80" s="78" t="s">
        <v>112</v>
      </c>
      <c r="L80" s="85">
        <v>1</v>
      </c>
      <c r="N80" s="78">
        <v>4</v>
      </c>
      <c r="O80" s="78">
        <v>0.6</v>
      </c>
      <c r="P80" s="78">
        <v>0.75</v>
      </c>
      <c r="Q80" s="44">
        <f t="shared" si="0"/>
        <v>0.67500000000000004</v>
      </c>
      <c r="R80" s="78">
        <v>13.8</v>
      </c>
      <c r="S80" s="78">
        <v>103</v>
      </c>
      <c r="T80" s="16">
        <f t="shared" si="1"/>
        <v>33</v>
      </c>
      <c r="U80" s="78">
        <v>598</v>
      </c>
      <c r="V80" s="64">
        <f t="shared" si="2"/>
        <v>4933.5</v>
      </c>
      <c r="W80" s="78">
        <v>23</v>
      </c>
      <c r="X80" s="60" t="s">
        <v>35</v>
      </c>
      <c r="Y80" s="78" t="s">
        <v>55</v>
      </c>
      <c r="Z80" s="78" t="s">
        <v>43</v>
      </c>
      <c r="AA80" s="78" t="s">
        <v>76</v>
      </c>
      <c r="AB80" s="43" t="s">
        <v>161</v>
      </c>
      <c r="AI80" s="48"/>
      <c r="AJ80" s="48"/>
      <c r="AK80" s="48"/>
      <c r="AL80" s="48"/>
      <c r="AM80" s="48"/>
    </row>
    <row r="81" spans="1:39" s="78" customFormat="1" x14ac:dyDescent="0.15">
      <c r="A81" s="85" t="s">
        <v>23</v>
      </c>
      <c r="B81" s="85" t="s">
        <v>160</v>
      </c>
      <c r="C81" s="85">
        <v>2020</v>
      </c>
      <c r="D81" s="45" t="s">
        <v>163</v>
      </c>
      <c r="E81" s="85" t="s">
        <v>169</v>
      </c>
      <c r="F81" s="85" t="s">
        <v>147</v>
      </c>
      <c r="G81" s="85" t="s">
        <v>25</v>
      </c>
      <c r="H81" s="85" t="s">
        <v>167</v>
      </c>
      <c r="I81" s="85" t="s">
        <v>166</v>
      </c>
      <c r="J81" s="79" t="s">
        <v>27</v>
      </c>
      <c r="K81" s="78" t="s">
        <v>112</v>
      </c>
      <c r="L81" s="85">
        <v>2</v>
      </c>
      <c r="N81" s="78">
        <v>4</v>
      </c>
      <c r="O81" s="78">
        <v>0.65</v>
      </c>
      <c r="P81" s="78">
        <v>0.8</v>
      </c>
      <c r="Q81" s="44">
        <f t="shared" si="0"/>
        <v>0.72500000000000009</v>
      </c>
      <c r="R81" s="78">
        <v>15.2</v>
      </c>
      <c r="S81" s="78">
        <v>104</v>
      </c>
      <c r="T81" s="16">
        <f t="shared" si="1"/>
        <v>33</v>
      </c>
      <c r="U81" s="78">
        <v>598</v>
      </c>
      <c r="V81" s="64">
        <f t="shared" si="2"/>
        <v>4933.5</v>
      </c>
      <c r="W81" s="78">
        <v>23</v>
      </c>
      <c r="X81" s="60" t="s">
        <v>35</v>
      </c>
      <c r="Y81" s="78" t="s">
        <v>55</v>
      </c>
      <c r="Z81" s="78" t="s">
        <v>43</v>
      </c>
      <c r="AA81" s="78" t="s">
        <v>76</v>
      </c>
      <c r="AB81" s="43" t="s">
        <v>161</v>
      </c>
      <c r="AI81" s="48"/>
      <c r="AJ81" s="48"/>
      <c r="AK81" s="48"/>
      <c r="AL81" s="48"/>
      <c r="AM81" s="48"/>
    </row>
    <row r="82" spans="1:39" s="78" customFormat="1" x14ac:dyDescent="0.15">
      <c r="A82" s="85" t="s">
        <v>23</v>
      </c>
      <c r="B82" s="85" t="s">
        <v>160</v>
      </c>
      <c r="C82" s="85">
        <v>2020</v>
      </c>
      <c r="D82" s="45" t="s">
        <v>163</v>
      </c>
      <c r="E82" s="85" t="s">
        <v>169</v>
      </c>
      <c r="F82" s="85" t="s">
        <v>147</v>
      </c>
      <c r="G82" s="85" t="s">
        <v>25</v>
      </c>
      <c r="H82" s="85" t="s">
        <v>167</v>
      </c>
      <c r="I82" s="85" t="s">
        <v>166</v>
      </c>
      <c r="J82" s="79" t="s">
        <v>27</v>
      </c>
      <c r="K82" s="78" t="s">
        <v>112</v>
      </c>
      <c r="L82" s="85">
        <v>3</v>
      </c>
      <c r="N82" s="78">
        <v>4</v>
      </c>
      <c r="O82" s="78">
        <v>0.7</v>
      </c>
      <c r="P82" s="78">
        <v>0.75</v>
      </c>
      <c r="Q82" s="44">
        <f t="shared" si="0"/>
        <v>0.72499999999999998</v>
      </c>
      <c r="R82" s="78">
        <v>14.6</v>
      </c>
      <c r="S82" s="78">
        <v>104</v>
      </c>
      <c r="T82" s="16">
        <f t="shared" si="1"/>
        <v>33</v>
      </c>
      <c r="U82" s="78">
        <v>598</v>
      </c>
      <c r="V82" s="64">
        <f t="shared" si="2"/>
        <v>4933.5</v>
      </c>
      <c r="W82" s="78">
        <v>23</v>
      </c>
      <c r="X82" s="60" t="s">
        <v>35</v>
      </c>
      <c r="Y82" s="78" t="s">
        <v>55</v>
      </c>
      <c r="Z82" s="78" t="s">
        <v>43</v>
      </c>
      <c r="AA82" s="78" t="s">
        <v>76</v>
      </c>
      <c r="AB82" s="43" t="s">
        <v>161</v>
      </c>
      <c r="AI82" s="48"/>
      <c r="AJ82" s="48"/>
      <c r="AK82" s="48"/>
      <c r="AL82" s="48"/>
      <c r="AM82" s="48"/>
    </row>
    <row r="83" spans="1:39" s="78" customFormat="1" x14ac:dyDescent="0.15">
      <c r="A83" s="85" t="s">
        <v>23</v>
      </c>
      <c r="B83" s="85" t="s">
        <v>160</v>
      </c>
      <c r="C83" s="85">
        <v>2020</v>
      </c>
      <c r="D83" s="45" t="s">
        <v>163</v>
      </c>
      <c r="E83" s="85" t="s">
        <v>170</v>
      </c>
      <c r="F83" s="85" t="s">
        <v>143</v>
      </c>
      <c r="G83" s="85" t="s">
        <v>25</v>
      </c>
      <c r="H83" s="85" t="s">
        <v>113</v>
      </c>
      <c r="I83" s="85" t="s">
        <v>111</v>
      </c>
      <c r="J83" s="79" t="s">
        <v>27</v>
      </c>
      <c r="K83" s="78" t="s">
        <v>112</v>
      </c>
      <c r="L83" s="85">
        <v>1</v>
      </c>
      <c r="N83" s="78">
        <v>1</v>
      </c>
      <c r="O83" s="78">
        <v>0.2</v>
      </c>
      <c r="P83" s="78">
        <v>0.35</v>
      </c>
      <c r="Q83" s="44">
        <f t="shared" si="0"/>
        <v>0.27500000000000002</v>
      </c>
      <c r="R83" s="78">
        <v>15.8</v>
      </c>
      <c r="S83" s="78">
        <v>121</v>
      </c>
      <c r="T83" s="16">
        <f t="shared" si="1"/>
        <v>30</v>
      </c>
      <c r="U83" s="78">
        <v>75</v>
      </c>
      <c r="V83" s="64">
        <f t="shared" si="2"/>
        <v>2250</v>
      </c>
      <c r="W83" s="78">
        <v>12</v>
      </c>
      <c r="X83" s="60" t="s">
        <v>35</v>
      </c>
      <c r="Y83" s="78" t="s">
        <v>43</v>
      </c>
      <c r="Z83" s="78" t="s">
        <v>55</v>
      </c>
      <c r="AA83" s="78" t="s">
        <v>72</v>
      </c>
      <c r="AB83" s="43" t="s">
        <v>161</v>
      </c>
      <c r="AI83" s="48"/>
      <c r="AJ83" s="48"/>
      <c r="AK83" s="48"/>
      <c r="AL83" s="48"/>
      <c r="AM83" s="48"/>
    </row>
    <row r="84" spans="1:39" s="78" customFormat="1" x14ac:dyDescent="0.15">
      <c r="A84" s="85" t="s">
        <v>23</v>
      </c>
      <c r="B84" s="85" t="s">
        <v>160</v>
      </c>
      <c r="C84" s="85">
        <v>2020</v>
      </c>
      <c r="D84" s="45" t="s">
        <v>163</v>
      </c>
      <c r="E84" s="85" t="s">
        <v>170</v>
      </c>
      <c r="F84" s="85" t="s">
        <v>143</v>
      </c>
      <c r="G84" s="85" t="s">
        <v>25</v>
      </c>
      <c r="H84" s="85" t="s">
        <v>113</v>
      </c>
      <c r="I84" s="85" t="s">
        <v>111</v>
      </c>
      <c r="J84" s="79" t="s">
        <v>27</v>
      </c>
      <c r="K84" s="78" t="s">
        <v>112</v>
      </c>
      <c r="L84" s="85">
        <v>2</v>
      </c>
      <c r="N84" s="78">
        <v>1</v>
      </c>
      <c r="O84" s="78">
        <v>0.45</v>
      </c>
      <c r="P84" s="78">
        <v>0.45</v>
      </c>
      <c r="Q84" s="44">
        <f t="shared" si="0"/>
        <v>0.45</v>
      </c>
      <c r="R84" s="78">
        <v>16.2</v>
      </c>
      <c r="S84" s="78">
        <v>130</v>
      </c>
      <c r="T84" s="16">
        <f t="shared" si="1"/>
        <v>30</v>
      </c>
      <c r="U84" s="78">
        <v>75</v>
      </c>
      <c r="V84" s="64">
        <f t="shared" si="2"/>
        <v>2250</v>
      </c>
      <c r="W84" s="78">
        <v>12</v>
      </c>
      <c r="X84" s="60" t="s">
        <v>35</v>
      </c>
      <c r="Y84" s="78" t="s">
        <v>43</v>
      </c>
      <c r="Z84" s="78" t="s">
        <v>55</v>
      </c>
      <c r="AA84" s="78" t="s">
        <v>72</v>
      </c>
      <c r="AB84" s="43" t="s">
        <v>161</v>
      </c>
      <c r="AI84" s="48"/>
      <c r="AJ84" s="48"/>
      <c r="AK84" s="48"/>
      <c r="AL84" s="48"/>
      <c r="AM84" s="48"/>
    </row>
    <row r="85" spans="1:39" s="78" customFormat="1" x14ac:dyDescent="0.15">
      <c r="A85" s="85" t="s">
        <v>23</v>
      </c>
      <c r="B85" s="85" t="s">
        <v>160</v>
      </c>
      <c r="C85" s="85">
        <v>2020</v>
      </c>
      <c r="D85" s="45" t="s">
        <v>163</v>
      </c>
      <c r="E85" s="85" t="s">
        <v>170</v>
      </c>
      <c r="F85" s="85" t="s">
        <v>143</v>
      </c>
      <c r="G85" s="85" t="s">
        <v>25</v>
      </c>
      <c r="H85" s="85" t="s">
        <v>113</v>
      </c>
      <c r="I85" s="85" t="s">
        <v>111</v>
      </c>
      <c r="J85" s="79" t="s">
        <v>27</v>
      </c>
      <c r="K85" s="78" t="s">
        <v>112</v>
      </c>
      <c r="L85" s="85">
        <v>3</v>
      </c>
      <c r="N85" s="78">
        <v>1</v>
      </c>
      <c r="O85" s="78">
        <v>0.45</v>
      </c>
      <c r="P85" s="78">
        <v>0.4</v>
      </c>
      <c r="Q85" s="44">
        <f t="shared" si="0"/>
        <v>0.42500000000000004</v>
      </c>
      <c r="R85" s="78">
        <v>14.8</v>
      </c>
      <c r="S85" s="78">
        <v>124</v>
      </c>
      <c r="T85" s="16">
        <f t="shared" si="1"/>
        <v>30</v>
      </c>
      <c r="U85" s="78">
        <v>75</v>
      </c>
      <c r="V85" s="64">
        <f t="shared" si="2"/>
        <v>2250</v>
      </c>
      <c r="W85" s="78">
        <v>12</v>
      </c>
      <c r="X85" s="60" t="s">
        <v>35</v>
      </c>
      <c r="Y85" s="78" t="s">
        <v>43</v>
      </c>
      <c r="Z85" s="78" t="s">
        <v>55</v>
      </c>
      <c r="AA85" s="78" t="s">
        <v>72</v>
      </c>
      <c r="AB85" s="43" t="s">
        <v>161</v>
      </c>
      <c r="AI85" s="48"/>
      <c r="AJ85" s="48"/>
      <c r="AK85" s="48"/>
      <c r="AL85" s="48"/>
      <c r="AM85" s="48"/>
    </row>
    <row r="86" spans="1:39" s="78" customFormat="1" x14ac:dyDescent="0.15">
      <c r="A86" s="85" t="s">
        <v>23</v>
      </c>
      <c r="B86" s="85" t="s">
        <v>160</v>
      </c>
      <c r="C86" s="85">
        <v>2020</v>
      </c>
      <c r="D86" s="45" t="s">
        <v>163</v>
      </c>
      <c r="E86" s="85" t="s">
        <v>170</v>
      </c>
      <c r="F86" s="85" t="s">
        <v>143</v>
      </c>
      <c r="G86" s="85" t="s">
        <v>25</v>
      </c>
      <c r="H86" s="85" t="s">
        <v>113</v>
      </c>
      <c r="I86" s="85" t="s">
        <v>111</v>
      </c>
      <c r="J86" s="79" t="s">
        <v>27</v>
      </c>
      <c r="K86" s="78" t="s">
        <v>112</v>
      </c>
      <c r="L86" s="85">
        <v>1</v>
      </c>
      <c r="N86" s="78">
        <v>4</v>
      </c>
      <c r="O86" s="78">
        <v>0.8</v>
      </c>
      <c r="P86" s="78">
        <v>0.8</v>
      </c>
      <c r="Q86" s="44">
        <f t="shared" si="0"/>
        <v>0.8</v>
      </c>
      <c r="R86" s="78">
        <v>14.4</v>
      </c>
      <c r="S86" s="78">
        <v>89</v>
      </c>
      <c r="T86" s="16">
        <f t="shared" si="1"/>
        <v>36</v>
      </c>
      <c r="U86" s="78">
        <v>298</v>
      </c>
      <c r="V86" s="64">
        <f t="shared" si="2"/>
        <v>2682</v>
      </c>
      <c r="W86" s="78">
        <v>12</v>
      </c>
      <c r="X86" s="60" t="s">
        <v>35</v>
      </c>
      <c r="Y86" s="78" t="s">
        <v>43</v>
      </c>
      <c r="Z86" s="78" t="s">
        <v>55</v>
      </c>
      <c r="AA86" s="78" t="s">
        <v>72</v>
      </c>
      <c r="AB86" s="43" t="s">
        <v>161</v>
      </c>
      <c r="AI86" s="48"/>
      <c r="AJ86" s="48"/>
      <c r="AK86" s="48"/>
      <c r="AL86" s="48"/>
      <c r="AM86" s="48"/>
    </row>
    <row r="87" spans="1:39" s="78" customFormat="1" x14ac:dyDescent="0.15">
      <c r="A87" s="85" t="s">
        <v>23</v>
      </c>
      <c r="B87" s="85" t="s">
        <v>160</v>
      </c>
      <c r="C87" s="85">
        <v>2020</v>
      </c>
      <c r="D87" s="45" t="s">
        <v>163</v>
      </c>
      <c r="E87" s="85" t="s">
        <v>170</v>
      </c>
      <c r="F87" s="85" t="s">
        <v>143</v>
      </c>
      <c r="G87" s="85" t="s">
        <v>25</v>
      </c>
      <c r="H87" s="85" t="s">
        <v>113</v>
      </c>
      <c r="I87" s="85" t="s">
        <v>111</v>
      </c>
      <c r="J87" s="79" t="s">
        <v>27</v>
      </c>
      <c r="K87" s="78" t="s">
        <v>112</v>
      </c>
      <c r="L87" s="85">
        <v>2</v>
      </c>
      <c r="N87" s="78">
        <v>4</v>
      </c>
      <c r="O87" s="78">
        <v>0.9</v>
      </c>
      <c r="P87" s="78">
        <v>0.8</v>
      </c>
      <c r="Q87" s="44">
        <f t="shared" si="0"/>
        <v>0.85000000000000009</v>
      </c>
      <c r="R87" s="78">
        <v>14.3</v>
      </c>
      <c r="S87" s="78">
        <v>86</v>
      </c>
      <c r="T87" s="16">
        <f t="shared" si="1"/>
        <v>36</v>
      </c>
      <c r="U87" s="78">
        <v>298</v>
      </c>
      <c r="V87" s="64">
        <f t="shared" si="2"/>
        <v>2682</v>
      </c>
      <c r="W87" s="78">
        <v>12</v>
      </c>
      <c r="X87" s="60" t="s">
        <v>35</v>
      </c>
      <c r="Y87" s="78" t="s">
        <v>43</v>
      </c>
      <c r="Z87" s="78" t="s">
        <v>55</v>
      </c>
      <c r="AA87" s="78" t="s">
        <v>72</v>
      </c>
      <c r="AB87" s="43" t="s">
        <v>161</v>
      </c>
      <c r="AI87" s="48"/>
      <c r="AJ87" s="48"/>
      <c r="AK87" s="48"/>
      <c r="AL87" s="48"/>
      <c r="AM87" s="48"/>
    </row>
    <row r="88" spans="1:39" s="78" customFormat="1" x14ac:dyDescent="0.15">
      <c r="A88" s="85" t="s">
        <v>23</v>
      </c>
      <c r="B88" s="85" t="s">
        <v>160</v>
      </c>
      <c r="C88" s="85">
        <v>2020</v>
      </c>
      <c r="D88" s="45" t="s">
        <v>163</v>
      </c>
      <c r="E88" s="85" t="s">
        <v>170</v>
      </c>
      <c r="F88" s="85" t="s">
        <v>143</v>
      </c>
      <c r="G88" s="85" t="s">
        <v>25</v>
      </c>
      <c r="H88" s="85" t="s">
        <v>113</v>
      </c>
      <c r="I88" s="85" t="s">
        <v>111</v>
      </c>
      <c r="J88" s="79" t="s">
        <v>27</v>
      </c>
      <c r="K88" s="78" t="s">
        <v>112</v>
      </c>
      <c r="L88" s="85">
        <v>3</v>
      </c>
      <c r="N88" s="78">
        <v>4</v>
      </c>
      <c r="O88" s="78">
        <v>1</v>
      </c>
      <c r="P88" s="78">
        <v>0.85</v>
      </c>
      <c r="Q88" s="44">
        <f t="shared" si="0"/>
        <v>0.92500000000000004</v>
      </c>
      <c r="R88" s="78">
        <v>12.4</v>
      </c>
      <c r="S88" s="78">
        <v>87</v>
      </c>
      <c r="T88" s="16">
        <f t="shared" si="1"/>
        <v>36</v>
      </c>
      <c r="U88" s="78">
        <v>298</v>
      </c>
      <c r="V88" s="64">
        <f t="shared" si="2"/>
        <v>2682</v>
      </c>
      <c r="W88" s="78">
        <v>12</v>
      </c>
      <c r="X88" s="60" t="s">
        <v>35</v>
      </c>
      <c r="Y88" s="78" t="s">
        <v>43</v>
      </c>
      <c r="Z88" s="78" t="s">
        <v>55</v>
      </c>
      <c r="AA88" s="78" t="s">
        <v>72</v>
      </c>
      <c r="AB88" s="43" t="s">
        <v>161</v>
      </c>
      <c r="AI88" s="48"/>
      <c r="AJ88" s="48"/>
      <c r="AK88" s="48"/>
      <c r="AL88" s="48"/>
      <c r="AM88" s="48"/>
    </row>
    <row r="89" spans="1:39" s="78" customFormat="1" x14ac:dyDescent="0.15">
      <c r="A89" s="85" t="s">
        <v>23</v>
      </c>
      <c r="B89" s="85" t="s">
        <v>160</v>
      </c>
      <c r="C89" s="85">
        <v>2020</v>
      </c>
      <c r="D89" s="45" t="s">
        <v>163</v>
      </c>
      <c r="E89" s="85" t="s">
        <v>170</v>
      </c>
      <c r="F89" s="85" t="s">
        <v>143</v>
      </c>
      <c r="G89" s="85" t="s">
        <v>25</v>
      </c>
      <c r="H89" s="85" t="s">
        <v>113</v>
      </c>
      <c r="I89" s="85" t="s">
        <v>111</v>
      </c>
      <c r="J89" s="79" t="s">
        <v>27</v>
      </c>
      <c r="K89" s="78" t="s">
        <v>112</v>
      </c>
      <c r="L89" s="85">
        <v>1</v>
      </c>
      <c r="N89" s="78">
        <v>8</v>
      </c>
      <c r="O89" s="78">
        <v>0.75</v>
      </c>
      <c r="P89" s="78">
        <v>0.75</v>
      </c>
      <c r="Q89" s="44">
        <f t="shared" si="0"/>
        <v>0.75</v>
      </c>
      <c r="R89" s="78">
        <v>14.5</v>
      </c>
      <c r="S89" s="78">
        <v>85</v>
      </c>
      <c r="T89" s="16">
        <f t="shared" si="1"/>
        <v>36</v>
      </c>
      <c r="U89" s="78">
        <v>598</v>
      </c>
      <c r="V89" s="64">
        <f t="shared" si="2"/>
        <v>2691</v>
      </c>
      <c r="W89" s="78">
        <v>12</v>
      </c>
      <c r="X89" s="60" t="s">
        <v>35</v>
      </c>
      <c r="Y89" s="78" t="s">
        <v>43</v>
      </c>
      <c r="Z89" s="78" t="s">
        <v>55</v>
      </c>
      <c r="AA89" s="78" t="s">
        <v>72</v>
      </c>
      <c r="AB89" s="43" t="s">
        <v>161</v>
      </c>
      <c r="AI89" s="48"/>
      <c r="AJ89" s="48"/>
      <c r="AK89" s="48"/>
      <c r="AL89" s="48"/>
      <c r="AM89" s="48"/>
    </row>
    <row r="90" spans="1:39" s="78" customFormat="1" x14ac:dyDescent="0.15">
      <c r="A90" s="85" t="s">
        <v>23</v>
      </c>
      <c r="B90" s="85" t="s">
        <v>160</v>
      </c>
      <c r="C90" s="85">
        <v>2020</v>
      </c>
      <c r="D90" s="45" t="s">
        <v>163</v>
      </c>
      <c r="E90" s="85" t="s">
        <v>170</v>
      </c>
      <c r="F90" s="85" t="s">
        <v>143</v>
      </c>
      <c r="G90" s="85" t="s">
        <v>25</v>
      </c>
      <c r="H90" s="85" t="s">
        <v>113</v>
      </c>
      <c r="I90" s="85" t="s">
        <v>111</v>
      </c>
      <c r="J90" s="79" t="s">
        <v>27</v>
      </c>
      <c r="K90" s="78" t="s">
        <v>112</v>
      </c>
      <c r="L90" s="85">
        <v>2</v>
      </c>
      <c r="N90" s="78">
        <v>8</v>
      </c>
      <c r="O90" s="78">
        <v>0.7</v>
      </c>
      <c r="P90" s="78">
        <v>0.7</v>
      </c>
      <c r="Q90" s="44">
        <f t="shared" si="0"/>
        <v>0.7</v>
      </c>
      <c r="R90" s="78">
        <v>15.8</v>
      </c>
      <c r="S90" s="78">
        <v>86</v>
      </c>
      <c r="T90" s="16">
        <f t="shared" si="1"/>
        <v>36</v>
      </c>
      <c r="U90" s="78">
        <v>598</v>
      </c>
      <c r="V90" s="64">
        <f t="shared" si="2"/>
        <v>2691</v>
      </c>
      <c r="W90" s="78">
        <v>12</v>
      </c>
      <c r="X90" s="60" t="s">
        <v>35</v>
      </c>
      <c r="Y90" s="78" t="s">
        <v>43</v>
      </c>
      <c r="Z90" s="78" t="s">
        <v>55</v>
      </c>
      <c r="AA90" s="78" t="s">
        <v>72</v>
      </c>
      <c r="AB90" s="43" t="s">
        <v>161</v>
      </c>
      <c r="AI90" s="48"/>
      <c r="AJ90" s="48"/>
      <c r="AK90" s="48"/>
      <c r="AL90" s="48"/>
      <c r="AM90" s="48"/>
    </row>
    <row r="91" spans="1:39" s="78" customFormat="1" x14ac:dyDescent="0.15">
      <c r="A91" s="85" t="s">
        <v>23</v>
      </c>
      <c r="B91" s="85" t="s">
        <v>160</v>
      </c>
      <c r="C91" s="85">
        <v>2020</v>
      </c>
      <c r="D91" s="45" t="s">
        <v>163</v>
      </c>
      <c r="E91" s="85" t="s">
        <v>170</v>
      </c>
      <c r="F91" s="85" t="s">
        <v>143</v>
      </c>
      <c r="G91" s="85" t="s">
        <v>25</v>
      </c>
      <c r="H91" s="85" t="s">
        <v>113</v>
      </c>
      <c r="I91" s="85" t="s">
        <v>111</v>
      </c>
      <c r="J91" s="79" t="s">
        <v>27</v>
      </c>
      <c r="K91" s="78" t="s">
        <v>112</v>
      </c>
      <c r="L91" s="85">
        <v>3</v>
      </c>
      <c r="N91" s="78">
        <v>8</v>
      </c>
      <c r="O91" s="78">
        <v>0.85</v>
      </c>
      <c r="P91" s="78">
        <v>0.8</v>
      </c>
      <c r="Q91" s="44">
        <f t="shared" si="0"/>
        <v>0.82499999999999996</v>
      </c>
      <c r="R91" s="78">
        <v>16</v>
      </c>
      <c r="S91" s="78">
        <v>87</v>
      </c>
      <c r="T91" s="16">
        <f t="shared" si="1"/>
        <v>36</v>
      </c>
      <c r="U91" s="78">
        <v>598</v>
      </c>
      <c r="V91" s="64">
        <f t="shared" si="2"/>
        <v>2691</v>
      </c>
      <c r="W91" s="78">
        <v>12</v>
      </c>
      <c r="X91" s="60" t="s">
        <v>35</v>
      </c>
      <c r="Y91" s="78" t="s">
        <v>43</v>
      </c>
      <c r="Z91" s="78" t="s">
        <v>55</v>
      </c>
      <c r="AA91" s="78" t="s">
        <v>72</v>
      </c>
      <c r="AB91" s="43" t="s">
        <v>161</v>
      </c>
      <c r="AI91" s="48"/>
      <c r="AJ91" s="48"/>
      <c r="AK91" s="48"/>
      <c r="AL91" s="48"/>
      <c r="AM91" s="48"/>
    </row>
    <row r="92" spans="1:39" s="78" customFormat="1" x14ac:dyDescent="0.15">
      <c r="A92" s="85" t="s">
        <v>23</v>
      </c>
      <c r="B92" s="85" t="s">
        <v>160</v>
      </c>
      <c r="C92" s="85">
        <v>2020</v>
      </c>
      <c r="D92" s="45" t="s">
        <v>163</v>
      </c>
      <c r="E92" s="85" t="s">
        <v>170</v>
      </c>
      <c r="F92" s="85" t="s">
        <v>143</v>
      </c>
      <c r="G92" s="85" t="s">
        <v>25</v>
      </c>
      <c r="H92" s="85" t="s">
        <v>167</v>
      </c>
      <c r="I92" s="85" t="s">
        <v>111</v>
      </c>
      <c r="J92" s="79" t="s">
        <v>27</v>
      </c>
      <c r="K92" s="78" t="s">
        <v>112</v>
      </c>
      <c r="L92" s="85">
        <v>1</v>
      </c>
      <c r="N92" s="78">
        <v>1</v>
      </c>
      <c r="O92" s="78">
        <v>0.8</v>
      </c>
      <c r="P92" s="78">
        <v>0.85</v>
      </c>
      <c r="Q92" s="44">
        <f t="shared" si="0"/>
        <v>0.82499999999999996</v>
      </c>
      <c r="R92" s="78">
        <v>12.7</v>
      </c>
      <c r="S92" s="78">
        <v>122</v>
      </c>
      <c r="T92" s="16">
        <f t="shared" si="1"/>
        <v>30</v>
      </c>
      <c r="U92" s="78">
        <v>138</v>
      </c>
      <c r="V92" s="64">
        <f t="shared" si="2"/>
        <v>4140</v>
      </c>
      <c r="W92" s="78">
        <v>12</v>
      </c>
      <c r="X92" s="60" t="s">
        <v>35</v>
      </c>
      <c r="Y92" s="78" t="s">
        <v>43</v>
      </c>
      <c r="Z92" s="78" t="s">
        <v>55</v>
      </c>
      <c r="AA92" s="78" t="s">
        <v>72</v>
      </c>
      <c r="AB92" s="43" t="s">
        <v>161</v>
      </c>
      <c r="AI92" s="48"/>
      <c r="AJ92" s="48"/>
      <c r="AK92" s="48"/>
      <c r="AL92" s="48"/>
      <c r="AM92" s="48"/>
    </row>
    <row r="93" spans="1:39" s="78" customFormat="1" x14ac:dyDescent="0.15">
      <c r="A93" s="85" t="s">
        <v>23</v>
      </c>
      <c r="B93" s="85" t="s">
        <v>160</v>
      </c>
      <c r="C93" s="85">
        <v>2020</v>
      </c>
      <c r="D93" s="45" t="s">
        <v>163</v>
      </c>
      <c r="E93" s="85" t="s">
        <v>170</v>
      </c>
      <c r="F93" s="85" t="s">
        <v>143</v>
      </c>
      <c r="G93" s="85" t="s">
        <v>25</v>
      </c>
      <c r="H93" s="85" t="s">
        <v>167</v>
      </c>
      <c r="I93" s="85" t="s">
        <v>111</v>
      </c>
      <c r="J93" s="79" t="s">
        <v>27</v>
      </c>
      <c r="K93" s="78" t="s">
        <v>112</v>
      </c>
      <c r="L93" s="85">
        <v>2</v>
      </c>
      <c r="N93" s="78">
        <v>1</v>
      </c>
      <c r="O93" s="78">
        <v>0.6</v>
      </c>
      <c r="P93" s="78">
        <v>0.65</v>
      </c>
      <c r="Q93" s="44">
        <f t="shared" si="0"/>
        <v>0.625</v>
      </c>
      <c r="R93" s="78">
        <v>18.600000000000001</v>
      </c>
      <c r="S93" s="78">
        <v>118</v>
      </c>
      <c r="T93" s="16">
        <f t="shared" si="1"/>
        <v>30</v>
      </c>
      <c r="U93" s="78">
        <v>138</v>
      </c>
      <c r="V93" s="64">
        <f t="shared" si="2"/>
        <v>4140</v>
      </c>
      <c r="W93" s="78">
        <v>12</v>
      </c>
      <c r="X93" s="60" t="s">
        <v>35</v>
      </c>
      <c r="Y93" s="78" t="s">
        <v>43</v>
      </c>
      <c r="Z93" s="78" t="s">
        <v>55</v>
      </c>
      <c r="AA93" s="78" t="s">
        <v>72</v>
      </c>
      <c r="AB93" s="43" t="s">
        <v>161</v>
      </c>
      <c r="AI93" s="48"/>
      <c r="AJ93" s="48"/>
      <c r="AK93" s="48"/>
      <c r="AL93" s="48"/>
      <c r="AM93" s="48"/>
    </row>
    <row r="94" spans="1:39" s="78" customFormat="1" x14ac:dyDescent="0.15">
      <c r="A94" s="85" t="s">
        <v>23</v>
      </c>
      <c r="B94" s="85" t="s">
        <v>160</v>
      </c>
      <c r="C94" s="85">
        <v>2020</v>
      </c>
      <c r="D94" s="45" t="s">
        <v>163</v>
      </c>
      <c r="E94" s="85" t="s">
        <v>170</v>
      </c>
      <c r="F94" s="85" t="s">
        <v>143</v>
      </c>
      <c r="G94" s="85" t="s">
        <v>25</v>
      </c>
      <c r="H94" s="85" t="s">
        <v>167</v>
      </c>
      <c r="I94" s="85" t="s">
        <v>111</v>
      </c>
      <c r="J94" s="79" t="s">
        <v>27</v>
      </c>
      <c r="K94" s="78" t="s">
        <v>112</v>
      </c>
      <c r="L94" s="85">
        <v>3</v>
      </c>
      <c r="N94" s="78">
        <v>1</v>
      </c>
      <c r="O94" s="78">
        <v>0.85</v>
      </c>
      <c r="P94" s="78">
        <v>0.95</v>
      </c>
      <c r="Q94" s="44">
        <f t="shared" si="0"/>
        <v>0.89999999999999991</v>
      </c>
      <c r="R94" s="78">
        <v>14.4</v>
      </c>
      <c r="S94" s="78">
        <v>122</v>
      </c>
      <c r="T94" s="16">
        <f t="shared" si="1"/>
        <v>30</v>
      </c>
      <c r="U94" s="78">
        <v>138</v>
      </c>
      <c r="V94" s="64">
        <f t="shared" si="2"/>
        <v>4140</v>
      </c>
      <c r="W94" s="78">
        <v>12</v>
      </c>
      <c r="X94" s="60" t="s">
        <v>35</v>
      </c>
      <c r="Y94" s="78" t="s">
        <v>43</v>
      </c>
      <c r="Z94" s="78" t="s">
        <v>55</v>
      </c>
      <c r="AA94" s="78" t="s">
        <v>72</v>
      </c>
      <c r="AB94" s="43" t="s">
        <v>161</v>
      </c>
      <c r="AI94" s="48"/>
      <c r="AJ94" s="48"/>
      <c r="AK94" s="48"/>
      <c r="AL94" s="48"/>
      <c r="AM94" s="48"/>
    </row>
    <row r="95" spans="1:39" s="78" customFormat="1" x14ac:dyDescent="0.15">
      <c r="A95" s="85" t="s">
        <v>23</v>
      </c>
      <c r="B95" s="85" t="s">
        <v>160</v>
      </c>
      <c r="C95" s="85">
        <v>2020</v>
      </c>
      <c r="D95" s="45" t="s">
        <v>163</v>
      </c>
      <c r="E95" s="85" t="s">
        <v>170</v>
      </c>
      <c r="F95" s="85" t="s">
        <v>143</v>
      </c>
      <c r="G95" s="85" t="s">
        <v>25</v>
      </c>
      <c r="H95" s="85" t="s">
        <v>167</v>
      </c>
      <c r="I95" s="85" t="s">
        <v>111</v>
      </c>
      <c r="J95" s="79" t="s">
        <v>27</v>
      </c>
      <c r="K95" s="78" t="s">
        <v>112</v>
      </c>
      <c r="L95" s="85">
        <v>1</v>
      </c>
      <c r="N95" s="78">
        <v>8</v>
      </c>
      <c r="O95" s="78">
        <v>0.95</v>
      </c>
      <c r="P95" s="78">
        <v>0.95</v>
      </c>
      <c r="Q95" s="44">
        <f t="shared" si="0"/>
        <v>0.95</v>
      </c>
      <c r="R95" s="78">
        <v>14.4</v>
      </c>
      <c r="S95" s="78">
        <v>198</v>
      </c>
      <c r="T95" s="16">
        <f t="shared" si="1"/>
        <v>30</v>
      </c>
      <c r="U95" s="78">
        <v>980</v>
      </c>
      <c r="V95" s="64">
        <f t="shared" si="2"/>
        <v>3675</v>
      </c>
      <c r="W95" s="78">
        <v>12</v>
      </c>
      <c r="X95" s="60" t="s">
        <v>35</v>
      </c>
      <c r="Y95" s="78" t="s">
        <v>43</v>
      </c>
      <c r="Z95" s="78" t="s">
        <v>55</v>
      </c>
      <c r="AA95" s="78" t="s">
        <v>72</v>
      </c>
      <c r="AB95" s="43" t="s">
        <v>161</v>
      </c>
      <c r="AI95" s="48"/>
      <c r="AJ95" s="48"/>
      <c r="AK95" s="48"/>
      <c r="AL95" s="48"/>
      <c r="AM95" s="48"/>
    </row>
    <row r="96" spans="1:39" s="78" customFormat="1" x14ac:dyDescent="0.15">
      <c r="A96" s="85" t="s">
        <v>23</v>
      </c>
      <c r="B96" s="85" t="s">
        <v>160</v>
      </c>
      <c r="C96" s="85">
        <v>2020</v>
      </c>
      <c r="D96" s="45" t="s">
        <v>163</v>
      </c>
      <c r="E96" s="85" t="s">
        <v>170</v>
      </c>
      <c r="F96" s="85" t="s">
        <v>143</v>
      </c>
      <c r="G96" s="85" t="s">
        <v>25</v>
      </c>
      <c r="H96" s="85" t="s">
        <v>167</v>
      </c>
      <c r="I96" s="85" t="s">
        <v>111</v>
      </c>
      <c r="J96" s="79" t="s">
        <v>27</v>
      </c>
      <c r="K96" s="78" t="s">
        <v>112</v>
      </c>
      <c r="L96" s="85">
        <v>2</v>
      </c>
      <c r="N96" s="78">
        <v>8</v>
      </c>
      <c r="O96" s="78">
        <v>1.1000000000000001</v>
      </c>
      <c r="P96" s="78">
        <v>1.1000000000000001</v>
      </c>
      <c r="Q96" s="44">
        <f t="shared" si="0"/>
        <v>1.1000000000000001</v>
      </c>
      <c r="R96" s="78">
        <v>15.6</v>
      </c>
      <c r="S96" s="78">
        <v>95</v>
      </c>
      <c r="T96" s="16">
        <f t="shared" si="1"/>
        <v>36</v>
      </c>
      <c r="U96" s="78">
        <v>980</v>
      </c>
      <c r="V96" s="64">
        <f t="shared" si="2"/>
        <v>4410</v>
      </c>
      <c r="W96" s="78">
        <v>12</v>
      </c>
      <c r="X96" s="60" t="s">
        <v>35</v>
      </c>
      <c r="Y96" s="78" t="s">
        <v>43</v>
      </c>
      <c r="Z96" s="78" t="s">
        <v>55</v>
      </c>
      <c r="AA96" s="78" t="s">
        <v>72</v>
      </c>
      <c r="AB96" s="43" t="s">
        <v>161</v>
      </c>
      <c r="AI96" s="48"/>
      <c r="AJ96" s="48"/>
      <c r="AK96" s="48"/>
      <c r="AL96" s="48"/>
      <c r="AM96" s="48"/>
    </row>
    <row r="97" spans="1:39" s="78" customFormat="1" x14ac:dyDescent="0.15">
      <c r="A97" s="85" t="s">
        <v>23</v>
      </c>
      <c r="B97" s="85" t="s">
        <v>160</v>
      </c>
      <c r="C97" s="85">
        <v>2020</v>
      </c>
      <c r="D97" s="45" t="s">
        <v>163</v>
      </c>
      <c r="E97" s="85" t="s">
        <v>170</v>
      </c>
      <c r="F97" s="85" t="s">
        <v>143</v>
      </c>
      <c r="G97" s="85" t="s">
        <v>25</v>
      </c>
      <c r="H97" s="85" t="s">
        <v>167</v>
      </c>
      <c r="I97" s="85" t="s">
        <v>111</v>
      </c>
      <c r="J97" s="79" t="s">
        <v>27</v>
      </c>
      <c r="K97" s="78" t="s">
        <v>112</v>
      </c>
      <c r="L97" s="85">
        <v>3</v>
      </c>
      <c r="N97" s="78">
        <v>8</v>
      </c>
      <c r="O97" s="78">
        <v>0.8</v>
      </c>
      <c r="P97" s="78">
        <v>0.8</v>
      </c>
      <c r="Q97" s="44">
        <f t="shared" si="0"/>
        <v>0.8</v>
      </c>
      <c r="R97" s="78">
        <v>16</v>
      </c>
      <c r="S97" s="78">
        <v>102</v>
      </c>
      <c r="T97" s="16">
        <f t="shared" si="1"/>
        <v>33</v>
      </c>
      <c r="U97" s="78">
        <v>980</v>
      </c>
      <c r="V97" s="64">
        <f t="shared" si="2"/>
        <v>4042.5</v>
      </c>
      <c r="W97" s="78">
        <v>12</v>
      </c>
      <c r="X97" s="60" t="s">
        <v>35</v>
      </c>
      <c r="Y97" s="78" t="s">
        <v>43</v>
      </c>
      <c r="Z97" s="78" t="s">
        <v>55</v>
      </c>
      <c r="AA97" s="78" t="s">
        <v>72</v>
      </c>
      <c r="AB97" s="43" t="s">
        <v>161</v>
      </c>
      <c r="AI97" s="48"/>
      <c r="AJ97" s="48"/>
      <c r="AK97" s="48"/>
      <c r="AL97" s="48"/>
      <c r="AM97" s="48"/>
    </row>
    <row r="98" spans="1:39" s="78" customFormat="1" x14ac:dyDescent="0.15">
      <c r="A98" s="85" t="s">
        <v>23</v>
      </c>
      <c r="B98" s="85" t="s">
        <v>160</v>
      </c>
      <c r="C98" s="85">
        <v>2020</v>
      </c>
      <c r="D98" s="45" t="s">
        <v>163</v>
      </c>
      <c r="E98" s="85" t="s">
        <v>170</v>
      </c>
      <c r="F98" s="85" t="s">
        <v>143</v>
      </c>
      <c r="G98" s="85" t="s">
        <v>25</v>
      </c>
      <c r="H98" s="85" t="s">
        <v>167</v>
      </c>
      <c r="I98" s="85" t="s">
        <v>111</v>
      </c>
      <c r="J98" s="79" t="s">
        <v>27</v>
      </c>
      <c r="K98" s="78" t="s">
        <v>112</v>
      </c>
      <c r="L98" s="85">
        <v>1</v>
      </c>
      <c r="N98" s="78">
        <v>4</v>
      </c>
      <c r="O98" s="78">
        <v>0.5</v>
      </c>
      <c r="P98" s="78">
        <v>0.7</v>
      </c>
      <c r="Q98" s="44">
        <f t="shared" si="0"/>
        <v>0.6</v>
      </c>
      <c r="R98" s="78">
        <v>17.2</v>
      </c>
      <c r="S98" s="78">
        <v>100</v>
      </c>
      <c r="T98" s="16">
        <f t="shared" si="1"/>
        <v>33</v>
      </c>
      <c r="U98" s="78">
        <v>498</v>
      </c>
      <c r="V98" s="64">
        <f t="shared" si="2"/>
        <v>4108.5</v>
      </c>
      <c r="W98" s="78">
        <v>12</v>
      </c>
      <c r="X98" s="60" t="s">
        <v>35</v>
      </c>
      <c r="Y98" s="78" t="s">
        <v>43</v>
      </c>
      <c r="Z98" s="78" t="s">
        <v>55</v>
      </c>
      <c r="AA98" s="78" t="s">
        <v>72</v>
      </c>
      <c r="AB98" s="43" t="s">
        <v>161</v>
      </c>
      <c r="AI98" s="48"/>
      <c r="AJ98" s="48"/>
      <c r="AK98" s="48"/>
      <c r="AL98" s="48"/>
      <c r="AM98" s="48"/>
    </row>
    <row r="99" spans="1:39" s="78" customFormat="1" x14ac:dyDescent="0.15">
      <c r="A99" s="85" t="s">
        <v>23</v>
      </c>
      <c r="B99" s="85" t="s">
        <v>160</v>
      </c>
      <c r="C99" s="85">
        <v>2020</v>
      </c>
      <c r="D99" s="45" t="s">
        <v>163</v>
      </c>
      <c r="E99" s="85" t="s">
        <v>170</v>
      </c>
      <c r="F99" s="85" t="s">
        <v>143</v>
      </c>
      <c r="G99" s="85" t="s">
        <v>25</v>
      </c>
      <c r="H99" s="85" t="s">
        <v>167</v>
      </c>
      <c r="I99" s="85" t="s">
        <v>111</v>
      </c>
      <c r="J99" s="79" t="s">
        <v>27</v>
      </c>
      <c r="K99" s="78" t="s">
        <v>112</v>
      </c>
      <c r="L99" s="85">
        <v>2</v>
      </c>
      <c r="N99" s="78">
        <v>4</v>
      </c>
      <c r="O99" s="78">
        <v>0.95</v>
      </c>
      <c r="P99" s="78">
        <v>0.95</v>
      </c>
      <c r="Q99" s="44">
        <f t="shared" si="0"/>
        <v>0.95</v>
      </c>
      <c r="R99" s="78">
        <v>16.899999999999999</v>
      </c>
      <c r="S99" s="78">
        <v>102</v>
      </c>
      <c r="T99" s="16">
        <f t="shared" si="1"/>
        <v>33</v>
      </c>
      <c r="U99" s="78">
        <v>498</v>
      </c>
      <c r="V99" s="64">
        <f t="shared" si="2"/>
        <v>4108.5</v>
      </c>
      <c r="W99" s="78">
        <v>12</v>
      </c>
      <c r="X99" s="60" t="s">
        <v>35</v>
      </c>
      <c r="Y99" s="78" t="s">
        <v>43</v>
      </c>
      <c r="Z99" s="78" t="s">
        <v>55</v>
      </c>
      <c r="AA99" s="78" t="s">
        <v>72</v>
      </c>
      <c r="AB99" s="43" t="s">
        <v>161</v>
      </c>
      <c r="AI99" s="48"/>
      <c r="AJ99" s="48"/>
      <c r="AK99" s="48"/>
      <c r="AL99" s="48"/>
      <c r="AM99" s="48"/>
    </row>
    <row r="100" spans="1:39" s="78" customFormat="1" x14ac:dyDescent="0.15">
      <c r="A100" s="85" t="s">
        <v>23</v>
      </c>
      <c r="B100" s="85" t="s">
        <v>160</v>
      </c>
      <c r="C100" s="85">
        <v>2020</v>
      </c>
      <c r="D100" s="45" t="s">
        <v>163</v>
      </c>
      <c r="E100" s="85" t="s">
        <v>170</v>
      </c>
      <c r="F100" s="85" t="s">
        <v>143</v>
      </c>
      <c r="G100" s="85" t="s">
        <v>25</v>
      </c>
      <c r="H100" s="85" t="s">
        <v>167</v>
      </c>
      <c r="I100" s="85" t="s">
        <v>111</v>
      </c>
      <c r="J100" s="79" t="s">
        <v>27</v>
      </c>
      <c r="K100" s="78" t="s">
        <v>112</v>
      </c>
      <c r="L100" s="85">
        <v>3</v>
      </c>
      <c r="N100" s="78">
        <v>4</v>
      </c>
      <c r="O100" s="78">
        <v>0.95</v>
      </c>
      <c r="P100" s="78">
        <v>1</v>
      </c>
      <c r="Q100" s="44">
        <f t="shared" si="0"/>
        <v>0.97499999999999998</v>
      </c>
      <c r="R100" s="78">
        <v>17</v>
      </c>
      <c r="S100" s="78">
        <v>97</v>
      </c>
      <c r="T100" s="16">
        <f t="shared" si="1"/>
        <v>36</v>
      </c>
      <c r="U100" s="78">
        <v>498</v>
      </c>
      <c r="V100" s="64">
        <f t="shared" si="2"/>
        <v>4482</v>
      </c>
      <c r="W100" s="78">
        <v>12</v>
      </c>
      <c r="X100" s="60" t="s">
        <v>35</v>
      </c>
      <c r="Y100" s="78" t="s">
        <v>43</v>
      </c>
      <c r="Z100" s="78" t="s">
        <v>55</v>
      </c>
      <c r="AA100" s="78" t="s">
        <v>72</v>
      </c>
      <c r="AB100" s="43" t="s">
        <v>161</v>
      </c>
      <c r="AI100" s="48"/>
      <c r="AJ100" s="48"/>
      <c r="AK100" s="48"/>
      <c r="AL100" s="48"/>
      <c r="AM100" s="48"/>
    </row>
    <row r="101" spans="1:39" s="78" customFormat="1" x14ac:dyDescent="0.15">
      <c r="A101" s="85" t="s">
        <v>23</v>
      </c>
      <c r="B101" s="85" t="s">
        <v>160</v>
      </c>
      <c r="C101" s="85">
        <v>2020</v>
      </c>
      <c r="D101" s="45" t="s">
        <v>163</v>
      </c>
      <c r="E101" s="85" t="s">
        <v>168</v>
      </c>
      <c r="F101" s="85" t="s">
        <v>149</v>
      </c>
      <c r="G101" s="85" t="s">
        <v>25</v>
      </c>
      <c r="H101" s="85" t="s">
        <v>113</v>
      </c>
      <c r="I101" s="85" t="s">
        <v>111</v>
      </c>
      <c r="J101" s="79" t="s">
        <v>27</v>
      </c>
      <c r="K101" s="78" t="s">
        <v>112</v>
      </c>
      <c r="L101" s="85">
        <v>1</v>
      </c>
      <c r="N101" s="78">
        <v>1</v>
      </c>
      <c r="O101" s="78">
        <v>1</v>
      </c>
      <c r="P101" s="78">
        <v>1</v>
      </c>
      <c r="Q101" s="44">
        <f t="shared" si="0"/>
        <v>1</v>
      </c>
      <c r="R101" s="78">
        <v>13.3</v>
      </c>
      <c r="S101" s="78">
        <v>132</v>
      </c>
      <c r="T101" s="16">
        <f t="shared" si="1"/>
        <v>30</v>
      </c>
      <c r="U101" s="78">
        <v>108</v>
      </c>
      <c r="V101" s="64">
        <f t="shared" si="2"/>
        <v>3240</v>
      </c>
      <c r="W101" s="78">
        <v>30</v>
      </c>
      <c r="X101" s="60" t="s">
        <v>35</v>
      </c>
      <c r="Y101" s="78" t="s">
        <v>43</v>
      </c>
      <c r="Z101" s="78" t="s">
        <v>72</v>
      </c>
      <c r="AA101" s="78" t="s">
        <v>51</v>
      </c>
      <c r="AB101" s="43" t="s">
        <v>161</v>
      </c>
      <c r="AI101" s="48"/>
      <c r="AJ101" s="48"/>
      <c r="AK101" s="48"/>
      <c r="AL101" s="48"/>
      <c r="AM101" s="48"/>
    </row>
    <row r="102" spans="1:39" s="78" customFormat="1" x14ac:dyDescent="0.15">
      <c r="A102" s="85" t="s">
        <v>23</v>
      </c>
      <c r="B102" s="85" t="s">
        <v>160</v>
      </c>
      <c r="C102" s="85">
        <v>2020</v>
      </c>
      <c r="D102" s="45" t="s">
        <v>163</v>
      </c>
      <c r="E102" s="85" t="s">
        <v>168</v>
      </c>
      <c r="F102" s="85" t="s">
        <v>149</v>
      </c>
      <c r="G102" s="85" t="s">
        <v>25</v>
      </c>
      <c r="H102" s="85" t="s">
        <v>113</v>
      </c>
      <c r="I102" s="85" t="s">
        <v>111</v>
      </c>
      <c r="J102" s="79" t="s">
        <v>27</v>
      </c>
      <c r="K102" s="78" t="s">
        <v>112</v>
      </c>
      <c r="L102" s="85">
        <v>2</v>
      </c>
      <c r="N102" s="78">
        <v>1</v>
      </c>
      <c r="O102" s="78">
        <v>0.2</v>
      </c>
      <c r="P102" s="78">
        <v>0.3</v>
      </c>
      <c r="Q102" s="44">
        <f t="shared" si="0"/>
        <v>0.25</v>
      </c>
      <c r="R102" s="78">
        <v>15.9</v>
      </c>
      <c r="S102" s="78">
        <v>125</v>
      </c>
      <c r="T102" s="16">
        <f t="shared" si="1"/>
        <v>30</v>
      </c>
      <c r="U102" s="78">
        <v>108</v>
      </c>
      <c r="V102" s="64">
        <f t="shared" si="2"/>
        <v>3240</v>
      </c>
      <c r="W102" s="78">
        <v>30</v>
      </c>
      <c r="X102" s="60" t="s">
        <v>35</v>
      </c>
      <c r="Y102" s="78" t="s">
        <v>43</v>
      </c>
      <c r="Z102" s="78" t="s">
        <v>72</v>
      </c>
      <c r="AA102" s="78" t="s">
        <v>51</v>
      </c>
      <c r="AB102" s="43" t="s">
        <v>161</v>
      </c>
      <c r="AI102" s="48"/>
      <c r="AJ102" s="48"/>
      <c r="AK102" s="48"/>
      <c r="AL102" s="48"/>
      <c r="AM102" s="48"/>
    </row>
    <row r="103" spans="1:39" s="78" customFormat="1" x14ac:dyDescent="0.15">
      <c r="A103" s="85" t="s">
        <v>23</v>
      </c>
      <c r="B103" s="85" t="s">
        <v>160</v>
      </c>
      <c r="C103" s="85">
        <v>2020</v>
      </c>
      <c r="D103" s="45" t="s">
        <v>163</v>
      </c>
      <c r="E103" s="85" t="s">
        <v>168</v>
      </c>
      <c r="F103" s="85" t="s">
        <v>149</v>
      </c>
      <c r="G103" s="85" t="s">
        <v>25</v>
      </c>
      <c r="H103" s="85" t="s">
        <v>113</v>
      </c>
      <c r="I103" s="85" t="s">
        <v>111</v>
      </c>
      <c r="J103" s="79" t="s">
        <v>27</v>
      </c>
      <c r="K103" s="78" t="s">
        <v>112</v>
      </c>
      <c r="L103" s="85">
        <v>3</v>
      </c>
      <c r="N103" s="78">
        <v>1</v>
      </c>
      <c r="O103" s="78">
        <v>0.45</v>
      </c>
      <c r="P103" s="78">
        <v>0.6</v>
      </c>
      <c r="Q103" s="44">
        <f t="shared" si="0"/>
        <v>0.52500000000000002</v>
      </c>
      <c r="R103" s="78">
        <v>15.7</v>
      </c>
      <c r="S103" s="78">
        <v>131</v>
      </c>
      <c r="T103" s="16">
        <f t="shared" si="1"/>
        <v>30</v>
      </c>
      <c r="U103" s="78">
        <v>108</v>
      </c>
      <c r="V103" s="64">
        <f t="shared" si="2"/>
        <v>3240</v>
      </c>
      <c r="W103" s="78">
        <v>30</v>
      </c>
      <c r="X103" s="60" t="s">
        <v>35</v>
      </c>
      <c r="Y103" s="78" t="s">
        <v>43</v>
      </c>
      <c r="Z103" s="78" t="s">
        <v>72</v>
      </c>
      <c r="AA103" s="78" t="s">
        <v>51</v>
      </c>
      <c r="AB103" s="43" t="s">
        <v>161</v>
      </c>
      <c r="AI103" s="48"/>
      <c r="AJ103" s="48"/>
      <c r="AK103" s="48"/>
      <c r="AL103" s="48"/>
      <c r="AM103" s="48"/>
    </row>
    <row r="104" spans="1:39" s="78" customFormat="1" x14ac:dyDescent="0.15">
      <c r="A104" s="85" t="s">
        <v>23</v>
      </c>
      <c r="B104" s="85" t="s">
        <v>160</v>
      </c>
      <c r="C104" s="85">
        <v>2020</v>
      </c>
      <c r="D104" s="45" t="s">
        <v>163</v>
      </c>
      <c r="E104" s="85" t="s">
        <v>168</v>
      </c>
      <c r="F104" s="85" t="s">
        <v>149</v>
      </c>
      <c r="G104" s="85" t="s">
        <v>25</v>
      </c>
      <c r="H104" s="85" t="s">
        <v>113</v>
      </c>
      <c r="I104" s="85" t="s">
        <v>111</v>
      </c>
      <c r="J104" s="79" t="s">
        <v>27</v>
      </c>
      <c r="K104" s="78" t="s">
        <v>112</v>
      </c>
      <c r="L104" s="85">
        <v>1</v>
      </c>
      <c r="N104" s="78">
        <v>10</v>
      </c>
      <c r="O104" s="78">
        <v>0.95</v>
      </c>
      <c r="P104" s="78">
        <v>0.85</v>
      </c>
      <c r="Q104" s="44">
        <f t="shared" si="0"/>
        <v>0.89999999999999991</v>
      </c>
      <c r="R104" s="78">
        <v>14.8</v>
      </c>
      <c r="S104" s="78">
        <v>100</v>
      </c>
      <c r="T104" s="16">
        <f t="shared" si="1"/>
        <v>33</v>
      </c>
      <c r="U104" s="78">
        <v>598</v>
      </c>
      <c r="V104" s="64">
        <f t="shared" si="2"/>
        <v>1973.3999999999999</v>
      </c>
      <c r="W104" s="78">
        <v>30</v>
      </c>
      <c r="X104" s="60" t="s">
        <v>35</v>
      </c>
      <c r="Y104" s="78" t="s">
        <v>43</v>
      </c>
      <c r="Z104" s="78" t="s">
        <v>72</v>
      </c>
      <c r="AA104" s="78" t="s">
        <v>51</v>
      </c>
      <c r="AB104" s="43" t="s">
        <v>161</v>
      </c>
      <c r="AI104" s="48"/>
      <c r="AJ104" s="48"/>
      <c r="AK104" s="48"/>
      <c r="AL104" s="48"/>
      <c r="AM104" s="48"/>
    </row>
    <row r="105" spans="1:39" s="78" customFormat="1" x14ac:dyDescent="0.15">
      <c r="A105" s="85" t="s">
        <v>23</v>
      </c>
      <c r="B105" s="85" t="s">
        <v>160</v>
      </c>
      <c r="C105" s="85">
        <v>2020</v>
      </c>
      <c r="D105" s="45" t="s">
        <v>163</v>
      </c>
      <c r="E105" s="85" t="s">
        <v>168</v>
      </c>
      <c r="F105" s="85" t="s">
        <v>149</v>
      </c>
      <c r="G105" s="85" t="s">
        <v>25</v>
      </c>
      <c r="H105" s="85" t="s">
        <v>113</v>
      </c>
      <c r="I105" s="85" t="s">
        <v>111</v>
      </c>
      <c r="J105" s="79" t="s">
        <v>27</v>
      </c>
      <c r="K105" s="78" t="s">
        <v>112</v>
      </c>
      <c r="L105" s="85">
        <v>2</v>
      </c>
      <c r="N105" s="78">
        <v>10</v>
      </c>
      <c r="O105" s="78">
        <v>1.2</v>
      </c>
      <c r="P105" s="78">
        <v>1.35</v>
      </c>
      <c r="Q105" s="44">
        <f t="shared" si="0"/>
        <v>1.2749999999999999</v>
      </c>
      <c r="R105" s="78">
        <v>15.8</v>
      </c>
      <c r="S105" s="78">
        <v>94</v>
      </c>
      <c r="T105" s="16">
        <f t="shared" si="1"/>
        <v>36</v>
      </c>
      <c r="U105" s="78">
        <v>598</v>
      </c>
      <c r="V105" s="64">
        <f t="shared" si="2"/>
        <v>2152.7999999999997</v>
      </c>
      <c r="W105" s="78">
        <v>30</v>
      </c>
      <c r="X105" s="60" t="s">
        <v>35</v>
      </c>
      <c r="Y105" s="78" t="s">
        <v>43</v>
      </c>
      <c r="Z105" s="78" t="s">
        <v>72</v>
      </c>
      <c r="AA105" s="78" t="s">
        <v>51</v>
      </c>
      <c r="AB105" s="43" t="s">
        <v>161</v>
      </c>
      <c r="AI105" s="48"/>
      <c r="AJ105" s="48"/>
      <c r="AK105" s="48"/>
      <c r="AL105" s="48"/>
      <c r="AM105" s="48"/>
    </row>
    <row r="106" spans="1:39" s="78" customFormat="1" x14ac:dyDescent="0.15">
      <c r="A106" s="85" t="s">
        <v>23</v>
      </c>
      <c r="B106" s="85" t="s">
        <v>160</v>
      </c>
      <c r="C106" s="85">
        <v>2020</v>
      </c>
      <c r="D106" s="45" t="s">
        <v>163</v>
      </c>
      <c r="E106" s="85" t="s">
        <v>168</v>
      </c>
      <c r="F106" s="85" t="s">
        <v>149</v>
      </c>
      <c r="G106" s="85" t="s">
        <v>25</v>
      </c>
      <c r="H106" s="85" t="s">
        <v>113</v>
      </c>
      <c r="I106" s="85" t="s">
        <v>111</v>
      </c>
      <c r="J106" s="79" t="s">
        <v>27</v>
      </c>
      <c r="K106" s="78" t="s">
        <v>112</v>
      </c>
      <c r="L106" s="85">
        <v>3</v>
      </c>
      <c r="N106" s="78">
        <v>10</v>
      </c>
      <c r="O106" s="78">
        <v>1.25</v>
      </c>
      <c r="P106" s="78">
        <v>1.25</v>
      </c>
      <c r="Q106" s="44">
        <f t="shared" si="0"/>
        <v>1.25</v>
      </c>
      <c r="R106" s="78">
        <v>13.7</v>
      </c>
      <c r="S106" s="78">
        <v>98</v>
      </c>
      <c r="T106" s="16">
        <f t="shared" si="1"/>
        <v>36</v>
      </c>
      <c r="U106" s="78">
        <v>598</v>
      </c>
      <c r="V106" s="64">
        <f t="shared" si="2"/>
        <v>2152.7999999999997</v>
      </c>
      <c r="W106" s="78">
        <v>30</v>
      </c>
      <c r="X106" s="60" t="s">
        <v>35</v>
      </c>
      <c r="Y106" s="78" t="s">
        <v>43</v>
      </c>
      <c r="Z106" s="78" t="s">
        <v>72</v>
      </c>
      <c r="AA106" s="78" t="s">
        <v>51</v>
      </c>
      <c r="AB106" s="43" t="s">
        <v>161</v>
      </c>
      <c r="AI106" s="48"/>
      <c r="AJ106" s="48"/>
      <c r="AK106" s="48"/>
      <c r="AL106" s="48"/>
      <c r="AM106" s="48"/>
    </row>
    <row r="107" spans="1:39" s="78" customFormat="1" x14ac:dyDescent="0.15">
      <c r="A107" s="85" t="s">
        <v>23</v>
      </c>
      <c r="B107" s="85" t="s">
        <v>160</v>
      </c>
      <c r="C107" s="85">
        <v>2020</v>
      </c>
      <c r="D107" s="45" t="s">
        <v>163</v>
      </c>
      <c r="E107" s="85" t="s">
        <v>168</v>
      </c>
      <c r="F107" s="85" t="s">
        <v>149</v>
      </c>
      <c r="G107" s="85" t="s">
        <v>25</v>
      </c>
      <c r="H107" s="85" t="s">
        <v>167</v>
      </c>
      <c r="I107" s="85" t="s">
        <v>111</v>
      </c>
      <c r="J107" s="79" t="s">
        <v>27</v>
      </c>
      <c r="K107" s="78" t="s">
        <v>112</v>
      </c>
      <c r="L107" s="85">
        <v>1</v>
      </c>
      <c r="N107" s="78">
        <v>1</v>
      </c>
      <c r="O107" s="78">
        <v>0.5</v>
      </c>
      <c r="P107" s="78">
        <v>0.6</v>
      </c>
      <c r="Q107" s="44">
        <f t="shared" si="0"/>
        <v>0.55000000000000004</v>
      </c>
      <c r="R107" s="78">
        <v>18.2</v>
      </c>
      <c r="S107" s="78">
        <v>176</v>
      </c>
      <c r="T107" s="16">
        <f t="shared" si="1"/>
        <v>30</v>
      </c>
      <c r="U107" s="78">
        <v>108</v>
      </c>
      <c r="V107" s="64">
        <f t="shared" si="2"/>
        <v>3240</v>
      </c>
      <c r="W107" s="78">
        <v>30</v>
      </c>
      <c r="X107" s="60" t="s">
        <v>35</v>
      </c>
      <c r="Y107" s="78" t="s">
        <v>43</v>
      </c>
      <c r="Z107" s="78" t="s">
        <v>72</v>
      </c>
      <c r="AA107" s="78" t="s">
        <v>51</v>
      </c>
      <c r="AB107" s="43" t="s">
        <v>161</v>
      </c>
      <c r="AI107" s="48"/>
      <c r="AJ107" s="48"/>
      <c r="AK107" s="48"/>
      <c r="AL107" s="48"/>
      <c r="AM107" s="48"/>
    </row>
    <row r="108" spans="1:39" s="78" customFormat="1" x14ac:dyDescent="0.15">
      <c r="A108" s="85" t="s">
        <v>23</v>
      </c>
      <c r="B108" s="85" t="s">
        <v>160</v>
      </c>
      <c r="C108" s="85">
        <v>2020</v>
      </c>
      <c r="D108" s="45" t="s">
        <v>163</v>
      </c>
      <c r="E108" s="85" t="s">
        <v>168</v>
      </c>
      <c r="F108" s="85" t="s">
        <v>149</v>
      </c>
      <c r="G108" s="85" t="s">
        <v>25</v>
      </c>
      <c r="H108" s="85" t="s">
        <v>167</v>
      </c>
      <c r="I108" s="85" t="s">
        <v>111</v>
      </c>
      <c r="J108" s="79" t="s">
        <v>27</v>
      </c>
      <c r="K108" s="78" t="s">
        <v>112</v>
      </c>
      <c r="L108" s="85">
        <v>2</v>
      </c>
      <c r="N108" s="78">
        <v>1</v>
      </c>
      <c r="O108" s="78">
        <v>0.65</v>
      </c>
      <c r="P108" s="78">
        <v>0.6</v>
      </c>
      <c r="Q108" s="44">
        <f t="shared" si="0"/>
        <v>0.625</v>
      </c>
      <c r="R108" s="78">
        <v>16.3</v>
      </c>
      <c r="S108" s="78">
        <v>149</v>
      </c>
      <c r="T108" s="16">
        <f t="shared" si="1"/>
        <v>30</v>
      </c>
      <c r="U108" s="78">
        <v>108</v>
      </c>
      <c r="V108" s="64">
        <f t="shared" si="2"/>
        <v>3240</v>
      </c>
      <c r="W108" s="78">
        <v>30</v>
      </c>
      <c r="X108" s="60" t="s">
        <v>35</v>
      </c>
      <c r="Y108" s="78" t="s">
        <v>43</v>
      </c>
      <c r="Z108" s="78" t="s">
        <v>72</v>
      </c>
      <c r="AA108" s="78" t="s">
        <v>51</v>
      </c>
      <c r="AB108" s="43" t="s">
        <v>161</v>
      </c>
      <c r="AI108" s="48"/>
      <c r="AJ108" s="48"/>
      <c r="AK108" s="48"/>
      <c r="AL108" s="48"/>
      <c r="AM108" s="48"/>
    </row>
    <row r="109" spans="1:39" s="78" customFormat="1" x14ac:dyDescent="0.15">
      <c r="A109" s="85" t="s">
        <v>23</v>
      </c>
      <c r="B109" s="85" t="s">
        <v>160</v>
      </c>
      <c r="C109" s="85">
        <v>2020</v>
      </c>
      <c r="D109" s="45" t="s">
        <v>163</v>
      </c>
      <c r="E109" s="85" t="s">
        <v>168</v>
      </c>
      <c r="F109" s="85" t="s">
        <v>149</v>
      </c>
      <c r="G109" s="85" t="s">
        <v>25</v>
      </c>
      <c r="H109" s="85" t="s">
        <v>167</v>
      </c>
      <c r="I109" s="85" t="s">
        <v>111</v>
      </c>
      <c r="J109" s="79" t="s">
        <v>27</v>
      </c>
      <c r="K109" s="78" t="s">
        <v>112</v>
      </c>
      <c r="L109" s="85">
        <v>3</v>
      </c>
      <c r="N109" s="78">
        <v>1</v>
      </c>
      <c r="O109" s="78">
        <v>0.5</v>
      </c>
      <c r="P109" s="78">
        <v>0.6</v>
      </c>
      <c r="Q109" s="44">
        <f t="shared" si="0"/>
        <v>0.55000000000000004</v>
      </c>
      <c r="R109" s="78">
        <v>15.8</v>
      </c>
      <c r="S109" s="78">
        <v>152</v>
      </c>
      <c r="T109" s="16">
        <f t="shared" si="1"/>
        <v>30</v>
      </c>
      <c r="U109" s="78">
        <v>108</v>
      </c>
      <c r="V109" s="64">
        <f t="shared" si="2"/>
        <v>3240</v>
      </c>
      <c r="W109" s="78">
        <v>30</v>
      </c>
      <c r="X109" s="60" t="s">
        <v>35</v>
      </c>
      <c r="Y109" s="78" t="s">
        <v>43</v>
      </c>
      <c r="Z109" s="78" t="s">
        <v>72</v>
      </c>
      <c r="AA109" s="78" t="s">
        <v>51</v>
      </c>
      <c r="AB109" s="43" t="s">
        <v>161</v>
      </c>
      <c r="AI109" s="48"/>
      <c r="AJ109" s="48"/>
      <c r="AK109" s="48"/>
      <c r="AL109" s="48"/>
      <c r="AM109" s="48"/>
    </row>
    <row r="110" spans="1:39" s="78" customFormat="1" x14ac:dyDescent="0.15">
      <c r="A110" s="85" t="s">
        <v>23</v>
      </c>
      <c r="B110" s="85" t="s">
        <v>160</v>
      </c>
      <c r="C110" s="85">
        <v>2020</v>
      </c>
      <c r="D110" s="45" t="s">
        <v>163</v>
      </c>
      <c r="E110" s="85" t="s">
        <v>168</v>
      </c>
      <c r="F110" s="85" t="s">
        <v>149</v>
      </c>
      <c r="G110" s="85" t="s">
        <v>25</v>
      </c>
      <c r="H110" s="85" t="s">
        <v>167</v>
      </c>
      <c r="I110" s="85" t="s">
        <v>111</v>
      </c>
      <c r="J110" s="79" t="s">
        <v>27</v>
      </c>
      <c r="K110" s="78" t="s">
        <v>112</v>
      </c>
      <c r="L110" s="85">
        <v>1</v>
      </c>
      <c r="N110" s="78">
        <v>8</v>
      </c>
      <c r="O110" s="78">
        <v>1</v>
      </c>
      <c r="P110" s="78">
        <v>1</v>
      </c>
      <c r="Q110" s="44">
        <f t="shared" si="0"/>
        <v>1</v>
      </c>
      <c r="R110" s="78">
        <v>16.100000000000001</v>
      </c>
      <c r="S110" s="78">
        <v>99</v>
      </c>
      <c r="T110" s="16">
        <f t="shared" si="1"/>
        <v>33</v>
      </c>
      <c r="U110" s="78">
        <v>680</v>
      </c>
      <c r="V110" s="64">
        <f t="shared" si="2"/>
        <v>2805</v>
      </c>
      <c r="W110" s="78">
        <v>30</v>
      </c>
      <c r="X110" s="60" t="s">
        <v>35</v>
      </c>
      <c r="Y110" s="78" t="s">
        <v>43</v>
      </c>
      <c r="Z110" s="78" t="s">
        <v>72</v>
      </c>
      <c r="AA110" s="78" t="s">
        <v>51</v>
      </c>
      <c r="AB110" s="43" t="s">
        <v>161</v>
      </c>
      <c r="AI110" s="48"/>
      <c r="AJ110" s="48"/>
      <c r="AK110" s="48"/>
      <c r="AL110" s="48"/>
      <c r="AM110" s="48"/>
    </row>
    <row r="111" spans="1:39" s="78" customFormat="1" x14ac:dyDescent="0.15">
      <c r="A111" s="85" t="s">
        <v>23</v>
      </c>
      <c r="B111" s="85" t="s">
        <v>160</v>
      </c>
      <c r="C111" s="85">
        <v>2020</v>
      </c>
      <c r="D111" s="45" t="s">
        <v>163</v>
      </c>
      <c r="E111" s="85" t="s">
        <v>168</v>
      </c>
      <c r="F111" s="85" t="s">
        <v>149</v>
      </c>
      <c r="G111" s="85" t="s">
        <v>25</v>
      </c>
      <c r="H111" s="85" t="s">
        <v>167</v>
      </c>
      <c r="I111" s="85" t="s">
        <v>111</v>
      </c>
      <c r="J111" s="79" t="s">
        <v>27</v>
      </c>
      <c r="K111" s="78" t="s">
        <v>112</v>
      </c>
      <c r="L111" s="85">
        <v>2</v>
      </c>
      <c r="N111" s="78">
        <v>8</v>
      </c>
      <c r="O111" s="78">
        <v>0.9</v>
      </c>
      <c r="P111" s="78">
        <v>0.7</v>
      </c>
      <c r="Q111" s="44">
        <f t="shared" si="0"/>
        <v>0.8</v>
      </c>
      <c r="R111" s="78">
        <v>17.3</v>
      </c>
      <c r="S111" s="78">
        <v>102</v>
      </c>
      <c r="T111" s="16">
        <f t="shared" si="1"/>
        <v>33</v>
      </c>
      <c r="U111" s="78">
        <v>680</v>
      </c>
      <c r="V111" s="64">
        <f t="shared" si="2"/>
        <v>2805</v>
      </c>
      <c r="W111" s="78">
        <v>30</v>
      </c>
      <c r="X111" s="60" t="s">
        <v>35</v>
      </c>
      <c r="Y111" s="78" t="s">
        <v>43</v>
      </c>
      <c r="Z111" s="78" t="s">
        <v>72</v>
      </c>
      <c r="AA111" s="78" t="s">
        <v>51</v>
      </c>
      <c r="AB111" s="43" t="s">
        <v>161</v>
      </c>
      <c r="AI111" s="48"/>
      <c r="AJ111" s="48"/>
      <c r="AK111" s="48"/>
      <c r="AL111" s="48"/>
      <c r="AM111" s="48"/>
    </row>
    <row r="112" spans="1:39" s="78" customFormat="1" x14ac:dyDescent="0.15">
      <c r="A112" s="85" t="s">
        <v>23</v>
      </c>
      <c r="B112" s="85" t="s">
        <v>160</v>
      </c>
      <c r="C112" s="85">
        <v>2020</v>
      </c>
      <c r="D112" s="45" t="s">
        <v>163</v>
      </c>
      <c r="E112" s="85" t="s">
        <v>168</v>
      </c>
      <c r="F112" s="85" t="s">
        <v>149</v>
      </c>
      <c r="G112" s="85" t="s">
        <v>25</v>
      </c>
      <c r="H112" s="85" t="s">
        <v>167</v>
      </c>
      <c r="I112" s="85" t="s">
        <v>111</v>
      </c>
      <c r="J112" s="79" t="s">
        <v>27</v>
      </c>
      <c r="K112" s="78" t="s">
        <v>112</v>
      </c>
      <c r="L112" s="85">
        <v>3</v>
      </c>
      <c r="N112" s="78">
        <v>8</v>
      </c>
      <c r="O112" s="78">
        <v>0.75</v>
      </c>
      <c r="P112" s="78">
        <v>0.85</v>
      </c>
      <c r="Q112" s="44">
        <f t="shared" si="0"/>
        <v>0.8</v>
      </c>
      <c r="R112" s="78">
        <v>16.399999999999999</v>
      </c>
      <c r="S112" s="78">
        <v>103</v>
      </c>
      <c r="T112" s="16">
        <f t="shared" si="1"/>
        <v>33</v>
      </c>
      <c r="U112" s="78">
        <v>680</v>
      </c>
      <c r="V112" s="64">
        <f t="shared" si="2"/>
        <v>2805</v>
      </c>
      <c r="W112" s="78">
        <v>30</v>
      </c>
      <c r="X112" s="60" t="s">
        <v>35</v>
      </c>
      <c r="Y112" s="78" t="s">
        <v>43</v>
      </c>
      <c r="Z112" s="78" t="s">
        <v>72</v>
      </c>
      <c r="AA112" s="78" t="s">
        <v>51</v>
      </c>
      <c r="AB112" s="43" t="s">
        <v>161</v>
      </c>
      <c r="AI112" s="48"/>
      <c r="AJ112" s="48"/>
      <c r="AK112" s="48"/>
      <c r="AL112" s="48"/>
      <c r="AM112" s="48"/>
    </row>
    <row r="113" spans="1:39" s="78" customFormat="1" x14ac:dyDescent="0.15">
      <c r="A113" s="85" t="s">
        <v>23</v>
      </c>
      <c r="B113" s="85" t="s">
        <v>160</v>
      </c>
      <c r="C113" s="85">
        <v>2020</v>
      </c>
      <c r="D113" s="45" t="s">
        <v>163</v>
      </c>
      <c r="E113" s="85" t="s">
        <v>171</v>
      </c>
      <c r="F113" s="85" t="s">
        <v>145</v>
      </c>
      <c r="G113" s="85" t="s">
        <v>25</v>
      </c>
      <c r="H113" s="85" t="s">
        <v>113</v>
      </c>
      <c r="I113" s="85" t="s">
        <v>111</v>
      </c>
      <c r="J113" s="79" t="s">
        <v>27</v>
      </c>
      <c r="K113" s="78" t="s">
        <v>112</v>
      </c>
      <c r="L113" s="85">
        <v>1</v>
      </c>
      <c r="N113" s="78">
        <v>1</v>
      </c>
      <c r="O113" s="78">
        <v>1</v>
      </c>
      <c r="P113" s="78">
        <v>1.1000000000000001</v>
      </c>
      <c r="Q113" s="44">
        <f t="shared" si="0"/>
        <v>1.05</v>
      </c>
      <c r="R113" s="78">
        <v>16.3</v>
      </c>
      <c r="S113" s="78">
        <v>117</v>
      </c>
      <c r="T113" s="16">
        <f t="shared" si="1"/>
        <v>30</v>
      </c>
      <c r="U113" s="78">
        <v>108</v>
      </c>
      <c r="V113" s="64">
        <f t="shared" si="2"/>
        <v>3240</v>
      </c>
      <c r="W113" s="78">
        <v>16</v>
      </c>
      <c r="X113" s="60" t="s">
        <v>35</v>
      </c>
      <c r="Y113" s="78" t="s">
        <v>43</v>
      </c>
      <c r="Z113" s="78" t="s">
        <v>51</v>
      </c>
      <c r="AA113" s="78" t="s">
        <v>64</v>
      </c>
      <c r="AB113" s="43" t="s">
        <v>161</v>
      </c>
      <c r="AI113" s="48"/>
      <c r="AJ113" s="48"/>
      <c r="AK113" s="48"/>
      <c r="AL113" s="48"/>
      <c r="AM113" s="48"/>
    </row>
    <row r="114" spans="1:39" s="78" customFormat="1" x14ac:dyDescent="0.15">
      <c r="A114" s="85" t="s">
        <v>23</v>
      </c>
      <c r="B114" s="85" t="s">
        <v>160</v>
      </c>
      <c r="C114" s="85">
        <v>2020</v>
      </c>
      <c r="D114" s="45" t="s">
        <v>163</v>
      </c>
      <c r="E114" s="85" t="s">
        <v>171</v>
      </c>
      <c r="F114" s="85" t="s">
        <v>145</v>
      </c>
      <c r="G114" s="85" t="s">
        <v>25</v>
      </c>
      <c r="H114" s="85" t="s">
        <v>113</v>
      </c>
      <c r="I114" s="85" t="s">
        <v>111</v>
      </c>
      <c r="J114" s="79" t="s">
        <v>27</v>
      </c>
      <c r="K114" s="78" t="s">
        <v>112</v>
      </c>
      <c r="L114" s="85">
        <v>2</v>
      </c>
      <c r="N114" s="78">
        <v>1</v>
      </c>
      <c r="O114" s="78">
        <v>0.3</v>
      </c>
      <c r="P114" s="78">
        <v>0.65</v>
      </c>
      <c r="Q114" s="44">
        <f t="shared" si="0"/>
        <v>0.47499999999999998</v>
      </c>
      <c r="R114" s="78">
        <v>15.9</v>
      </c>
      <c r="S114" s="78">
        <v>116</v>
      </c>
      <c r="T114" s="16">
        <f t="shared" si="1"/>
        <v>30</v>
      </c>
      <c r="U114" s="78">
        <v>108</v>
      </c>
      <c r="V114" s="64">
        <f t="shared" si="2"/>
        <v>3240</v>
      </c>
      <c r="W114" s="78">
        <v>16</v>
      </c>
      <c r="X114" s="60" t="s">
        <v>35</v>
      </c>
      <c r="Y114" s="78" t="s">
        <v>43</v>
      </c>
      <c r="Z114" s="78" t="s">
        <v>51</v>
      </c>
      <c r="AA114" s="78" t="s">
        <v>64</v>
      </c>
      <c r="AB114" s="43" t="s">
        <v>161</v>
      </c>
      <c r="AI114" s="48"/>
      <c r="AJ114" s="48"/>
      <c r="AK114" s="48"/>
      <c r="AL114" s="48"/>
      <c r="AM114" s="48"/>
    </row>
    <row r="115" spans="1:39" s="78" customFormat="1" x14ac:dyDescent="0.15">
      <c r="A115" s="85" t="s">
        <v>23</v>
      </c>
      <c r="B115" s="85" t="s">
        <v>160</v>
      </c>
      <c r="C115" s="85">
        <v>2020</v>
      </c>
      <c r="D115" s="45" t="s">
        <v>163</v>
      </c>
      <c r="E115" s="85" t="s">
        <v>171</v>
      </c>
      <c r="F115" s="85" t="s">
        <v>145</v>
      </c>
      <c r="G115" s="85" t="s">
        <v>25</v>
      </c>
      <c r="H115" s="85" t="s">
        <v>113</v>
      </c>
      <c r="I115" s="85" t="s">
        <v>111</v>
      </c>
      <c r="J115" s="79" t="s">
        <v>27</v>
      </c>
      <c r="K115" s="78" t="s">
        <v>112</v>
      </c>
      <c r="L115" s="85">
        <v>3</v>
      </c>
      <c r="N115" s="78">
        <v>1</v>
      </c>
      <c r="O115" s="78">
        <v>0.6</v>
      </c>
      <c r="P115" s="78">
        <v>0.6</v>
      </c>
      <c r="Q115" s="44">
        <f t="shared" si="0"/>
        <v>0.6</v>
      </c>
      <c r="R115" s="78">
        <v>15.7</v>
      </c>
      <c r="S115" s="78">
        <v>117</v>
      </c>
      <c r="T115" s="16">
        <f t="shared" si="1"/>
        <v>30</v>
      </c>
      <c r="U115" s="78">
        <v>108</v>
      </c>
      <c r="V115" s="64">
        <f t="shared" si="2"/>
        <v>3240</v>
      </c>
      <c r="W115" s="78">
        <v>16</v>
      </c>
      <c r="X115" s="60" t="s">
        <v>35</v>
      </c>
      <c r="Y115" s="78" t="s">
        <v>43</v>
      </c>
      <c r="Z115" s="78" t="s">
        <v>51</v>
      </c>
      <c r="AA115" s="78" t="s">
        <v>64</v>
      </c>
      <c r="AB115" s="43" t="s">
        <v>161</v>
      </c>
      <c r="AI115" s="48"/>
      <c r="AJ115" s="48"/>
      <c r="AK115" s="48"/>
      <c r="AL115" s="48"/>
      <c r="AM115" s="48"/>
    </row>
    <row r="116" spans="1:39" s="78" customFormat="1" x14ac:dyDescent="0.15">
      <c r="A116" s="85" t="s">
        <v>23</v>
      </c>
      <c r="B116" s="85" t="s">
        <v>160</v>
      </c>
      <c r="C116" s="85">
        <v>2020</v>
      </c>
      <c r="D116" s="45" t="s">
        <v>163</v>
      </c>
      <c r="E116" s="85" t="s">
        <v>171</v>
      </c>
      <c r="F116" s="85" t="s">
        <v>145</v>
      </c>
      <c r="G116" s="85" t="s">
        <v>25</v>
      </c>
      <c r="H116" s="85" t="s">
        <v>113</v>
      </c>
      <c r="I116" s="85" t="s">
        <v>111</v>
      </c>
      <c r="J116" s="79" t="s">
        <v>27</v>
      </c>
      <c r="K116" s="78" t="s">
        <v>112</v>
      </c>
      <c r="L116" s="85">
        <v>1</v>
      </c>
      <c r="N116" s="78">
        <v>6</v>
      </c>
      <c r="O116" s="78">
        <v>0.65</v>
      </c>
      <c r="P116" s="78">
        <v>0.5</v>
      </c>
      <c r="Q116" s="44">
        <f t="shared" si="0"/>
        <v>0.57499999999999996</v>
      </c>
      <c r="R116" s="78">
        <v>15.7</v>
      </c>
      <c r="S116" s="78">
        <v>91</v>
      </c>
      <c r="T116" s="16">
        <f t="shared" si="1"/>
        <v>36</v>
      </c>
      <c r="U116" s="78">
        <v>380</v>
      </c>
      <c r="V116" s="64">
        <f t="shared" si="2"/>
        <v>2280</v>
      </c>
      <c r="W116" s="78">
        <v>16</v>
      </c>
      <c r="X116" s="60" t="s">
        <v>35</v>
      </c>
      <c r="Y116" s="78" t="s">
        <v>43</v>
      </c>
      <c r="Z116" s="78" t="s">
        <v>51</v>
      </c>
      <c r="AA116" s="78" t="s">
        <v>64</v>
      </c>
      <c r="AB116" s="43" t="s">
        <v>161</v>
      </c>
      <c r="AI116" s="48"/>
      <c r="AJ116" s="48"/>
      <c r="AK116" s="48"/>
      <c r="AL116" s="48"/>
      <c r="AM116" s="48"/>
    </row>
    <row r="117" spans="1:39" s="78" customFormat="1" x14ac:dyDescent="0.15">
      <c r="A117" s="85" t="s">
        <v>23</v>
      </c>
      <c r="B117" s="85" t="s">
        <v>160</v>
      </c>
      <c r="C117" s="85">
        <v>2020</v>
      </c>
      <c r="D117" s="45" t="s">
        <v>163</v>
      </c>
      <c r="E117" s="85" t="s">
        <v>171</v>
      </c>
      <c r="F117" s="85" t="s">
        <v>145</v>
      </c>
      <c r="G117" s="85" t="s">
        <v>25</v>
      </c>
      <c r="H117" s="85" t="s">
        <v>113</v>
      </c>
      <c r="I117" s="85" t="s">
        <v>111</v>
      </c>
      <c r="J117" s="79" t="s">
        <v>27</v>
      </c>
      <c r="K117" s="78" t="s">
        <v>112</v>
      </c>
      <c r="L117" s="85">
        <v>2</v>
      </c>
      <c r="N117" s="78">
        <v>6</v>
      </c>
      <c r="O117" s="78">
        <v>0.7</v>
      </c>
      <c r="P117" s="78">
        <v>0.75</v>
      </c>
      <c r="Q117" s="44">
        <f t="shared" si="0"/>
        <v>0.72499999999999998</v>
      </c>
      <c r="R117" s="78">
        <v>14.8</v>
      </c>
      <c r="S117" s="78">
        <v>86</v>
      </c>
      <c r="T117" s="16">
        <f t="shared" si="1"/>
        <v>36</v>
      </c>
      <c r="U117" s="78">
        <v>380</v>
      </c>
      <c r="V117" s="64">
        <f t="shared" si="2"/>
        <v>2280</v>
      </c>
      <c r="W117" s="78">
        <v>16</v>
      </c>
      <c r="X117" s="60" t="s">
        <v>35</v>
      </c>
      <c r="Y117" s="78" t="s">
        <v>43</v>
      </c>
      <c r="Z117" s="78" t="s">
        <v>51</v>
      </c>
      <c r="AA117" s="78" t="s">
        <v>64</v>
      </c>
      <c r="AB117" s="43" t="s">
        <v>161</v>
      </c>
      <c r="AI117" s="48"/>
      <c r="AJ117" s="48"/>
      <c r="AK117" s="48"/>
      <c r="AL117" s="48"/>
      <c r="AM117" s="48"/>
    </row>
    <row r="118" spans="1:39" s="78" customFormat="1" x14ac:dyDescent="0.15">
      <c r="A118" s="85" t="s">
        <v>23</v>
      </c>
      <c r="B118" s="85" t="s">
        <v>160</v>
      </c>
      <c r="C118" s="85">
        <v>2020</v>
      </c>
      <c r="D118" s="45" t="s">
        <v>163</v>
      </c>
      <c r="E118" s="85" t="s">
        <v>171</v>
      </c>
      <c r="F118" s="85" t="s">
        <v>145</v>
      </c>
      <c r="G118" s="85" t="s">
        <v>25</v>
      </c>
      <c r="H118" s="85" t="s">
        <v>113</v>
      </c>
      <c r="I118" s="85" t="s">
        <v>111</v>
      </c>
      <c r="J118" s="79" t="s">
        <v>27</v>
      </c>
      <c r="K118" s="78" t="s">
        <v>112</v>
      </c>
      <c r="L118" s="85">
        <v>3</v>
      </c>
      <c r="N118" s="78">
        <v>6</v>
      </c>
      <c r="O118" s="78">
        <v>1.05</v>
      </c>
      <c r="P118" s="78">
        <v>1</v>
      </c>
      <c r="Q118" s="44">
        <f t="shared" si="0"/>
        <v>1.0249999999999999</v>
      </c>
      <c r="R118" s="78">
        <v>14.7</v>
      </c>
      <c r="S118" s="78">
        <v>92</v>
      </c>
      <c r="T118" s="16">
        <f t="shared" si="1"/>
        <v>36</v>
      </c>
      <c r="U118" s="78">
        <v>380</v>
      </c>
      <c r="V118" s="64">
        <f t="shared" si="2"/>
        <v>2280</v>
      </c>
      <c r="W118" s="78">
        <v>16</v>
      </c>
      <c r="X118" s="60" t="s">
        <v>35</v>
      </c>
      <c r="Y118" s="78" t="s">
        <v>43</v>
      </c>
      <c r="Z118" s="78" t="s">
        <v>51</v>
      </c>
      <c r="AA118" s="78" t="s">
        <v>64</v>
      </c>
      <c r="AB118" s="43" t="s">
        <v>161</v>
      </c>
      <c r="AI118" s="48"/>
      <c r="AJ118" s="48"/>
      <c r="AK118" s="48"/>
      <c r="AL118" s="48"/>
      <c r="AM118" s="48"/>
    </row>
    <row r="119" spans="1:39" s="78" customFormat="1" x14ac:dyDescent="0.15">
      <c r="A119" s="85" t="s">
        <v>23</v>
      </c>
      <c r="B119" s="85" t="s">
        <v>160</v>
      </c>
      <c r="C119" s="85">
        <v>2020</v>
      </c>
      <c r="D119" s="45" t="s">
        <v>163</v>
      </c>
      <c r="E119" s="85" t="s">
        <v>171</v>
      </c>
      <c r="F119" s="85" t="s">
        <v>145</v>
      </c>
      <c r="G119" s="85" t="s">
        <v>25</v>
      </c>
      <c r="H119" s="85" t="s">
        <v>167</v>
      </c>
      <c r="I119" s="85" t="s">
        <v>111</v>
      </c>
      <c r="J119" s="79" t="s">
        <v>27</v>
      </c>
      <c r="K119" s="78" t="s">
        <v>112</v>
      </c>
      <c r="L119" s="85">
        <v>1</v>
      </c>
      <c r="N119" s="78">
        <v>1</v>
      </c>
      <c r="O119" s="78">
        <v>0.65</v>
      </c>
      <c r="P119" s="78">
        <v>0.75</v>
      </c>
      <c r="Q119" s="44">
        <f t="shared" si="0"/>
        <v>0.7</v>
      </c>
      <c r="R119" s="78">
        <v>15.8</v>
      </c>
      <c r="S119" s="78">
        <v>128</v>
      </c>
      <c r="T119" s="16">
        <f t="shared" si="1"/>
        <v>30</v>
      </c>
      <c r="U119" s="78">
        <v>108</v>
      </c>
      <c r="V119" s="64">
        <f t="shared" si="2"/>
        <v>3240</v>
      </c>
      <c r="W119" s="78">
        <v>16</v>
      </c>
      <c r="X119" s="60" t="s">
        <v>35</v>
      </c>
      <c r="Y119" s="78" t="s">
        <v>43</v>
      </c>
      <c r="Z119" s="78" t="s">
        <v>51</v>
      </c>
      <c r="AA119" s="78" t="s">
        <v>64</v>
      </c>
      <c r="AB119" s="43" t="s">
        <v>161</v>
      </c>
      <c r="AI119" s="48"/>
      <c r="AJ119" s="48"/>
      <c r="AK119" s="48"/>
      <c r="AL119" s="48"/>
      <c r="AM119" s="48"/>
    </row>
    <row r="120" spans="1:39" s="78" customFormat="1" x14ac:dyDescent="0.15">
      <c r="A120" s="85" t="s">
        <v>23</v>
      </c>
      <c r="B120" s="85" t="s">
        <v>160</v>
      </c>
      <c r="C120" s="85">
        <v>2020</v>
      </c>
      <c r="D120" s="45" t="s">
        <v>163</v>
      </c>
      <c r="E120" s="85" t="s">
        <v>171</v>
      </c>
      <c r="F120" s="85" t="s">
        <v>145</v>
      </c>
      <c r="G120" s="85" t="s">
        <v>25</v>
      </c>
      <c r="H120" s="85" t="s">
        <v>167</v>
      </c>
      <c r="I120" s="85" t="s">
        <v>111</v>
      </c>
      <c r="J120" s="79" t="s">
        <v>27</v>
      </c>
      <c r="K120" s="78" t="s">
        <v>112</v>
      </c>
      <c r="L120" s="85">
        <v>2</v>
      </c>
      <c r="N120" s="78">
        <v>1</v>
      </c>
      <c r="O120" s="78">
        <v>0.6</v>
      </c>
      <c r="P120" s="78">
        <v>0.35</v>
      </c>
      <c r="Q120" s="44">
        <f t="shared" si="0"/>
        <v>0.47499999999999998</v>
      </c>
      <c r="R120" s="78">
        <v>22.5</v>
      </c>
      <c r="S120" s="78">
        <v>132</v>
      </c>
      <c r="T120" s="16">
        <f t="shared" si="1"/>
        <v>30</v>
      </c>
      <c r="U120" s="78">
        <v>108</v>
      </c>
      <c r="V120" s="64">
        <f t="shared" si="2"/>
        <v>3240</v>
      </c>
      <c r="W120" s="78">
        <v>16</v>
      </c>
      <c r="X120" s="60" t="s">
        <v>35</v>
      </c>
      <c r="Y120" s="78" t="s">
        <v>43</v>
      </c>
      <c r="Z120" s="78" t="s">
        <v>51</v>
      </c>
      <c r="AA120" s="78" t="s">
        <v>64</v>
      </c>
      <c r="AB120" s="43" t="s">
        <v>161</v>
      </c>
      <c r="AI120" s="48"/>
      <c r="AJ120" s="48"/>
      <c r="AK120" s="48"/>
      <c r="AL120" s="48"/>
      <c r="AM120" s="48"/>
    </row>
    <row r="121" spans="1:39" s="78" customFormat="1" x14ac:dyDescent="0.15">
      <c r="A121" s="85" t="s">
        <v>23</v>
      </c>
      <c r="B121" s="85" t="s">
        <v>160</v>
      </c>
      <c r="C121" s="85">
        <v>2020</v>
      </c>
      <c r="D121" s="45" t="s">
        <v>163</v>
      </c>
      <c r="E121" s="85" t="s">
        <v>171</v>
      </c>
      <c r="F121" s="85" t="s">
        <v>145</v>
      </c>
      <c r="G121" s="85" t="s">
        <v>25</v>
      </c>
      <c r="H121" s="85" t="s">
        <v>167</v>
      </c>
      <c r="I121" s="85" t="s">
        <v>111</v>
      </c>
      <c r="J121" s="79" t="s">
        <v>27</v>
      </c>
      <c r="K121" s="78" t="s">
        <v>112</v>
      </c>
      <c r="L121" s="85">
        <v>3</v>
      </c>
      <c r="N121" s="78">
        <v>1</v>
      </c>
      <c r="O121" s="78">
        <v>0.85</v>
      </c>
      <c r="P121" s="78">
        <v>1</v>
      </c>
      <c r="Q121" s="44">
        <f t="shared" si="0"/>
        <v>0.92500000000000004</v>
      </c>
      <c r="R121" s="78">
        <v>18.7</v>
      </c>
      <c r="S121" s="78">
        <v>124</v>
      </c>
      <c r="T121" s="16">
        <f t="shared" si="1"/>
        <v>30</v>
      </c>
      <c r="U121" s="78">
        <v>108</v>
      </c>
      <c r="V121" s="64">
        <f t="shared" si="2"/>
        <v>3240</v>
      </c>
      <c r="W121" s="78">
        <v>16</v>
      </c>
      <c r="X121" s="60" t="s">
        <v>35</v>
      </c>
      <c r="Y121" s="78" t="s">
        <v>43</v>
      </c>
      <c r="Z121" s="78" t="s">
        <v>51</v>
      </c>
      <c r="AA121" s="78" t="s">
        <v>64</v>
      </c>
      <c r="AB121" s="43" t="s">
        <v>161</v>
      </c>
      <c r="AI121" s="48"/>
      <c r="AJ121" s="48"/>
      <c r="AK121" s="48"/>
      <c r="AL121" s="48"/>
      <c r="AM121" s="48"/>
    </row>
    <row r="122" spans="1:39" s="78" customFormat="1" x14ac:dyDescent="0.15">
      <c r="A122" s="85" t="s">
        <v>23</v>
      </c>
      <c r="B122" s="85" t="s">
        <v>160</v>
      </c>
      <c r="C122" s="85">
        <v>2020</v>
      </c>
      <c r="D122" s="45" t="s">
        <v>163</v>
      </c>
      <c r="E122" s="85" t="s">
        <v>171</v>
      </c>
      <c r="F122" s="85" t="s">
        <v>145</v>
      </c>
      <c r="G122" s="85" t="s">
        <v>25</v>
      </c>
      <c r="H122" s="85" t="s">
        <v>167</v>
      </c>
      <c r="I122" s="85" t="s">
        <v>111</v>
      </c>
      <c r="J122" s="79" t="s">
        <v>27</v>
      </c>
      <c r="K122" s="78" t="s">
        <v>112</v>
      </c>
      <c r="L122" s="85">
        <v>1</v>
      </c>
      <c r="N122" s="78">
        <v>4</v>
      </c>
      <c r="O122" s="78">
        <v>0.5</v>
      </c>
      <c r="P122" s="78">
        <v>0.5</v>
      </c>
      <c r="Q122" s="44">
        <f t="shared" si="0"/>
        <v>0.5</v>
      </c>
      <c r="R122" s="78">
        <v>15.8</v>
      </c>
      <c r="S122" s="78">
        <v>112</v>
      </c>
      <c r="T122" s="16">
        <f t="shared" si="1"/>
        <v>33</v>
      </c>
      <c r="U122" s="78">
        <v>380</v>
      </c>
      <c r="V122" s="64">
        <f t="shared" si="2"/>
        <v>3135</v>
      </c>
      <c r="W122" s="78">
        <v>16</v>
      </c>
      <c r="X122" s="60" t="s">
        <v>35</v>
      </c>
      <c r="Y122" s="78" t="s">
        <v>43</v>
      </c>
      <c r="Z122" s="78" t="s">
        <v>51</v>
      </c>
      <c r="AA122" s="78" t="s">
        <v>64</v>
      </c>
      <c r="AB122" s="43" t="s">
        <v>161</v>
      </c>
      <c r="AI122" s="48"/>
      <c r="AJ122" s="48"/>
      <c r="AK122" s="48"/>
      <c r="AL122" s="48"/>
      <c r="AM122" s="48"/>
    </row>
    <row r="123" spans="1:39" s="78" customFormat="1" x14ac:dyDescent="0.15">
      <c r="A123" s="85" t="s">
        <v>23</v>
      </c>
      <c r="B123" s="85" t="s">
        <v>160</v>
      </c>
      <c r="C123" s="85">
        <v>2020</v>
      </c>
      <c r="D123" s="45" t="s">
        <v>163</v>
      </c>
      <c r="E123" s="85" t="s">
        <v>171</v>
      </c>
      <c r="F123" s="85" t="s">
        <v>145</v>
      </c>
      <c r="G123" s="85" t="s">
        <v>25</v>
      </c>
      <c r="H123" s="85" t="s">
        <v>167</v>
      </c>
      <c r="I123" s="85" t="s">
        <v>111</v>
      </c>
      <c r="J123" s="79" t="s">
        <v>27</v>
      </c>
      <c r="K123" s="78" t="s">
        <v>112</v>
      </c>
      <c r="L123" s="85">
        <v>2</v>
      </c>
      <c r="N123" s="78">
        <v>4</v>
      </c>
      <c r="O123" s="78">
        <v>0.6</v>
      </c>
      <c r="P123" s="78">
        <v>0.55000000000000004</v>
      </c>
      <c r="Q123" s="44">
        <f t="shared" si="0"/>
        <v>0.57499999999999996</v>
      </c>
      <c r="R123" s="78">
        <v>16.2</v>
      </c>
      <c r="S123" s="78">
        <v>107</v>
      </c>
      <c r="T123" s="16">
        <f t="shared" si="1"/>
        <v>33</v>
      </c>
      <c r="U123" s="78">
        <v>380</v>
      </c>
      <c r="V123" s="64">
        <f t="shared" si="2"/>
        <v>3135</v>
      </c>
      <c r="W123" s="78">
        <v>16</v>
      </c>
      <c r="X123" s="60" t="s">
        <v>35</v>
      </c>
      <c r="Y123" s="78" t="s">
        <v>43</v>
      </c>
      <c r="Z123" s="78" t="s">
        <v>51</v>
      </c>
      <c r="AA123" s="78" t="s">
        <v>64</v>
      </c>
      <c r="AB123" s="43" t="s">
        <v>161</v>
      </c>
      <c r="AI123" s="48"/>
      <c r="AJ123" s="48"/>
      <c r="AK123" s="48"/>
      <c r="AL123" s="48"/>
      <c r="AM123" s="48"/>
    </row>
    <row r="124" spans="1:39" s="78" customFormat="1" x14ac:dyDescent="0.15">
      <c r="A124" s="85" t="s">
        <v>23</v>
      </c>
      <c r="B124" s="85" t="s">
        <v>160</v>
      </c>
      <c r="C124" s="85">
        <v>2020</v>
      </c>
      <c r="D124" s="45" t="s">
        <v>163</v>
      </c>
      <c r="E124" s="85" t="s">
        <v>171</v>
      </c>
      <c r="F124" s="85" t="s">
        <v>145</v>
      </c>
      <c r="G124" s="85" t="s">
        <v>25</v>
      </c>
      <c r="H124" s="85" t="s">
        <v>167</v>
      </c>
      <c r="I124" s="85" t="s">
        <v>111</v>
      </c>
      <c r="J124" s="79" t="s">
        <v>27</v>
      </c>
      <c r="K124" s="78" t="s">
        <v>112</v>
      </c>
      <c r="L124" s="85">
        <v>3</v>
      </c>
      <c r="N124" s="78">
        <v>4</v>
      </c>
      <c r="O124" s="78">
        <v>0.6</v>
      </c>
      <c r="P124" s="78">
        <v>0.5</v>
      </c>
      <c r="Q124" s="44">
        <f t="shared" si="0"/>
        <v>0.55000000000000004</v>
      </c>
      <c r="R124" s="78">
        <v>17</v>
      </c>
      <c r="S124" s="78">
        <v>113</v>
      </c>
      <c r="T124" s="16">
        <f t="shared" si="1"/>
        <v>30</v>
      </c>
      <c r="U124" s="78">
        <v>380</v>
      </c>
      <c r="V124" s="64">
        <f t="shared" si="2"/>
        <v>2850</v>
      </c>
      <c r="W124" s="78">
        <v>16</v>
      </c>
      <c r="X124" s="60" t="s">
        <v>35</v>
      </c>
      <c r="Y124" s="78" t="s">
        <v>43</v>
      </c>
      <c r="Z124" s="78" t="s">
        <v>51</v>
      </c>
      <c r="AA124" s="78" t="s">
        <v>64</v>
      </c>
      <c r="AB124" s="43" t="s">
        <v>161</v>
      </c>
      <c r="AI124" s="48"/>
      <c r="AJ124" s="48"/>
      <c r="AK124" s="48"/>
      <c r="AL124" s="48"/>
      <c r="AM124" s="48"/>
    </row>
    <row r="125" spans="1:39" s="78" customFormat="1" x14ac:dyDescent="0.15">
      <c r="A125" s="85" t="s">
        <v>23</v>
      </c>
      <c r="B125" s="85" t="s">
        <v>160</v>
      </c>
      <c r="C125" s="85">
        <v>2020</v>
      </c>
      <c r="D125" s="45" t="s">
        <v>163</v>
      </c>
      <c r="E125" s="85" t="s">
        <v>146</v>
      </c>
      <c r="F125" s="85" t="s">
        <v>147</v>
      </c>
      <c r="G125" s="85" t="s">
        <v>25</v>
      </c>
      <c r="H125" s="85" t="s">
        <v>113</v>
      </c>
      <c r="I125" s="85" t="s">
        <v>111</v>
      </c>
      <c r="J125" s="79" t="s">
        <v>27</v>
      </c>
      <c r="K125" s="78" t="s">
        <v>112</v>
      </c>
      <c r="L125" s="85">
        <v>1</v>
      </c>
      <c r="N125" s="78">
        <v>1</v>
      </c>
      <c r="O125" s="78">
        <v>0.95</v>
      </c>
      <c r="P125" s="78">
        <v>1.05</v>
      </c>
      <c r="Q125" s="44">
        <f t="shared" si="0"/>
        <v>1</v>
      </c>
      <c r="R125" s="78">
        <v>16.2</v>
      </c>
      <c r="S125" s="78">
        <v>119</v>
      </c>
      <c r="T125" s="16">
        <f t="shared" si="1"/>
        <v>30</v>
      </c>
      <c r="U125" s="78">
        <v>94</v>
      </c>
      <c r="V125" s="64">
        <f t="shared" si="2"/>
        <v>2820</v>
      </c>
      <c r="W125" s="78">
        <v>10</v>
      </c>
      <c r="X125" s="60" t="s">
        <v>35</v>
      </c>
      <c r="Y125" s="78" t="s">
        <v>43</v>
      </c>
      <c r="Z125" s="78" t="s">
        <v>51</v>
      </c>
      <c r="AA125" s="78" t="s">
        <v>55</v>
      </c>
      <c r="AB125" s="43" t="s">
        <v>161</v>
      </c>
      <c r="AI125" s="48"/>
      <c r="AJ125" s="48"/>
      <c r="AK125" s="48"/>
      <c r="AL125" s="48"/>
      <c r="AM125" s="48"/>
    </row>
    <row r="126" spans="1:39" s="78" customFormat="1" x14ac:dyDescent="0.15">
      <c r="A126" s="85" t="s">
        <v>23</v>
      </c>
      <c r="B126" s="85" t="s">
        <v>160</v>
      </c>
      <c r="C126" s="85">
        <v>2020</v>
      </c>
      <c r="D126" s="45" t="s">
        <v>163</v>
      </c>
      <c r="E126" s="85" t="s">
        <v>146</v>
      </c>
      <c r="F126" s="85" t="s">
        <v>147</v>
      </c>
      <c r="G126" s="85" t="s">
        <v>25</v>
      </c>
      <c r="H126" s="85" t="s">
        <v>113</v>
      </c>
      <c r="I126" s="85" t="s">
        <v>111</v>
      </c>
      <c r="J126" s="79" t="s">
        <v>27</v>
      </c>
      <c r="K126" s="78" t="s">
        <v>112</v>
      </c>
      <c r="L126" s="85">
        <v>2</v>
      </c>
      <c r="N126" s="78">
        <v>1</v>
      </c>
      <c r="O126" s="78">
        <v>1.5</v>
      </c>
      <c r="P126" s="78">
        <v>1.45</v>
      </c>
      <c r="Q126" s="44">
        <f t="shared" si="0"/>
        <v>1.4750000000000001</v>
      </c>
      <c r="R126" s="78">
        <v>15</v>
      </c>
      <c r="S126" s="78">
        <v>119</v>
      </c>
      <c r="T126" s="16">
        <f t="shared" si="1"/>
        <v>30</v>
      </c>
      <c r="U126" s="78">
        <v>94</v>
      </c>
      <c r="V126" s="64">
        <f t="shared" si="2"/>
        <v>2820</v>
      </c>
      <c r="W126" s="78">
        <v>10</v>
      </c>
      <c r="X126" s="60" t="s">
        <v>35</v>
      </c>
      <c r="Y126" s="78" t="s">
        <v>43</v>
      </c>
      <c r="Z126" s="78" t="s">
        <v>51</v>
      </c>
      <c r="AA126" s="78" t="s">
        <v>55</v>
      </c>
      <c r="AB126" s="43" t="s">
        <v>161</v>
      </c>
      <c r="AI126" s="48"/>
      <c r="AJ126" s="48"/>
      <c r="AK126" s="48"/>
      <c r="AL126" s="48"/>
      <c r="AM126" s="48"/>
    </row>
    <row r="127" spans="1:39" s="78" customFormat="1" x14ac:dyDescent="0.15">
      <c r="A127" s="85" t="s">
        <v>23</v>
      </c>
      <c r="B127" s="85" t="s">
        <v>160</v>
      </c>
      <c r="C127" s="85">
        <v>2020</v>
      </c>
      <c r="D127" s="45" t="s">
        <v>163</v>
      </c>
      <c r="E127" s="85" t="s">
        <v>146</v>
      </c>
      <c r="F127" s="85" t="s">
        <v>147</v>
      </c>
      <c r="G127" s="85" t="s">
        <v>25</v>
      </c>
      <c r="H127" s="85" t="s">
        <v>113</v>
      </c>
      <c r="I127" s="85" t="s">
        <v>111</v>
      </c>
      <c r="J127" s="79" t="s">
        <v>27</v>
      </c>
      <c r="K127" s="78" t="s">
        <v>112</v>
      </c>
      <c r="L127" s="85">
        <v>3</v>
      </c>
      <c r="N127" s="78">
        <v>1</v>
      </c>
      <c r="O127" s="78">
        <v>1</v>
      </c>
      <c r="P127" s="78">
        <v>0.85</v>
      </c>
      <c r="Q127" s="44">
        <f t="shared" si="0"/>
        <v>0.92500000000000004</v>
      </c>
      <c r="R127" s="78">
        <v>15.5</v>
      </c>
      <c r="S127" s="78">
        <v>120</v>
      </c>
      <c r="T127" s="16">
        <f t="shared" si="1"/>
        <v>30</v>
      </c>
      <c r="U127" s="78">
        <v>94</v>
      </c>
      <c r="V127" s="64">
        <f t="shared" si="2"/>
        <v>2820</v>
      </c>
      <c r="W127" s="78">
        <v>10</v>
      </c>
      <c r="X127" s="60" t="s">
        <v>35</v>
      </c>
      <c r="Y127" s="78" t="s">
        <v>43</v>
      </c>
      <c r="Z127" s="78" t="s">
        <v>51</v>
      </c>
      <c r="AA127" s="78" t="s">
        <v>55</v>
      </c>
      <c r="AB127" s="43" t="s">
        <v>161</v>
      </c>
      <c r="AI127" s="48"/>
      <c r="AJ127" s="48"/>
      <c r="AK127" s="48"/>
      <c r="AL127" s="48"/>
      <c r="AM127" s="48"/>
    </row>
    <row r="128" spans="1:39" s="78" customFormat="1" x14ac:dyDescent="0.15">
      <c r="A128" s="85" t="s">
        <v>23</v>
      </c>
      <c r="B128" s="85" t="s">
        <v>160</v>
      </c>
      <c r="C128" s="85">
        <v>2020</v>
      </c>
      <c r="D128" s="45" t="s">
        <v>163</v>
      </c>
      <c r="E128" s="85" t="s">
        <v>146</v>
      </c>
      <c r="F128" s="85" t="s">
        <v>147</v>
      </c>
      <c r="G128" s="85" t="s">
        <v>25</v>
      </c>
      <c r="H128" s="85" t="s">
        <v>113</v>
      </c>
      <c r="I128" s="85" t="s">
        <v>111</v>
      </c>
      <c r="J128" s="79" t="s">
        <v>27</v>
      </c>
      <c r="K128" s="78" t="s">
        <v>112</v>
      </c>
      <c r="L128" s="85">
        <v>1</v>
      </c>
      <c r="N128" s="78">
        <v>10</v>
      </c>
      <c r="O128" s="78">
        <v>1</v>
      </c>
      <c r="P128" s="78">
        <v>0.95</v>
      </c>
      <c r="Q128" s="44">
        <f t="shared" si="0"/>
        <v>0.97499999999999998</v>
      </c>
      <c r="R128" s="78">
        <v>14.4</v>
      </c>
      <c r="S128" s="78">
        <v>78</v>
      </c>
      <c r="T128" s="16">
        <f t="shared" si="1"/>
        <v>39</v>
      </c>
      <c r="U128" s="78">
        <v>398</v>
      </c>
      <c r="V128" s="64">
        <f t="shared" si="2"/>
        <v>1552.1999999999998</v>
      </c>
      <c r="W128" s="78">
        <v>10</v>
      </c>
      <c r="X128" s="60" t="s">
        <v>35</v>
      </c>
      <c r="Y128" s="78" t="s">
        <v>43</v>
      </c>
      <c r="Z128" s="78" t="s">
        <v>51</v>
      </c>
      <c r="AA128" s="78" t="s">
        <v>55</v>
      </c>
      <c r="AB128" s="43" t="s">
        <v>161</v>
      </c>
      <c r="AI128" s="48"/>
      <c r="AJ128" s="48"/>
      <c r="AK128" s="48"/>
      <c r="AL128" s="48"/>
      <c r="AM128" s="48"/>
    </row>
    <row r="129" spans="1:39" s="78" customFormat="1" x14ac:dyDescent="0.15">
      <c r="A129" s="85" t="s">
        <v>23</v>
      </c>
      <c r="B129" s="85" t="s">
        <v>160</v>
      </c>
      <c r="C129" s="85">
        <v>2020</v>
      </c>
      <c r="D129" s="45" t="s">
        <v>163</v>
      </c>
      <c r="E129" s="85" t="s">
        <v>146</v>
      </c>
      <c r="F129" s="85" t="s">
        <v>147</v>
      </c>
      <c r="G129" s="85" t="s">
        <v>25</v>
      </c>
      <c r="H129" s="85" t="s">
        <v>113</v>
      </c>
      <c r="I129" s="85" t="s">
        <v>111</v>
      </c>
      <c r="J129" s="79" t="s">
        <v>27</v>
      </c>
      <c r="K129" s="78" t="s">
        <v>112</v>
      </c>
      <c r="L129" s="85">
        <v>2</v>
      </c>
      <c r="N129" s="78">
        <v>10</v>
      </c>
      <c r="O129" s="78">
        <v>0.75</v>
      </c>
      <c r="P129" s="78">
        <v>0.75</v>
      </c>
      <c r="Q129" s="44">
        <f t="shared" si="0"/>
        <v>0.75</v>
      </c>
      <c r="R129" s="78">
        <v>13.9</v>
      </c>
      <c r="S129" s="78">
        <v>78</v>
      </c>
      <c r="T129" s="16">
        <f t="shared" si="1"/>
        <v>39</v>
      </c>
      <c r="U129" s="78">
        <v>398</v>
      </c>
      <c r="V129" s="64">
        <f t="shared" si="2"/>
        <v>1552.1999999999998</v>
      </c>
      <c r="W129" s="78">
        <v>10</v>
      </c>
      <c r="X129" s="60" t="s">
        <v>35</v>
      </c>
      <c r="Y129" s="78" t="s">
        <v>43</v>
      </c>
      <c r="Z129" s="78" t="s">
        <v>51</v>
      </c>
      <c r="AA129" s="78" t="s">
        <v>55</v>
      </c>
      <c r="AB129" s="43" t="s">
        <v>161</v>
      </c>
      <c r="AI129" s="48"/>
      <c r="AJ129" s="48"/>
      <c r="AK129" s="48"/>
      <c r="AL129" s="48"/>
      <c r="AM129" s="48"/>
    </row>
    <row r="130" spans="1:39" s="78" customFormat="1" x14ac:dyDescent="0.15">
      <c r="A130" s="85" t="s">
        <v>23</v>
      </c>
      <c r="B130" s="85" t="s">
        <v>160</v>
      </c>
      <c r="C130" s="85">
        <v>2020</v>
      </c>
      <c r="D130" s="45" t="s">
        <v>163</v>
      </c>
      <c r="E130" s="85" t="s">
        <v>146</v>
      </c>
      <c r="F130" s="85" t="s">
        <v>147</v>
      </c>
      <c r="G130" s="85" t="s">
        <v>25</v>
      </c>
      <c r="H130" s="85" t="s">
        <v>113</v>
      </c>
      <c r="I130" s="85" t="s">
        <v>111</v>
      </c>
      <c r="J130" s="79" t="s">
        <v>27</v>
      </c>
      <c r="K130" s="78" t="s">
        <v>112</v>
      </c>
      <c r="L130" s="85">
        <v>3</v>
      </c>
      <c r="N130" s="78">
        <v>10</v>
      </c>
      <c r="O130" s="78">
        <v>0.85</v>
      </c>
      <c r="P130" s="78">
        <v>0.95</v>
      </c>
      <c r="Q130" s="44">
        <f t="shared" si="0"/>
        <v>0.89999999999999991</v>
      </c>
      <c r="R130" s="78">
        <v>16.7</v>
      </c>
      <c r="S130" s="78">
        <v>82</v>
      </c>
      <c r="T130" s="16">
        <f t="shared" si="1"/>
        <v>39</v>
      </c>
      <c r="U130" s="78">
        <v>398</v>
      </c>
      <c r="V130" s="64">
        <f t="shared" si="2"/>
        <v>1552.1999999999998</v>
      </c>
      <c r="W130" s="78">
        <v>10</v>
      </c>
      <c r="X130" s="60" t="s">
        <v>35</v>
      </c>
      <c r="Y130" s="78" t="s">
        <v>43</v>
      </c>
      <c r="Z130" s="78" t="s">
        <v>51</v>
      </c>
      <c r="AA130" s="78" t="s">
        <v>55</v>
      </c>
      <c r="AB130" s="43" t="s">
        <v>161</v>
      </c>
      <c r="AI130" s="48"/>
      <c r="AJ130" s="48"/>
      <c r="AK130" s="48"/>
      <c r="AL130" s="48"/>
      <c r="AM130" s="48"/>
    </row>
    <row r="131" spans="1:39" s="78" customFormat="1" x14ac:dyDescent="0.15">
      <c r="A131" s="85" t="s">
        <v>23</v>
      </c>
      <c r="B131" s="85" t="s">
        <v>160</v>
      </c>
      <c r="C131" s="85">
        <v>2020</v>
      </c>
      <c r="D131" s="45" t="s">
        <v>163</v>
      </c>
      <c r="E131" s="85" t="s">
        <v>146</v>
      </c>
      <c r="F131" s="85" t="s">
        <v>147</v>
      </c>
      <c r="G131" s="85" t="s">
        <v>25</v>
      </c>
      <c r="H131" s="85" t="s">
        <v>167</v>
      </c>
      <c r="I131" s="85" t="s">
        <v>111</v>
      </c>
      <c r="J131" s="79" t="s">
        <v>27</v>
      </c>
      <c r="K131" s="78" t="s">
        <v>112</v>
      </c>
      <c r="L131" s="85">
        <v>1</v>
      </c>
      <c r="N131" s="78">
        <v>1</v>
      </c>
      <c r="O131" s="78">
        <v>0.95</v>
      </c>
      <c r="P131" s="78">
        <v>0.7</v>
      </c>
      <c r="Q131" s="44">
        <f t="shared" si="0"/>
        <v>0.82499999999999996</v>
      </c>
      <c r="R131" s="78">
        <v>15.5</v>
      </c>
      <c r="S131" s="78">
        <v>136</v>
      </c>
      <c r="T131" s="16">
        <f t="shared" si="1"/>
        <v>30</v>
      </c>
      <c r="U131" s="78">
        <v>94</v>
      </c>
      <c r="V131" s="64">
        <f t="shared" si="2"/>
        <v>2820</v>
      </c>
      <c r="W131" s="78">
        <v>10</v>
      </c>
      <c r="X131" s="60" t="s">
        <v>35</v>
      </c>
      <c r="Y131" s="78" t="s">
        <v>43</v>
      </c>
      <c r="Z131" s="78" t="s">
        <v>51</v>
      </c>
      <c r="AA131" s="78" t="s">
        <v>55</v>
      </c>
      <c r="AB131" s="43" t="s">
        <v>161</v>
      </c>
      <c r="AI131" s="48"/>
      <c r="AJ131" s="48"/>
      <c r="AK131" s="48"/>
      <c r="AL131" s="48"/>
      <c r="AM131" s="48"/>
    </row>
    <row r="132" spans="1:39" s="78" customFormat="1" x14ac:dyDescent="0.15">
      <c r="A132" s="85" t="s">
        <v>23</v>
      </c>
      <c r="B132" s="85" t="s">
        <v>160</v>
      </c>
      <c r="C132" s="85">
        <v>2020</v>
      </c>
      <c r="D132" s="45" t="s">
        <v>163</v>
      </c>
      <c r="E132" s="85" t="s">
        <v>146</v>
      </c>
      <c r="F132" s="85" t="s">
        <v>147</v>
      </c>
      <c r="G132" s="85" t="s">
        <v>25</v>
      </c>
      <c r="H132" s="85" t="s">
        <v>167</v>
      </c>
      <c r="I132" s="85" t="s">
        <v>111</v>
      </c>
      <c r="J132" s="79" t="s">
        <v>27</v>
      </c>
      <c r="K132" s="78" t="s">
        <v>112</v>
      </c>
      <c r="L132" s="85">
        <v>2</v>
      </c>
      <c r="N132" s="78">
        <v>1</v>
      </c>
      <c r="O132" s="78">
        <v>0.85</v>
      </c>
      <c r="P132" s="78">
        <v>0.85</v>
      </c>
      <c r="Q132" s="44">
        <f t="shared" si="0"/>
        <v>0.85</v>
      </c>
      <c r="R132" s="78">
        <v>15.4</v>
      </c>
      <c r="S132" s="78">
        <v>135</v>
      </c>
      <c r="T132" s="16">
        <f t="shared" si="1"/>
        <v>30</v>
      </c>
      <c r="U132" s="78">
        <v>94</v>
      </c>
      <c r="V132" s="64">
        <f t="shared" si="2"/>
        <v>2820</v>
      </c>
      <c r="W132" s="78">
        <v>10</v>
      </c>
      <c r="X132" s="60" t="s">
        <v>35</v>
      </c>
      <c r="Y132" s="78" t="s">
        <v>43</v>
      </c>
      <c r="Z132" s="78" t="s">
        <v>51</v>
      </c>
      <c r="AA132" s="78" t="s">
        <v>55</v>
      </c>
      <c r="AB132" s="43" t="s">
        <v>161</v>
      </c>
      <c r="AI132" s="48"/>
      <c r="AJ132" s="48"/>
      <c r="AK132" s="48"/>
      <c r="AL132" s="48"/>
      <c r="AM132" s="48"/>
    </row>
    <row r="133" spans="1:39" s="78" customFormat="1" x14ac:dyDescent="0.15">
      <c r="A133" s="85" t="s">
        <v>23</v>
      </c>
      <c r="B133" s="85" t="s">
        <v>160</v>
      </c>
      <c r="C133" s="85">
        <v>2020</v>
      </c>
      <c r="D133" s="45" t="s">
        <v>163</v>
      </c>
      <c r="E133" s="85" t="s">
        <v>146</v>
      </c>
      <c r="F133" s="85" t="s">
        <v>147</v>
      </c>
      <c r="G133" s="85" t="s">
        <v>25</v>
      </c>
      <c r="H133" s="85" t="s">
        <v>167</v>
      </c>
      <c r="I133" s="85" t="s">
        <v>111</v>
      </c>
      <c r="J133" s="79" t="s">
        <v>27</v>
      </c>
      <c r="K133" s="78" t="s">
        <v>112</v>
      </c>
      <c r="L133" s="85">
        <v>3</v>
      </c>
      <c r="N133" s="78">
        <v>1</v>
      </c>
      <c r="O133" s="78">
        <v>1</v>
      </c>
      <c r="P133" s="78">
        <v>1</v>
      </c>
      <c r="Q133" s="44">
        <f t="shared" si="0"/>
        <v>1</v>
      </c>
      <c r="R133" s="78">
        <v>14</v>
      </c>
      <c r="S133" s="78">
        <v>136</v>
      </c>
      <c r="T133" s="16">
        <f t="shared" si="1"/>
        <v>30</v>
      </c>
      <c r="U133" s="78">
        <v>94</v>
      </c>
      <c r="V133" s="64">
        <f t="shared" si="2"/>
        <v>2820</v>
      </c>
      <c r="W133" s="78">
        <v>10</v>
      </c>
      <c r="X133" s="60" t="s">
        <v>35</v>
      </c>
      <c r="Y133" s="78" t="s">
        <v>43</v>
      </c>
      <c r="Z133" s="78" t="s">
        <v>51</v>
      </c>
      <c r="AA133" s="78" t="s">
        <v>55</v>
      </c>
      <c r="AB133" s="43" t="s">
        <v>161</v>
      </c>
      <c r="AI133" s="48"/>
      <c r="AJ133" s="48"/>
      <c r="AK133" s="48"/>
      <c r="AL133" s="48"/>
      <c r="AM133" s="48"/>
    </row>
    <row r="134" spans="1:39" s="78" customFormat="1" x14ac:dyDescent="0.15">
      <c r="A134" s="85" t="s">
        <v>23</v>
      </c>
      <c r="B134" s="85" t="s">
        <v>160</v>
      </c>
      <c r="C134" s="85">
        <v>2020</v>
      </c>
      <c r="D134" s="45" t="s">
        <v>163</v>
      </c>
      <c r="E134" s="85" t="s">
        <v>146</v>
      </c>
      <c r="F134" s="85" t="s">
        <v>147</v>
      </c>
      <c r="G134" s="85" t="s">
        <v>25</v>
      </c>
      <c r="H134" s="85" t="s">
        <v>167</v>
      </c>
      <c r="I134" s="85" t="s">
        <v>111</v>
      </c>
      <c r="J134" s="79" t="s">
        <v>27</v>
      </c>
      <c r="K134" s="78" t="s">
        <v>112</v>
      </c>
      <c r="L134" s="85">
        <v>1</v>
      </c>
      <c r="N134" s="78">
        <v>4</v>
      </c>
      <c r="O134" s="78">
        <v>0.8</v>
      </c>
      <c r="P134" s="78">
        <v>0.85</v>
      </c>
      <c r="Q134" s="44">
        <f t="shared" si="0"/>
        <v>0.82499999999999996</v>
      </c>
      <c r="R134" s="78">
        <v>17.3</v>
      </c>
      <c r="S134" s="78">
        <v>106</v>
      </c>
      <c r="T134" s="16">
        <f t="shared" si="1"/>
        <v>33</v>
      </c>
      <c r="U134" s="78">
        <v>298</v>
      </c>
      <c r="V134" s="64">
        <f t="shared" si="2"/>
        <v>2458.5</v>
      </c>
      <c r="W134" s="78">
        <v>10</v>
      </c>
      <c r="X134" s="60" t="s">
        <v>35</v>
      </c>
      <c r="Y134" s="78" t="s">
        <v>43</v>
      </c>
      <c r="Z134" s="78" t="s">
        <v>51</v>
      </c>
      <c r="AA134" s="78" t="s">
        <v>55</v>
      </c>
      <c r="AB134" s="43" t="s">
        <v>161</v>
      </c>
      <c r="AI134" s="48"/>
      <c r="AJ134" s="48"/>
      <c r="AK134" s="48"/>
      <c r="AL134" s="48"/>
      <c r="AM134" s="48"/>
    </row>
    <row r="135" spans="1:39" s="78" customFormat="1" x14ac:dyDescent="0.15">
      <c r="A135" s="85" t="s">
        <v>23</v>
      </c>
      <c r="B135" s="85" t="s">
        <v>160</v>
      </c>
      <c r="C135" s="85">
        <v>2020</v>
      </c>
      <c r="D135" s="45" t="s">
        <v>163</v>
      </c>
      <c r="E135" s="85" t="s">
        <v>146</v>
      </c>
      <c r="F135" s="85" t="s">
        <v>147</v>
      </c>
      <c r="G135" s="85" t="s">
        <v>25</v>
      </c>
      <c r="H135" s="85" t="s">
        <v>167</v>
      </c>
      <c r="I135" s="85" t="s">
        <v>111</v>
      </c>
      <c r="J135" s="79" t="s">
        <v>27</v>
      </c>
      <c r="K135" s="78" t="s">
        <v>112</v>
      </c>
      <c r="L135" s="85">
        <v>2</v>
      </c>
      <c r="N135" s="78">
        <v>4</v>
      </c>
      <c r="O135" s="78">
        <v>0.65</v>
      </c>
      <c r="P135" s="78">
        <v>0.65</v>
      </c>
      <c r="Q135" s="44">
        <f t="shared" si="0"/>
        <v>0.65</v>
      </c>
      <c r="R135" s="78">
        <v>16.7</v>
      </c>
      <c r="S135" s="78">
        <v>105</v>
      </c>
      <c r="T135" s="16">
        <f t="shared" si="1"/>
        <v>33</v>
      </c>
      <c r="U135" s="78">
        <v>298</v>
      </c>
      <c r="V135" s="64">
        <f t="shared" si="2"/>
        <v>2458.5</v>
      </c>
      <c r="W135" s="78">
        <v>10</v>
      </c>
      <c r="X135" s="60" t="s">
        <v>35</v>
      </c>
      <c r="Y135" s="78" t="s">
        <v>43</v>
      </c>
      <c r="Z135" s="78" t="s">
        <v>51</v>
      </c>
      <c r="AA135" s="78" t="s">
        <v>55</v>
      </c>
      <c r="AB135" s="43" t="s">
        <v>161</v>
      </c>
      <c r="AI135" s="48"/>
      <c r="AJ135" s="48"/>
      <c r="AK135" s="48"/>
      <c r="AL135" s="48"/>
      <c r="AM135" s="48"/>
    </row>
    <row r="136" spans="1:39" s="78" customFormat="1" x14ac:dyDescent="0.15">
      <c r="A136" s="85" t="s">
        <v>23</v>
      </c>
      <c r="B136" s="85" t="s">
        <v>160</v>
      </c>
      <c r="C136" s="85">
        <v>2020</v>
      </c>
      <c r="D136" s="45" t="s">
        <v>163</v>
      </c>
      <c r="E136" s="85" t="s">
        <v>146</v>
      </c>
      <c r="F136" s="85" t="s">
        <v>147</v>
      </c>
      <c r="G136" s="85" t="s">
        <v>25</v>
      </c>
      <c r="H136" s="85" t="s">
        <v>167</v>
      </c>
      <c r="I136" s="85" t="s">
        <v>111</v>
      </c>
      <c r="J136" s="79" t="s">
        <v>27</v>
      </c>
      <c r="K136" s="78" t="s">
        <v>112</v>
      </c>
      <c r="L136" s="85">
        <v>3</v>
      </c>
      <c r="N136" s="78">
        <v>4</v>
      </c>
      <c r="O136" s="78">
        <v>0.75</v>
      </c>
      <c r="P136" s="78">
        <v>0.8</v>
      </c>
      <c r="Q136" s="44">
        <f t="shared" si="0"/>
        <v>0.77500000000000002</v>
      </c>
      <c r="R136" s="78">
        <v>16.399999999999999</v>
      </c>
      <c r="S136" s="78">
        <v>94</v>
      </c>
      <c r="T136" s="16">
        <f t="shared" si="1"/>
        <v>36</v>
      </c>
      <c r="U136" s="78">
        <v>298</v>
      </c>
      <c r="V136" s="64">
        <f t="shared" si="2"/>
        <v>2682</v>
      </c>
      <c r="W136" s="78">
        <v>10</v>
      </c>
      <c r="X136" s="60" t="s">
        <v>35</v>
      </c>
      <c r="Y136" s="78" t="s">
        <v>43</v>
      </c>
      <c r="Z136" s="78" t="s">
        <v>51</v>
      </c>
      <c r="AA136" s="78" t="s">
        <v>55</v>
      </c>
      <c r="AB136" s="43" t="s">
        <v>161</v>
      </c>
      <c r="AI136" s="48"/>
      <c r="AJ136" s="48"/>
      <c r="AK136" s="48"/>
      <c r="AL136" s="48"/>
      <c r="AM136" s="48"/>
    </row>
    <row r="137" spans="1:39" s="78" customFormat="1" x14ac:dyDescent="0.15">
      <c r="A137" s="85" t="s">
        <v>23</v>
      </c>
      <c r="B137" s="85" t="s">
        <v>160</v>
      </c>
      <c r="C137" s="85">
        <v>2020</v>
      </c>
      <c r="D137" s="45" t="s">
        <v>163</v>
      </c>
      <c r="E137" s="85" t="s">
        <v>172</v>
      </c>
      <c r="F137" s="85" t="s">
        <v>141</v>
      </c>
      <c r="G137" s="85" t="s">
        <v>25</v>
      </c>
      <c r="H137" s="85" t="s">
        <v>113</v>
      </c>
      <c r="I137" s="85" t="s">
        <v>111</v>
      </c>
      <c r="J137" s="79" t="s">
        <v>27</v>
      </c>
      <c r="K137" s="78" t="s">
        <v>112</v>
      </c>
      <c r="L137" s="85">
        <v>1</v>
      </c>
      <c r="N137" s="78">
        <v>1</v>
      </c>
      <c r="O137" s="78">
        <v>0.85</v>
      </c>
      <c r="P137" s="78">
        <v>0.9</v>
      </c>
      <c r="Q137" s="44">
        <f t="shared" si="0"/>
        <v>0.875</v>
      </c>
      <c r="R137" s="78">
        <v>14.9</v>
      </c>
      <c r="S137" s="78">
        <v>125</v>
      </c>
      <c r="T137" s="16">
        <f t="shared" si="1"/>
        <v>30</v>
      </c>
      <c r="U137" s="78">
        <v>69</v>
      </c>
      <c r="V137" s="64">
        <f t="shared" si="2"/>
        <v>2070</v>
      </c>
      <c r="W137" s="78">
        <v>8</v>
      </c>
      <c r="X137" s="60" t="s">
        <v>35</v>
      </c>
      <c r="Y137" s="78" t="s">
        <v>43</v>
      </c>
      <c r="Z137" s="78" t="s">
        <v>51</v>
      </c>
      <c r="AA137" s="78" t="s">
        <v>64</v>
      </c>
      <c r="AB137" s="43" t="s">
        <v>161</v>
      </c>
      <c r="AI137" s="48"/>
      <c r="AJ137" s="48"/>
      <c r="AK137" s="48"/>
      <c r="AL137" s="48"/>
      <c r="AM137" s="48"/>
    </row>
    <row r="138" spans="1:39" s="78" customFormat="1" x14ac:dyDescent="0.15">
      <c r="A138" s="85" t="s">
        <v>23</v>
      </c>
      <c r="B138" s="85" t="s">
        <v>160</v>
      </c>
      <c r="C138" s="85">
        <v>2020</v>
      </c>
      <c r="D138" s="45" t="s">
        <v>163</v>
      </c>
      <c r="E138" s="85" t="s">
        <v>172</v>
      </c>
      <c r="F138" s="85" t="s">
        <v>141</v>
      </c>
      <c r="G138" s="85" t="s">
        <v>25</v>
      </c>
      <c r="H138" s="85" t="s">
        <v>113</v>
      </c>
      <c r="I138" s="85" t="s">
        <v>111</v>
      </c>
      <c r="J138" s="79" t="s">
        <v>27</v>
      </c>
      <c r="K138" s="78" t="s">
        <v>112</v>
      </c>
      <c r="L138" s="85">
        <v>2</v>
      </c>
      <c r="N138" s="78">
        <v>1</v>
      </c>
      <c r="O138" s="78">
        <v>0.7</v>
      </c>
      <c r="P138" s="78">
        <v>0.55000000000000004</v>
      </c>
      <c r="Q138" s="44">
        <f t="shared" si="0"/>
        <v>0.625</v>
      </c>
      <c r="R138" s="78">
        <v>16.3</v>
      </c>
      <c r="S138" s="78">
        <v>118</v>
      </c>
      <c r="T138" s="16">
        <f t="shared" si="1"/>
        <v>30</v>
      </c>
      <c r="U138" s="78">
        <v>69</v>
      </c>
      <c r="V138" s="64">
        <f t="shared" si="2"/>
        <v>2070</v>
      </c>
      <c r="W138" s="78">
        <v>8</v>
      </c>
      <c r="X138" s="60" t="s">
        <v>35</v>
      </c>
      <c r="Y138" s="78" t="s">
        <v>43</v>
      </c>
      <c r="Z138" s="78" t="s">
        <v>51</v>
      </c>
      <c r="AA138" s="78" t="s">
        <v>64</v>
      </c>
      <c r="AB138" s="43" t="s">
        <v>161</v>
      </c>
      <c r="AI138" s="48"/>
      <c r="AJ138" s="48"/>
      <c r="AK138" s="48"/>
      <c r="AL138" s="48"/>
      <c r="AM138" s="48"/>
    </row>
    <row r="139" spans="1:39" s="78" customFormat="1" x14ac:dyDescent="0.15">
      <c r="A139" s="85" t="s">
        <v>23</v>
      </c>
      <c r="B139" s="85" t="s">
        <v>160</v>
      </c>
      <c r="C139" s="85">
        <v>2020</v>
      </c>
      <c r="D139" s="45" t="s">
        <v>163</v>
      </c>
      <c r="E139" s="85" t="s">
        <v>172</v>
      </c>
      <c r="F139" s="85" t="s">
        <v>141</v>
      </c>
      <c r="G139" s="85" t="s">
        <v>25</v>
      </c>
      <c r="H139" s="85" t="s">
        <v>113</v>
      </c>
      <c r="I139" s="85" t="s">
        <v>111</v>
      </c>
      <c r="J139" s="79" t="s">
        <v>27</v>
      </c>
      <c r="K139" s="78" t="s">
        <v>112</v>
      </c>
      <c r="L139" s="85">
        <v>3</v>
      </c>
      <c r="N139" s="78">
        <v>1</v>
      </c>
      <c r="O139" s="78">
        <v>1</v>
      </c>
      <c r="P139" s="78">
        <v>1.1000000000000001</v>
      </c>
      <c r="Q139" s="44">
        <f t="shared" si="0"/>
        <v>1.05</v>
      </c>
      <c r="R139" s="78">
        <v>13.1</v>
      </c>
      <c r="S139" s="78">
        <v>120</v>
      </c>
      <c r="T139" s="16">
        <f t="shared" si="1"/>
        <v>30</v>
      </c>
      <c r="U139" s="78">
        <v>69</v>
      </c>
      <c r="V139" s="64">
        <f t="shared" si="2"/>
        <v>2070</v>
      </c>
      <c r="W139" s="78">
        <v>8</v>
      </c>
      <c r="X139" s="60" t="s">
        <v>35</v>
      </c>
      <c r="Y139" s="78" t="s">
        <v>43</v>
      </c>
      <c r="Z139" s="78" t="s">
        <v>51</v>
      </c>
      <c r="AA139" s="78" t="s">
        <v>64</v>
      </c>
      <c r="AB139" s="43" t="s">
        <v>161</v>
      </c>
      <c r="AI139" s="48"/>
      <c r="AJ139" s="48"/>
      <c r="AK139" s="48"/>
      <c r="AL139" s="48"/>
      <c r="AM139" s="48"/>
    </row>
    <row r="140" spans="1:39" s="78" customFormat="1" x14ac:dyDescent="0.15">
      <c r="A140" s="85" t="s">
        <v>23</v>
      </c>
      <c r="B140" s="85" t="s">
        <v>160</v>
      </c>
      <c r="C140" s="85">
        <v>2020</v>
      </c>
      <c r="D140" s="45" t="s">
        <v>163</v>
      </c>
      <c r="E140" s="85" t="s">
        <v>172</v>
      </c>
      <c r="F140" s="85" t="s">
        <v>141</v>
      </c>
      <c r="G140" s="85" t="s">
        <v>25</v>
      </c>
      <c r="H140" s="85" t="s">
        <v>167</v>
      </c>
      <c r="I140" s="85" t="s">
        <v>111</v>
      </c>
      <c r="J140" s="79" t="s">
        <v>27</v>
      </c>
      <c r="K140" s="78" t="s">
        <v>112</v>
      </c>
      <c r="L140" s="85">
        <v>1</v>
      </c>
      <c r="N140" s="78">
        <v>1</v>
      </c>
      <c r="O140" s="78">
        <v>0.65</v>
      </c>
      <c r="P140" s="78">
        <v>0.6</v>
      </c>
      <c r="Q140" s="44">
        <f t="shared" si="0"/>
        <v>0.625</v>
      </c>
      <c r="R140" s="78">
        <v>13.8</v>
      </c>
      <c r="S140" s="78">
        <v>146</v>
      </c>
      <c r="T140" s="16">
        <f t="shared" si="1"/>
        <v>30</v>
      </c>
      <c r="U140" s="78">
        <v>98</v>
      </c>
      <c r="V140" s="64">
        <f t="shared" si="2"/>
        <v>2940</v>
      </c>
      <c r="W140" s="78">
        <v>8</v>
      </c>
      <c r="X140" s="60" t="s">
        <v>35</v>
      </c>
      <c r="Y140" s="78" t="s">
        <v>43</v>
      </c>
      <c r="Z140" s="78" t="s">
        <v>51</v>
      </c>
      <c r="AA140" s="78" t="s">
        <v>64</v>
      </c>
      <c r="AB140" s="43" t="s">
        <v>161</v>
      </c>
      <c r="AI140" s="48"/>
      <c r="AJ140" s="48"/>
      <c r="AK140" s="48"/>
      <c r="AL140" s="48"/>
      <c r="AM140" s="48"/>
    </row>
    <row r="141" spans="1:39" s="78" customFormat="1" x14ac:dyDescent="0.15">
      <c r="A141" s="85" t="s">
        <v>23</v>
      </c>
      <c r="B141" s="85" t="s">
        <v>160</v>
      </c>
      <c r="C141" s="85">
        <v>2020</v>
      </c>
      <c r="D141" s="45" t="s">
        <v>163</v>
      </c>
      <c r="E141" s="85" t="s">
        <v>172</v>
      </c>
      <c r="F141" s="85" t="s">
        <v>141</v>
      </c>
      <c r="G141" s="85" t="s">
        <v>25</v>
      </c>
      <c r="H141" s="85" t="s">
        <v>167</v>
      </c>
      <c r="I141" s="85" t="s">
        <v>111</v>
      </c>
      <c r="J141" s="79" t="s">
        <v>27</v>
      </c>
      <c r="K141" s="78" t="s">
        <v>112</v>
      </c>
      <c r="L141" s="85">
        <v>2</v>
      </c>
      <c r="N141" s="78">
        <v>1</v>
      </c>
      <c r="O141" s="78">
        <v>0.85</v>
      </c>
      <c r="P141" s="78">
        <v>0.8</v>
      </c>
      <c r="Q141" s="44">
        <f t="shared" si="0"/>
        <v>0.82499999999999996</v>
      </c>
      <c r="R141" s="78">
        <v>16.7</v>
      </c>
      <c r="S141" s="78">
        <v>152</v>
      </c>
      <c r="T141" s="16">
        <f t="shared" si="1"/>
        <v>30</v>
      </c>
      <c r="U141" s="78">
        <v>98</v>
      </c>
      <c r="V141" s="64">
        <f t="shared" si="2"/>
        <v>2940</v>
      </c>
      <c r="W141" s="78">
        <v>8</v>
      </c>
      <c r="X141" s="60" t="s">
        <v>35</v>
      </c>
      <c r="Y141" s="78" t="s">
        <v>43</v>
      </c>
      <c r="Z141" s="78" t="s">
        <v>51</v>
      </c>
      <c r="AA141" s="78" t="s">
        <v>64</v>
      </c>
      <c r="AB141" s="43" t="s">
        <v>161</v>
      </c>
      <c r="AI141" s="48"/>
      <c r="AJ141" s="48"/>
      <c r="AK141" s="48"/>
      <c r="AL141" s="48"/>
      <c r="AM141" s="48"/>
    </row>
    <row r="142" spans="1:39" s="78" customFormat="1" x14ac:dyDescent="0.15">
      <c r="A142" s="85" t="s">
        <v>23</v>
      </c>
      <c r="B142" s="85" t="s">
        <v>160</v>
      </c>
      <c r="C142" s="85">
        <v>2020</v>
      </c>
      <c r="D142" s="45" t="s">
        <v>163</v>
      </c>
      <c r="E142" s="85" t="s">
        <v>172</v>
      </c>
      <c r="F142" s="85" t="s">
        <v>141</v>
      </c>
      <c r="G142" s="85" t="s">
        <v>25</v>
      </c>
      <c r="H142" s="85" t="s">
        <v>167</v>
      </c>
      <c r="I142" s="85" t="s">
        <v>111</v>
      </c>
      <c r="J142" s="79" t="s">
        <v>27</v>
      </c>
      <c r="K142" s="78" t="s">
        <v>112</v>
      </c>
      <c r="L142" s="85">
        <v>3</v>
      </c>
      <c r="N142" s="78">
        <v>1</v>
      </c>
      <c r="O142" s="78">
        <v>0.8</v>
      </c>
      <c r="P142" s="78">
        <v>0.75</v>
      </c>
      <c r="Q142" s="44">
        <f t="shared" si="0"/>
        <v>0.77500000000000002</v>
      </c>
      <c r="R142" s="78">
        <v>19.399999999999999</v>
      </c>
      <c r="S142" s="78">
        <v>153</v>
      </c>
      <c r="T142" s="16">
        <f t="shared" si="1"/>
        <v>30</v>
      </c>
      <c r="U142" s="78">
        <v>98</v>
      </c>
      <c r="V142" s="64">
        <f t="shared" si="2"/>
        <v>2940</v>
      </c>
      <c r="W142" s="78">
        <v>8</v>
      </c>
      <c r="X142" s="60" t="s">
        <v>35</v>
      </c>
      <c r="Y142" s="78" t="s">
        <v>43</v>
      </c>
      <c r="Z142" s="78" t="s">
        <v>51</v>
      </c>
      <c r="AA142" s="78" t="s">
        <v>64</v>
      </c>
      <c r="AB142" s="43" t="s">
        <v>161</v>
      </c>
      <c r="AI142" s="48"/>
      <c r="AJ142" s="48"/>
      <c r="AK142" s="48"/>
      <c r="AL142" s="48"/>
      <c r="AM142" s="48"/>
    </row>
    <row r="143" spans="1:39" x14ac:dyDescent="0.15">
      <c r="A143" s="90"/>
      <c r="B143" s="91"/>
      <c r="C143" s="91"/>
      <c r="D143" s="92"/>
      <c r="E143" s="91"/>
      <c r="F143" s="91"/>
      <c r="G143" s="91"/>
      <c r="H143" s="91"/>
      <c r="I143" s="91"/>
      <c r="J143" s="79"/>
      <c r="Q143" s="44"/>
    </row>
    <row r="144" spans="1:39" x14ac:dyDescent="0.15">
      <c r="A144" s="90"/>
      <c r="B144" s="91"/>
      <c r="C144" s="91"/>
      <c r="D144" s="92"/>
      <c r="E144" s="91"/>
      <c r="F144" s="91"/>
      <c r="G144" s="91"/>
      <c r="H144" s="91"/>
      <c r="I144" s="91"/>
      <c r="J144" s="79"/>
      <c r="Q144" s="44"/>
    </row>
    <row r="145" spans="1:17" x14ac:dyDescent="0.15">
      <c r="A145" s="90"/>
      <c r="B145" s="91"/>
      <c r="C145" s="91"/>
      <c r="D145" s="92"/>
      <c r="E145" s="91"/>
      <c r="F145" s="91"/>
      <c r="G145" s="91"/>
      <c r="H145" s="91"/>
      <c r="I145" s="91"/>
      <c r="J145" s="79"/>
      <c r="Q145" s="44"/>
    </row>
    <row r="146" spans="1:17" x14ac:dyDescent="0.15">
      <c r="A146" s="90"/>
      <c r="B146" s="91"/>
      <c r="C146" s="91"/>
      <c r="D146" s="92"/>
      <c r="E146" s="91"/>
      <c r="F146" s="91"/>
      <c r="G146" s="91"/>
      <c r="H146" s="91"/>
      <c r="I146" s="91"/>
      <c r="J146" s="79"/>
      <c r="Q146" s="44"/>
    </row>
    <row r="147" spans="1:17" x14ac:dyDescent="0.15">
      <c r="A147" s="90"/>
      <c r="B147" s="91"/>
      <c r="C147" s="91"/>
      <c r="D147" s="92"/>
      <c r="E147" s="91"/>
      <c r="F147" s="91"/>
      <c r="G147" s="91"/>
      <c r="H147" s="91"/>
      <c r="I147" s="91"/>
      <c r="J147" s="79"/>
      <c r="Q147" s="44"/>
    </row>
    <row r="148" spans="1:17" x14ac:dyDescent="0.15">
      <c r="A148" s="90"/>
      <c r="B148" s="91"/>
      <c r="C148" s="91"/>
      <c r="D148" s="92"/>
      <c r="E148" s="91"/>
      <c r="F148" s="91"/>
      <c r="G148" s="91"/>
      <c r="H148" s="91"/>
      <c r="I148" s="91"/>
      <c r="J148" s="79"/>
      <c r="Q148" s="44"/>
    </row>
    <row r="149" spans="1:17" x14ac:dyDescent="0.15">
      <c r="A149" s="90"/>
      <c r="B149" s="91"/>
      <c r="C149" s="91"/>
      <c r="D149" s="92"/>
      <c r="E149" s="91"/>
      <c r="F149" s="91"/>
      <c r="G149" s="91"/>
      <c r="H149" s="91"/>
      <c r="I149" s="91"/>
      <c r="J149" s="79"/>
      <c r="Q149" s="44"/>
    </row>
    <row r="150" spans="1:17" x14ac:dyDescent="0.15">
      <c r="A150" s="90"/>
      <c r="B150" s="91"/>
      <c r="C150" s="91"/>
      <c r="D150" s="92"/>
      <c r="E150" s="91"/>
      <c r="F150" s="91"/>
      <c r="G150" s="91"/>
      <c r="H150" s="91"/>
      <c r="I150" s="91"/>
      <c r="J150" s="79"/>
      <c r="Q150" s="44"/>
    </row>
    <row r="151" spans="1:17" x14ac:dyDescent="0.15">
      <c r="A151" s="90"/>
      <c r="B151" s="91"/>
      <c r="C151" s="91"/>
      <c r="D151" s="92"/>
      <c r="E151" s="91"/>
      <c r="F151" s="91"/>
      <c r="G151" s="91"/>
      <c r="H151" s="91"/>
      <c r="I151" s="91"/>
      <c r="J151" s="79"/>
      <c r="Q151" s="44"/>
    </row>
    <row r="152" spans="1:17" x14ac:dyDescent="0.15">
      <c r="A152" s="90"/>
      <c r="B152" s="91"/>
      <c r="C152" s="91"/>
      <c r="D152" s="92"/>
      <c r="E152" s="91"/>
      <c r="F152" s="91"/>
      <c r="G152" s="91"/>
      <c r="H152" s="91"/>
      <c r="I152" s="91"/>
      <c r="J152" s="79"/>
      <c r="Q152" s="44"/>
    </row>
    <row r="153" spans="1:17" x14ac:dyDescent="0.15">
      <c r="A153" s="90"/>
      <c r="B153" s="91"/>
      <c r="C153" s="91"/>
      <c r="D153" s="92"/>
      <c r="E153" s="91"/>
      <c r="F153" s="91"/>
      <c r="G153" s="91"/>
      <c r="H153" s="91"/>
      <c r="I153" s="91"/>
      <c r="J153" s="79"/>
      <c r="Q153" s="44"/>
    </row>
    <row r="154" spans="1:17" x14ac:dyDescent="0.15">
      <c r="A154" s="90"/>
      <c r="B154" s="91"/>
      <c r="C154" s="91"/>
      <c r="D154" s="92"/>
      <c r="E154" s="91"/>
      <c r="F154" s="91"/>
      <c r="G154" s="91"/>
      <c r="H154" s="91"/>
      <c r="I154" s="91"/>
      <c r="J154" s="79"/>
      <c r="Q154" s="44"/>
    </row>
    <row r="155" spans="1:17" x14ac:dyDescent="0.15">
      <c r="A155" s="90"/>
      <c r="B155" s="91"/>
      <c r="C155" s="91"/>
      <c r="D155" s="92"/>
      <c r="E155" s="91"/>
      <c r="F155" s="91"/>
      <c r="G155" s="91"/>
      <c r="H155" s="91"/>
      <c r="I155" s="91"/>
      <c r="J155" s="79"/>
      <c r="Q155" s="44"/>
    </row>
    <row r="156" spans="1:17" x14ac:dyDescent="0.15">
      <c r="A156" s="90"/>
      <c r="B156" s="91"/>
      <c r="C156" s="91"/>
      <c r="D156" s="92"/>
      <c r="E156" s="91"/>
      <c r="F156" s="91"/>
      <c r="G156" s="91"/>
      <c r="H156" s="91"/>
      <c r="I156" s="91"/>
      <c r="J156" s="79"/>
      <c r="Q156" s="44"/>
    </row>
    <row r="157" spans="1:17" x14ac:dyDescent="0.15">
      <c r="A157" s="90"/>
      <c r="B157" s="91"/>
      <c r="C157" s="91"/>
      <c r="D157" s="92"/>
      <c r="E157" s="91"/>
      <c r="F157" s="91"/>
      <c r="G157" s="91"/>
      <c r="H157" s="91"/>
      <c r="I157" s="91"/>
      <c r="J157" s="79"/>
      <c r="Q157" s="44"/>
    </row>
    <row r="158" spans="1:17" x14ac:dyDescent="0.15">
      <c r="A158" s="90"/>
      <c r="B158" s="91"/>
      <c r="C158" s="91"/>
      <c r="D158" s="92"/>
      <c r="E158" s="91"/>
      <c r="F158" s="91"/>
      <c r="G158" s="91"/>
      <c r="H158" s="91"/>
      <c r="I158" s="91"/>
      <c r="J158" s="79"/>
      <c r="Q158" s="44"/>
    </row>
    <row r="159" spans="1:17" x14ac:dyDescent="0.15">
      <c r="A159" s="90"/>
      <c r="B159" s="91"/>
      <c r="C159" s="91"/>
      <c r="D159" s="92"/>
      <c r="E159" s="91"/>
      <c r="F159" s="91"/>
      <c r="G159" s="91"/>
      <c r="H159" s="91"/>
      <c r="I159" s="91"/>
      <c r="J159" s="79"/>
      <c r="Q159" s="44"/>
    </row>
    <row r="160" spans="1:17" x14ac:dyDescent="0.15">
      <c r="A160" s="90"/>
      <c r="B160" s="91"/>
      <c r="C160" s="91"/>
      <c r="D160" s="92"/>
      <c r="E160" s="91"/>
      <c r="F160" s="91"/>
      <c r="G160" s="91"/>
      <c r="H160" s="91"/>
      <c r="I160" s="91"/>
      <c r="J160" s="79"/>
      <c r="Q160" s="44"/>
    </row>
    <row r="161" spans="1:17" x14ac:dyDescent="0.15">
      <c r="A161" s="90"/>
      <c r="B161" s="91"/>
      <c r="C161" s="91"/>
      <c r="D161" s="92"/>
      <c r="E161" s="91"/>
      <c r="F161" s="91"/>
      <c r="G161" s="91"/>
      <c r="H161" s="91"/>
      <c r="I161" s="91"/>
      <c r="J161" s="79"/>
      <c r="Q161" s="44"/>
    </row>
    <row r="162" spans="1:17" x14ac:dyDescent="0.15">
      <c r="A162" s="90"/>
      <c r="B162" s="91"/>
      <c r="C162" s="91"/>
      <c r="D162" s="92"/>
      <c r="E162" s="91"/>
      <c r="F162" s="91"/>
      <c r="G162" s="91"/>
      <c r="H162" s="91"/>
      <c r="I162" s="91"/>
      <c r="J162" s="79"/>
      <c r="Q162" s="44"/>
    </row>
    <row r="163" spans="1:17" x14ac:dyDescent="0.15">
      <c r="A163" s="90"/>
      <c r="B163" s="91"/>
      <c r="C163" s="91"/>
      <c r="D163" s="92"/>
      <c r="E163" s="91"/>
      <c r="F163" s="91"/>
      <c r="G163" s="91"/>
      <c r="H163" s="91"/>
      <c r="I163" s="91"/>
      <c r="J163" s="79"/>
      <c r="Q163" s="44"/>
    </row>
    <row r="164" spans="1:17" x14ac:dyDescent="0.15">
      <c r="A164" s="90"/>
      <c r="B164" s="91"/>
      <c r="C164" s="91"/>
      <c r="D164" s="92"/>
      <c r="E164" s="91"/>
      <c r="F164" s="91"/>
      <c r="G164" s="91"/>
      <c r="H164" s="91"/>
      <c r="I164" s="91"/>
      <c r="J164" s="79"/>
      <c r="Q164" s="44"/>
    </row>
    <row r="165" spans="1:17" x14ac:dyDescent="0.15">
      <c r="A165" s="90"/>
      <c r="B165" s="91"/>
      <c r="C165" s="91"/>
      <c r="D165" s="92"/>
      <c r="E165" s="91"/>
      <c r="F165" s="91"/>
      <c r="G165" s="91"/>
      <c r="H165" s="91"/>
      <c r="I165" s="91"/>
      <c r="J165" s="79"/>
      <c r="Q165" s="44"/>
    </row>
    <row r="166" spans="1:17" x14ac:dyDescent="0.15">
      <c r="A166" s="90"/>
      <c r="B166" s="91"/>
      <c r="C166" s="91"/>
      <c r="D166" s="92"/>
      <c r="E166" s="91"/>
      <c r="F166" s="91"/>
      <c r="G166" s="91"/>
      <c r="H166" s="91"/>
      <c r="I166" s="91"/>
      <c r="J166" s="79"/>
      <c r="Q166" s="44"/>
    </row>
    <row r="167" spans="1:17" x14ac:dyDescent="0.15">
      <c r="A167" s="90"/>
      <c r="B167" s="91"/>
      <c r="C167" s="91"/>
      <c r="D167" s="92"/>
      <c r="E167" s="91"/>
      <c r="F167" s="91"/>
      <c r="G167" s="91"/>
      <c r="H167" s="91"/>
      <c r="I167" s="91"/>
      <c r="J167" s="79"/>
      <c r="Q167" s="44"/>
    </row>
    <row r="168" spans="1:17" x14ac:dyDescent="0.15">
      <c r="A168" s="90"/>
      <c r="B168" s="91"/>
      <c r="C168" s="91"/>
      <c r="D168" s="92"/>
      <c r="E168" s="91"/>
      <c r="F168" s="91"/>
      <c r="G168" s="91"/>
      <c r="H168" s="91"/>
      <c r="I168" s="91"/>
      <c r="J168" s="79"/>
      <c r="Q168" s="44"/>
    </row>
    <row r="169" spans="1:17" x14ac:dyDescent="0.15">
      <c r="A169" s="90"/>
      <c r="B169" s="91"/>
      <c r="C169" s="91"/>
      <c r="D169" s="92"/>
      <c r="E169" s="91"/>
      <c r="F169" s="91"/>
      <c r="G169" s="91"/>
      <c r="H169" s="91"/>
      <c r="I169" s="91"/>
      <c r="J169" s="79"/>
      <c r="Q169" s="44"/>
    </row>
    <row r="170" spans="1:17" x14ac:dyDescent="0.15">
      <c r="A170" s="90"/>
      <c r="B170" s="91"/>
      <c r="C170" s="91"/>
      <c r="D170" s="92"/>
      <c r="E170" s="91"/>
      <c r="F170" s="91"/>
      <c r="G170" s="91"/>
      <c r="H170" s="91"/>
      <c r="I170" s="91"/>
      <c r="J170" s="79"/>
      <c r="Q170" s="44"/>
    </row>
    <row r="171" spans="1:17" x14ac:dyDescent="0.15">
      <c r="A171" s="90"/>
      <c r="B171" s="91"/>
      <c r="C171" s="91"/>
      <c r="D171" s="92"/>
      <c r="E171" s="91"/>
      <c r="F171" s="91"/>
      <c r="G171" s="91"/>
      <c r="H171" s="91"/>
      <c r="I171" s="91"/>
      <c r="J171" s="79"/>
      <c r="Q171" s="44"/>
    </row>
    <row r="172" spans="1:17" x14ac:dyDescent="0.15">
      <c r="A172" s="90"/>
      <c r="B172" s="91"/>
      <c r="C172" s="91"/>
      <c r="D172" s="92"/>
      <c r="E172" s="91"/>
      <c r="F172" s="91"/>
      <c r="G172" s="91"/>
      <c r="H172" s="91"/>
      <c r="I172" s="91"/>
      <c r="J172" s="79"/>
      <c r="Q172" s="44"/>
    </row>
    <row r="173" spans="1:17" x14ac:dyDescent="0.15">
      <c r="A173" s="90"/>
      <c r="B173" s="91"/>
      <c r="C173" s="91"/>
      <c r="D173" s="92"/>
      <c r="E173" s="91"/>
      <c r="F173" s="91"/>
      <c r="G173" s="91"/>
      <c r="H173" s="91"/>
      <c r="I173" s="91"/>
      <c r="J173" s="79"/>
      <c r="Q173" s="44"/>
    </row>
    <row r="174" spans="1:17" x14ac:dyDescent="0.15">
      <c r="A174" s="90"/>
      <c r="B174" s="91"/>
      <c r="C174" s="91"/>
      <c r="D174" s="92"/>
      <c r="E174" s="91"/>
      <c r="F174" s="91"/>
      <c r="G174" s="91"/>
      <c r="H174" s="91"/>
      <c r="I174" s="91"/>
      <c r="J174" s="79"/>
      <c r="Q174" s="44"/>
    </row>
    <row r="175" spans="1:17" x14ac:dyDescent="0.15">
      <c r="A175" s="90"/>
      <c r="B175" s="91"/>
      <c r="C175" s="91"/>
      <c r="D175" s="92"/>
      <c r="E175" s="91"/>
      <c r="F175" s="91"/>
      <c r="G175" s="91"/>
      <c r="H175" s="91"/>
      <c r="I175" s="91"/>
      <c r="J175" s="79"/>
      <c r="Q175" s="44"/>
    </row>
    <row r="176" spans="1:17" x14ac:dyDescent="0.15">
      <c r="A176" s="90"/>
      <c r="B176" s="91"/>
      <c r="C176" s="91"/>
      <c r="D176" s="92"/>
      <c r="E176" s="91"/>
      <c r="F176" s="91"/>
      <c r="G176" s="91"/>
      <c r="H176" s="91"/>
      <c r="I176" s="91"/>
      <c r="J176" s="79"/>
      <c r="Q176" s="44"/>
    </row>
    <row r="177" spans="1:17" x14ac:dyDescent="0.15">
      <c r="A177" s="90"/>
      <c r="B177" s="91"/>
      <c r="C177" s="91"/>
      <c r="D177" s="92"/>
      <c r="E177" s="91"/>
      <c r="F177" s="91"/>
      <c r="G177" s="91"/>
      <c r="H177" s="91"/>
      <c r="I177" s="91"/>
      <c r="J177" s="79"/>
      <c r="Q177" s="44"/>
    </row>
    <row r="178" spans="1:17" x14ac:dyDescent="0.15">
      <c r="A178" s="90"/>
      <c r="B178" s="91"/>
      <c r="C178" s="91"/>
      <c r="D178" s="92"/>
      <c r="E178" s="91"/>
      <c r="F178" s="91"/>
      <c r="G178" s="91"/>
      <c r="H178" s="91"/>
      <c r="I178" s="91"/>
      <c r="J178" s="79"/>
      <c r="Q178" s="44"/>
    </row>
    <row r="179" spans="1:17" x14ac:dyDescent="0.15">
      <c r="A179" s="90"/>
      <c r="B179" s="91"/>
      <c r="C179" s="91"/>
      <c r="D179" s="92"/>
      <c r="E179" s="91"/>
      <c r="F179" s="91"/>
      <c r="G179" s="91"/>
      <c r="H179" s="91"/>
      <c r="I179" s="91"/>
      <c r="J179" s="79"/>
      <c r="Q179" s="44"/>
    </row>
    <row r="180" spans="1:17" x14ac:dyDescent="0.15">
      <c r="A180" s="90"/>
      <c r="B180" s="91"/>
      <c r="C180" s="91"/>
      <c r="D180" s="92"/>
      <c r="E180" s="91"/>
      <c r="F180" s="91"/>
      <c r="G180" s="91"/>
      <c r="H180" s="91"/>
      <c r="I180" s="91"/>
      <c r="J180" s="79"/>
      <c r="Q180" s="44"/>
    </row>
    <row r="181" spans="1:17" x14ac:dyDescent="0.15">
      <c r="A181" s="90"/>
      <c r="B181" s="91"/>
      <c r="C181" s="91"/>
      <c r="D181" s="92"/>
      <c r="E181" s="91"/>
      <c r="F181" s="91"/>
      <c r="G181" s="91"/>
      <c r="H181" s="91"/>
      <c r="I181" s="91"/>
      <c r="J181" s="79"/>
      <c r="Q181" s="44"/>
    </row>
    <row r="182" spans="1:17" x14ac:dyDescent="0.15">
      <c r="A182" s="90"/>
      <c r="B182" s="91"/>
      <c r="C182" s="91"/>
      <c r="D182" s="92"/>
      <c r="E182" s="91"/>
      <c r="F182" s="91"/>
      <c r="G182" s="91"/>
      <c r="H182" s="91"/>
      <c r="I182" s="91"/>
      <c r="J182" s="79"/>
      <c r="Q182" s="44"/>
    </row>
    <row r="183" spans="1:17" x14ac:dyDescent="0.15">
      <c r="A183" s="90"/>
      <c r="B183" s="91"/>
      <c r="C183" s="91"/>
      <c r="D183" s="92"/>
      <c r="E183" s="91"/>
      <c r="F183" s="91"/>
      <c r="G183" s="91"/>
      <c r="H183" s="91"/>
      <c r="I183" s="91"/>
      <c r="J183" s="79"/>
      <c r="Q183" s="44"/>
    </row>
    <row r="184" spans="1:17" x14ac:dyDescent="0.15">
      <c r="A184" s="90"/>
      <c r="B184" s="91"/>
      <c r="C184" s="91"/>
      <c r="D184" s="92"/>
      <c r="E184" s="91"/>
      <c r="F184" s="91"/>
      <c r="G184" s="91"/>
      <c r="H184" s="91"/>
      <c r="I184" s="91"/>
      <c r="J184" s="79"/>
      <c r="Q184" s="44"/>
    </row>
    <row r="185" spans="1:17" x14ac:dyDescent="0.15">
      <c r="A185" s="90"/>
      <c r="B185" s="91"/>
      <c r="C185" s="91"/>
      <c r="D185" s="92"/>
      <c r="E185" s="91"/>
      <c r="F185" s="91"/>
      <c r="G185" s="91"/>
      <c r="H185" s="91"/>
      <c r="I185" s="91"/>
      <c r="J185" s="79"/>
      <c r="Q185" s="44"/>
    </row>
    <row r="186" spans="1:17" x14ac:dyDescent="0.15">
      <c r="A186" s="90"/>
      <c r="B186" s="91"/>
      <c r="C186" s="91"/>
      <c r="D186" s="92"/>
      <c r="E186" s="91"/>
      <c r="F186" s="91"/>
      <c r="G186" s="91"/>
      <c r="H186" s="91"/>
      <c r="I186" s="91"/>
      <c r="J186" s="79"/>
      <c r="Q186" s="44"/>
    </row>
    <row r="187" spans="1:17" x14ac:dyDescent="0.15">
      <c r="A187" s="90"/>
      <c r="B187" s="91"/>
      <c r="C187" s="91"/>
      <c r="D187" s="92"/>
      <c r="E187" s="91"/>
      <c r="F187" s="91"/>
      <c r="G187" s="91"/>
      <c r="H187" s="91"/>
      <c r="I187" s="91"/>
      <c r="J187" s="79"/>
      <c r="Q187" s="44"/>
    </row>
    <row r="188" spans="1:17" x14ac:dyDescent="0.15">
      <c r="A188" s="90"/>
      <c r="B188" s="91"/>
      <c r="C188" s="91"/>
      <c r="D188" s="92"/>
      <c r="E188" s="91"/>
      <c r="F188" s="91"/>
      <c r="G188" s="91"/>
      <c r="H188" s="91"/>
      <c r="I188" s="91"/>
      <c r="J188" s="79"/>
      <c r="Q188" s="44"/>
    </row>
    <row r="189" spans="1:17" x14ac:dyDescent="0.15">
      <c r="A189" s="90"/>
      <c r="B189" s="91"/>
      <c r="C189" s="91"/>
      <c r="D189" s="92"/>
      <c r="E189" s="91"/>
      <c r="F189" s="91"/>
      <c r="G189" s="91"/>
      <c r="H189" s="91"/>
      <c r="I189" s="91"/>
      <c r="J189" s="79"/>
      <c r="Q189" s="44"/>
    </row>
    <row r="190" spans="1:17" x14ac:dyDescent="0.15">
      <c r="A190" s="90"/>
      <c r="B190" s="91"/>
      <c r="C190" s="91"/>
      <c r="D190" s="92"/>
      <c r="E190" s="91"/>
      <c r="F190" s="91"/>
      <c r="G190" s="91"/>
      <c r="H190" s="91"/>
      <c r="I190" s="91"/>
      <c r="J190" s="79"/>
      <c r="Q190" s="44"/>
    </row>
    <row r="191" spans="1:17" x14ac:dyDescent="0.15">
      <c r="A191" s="90"/>
      <c r="B191" s="91"/>
      <c r="C191" s="91"/>
      <c r="D191" s="92"/>
      <c r="E191" s="91"/>
      <c r="F191" s="91"/>
      <c r="G191" s="91"/>
      <c r="H191" s="91"/>
      <c r="I191" s="91"/>
      <c r="J191" s="79"/>
      <c r="Q191" s="44"/>
    </row>
    <row r="192" spans="1:17" x14ac:dyDescent="0.15">
      <c r="A192" s="90"/>
      <c r="B192" s="91"/>
      <c r="C192" s="91"/>
      <c r="D192" s="92"/>
      <c r="E192" s="91"/>
      <c r="F192" s="91"/>
      <c r="G192" s="91"/>
      <c r="H192" s="91"/>
      <c r="I192" s="91"/>
      <c r="J192" s="79"/>
      <c r="Q192" s="44"/>
    </row>
    <row r="193" spans="1:17" x14ac:dyDescent="0.15">
      <c r="A193" s="90"/>
      <c r="B193" s="91"/>
      <c r="C193" s="91"/>
      <c r="D193" s="92"/>
      <c r="E193" s="91"/>
      <c r="F193" s="91"/>
      <c r="G193" s="91"/>
      <c r="H193" s="91"/>
      <c r="I193" s="91"/>
      <c r="J193" s="79"/>
      <c r="Q193" s="44"/>
    </row>
    <row r="194" spans="1:17" x14ac:dyDescent="0.15">
      <c r="A194" s="90"/>
      <c r="B194" s="91"/>
      <c r="C194" s="91"/>
      <c r="D194" s="92"/>
      <c r="E194" s="91"/>
      <c r="F194" s="91"/>
      <c r="G194" s="91"/>
      <c r="H194" s="91"/>
      <c r="I194" s="91"/>
      <c r="J194" s="79"/>
      <c r="Q194" s="44"/>
    </row>
    <row r="195" spans="1:17" x14ac:dyDescent="0.15">
      <c r="A195" s="90"/>
      <c r="B195" s="91"/>
      <c r="C195" s="91"/>
      <c r="D195" s="92"/>
      <c r="E195" s="91"/>
      <c r="F195" s="91"/>
      <c r="G195" s="91"/>
      <c r="H195" s="91"/>
      <c r="I195" s="91"/>
      <c r="J195" s="79"/>
      <c r="Q195" s="44"/>
    </row>
    <row r="196" spans="1:17" x14ac:dyDescent="0.15">
      <c r="A196" s="90"/>
      <c r="B196" s="91"/>
      <c r="C196" s="91"/>
      <c r="D196" s="92"/>
      <c r="E196" s="91"/>
      <c r="F196" s="91"/>
      <c r="G196" s="91"/>
      <c r="H196" s="91"/>
      <c r="I196" s="91"/>
      <c r="J196" s="79"/>
      <c r="Q196" s="44"/>
    </row>
    <row r="197" spans="1:17" x14ac:dyDescent="0.15">
      <c r="A197" s="90"/>
      <c r="B197" s="91"/>
      <c r="C197" s="91"/>
      <c r="D197" s="92"/>
      <c r="E197" s="91"/>
      <c r="F197" s="91"/>
      <c r="G197" s="91"/>
      <c r="H197" s="91"/>
      <c r="I197" s="91"/>
      <c r="J197" s="79"/>
      <c r="Q197" s="44"/>
    </row>
    <row r="198" spans="1:17" x14ac:dyDescent="0.15">
      <c r="A198" s="90"/>
      <c r="B198" s="91"/>
      <c r="C198" s="91"/>
      <c r="D198" s="92"/>
      <c r="E198" s="91"/>
      <c r="F198" s="91"/>
      <c r="G198" s="91"/>
      <c r="H198" s="91"/>
      <c r="I198" s="91"/>
      <c r="J198" s="79"/>
      <c r="Q198" s="44"/>
    </row>
    <row r="199" spans="1:17" x14ac:dyDescent="0.15">
      <c r="A199" s="90"/>
      <c r="B199" s="91"/>
      <c r="C199" s="91"/>
      <c r="D199" s="92"/>
      <c r="E199" s="91"/>
      <c r="F199" s="91"/>
      <c r="G199" s="91"/>
      <c r="H199" s="91"/>
      <c r="I199" s="91"/>
      <c r="J199" s="79"/>
      <c r="Q199" s="44"/>
    </row>
    <row r="200" spans="1:17" x14ac:dyDescent="0.15">
      <c r="A200" s="90"/>
      <c r="B200" s="91"/>
      <c r="C200" s="91"/>
      <c r="D200" s="92"/>
      <c r="E200" s="91"/>
      <c r="F200" s="91"/>
      <c r="G200" s="91"/>
      <c r="H200" s="91"/>
      <c r="I200" s="91"/>
      <c r="J200" s="79"/>
      <c r="Q200" s="44"/>
    </row>
    <row r="201" spans="1:17" x14ac:dyDescent="0.15">
      <c r="A201" s="90"/>
      <c r="B201" s="91"/>
      <c r="C201" s="91"/>
      <c r="D201" s="92"/>
      <c r="E201" s="91"/>
      <c r="F201" s="91"/>
      <c r="G201" s="91"/>
      <c r="H201" s="91"/>
      <c r="I201" s="91"/>
      <c r="J201" s="79"/>
      <c r="Q201" s="44"/>
    </row>
    <row r="202" spans="1:17" x14ac:dyDescent="0.15">
      <c r="A202" s="90"/>
      <c r="B202" s="91"/>
      <c r="C202" s="91"/>
      <c r="D202" s="92"/>
      <c r="E202" s="91"/>
      <c r="F202" s="91"/>
      <c r="G202" s="91"/>
      <c r="H202" s="91"/>
      <c r="I202" s="91"/>
      <c r="J202" s="79"/>
      <c r="Q202" s="44"/>
    </row>
    <row r="203" spans="1:17" x14ac:dyDescent="0.15">
      <c r="A203" s="90"/>
      <c r="B203" s="91"/>
      <c r="C203" s="91"/>
      <c r="D203" s="92"/>
      <c r="E203" s="91"/>
      <c r="F203" s="91"/>
      <c r="G203" s="91"/>
      <c r="H203" s="91"/>
      <c r="I203" s="91"/>
      <c r="J203" s="79"/>
      <c r="Q203" s="44"/>
    </row>
    <row r="204" spans="1:17" x14ac:dyDescent="0.15">
      <c r="A204" s="90"/>
      <c r="B204" s="91"/>
      <c r="C204" s="91"/>
      <c r="D204" s="92"/>
      <c r="E204" s="91"/>
      <c r="F204" s="91"/>
      <c r="G204" s="91"/>
      <c r="H204" s="91"/>
      <c r="I204" s="91"/>
      <c r="J204" s="79"/>
      <c r="Q204" s="44"/>
    </row>
    <row r="205" spans="1:17" x14ac:dyDescent="0.15">
      <c r="A205" s="90"/>
      <c r="B205" s="91"/>
      <c r="C205" s="91"/>
      <c r="D205" s="92"/>
      <c r="E205" s="91"/>
      <c r="F205" s="91"/>
      <c r="G205" s="91"/>
      <c r="H205" s="91"/>
      <c r="I205" s="91"/>
      <c r="J205" s="79"/>
      <c r="Q205" s="44"/>
    </row>
    <row r="206" spans="1:17" x14ac:dyDescent="0.15">
      <c r="A206" s="90"/>
      <c r="B206" s="91"/>
      <c r="C206" s="91"/>
      <c r="D206" s="92"/>
      <c r="E206" s="91"/>
      <c r="F206" s="91"/>
      <c r="G206" s="91"/>
      <c r="H206" s="91"/>
      <c r="I206" s="91"/>
      <c r="J206" s="79"/>
      <c r="Q206" s="44"/>
    </row>
    <row r="207" spans="1:17" x14ac:dyDescent="0.15">
      <c r="A207" s="90"/>
      <c r="B207" s="91"/>
      <c r="C207" s="91"/>
      <c r="D207" s="92"/>
      <c r="E207" s="91"/>
      <c r="F207" s="91"/>
      <c r="G207" s="91"/>
      <c r="H207" s="91"/>
      <c r="I207" s="91"/>
      <c r="J207" s="79"/>
      <c r="Q207" s="44"/>
    </row>
    <row r="208" spans="1:17" x14ac:dyDescent="0.15">
      <c r="A208" s="90"/>
      <c r="B208" s="91"/>
      <c r="C208" s="91"/>
      <c r="D208" s="92"/>
      <c r="E208" s="91"/>
      <c r="F208" s="91"/>
      <c r="G208" s="91"/>
      <c r="H208" s="91"/>
      <c r="I208" s="91"/>
      <c r="J208" s="79"/>
      <c r="Q208" s="44"/>
    </row>
    <row r="209" spans="1:17" x14ac:dyDescent="0.15">
      <c r="A209" s="90"/>
      <c r="B209" s="91"/>
      <c r="C209" s="91"/>
      <c r="D209" s="92"/>
      <c r="E209" s="91"/>
      <c r="F209" s="91"/>
      <c r="G209" s="91"/>
      <c r="H209" s="91"/>
      <c r="I209" s="91"/>
      <c r="J209" s="79"/>
      <c r="Q209" s="44"/>
    </row>
    <row r="210" spans="1:17" x14ac:dyDescent="0.15">
      <c r="A210" s="90"/>
      <c r="B210" s="91"/>
      <c r="C210" s="91"/>
      <c r="D210" s="92"/>
      <c r="E210" s="91"/>
      <c r="F210" s="91"/>
      <c r="G210" s="91"/>
      <c r="H210" s="91"/>
      <c r="I210" s="91"/>
      <c r="J210" s="79"/>
      <c r="Q210" s="44"/>
    </row>
    <row r="211" spans="1:17" x14ac:dyDescent="0.15">
      <c r="A211" s="90"/>
      <c r="B211" s="91"/>
      <c r="C211" s="91"/>
      <c r="D211" s="92"/>
      <c r="E211" s="91"/>
      <c r="F211" s="91"/>
      <c r="G211" s="91"/>
      <c r="H211" s="91"/>
      <c r="I211" s="91"/>
      <c r="J211" s="79"/>
      <c r="Q211" s="44"/>
    </row>
    <row r="212" spans="1:17" x14ac:dyDescent="0.15">
      <c r="A212" s="90"/>
      <c r="B212" s="91"/>
      <c r="C212" s="91"/>
      <c r="D212" s="92"/>
      <c r="E212" s="91"/>
      <c r="F212" s="91"/>
      <c r="G212" s="91"/>
      <c r="H212" s="91"/>
      <c r="I212" s="91"/>
      <c r="J212" s="79"/>
      <c r="Q212" s="44"/>
    </row>
    <row r="213" spans="1:17" x14ac:dyDescent="0.15">
      <c r="A213" s="90"/>
      <c r="B213" s="91"/>
      <c r="C213" s="91"/>
      <c r="D213" s="92"/>
      <c r="E213" s="91"/>
      <c r="F213" s="91"/>
      <c r="G213" s="91"/>
      <c r="H213" s="91"/>
      <c r="I213" s="91"/>
      <c r="J213" s="79"/>
      <c r="Q213" s="44"/>
    </row>
    <row r="214" spans="1:17" x14ac:dyDescent="0.15">
      <c r="A214" s="90"/>
      <c r="B214" s="91"/>
      <c r="C214" s="91"/>
      <c r="D214" s="92"/>
      <c r="E214" s="91"/>
      <c r="F214" s="91"/>
      <c r="G214" s="91"/>
      <c r="H214" s="91"/>
      <c r="I214" s="91"/>
      <c r="J214" s="79"/>
      <c r="Q214" s="44"/>
    </row>
    <row r="215" spans="1:17" x14ac:dyDescent="0.15">
      <c r="A215" s="90"/>
      <c r="B215" s="91"/>
      <c r="C215" s="91"/>
      <c r="D215" s="92"/>
      <c r="E215" s="91"/>
      <c r="F215" s="91"/>
      <c r="G215" s="91"/>
      <c r="H215" s="91"/>
      <c r="I215" s="91"/>
      <c r="J215" s="79"/>
      <c r="Q215" s="44"/>
    </row>
    <row r="216" spans="1:17" x14ac:dyDescent="0.15">
      <c r="A216" s="90"/>
      <c r="B216" s="91"/>
      <c r="C216" s="91"/>
      <c r="D216" s="92"/>
      <c r="E216" s="91"/>
      <c r="F216" s="91"/>
      <c r="G216" s="91"/>
      <c r="H216" s="91"/>
      <c r="I216" s="91"/>
      <c r="J216" s="79"/>
      <c r="Q216" s="44"/>
    </row>
    <row r="217" spans="1:17" x14ac:dyDescent="0.15">
      <c r="A217" s="90"/>
      <c r="B217" s="91"/>
      <c r="C217" s="91"/>
      <c r="D217" s="92"/>
      <c r="E217" s="91"/>
      <c r="F217" s="91"/>
      <c r="G217" s="91"/>
      <c r="H217" s="91"/>
      <c r="I217" s="91"/>
      <c r="J217" s="79"/>
      <c r="Q217" s="44"/>
    </row>
    <row r="218" spans="1:17" x14ac:dyDescent="0.15">
      <c r="A218" s="90"/>
      <c r="B218" s="91"/>
      <c r="C218" s="91"/>
      <c r="D218" s="92"/>
      <c r="E218" s="91"/>
      <c r="F218" s="91"/>
      <c r="G218" s="91"/>
      <c r="H218" s="91"/>
      <c r="I218" s="91"/>
      <c r="J218" s="79"/>
      <c r="Q218" s="44"/>
    </row>
    <row r="219" spans="1:17" x14ac:dyDescent="0.15">
      <c r="A219" s="90"/>
      <c r="B219" s="91"/>
      <c r="C219" s="91"/>
      <c r="D219" s="92"/>
      <c r="E219" s="91"/>
      <c r="F219" s="91"/>
      <c r="G219" s="91"/>
      <c r="H219" s="91"/>
      <c r="I219" s="91"/>
      <c r="J219" s="79"/>
      <c r="Q219" s="44"/>
    </row>
    <row r="220" spans="1:17" x14ac:dyDescent="0.15">
      <c r="A220" s="90"/>
      <c r="B220" s="91"/>
      <c r="C220" s="91"/>
      <c r="D220" s="92"/>
      <c r="E220" s="91"/>
      <c r="F220" s="91"/>
      <c r="G220" s="91"/>
      <c r="H220" s="91"/>
      <c r="I220" s="91"/>
      <c r="J220" s="79"/>
      <c r="Q220" s="44"/>
    </row>
    <row r="221" spans="1:17" x14ac:dyDescent="0.15">
      <c r="A221" s="90"/>
      <c r="B221" s="91"/>
      <c r="C221" s="91"/>
      <c r="D221" s="92"/>
      <c r="E221" s="91"/>
      <c r="F221" s="91"/>
      <c r="G221" s="91"/>
      <c r="H221" s="91"/>
      <c r="I221" s="91"/>
      <c r="J221" s="79"/>
      <c r="Q221" s="44"/>
    </row>
    <row r="222" spans="1:17" x14ac:dyDescent="0.15">
      <c r="A222" s="90"/>
      <c r="B222" s="91"/>
      <c r="C222" s="91"/>
      <c r="D222" s="92"/>
      <c r="E222" s="91"/>
      <c r="F222" s="91"/>
      <c r="G222" s="91"/>
      <c r="H222" s="91"/>
      <c r="I222" s="91"/>
      <c r="J222" s="79"/>
      <c r="Q222" s="44"/>
    </row>
    <row r="223" spans="1:17" x14ac:dyDescent="0.15">
      <c r="A223" s="90"/>
      <c r="B223" s="91"/>
      <c r="C223" s="91"/>
      <c r="D223" s="92"/>
      <c r="E223" s="91"/>
      <c r="F223" s="91"/>
      <c r="G223" s="91"/>
      <c r="H223" s="91"/>
      <c r="I223" s="91"/>
      <c r="J223" s="79"/>
      <c r="Q223" s="44"/>
    </row>
    <row r="224" spans="1:17" x14ac:dyDescent="0.15">
      <c r="A224" s="90"/>
      <c r="B224" s="91"/>
      <c r="C224" s="91"/>
      <c r="D224" s="92"/>
      <c r="E224" s="91"/>
      <c r="F224" s="91"/>
      <c r="G224" s="91"/>
      <c r="H224" s="91"/>
      <c r="I224" s="91"/>
      <c r="J224" s="79"/>
      <c r="Q224" s="44"/>
    </row>
    <row r="225" spans="1:17" x14ac:dyDescent="0.15">
      <c r="A225" s="90"/>
      <c r="B225" s="91"/>
      <c r="C225" s="91"/>
      <c r="D225" s="92"/>
      <c r="E225" s="91"/>
      <c r="F225" s="91"/>
      <c r="G225" s="91"/>
      <c r="H225" s="91"/>
      <c r="I225" s="91"/>
      <c r="J225" s="79"/>
      <c r="Q225" s="44"/>
    </row>
    <row r="226" spans="1:17" x14ac:dyDescent="0.15">
      <c r="A226" s="90"/>
      <c r="B226" s="91"/>
      <c r="C226" s="91"/>
      <c r="D226" s="92"/>
      <c r="E226" s="91"/>
      <c r="F226" s="91"/>
      <c r="G226" s="91"/>
      <c r="H226" s="91"/>
      <c r="I226" s="91"/>
      <c r="J226" s="79"/>
      <c r="Q226" s="44"/>
    </row>
    <row r="227" spans="1:17" x14ac:dyDescent="0.15">
      <c r="A227" s="90"/>
      <c r="B227" s="91"/>
      <c r="C227" s="91"/>
      <c r="D227" s="92"/>
      <c r="E227" s="91"/>
      <c r="F227" s="91"/>
      <c r="G227" s="91"/>
      <c r="H227" s="91"/>
      <c r="I227" s="91"/>
      <c r="J227" s="79"/>
      <c r="Q227" s="44"/>
    </row>
    <row r="228" spans="1:17" x14ac:dyDescent="0.15">
      <c r="A228" s="90"/>
      <c r="B228" s="91"/>
      <c r="C228" s="91"/>
      <c r="D228" s="92"/>
      <c r="E228" s="91"/>
      <c r="F228" s="91"/>
      <c r="G228" s="91"/>
      <c r="H228" s="91"/>
      <c r="I228" s="91"/>
      <c r="J228" s="79"/>
      <c r="Q228" s="44"/>
    </row>
    <row r="229" spans="1:17" x14ac:dyDescent="0.15">
      <c r="A229" s="90"/>
      <c r="B229" s="91"/>
      <c r="C229" s="91"/>
      <c r="D229" s="92"/>
      <c r="E229" s="91"/>
      <c r="F229" s="91"/>
      <c r="G229" s="91"/>
      <c r="H229" s="91"/>
      <c r="I229" s="91"/>
      <c r="J229" s="79"/>
      <c r="Q229" s="44"/>
    </row>
    <row r="230" spans="1:17" x14ac:dyDescent="0.15">
      <c r="A230" s="90"/>
      <c r="B230" s="91"/>
      <c r="C230" s="91"/>
      <c r="D230" s="92"/>
      <c r="E230" s="91"/>
      <c r="F230" s="91"/>
      <c r="G230" s="91"/>
      <c r="H230" s="91"/>
      <c r="I230" s="91"/>
      <c r="J230" s="79"/>
      <c r="Q230" s="44"/>
    </row>
    <row r="231" spans="1:17" x14ac:dyDescent="0.15">
      <c r="A231" s="90"/>
      <c r="B231" s="91"/>
      <c r="C231" s="91"/>
      <c r="D231" s="92"/>
      <c r="E231" s="91"/>
      <c r="F231" s="91"/>
      <c r="G231" s="91"/>
      <c r="H231" s="91"/>
      <c r="I231" s="91"/>
      <c r="J231" s="79"/>
      <c r="Q231" s="44"/>
    </row>
    <row r="232" spans="1:17" x14ac:dyDescent="0.15">
      <c r="A232" s="90"/>
      <c r="B232" s="91"/>
      <c r="C232" s="91"/>
      <c r="D232" s="92"/>
      <c r="E232" s="91"/>
      <c r="F232" s="91"/>
      <c r="G232" s="91"/>
      <c r="H232" s="91"/>
      <c r="I232" s="91"/>
      <c r="J232" s="79"/>
      <c r="Q232" s="44"/>
    </row>
    <row r="233" spans="1:17" x14ac:dyDescent="0.15">
      <c r="A233" s="90"/>
      <c r="B233" s="91"/>
      <c r="C233" s="91"/>
      <c r="D233" s="92"/>
      <c r="E233" s="91"/>
      <c r="F233" s="91"/>
      <c r="G233" s="91"/>
      <c r="H233" s="91"/>
      <c r="I233" s="91"/>
      <c r="J233" s="79"/>
      <c r="Q233" s="44"/>
    </row>
    <row r="234" spans="1:17" x14ac:dyDescent="0.15">
      <c r="A234" s="90"/>
      <c r="B234" s="91"/>
      <c r="C234" s="91"/>
      <c r="D234" s="92"/>
      <c r="E234" s="91"/>
      <c r="F234" s="91"/>
      <c r="G234" s="91"/>
      <c r="H234" s="91"/>
      <c r="I234" s="91"/>
      <c r="J234" s="79"/>
      <c r="Q234" s="44"/>
    </row>
    <row r="235" spans="1:17" x14ac:dyDescent="0.15">
      <c r="A235" s="90"/>
      <c r="B235" s="91"/>
      <c r="C235" s="91"/>
      <c r="D235" s="92"/>
      <c r="E235" s="91"/>
      <c r="F235" s="91"/>
      <c r="G235" s="91"/>
      <c r="H235" s="91"/>
      <c r="I235" s="91"/>
      <c r="J235" s="79"/>
      <c r="Q235" s="44"/>
    </row>
    <row r="236" spans="1:17" x14ac:dyDescent="0.15">
      <c r="A236" s="90"/>
      <c r="B236" s="91"/>
      <c r="C236" s="91"/>
      <c r="D236" s="92"/>
      <c r="E236" s="91"/>
      <c r="F236" s="91"/>
      <c r="G236" s="91"/>
      <c r="H236" s="91"/>
      <c r="I236" s="91"/>
      <c r="J236" s="79"/>
      <c r="Q236" s="44"/>
    </row>
    <row r="237" spans="1:17" x14ac:dyDescent="0.15">
      <c r="A237" s="90"/>
      <c r="B237" s="91"/>
      <c r="C237" s="91"/>
      <c r="D237" s="92"/>
      <c r="E237" s="91"/>
      <c r="F237" s="91"/>
      <c r="G237" s="91"/>
      <c r="H237" s="91"/>
      <c r="I237" s="91"/>
      <c r="J237" s="79"/>
      <c r="Q237" s="44"/>
    </row>
    <row r="238" spans="1:17" x14ac:dyDescent="0.15">
      <c r="A238" s="90"/>
      <c r="B238" s="91"/>
      <c r="C238" s="91"/>
      <c r="D238" s="92"/>
      <c r="E238" s="91"/>
      <c r="F238" s="91"/>
      <c r="G238" s="91"/>
      <c r="H238" s="91"/>
      <c r="I238" s="91"/>
      <c r="J238" s="79"/>
      <c r="Q238" s="44"/>
    </row>
    <row r="239" spans="1:17" x14ac:dyDescent="0.15">
      <c r="A239" s="90"/>
      <c r="B239" s="91"/>
      <c r="C239" s="91"/>
      <c r="D239" s="92"/>
      <c r="E239" s="91"/>
      <c r="F239" s="91"/>
      <c r="G239" s="91"/>
      <c r="H239" s="91"/>
      <c r="I239" s="91"/>
      <c r="J239" s="79"/>
      <c r="Q239" s="44"/>
    </row>
    <row r="240" spans="1:17" x14ac:dyDescent="0.15">
      <c r="A240" s="90"/>
      <c r="B240" s="91"/>
      <c r="C240" s="91"/>
      <c r="D240" s="92"/>
      <c r="E240" s="91"/>
      <c r="F240" s="91"/>
      <c r="G240" s="91"/>
      <c r="H240" s="91"/>
      <c r="I240" s="91"/>
      <c r="J240" s="79"/>
      <c r="Q240" s="44"/>
    </row>
    <row r="241" spans="1:17" x14ac:dyDescent="0.15">
      <c r="A241" s="90"/>
      <c r="B241" s="91"/>
      <c r="C241" s="91"/>
      <c r="D241" s="92"/>
      <c r="E241" s="91"/>
      <c r="F241" s="91"/>
      <c r="G241" s="91"/>
      <c r="H241" s="91"/>
      <c r="I241" s="91"/>
      <c r="J241" s="79"/>
      <c r="Q241" s="44"/>
    </row>
    <row r="242" spans="1:17" x14ac:dyDescent="0.15">
      <c r="A242" s="90"/>
      <c r="B242" s="91"/>
      <c r="C242" s="91"/>
      <c r="D242" s="92"/>
      <c r="E242" s="91"/>
      <c r="F242" s="91"/>
      <c r="G242" s="91"/>
      <c r="H242" s="91"/>
      <c r="I242" s="91"/>
      <c r="J242" s="79"/>
      <c r="Q242" s="44"/>
    </row>
    <row r="243" spans="1:17" x14ac:dyDescent="0.15">
      <c r="A243" s="90"/>
      <c r="B243" s="91"/>
      <c r="C243" s="91"/>
      <c r="D243" s="92"/>
      <c r="E243" s="91"/>
      <c r="F243" s="91"/>
      <c r="G243" s="91"/>
      <c r="H243" s="91"/>
      <c r="I243" s="91"/>
      <c r="J243" s="79"/>
      <c r="Q243" s="44"/>
    </row>
    <row r="244" spans="1:17" x14ac:dyDescent="0.15">
      <c r="A244" s="90"/>
      <c r="B244" s="91"/>
      <c r="C244" s="91"/>
      <c r="D244" s="92"/>
      <c r="E244" s="91"/>
      <c r="F244" s="91"/>
      <c r="G244" s="91"/>
      <c r="H244" s="91"/>
      <c r="I244" s="91"/>
      <c r="J244" s="79"/>
      <c r="Q244" s="44"/>
    </row>
    <row r="245" spans="1:17" x14ac:dyDescent="0.15">
      <c r="A245" s="90"/>
      <c r="B245" s="91"/>
      <c r="C245" s="91"/>
      <c r="D245" s="92"/>
      <c r="E245" s="91"/>
      <c r="F245" s="91"/>
      <c r="G245" s="91"/>
      <c r="H245" s="91"/>
      <c r="I245" s="91"/>
      <c r="J245" s="79"/>
      <c r="Q245" s="44"/>
    </row>
    <row r="246" spans="1:17" x14ac:dyDescent="0.15">
      <c r="A246" s="90"/>
      <c r="B246" s="91"/>
      <c r="C246" s="91"/>
      <c r="D246" s="92"/>
      <c r="E246" s="91"/>
      <c r="F246" s="91"/>
      <c r="G246" s="91"/>
      <c r="H246" s="91"/>
      <c r="I246" s="91"/>
      <c r="J246" s="79"/>
      <c r="Q246" s="44"/>
    </row>
    <row r="247" spans="1:17" x14ac:dyDescent="0.15">
      <c r="A247" s="90"/>
      <c r="B247" s="91"/>
      <c r="C247" s="91"/>
      <c r="D247" s="92"/>
      <c r="E247" s="91"/>
      <c r="F247" s="91"/>
      <c r="G247" s="91"/>
      <c r="H247" s="91"/>
      <c r="I247" s="91"/>
      <c r="J247" s="79"/>
      <c r="Q247" s="44"/>
    </row>
    <row r="248" spans="1:17" x14ac:dyDescent="0.15">
      <c r="A248" s="90"/>
      <c r="B248" s="91"/>
      <c r="C248" s="91"/>
      <c r="D248" s="92"/>
      <c r="E248" s="91"/>
      <c r="F248" s="91"/>
      <c r="G248" s="91"/>
      <c r="H248" s="91"/>
      <c r="I248" s="91"/>
      <c r="J248" s="79"/>
      <c r="Q248" s="44"/>
    </row>
    <row r="249" spans="1:17" x14ac:dyDescent="0.15">
      <c r="A249" s="90"/>
      <c r="B249" s="91"/>
      <c r="C249" s="91"/>
      <c r="D249" s="92"/>
      <c r="E249" s="91"/>
      <c r="F249" s="91"/>
      <c r="G249" s="91"/>
      <c r="H249" s="91"/>
      <c r="I249" s="91"/>
      <c r="J249" s="79"/>
      <c r="Q249" s="44"/>
    </row>
    <row r="250" spans="1:17" x14ac:dyDescent="0.15">
      <c r="A250" s="90"/>
      <c r="B250" s="91"/>
      <c r="C250" s="91"/>
      <c r="D250" s="92"/>
      <c r="E250" s="91"/>
      <c r="F250" s="91"/>
      <c r="G250" s="91"/>
      <c r="H250" s="91"/>
      <c r="I250" s="91"/>
      <c r="J250" s="79"/>
      <c r="Q250" s="44"/>
    </row>
    <row r="251" spans="1:17" x14ac:dyDescent="0.15">
      <c r="A251" s="90"/>
      <c r="B251" s="91"/>
      <c r="C251" s="91"/>
      <c r="D251" s="92"/>
      <c r="E251" s="91"/>
      <c r="F251" s="91"/>
      <c r="G251" s="91"/>
      <c r="H251" s="91"/>
      <c r="I251" s="91"/>
      <c r="J251" s="79"/>
      <c r="Q251" s="44"/>
    </row>
    <row r="252" spans="1:17" x14ac:dyDescent="0.15">
      <c r="A252" s="90"/>
      <c r="B252" s="91"/>
      <c r="C252" s="91"/>
      <c r="D252" s="92"/>
      <c r="E252" s="91"/>
      <c r="F252" s="91"/>
      <c r="G252" s="91"/>
      <c r="H252" s="91"/>
      <c r="I252" s="91"/>
      <c r="J252" s="79"/>
      <c r="Q252" s="44"/>
    </row>
    <row r="253" spans="1:17" x14ac:dyDescent="0.15">
      <c r="A253" s="90"/>
      <c r="B253" s="91"/>
      <c r="C253" s="91"/>
      <c r="D253" s="92"/>
      <c r="E253" s="91"/>
      <c r="F253" s="91"/>
      <c r="G253" s="91"/>
      <c r="H253" s="91"/>
      <c r="I253" s="91"/>
      <c r="J253" s="79"/>
      <c r="Q253" s="44"/>
    </row>
    <row r="254" spans="1:17" x14ac:dyDescent="0.15">
      <c r="A254" s="90"/>
      <c r="B254" s="91"/>
      <c r="C254" s="91"/>
      <c r="D254" s="92"/>
      <c r="E254" s="91"/>
      <c r="F254" s="91"/>
      <c r="G254" s="91"/>
      <c r="H254" s="91"/>
      <c r="I254" s="91"/>
      <c r="J254" s="79"/>
      <c r="Q254" s="44"/>
    </row>
    <row r="255" spans="1:17" x14ac:dyDescent="0.15">
      <c r="A255" s="90"/>
      <c r="B255" s="91"/>
      <c r="C255" s="91"/>
      <c r="D255" s="92"/>
      <c r="E255" s="91"/>
      <c r="F255" s="91"/>
      <c r="G255" s="91"/>
      <c r="H255" s="91"/>
      <c r="I255" s="91"/>
      <c r="J255" s="79"/>
      <c r="Q255" s="44"/>
    </row>
    <row r="256" spans="1:17" x14ac:dyDescent="0.15">
      <c r="A256" s="90"/>
      <c r="B256" s="91"/>
      <c r="C256" s="91"/>
      <c r="D256" s="92"/>
      <c r="E256" s="91"/>
      <c r="F256" s="91"/>
      <c r="G256" s="91"/>
      <c r="H256" s="91"/>
      <c r="I256" s="91"/>
      <c r="J256" s="79"/>
      <c r="Q256" s="44"/>
    </row>
    <row r="257" spans="1:17" x14ac:dyDescent="0.15">
      <c r="A257" s="90"/>
      <c r="B257" s="91"/>
      <c r="C257" s="91"/>
      <c r="D257" s="92"/>
      <c r="E257" s="91"/>
      <c r="F257" s="91"/>
      <c r="G257" s="91"/>
      <c r="H257" s="91"/>
      <c r="I257" s="91"/>
      <c r="J257" s="79"/>
      <c r="Q257" s="44"/>
    </row>
    <row r="258" spans="1:17" x14ac:dyDescent="0.15">
      <c r="A258" s="90"/>
      <c r="B258" s="91"/>
      <c r="C258" s="91"/>
      <c r="D258" s="92"/>
      <c r="E258" s="91"/>
      <c r="F258" s="91"/>
      <c r="G258" s="91"/>
      <c r="H258" s="91"/>
      <c r="I258" s="91"/>
      <c r="J258" s="79"/>
      <c r="Q258" s="44"/>
    </row>
    <row r="259" spans="1:17" x14ac:dyDescent="0.15">
      <c r="A259" s="90"/>
      <c r="B259" s="91"/>
      <c r="C259" s="91"/>
      <c r="D259" s="92"/>
      <c r="E259" s="91"/>
      <c r="F259" s="91"/>
      <c r="G259" s="91"/>
      <c r="H259" s="91"/>
      <c r="I259" s="91"/>
      <c r="J259" s="79"/>
      <c r="Q259" s="44"/>
    </row>
    <row r="260" spans="1:17" x14ac:dyDescent="0.15">
      <c r="A260" s="90"/>
      <c r="B260" s="91"/>
      <c r="C260" s="91"/>
      <c r="D260" s="92"/>
      <c r="E260" s="91"/>
      <c r="F260" s="91"/>
      <c r="G260" s="91"/>
      <c r="H260" s="91"/>
      <c r="I260" s="91"/>
      <c r="J260" s="79"/>
      <c r="Q260" s="44"/>
    </row>
    <row r="261" spans="1:17" x14ac:dyDescent="0.15">
      <c r="A261" s="90"/>
      <c r="B261" s="91"/>
      <c r="C261" s="91"/>
      <c r="D261" s="92"/>
      <c r="E261" s="91"/>
      <c r="F261" s="91"/>
      <c r="G261" s="91"/>
      <c r="H261" s="91"/>
      <c r="I261" s="91"/>
      <c r="J261" s="79"/>
      <c r="Q261" s="44"/>
    </row>
    <row r="262" spans="1:17" x14ac:dyDescent="0.15">
      <c r="A262" s="90"/>
      <c r="B262" s="91"/>
      <c r="C262" s="91"/>
      <c r="D262" s="92"/>
      <c r="E262" s="91"/>
      <c r="F262" s="91"/>
      <c r="G262" s="91"/>
      <c r="H262" s="91"/>
      <c r="I262" s="91"/>
      <c r="J262" s="79"/>
      <c r="Q262" s="44"/>
    </row>
    <row r="263" spans="1:17" x14ac:dyDescent="0.15">
      <c r="A263" s="90"/>
      <c r="B263" s="91"/>
      <c r="C263" s="91"/>
      <c r="D263" s="92"/>
      <c r="E263" s="91"/>
      <c r="F263" s="91"/>
      <c r="G263" s="91"/>
      <c r="H263" s="91"/>
      <c r="I263" s="91"/>
      <c r="J263" s="79"/>
      <c r="Q263" s="44"/>
    </row>
    <row r="264" spans="1:17" x14ac:dyDescent="0.15">
      <c r="A264" s="90"/>
      <c r="B264" s="91"/>
      <c r="C264" s="91"/>
      <c r="D264" s="92"/>
      <c r="E264" s="91"/>
      <c r="F264" s="91"/>
      <c r="G264" s="91"/>
      <c r="H264" s="91"/>
      <c r="I264" s="91"/>
      <c r="J264" s="79"/>
      <c r="Q264" s="44"/>
    </row>
    <row r="265" spans="1:17" x14ac:dyDescent="0.15">
      <c r="A265" s="90"/>
      <c r="B265" s="91"/>
      <c r="C265" s="91"/>
      <c r="D265" s="92"/>
      <c r="E265" s="91"/>
      <c r="F265" s="91"/>
      <c r="G265" s="91"/>
      <c r="H265" s="91"/>
      <c r="I265" s="91"/>
      <c r="J265" s="79"/>
      <c r="Q265" s="44"/>
    </row>
    <row r="266" spans="1:17" x14ac:dyDescent="0.15">
      <c r="A266" s="90"/>
      <c r="B266" s="91"/>
      <c r="C266" s="91"/>
      <c r="D266" s="92"/>
      <c r="E266" s="91"/>
      <c r="F266" s="91"/>
      <c r="G266" s="91"/>
      <c r="H266" s="91"/>
      <c r="I266" s="91"/>
      <c r="J266" s="79"/>
      <c r="Q266" s="44"/>
    </row>
    <row r="267" spans="1:17" x14ac:dyDescent="0.15">
      <c r="A267" s="90"/>
      <c r="B267" s="91"/>
      <c r="C267" s="91"/>
      <c r="D267" s="92"/>
      <c r="E267" s="91"/>
      <c r="F267" s="91"/>
      <c r="G267" s="91"/>
      <c r="H267" s="91"/>
      <c r="I267" s="91"/>
      <c r="J267" s="79"/>
      <c r="Q267" s="44"/>
    </row>
    <row r="268" spans="1:17" x14ac:dyDescent="0.15">
      <c r="A268" s="90"/>
      <c r="B268" s="91"/>
      <c r="C268" s="91"/>
      <c r="D268" s="92"/>
      <c r="E268" s="91"/>
      <c r="F268" s="91"/>
      <c r="G268" s="91"/>
      <c r="H268" s="91"/>
      <c r="I268" s="91"/>
      <c r="J268" s="79"/>
      <c r="Q268" s="44"/>
    </row>
    <row r="269" spans="1:17" x14ac:dyDescent="0.15">
      <c r="A269" s="90"/>
      <c r="B269" s="91"/>
      <c r="C269" s="91"/>
      <c r="D269" s="92"/>
      <c r="E269" s="91"/>
      <c r="F269" s="91"/>
      <c r="G269" s="91"/>
      <c r="H269" s="91"/>
      <c r="I269" s="91"/>
      <c r="J269" s="79"/>
      <c r="Q269" s="44"/>
    </row>
    <row r="270" spans="1:17" x14ac:dyDescent="0.15">
      <c r="A270" s="90"/>
      <c r="B270" s="91"/>
      <c r="C270" s="91"/>
      <c r="D270" s="92"/>
      <c r="E270" s="91"/>
      <c r="F270" s="91"/>
      <c r="G270" s="91"/>
      <c r="H270" s="91"/>
      <c r="I270" s="91"/>
      <c r="J270" s="79"/>
      <c r="Q270" s="44"/>
    </row>
    <row r="271" spans="1:17" x14ac:dyDescent="0.15">
      <c r="A271" s="90"/>
      <c r="B271" s="91"/>
      <c r="C271" s="91"/>
      <c r="D271" s="92"/>
      <c r="E271" s="91"/>
      <c r="F271" s="91"/>
      <c r="G271" s="91"/>
      <c r="H271" s="91"/>
      <c r="I271" s="91"/>
      <c r="J271" s="79"/>
      <c r="Q271" s="44"/>
    </row>
    <row r="272" spans="1:17" x14ac:dyDescent="0.15">
      <c r="A272" s="90"/>
      <c r="B272" s="91"/>
      <c r="C272" s="91"/>
      <c r="D272" s="92"/>
      <c r="E272" s="91"/>
      <c r="F272" s="91"/>
      <c r="G272" s="91"/>
      <c r="H272" s="91"/>
      <c r="I272" s="91"/>
      <c r="J272" s="79"/>
      <c r="Q272" s="44"/>
    </row>
    <row r="273" spans="1:17" x14ac:dyDescent="0.15">
      <c r="A273" s="90"/>
      <c r="B273" s="91"/>
      <c r="C273" s="91"/>
      <c r="D273" s="92"/>
      <c r="E273" s="91"/>
      <c r="F273" s="91"/>
      <c r="G273" s="91"/>
      <c r="H273" s="91"/>
      <c r="I273" s="91"/>
      <c r="J273" s="79"/>
      <c r="Q273" s="44"/>
    </row>
    <row r="274" spans="1:17" x14ac:dyDescent="0.15">
      <c r="A274" s="90"/>
      <c r="B274" s="91"/>
      <c r="C274" s="91"/>
      <c r="D274" s="92"/>
      <c r="E274" s="91"/>
      <c r="F274" s="91"/>
      <c r="G274" s="91"/>
      <c r="H274" s="91"/>
      <c r="I274" s="91"/>
      <c r="J274" s="79"/>
      <c r="Q274" s="44"/>
    </row>
    <row r="275" spans="1:17" x14ac:dyDescent="0.15">
      <c r="A275" s="90"/>
      <c r="B275" s="91"/>
      <c r="C275" s="91"/>
      <c r="D275" s="92"/>
      <c r="E275" s="91"/>
      <c r="F275" s="91"/>
      <c r="G275" s="91"/>
      <c r="H275" s="91"/>
      <c r="I275" s="91"/>
      <c r="J275" s="79"/>
      <c r="Q275" s="44"/>
    </row>
    <row r="276" spans="1:17" x14ac:dyDescent="0.15">
      <c r="A276" s="90"/>
      <c r="B276" s="91"/>
      <c r="C276" s="91"/>
      <c r="D276" s="92"/>
      <c r="E276" s="91"/>
      <c r="F276" s="91"/>
      <c r="G276" s="91"/>
      <c r="H276" s="91"/>
      <c r="I276" s="91"/>
      <c r="J276" s="79"/>
      <c r="Q276" s="44"/>
    </row>
    <row r="277" spans="1:17" x14ac:dyDescent="0.15">
      <c r="A277" s="90"/>
      <c r="B277" s="91"/>
      <c r="C277" s="91"/>
      <c r="D277" s="92"/>
      <c r="E277" s="91"/>
      <c r="F277" s="91"/>
      <c r="G277" s="91"/>
      <c r="H277" s="91"/>
      <c r="I277" s="91"/>
      <c r="J277" s="79"/>
      <c r="Q277" s="44"/>
    </row>
    <row r="278" spans="1:17" x14ac:dyDescent="0.15">
      <c r="A278" s="90"/>
      <c r="B278" s="91"/>
      <c r="C278" s="91"/>
      <c r="D278" s="92"/>
      <c r="E278" s="91"/>
      <c r="F278" s="91"/>
      <c r="G278" s="91"/>
      <c r="H278" s="91"/>
      <c r="I278" s="91"/>
      <c r="J278" s="79"/>
      <c r="Q278" s="44"/>
    </row>
    <row r="279" spans="1:17" x14ac:dyDescent="0.15">
      <c r="A279" s="90"/>
      <c r="B279" s="91"/>
      <c r="C279" s="91"/>
      <c r="D279" s="92"/>
      <c r="E279" s="91"/>
      <c r="F279" s="91"/>
      <c r="G279" s="91"/>
      <c r="H279" s="91"/>
      <c r="I279" s="91"/>
      <c r="J279" s="79"/>
      <c r="Q279" s="44"/>
    </row>
    <row r="280" spans="1:17" x14ac:dyDescent="0.15">
      <c r="A280" s="90"/>
      <c r="B280" s="91"/>
      <c r="C280" s="91"/>
      <c r="D280" s="92"/>
      <c r="E280" s="91"/>
      <c r="F280" s="91"/>
      <c r="G280" s="91"/>
      <c r="H280" s="91"/>
      <c r="I280" s="91"/>
      <c r="J280" s="79"/>
      <c r="Q280" s="44"/>
    </row>
    <row r="281" spans="1:17" x14ac:dyDescent="0.15">
      <c r="A281" s="90"/>
      <c r="B281" s="91"/>
      <c r="C281" s="91"/>
      <c r="D281" s="92"/>
      <c r="E281" s="91"/>
      <c r="F281" s="91"/>
      <c r="G281" s="91"/>
      <c r="H281" s="91"/>
      <c r="I281" s="91"/>
      <c r="J281" s="79"/>
      <c r="Q281" s="44"/>
    </row>
    <row r="282" spans="1:17" x14ac:dyDescent="0.15">
      <c r="A282" s="90"/>
      <c r="B282" s="91"/>
      <c r="C282" s="91"/>
      <c r="D282" s="92"/>
      <c r="E282" s="91"/>
      <c r="F282" s="91"/>
      <c r="G282" s="91"/>
      <c r="H282" s="91"/>
      <c r="I282" s="91"/>
      <c r="J282" s="79"/>
      <c r="Q282" s="44"/>
    </row>
    <row r="283" spans="1:17" x14ac:dyDescent="0.15">
      <c r="A283" s="90"/>
      <c r="B283" s="91"/>
      <c r="C283" s="91"/>
      <c r="D283" s="92"/>
      <c r="E283" s="91"/>
      <c r="F283" s="91"/>
      <c r="G283" s="91"/>
      <c r="H283" s="91"/>
      <c r="I283" s="91"/>
      <c r="J283" s="79"/>
      <c r="Q283" s="44"/>
    </row>
    <row r="284" spans="1:17" x14ac:dyDescent="0.15">
      <c r="A284" s="90"/>
      <c r="B284" s="91"/>
      <c r="C284" s="91"/>
      <c r="D284" s="92"/>
      <c r="E284" s="91"/>
      <c r="F284" s="91"/>
      <c r="G284" s="91"/>
      <c r="H284" s="91"/>
      <c r="I284" s="91"/>
      <c r="J284" s="79"/>
      <c r="Q284" s="44"/>
    </row>
    <row r="285" spans="1:17" x14ac:dyDescent="0.15">
      <c r="A285" s="90"/>
      <c r="B285" s="91"/>
      <c r="C285" s="91"/>
      <c r="D285" s="92"/>
      <c r="E285" s="91"/>
      <c r="F285" s="91"/>
      <c r="G285" s="91"/>
      <c r="H285" s="91"/>
      <c r="I285" s="91"/>
      <c r="J285" s="79"/>
      <c r="Q285" s="44"/>
    </row>
    <row r="286" spans="1:17" x14ac:dyDescent="0.15">
      <c r="A286" s="90"/>
      <c r="B286" s="91"/>
      <c r="C286" s="91"/>
      <c r="D286" s="92"/>
      <c r="E286" s="91"/>
      <c r="F286" s="91"/>
      <c r="G286" s="91"/>
      <c r="H286" s="91"/>
      <c r="I286" s="91"/>
      <c r="J286" s="79"/>
      <c r="Q286" s="44"/>
    </row>
    <row r="287" spans="1:17" x14ac:dyDescent="0.15">
      <c r="A287" s="90"/>
      <c r="B287" s="91"/>
      <c r="C287" s="91"/>
      <c r="D287" s="92"/>
      <c r="E287" s="91"/>
      <c r="F287" s="91"/>
      <c r="G287" s="91"/>
      <c r="H287" s="91"/>
      <c r="I287" s="91"/>
      <c r="J287" s="79"/>
      <c r="Q287" s="44"/>
    </row>
    <row r="288" spans="1:17" x14ac:dyDescent="0.15">
      <c r="A288" s="90"/>
      <c r="B288" s="91"/>
      <c r="C288" s="91"/>
      <c r="D288" s="92"/>
      <c r="E288" s="91"/>
      <c r="F288" s="91"/>
      <c r="G288" s="91"/>
      <c r="H288" s="91"/>
      <c r="I288" s="91"/>
      <c r="J288" s="79"/>
      <c r="Q288" s="44"/>
    </row>
    <row r="289" spans="1:17" x14ac:dyDescent="0.15">
      <c r="A289" s="90"/>
      <c r="B289" s="91"/>
      <c r="C289" s="91"/>
      <c r="D289" s="92"/>
      <c r="E289" s="91"/>
      <c r="F289" s="91"/>
      <c r="G289" s="91"/>
      <c r="H289" s="91"/>
      <c r="I289" s="91"/>
      <c r="J289" s="79"/>
      <c r="Q289" s="44"/>
    </row>
    <row r="290" spans="1:17" x14ac:dyDescent="0.15">
      <c r="A290" s="90"/>
      <c r="B290" s="91"/>
      <c r="C290" s="91"/>
      <c r="D290" s="92"/>
      <c r="E290" s="91"/>
      <c r="F290" s="91"/>
      <c r="G290" s="91"/>
      <c r="H290" s="91"/>
      <c r="I290" s="91"/>
      <c r="J290" s="79"/>
      <c r="Q290" s="44"/>
    </row>
    <row r="291" spans="1:17" x14ac:dyDescent="0.15">
      <c r="A291" s="90"/>
      <c r="B291" s="91"/>
      <c r="C291" s="91"/>
      <c r="D291" s="92"/>
      <c r="E291" s="91"/>
      <c r="F291" s="91"/>
      <c r="G291" s="91"/>
      <c r="H291" s="91"/>
      <c r="I291" s="91"/>
      <c r="J291" s="79"/>
      <c r="Q291" s="44"/>
    </row>
    <row r="292" spans="1:17" x14ac:dyDescent="0.15">
      <c r="A292" s="90"/>
      <c r="B292" s="91"/>
      <c r="C292" s="91"/>
      <c r="D292" s="92"/>
      <c r="E292" s="91"/>
      <c r="F292" s="91"/>
      <c r="G292" s="91"/>
      <c r="H292" s="91"/>
      <c r="I292" s="91"/>
      <c r="J292" s="79"/>
      <c r="Q292" s="44"/>
    </row>
    <row r="293" spans="1:17" x14ac:dyDescent="0.15">
      <c r="A293" s="90"/>
      <c r="B293" s="91"/>
      <c r="C293" s="91"/>
      <c r="D293" s="92"/>
      <c r="E293" s="91"/>
      <c r="F293" s="91"/>
      <c r="G293" s="91"/>
      <c r="H293" s="91"/>
      <c r="I293" s="91"/>
      <c r="J293" s="79"/>
      <c r="Q293" s="44"/>
    </row>
    <row r="294" spans="1:17" x14ac:dyDescent="0.15">
      <c r="A294" s="90"/>
      <c r="B294" s="91"/>
      <c r="C294" s="91"/>
      <c r="D294" s="92"/>
      <c r="E294" s="91"/>
      <c r="F294" s="91"/>
      <c r="G294" s="91"/>
      <c r="H294" s="91"/>
      <c r="I294" s="91"/>
      <c r="J294" s="79"/>
      <c r="Q294" s="44"/>
    </row>
    <row r="295" spans="1:17" x14ac:dyDescent="0.15">
      <c r="A295" s="90"/>
      <c r="B295" s="91"/>
      <c r="C295" s="91"/>
      <c r="D295" s="92"/>
      <c r="E295" s="91"/>
      <c r="F295" s="91"/>
      <c r="G295" s="91"/>
      <c r="H295" s="91"/>
      <c r="I295" s="91"/>
      <c r="J295" s="79"/>
      <c r="Q295" s="44"/>
    </row>
    <row r="296" spans="1:17" x14ac:dyDescent="0.15">
      <c r="A296" s="90"/>
      <c r="B296" s="91"/>
      <c r="C296" s="91"/>
      <c r="D296" s="92"/>
      <c r="E296" s="91"/>
      <c r="F296" s="91"/>
      <c r="G296" s="91"/>
      <c r="H296" s="91"/>
      <c r="I296" s="91"/>
      <c r="J296" s="79"/>
      <c r="Q296" s="44"/>
    </row>
    <row r="297" spans="1:17" x14ac:dyDescent="0.15">
      <c r="A297" s="90"/>
      <c r="B297" s="91"/>
      <c r="C297" s="91"/>
      <c r="D297" s="92"/>
      <c r="E297" s="91"/>
      <c r="F297" s="91"/>
      <c r="G297" s="91"/>
      <c r="H297" s="91"/>
      <c r="I297" s="91"/>
      <c r="J297" s="79"/>
      <c r="Q297" s="44"/>
    </row>
    <row r="298" spans="1:17" x14ac:dyDescent="0.15">
      <c r="A298" s="90"/>
      <c r="B298" s="91"/>
      <c r="C298" s="91"/>
      <c r="D298" s="92"/>
      <c r="E298" s="91"/>
      <c r="F298" s="91"/>
      <c r="G298" s="91"/>
      <c r="H298" s="91"/>
      <c r="I298" s="91"/>
      <c r="J298" s="79"/>
      <c r="Q298" s="44"/>
    </row>
    <row r="299" spans="1:17" x14ac:dyDescent="0.15">
      <c r="A299" s="90"/>
      <c r="B299" s="91"/>
      <c r="C299" s="91"/>
      <c r="D299" s="92"/>
      <c r="E299" s="91"/>
      <c r="F299" s="91"/>
      <c r="G299" s="91"/>
      <c r="H299" s="91"/>
      <c r="I299" s="91"/>
      <c r="J299" s="79"/>
      <c r="Q299" s="44"/>
    </row>
    <row r="300" spans="1:17" x14ac:dyDescent="0.15">
      <c r="A300" s="90"/>
      <c r="B300" s="91"/>
      <c r="C300" s="91"/>
      <c r="D300" s="92"/>
      <c r="E300" s="91"/>
      <c r="F300" s="91"/>
      <c r="G300" s="91"/>
      <c r="H300" s="91"/>
      <c r="I300" s="91"/>
      <c r="J300" s="79"/>
      <c r="Q300" s="44"/>
    </row>
    <row r="301" spans="1:17" x14ac:dyDescent="0.15">
      <c r="A301" s="90"/>
      <c r="B301" s="91"/>
      <c r="C301" s="91"/>
      <c r="D301" s="92"/>
      <c r="E301" s="91"/>
      <c r="F301" s="91"/>
      <c r="G301" s="91"/>
      <c r="H301" s="91"/>
      <c r="I301" s="91"/>
      <c r="J301" s="79"/>
      <c r="Q301" s="44"/>
    </row>
    <row r="302" spans="1:17" x14ac:dyDescent="0.15">
      <c r="A302" s="90"/>
      <c r="B302" s="91"/>
      <c r="C302" s="91"/>
      <c r="D302" s="92"/>
      <c r="E302" s="91"/>
      <c r="F302" s="91"/>
      <c r="G302" s="91"/>
      <c r="H302" s="91"/>
      <c r="I302" s="91"/>
      <c r="J302" s="79"/>
      <c r="Q302" s="44"/>
    </row>
    <row r="303" spans="1:17" x14ac:dyDescent="0.15">
      <c r="A303" s="90"/>
      <c r="B303" s="91"/>
      <c r="C303" s="91"/>
      <c r="D303" s="92"/>
      <c r="E303" s="91"/>
      <c r="F303" s="91"/>
      <c r="G303" s="91"/>
      <c r="H303" s="91"/>
      <c r="I303" s="91"/>
      <c r="J303" s="79"/>
      <c r="Q303" s="44"/>
    </row>
    <row r="304" spans="1:17" x14ac:dyDescent="0.15">
      <c r="A304" s="90"/>
      <c r="B304" s="91"/>
      <c r="C304" s="91"/>
      <c r="D304" s="92"/>
      <c r="E304" s="91"/>
      <c r="F304" s="91"/>
      <c r="G304" s="91"/>
      <c r="H304" s="91"/>
      <c r="I304" s="91"/>
      <c r="J304" s="79"/>
      <c r="Q304" s="44"/>
    </row>
    <row r="305" spans="1:17" x14ac:dyDescent="0.15">
      <c r="A305" s="90"/>
      <c r="B305" s="91"/>
      <c r="C305" s="91"/>
      <c r="D305" s="92"/>
      <c r="E305" s="91"/>
      <c r="F305" s="91"/>
      <c r="G305" s="91"/>
      <c r="H305" s="91"/>
      <c r="I305" s="91"/>
      <c r="J305" s="79"/>
      <c r="Q305" s="44"/>
    </row>
    <row r="306" spans="1:17" x14ac:dyDescent="0.15">
      <c r="A306" s="90"/>
      <c r="B306" s="91"/>
      <c r="C306" s="91"/>
      <c r="D306" s="92"/>
      <c r="E306" s="91"/>
      <c r="F306" s="91"/>
      <c r="G306" s="91"/>
      <c r="H306" s="91"/>
      <c r="I306" s="91"/>
      <c r="J306" s="79"/>
      <c r="Q306" s="44"/>
    </row>
    <row r="307" spans="1:17" x14ac:dyDescent="0.15">
      <c r="A307" s="90"/>
      <c r="B307" s="91"/>
      <c r="C307" s="91"/>
      <c r="D307" s="92"/>
      <c r="E307" s="91"/>
      <c r="F307" s="91"/>
      <c r="G307" s="91"/>
      <c r="H307" s="91"/>
      <c r="I307" s="91"/>
      <c r="J307" s="79"/>
      <c r="Q307" s="44"/>
    </row>
    <row r="308" spans="1:17" x14ac:dyDescent="0.15">
      <c r="A308" s="90"/>
      <c r="B308" s="91"/>
      <c r="C308" s="91"/>
      <c r="D308" s="92"/>
      <c r="E308" s="91"/>
      <c r="F308" s="91"/>
      <c r="G308" s="91"/>
      <c r="H308" s="91"/>
      <c r="I308" s="91"/>
      <c r="J308" s="79"/>
      <c r="Q308" s="44"/>
    </row>
    <row r="309" spans="1:17" x14ac:dyDescent="0.15">
      <c r="A309" s="90"/>
      <c r="B309" s="91"/>
      <c r="C309" s="91"/>
      <c r="D309" s="92"/>
      <c r="E309" s="91"/>
      <c r="F309" s="91"/>
      <c r="G309" s="91"/>
      <c r="H309" s="91"/>
      <c r="I309" s="91"/>
      <c r="J309" s="79"/>
      <c r="Q309" s="44"/>
    </row>
    <row r="310" spans="1:17" x14ac:dyDescent="0.15">
      <c r="A310" s="90"/>
      <c r="B310" s="91"/>
      <c r="C310" s="91"/>
      <c r="D310" s="92"/>
      <c r="E310" s="91"/>
      <c r="F310" s="91"/>
      <c r="G310" s="91"/>
      <c r="H310" s="91"/>
      <c r="I310" s="91"/>
      <c r="J310" s="79"/>
      <c r="Q310" s="44"/>
    </row>
    <row r="311" spans="1:17" x14ac:dyDescent="0.15">
      <c r="A311" s="90"/>
      <c r="B311" s="91"/>
      <c r="C311" s="91"/>
      <c r="D311" s="92"/>
      <c r="E311" s="91"/>
      <c r="F311" s="91"/>
      <c r="G311" s="91"/>
      <c r="H311" s="91"/>
      <c r="I311" s="91"/>
      <c r="J311" s="79"/>
      <c r="Q311" s="44"/>
    </row>
    <row r="312" spans="1:17" x14ac:dyDescent="0.15">
      <c r="A312" s="90"/>
      <c r="B312" s="91"/>
      <c r="C312" s="91"/>
      <c r="D312" s="92"/>
      <c r="E312" s="91"/>
      <c r="F312" s="91"/>
      <c r="G312" s="91"/>
      <c r="H312" s="91"/>
      <c r="I312" s="91"/>
      <c r="J312" s="79"/>
      <c r="Q312" s="44"/>
    </row>
    <row r="313" spans="1:17" x14ac:dyDescent="0.15">
      <c r="A313" s="90"/>
      <c r="B313" s="91"/>
      <c r="C313" s="91"/>
      <c r="D313" s="92"/>
      <c r="E313" s="91"/>
      <c r="F313" s="91"/>
      <c r="G313" s="91"/>
      <c r="H313" s="91"/>
      <c r="I313" s="91"/>
      <c r="J313" s="79"/>
      <c r="Q313" s="44"/>
    </row>
    <row r="314" spans="1:17" x14ac:dyDescent="0.15">
      <c r="A314" s="90"/>
      <c r="B314" s="91"/>
      <c r="C314" s="91"/>
      <c r="D314" s="92"/>
      <c r="E314" s="91"/>
      <c r="F314" s="91"/>
      <c r="G314" s="91"/>
      <c r="H314" s="91"/>
      <c r="I314" s="91"/>
      <c r="J314" s="79"/>
      <c r="Q314" s="44"/>
    </row>
    <row r="315" spans="1:17" x14ac:dyDescent="0.15">
      <c r="A315" s="90"/>
      <c r="B315" s="91"/>
      <c r="C315" s="91"/>
      <c r="D315" s="92"/>
      <c r="E315" s="91"/>
      <c r="F315" s="91"/>
      <c r="G315" s="91"/>
      <c r="H315" s="91"/>
      <c r="I315" s="91"/>
      <c r="J315" s="79"/>
      <c r="Q315" s="44"/>
    </row>
    <row r="316" spans="1:17" x14ac:dyDescent="0.15">
      <c r="A316" s="90"/>
      <c r="B316" s="91"/>
      <c r="C316" s="91"/>
      <c r="D316" s="92"/>
      <c r="E316" s="91"/>
      <c r="F316" s="91"/>
      <c r="G316" s="91"/>
      <c r="H316" s="91"/>
      <c r="I316" s="91"/>
      <c r="J316" s="79"/>
      <c r="Q316" s="44"/>
    </row>
    <row r="317" spans="1:17" x14ac:dyDescent="0.15">
      <c r="A317" s="90"/>
      <c r="B317" s="91"/>
      <c r="C317" s="91"/>
      <c r="D317" s="92"/>
      <c r="E317" s="91"/>
      <c r="F317" s="91"/>
      <c r="G317" s="91"/>
      <c r="H317" s="91"/>
      <c r="I317" s="91"/>
      <c r="J317" s="79"/>
      <c r="Q317" s="44"/>
    </row>
    <row r="318" spans="1:17" x14ac:dyDescent="0.15">
      <c r="A318" s="90"/>
      <c r="B318" s="91"/>
      <c r="C318" s="91"/>
      <c r="D318" s="92"/>
      <c r="E318" s="91"/>
      <c r="F318" s="91"/>
      <c r="G318" s="91"/>
      <c r="H318" s="91"/>
      <c r="I318" s="91"/>
      <c r="J318" s="79"/>
      <c r="Q318" s="44"/>
    </row>
    <row r="319" spans="1:17" x14ac:dyDescent="0.15">
      <c r="A319" s="90"/>
      <c r="B319" s="91"/>
      <c r="C319" s="91"/>
      <c r="D319" s="92"/>
      <c r="E319" s="91"/>
      <c r="F319" s="91"/>
      <c r="G319" s="91"/>
      <c r="H319" s="91"/>
      <c r="I319" s="91"/>
      <c r="J319" s="79"/>
      <c r="Q319" s="44"/>
    </row>
    <row r="320" spans="1:17" x14ac:dyDescent="0.15">
      <c r="A320" s="90"/>
      <c r="B320" s="91"/>
      <c r="C320" s="91"/>
      <c r="D320" s="92"/>
      <c r="E320" s="91"/>
      <c r="F320" s="91"/>
      <c r="G320" s="91"/>
      <c r="H320" s="91"/>
      <c r="I320" s="91"/>
      <c r="J320" s="79"/>
      <c r="Q320" s="44"/>
    </row>
    <row r="321" spans="1:17" x14ac:dyDescent="0.15">
      <c r="A321" s="90"/>
      <c r="B321" s="91"/>
      <c r="C321" s="91"/>
      <c r="D321" s="92"/>
      <c r="E321" s="91"/>
      <c r="F321" s="91"/>
      <c r="G321" s="91"/>
      <c r="H321" s="91"/>
      <c r="I321" s="91"/>
      <c r="J321" s="79"/>
      <c r="Q321" s="44"/>
    </row>
    <row r="322" spans="1:17" x14ac:dyDescent="0.15">
      <c r="A322" s="90"/>
      <c r="B322" s="91"/>
      <c r="C322" s="91"/>
      <c r="D322" s="92"/>
      <c r="E322" s="91"/>
      <c r="F322" s="91"/>
      <c r="G322" s="91"/>
      <c r="H322" s="91"/>
      <c r="I322" s="91"/>
      <c r="J322" s="79"/>
    </row>
    <row r="323" spans="1:17" x14ac:dyDescent="0.15">
      <c r="A323" s="90"/>
      <c r="B323" s="91"/>
      <c r="C323" s="91"/>
      <c r="D323" s="92"/>
      <c r="E323" s="91"/>
      <c r="F323" s="91"/>
      <c r="G323" s="91"/>
      <c r="H323" s="91"/>
      <c r="I323" s="91"/>
      <c r="J323" s="79"/>
    </row>
    <row r="324" spans="1:17" x14ac:dyDescent="0.15">
      <c r="A324" s="90"/>
      <c r="B324" s="91"/>
      <c r="C324" s="91"/>
      <c r="D324" s="92"/>
      <c r="E324" s="91"/>
      <c r="F324" s="91"/>
      <c r="G324" s="91"/>
      <c r="H324" s="91"/>
      <c r="I324" s="91"/>
      <c r="J324" s="79"/>
    </row>
    <row r="325" spans="1:17" x14ac:dyDescent="0.15">
      <c r="A325" s="90"/>
      <c r="B325" s="91"/>
      <c r="C325" s="91"/>
      <c r="D325" s="92"/>
      <c r="E325" s="91"/>
      <c r="F325" s="91"/>
      <c r="G325" s="91"/>
      <c r="H325" s="91"/>
      <c r="I325" s="91"/>
      <c r="J325" s="79"/>
    </row>
    <row r="326" spans="1:17" x14ac:dyDescent="0.15">
      <c r="A326" s="90"/>
      <c r="B326" s="91"/>
      <c r="C326" s="91"/>
      <c r="D326" s="92"/>
      <c r="E326" s="91"/>
      <c r="F326" s="91"/>
      <c r="G326" s="91"/>
      <c r="H326" s="91"/>
      <c r="I326" s="91"/>
      <c r="J326" s="79"/>
    </row>
    <row r="327" spans="1:17" x14ac:dyDescent="0.15">
      <c r="A327" s="90"/>
      <c r="B327" s="91"/>
      <c r="C327" s="91"/>
      <c r="D327" s="92"/>
      <c r="E327" s="91"/>
      <c r="F327" s="91"/>
      <c r="G327" s="91"/>
      <c r="H327" s="91"/>
      <c r="I327" s="91"/>
      <c r="J327" s="79"/>
    </row>
    <row r="328" spans="1:17" x14ac:dyDescent="0.15">
      <c r="A328" s="90"/>
      <c r="B328" s="91"/>
      <c r="C328" s="91"/>
      <c r="D328" s="92"/>
      <c r="E328" s="91"/>
      <c r="F328" s="91"/>
      <c r="G328" s="91"/>
      <c r="H328" s="91"/>
      <c r="I328" s="91"/>
      <c r="J328" s="79"/>
    </row>
    <row r="329" spans="1:17" x14ac:dyDescent="0.15">
      <c r="A329" s="90"/>
      <c r="B329" s="91"/>
      <c r="C329" s="91"/>
      <c r="D329" s="92"/>
      <c r="E329" s="91"/>
      <c r="F329" s="91"/>
      <c r="G329" s="91"/>
      <c r="H329" s="91"/>
      <c r="I329" s="91"/>
      <c r="J329" s="79"/>
    </row>
    <row r="330" spans="1:17" x14ac:dyDescent="0.15">
      <c r="A330" s="90"/>
      <c r="B330" s="91"/>
      <c r="C330" s="91"/>
      <c r="D330" s="92"/>
      <c r="E330" s="91"/>
      <c r="F330" s="91"/>
      <c r="G330" s="91"/>
      <c r="H330" s="91"/>
      <c r="I330" s="91"/>
      <c r="J330" s="79"/>
    </row>
    <row r="331" spans="1:17" x14ac:dyDescent="0.15">
      <c r="A331" s="90"/>
      <c r="B331" s="91"/>
      <c r="C331" s="91"/>
      <c r="D331" s="92"/>
      <c r="E331" s="91"/>
      <c r="F331" s="91"/>
      <c r="G331" s="91"/>
      <c r="H331" s="91"/>
      <c r="I331" s="91"/>
      <c r="J331" s="79"/>
    </row>
    <row r="332" spans="1:17" x14ac:dyDescent="0.15">
      <c r="A332" s="90"/>
      <c r="B332" s="91"/>
      <c r="C332" s="91"/>
      <c r="D332" s="92"/>
      <c r="E332" s="91"/>
      <c r="F332" s="91"/>
      <c r="G332" s="91"/>
      <c r="H332" s="91"/>
      <c r="I332" s="91"/>
      <c r="J332" s="79"/>
    </row>
    <row r="333" spans="1:17" x14ac:dyDescent="0.15">
      <c r="A333" s="90"/>
      <c r="B333" s="91"/>
      <c r="C333" s="91"/>
      <c r="D333" s="92"/>
      <c r="E333" s="91"/>
      <c r="F333" s="91"/>
      <c r="G333" s="91"/>
      <c r="H333" s="91"/>
      <c r="I333" s="91"/>
      <c r="J333" s="79"/>
    </row>
    <row r="334" spans="1:17" x14ac:dyDescent="0.15">
      <c r="A334" s="90"/>
      <c r="B334" s="91"/>
      <c r="C334" s="91"/>
      <c r="D334" s="92"/>
      <c r="E334" s="91"/>
      <c r="F334" s="91"/>
      <c r="G334" s="91"/>
      <c r="H334" s="91"/>
      <c r="I334" s="91"/>
      <c r="J334" s="79"/>
    </row>
    <row r="335" spans="1:17" x14ac:dyDescent="0.15">
      <c r="A335" s="90"/>
      <c r="B335" s="91"/>
      <c r="C335" s="91"/>
      <c r="D335" s="92"/>
      <c r="E335" s="91"/>
      <c r="F335" s="91"/>
      <c r="G335" s="91"/>
      <c r="H335" s="91"/>
      <c r="I335" s="91"/>
      <c r="J335" s="79"/>
    </row>
    <row r="336" spans="1:17" x14ac:dyDescent="0.15">
      <c r="A336" s="90"/>
      <c r="B336" s="91"/>
      <c r="C336" s="91"/>
      <c r="D336" s="92"/>
      <c r="E336" s="91"/>
      <c r="F336" s="91"/>
      <c r="G336" s="91"/>
      <c r="H336" s="91"/>
      <c r="I336" s="91"/>
      <c r="J336" s="79"/>
    </row>
    <row r="337" spans="1:10" x14ac:dyDescent="0.15">
      <c r="A337" s="90"/>
      <c r="B337" s="91"/>
      <c r="C337" s="91"/>
      <c r="D337" s="92"/>
      <c r="E337" s="91"/>
      <c r="F337" s="91"/>
      <c r="G337" s="91"/>
      <c r="H337" s="91"/>
      <c r="I337" s="91"/>
      <c r="J337" s="79"/>
    </row>
    <row r="338" spans="1:10" x14ac:dyDescent="0.15">
      <c r="A338" s="90"/>
      <c r="B338" s="91"/>
      <c r="C338" s="91"/>
      <c r="D338" s="92"/>
      <c r="E338" s="91"/>
      <c r="F338" s="91"/>
      <c r="G338" s="91"/>
      <c r="H338" s="91"/>
      <c r="I338" s="91"/>
      <c r="J338" s="79"/>
    </row>
    <row r="339" spans="1:10" x14ac:dyDescent="0.15">
      <c r="A339" s="90"/>
      <c r="B339" s="91"/>
      <c r="C339" s="91"/>
      <c r="D339" s="92"/>
      <c r="E339" s="91"/>
      <c r="F339" s="91"/>
      <c r="G339" s="91"/>
      <c r="H339" s="91"/>
      <c r="I339" s="91"/>
      <c r="J339" s="79"/>
    </row>
    <row r="340" spans="1:10" x14ac:dyDescent="0.15">
      <c r="A340" s="90"/>
      <c r="B340" s="91"/>
      <c r="C340" s="91"/>
      <c r="D340" s="92"/>
      <c r="E340" s="91"/>
      <c r="F340" s="91"/>
      <c r="G340" s="91"/>
      <c r="H340" s="91"/>
      <c r="I340" s="91"/>
      <c r="J340" s="79"/>
    </row>
    <row r="341" spans="1:10" x14ac:dyDescent="0.15">
      <c r="A341" s="90"/>
      <c r="B341" s="91"/>
      <c r="C341" s="91"/>
      <c r="D341" s="92"/>
      <c r="E341" s="91"/>
      <c r="F341" s="91"/>
      <c r="G341" s="91"/>
      <c r="H341" s="91"/>
      <c r="I341" s="91"/>
      <c r="J341" s="79"/>
    </row>
    <row r="342" spans="1:10" x14ac:dyDescent="0.15">
      <c r="A342" s="90"/>
      <c r="B342" s="91"/>
      <c r="C342" s="91"/>
      <c r="D342" s="92"/>
      <c r="E342" s="91"/>
      <c r="F342" s="91"/>
      <c r="G342" s="91"/>
      <c r="H342" s="91"/>
      <c r="I342" s="91"/>
      <c r="J342" s="79"/>
    </row>
    <row r="343" spans="1:10" x14ac:dyDescent="0.15">
      <c r="A343" s="90"/>
      <c r="B343" s="91"/>
      <c r="C343" s="91"/>
      <c r="D343" s="92"/>
      <c r="E343" s="91"/>
      <c r="F343" s="91"/>
      <c r="G343" s="91"/>
      <c r="H343" s="91"/>
      <c r="I343" s="91"/>
      <c r="J343" s="79"/>
    </row>
    <row r="344" spans="1:10" x14ac:dyDescent="0.15">
      <c r="A344" s="90"/>
      <c r="B344" s="91"/>
      <c r="C344" s="91"/>
      <c r="D344" s="92"/>
      <c r="E344" s="91"/>
      <c r="F344" s="91"/>
      <c r="G344" s="91"/>
      <c r="H344" s="91"/>
      <c r="I344" s="91"/>
      <c r="J344" s="79"/>
    </row>
    <row r="345" spans="1:10" x14ac:dyDescent="0.15">
      <c r="A345" s="90"/>
      <c r="B345" s="91"/>
      <c r="C345" s="91"/>
      <c r="D345" s="92"/>
      <c r="E345" s="91"/>
      <c r="F345" s="91"/>
      <c r="G345" s="91"/>
      <c r="H345" s="91"/>
      <c r="I345" s="91"/>
      <c r="J345" s="79"/>
    </row>
    <row r="346" spans="1:10" x14ac:dyDescent="0.15">
      <c r="A346" s="90"/>
      <c r="B346" s="91"/>
      <c r="C346" s="91"/>
      <c r="D346" s="92"/>
      <c r="E346" s="91"/>
      <c r="F346" s="91"/>
      <c r="G346" s="91"/>
      <c r="H346" s="91"/>
      <c r="I346" s="91"/>
      <c r="J346" s="79"/>
    </row>
    <row r="347" spans="1:10" x14ac:dyDescent="0.15">
      <c r="A347" s="90"/>
      <c r="B347" s="91"/>
      <c r="C347" s="91"/>
      <c r="D347" s="92"/>
      <c r="E347" s="91"/>
      <c r="F347" s="91"/>
      <c r="G347" s="91"/>
      <c r="H347" s="91"/>
      <c r="I347" s="91"/>
      <c r="J347" s="79"/>
    </row>
    <row r="348" spans="1:10" x14ac:dyDescent="0.15">
      <c r="A348" s="90"/>
      <c r="B348" s="91"/>
      <c r="C348" s="91"/>
      <c r="D348" s="92"/>
      <c r="E348" s="91"/>
      <c r="F348" s="91"/>
      <c r="G348" s="91"/>
      <c r="H348" s="91"/>
      <c r="I348" s="91"/>
      <c r="J348" s="79"/>
    </row>
    <row r="349" spans="1:10" x14ac:dyDescent="0.15">
      <c r="A349" s="90"/>
      <c r="B349" s="91"/>
      <c r="C349" s="91"/>
      <c r="D349" s="92"/>
      <c r="E349" s="91"/>
      <c r="F349" s="91"/>
      <c r="G349" s="91"/>
      <c r="H349" s="91"/>
      <c r="I349" s="91"/>
      <c r="J349" s="79"/>
    </row>
    <row r="350" spans="1:10" x14ac:dyDescent="0.15">
      <c r="A350" s="90"/>
      <c r="B350" s="91"/>
      <c r="C350" s="91"/>
      <c r="D350" s="92"/>
      <c r="E350" s="91"/>
      <c r="F350" s="91"/>
      <c r="G350" s="91"/>
      <c r="H350" s="91"/>
      <c r="I350" s="91"/>
      <c r="J350" s="79"/>
    </row>
    <row r="351" spans="1:10" x14ac:dyDescent="0.15">
      <c r="A351" s="90"/>
      <c r="B351" s="91"/>
      <c r="C351" s="91"/>
      <c r="D351" s="92"/>
      <c r="E351" s="91"/>
      <c r="F351" s="91"/>
      <c r="G351" s="91"/>
      <c r="H351" s="91"/>
      <c r="I351" s="91"/>
      <c r="J351" s="79"/>
    </row>
    <row r="352" spans="1:10" x14ac:dyDescent="0.15">
      <c r="A352" s="90"/>
      <c r="B352" s="91"/>
      <c r="C352" s="91"/>
      <c r="D352" s="92"/>
      <c r="E352" s="91"/>
      <c r="F352" s="91"/>
      <c r="G352" s="91"/>
      <c r="H352" s="91"/>
      <c r="I352" s="91"/>
      <c r="J352" s="79"/>
    </row>
    <row r="353" spans="1:10" x14ac:dyDescent="0.15">
      <c r="A353" s="90"/>
      <c r="B353" s="91"/>
      <c r="C353" s="91"/>
      <c r="D353" s="92"/>
      <c r="E353" s="91"/>
      <c r="F353" s="91"/>
      <c r="G353" s="91"/>
      <c r="H353" s="91"/>
      <c r="I353" s="91"/>
      <c r="J353" s="79"/>
    </row>
    <row r="354" spans="1:10" x14ac:dyDescent="0.15">
      <c r="A354" s="90"/>
      <c r="B354" s="91"/>
      <c r="C354" s="91"/>
      <c r="D354" s="92"/>
      <c r="E354" s="91"/>
      <c r="F354" s="91"/>
      <c r="G354" s="91"/>
      <c r="H354" s="91"/>
      <c r="I354" s="91"/>
      <c r="J354" s="79"/>
    </row>
    <row r="355" spans="1:10" x14ac:dyDescent="0.15">
      <c r="A355" s="90"/>
      <c r="B355" s="91"/>
      <c r="C355" s="91"/>
      <c r="D355" s="92"/>
      <c r="E355" s="91"/>
      <c r="F355" s="91"/>
      <c r="G355" s="91"/>
      <c r="H355" s="91"/>
      <c r="I355" s="91"/>
      <c r="J355" s="79"/>
    </row>
    <row r="356" spans="1:10" x14ac:dyDescent="0.15">
      <c r="A356" s="90"/>
      <c r="B356" s="91"/>
      <c r="C356" s="91"/>
      <c r="D356" s="92"/>
      <c r="E356" s="91"/>
      <c r="F356" s="91"/>
      <c r="G356" s="91"/>
      <c r="H356" s="91"/>
      <c r="I356" s="91"/>
      <c r="J356" s="79"/>
    </row>
    <row r="357" spans="1:10" x14ac:dyDescent="0.15">
      <c r="A357" s="90"/>
      <c r="B357" s="91"/>
      <c r="C357" s="91"/>
      <c r="D357" s="92"/>
      <c r="E357" s="91"/>
      <c r="F357" s="91"/>
      <c r="G357" s="91"/>
      <c r="H357" s="91"/>
      <c r="I357" s="91"/>
      <c r="J357" s="79"/>
    </row>
    <row r="358" spans="1:10" x14ac:dyDescent="0.15">
      <c r="A358" s="90"/>
      <c r="B358" s="91"/>
      <c r="C358" s="91"/>
      <c r="D358" s="92"/>
      <c r="E358" s="91"/>
      <c r="F358" s="91"/>
      <c r="G358" s="91"/>
      <c r="H358" s="91"/>
      <c r="I358" s="91"/>
      <c r="J358" s="79"/>
    </row>
    <row r="359" spans="1:10" x14ac:dyDescent="0.15">
      <c r="A359" s="90"/>
      <c r="B359" s="91"/>
      <c r="C359" s="91"/>
      <c r="D359" s="92"/>
      <c r="E359" s="91"/>
      <c r="F359" s="91"/>
      <c r="G359" s="91"/>
      <c r="H359" s="91"/>
      <c r="I359" s="91"/>
      <c r="J359" s="79"/>
    </row>
    <row r="360" spans="1:10" x14ac:dyDescent="0.15">
      <c r="A360" s="90"/>
      <c r="B360" s="91"/>
      <c r="C360" s="91"/>
      <c r="D360" s="92"/>
      <c r="E360" s="91"/>
      <c r="F360" s="91"/>
      <c r="G360" s="91"/>
      <c r="H360" s="91"/>
      <c r="I360" s="91"/>
      <c r="J360" s="79"/>
    </row>
    <row r="361" spans="1:10" x14ac:dyDescent="0.15">
      <c r="A361" s="90"/>
      <c r="B361" s="91"/>
      <c r="C361" s="91"/>
      <c r="D361" s="92"/>
      <c r="E361" s="91"/>
      <c r="F361" s="91"/>
      <c r="G361" s="91"/>
      <c r="H361" s="91"/>
      <c r="I361" s="91"/>
      <c r="J361" s="79"/>
    </row>
    <row r="362" spans="1:10" x14ac:dyDescent="0.15">
      <c r="A362" s="90"/>
      <c r="B362" s="91"/>
      <c r="C362" s="91"/>
      <c r="D362" s="92"/>
      <c r="E362" s="91"/>
      <c r="F362" s="91"/>
      <c r="G362" s="91"/>
      <c r="H362" s="91"/>
      <c r="I362" s="91"/>
      <c r="J362" s="79"/>
    </row>
    <row r="363" spans="1:10" x14ac:dyDescent="0.15">
      <c r="A363" s="90"/>
      <c r="B363" s="91"/>
      <c r="C363" s="91"/>
      <c r="D363" s="92"/>
      <c r="E363" s="91"/>
      <c r="F363" s="91"/>
      <c r="G363" s="91"/>
      <c r="H363" s="91"/>
      <c r="I363" s="91"/>
      <c r="J363" s="79"/>
    </row>
    <row r="364" spans="1:10" x14ac:dyDescent="0.15">
      <c r="A364" s="90"/>
      <c r="B364" s="91"/>
      <c r="C364" s="91"/>
      <c r="D364" s="92"/>
      <c r="E364" s="91"/>
      <c r="F364" s="91"/>
      <c r="G364" s="91"/>
      <c r="H364" s="91"/>
      <c r="I364" s="91"/>
      <c r="J364" s="79"/>
    </row>
    <row r="365" spans="1:10" x14ac:dyDescent="0.15">
      <c r="A365" s="90"/>
      <c r="B365" s="91"/>
      <c r="C365" s="91"/>
      <c r="D365" s="92"/>
      <c r="E365" s="91"/>
      <c r="F365" s="91"/>
      <c r="G365" s="91"/>
      <c r="H365" s="91"/>
      <c r="I365" s="91"/>
      <c r="J365" s="79"/>
    </row>
    <row r="366" spans="1:10" x14ac:dyDescent="0.15">
      <c r="A366" s="90"/>
      <c r="B366" s="91"/>
      <c r="C366" s="91"/>
      <c r="D366" s="92"/>
      <c r="E366" s="91"/>
      <c r="F366" s="91"/>
      <c r="G366" s="91"/>
      <c r="H366" s="91"/>
      <c r="I366" s="91"/>
      <c r="J366" s="79"/>
    </row>
    <row r="367" spans="1:10" x14ac:dyDescent="0.15">
      <c r="A367" s="90"/>
      <c r="B367" s="91"/>
      <c r="C367" s="91"/>
      <c r="D367" s="92"/>
      <c r="E367" s="91"/>
      <c r="F367" s="91"/>
      <c r="G367" s="91"/>
      <c r="H367" s="91"/>
      <c r="I367" s="91"/>
      <c r="J367" s="79"/>
    </row>
    <row r="368" spans="1:10" x14ac:dyDescent="0.15">
      <c r="A368" s="90"/>
      <c r="B368" s="91"/>
      <c r="C368" s="91"/>
      <c r="D368" s="92"/>
      <c r="E368" s="91"/>
      <c r="F368" s="91"/>
      <c r="G368" s="91"/>
      <c r="H368" s="91"/>
      <c r="I368" s="91"/>
      <c r="J368" s="79"/>
    </row>
    <row r="369" spans="1:10" x14ac:dyDescent="0.15">
      <c r="A369" s="90"/>
      <c r="B369" s="91"/>
      <c r="C369" s="91"/>
      <c r="D369" s="92"/>
      <c r="E369" s="91"/>
      <c r="F369" s="91"/>
      <c r="G369" s="91"/>
      <c r="H369" s="91"/>
      <c r="I369" s="91"/>
      <c r="J369" s="79"/>
    </row>
    <row r="370" spans="1:10" x14ac:dyDescent="0.15">
      <c r="A370" s="90"/>
      <c r="B370" s="91"/>
      <c r="C370" s="91"/>
      <c r="D370" s="92"/>
      <c r="E370" s="91"/>
      <c r="F370" s="91"/>
      <c r="G370" s="91"/>
      <c r="H370" s="91"/>
      <c r="I370" s="91"/>
      <c r="J370" s="79"/>
    </row>
    <row r="371" spans="1:10" x14ac:dyDescent="0.15">
      <c r="A371" s="90"/>
      <c r="B371" s="91"/>
      <c r="C371" s="91"/>
      <c r="D371" s="92"/>
      <c r="E371" s="91"/>
      <c r="F371" s="91"/>
      <c r="G371" s="91"/>
      <c r="H371" s="91"/>
      <c r="I371" s="91"/>
      <c r="J371" s="79"/>
    </row>
    <row r="372" spans="1:10" x14ac:dyDescent="0.15">
      <c r="A372" s="90"/>
      <c r="B372" s="91"/>
      <c r="C372" s="91"/>
      <c r="D372" s="92"/>
      <c r="E372" s="91"/>
      <c r="F372" s="91"/>
      <c r="G372" s="91"/>
      <c r="H372" s="91"/>
      <c r="I372" s="91"/>
      <c r="J372" s="79"/>
    </row>
    <row r="373" spans="1:10" x14ac:dyDescent="0.15">
      <c r="A373" s="90"/>
      <c r="B373" s="91"/>
      <c r="C373" s="91"/>
      <c r="D373" s="92"/>
      <c r="E373" s="91"/>
      <c r="F373" s="91"/>
      <c r="G373" s="91"/>
      <c r="H373" s="91"/>
      <c r="I373" s="91"/>
      <c r="J373" s="79"/>
    </row>
    <row r="374" spans="1:10" x14ac:dyDescent="0.15">
      <c r="A374" s="90"/>
      <c r="B374" s="91"/>
      <c r="C374" s="91"/>
      <c r="D374" s="92"/>
      <c r="E374" s="91"/>
      <c r="F374" s="91"/>
      <c r="G374" s="91"/>
      <c r="H374" s="91"/>
      <c r="I374" s="91"/>
      <c r="J374" s="79"/>
    </row>
    <row r="375" spans="1:10" x14ac:dyDescent="0.15">
      <c r="A375" s="90"/>
      <c r="B375" s="91"/>
      <c r="C375" s="91"/>
      <c r="D375" s="92"/>
      <c r="E375" s="91"/>
      <c r="F375" s="91"/>
      <c r="G375" s="91"/>
      <c r="H375" s="91"/>
      <c r="I375" s="91"/>
      <c r="J375" s="79"/>
    </row>
    <row r="376" spans="1:10" x14ac:dyDescent="0.15">
      <c r="A376" s="90"/>
      <c r="B376" s="91"/>
      <c r="C376" s="91"/>
      <c r="D376" s="92"/>
      <c r="E376" s="91"/>
      <c r="F376" s="91"/>
      <c r="G376" s="91"/>
      <c r="H376" s="91"/>
      <c r="I376" s="91"/>
      <c r="J376" s="79"/>
    </row>
    <row r="377" spans="1:10" x14ac:dyDescent="0.15">
      <c r="A377" s="90"/>
      <c r="B377" s="91"/>
      <c r="C377" s="91"/>
      <c r="D377" s="92"/>
      <c r="E377" s="91"/>
      <c r="F377" s="91"/>
      <c r="G377" s="91"/>
      <c r="H377" s="91"/>
      <c r="I377" s="91"/>
      <c r="J377" s="79"/>
    </row>
    <row r="378" spans="1:10" x14ac:dyDescent="0.15">
      <c r="A378" s="90"/>
      <c r="B378" s="91"/>
      <c r="C378" s="91"/>
      <c r="D378" s="92"/>
      <c r="E378" s="91"/>
      <c r="F378" s="91"/>
      <c r="G378" s="91"/>
      <c r="H378" s="91"/>
      <c r="I378" s="91"/>
      <c r="J378" s="79"/>
    </row>
    <row r="379" spans="1:10" x14ac:dyDescent="0.15">
      <c r="A379" s="90"/>
      <c r="B379" s="91"/>
      <c r="C379" s="91"/>
      <c r="D379" s="92"/>
      <c r="E379" s="91"/>
      <c r="F379" s="91"/>
      <c r="G379" s="91"/>
      <c r="H379" s="91"/>
      <c r="I379" s="91"/>
      <c r="J379" s="79"/>
    </row>
    <row r="380" spans="1:10" x14ac:dyDescent="0.15">
      <c r="A380" s="90"/>
      <c r="B380" s="91"/>
      <c r="C380" s="91"/>
      <c r="D380" s="92"/>
      <c r="E380" s="91"/>
      <c r="F380" s="91"/>
      <c r="G380" s="91"/>
      <c r="H380" s="91"/>
      <c r="I380" s="91"/>
      <c r="J380" s="79"/>
    </row>
    <row r="381" spans="1:10" x14ac:dyDescent="0.15">
      <c r="A381" s="90"/>
      <c r="B381" s="91"/>
      <c r="C381" s="91"/>
      <c r="D381" s="92"/>
      <c r="E381" s="91"/>
      <c r="F381" s="91"/>
      <c r="G381" s="91"/>
      <c r="H381" s="91"/>
      <c r="I381" s="91"/>
      <c r="J381" s="79"/>
    </row>
    <row r="382" spans="1:10" x14ac:dyDescent="0.15">
      <c r="A382" s="90"/>
      <c r="B382" s="91"/>
      <c r="C382" s="91"/>
      <c r="D382" s="92"/>
      <c r="E382" s="91"/>
      <c r="F382" s="91"/>
      <c r="G382" s="91"/>
      <c r="H382" s="91"/>
      <c r="I382" s="91"/>
      <c r="J382" s="79"/>
    </row>
    <row r="383" spans="1:10" x14ac:dyDescent="0.15">
      <c r="A383" s="90"/>
      <c r="B383" s="91"/>
      <c r="C383" s="91"/>
      <c r="D383" s="92"/>
      <c r="E383" s="91"/>
      <c r="F383" s="91"/>
      <c r="G383" s="91"/>
      <c r="H383" s="91"/>
      <c r="I383" s="91"/>
      <c r="J383" s="79"/>
    </row>
    <row r="384" spans="1:10" x14ac:dyDescent="0.15">
      <c r="A384" s="90"/>
      <c r="B384" s="91"/>
      <c r="C384" s="91"/>
      <c r="D384" s="92"/>
      <c r="E384" s="91"/>
      <c r="F384" s="91"/>
      <c r="G384" s="91"/>
      <c r="H384" s="91"/>
      <c r="I384" s="91"/>
      <c r="J384" s="79"/>
    </row>
    <row r="385" spans="1:10" x14ac:dyDescent="0.15">
      <c r="A385" s="90"/>
      <c r="B385" s="91"/>
      <c r="C385" s="91"/>
      <c r="D385" s="92"/>
      <c r="E385" s="91"/>
      <c r="F385" s="91"/>
      <c r="G385" s="91"/>
      <c r="H385" s="91"/>
      <c r="I385" s="91"/>
      <c r="J385" s="79"/>
    </row>
    <row r="386" spans="1:10" x14ac:dyDescent="0.15">
      <c r="A386" s="90"/>
      <c r="B386" s="91"/>
      <c r="C386" s="91"/>
      <c r="D386" s="92"/>
      <c r="E386" s="91"/>
      <c r="F386" s="91"/>
      <c r="G386" s="91"/>
      <c r="H386" s="91"/>
      <c r="I386" s="91"/>
      <c r="J386" s="79"/>
    </row>
    <row r="387" spans="1:10" x14ac:dyDescent="0.15">
      <c r="A387" s="90"/>
      <c r="B387" s="91"/>
      <c r="C387" s="91"/>
      <c r="D387" s="92"/>
      <c r="E387" s="91"/>
      <c r="F387" s="91"/>
      <c r="G387" s="91"/>
      <c r="H387" s="91"/>
      <c r="I387" s="91"/>
      <c r="J387" s="79"/>
    </row>
    <row r="388" spans="1:10" x14ac:dyDescent="0.15">
      <c r="A388" s="90"/>
      <c r="B388" s="91"/>
      <c r="C388" s="91"/>
      <c r="D388" s="92"/>
      <c r="E388" s="91"/>
      <c r="F388" s="91"/>
      <c r="G388" s="91"/>
      <c r="H388" s="91"/>
      <c r="I388" s="91"/>
      <c r="J388" s="79"/>
    </row>
    <row r="389" spans="1:10" x14ac:dyDescent="0.15">
      <c r="A389" s="90"/>
      <c r="B389" s="91"/>
      <c r="C389" s="91"/>
      <c r="D389" s="92"/>
      <c r="E389" s="91"/>
      <c r="F389" s="91"/>
      <c r="G389" s="91"/>
      <c r="H389" s="91"/>
      <c r="I389" s="91"/>
      <c r="J389" s="79"/>
    </row>
    <row r="390" spans="1:10" x14ac:dyDescent="0.15">
      <c r="A390" s="90"/>
      <c r="B390" s="91"/>
      <c r="C390" s="91"/>
      <c r="D390" s="92"/>
      <c r="E390" s="91"/>
      <c r="F390" s="91"/>
      <c r="G390" s="91"/>
      <c r="H390" s="91"/>
      <c r="I390" s="91"/>
      <c r="J390" s="79"/>
    </row>
    <row r="391" spans="1:10" x14ac:dyDescent="0.15">
      <c r="A391" s="90"/>
      <c r="B391" s="91"/>
      <c r="C391" s="91"/>
      <c r="D391" s="92"/>
      <c r="E391" s="91"/>
      <c r="F391" s="91"/>
      <c r="G391" s="91"/>
      <c r="H391" s="91"/>
      <c r="I391" s="91"/>
      <c r="J391" s="79"/>
    </row>
    <row r="392" spans="1:10" x14ac:dyDescent="0.15">
      <c r="A392" s="90"/>
      <c r="B392" s="91"/>
      <c r="C392" s="91"/>
      <c r="D392" s="92"/>
      <c r="E392" s="91"/>
      <c r="F392" s="91"/>
      <c r="G392" s="91"/>
      <c r="H392" s="91"/>
      <c r="I392" s="91"/>
      <c r="J392" s="79"/>
    </row>
    <row r="393" spans="1:10" x14ac:dyDescent="0.15">
      <c r="A393" s="90"/>
      <c r="B393" s="91"/>
      <c r="C393" s="91"/>
      <c r="D393" s="92"/>
      <c r="E393" s="91"/>
      <c r="F393" s="91"/>
      <c r="G393" s="91"/>
      <c r="H393" s="91"/>
      <c r="I393" s="91"/>
      <c r="J393" s="79"/>
    </row>
    <row r="394" spans="1:10" x14ac:dyDescent="0.15">
      <c r="A394" s="90"/>
      <c r="B394" s="91"/>
      <c r="C394" s="91"/>
      <c r="D394" s="92"/>
      <c r="E394" s="91"/>
      <c r="F394" s="91"/>
      <c r="G394" s="91"/>
      <c r="H394" s="91"/>
      <c r="I394" s="91"/>
      <c r="J394" s="79"/>
    </row>
    <row r="395" spans="1:10" x14ac:dyDescent="0.15">
      <c r="A395" s="90"/>
      <c r="B395" s="91"/>
      <c r="C395" s="91"/>
      <c r="D395" s="92"/>
      <c r="E395" s="91"/>
      <c r="F395" s="91"/>
      <c r="G395" s="91"/>
      <c r="H395" s="91"/>
      <c r="I395" s="91"/>
      <c r="J395" s="79"/>
    </row>
    <row r="396" spans="1:10" x14ac:dyDescent="0.15">
      <c r="A396" s="90"/>
      <c r="B396" s="91"/>
      <c r="C396" s="91"/>
      <c r="D396" s="92"/>
      <c r="E396" s="91"/>
      <c r="F396" s="91"/>
      <c r="G396" s="91"/>
      <c r="H396" s="91"/>
      <c r="I396" s="91"/>
      <c r="J396" s="79"/>
    </row>
    <row r="397" spans="1:10" x14ac:dyDescent="0.15">
      <c r="A397" s="90"/>
      <c r="B397" s="91"/>
      <c r="C397" s="91"/>
      <c r="D397" s="92"/>
      <c r="E397" s="91"/>
      <c r="F397" s="91"/>
      <c r="G397" s="91"/>
      <c r="H397" s="91"/>
      <c r="I397" s="91"/>
      <c r="J397" s="79"/>
    </row>
    <row r="398" spans="1:10" x14ac:dyDescent="0.15">
      <c r="A398" s="90"/>
      <c r="B398" s="91"/>
      <c r="C398" s="91"/>
      <c r="D398" s="92"/>
      <c r="E398" s="91"/>
      <c r="F398" s="91"/>
      <c r="G398" s="91"/>
      <c r="H398" s="91"/>
      <c r="I398" s="91"/>
      <c r="J398" s="79"/>
    </row>
    <row r="399" spans="1:10" x14ac:dyDescent="0.15">
      <c r="A399" s="90"/>
      <c r="B399" s="91"/>
      <c r="C399" s="91"/>
      <c r="D399" s="92"/>
      <c r="E399" s="91"/>
      <c r="F399" s="91"/>
      <c r="G399" s="91"/>
      <c r="H399" s="91"/>
      <c r="I399" s="91"/>
      <c r="J399" s="79"/>
    </row>
    <row r="400" spans="1:10" x14ac:dyDescent="0.15">
      <c r="A400" s="90"/>
      <c r="B400" s="91"/>
      <c r="C400" s="91"/>
      <c r="D400" s="92"/>
      <c r="E400" s="91"/>
      <c r="F400" s="91"/>
      <c r="G400" s="91"/>
      <c r="H400" s="91"/>
      <c r="I400" s="91"/>
      <c r="J400" s="79"/>
    </row>
    <row r="401" spans="1:10" x14ac:dyDescent="0.15">
      <c r="A401" s="90"/>
      <c r="B401" s="91"/>
      <c r="C401" s="91"/>
      <c r="D401" s="92"/>
      <c r="E401" s="91"/>
      <c r="F401" s="91"/>
      <c r="G401" s="91"/>
      <c r="H401" s="91"/>
      <c r="I401" s="91"/>
      <c r="J401" s="79"/>
    </row>
    <row r="402" spans="1:10" x14ac:dyDescent="0.15">
      <c r="A402" s="90"/>
      <c r="B402" s="91"/>
      <c r="C402" s="91"/>
      <c r="D402" s="92"/>
      <c r="E402" s="91"/>
      <c r="F402" s="91"/>
      <c r="G402" s="91"/>
      <c r="H402" s="91"/>
      <c r="I402" s="91"/>
      <c r="J402" s="79"/>
    </row>
    <row r="403" spans="1:10" x14ac:dyDescent="0.15">
      <c r="A403" s="90"/>
      <c r="B403" s="91"/>
      <c r="C403" s="91"/>
      <c r="D403" s="92"/>
      <c r="E403" s="91"/>
      <c r="F403" s="91"/>
      <c r="G403" s="91"/>
      <c r="H403" s="91"/>
      <c r="I403" s="91"/>
      <c r="J403" s="79"/>
    </row>
    <row r="404" spans="1:10" x14ac:dyDescent="0.15">
      <c r="A404" s="90"/>
      <c r="B404" s="91"/>
      <c r="C404" s="91"/>
      <c r="D404" s="92"/>
      <c r="E404" s="91"/>
      <c r="F404" s="91"/>
      <c r="G404" s="91"/>
      <c r="H404" s="91"/>
      <c r="I404" s="91"/>
      <c r="J404" s="79"/>
    </row>
    <row r="405" spans="1:10" x14ac:dyDescent="0.15">
      <c r="A405" s="90"/>
      <c r="B405" s="91"/>
      <c r="C405" s="91"/>
      <c r="D405" s="92"/>
      <c r="E405" s="91"/>
      <c r="F405" s="91"/>
      <c r="G405" s="91"/>
      <c r="H405" s="91"/>
      <c r="I405" s="91"/>
      <c r="J405" s="79"/>
    </row>
    <row r="406" spans="1:10" x14ac:dyDescent="0.15">
      <c r="A406" s="90"/>
      <c r="B406" s="91"/>
      <c r="C406" s="91"/>
      <c r="D406" s="92"/>
      <c r="E406" s="91"/>
      <c r="F406" s="91"/>
      <c r="G406" s="91"/>
      <c r="H406" s="91"/>
      <c r="I406" s="91"/>
      <c r="J406" s="79"/>
    </row>
    <row r="407" spans="1:10" x14ac:dyDescent="0.15">
      <c r="A407" s="90"/>
      <c r="B407" s="91"/>
      <c r="C407" s="91"/>
      <c r="D407" s="92"/>
      <c r="E407" s="91"/>
      <c r="F407" s="91"/>
      <c r="G407" s="91"/>
      <c r="H407" s="91"/>
      <c r="I407" s="91"/>
      <c r="J407" s="79"/>
    </row>
    <row r="408" spans="1:10" x14ac:dyDescent="0.15">
      <c r="A408" s="90"/>
      <c r="B408" s="91"/>
      <c r="C408" s="91"/>
      <c r="D408" s="92"/>
      <c r="E408" s="91"/>
      <c r="F408" s="91"/>
      <c r="G408" s="91"/>
      <c r="H408" s="91"/>
      <c r="I408" s="91"/>
      <c r="J408" s="79"/>
    </row>
    <row r="409" spans="1:10" x14ac:dyDescent="0.15">
      <c r="A409" s="90"/>
      <c r="B409" s="91"/>
      <c r="C409" s="91"/>
      <c r="D409" s="92"/>
      <c r="E409" s="91"/>
      <c r="F409" s="91"/>
      <c r="G409" s="91"/>
      <c r="H409" s="91"/>
      <c r="I409" s="91"/>
      <c r="J409" s="79"/>
    </row>
    <row r="410" spans="1:10" x14ac:dyDescent="0.15">
      <c r="A410" s="90"/>
      <c r="B410" s="91"/>
      <c r="C410" s="91"/>
      <c r="D410" s="92"/>
      <c r="E410" s="91"/>
      <c r="F410" s="91"/>
      <c r="G410" s="91"/>
      <c r="H410" s="91"/>
      <c r="I410" s="91"/>
      <c r="J410" s="79"/>
    </row>
    <row r="411" spans="1:10" x14ac:dyDescent="0.15">
      <c r="A411" s="90"/>
      <c r="B411" s="91"/>
      <c r="C411" s="91"/>
      <c r="D411" s="92"/>
      <c r="E411" s="91"/>
      <c r="F411" s="91"/>
      <c r="G411" s="91"/>
      <c r="H411" s="91"/>
      <c r="I411" s="91"/>
      <c r="J411" s="79"/>
    </row>
    <row r="412" spans="1:10" x14ac:dyDescent="0.15">
      <c r="A412" s="90"/>
      <c r="B412" s="91"/>
      <c r="C412" s="91"/>
      <c r="D412" s="92"/>
      <c r="E412" s="91"/>
      <c r="F412" s="91"/>
      <c r="G412" s="91"/>
      <c r="H412" s="91"/>
      <c r="I412" s="91"/>
      <c r="J412" s="79"/>
    </row>
    <row r="413" spans="1:10" x14ac:dyDescent="0.15">
      <c r="A413" s="90"/>
      <c r="B413" s="91"/>
      <c r="C413" s="91"/>
      <c r="D413" s="92"/>
      <c r="E413" s="91"/>
      <c r="F413" s="91"/>
      <c r="G413" s="91"/>
      <c r="H413" s="91"/>
      <c r="I413" s="91"/>
      <c r="J413" s="79"/>
    </row>
    <row r="414" spans="1:10" x14ac:dyDescent="0.15">
      <c r="A414" s="90"/>
      <c r="B414" s="91"/>
      <c r="C414" s="91"/>
      <c r="D414" s="92"/>
      <c r="E414" s="91"/>
      <c r="F414" s="91"/>
      <c r="G414" s="91"/>
      <c r="H414" s="91"/>
      <c r="I414" s="91"/>
      <c r="J414" s="79"/>
    </row>
    <row r="415" spans="1:10" x14ac:dyDescent="0.15">
      <c r="A415" s="90"/>
      <c r="B415" s="91"/>
      <c r="C415" s="91"/>
      <c r="D415" s="92"/>
      <c r="E415" s="91"/>
      <c r="F415" s="91"/>
      <c r="G415" s="91"/>
      <c r="H415" s="91"/>
      <c r="I415" s="91"/>
      <c r="J415" s="79"/>
    </row>
    <row r="416" spans="1:10" x14ac:dyDescent="0.15">
      <c r="A416" s="90"/>
      <c r="B416" s="91"/>
      <c r="C416" s="91"/>
      <c r="D416" s="92"/>
      <c r="E416" s="91"/>
      <c r="F416" s="91"/>
      <c r="G416" s="91"/>
      <c r="H416" s="91"/>
      <c r="I416" s="91"/>
      <c r="J416" s="79"/>
    </row>
    <row r="417" spans="1:10" x14ac:dyDescent="0.15">
      <c r="A417" s="90"/>
      <c r="B417" s="91"/>
      <c r="C417" s="91"/>
      <c r="D417" s="92"/>
      <c r="E417" s="91"/>
      <c r="F417" s="91"/>
      <c r="G417" s="91"/>
      <c r="H417" s="91"/>
      <c r="I417" s="91"/>
      <c r="J417" s="79"/>
    </row>
    <row r="418" spans="1:10" x14ac:dyDescent="0.15">
      <c r="A418" s="90"/>
      <c r="B418" s="91"/>
      <c r="C418" s="91"/>
      <c r="D418" s="92"/>
      <c r="E418" s="91"/>
      <c r="F418" s="91"/>
      <c r="G418" s="91"/>
      <c r="H418" s="91"/>
      <c r="I418" s="91"/>
      <c r="J418" s="79"/>
    </row>
    <row r="419" spans="1:10" x14ac:dyDescent="0.15">
      <c r="A419" s="90"/>
      <c r="B419" s="91"/>
      <c r="C419" s="91"/>
      <c r="D419" s="92"/>
      <c r="E419" s="91"/>
      <c r="F419" s="91"/>
      <c r="G419" s="91"/>
      <c r="H419" s="91"/>
      <c r="I419" s="91"/>
      <c r="J419" s="79"/>
    </row>
    <row r="420" spans="1:10" x14ac:dyDescent="0.15">
      <c r="A420" s="90"/>
      <c r="B420" s="91"/>
      <c r="C420" s="91"/>
      <c r="D420" s="92"/>
      <c r="E420" s="91"/>
      <c r="F420" s="91"/>
      <c r="G420" s="91"/>
      <c r="H420" s="91"/>
      <c r="I420" s="91"/>
      <c r="J420" s="79"/>
    </row>
    <row r="421" spans="1:10" x14ac:dyDescent="0.15">
      <c r="A421" s="90"/>
      <c r="B421" s="91"/>
      <c r="C421" s="91"/>
      <c r="D421" s="92"/>
      <c r="E421" s="91"/>
      <c r="F421" s="91"/>
      <c r="G421" s="91"/>
      <c r="H421" s="91"/>
      <c r="I421" s="91"/>
      <c r="J421" s="79"/>
    </row>
    <row r="422" spans="1:10" x14ac:dyDescent="0.15">
      <c r="A422" s="90"/>
      <c r="B422" s="91"/>
      <c r="C422" s="91"/>
      <c r="D422" s="92"/>
      <c r="E422" s="91"/>
      <c r="F422" s="91"/>
      <c r="G422" s="91"/>
      <c r="H422" s="91"/>
      <c r="I422" s="91"/>
      <c r="J422" s="79"/>
    </row>
    <row r="423" spans="1:10" x14ac:dyDescent="0.15">
      <c r="A423" s="90"/>
      <c r="B423" s="91"/>
      <c r="C423" s="91"/>
      <c r="D423" s="92"/>
      <c r="E423" s="91"/>
      <c r="F423" s="91"/>
      <c r="G423" s="91"/>
      <c r="H423" s="91"/>
      <c r="I423" s="91"/>
      <c r="J423" s="79"/>
    </row>
    <row r="424" spans="1:10" x14ac:dyDescent="0.15">
      <c r="A424" s="90"/>
      <c r="B424" s="91"/>
      <c r="C424" s="91"/>
      <c r="D424" s="92"/>
      <c r="E424" s="91"/>
      <c r="F424" s="91"/>
      <c r="G424" s="91"/>
      <c r="H424" s="91"/>
      <c r="I424" s="91"/>
      <c r="J424" s="79"/>
    </row>
    <row r="425" spans="1:10" x14ac:dyDescent="0.15">
      <c r="A425" s="90"/>
      <c r="B425" s="91"/>
      <c r="C425" s="91"/>
      <c r="D425" s="92"/>
      <c r="E425" s="91"/>
      <c r="F425" s="91"/>
      <c r="G425" s="91"/>
      <c r="H425" s="91"/>
      <c r="I425" s="91"/>
      <c r="J425" s="79"/>
    </row>
    <row r="426" spans="1:10" x14ac:dyDescent="0.15">
      <c r="A426" s="90"/>
      <c r="B426" s="91"/>
      <c r="C426" s="91"/>
      <c r="D426" s="92"/>
      <c r="E426" s="91"/>
      <c r="F426" s="91"/>
      <c r="G426" s="91"/>
      <c r="H426" s="91"/>
      <c r="I426" s="91"/>
      <c r="J426" s="79"/>
    </row>
    <row r="427" spans="1:10" x14ac:dyDescent="0.15">
      <c r="A427" s="90"/>
      <c r="B427" s="91"/>
      <c r="C427" s="91"/>
      <c r="D427" s="92"/>
      <c r="E427" s="91"/>
      <c r="F427" s="91"/>
      <c r="G427" s="91"/>
      <c r="H427" s="91"/>
      <c r="I427" s="91"/>
      <c r="J427" s="79"/>
    </row>
    <row r="428" spans="1:10" x14ac:dyDescent="0.15">
      <c r="A428" s="90"/>
      <c r="B428" s="91"/>
      <c r="C428" s="91"/>
      <c r="D428" s="92"/>
      <c r="E428" s="91"/>
      <c r="F428" s="91"/>
      <c r="G428" s="91"/>
      <c r="H428" s="91"/>
      <c r="I428" s="91"/>
      <c r="J428" s="79"/>
    </row>
    <row r="429" spans="1:10" x14ac:dyDescent="0.15">
      <c r="A429" s="90"/>
      <c r="B429" s="91"/>
      <c r="C429" s="91"/>
      <c r="D429" s="92"/>
      <c r="E429" s="91"/>
      <c r="F429" s="91"/>
      <c r="G429" s="91"/>
      <c r="H429" s="91"/>
      <c r="I429" s="91"/>
      <c r="J429" s="79"/>
    </row>
    <row r="430" spans="1:10" x14ac:dyDescent="0.15">
      <c r="A430" s="90"/>
      <c r="B430" s="91"/>
      <c r="C430" s="91"/>
      <c r="D430" s="92"/>
      <c r="E430" s="91"/>
      <c r="F430" s="91"/>
      <c r="G430" s="91"/>
      <c r="H430" s="91"/>
      <c r="I430" s="91"/>
      <c r="J430" s="79"/>
    </row>
    <row r="431" spans="1:10" x14ac:dyDescent="0.15">
      <c r="A431" s="90"/>
      <c r="B431" s="91"/>
      <c r="C431" s="91"/>
      <c r="D431" s="92"/>
      <c r="E431" s="91"/>
      <c r="F431" s="91"/>
      <c r="G431" s="91"/>
      <c r="H431" s="91"/>
      <c r="I431" s="91"/>
      <c r="J431" s="79"/>
    </row>
    <row r="432" spans="1:10" x14ac:dyDescent="0.15">
      <c r="A432" s="90"/>
      <c r="B432" s="91"/>
      <c r="C432" s="91"/>
      <c r="D432" s="92"/>
      <c r="E432" s="91"/>
      <c r="F432" s="91"/>
      <c r="G432" s="91"/>
      <c r="H432" s="91"/>
      <c r="I432" s="91"/>
      <c r="J432" s="79"/>
    </row>
    <row r="433" spans="1:10" x14ac:dyDescent="0.15">
      <c r="A433" s="90"/>
      <c r="B433" s="91"/>
      <c r="C433" s="91"/>
      <c r="D433" s="92"/>
      <c r="E433" s="91"/>
      <c r="F433" s="91"/>
      <c r="G433" s="91"/>
      <c r="H433" s="91"/>
      <c r="I433" s="91"/>
      <c r="J433" s="79"/>
    </row>
    <row r="434" spans="1:10" x14ac:dyDescent="0.15">
      <c r="A434" s="90"/>
      <c r="B434" s="91"/>
      <c r="C434" s="91"/>
      <c r="D434" s="92"/>
      <c r="E434" s="91"/>
      <c r="F434" s="91"/>
      <c r="G434" s="91"/>
      <c r="H434" s="91"/>
      <c r="I434" s="91"/>
      <c r="J434" s="79"/>
    </row>
    <row r="435" spans="1:10" x14ac:dyDescent="0.15">
      <c r="A435" s="90"/>
      <c r="B435" s="91"/>
      <c r="C435" s="91"/>
      <c r="D435" s="92"/>
      <c r="E435" s="91"/>
      <c r="F435" s="91"/>
      <c r="G435" s="91"/>
      <c r="H435" s="91"/>
      <c r="I435" s="91"/>
      <c r="J435" s="79"/>
    </row>
    <row r="436" spans="1:10" x14ac:dyDescent="0.15">
      <c r="A436" s="90"/>
      <c r="B436" s="91"/>
      <c r="C436" s="91"/>
      <c r="D436" s="92"/>
      <c r="E436" s="91"/>
      <c r="F436" s="91"/>
      <c r="G436" s="91"/>
      <c r="H436" s="91"/>
      <c r="I436" s="91"/>
      <c r="J436" s="79"/>
    </row>
    <row r="437" spans="1:10" x14ac:dyDescent="0.15">
      <c r="A437" s="90"/>
      <c r="B437" s="91"/>
      <c r="C437" s="91"/>
      <c r="D437" s="92"/>
      <c r="E437" s="91"/>
      <c r="F437" s="91"/>
      <c r="G437" s="91"/>
      <c r="H437" s="91"/>
      <c r="I437" s="91"/>
      <c r="J437" s="79"/>
    </row>
    <row r="438" spans="1:10" x14ac:dyDescent="0.15">
      <c r="A438" s="90"/>
      <c r="B438" s="91"/>
      <c r="C438" s="91"/>
      <c r="D438" s="92"/>
      <c r="E438" s="91"/>
      <c r="F438" s="91"/>
      <c r="G438" s="91"/>
      <c r="H438" s="91"/>
      <c r="I438" s="91"/>
      <c r="J438" s="79"/>
    </row>
    <row r="439" spans="1:10" x14ac:dyDescent="0.15">
      <c r="A439" s="90"/>
      <c r="B439" s="91"/>
      <c r="C439" s="91"/>
      <c r="D439" s="92"/>
      <c r="E439" s="91"/>
      <c r="F439" s="91"/>
      <c r="G439" s="91"/>
      <c r="H439" s="91"/>
      <c r="I439" s="91"/>
      <c r="J439" s="79"/>
    </row>
    <row r="440" spans="1:10" x14ac:dyDescent="0.15">
      <c r="A440" s="90"/>
      <c r="B440" s="91"/>
      <c r="C440" s="91"/>
      <c r="D440" s="92"/>
      <c r="E440" s="91"/>
      <c r="F440" s="91"/>
      <c r="G440" s="91"/>
      <c r="H440" s="91"/>
      <c r="I440" s="91"/>
      <c r="J440" s="79"/>
    </row>
    <row r="441" spans="1:10" x14ac:dyDescent="0.15">
      <c r="A441" s="90"/>
      <c r="B441" s="91"/>
      <c r="C441" s="91"/>
      <c r="D441" s="92"/>
      <c r="E441" s="91"/>
      <c r="F441" s="91"/>
      <c r="G441" s="91"/>
      <c r="H441" s="91"/>
      <c r="I441" s="91"/>
      <c r="J441" s="79"/>
    </row>
    <row r="442" spans="1:10" x14ac:dyDescent="0.15">
      <c r="A442" s="90"/>
      <c r="B442" s="91"/>
      <c r="C442" s="91"/>
      <c r="D442" s="92"/>
      <c r="E442" s="91"/>
      <c r="F442" s="91"/>
      <c r="G442" s="91"/>
      <c r="H442" s="91"/>
      <c r="I442" s="91"/>
      <c r="J442" s="79"/>
    </row>
    <row r="443" spans="1:10" x14ac:dyDescent="0.15">
      <c r="A443" s="90"/>
      <c r="B443" s="91"/>
      <c r="C443" s="91"/>
      <c r="D443" s="92"/>
      <c r="E443" s="91"/>
      <c r="F443" s="91"/>
      <c r="G443" s="91"/>
      <c r="H443" s="91"/>
      <c r="I443" s="91"/>
      <c r="J443" s="79"/>
    </row>
    <row r="444" spans="1:10" x14ac:dyDescent="0.15">
      <c r="A444" s="90"/>
      <c r="B444" s="91"/>
      <c r="C444" s="91"/>
      <c r="D444" s="92"/>
      <c r="E444" s="91"/>
      <c r="F444" s="91"/>
      <c r="G444" s="91"/>
      <c r="H444" s="91"/>
      <c r="I444" s="91"/>
      <c r="J444" s="79"/>
    </row>
    <row r="445" spans="1:10" x14ac:dyDescent="0.15">
      <c r="A445" s="90"/>
      <c r="B445" s="91"/>
      <c r="C445" s="91"/>
      <c r="D445" s="92"/>
      <c r="E445" s="91"/>
      <c r="F445" s="91"/>
      <c r="G445" s="91"/>
      <c r="H445" s="91"/>
      <c r="I445" s="91"/>
      <c r="J445" s="79"/>
    </row>
    <row r="446" spans="1:10" x14ac:dyDescent="0.15">
      <c r="A446" s="90"/>
      <c r="B446" s="91"/>
      <c r="C446" s="91"/>
      <c r="D446" s="92"/>
      <c r="E446" s="91"/>
      <c r="F446" s="91"/>
      <c r="G446" s="91"/>
      <c r="H446" s="91"/>
      <c r="I446" s="91"/>
      <c r="J446" s="79"/>
    </row>
    <row r="447" spans="1:10" x14ac:dyDescent="0.15">
      <c r="A447" s="90"/>
      <c r="B447" s="91"/>
      <c r="C447" s="91"/>
      <c r="D447" s="92"/>
      <c r="E447" s="91"/>
      <c r="F447" s="91"/>
      <c r="G447" s="91"/>
      <c r="H447" s="91"/>
      <c r="I447" s="91"/>
      <c r="J447" s="79"/>
    </row>
    <row r="448" spans="1:10" x14ac:dyDescent="0.15">
      <c r="A448" s="90"/>
      <c r="B448" s="91"/>
      <c r="C448" s="91"/>
      <c r="D448" s="92"/>
      <c r="E448" s="91"/>
      <c r="F448" s="91"/>
      <c r="G448" s="91"/>
      <c r="H448" s="91"/>
      <c r="I448" s="91"/>
      <c r="J448" s="79"/>
    </row>
    <row r="449" spans="1:10" x14ac:dyDescent="0.15">
      <c r="A449" s="90"/>
      <c r="B449" s="91"/>
      <c r="C449" s="91"/>
      <c r="D449" s="92"/>
      <c r="E449" s="91"/>
      <c r="F449" s="91"/>
      <c r="G449" s="91"/>
      <c r="H449" s="91"/>
      <c r="I449" s="91"/>
      <c r="J449" s="79"/>
    </row>
    <row r="450" spans="1:10" x14ac:dyDescent="0.15">
      <c r="A450" s="90"/>
      <c r="B450" s="91"/>
      <c r="C450" s="91"/>
      <c r="D450" s="92"/>
      <c r="E450" s="91"/>
      <c r="F450" s="91"/>
      <c r="G450" s="91"/>
      <c r="H450" s="91"/>
      <c r="I450" s="91"/>
      <c r="J450" s="79"/>
    </row>
    <row r="451" spans="1:10" x14ac:dyDescent="0.15">
      <c r="A451" s="90"/>
      <c r="B451" s="91"/>
      <c r="C451" s="91"/>
      <c r="D451" s="92"/>
      <c r="E451" s="91"/>
      <c r="F451" s="91"/>
      <c r="G451" s="91"/>
      <c r="H451" s="91"/>
      <c r="I451" s="91"/>
      <c r="J451" s="79"/>
    </row>
    <row r="452" spans="1:10" x14ac:dyDescent="0.15">
      <c r="A452" s="90"/>
      <c r="B452" s="91"/>
      <c r="C452" s="91"/>
      <c r="D452" s="92"/>
      <c r="E452" s="91"/>
      <c r="F452" s="91"/>
      <c r="G452" s="91"/>
      <c r="H452" s="91"/>
      <c r="I452" s="91"/>
      <c r="J452" s="79"/>
    </row>
    <row r="453" spans="1:10" x14ac:dyDescent="0.15">
      <c r="A453" s="90"/>
      <c r="B453" s="91"/>
      <c r="C453" s="91"/>
      <c r="D453" s="92"/>
      <c r="E453" s="91"/>
      <c r="F453" s="91"/>
      <c r="G453" s="91"/>
      <c r="H453" s="91"/>
      <c r="I453" s="91"/>
      <c r="J453" s="79"/>
    </row>
    <row r="454" spans="1:10" x14ac:dyDescent="0.15">
      <c r="A454" s="90"/>
      <c r="B454" s="91"/>
      <c r="C454" s="91"/>
      <c r="D454" s="92"/>
      <c r="E454" s="91"/>
      <c r="F454" s="91"/>
      <c r="G454" s="91"/>
      <c r="H454" s="91"/>
      <c r="I454" s="91"/>
      <c r="J454" s="79"/>
    </row>
    <row r="455" spans="1:10" x14ac:dyDescent="0.15">
      <c r="A455" s="90"/>
      <c r="B455" s="91"/>
      <c r="C455" s="91"/>
      <c r="D455" s="92"/>
      <c r="E455" s="91"/>
      <c r="F455" s="91"/>
      <c r="G455" s="91"/>
      <c r="H455" s="91"/>
      <c r="I455" s="91"/>
      <c r="J455" s="79"/>
    </row>
    <row r="456" spans="1:10" x14ac:dyDescent="0.15">
      <c r="A456" s="90"/>
      <c r="B456" s="91"/>
      <c r="C456" s="91"/>
      <c r="D456" s="92"/>
      <c r="E456" s="91"/>
      <c r="F456" s="91"/>
      <c r="G456" s="91"/>
      <c r="H456" s="91"/>
      <c r="I456" s="91"/>
      <c r="J456" s="79"/>
    </row>
    <row r="457" spans="1:10" x14ac:dyDescent="0.15">
      <c r="A457" s="90"/>
      <c r="B457" s="91"/>
      <c r="C457" s="91"/>
      <c r="D457" s="92"/>
      <c r="E457" s="91"/>
      <c r="F457" s="91"/>
      <c r="G457" s="91"/>
      <c r="H457" s="91"/>
      <c r="I457" s="91"/>
      <c r="J457" s="79"/>
    </row>
    <row r="458" spans="1:10" x14ac:dyDescent="0.15">
      <c r="A458" s="90"/>
      <c r="B458" s="91"/>
      <c r="C458" s="91"/>
      <c r="D458" s="92"/>
      <c r="E458" s="91"/>
      <c r="F458" s="91"/>
      <c r="G458" s="91"/>
      <c r="H458" s="91"/>
      <c r="I458" s="91"/>
      <c r="J458" s="79"/>
    </row>
    <row r="459" spans="1:10" x14ac:dyDescent="0.15">
      <c r="A459" s="90"/>
      <c r="B459" s="91"/>
      <c r="C459" s="91"/>
      <c r="D459" s="92"/>
      <c r="E459" s="91"/>
      <c r="F459" s="91"/>
      <c r="G459" s="91"/>
      <c r="H459" s="91"/>
      <c r="I459" s="91"/>
      <c r="J459" s="79"/>
    </row>
    <row r="460" spans="1:10" x14ac:dyDescent="0.15">
      <c r="A460" s="90"/>
      <c r="B460" s="91"/>
      <c r="C460" s="91"/>
      <c r="D460" s="92"/>
      <c r="E460" s="91"/>
      <c r="F460" s="91"/>
      <c r="G460" s="91"/>
      <c r="H460" s="91"/>
      <c r="I460" s="91"/>
      <c r="J460" s="79"/>
    </row>
    <row r="461" spans="1:10" x14ac:dyDescent="0.15">
      <c r="A461" s="90"/>
      <c r="B461" s="91"/>
      <c r="C461" s="91"/>
      <c r="D461" s="92"/>
      <c r="E461" s="91"/>
      <c r="F461" s="91"/>
      <c r="G461" s="91"/>
      <c r="H461" s="91"/>
      <c r="I461" s="91"/>
      <c r="J461" s="79"/>
    </row>
    <row r="462" spans="1:10" x14ac:dyDescent="0.15">
      <c r="A462" s="90"/>
      <c r="B462" s="91"/>
      <c r="C462" s="91"/>
      <c r="D462" s="92"/>
      <c r="E462" s="91"/>
      <c r="F462" s="91"/>
      <c r="G462" s="91"/>
      <c r="H462" s="91"/>
      <c r="I462" s="91"/>
      <c r="J462" s="79"/>
    </row>
    <row r="463" spans="1:10" x14ac:dyDescent="0.15">
      <c r="A463" s="90"/>
      <c r="B463" s="91"/>
      <c r="C463" s="91"/>
      <c r="D463" s="92"/>
      <c r="E463" s="91"/>
      <c r="F463" s="91"/>
      <c r="G463" s="91"/>
      <c r="H463" s="91"/>
      <c r="I463" s="91"/>
      <c r="J463" s="79"/>
    </row>
    <row r="464" spans="1:10" x14ac:dyDescent="0.15">
      <c r="A464" s="90"/>
      <c r="B464" s="91"/>
      <c r="C464" s="91"/>
      <c r="D464" s="92"/>
      <c r="E464" s="91"/>
      <c r="F464" s="91"/>
      <c r="G464" s="91"/>
      <c r="H464" s="91"/>
      <c r="I464" s="91"/>
      <c r="J464" s="79"/>
    </row>
    <row r="465" spans="1:10" x14ac:dyDescent="0.15">
      <c r="A465" s="90"/>
      <c r="B465" s="91"/>
      <c r="C465" s="91"/>
      <c r="D465" s="92"/>
      <c r="E465" s="91"/>
      <c r="F465" s="91"/>
      <c r="G465" s="91"/>
      <c r="H465" s="91"/>
      <c r="I465" s="91"/>
      <c r="J465" s="79"/>
    </row>
    <row r="466" spans="1:10" x14ac:dyDescent="0.15">
      <c r="A466" s="90"/>
      <c r="B466" s="91"/>
      <c r="C466" s="91"/>
      <c r="D466" s="92"/>
      <c r="E466" s="91"/>
      <c r="F466" s="91"/>
      <c r="G466" s="91"/>
      <c r="H466" s="91"/>
      <c r="I466" s="91"/>
      <c r="J466" s="79"/>
    </row>
    <row r="467" spans="1:10" x14ac:dyDescent="0.15">
      <c r="A467" s="90"/>
      <c r="B467" s="91"/>
      <c r="C467" s="91"/>
      <c r="D467" s="92"/>
      <c r="E467" s="91"/>
      <c r="F467" s="91"/>
      <c r="G467" s="91"/>
      <c r="H467" s="91"/>
      <c r="I467" s="91"/>
      <c r="J467" s="79"/>
    </row>
    <row r="468" spans="1:10" x14ac:dyDescent="0.15">
      <c r="A468" s="90"/>
      <c r="B468" s="91"/>
      <c r="C468" s="91"/>
      <c r="D468" s="92"/>
      <c r="E468" s="91"/>
      <c r="F468" s="91"/>
      <c r="G468" s="91"/>
      <c r="H468" s="91"/>
      <c r="I468" s="91"/>
      <c r="J468" s="79"/>
    </row>
    <row r="469" spans="1:10" x14ac:dyDescent="0.15">
      <c r="A469" s="90"/>
      <c r="B469" s="91"/>
      <c r="C469" s="91"/>
      <c r="D469" s="92"/>
      <c r="E469" s="91"/>
      <c r="F469" s="91"/>
      <c r="G469" s="91"/>
      <c r="H469" s="91"/>
      <c r="I469" s="91"/>
      <c r="J469" s="79"/>
    </row>
    <row r="470" spans="1:10" x14ac:dyDescent="0.15">
      <c r="A470" s="90"/>
      <c r="B470" s="91"/>
      <c r="C470" s="91"/>
      <c r="D470" s="92"/>
      <c r="E470" s="91"/>
      <c r="F470" s="91"/>
      <c r="G470" s="91"/>
      <c r="H470" s="91"/>
      <c r="I470" s="91"/>
      <c r="J470" s="79"/>
    </row>
    <row r="471" spans="1:10" x14ac:dyDescent="0.15">
      <c r="A471" s="90"/>
      <c r="B471" s="91"/>
      <c r="C471" s="91"/>
      <c r="D471" s="92"/>
      <c r="E471" s="91"/>
      <c r="F471" s="91"/>
      <c r="G471" s="91"/>
      <c r="H471" s="91"/>
      <c r="I471" s="91"/>
      <c r="J471" s="79"/>
    </row>
    <row r="472" spans="1:10" x14ac:dyDescent="0.15">
      <c r="A472" s="90"/>
      <c r="B472" s="91"/>
      <c r="C472" s="91"/>
      <c r="D472" s="92"/>
      <c r="E472" s="91"/>
      <c r="F472" s="91"/>
      <c r="G472" s="91"/>
      <c r="H472" s="91"/>
      <c r="I472" s="91"/>
      <c r="J472" s="79"/>
    </row>
    <row r="473" spans="1:10" x14ac:dyDescent="0.15">
      <c r="A473" s="90"/>
      <c r="B473" s="91"/>
      <c r="C473" s="91"/>
      <c r="D473" s="92"/>
      <c r="E473" s="91"/>
      <c r="F473" s="91"/>
      <c r="G473" s="91"/>
      <c r="H473" s="91"/>
      <c r="I473" s="91"/>
      <c r="J473" s="79"/>
    </row>
    <row r="474" spans="1:10" x14ac:dyDescent="0.15">
      <c r="A474" s="90"/>
      <c r="B474" s="91"/>
      <c r="C474" s="91"/>
      <c r="D474" s="92"/>
      <c r="E474" s="91"/>
      <c r="F474" s="91"/>
      <c r="G474" s="91"/>
      <c r="H474" s="91"/>
      <c r="I474" s="91"/>
      <c r="J474" s="79"/>
    </row>
    <row r="475" spans="1:10" x14ac:dyDescent="0.15">
      <c r="A475" s="90"/>
      <c r="B475" s="91"/>
      <c r="C475" s="91"/>
      <c r="D475" s="92"/>
      <c r="E475" s="91"/>
      <c r="F475" s="91"/>
      <c r="G475" s="91"/>
      <c r="H475" s="91"/>
      <c r="I475" s="91"/>
      <c r="J475" s="79"/>
    </row>
    <row r="476" spans="1:10" x14ac:dyDescent="0.15">
      <c r="A476" s="90"/>
      <c r="B476" s="91"/>
      <c r="C476" s="91"/>
      <c r="D476" s="92"/>
      <c r="E476" s="91"/>
      <c r="F476" s="91"/>
      <c r="G476" s="91"/>
      <c r="H476" s="91"/>
      <c r="I476" s="91"/>
      <c r="J476" s="79"/>
    </row>
    <row r="477" spans="1:10" x14ac:dyDescent="0.15">
      <c r="A477" s="90"/>
      <c r="B477" s="91"/>
      <c r="C477" s="91"/>
      <c r="D477" s="92"/>
      <c r="E477" s="91"/>
      <c r="F477" s="91"/>
      <c r="G477" s="91"/>
      <c r="H477" s="91"/>
      <c r="I477" s="91"/>
      <c r="J477" s="79"/>
    </row>
    <row r="478" spans="1:10" x14ac:dyDescent="0.15">
      <c r="A478" s="90"/>
      <c r="B478" s="91"/>
      <c r="C478" s="91"/>
      <c r="D478" s="92"/>
      <c r="E478" s="91"/>
      <c r="F478" s="91"/>
      <c r="G478" s="91"/>
      <c r="H478" s="91"/>
      <c r="I478" s="91"/>
      <c r="J478" s="79"/>
    </row>
    <row r="479" spans="1:10" x14ac:dyDescent="0.15">
      <c r="A479" s="90"/>
      <c r="B479" s="91"/>
      <c r="C479" s="91"/>
      <c r="D479" s="92"/>
      <c r="E479" s="91"/>
      <c r="F479" s="91"/>
      <c r="G479" s="91"/>
      <c r="H479" s="91"/>
      <c r="I479" s="91"/>
      <c r="J479" s="79"/>
    </row>
    <row r="480" spans="1:10" x14ac:dyDescent="0.15">
      <c r="A480" s="90"/>
      <c r="B480" s="91"/>
      <c r="C480" s="91"/>
      <c r="D480" s="92"/>
      <c r="E480" s="91"/>
      <c r="F480" s="91"/>
      <c r="G480" s="91"/>
      <c r="H480" s="91"/>
      <c r="I480" s="91"/>
      <c r="J480" s="79"/>
    </row>
    <row r="481" spans="1:10" x14ac:dyDescent="0.15">
      <c r="A481" s="90"/>
      <c r="B481" s="91"/>
      <c r="C481" s="91"/>
      <c r="D481" s="92"/>
      <c r="E481" s="91"/>
      <c r="F481" s="91"/>
      <c r="G481" s="91"/>
      <c r="H481" s="91"/>
      <c r="I481" s="91"/>
      <c r="J481" s="79"/>
    </row>
    <row r="482" spans="1:10" x14ac:dyDescent="0.15">
      <c r="A482" s="90"/>
      <c r="B482" s="91"/>
      <c r="C482" s="91"/>
      <c r="D482" s="92"/>
      <c r="E482" s="91"/>
      <c r="F482" s="91"/>
      <c r="G482" s="91"/>
      <c r="H482" s="91"/>
      <c r="I482" s="91"/>
      <c r="J482" s="79"/>
    </row>
    <row r="483" spans="1:10" x14ac:dyDescent="0.15">
      <c r="A483" s="90"/>
      <c r="B483" s="91"/>
      <c r="C483" s="91"/>
      <c r="D483" s="92"/>
      <c r="E483" s="91"/>
      <c r="F483" s="91"/>
      <c r="G483" s="91"/>
      <c r="H483" s="91"/>
      <c r="I483" s="91"/>
      <c r="J483" s="79"/>
    </row>
    <row r="484" spans="1:10" x14ac:dyDescent="0.15">
      <c r="A484" s="90"/>
      <c r="B484" s="91"/>
      <c r="C484" s="91"/>
      <c r="D484" s="92"/>
      <c r="E484" s="91"/>
      <c r="F484" s="91"/>
      <c r="G484" s="91"/>
      <c r="H484" s="91"/>
      <c r="I484" s="91"/>
      <c r="J484" s="79"/>
    </row>
    <row r="485" spans="1:10" x14ac:dyDescent="0.15">
      <c r="A485" s="90"/>
      <c r="B485" s="91"/>
      <c r="C485" s="91"/>
      <c r="D485" s="92"/>
      <c r="E485" s="91"/>
      <c r="F485" s="91"/>
      <c r="G485" s="91"/>
      <c r="H485" s="91"/>
      <c r="I485" s="91"/>
      <c r="J485" s="79"/>
    </row>
    <row r="486" spans="1:10" x14ac:dyDescent="0.15">
      <c r="A486" s="90"/>
      <c r="B486" s="91"/>
      <c r="C486" s="91"/>
      <c r="D486" s="92"/>
      <c r="E486" s="91"/>
      <c r="F486" s="91"/>
      <c r="G486" s="91"/>
      <c r="H486" s="91"/>
      <c r="I486" s="91"/>
      <c r="J486" s="79"/>
    </row>
    <row r="487" spans="1:10" x14ac:dyDescent="0.15">
      <c r="A487" s="90"/>
      <c r="B487" s="91"/>
      <c r="C487" s="91"/>
      <c r="D487" s="92"/>
      <c r="E487" s="91"/>
      <c r="F487" s="91"/>
      <c r="G487" s="91"/>
      <c r="H487" s="91"/>
      <c r="I487" s="91"/>
      <c r="J487" s="79"/>
    </row>
    <row r="488" spans="1:10" x14ac:dyDescent="0.15">
      <c r="A488" s="90"/>
      <c r="B488" s="91"/>
      <c r="C488" s="91"/>
      <c r="D488" s="92"/>
      <c r="E488" s="91"/>
      <c r="F488" s="91"/>
      <c r="G488" s="91"/>
      <c r="H488" s="91"/>
      <c r="I488" s="91"/>
      <c r="J488" s="79"/>
    </row>
    <row r="489" spans="1:10" x14ac:dyDescent="0.15">
      <c r="A489" s="90"/>
      <c r="B489" s="91"/>
      <c r="C489" s="91"/>
      <c r="D489" s="92"/>
      <c r="E489" s="91"/>
      <c r="F489" s="91"/>
      <c r="G489" s="91"/>
      <c r="H489" s="91"/>
      <c r="I489" s="91"/>
      <c r="J489" s="79"/>
    </row>
    <row r="490" spans="1:10" x14ac:dyDescent="0.15">
      <c r="A490" s="90"/>
      <c r="B490" s="91"/>
      <c r="C490" s="91"/>
      <c r="D490" s="92"/>
      <c r="E490" s="91"/>
      <c r="F490" s="91"/>
      <c r="G490" s="91"/>
      <c r="H490" s="91"/>
      <c r="I490" s="91"/>
      <c r="J490" s="79"/>
    </row>
    <row r="491" spans="1:10" x14ac:dyDescent="0.15">
      <c r="A491" s="90"/>
      <c r="B491" s="91"/>
      <c r="C491" s="91"/>
      <c r="D491" s="92"/>
      <c r="E491" s="91"/>
      <c r="F491" s="91"/>
      <c r="G491" s="91"/>
      <c r="H491" s="91"/>
      <c r="I491" s="91"/>
      <c r="J491" s="79"/>
    </row>
    <row r="492" spans="1:10" x14ac:dyDescent="0.15">
      <c r="A492" s="90"/>
      <c r="B492" s="91"/>
      <c r="C492" s="91"/>
      <c r="D492" s="92"/>
      <c r="E492" s="91"/>
      <c r="F492" s="91"/>
      <c r="G492" s="91"/>
      <c r="H492" s="91"/>
      <c r="I492" s="91"/>
      <c r="J492" s="79"/>
    </row>
    <row r="493" spans="1:10" x14ac:dyDescent="0.15">
      <c r="A493" s="90"/>
      <c r="B493" s="91"/>
      <c r="C493" s="91"/>
      <c r="D493" s="92"/>
      <c r="E493" s="91"/>
      <c r="F493" s="91"/>
      <c r="G493" s="91"/>
      <c r="H493" s="91"/>
      <c r="I493" s="91"/>
      <c r="J493" s="79"/>
    </row>
    <row r="494" spans="1:10" x14ac:dyDescent="0.15">
      <c r="A494" s="90"/>
      <c r="B494" s="91"/>
      <c r="C494" s="91"/>
      <c r="D494" s="92"/>
      <c r="E494" s="91"/>
      <c r="F494" s="91"/>
      <c r="G494" s="91"/>
      <c r="H494" s="91"/>
      <c r="I494" s="91"/>
      <c r="J494" s="79"/>
    </row>
    <row r="495" spans="1:10" x14ac:dyDescent="0.15">
      <c r="A495" s="90"/>
      <c r="B495" s="91"/>
      <c r="C495" s="91"/>
      <c r="D495" s="92"/>
      <c r="E495" s="91"/>
      <c r="F495" s="91"/>
      <c r="G495" s="91"/>
      <c r="H495" s="91"/>
      <c r="I495" s="91"/>
      <c r="J495" s="79"/>
    </row>
    <row r="496" spans="1:10" x14ac:dyDescent="0.15">
      <c r="A496" s="90"/>
      <c r="B496" s="91"/>
      <c r="C496" s="91"/>
      <c r="D496" s="92"/>
      <c r="E496" s="91"/>
      <c r="F496" s="91"/>
      <c r="G496" s="91"/>
      <c r="H496" s="91"/>
      <c r="I496" s="91"/>
      <c r="J496" s="79"/>
    </row>
    <row r="497" spans="1:10" x14ac:dyDescent="0.15">
      <c r="A497" s="90"/>
      <c r="B497" s="91"/>
      <c r="C497" s="91"/>
      <c r="D497" s="92"/>
      <c r="E497" s="91"/>
      <c r="F497" s="91"/>
      <c r="G497" s="91"/>
      <c r="H497" s="91"/>
      <c r="I497" s="91"/>
      <c r="J497" s="79"/>
    </row>
    <row r="498" spans="1:10" x14ac:dyDescent="0.15">
      <c r="A498" s="90"/>
      <c r="B498" s="91"/>
      <c r="C498" s="91"/>
      <c r="D498" s="92"/>
      <c r="E498" s="91"/>
      <c r="F498" s="91"/>
      <c r="G498" s="91"/>
      <c r="H498" s="91"/>
      <c r="I498" s="91"/>
      <c r="J498" s="79"/>
    </row>
    <row r="499" spans="1:10" x14ac:dyDescent="0.15">
      <c r="A499" s="90"/>
      <c r="B499" s="91"/>
      <c r="C499" s="91"/>
      <c r="D499" s="92"/>
      <c r="E499" s="91"/>
      <c r="F499" s="91"/>
      <c r="G499" s="91"/>
      <c r="H499" s="91"/>
      <c r="I499" s="91"/>
      <c r="J499" s="79"/>
    </row>
    <row r="500" spans="1:10" x14ac:dyDescent="0.15">
      <c r="A500" s="90"/>
      <c r="B500" s="91"/>
      <c r="C500" s="91"/>
      <c r="D500" s="92"/>
      <c r="E500" s="91"/>
      <c r="F500" s="91"/>
      <c r="G500" s="91"/>
      <c r="H500" s="91"/>
      <c r="I500" s="91"/>
      <c r="J500" s="79"/>
    </row>
    <row r="501" spans="1:10" x14ac:dyDescent="0.15">
      <c r="A501" s="90"/>
      <c r="B501" s="91"/>
      <c r="C501" s="91"/>
      <c r="D501" s="92"/>
      <c r="E501" s="91"/>
      <c r="F501" s="91"/>
      <c r="G501" s="91"/>
      <c r="H501" s="91"/>
      <c r="I501" s="91"/>
      <c r="J501" s="79"/>
    </row>
    <row r="502" spans="1:10" x14ac:dyDescent="0.15">
      <c r="A502" s="90"/>
      <c r="B502" s="91"/>
      <c r="C502" s="91"/>
      <c r="D502" s="92"/>
      <c r="E502" s="91"/>
      <c r="F502" s="91"/>
      <c r="G502" s="91"/>
      <c r="H502" s="91"/>
      <c r="I502" s="91"/>
      <c r="J502" s="79"/>
    </row>
    <row r="503" spans="1:10" x14ac:dyDescent="0.15">
      <c r="A503" s="90"/>
      <c r="B503" s="91"/>
      <c r="C503" s="91"/>
      <c r="D503" s="92"/>
      <c r="E503" s="91"/>
      <c r="F503" s="91"/>
      <c r="G503" s="91"/>
      <c r="H503" s="91"/>
      <c r="I503" s="91"/>
      <c r="J503" s="79"/>
    </row>
    <row r="504" spans="1:10" x14ac:dyDescent="0.15">
      <c r="A504" s="90"/>
      <c r="B504" s="91"/>
      <c r="C504" s="91"/>
      <c r="D504" s="92"/>
      <c r="E504" s="91"/>
      <c r="F504" s="91"/>
      <c r="G504" s="91"/>
      <c r="H504" s="91"/>
      <c r="I504" s="91"/>
      <c r="J504" s="79"/>
    </row>
    <row r="505" spans="1:10" x14ac:dyDescent="0.15">
      <c r="A505" s="90"/>
      <c r="B505" s="91"/>
      <c r="C505" s="91"/>
      <c r="D505" s="92"/>
      <c r="E505" s="91"/>
      <c r="F505" s="91"/>
      <c r="G505" s="91"/>
      <c r="H505" s="91"/>
      <c r="I505" s="91"/>
      <c r="J505" s="79"/>
    </row>
    <row r="506" spans="1:10" x14ac:dyDescent="0.15">
      <c r="A506" s="90"/>
      <c r="B506" s="91"/>
      <c r="C506" s="91"/>
      <c r="D506" s="92"/>
      <c r="E506" s="91"/>
      <c r="F506" s="91"/>
      <c r="G506" s="91"/>
      <c r="H506" s="91"/>
      <c r="I506" s="91"/>
      <c r="J506" s="79"/>
    </row>
    <row r="507" spans="1:10" x14ac:dyDescent="0.15">
      <c r="A507" s="90"/>
      <c r="B507" s="91"/>
      <c r="C507" s="91"/>
      <c r="D507" s="92"/>
      <c r="E507" s="91"/>
      <c r="F507" s="91"/>
      <c r="G507" s="91"/>
      <c r="H507" s="91"/>
      <c r="I507" s="91"/>
      <c r="J507" s="79"/>
    </row>
    <row r="508" spans="1:10" x14ac:dyDescent="0.15">
      <c r="A508" s="90"/>
      <c r="B508" s="91"/>
      <c r="C508" s="91"/>
      <c r="D508" s="92"/>
      <c r="E508" s="91"/>
      <c r="F508" s="91"/>
      <c r="G508" s="91"/>
      <c r="H508" s="91"/>
      <c r="I508" s="91"/>
      <c r="J508" s="79"/>
    </row>
    <row r="509" spans="1:10" x14ac:dyDescent="0.15">
      <c r="A509" s="90"/>
      <c r="B509" s="91"/>
      <c r="C509" s="91"/>
      <c r="D509" s="92"/>
      <c r="E509" s="91"/>
      <c r="F509" s="91"/>
      <c r="G509" s="91"/>
      <c r="H509" s="91"/>
      <c r="I509" s="91"/>
      <c r="J509" s="79"/>
    </row>
    <row r="510" spans="1:10" x14ac:dyDescent="0.15">
      <c r="A510" s="90"/>
      <c r="B510" s="91"/>
      <c r="C510" s="91"/>
      <c r="D510" s="92"/>
      <c r="E510" s="91"/>
      <c r="F510" s="91"/>
      <c r="G510" s="91"/>
      <c r="H510" s="91"/>
      <c r="I510" s="91"/>
      <c r="J510" s="79"/>
    </row>
    <row r="511" spans="1:10" x14ac:dyDescent="0.15">
      <c r="A511" s="90"/>
      <c r="B511" s="91"/>
      <c r="C511" s="91"/>
      <c r="D511" s="92"/>
      <c r="E511" s="91"/>
      <c r="F511" s="91"/>
      <c r="G511" s="91"/>
      <c r="H511" s="91"/>
      <c r="I511" s="91"/>
      <c r="J511" s="79"/>
    </row>
    <row r="512" spans="1:10" x14ac:dyDescent="0.15">
      <c r="A512" s="90"/>
      <c r="B512" s="91"/>
      <c r="C512" s="91"/>
      <c r="D512" s="92"/>
      <c r="E512" s="91"/>
      <c r="F512" s="91"/>
      <c r="G512" s="91"/>
      <c r="H512" s="91"/>
      <c r="I512" s="91"/>
      <c r="J512" s="79"/>
    </row>
    <row r="513" spans="1:10" x14ac:dyDescent="0.15">
      <c r="A513" s="90"/>
      <c r="B513" s="91"/>
      <c r="C513" s="91"/>
      <c r="D513" s="92"/>
      <c r="E513" s="91"/>
      <c r="F513" s="91"/>
      <c r="G513" s="91"/>
      <c r="H513" s="91"/>
      <c r="I513" s="91"/>
      <c r="J513" s="79"/>
    </row>
    <row r="514" spans="1:10" x14ac:dyDescent="0.15">
      <c r="A514" s="90"/>
      <c r="B514" s="91"/>
      <c r="C514" s="91"/>
      <c r="D514" s="92"/>
      <c r="E514" s="91"/>
      <c r="F514" s="91"/>
      <c r="G514" s="91"/>
      <c r="H514" s="91"/>
      <c r="I514" s="91"/>
      <c r="J514" s="79"/>
    </row>
    <row r="515" spans="1:10" x14ac:dyDescent="0.15">
      <c r="A515" s="90"/>
      <c r="B515" s="91"/>
      <c r="C515" s="91"/>
      <c r="D515" s="92"/>
      <c r="E515" s="91"/>
      <c r="F515" s="91"/>
      <c r="G515" s="91"/>
      <c r="H515" s="91"/>
      <c r="I515" s="91"/>
      <c r="J515" s="79"/>
    </row>
    <row r="516" spans="1:10" x14ac:dyDescent="0.15">
      <c r="A516" s="90"/>
      <c r="B516" s="91"/>
      <c r="C516" s="91"/>
      <c r="D516" s="92"/>
      <c r="E516" s="91"/>
      <c r="F516" s="91"/>
      <c r="G516" s="91"/>
      <c r="H516" s="91"/>
      <c r="I516" s="91"/>
      <c r="J516" s="79"/>
    </row>
    <row r="517" spans="1:10" x14ac:dyDescent="0.15">
      <c r="A517" s="90"/>
      <c r="B517" s="91"/>
      <c r="C517" s="91"/>
      <c r="D517" s="92"/>
      <c r="E517" s="91"/>
      <c r="F517" s="91"/>
      <c r="G517" s="91"/>
      <c r="H517" s="91"/>
      <c r="I517" s="91"/>
      <c r="J517" s="79"/>
    </row>
    <row r="518" spans="1:10" x14ac:dyDescent="0.15">
      <c r="A518" s="90"/>
      <c r="B518" s="91"/>
      <c r="C518" s="91"/>
      <c r="D518" s="92"/>
      <c r="E518" s="91"/>
      <c r="F518" s="91"/>
      <c r="G518" s="91"/>
      <c r="H518" s="91"/>
      <c r="I518" s="91"/>
      <c r="J518" s="79"/>
    </row>
    <row r="519" spans="1:10" x14ac:dyDescent="0.15">
      <c r="A519" s="90"/>
      <c r="B519" s="91"/>
      <c r="C519" s="91"/>
      <c r="D519" s="92"/>
      <c r="E519" s="91"/>
      <c r="F519" s="91"/>
      <c r="G519" s="91"/>
      <c r="H519" s="91"/>
      <c r="I519" s="91"/>
      <c r="J519" s="79"/>
    </row>
    <row r="520" spans="1:10" x14ac:dyDescent="0.15">
      <c r="A520" s="90"/>
      <c r="B520" s="91"/>
      <c r="C520" s="91"/>
      <c r="D520" s="92"/>
      <c r="E520" s="91"/>
      <c r="F520" s="91"/>
      <c r="G520" s="91"/>
      <c r="H520" s="91"/>
      <c r="I520" s="91"/>
      <c r="J520" s="79"/>
    </row>
    <row r="521" spans="1:10" x14ac:dyDescent="0.15">
      <c r="A521" s="90"/>
      <c r="B521" s="91"/>
      <c r="C521" s="91"/>
      <c r="D521" s="92"/>
      <c r="E521" s="91"/>
      <c r="F521" s="91"/>
      <c r="G521" s="91"/>
      <c r="H521" s="91"/>
      <c r="I521" s="91"/>
      <c r="J521" s="79"/>
    </row>
    <row r="522" spans="1:10" x14ac:dyDescent="0.15">
      <c r="A522" s="90"/>
      <c r="B522" s="91"/>
      <c r="C522" s="91"/>
      <c r="D522" s="92"/>
      <c r="E522" s="91"/>
      <c r="F522" s="91"/>
      <c r="G522" s="91"/>
      <c r="H522" s="91"/>
      <c r="I522" s="91"/>
      <c r="J522" s="79"/>
    </row>
    <row r="523" spans="1:10" x14ac:dyDescent="0.15">
      <c r="A523" s="90"/>
      <c r="B523" s="91"/>
      <c r="C523" s="91"/>
      <c r="D523" s="92"/>
      <c r="E523" s="91"/>
      <c r="F523" s="91"/>
      <c r="G523" s="91"/>
      <c r="H523" s="91"/>
      <c r="I523" s="91"/>
      <c r="J523" s="79"/>
    </row>
    <row r="524" spans="1:10" x14ac:dyDescent="0.15">
      <c r="A524" s="90"/>
      <c r="B524" s="91"/>
      <c r="C524" s="91"/>
      <c r="D524" s="92"/>
      <c r="E524" s="91"/>
      <c r="F524" s="91"/>
      <c r="G524" s="91"/>
      <c r="H524" s="91"/>
      <c r="I524" s="91"/>
      <c r="J524" s="79"/>
    </row>
    <row r="525" spans="1:10" x14ac:dyDescent="0.15">
      <c r="A525" s="90"/>
      <c r="B525" s="91"/>
      <c r="C525" s="91"/>
      <c r="D525" s="92"/>
      <c r="E525" s="91"/>
      <c r="F525" s="91"/>
      <c r="G525" s="91"/>
      <c r="H525" s="91"/>
      <c r="I525" s="91"/>
      <c r="J525" s="79"/>
    </row>
    <row r="526" spans="1:10" x14ac:dyDescent="0.15">
      <c r="A526" s="90"/>
      <c r="B526" s="91"/>
      <c r="C526" s="91"/>
      <c r="D526" s="92"/>
      <c r="E526" s="91"/>
      <c r="F526" s="91"/>
      <c r="G526" s="91"/>
      <c r="H526" s="91"/>
      <c r="I526" s="91"/>
      <c r="J526" s="79"/>
    </row>
    <row r="527" spans="1:10" x14ac:dyDescent="0.15">
      <c r="A527" s="90"/>
      <c r="B527" s="91"/>
      <c r="C527" s="91"/>
      <c r="D527" s="92"/>
      <c r="E527" s="91"/>
      <c r="F527" s="91"/>
      <c r="G527" s="91"/>
      <c r="H527" s="91"/>
      <c r="I527" s="91"/>
      <c r="J527" s="79"/>
    </row>
    <row r="528" spans="1:10" x14ac:dyDescent="0.15">
      <c r="A528" s="90"/>
      <c r="B528" s="91"/>
      <c r="C528" s="91"/>
      <c r="D528" s="92"/>
      <c r="E528" s="91"/>
      <c r="F528" s="91"/>
      <c r="G528" s="91"/>
      <c r="H528" s="91"/>
      <c r="I528" s="91"/>
      <c r="J528" s="79"/>
    </row>
    <row r="529" spans="1:10" x14ac:dyDescent="0.15">
      <c r="A529" s="90"/>
      <c r="B529" s="91"/>
      <c r="C529" s="91"/>
      <c r="D529" s="92"/>
      <c r="E529" s="91"/>
      <c r="F529" s="91"/>
      <c r="G529" s="91"/>
      <c r="H529" s="91"/>
      <c r="I529" s="91"/>
      <c r="J529" s="79"/>
    </row>
    <row r="530" spans="1:10" x14ac:dyDescent="0.15">
      <c r="A530" s="90"/>
      <c r="B530" s="91"/>
      <c r="C530" s="91"/>
      <c r="D530" s="92"/>
      <c r="E530" s="91"/>
      <c r="F530" s="91"/>
      <c r="G530" s="91"/>
      <c r="H530" s="91"/>
      <c r="I530" s="91"/>
      <c r="J530" s="79"/>
    </row>
    <row r="531" spans="1:10" x14ac:dyDescent="0.15">
      <c r="A531" s="90"/>
      <c r="B531" s="91"/>
      <c r="C531" s="91"/>
      <c r="D531" s="92"/>
      <c r="E531" s="91"/>
      <c r="F531" s="91"/>
      <c r="G531" s="91"/>
      <c r="H531" s="91"/>
      <c r="I531" s="91"/>
      <c r="J531" s="79"/>
    </row>
    <row r="532" spans="1:10" x14ac:dyDescent="0.15">
      <c r="A532" s="90"/>
      <c r="B532" s="91"/>
      <c r="C532" s="91"/>
      <c r="D532" s="92"/>
      <c r="E532" s="91"/>
      <c r="F532" s="91"/>
      <c r="G532" s="91"/>
      <c r="H532" s="91"/>
      <c r="I532" s="91"/>
      <c r="J532" s="79"/>
    </row>
    <row r="533" spans="1:10" x14ac:dyDescent="0.15">
      <c r="A533" s="90"/>
      <c r="B533" s="91"/>
      <c r="C533" s="91"/>
      <c r="D533" s="92"/>
      <c r="E533" s="91"/>
      <c r="F533" s="91"/>
      <c r="G533" s="91"/>
      <c r="H533" s="91"/>
      <c r="I533" s="91"/>
      <c r="J533" s="79"/>
    </row>
    <row r="534" spans="1:10" x14ac:dyDescent="0.15">
      <c r="A534" s="90"/>
      <c r="B534" s="91"/>
      <c r="C534" s="91"/>
      <c r="D534" s="92"/>
      <c r="E534" s="91"/>
      <c r="F534" s="91"/>
      <c r="G534" s="91"/>
      <c r="H534" s="91"/>
      <c r="I534" s="91"/>
      <c r="J534" s="79"/>
    </row>
    <row r="535" spans="1:10" x14ac:dyDescent="0.15">
      <c r="A535" s="90"/>
      <c r="B535" s="91"/>
      <c r="C535" s="91"/>
      <c r="D535" s="92"/>
      <c r="E535" s="91"/>
      <c r="F535" s="91"/>
      <c r="G535" s="91"/>
      <c r="H535" s="91"/>
      <c r="I535" s="91"/>
      <c r="J535" s="79"/>
    </row>
    <row r="536" spans="1:10" x14ac:dyDescent="0.15">
      <c r="A536" s="90"/>
      <c r="B536" s="91"/>
      <c r="C536" s="91"/>
      <c r="D536" s="92"/>
      <c r="E536" s="91"/>
      <c r="F536" s="91"/>
      <c r="G536" s="91"/>
      <c r="H536" s="91"/>
      <c r="I536" s="91"/>
      <c r="J536" s="79"/>
    </row>
    <row r="537" spans="1:10" x14ac:dyDescent="0.15">
      <c r="A537" s="90"/>
      <c r="B537" s="91"/>
      <c r="C537" s="91"/>
      <c r="D537" s="92"/>
      <c r="E537" s="91"/>
      <c r="F537" s="91"/>
      <c r="G537" s="91"/>
      <c r="H537" s="91"/>
      <c r="I537" s="91"/>
      <c r="J537" s="79"/>
    </row>
    <row r="538" spans="1:10" x14ac:dyDescent="0.15">
      <c r="A538" s="90"/>
      <c r="B538" s="91"/>
      <c r="C538" s="91"/>
      <c r="D538" s="92"/>
      <c r="E538" s="91"/>
      <c r="F538" s="91"/>
      <c r="G538" s="91"/>
      <c r="H538" s="91"/>
      <c r="I538" s="91"/>
      <c r="J538" s="79"/>
    </row>
    <row r="539" spans="1:10" x14ac:dyDescent="0.15">
      <c r="A539" s="90"/>
      <c r="B539" s="91"/>
      <c r="C539" s="91"/>
      <c r="D539" s="92"/>
      <c r="E539" s="91"/>
      <c r="F539" s="91"/>
      <c r="G539" s="91"/>
      <c r="H539" s="91"/>
      <c r="I539" s="91"/>
      <c r="J539" s="79"/>
    </row>
    <row r="540" spans="1:10" x14ac:dyDescent="0.15">
      <c r="A540" s="90"/>
      <c r="B540" s="91"/>
      <c r="C540" s="91"/>
      <c r="D540" s="92"/>
      <c r="E540" s="91"/>
      <c r="F540" s="91"/>
      <c r="G540" s="91"/>
      <c r="H540" s="91"/>
      <c r="I540" s="91"/>
      <c r="J540" s="79"/>
    </row>
    <row r="541" spans="1:10" x14ac:dyDescent="0.15">
      <c r="A541" s="90"/>
      <c r="B541" s="91"/>
      <c r="C541" s="91"/>
      <c r="D541" s="92"/>
      <c r="E541" s="91"/>
      <c r="F541" s="91"/>
      <c r="G541" s="91"/>
      <c r="H541" s="91"/>
      <c r="I541" s="91"/>
      <c r="J541" s="79"/>
    </row>
    <row r="542" spans="1:10" x14ac:dyDescent="0.15">
      <c r="A542" s="90"/>
      <c r="B542" s="91"/>
      <c r="C542" s="91"/>
      <c r="D542" s="92"/>
      <c r="E542" s="91"/>
      <c r="F542" s="91"/>
      <c r="G542" s="91"/>
      <c r="H542" s="91"/>
      <c r="I542" s="91"/>
      <c r="J542" s="79"/>
    </row>
    <row r="543" spans="1:10" x14ac:dyDescent="0.15">
      <c r="A543" s="90"/>
      <c r="B543" s="91"/>
      <c r="C543" s="91"/>
      <c r="D543" s="92"/>
      <c r="E543" s="91"/>
      <c r="F543" s="91"/>
      <c r="G543" s="91"/>
      <c r="H543" s="91"/>
      <c r="I543" s="91"/>
      <c r="J543" s="79"/>
    </row>
    <row r="544" spans="1:10" x14ac:dyDescent="0.15">
      <c r="A544" s="90"/>
      <c r="B544" s="91"/>
      <c r="C544" s="91"/>
      <c r="D544" s="92"/>
      <c r="E544" s="91"/>
      <c r="F544" s="91"/>
      <c r="G544" s="91"/>
      <c r="H544" s="91"/>
      <c r="I544" s="91"/>
      <c r="J544" s="79"/>
    </row>
    <row r="545" spans="1:10" x14ac:dyDescent="0.15">
      <c r="A545" s="90"/>
      <c r="B545" s="91"/>
      <c r="C545" s="91"/>
      <c r="D545" s="92"/>
      <c r="E545" s="91"/>
      <c r="F545" s="91"/>
      <c r="G545" s="91"/>
      <c r="H545" s="91"/>
      <c r="I545" s="91"/>
      <c r="J545" s="79"/>
    </row>
    <row r="546" spans="1:10" x14ac:dyDescent="0.15">
      <c r="A546" s="90"/>
      <c r="B546" s="91"/>
      <c r="C546" s="91"/>
      <c r="D546" s="92"/>
      <c r="E546" s="91"/>
      <c r="F546" s="91"/>
      <c r="G546" s="91"/>
      <c r="H546" s="91"/>
      <c r="I546" s="91"/>
      <c r="J546" s="79"/>
    </row>
    <row r="547" spans="1:10" x14ac:dyDescent="0.15">
      <c r="A547" s="90"/>
      <c r="B547" s="91"/>
      <c r="C547" s="91"/>
      <c r="D547" s="92"/>
      <c r="E547" s="91"/>
      <c r="F547" s="91"/>
      <c r="G547" s="91"/>
      <c r="H547" s="91"/>
      <c r="I547" s="91"/>
      <c r="J547" s="79"/>
    </row>
    <row r="548" spans="1:10" x14ac:dyDescent="0.15">
      <c r="A548" s="90"/>
      <c r="B548" s="91"/>
      <c r="C548" s="91"/>
      <c r="D548" s="92"/>
      <c r="E548" s="91"/>
      <c r="F548" s="91"/>
      <c r="G548" s="91"/>
      <c r="H548" s="91"/>
      <c r="I548" s="91"/>
      <c r="J548" s="79"/>
    </row>
    <row r="549" spans="1:10" x14ac:dyDescent="0.15">
      <c r="A549" s="90"/>
      <c r="B549" s="91"/>
      <c r="C549" s="91"/>
      <c r="D549" s="92"/>
      <c r="E549" s="91"/>
      <c r="F549" s="91"/>
      <c r="G549" s="91"/>
      <c r="H549" s="91"/>
      <c r="I549" s="91"/>
      <c r="J549" s="79"/>
    </row>
    <row r="550" spans="1:10" x14ac:dyDescent="0.15">
      <c r="A550" s="90"/>
      <c r="B550" s="91"/>
      <c r="C550" s="91"/>
      <c r="D550" s="92"/>
      <c r="E550" s="91"/>
      <c r="F550" s="91"/>
      <c r="G550" s="91"/>
      <c r="H550" s="91"/>
      <c r="I550" s="91"/>
      <c r="J550" s="79"/>
    </row>
    <row r="551" spans="1:10" x14ac:dyDescent="0.15">
      <c r="A551" s="90"/>
      <c r="B551" s="91"/>
      <c r="C551" s="91"/>
      <c r="D551" s="92"/>
      <c r="E551" s="91"/>
      <c r="F551" s="91"/>
      <c r="G551" s="91"/>
      <c r="H551" s="91"/>
      <c r="I551" s="91"/>
      <c r="J551" s="79"/>
    </row>
    <row r="552" spans="1:10" x14ac:dyDescent="0.15">
      <c r="A552" s="90"/>
      <c r="B552" s="91"/>
      <c r="C552" s="91"/>
      <c r="D552" s="92"/>
      <c r="E552" s="91"/>
      <c r="F552" s="91"/>
      <c r="G552" s="91"/>
      <c r="H552" s="91"/>
      <c r="I552" s="91"/>
      <c r="J552" s="79"/>
    </row>
    <row r="553" spans="1:10" x14ac:dyDescent="0.15">
      <c r="A553" s="90"/>
      <c r="B553" s="91"/>
      <c r="C553" s="91"/>
      <c r="D553" s="92"/>
      <c r="E553" s="91"/>
      <c r="F553" s="91"/>
      <c r="G553" s="91"/>
      <c r="H553" s="91"/>
      <c r="I553" s="91"/>
      <c r="J553" s="79"/>
    </row>
    <row r="554" spans="1:10" x14ac:dyDescent="0.15">
      <c r="A554" s="90"/>
      <c r="B554" s="91"/>
      <c r="C554" s="91"/>
      <c r="D554" s="92"/>
      <c r="E554" s="91"/>
      <c r="F554" s="91"/>
      <c r="G554" s="91"/>
      <c r="H554" s="91"/>
      <c r="I554" s="91"/>
      <c r="J554" s="79"/>
    </row>
    <row r="555" spans="1:10" x14ac:dyDescent="0.15">
      <c r="A555" s="90"/>
      <c r="B555" s="91"/>
      <c r="C555" s="91"/>
      <c r="D555" s="92"/>
      <c r="E555" s="91"/>
      <c r="F555" s="91"/>
      <c r="G555" s="91"/>
      <c r="H555" s="91"/>
      <c r="I555" s="91"/>
      <c r="J555" s="79"/>
    </row>
    <row r="556" spans="1:10" x14ac:dyDescent="0.15">
      <c r="A556" s="90"/>
      <c r="B556" s="91"/>
      <c r="C556" s="91"/>
      <c r="D556" s="92"/>
      <c r="E556" s="91"/>
      <c r="F556" s="91"/>
      <c r="G556" s="91"/>
      <c r="H556" s="91"/>
      <c r="I556" s="91"/>
      <c r="J556" s="79"/>
    </row>
    <row r="557" spans="1:10" x14ac:dyDescent="0.15">
      <c r="A557" s="90"/>
      <c r="B557" s="91"/>
      <c r="C557" s="91"/>
      <c r="D557" s="92"/>
      <c r="E557" s="91"/>
      <c r="F557" s="91"/>
      <c r="G557" s="91"/>
      <c r="H557" s="91"/>
      <c r="I557" s="91"/>
      <c r="J557" s="79"/>
    </row>
    <row r="558" spans="1:10" x14ac:dyDescent="0.15">
      <c r="A558" s="90"/>
      <c r="B558" s="91"/>
      <c r="C558" s="91"/>
      <c r="D558" s="92"/>
      <c r="E558" s="91"/>
      <c r="F558" s="91"/>
      <c r="G558" s="91"/>
      <c r="H558" s="91"/>
      <c r="I558" s="91"/>
      <c r="J558" s="79"/>
    </row>
    <row r="559" spans="1:10" x14ac:dyDescent="0.15">
      <c r="A559" s="90"/>
      <c r="B559" s="91"/>
      <c r="C559" s="91"/>
      <c r="D559" s="92"/>
      <c r="E559" s="91"/>
      <c r="F559" s="91"/>
      <c r="G559" s="91"/>
      <c r="H559" s="91"/>
      <c r="I559" s="91"/>
      <c r="J559" s="79"/>
    </row>
    <row r="560" spans="1:10" x14ac:dyDescent="0.15">
      <c r="A560" s="90"/>
      <c r="B560" s="91"/>
      <c r="C560" s="91"/>
      <c r="D560" s="92"/>
      <c r="E560" s="91"/>
      <c r="F560" s="91"/>
      <c r="G560" s="91"/>
      <c r="H560" s="91"/>
      <c r="I560" s="91"/>
      <c r="J560" s="79"/>
    </row>
    <row r="561" spans="1:10" x14ac:dyDescent="0.15">
      <c r="A561" s="90"/>
      <c r="B561" s="91"/>
      <c r="C561" s="91"/>
      <c r="D561" s="92"/>
      <c r="E561" s="91"/>
      <c r="F561" s="91"/>
      <c r="G561" s="91"/>
      <c r="H561" s="91"/>
      <c r="I561" s="91"/>
      <c r="J561" s="79"/>
    </row>
    <row r="562" spans="1:10" x14ac:dyDescent="0.15">
      <c r="A562" s="90"/>
      <c r="B562" s="91"/>
      <c r="C562" s="91"/>
      <c r="D562" s="92"/>
      <c r="E562" s="91"/>
      <c r="F562" s="91"/>
      <c r="G562" s="91"/>
      <c r="H562" s="91"/>
      <c r="I562" s="91"/>
      <c r="J562" s="79"/>
    </row>
    <row r="563" spans="1:10" x14ac:dyDescent="0.15">
      <c r="A563" s="90"/>
      <c r="B563" s="91"/>
      <c r="C563" s="91"/>
      <c r="D563" s="92"/>
      <c r="E563" s="91"/>
      <c r="F563" s="91"/>
      <c r="G563" s="91"/>
      <c r="H563" s="91"/>
      <c r="I563" s="91"/>
      <c r="J563" s="79"/>
    </row>
    <row r="564" spans="1:10" x14ac:dyDescent="0.15">
      <c r="A564" s="90"/>
      <c r="B564" s="91"/>
      <c r="C564" s="91"/>
      <c r="D564" s="92"/>
      <c r="E564" s="91"/>
      <c r="F564" s="91"/>
      <c r="G564" s="91"/>
      <c r="H564" s="91"/>
      <c r="I564" s="91"/>
      <c r="J564" s="79"/>
    </row>
    <row r="565" spans="1:10" x14ac:dyDescent="0.15">
      <c r="A565" s="90"/>
      <c r="B565" s="91"/>
      <c r="C565" s="91"/>
      <c r="D565" s="92"/>
      <c r="E565" s="91"/>
      <c r="F565" s="91"/>
      <c r="G565" s="91"/>
      <c r="H565" s="91"/>
      <c r="I565" s="91"/>
      <c r="J565" s="79"/>
    </row>
    <row r="566" spans="1:10" x14ac:dyDescent="0.15">
      <c r="A566" s="90"/>
      <c r="B566" s="91"/>
      <c r="C566" s="91"/>
      <c r="D566" s="92"/>
      <c r="E566" s="91"/>
      <c r="F566" s="91"/>
      <c r="G566" s="91"/>
      <c r="H566" s="91"/>
      <c r="I566" s="91"/>
      <c r="J566" s="79"/>
    </row>
    <row r="567" spans="1:10" x14ac:dyDescent="0.15">
      <c r="A567" s="90"/>
      <c r="B567" s="91"/>
      <c r="C567" s="91"/>
      <c r="D567" s="92"/>
      <c r="E567" s="91"/>
      <c r="F567" s="91"/>
      <c r="G567" s="91"/>
      <c r="H567" s="91"/>
      <c r="I567" s="91"/>
      <c r="J567" s="79"/>
    </row>
    <row r="568" spans="1:10" x14ac:dyDescent="0.15">
      <c r="A568" s="90"/>
      <c r="B568" s="91"/>
      <c r="C568" s="91"/>
      <c r="D568" s="92"/>
      <c r="E568" s="91"/>
      <c r="F568" s="91"/>
      <c r="G568" s="91"/>
      <c r="H568" s="91"/>
      <c r="I568" s="91"/>
      <c r="J568" s="79"/>
    </row>
    <row r="569" spans="1:10" x14ac:dyDescent="0.15">
      <c r="A569" s="90"/>
      <c r="B569" s="91"/>
      <c r="C569" s="91"/>
      <c r="D569" s="92"/>
      <c r="E569" s="91"/>
      <c r="F569" s="91"/>
      <c r="G569" s="91"/>
      <c r="H569" s="91"/>
      <c r="I569" s="91"/>
      <c r="J569" s="79"/>
    </row>
    <row r="570" spans="1:10" x14ac:dyDescent="0.15">
      <c r="A570" s="90"/>
      <c r="B570" s="91"/>
      <c r="C570" s="91"/>
      <c r="D570" s="92"/>
      <c r="E570" s="91"/>
      <c r="F570" s="91"/>
      <c r="G570" s="91"/>
      <c r="H570" s="91"/>
      <c r="I570" s="91"/>
      <c r="J570" s="79"/>
    </row>
    <row r="571" spans="1:10" x14ac:dyDescent="0.15">
      <c r="A571" s="90"/>
      <c r="B571" s="91"/>
      <c r="C571" s="91"/>
      <c r="D571" s="92"/>
      <c r="E571" s="91"/>
      <c r="F571" s="91"/>
      <c r="G571" s="91"/>
      <c r="H571" s="91"/>
      <c r="I571" s="91"/>
      <c r="J571" s="79"/>
    </row>
    <row r="572" spans="1:10" x14ac:dyDescent="0.15">
      <c r="A572" s="90"/>
      <c r="B572" s="91"/>
      <c r="C572" s="91"/>
      <c r="D572" s="92"/>
      <c r="E572" s="91"/>
      <c r="F572" s="91"/>
      <c r="G572" s="91"/>
      <c r="H572" s="91"/>
      <c r="I572" s="91"/>
      <c r="J572" s="79"/>
    </row>
    <row r="573" spans="1:10" x14ac:dyDescent="0.15">
      <c r="A573" s="90"/>
      <c r="B573" s="91"/>
      <c r="C573" s="91"/>
      <c r="D573" s="92"/>
      <c r="E573" s="91"/>
      <c r="F573" s="91"/>
      <c r="G573" s="91"/>
      <c r="H573" s="91"/>
      <c r="I573" s="91"/>
      <c r="J573" s="79"/>
    </row>
    <row r="574" spans="1:10" x14ac:dyDescent="0.15">
      <c r="A574" s="90"/>
      <c r="B574" s="91"/>
      <c r="C574" s="91"/>
      <c r="D574" s="92"/>
      <c r="E574" s="91"/>
      <c r="F574" s="91"/>
      <c r="G574" s="91"/>
      <c r="H574" s="91"/>
      <c r="I574" s="91"/>
      <c r="J574" s="79"/>
    </row>
    <row r="575" spans="1:10" x14ac:dyDescent="0.15">
      <c r="A575" s="90"/>
      <c r="B575" s="91"/>
      <c r="C575" s="91"/>
      <c r="D575" s="92"/>
      <c r="E575" s="91"/>
      <c r="F575" s="91"/>
      <c r="G575" s="91"/>
      <c r="H575" s="91"/>
      <c r="I575" s="91"/>
      <c r="J575" s="79"/>
    </row>
    <row r="576" spans="1:10" x14ac:dyDescent="0.15">
      <c r="A576" s="90"/>
      <c r="B576" s="91"/>
      <c r="C576" s="91"/>
      <c r="D576" s="92"/>
      <c r="E576" s="91"/>
      <c r="F576" s="91"/>
      <c r="G576" s="91"/>
      <c r="H576" s="91"/>
      <c r="I576" s="91"/>
      <c r="J576" s="79"/>
    </row>
    <row r="577" spans="1:10" x14ac:dyDescent="0.15">
      <c r="A577" s="90"/>
      <c r="B577" s="91"/>
      <c r="C577" s="91"/>
      <c r="D577" s="92"/>
      <c r="E577" s="91"/>
      <c r="F577" s="91"/>
      <c r="G577" s="91"/>
      <c r="H577" s="91"/>
      <c r="I577" s="91"/>
      <c r="J577" s="79"/>
    </row>
    <row r="578" spans="1:10" x14ac:dyDescent="0.15">
      <c r="A578" s="90"/>
      <c r="B578" s="91"/>
      <c r="C578" s="91"/>
      <c r="D578" s="92"/>
      <c r="E578" s="91"/>
      <c r="F578" s="91"/>
      <c r="G578" s="91"/>
      <c r="H578" s="91"/>
      <c r="I578" s="91"/>
      <c r="J578" s="79"/>
    </row>
    <row r="579" spans="1:10" x14ac:dyDescent="0.15">
      <c r="A579" s="90"/>
      <c r="B579" s="91"/>
      <c r="C579" s="91"/>
      <c r="D579" s="92"/>
      <c r="E579" s="91"/>
      <c r="F579" s="91"/>
      <c r="G579" s="91"/>
      <c r="H579" s="91"/>
      <c r="I579" s="91"/>
      <c r="J579" s="79"/>
    </row>
    <row r="580" spans="1:10" x14ac:dyDescent="0.15">
      <c r="A580" s="90"/>
      <c r="B580" s="91"/>
      <c r="C580" s="91"/>
      <c r="D580" s="92"/>
      <c r="E580" s="91"/>
      <c r="F580" s="91"/>
      <c r="G580" s="91"/>
      <c r="H580" s="91"/>
      <c r="I580" s="91"/>
      <c r="J580" s="79"/>
    </row>
    <row r="581" spans="1:10" x14ac:dyDescent="0.15">
      <c r="A581" s="90"/>
      <c r="B581" s="91"/>
      <c r="C581" s="91"/>
      <c r="D581" s="92"/>
      <c r="E581" s="91"/>
      <c r="F581" s="91"/>
      <c r="G581" s="91"/>
      <c r="H581" s="91"/>
      <c r="I581" s="91"/>
      <c r="J581" s="79"/>
    </row>
    <row r="582" spans="1:10" x14ac:dyDescent="0.15">
      <c r="A582" s="90"/>
      <c r="B582" s="91"/>
      <c r="C582" s="91"/>
      <c r="D582" s="92"/>
      <c r="E582" s="91"/>
      <c r="F582" s="91"/>
      <c r="G582" s="91"/>
      <c r="H582" s="91"/>
      <c r="I582" s="91"/>
      <c r="J582" s="79"/>
    </row>
    <row r="583" spans="1:10" x14ac:dyDescent="0.15">
      <c r="A583" s="90"/>
      <c r="B583" s="91"/>
      <c r="C583" s="91"/>
      <c r="D583" s="92"/>
      <c r="E583" s="91"/>
      <c r="F583" s="91"/>
      <c r="G583" s="91"/>
      <c r="H583" s="91"/>
      <c r="I583" s="91"/>
      <c r="J583" s="79"/>
    </row>
    <row r="584" spans="1:10" x14ac:dyDescent="0.15">
      <c r="A584" s="90"/>
      <c r="B584" s="91"/>
      <c r="C584" s="91"/>
      <c r="D584" s="92"/>
      <c r="E584" s="91"/>
      <c r="F584" s="91"/>
      <c r="G584" s="91"/>
      <c r="H584" s="91"/>
      <c r="I584" s="91"/>
      <c r="J584" s="79"/>
    </row>
    <row r="585" spans="1:10" x14ac:dyDescent="0.15">
      <c r="A585" s="90"/>
      <c r="B585" s="91"/>
      <c r="C585" s="91"/>
      <c r="D585" s="92"/>
      <c r="E585" s="91"/>
      <c r="F585" s="91"/>
      <c r="G585" s="91"/>
      <c r="H585" s="91"/>
      <c r="I585" s="91"/>
      <c r="J585" s="79"/>
    </row>
    <row r="586" spans="1:10" x14ac:dyDescent="0.15">
      <c r="A586" s="90"/>
      <c r="B586" s="91"/>
      <c r="C586" s="91"/>
      <c r="D586" s="92"/>
      <c r="E586" s="91"/>
      <c r="F586" s="91"/>
      <c r="G586" s="91"/>
      <c r="H586" s="91"/>
      <c r="I586" s="91"/>
      <c r="J586" s="79"/>
    </row>
    <row r="587" spans="1:10" x14ac:dyDescent="0.15">
      <c r="A587" s="90"/>
      <c r="B587" s="91"/>
      <c r="C587" s="91"/>
      <c r="D587" s="92"/>
      <c r="E587" s="91"/>
      <c r="F587" s="91"/>
      <c r="G587" s="91"/>
      <c r="H587" s="91"/>
      <c r="I587" s="91"/>
      <c r="J587" s="79"/>
    </row>
    <row r="588" spans="1:10" x14ac:dyDescent="0.15">
      <c r="A588" s="90"/>
      <c r="B588" s="91"/>
      <c r="C588" s="91"/>
      <c r="D588" s="92"/>
      <c r="E588" s="91"/>
      <c r="F588" s="91"/>
      <c r="G588" s="91"/>
      <c r="H588" s="91"/>
      <c r="I588" s="91"/>
      <c r="J588" s="79"/>
    </row>
    <row r="589" spans="1:10" x14ac:dyDescent="0.15">
      <c r="A589" s="90"/>
      <c r="B589" s="91"/>
      <c r="C589" s="91"/>
      <c r="D589" s="92"/>
      <c r="E589" s="91"/>
      <c r="F589" s="91"/>
      <c r="G589" s="91"/>
      <c r="H589" s="91"/>
      <c r="I589" s="91"/>
      <c r="J589" s="79"/>
    </row>
    <row r="590" spans="1:10" x14ac:dyDescent="0.15">
      <c r="A590" s="90"/>
      <c r="B590" s="91"/>
      <c r="C590" s="91"/>
      <c r="D590" s="92"/>
      <c r="E590" s="91"/>
      <c r="F590" s="91"/>
      <c r="G590" s="91"/>
      <c r="H590" s="91"/>
      <c r="I590" s="91"/>
      <c r="J590" s="79"/>
    </row>
    <row r="591" spans="1:10" x14ac:dyDescent="0.15">
      <c r="A591" s="90"/>
      <c r="B591" s="91"/>
      <c r="C591" s="91"/>
      <c r="D591" s="92"/>
      <c r="E591" s="91"/>
      <c r="F591" s="91"/>
      <c r="G591" s="91"/>
      <c r="H591" s="91"/>
      <c r="I591" s="91"/>
      <c r="J591" s="79"/>
    </row>
    <row r="592" spans="1:10" x14ac:dyDescent="0.15">
      <c r="A592" s="90"/>
      <c r="B592" s="91"/>
      <c r="C592" s="91"/>
      <c r="D592" s="92"/>
      <c r="E592" s="91"/>
      <c r="F592" s="91"/>
      <c r="G592" s="91"/>
      <c r="H592" s="91"/>
      <c r="I592" s="91"/>
      <c r="J592" s="79"/>
    </row>
    <row r="593" spans="1:10" x14ac:dyDescent="0.15">
      <c r="A593" s="90"/>
      <c r="B593" s="91"/>
      <c r="C593" s="91"/>
      <c r="D593" s="92"/>
      <c r="E593" s="91"/>
      <c r="F593" s="91"/>
      <c r="G593" s="91"/>
      <c r="H593" s="91"/>
      <c r="I593" s="91"/>
      <c r="J593" s="79"/>
    </row>
    <row r="594" spans="1:10" x14ac:dyDescent="0.15">
      <c r="A594" s="90"/>
      <c r="B594" s="91"/>
      <c r="C594" s="91"/>
      <c r="D594" s="92"/>
      <c r="E594" s="91"/>
      <c r="F594" s="91"/>
      <c r="G594" s="91"/>
      <c r="H594" s="91"/>
      <c r="I594" s="91"/>
      <c r="J594" s="79"/>
    </row>
    <row r="595" spans="1:10" x14ac:dyDescent="0.15">
      <c r="A595" s="90"/>
      <c r="B595" s="91"/>
      <c r="C595" s="91"/>
      <c r="D595" s="92"/>
      <c r="E595" s="91"/>
      <c r="F595" s="91"/>
      <c r="G595" s="91"/>
      <c r="H595" s="91"/>
      <c r="I595" s="91"/>
      <c r="J595" s="79"/>
    </row>
    <row r="596" spans="1:10" x14ac:dyDescent="0.15">
      <c r="A596" s="90"/>
      <c r="B596" s="91"/>
      <c r="C596" s="91"/>
      <c r="D596" s="92"/>
      <c r="E596" s="91"/>
      <c r="F596" s="91"/>
      <c r="G596" s="91"/>
      <c r="H596" s="91"/>
      <c r="I596" s="91"/>
      <c r="J596" s="79"/>
    </row>
    <row r="597" spans="1:10" x14ac:dyDescent="0.15">
      <c r="A597" s="90"/>
      <c r="B597" s="91"/>
      <c r="C597" s="91"/>
      <c r="D597" s="92"/>
      <c r="E597" s="91"/>
      <c r="F597" s="91"/>
      <c r="G597" s="91"/>
      <c r="H597" s="91"/>
      <c r="I597" s="91"/>
      <c r="J597" s="79"/>
    </row>
    <row r="598" spans="1:10" x14ac:dyDescent="0.15">
      <c r="A598" s="90"/>
      <c r="B598" s="91"/>
      <c r="C598" s="91"/>
      <c r="D598" s="92"/>
      <c r="E598" s="91"/>
      <c r="F598" s="91"/>
      <c r="G598" s="91"/>
      <c r="H598" s="91"/>
      <c r="I598" s="91"/>
      <c r="J598" s="79"/>
    </row>
    <row r="599" spans="1:10" x14ac:dyDescent="0.15">
      <c r="A599" s="90"/>
      <c r="B599" s="91"/>
      <c r="C599" s="91"/>
      <c r="D599" s="92"/>
      <c r="E599" s="91"/>
      <c r="F599" s="91"/>
      <c r="G599" s="91"/>
      <c r="H599" s="91"/>
      <c r="I599" s="91"/>
      <c r="J599" s="79"/>
    </row>
    <row r="600" spans="1:10" x14ac:dyDescent="0.15">
      <c r="A600" s="90"/>
      <c r="B600" s="91"/>
      <c r="C600" s="91"/>
      <c r="D600" s="92"/>
      <c r="E600" s="91"/>
      <c r="F600" s="91"/>
      <c r="G600" s="91"/>
      <c r="H600" s="91"/>
      <c r="I600" s="91"/>
      <c r="J600" s="79"/>
    </row>
    <row r="601" spans="1:10" x14ac:dyDescent="0.15">
      <c r="A601" s="90"/>
      <c r="B601" s="91"/>
      <c r="C601" s="91"/>
      <c r="D601" s="92"/>
      <c r="E601" s="91"/>
      <c r="F601" s="91"/>
      <c r="G601" s="91"/>
      <c r="H601" s="91"/>
      <c r="I601" s="91"/>
      <c r="J601" s="79"/>
    </row>
    <row r="602" spans="1:10" x14ac:dyDescent="0.15">
      <c r="A602" s="90"/>
      <c r="B602" s="91"/>
      <c r="C602" s="91"/>
      <c r="D602" s="92"/>
      <c r="E602" s="91"/>
      <c r="F602" s="91"/>
      <c r="G602" s="91"/>
      <c r="H602" s="91"/>
      <c r="I602" s="91"/>
      <c r="J602" s="79"/>
    </row>
    <row r="603" spans="1:10" x14ac:dyDescent="0.15">
      <c r="A603" s="90"/>
      <c r="B603" s="91"/>
      <c r="C603" s="91"/>
      <c r="D603" s="92"/>
      <c r="E603" s="91"/>
      <c r="F603" s="91"/>
      <c r="G603" s="91"/>
      <c r="H603" s="91"/>
      <c r="I603" s="91"/>
      <c r="J603" s="79"/>
    </row>
    <row r="604" spans="1:10" x14ac:dyDescent="0.15">
      <c r="A604" s="90"/>
      <c r="B604" s="91"/>
      <c r="C604" s="91"/>
      <c r="D604" s="92"/>
      <c r="E604" s="91"/>
      <c r="F604" s="91"/>
      <c r="G604" s="91"/>
      <c r="H604" s="91"/>
      <c r="I604" s="91"/>
      <c r="J604" s="79"/>
    </row>
    <row r="605" spans="1:10" x14ac:dyDescent="0.15">
      <c r="A605" s="90"/>
      <c r="B605" s="91"/>
      <c r="C605" s="91"/>
      <c r="D605" s="92"/>
      <c r="E605" s="91"/>
      <c r="F605" s="91"/>
      <c r="G605" s="91"/>
      <c r="H605" s="91"/>
      <c r="I605" s="91"/>
      <c r="J605" s="79"/>
    </row>
    <row r="606" spans="1:10" x14ac:dyDescent="0.15">
      <c r="A606" s="90"/>
      <c r="B606" s="91"/>
      <c r="C606" s="91"/>
      <c r="D606" s="92"/>
      <c r="E606" s="91"/>
      <c r="F606" s="91"/>
      <c r="G606" s="91"/>
      <c r="H606" s="91"/>
      <c r="I606" s="91"/>
      <c r="J606" s="79"/>
    </row>
    <row r="607" spans="1:10" x14ac:dyDescent="0.15">
      <c r="A607" s="90"/>
      <c r="B607" s="91"/>
      <c r="C607" s="91"/>
      <c r="D607" s="92"/>
      <c r="E607" s="91"/>
      <c r="F607" s="91"/>
      <c r="G607" s="91"/>
      <c r="H607" s="91"/>
      <c r="I607" s="91"/>
      <c r="J607" s="79"/>
    </row>
    <row r="608" spans="1:10" x14ac:dyDescent="0.15">
      <c r="A608" s="90"/>
      <c r="B608" s="91"/>
      <c r="C608" s="91"/>
      <c r="D608" s="92"/>
      <c r="E608" s="91"/>
      <c r="F608" s="91"/>
      <c r="G608" s="91"/>
      <c r="H608" s="91"/>
      <c r="I608" s="91"/>
      <c r="J608" s="79"/>
    </row>
    <row r="609" spans="1:10" x14ac:dyDescent="0.15">
      <c r="A609" s="90"/>
      <c r="B609" s="91"/>
      <c r="C609" s="91"/>
      <c r="D609" s="92"/>
      <c r="E609" s="91"/>
      <c r="F609" s="91"/>
      <c r="G609" s="91"/>
      <c r="H609" s="91"/>
      <c r="I609" s="91"/>
      <c r="J609" s="79"/>
    </row>
    <row r="610" spans="1:10" x14ac:dyDescent="0.15">
      <c r="A610" s="90"/>
      <c r="B610" s="91"/>
      <c r="C610" s="91"/>
      <c r="D610" s="92"/>
      <c r="E610" s="91"/>
      <c r="F610" s="91"/>
      <c r="G610" s="91"/>
      <c r="H610" s="91"/>
      <c r="I610" s="91"/>
      <c r="J610" s="79"/>
    </row>
    <row r="611" spans="1:10" x14ac:dyDescent="0.15">
      <c r="A611" s="90"/>
      <c r="B611" s="91"/>
      <c r="C611" s="91"/>
      <c r="D611" s="92"/>
      <c r="E611" s="91"/>
      <c r="F611" s="91"/>
      <c r="G611" s="91"/>
      <c r="H611" s="91"/>
      <c r="I611" s="91"/>
      <c r="J611" s="79"/>
    </row>
    <row r="612" spans="1:10" x14ac:dyDescent="0.15">
      <c r="A612" s="90"/>
      <c r="B612" s="91"/>
      <c r="C612" s="91"/>
      <c r="D612" s="92"/>
      <c r="E612" s="91"/>
      <c r="F612" s="91"/>
      <c r="G612" s="91"/>
      <c r="H612" s="91"/>
      <c r="I612" s="91"/>
      <c r="J612" s="79"/>
    </row>
    <row r="613" spans="1:10" x14ac:dyDescent="0.15">
      <c r="A613" s="90"/>
      <c r="B613" s="91"/>
      <c r="C613" s="91"/>
      <c r="D613" s="92"/>
      <c r="E613" s="91"/>
      <c r="F613" s="91"/>
      <c r="G613" s="91"/>
      <c r="H613" s="91"/>
      <c r="I613" s="91"/>
      <c r="J613" s="79"/>
    </row>
    <row r="614" spans="1:10" x14ac:dyDescent="0.15">
      <c r="A614" s="90"/>
      <c r="B614" s="91"/>
      <c r="C614" s="91"/>
      <c r="D614" s="92"/>
      <c r="E614" s="91"/>
      <c r="F614" s="91"/>
      <c r="G614" s="91"/>
      <c r="H614" s="91"/>
      <c r="I614" s="91"/>
      <c r="J614" s="79"/>
    </row>
    <row r="615" spans="1:10" x14ac:dyDescent="0.15">
      <c r="A615" s="90"/>
      <c r="B615" s="91"/>
      <c r="C615" s="91"/>
      <c r="D615" s="92"/>
      <c r="E615" s="91"/>
      <c r="F615" s="91"/>
      <c r="G615" s="91"/>
      <c r="H615" s="91"/>
      <c r="I615" s="91"/>
      <c r="J615" s="79"/>
    </row>
    <row r="616" spans="1:10" x14ac:dyDescent="0.15">
      <c r="A616" s="90"/>
      <c r="B616" s="91"/>
      <c r="C616" s="91"/>
      <c r="D616" s="92"/>
      <c r="E616" s="91"/>
      <c r="F616" s="91"/>
      <c r="G616" s="91"/>
      <c r="H616" s="91"/>
      <c r="I616" s="91"/>
      <c r="J616" s="79"/>
    </row>
    <row r="617" spans="1:10" x14ac:dyDescent="0.15">
      <c r="A617" s="90"/>
      <c r="B617" s="91"/>
      <c r="C617" s="91"/>
      <c r="D617" s="92"/>
      <c r="E617" s="91"/>
      <c r="F617" s="91"/>
      <c r="G617" s="91"/>
      <c r="H617" s="91"/>
      <c r="I617" s="91"/>
      <c r="J617" s="79"/>
    </row>
    <row r="618" spans="1:10" x14ac:dyDescent="0.15">
      <c r="A618" s="90"/>
      <c r="B618" s="91"/>
      <c r="C618" s="91"/>
      <c r="D618" s="92"/>
      <c r="E618" s="91"/>
      <c r="F618" s="91"/>
      <c r="G618" s="91"/>
      <c r="H618" s="91"/>
      <c r="I618" s="91"/>
      <c r="J618" s="79"/>
    </row>
    <row r="619" spans="1:10" x14ac:dyDescent="0.15">
      <c r="A619" s="90"/>
      <c r="B619" s="91"/>
      <c r="C619" s="91"/>
      <c r="D619" s="92"/>
      <c r="E619" s="91"/>
      <c r="F619" s="91"/>
      <c r="G619" s="91"/>
      <c r="H619" s="91"/>
      <c r="I619" s="91"/>
      <c r="J619" s="79"/>
    </row>
    <row r="620" spans="1:10" x14ac:dyDescent="0.15">
      <c r="A620" s="90"/>
      <c r="B620" s="91"/>
      <c r="C620" s="91"/>
      <c r="D620" s="92"/>
      <c r="E620" s="91"/>
      <c r="F620" s="91"/>
      <c r="G620" s="91"/>
      <c r="H620" s="91"/>
      <c r="I620" s="91"/>
      <c r="J620" s="79"/>
    </row>
    <row r="621" spans="1:10" x14ac:dyDescent="0.15">
      <c r="A621" s="90"/>
      <c r="B621" s="91"/>
      <c r="C621" s="91"/>
      <c r="D621" s="92"/>
      <c r="E621" s="91"/>
      <c r="F621" s="91"/>
      <c r="G621" s="91"/>
      <c r="H621" s="91"/>
      <c r="I621" s="91"/>
      <c r="J621" s="79"/>
    </row>
    <row r="622" spans="1:10" x14ac:dyDescent="0.15">
      <c r="A622" s="90"/>
      <c r="B622" s="91"/>
      <c r="C622" s="91"/>
      <c r="D622" s="92"/>
      <c r="E622" s="91"/>
      <c r="F622" s="91"/>
      <c r="G622" s="91"/>
      <c r="H622" s="91"/>
      <c r="I622" s="91"/>
      <c r="J622" s="79"/>
    </row>
    <row r="623" spans="1:10" x14ac:dyDescent="0.15">
      <c r="A623" s="90"/>
      <c r="B623" s="91"/>
      <c r="C623" s="91"/>
      <c r="D623" s="92"/>
      <c r="E623" s="91"/>
      <c r="F623" s="91"/>
      <c r="G623" s="91"/>
      <c r="H623" s="91"/>
      <c r="I623" s="91"/>
      <c r="J623" s="79"/>
    </row>
    <row r="624" spans="1:10" x14ac:dyDescent="0.15">
      <c r="A624" s="90"/>
      <c r="B624" s="91"/>
      <c r="C624" s="91"/>
      <c r="D624" s="92"/>
      <c r="E624" s="91"/>
      <c r="F624" s="91"/>
      <c r="G624" s="91"/>
      <c r="H624" s="91"/>
      <c r="I624" s="91"/>
      <c r="J624" s="79"/>
    </row>
    <row r="625" spans="1:10" x14ac:dyDescent="0.15">
      <c r="A625" s="90"/>
      <c r="B625" s="91"/>
      <c r="C625" s="91"/>
      <c r="D625" s="92"/>
      <c r="E625" s="91"/>
      <c r="F625" s="91"/>
      <c r="G625" s="91"/>
      <c r="H625" s="91"/>
      <c r="I625" s="91"/>
      <c r="J625" s="79"/>
    </row>
    <row r="626" spans="1:10" x14ac:dyDescent="0.15">
      <c r="A626" s="90"/>
      <c r="B626" s="91"/>
      <c r="C626" s="91"/>
      <c r="D626" s="92"/>
      <c r="E626" s="91"/>
      <c r="F626" s="91"/>
      <c r="G626" s="91"/>
      <c r="H626" s="91"/>
      <c r="I626" s="91"/>
      <c r="J626" s="79"/>
    </row>
    <row r="627" spans="1:10" x14ac:dyDescent="0.15">
      <c r="A627" s="90"/>
      <c r="B627" s="91"/>
      <c r="C627" s="91"/>
      <c r="D627" s="92"/>
      <c r="E627" s="91"/>
      <c r="F627" s="91"/>
      <c r="G627" s="91"/>
      <c r="H627" s="91"/>
      <c r="I627" s="91"/>
      <c r="J627" s="79"/>
    </row>
    <row r="628" spans="1:10" x14ac:dyDescent="0.15">
      <c r="A628" s="90"/>
      <c r="B628" s="91"/>
      <c r="C628" s="91"/>
      <c r="D628" s="92"/>
      <c r="E628" s="91"/>
      <c r="F628" s="91"/>
      <c r="G628" s="91"/>
      <c r="H628" s="91"/>
      <c r="I628" s="91"/>
      <c r="J628" s="79"/>
    </row>
    <row r="629" spans="1:10" x14ac:dyDescent="0.15">
      <c r="A629" s="90"/>
      <c r="B629" s="91"/>
      <c r="C629" s="91"/>
      <c r="D629" s="92"/>
      <c r="E629" s="91"/>
      <c r="F629" s="91"/>
      <c r="G629" s="91"/>
      <c r="H629" s="91"/>
      <c r="I629" s="91"/>
      <c r="J629" s="79"/>
    </row>
    <row r="630" spans="1:10" x14ac:dyDescent="0.15">
      <c r="A630" s="90"/>
      <c r="B630" s="91"/>
      <c r="C630" s="91"/>
      <c r="D630" s="92"/>
      <c r="E630" s="91"/>
      <c r="F630" s="91"/>
      <c r="G630" s="91"/>
      <c r="H630" s="91"/>
      <c r="I630" s="91"/>
      <c r="J630" s="79"/>
    </row>
    <row r="631" spans="1:10" x14ac:dyDescent="0.15">
      <c r="A631" s="90"/>
      <c r="B631" s="91"/>
      <c r="C631" s="91"/>
      <c r="D631" s="92"/>
      <c r="E631" s="91"/>
      <c r="F631" s="91"/>
      <c r="G631" s="91"/>
      <c r="H631" s="91"/>
      <c r="I631" s="91"/>
      <c r="J631" s="79"/>
    </row>
    <row r="632" spans="1:10" x14ac:dyDescent="0.15">
      <c r="A632" s="90"/>
      <c r="B632" s="91"/>
      <c r="C632" s="91"/>
      <c r="D632" s="92"/>
      <c r="E632" s="91"/>
      <c r="F632" s="91"/>
      <c r="G632" s="91"/>
      <c r="H632" s="91"/>
      <c r="I632" s="91"/>
      <c r="J632" s="79"/>
    </row>
    <row r="633" spans="1:10" x14ac:dyDescent="0.15">
      <c r="A633" s="90"/>
      <c r="B633" s="91"/>
      <c r="C633" s="91"/>
      <c r="D633" s="92"/>
      <c r="E633" s="91"/>
      <c r="F633" s="91"/>
      <c r="G633" s="91"/>
      <c r="H633" s="91"/>
      <c r="I633" s="91"/>
      <c r="J633" s="79"/>
    </row>
    <row r="634" spans="1:10" x14ac:dyDescent="0.15">
      <c r="A634" s="90"/>
      <c r="B634" s="91"/>
      <c r="C634" s="91"/>
      <c r="D634" s="92"/>
      <c r="E634" s="91"/>
      <c r="F634" s="91"/>
      <c r="G634" s="91"/>
      <c r="H634" s="91"/>
      <c r="I634" s="91"/>
      <c r="J634" s="79"/>
    </row>
    <row r="635" spans="1:10" x14ac:dyDescent="0.15">
      <c r="A635" s="90"/>
      <c r="B635" s="91"/>
      <c r="C635" s="91"/>
      <c r="D635" s="92"/>
      <c r="E635" s="91"/>
      <c r="F635" s="91"/>
      <c r="G635" s="91"/>
      <c r="H635" s="91"/>
      <c r="I635" s="91"/>
      <c r="J635" s="79"/>
    </row>
    <row r="636" spans="1:10" x14ac:dyDescent="0.15">
      <c r="A636" s="90"/>
      <c r="B636" s="91"/>
      <c r="C636" s="91"/>
      <c r="D636" s="92"/>
      <c r="E636" s="91"/>
      <c r="F636" s="91"/>
      <c r="G636" s="91"/>
      <c r="H636" s="91"/>
      <c r="I636" s="91"/>
      <c r="J636" s="79"/>
    </row>
    <row r="637" spans="1:10" x14ac:dyDescent="0.15">
      <c r="A637" s="90"/>
      <c r="B637" s="91"/>
      <c r="C637" s="91"/>
      <c r="D637" s="92"/>
      <c r="E637" s="91"/>
      <c r="F637" s="91"/>
      <c r="G637" s="91"/>
      <c r="H637" s="91"/>
      <c r="I637" s="91"/>
      <c r="J637" s="79"/>
    </row>
    <row r="638" spans="1:10" x14ac:dyDescent="0.15">
      <c r="A638" s="90"/>
      <c r="B638" s="91"/>
      <c r="C638" s="91"/>
      <c r="D638" s="92"/>
      <c r="E638" s="91"/>
      <c r="F638" s="91"/>
      <c r="G638" s="91"/>
      <c r="H638" s="91"/>
      <c r="I638" s="91"/>
      <c r="J638" s="79"/>
    </row>
    <row r="639" spans="1:10" x14ac:dyDescent="0.15">
      <c r="A639" s="90"/>
      <c r="B639" s="91"/>
      <c r="C639" s="91"/>
      <c r="D639" s="92"/>
      <c r="E639" s="91"/>
      <c r="F639" s="91"/>
      <c r="G639" s="91"/>
      <c r="H639" s="91"/>
      <c r="I639" s="91"/>
      <c r="J639" s="79"/>
    </row>
    <row r="640" spans="1:10" x14ac:dyDescent="0.15">
      <c r="A640" s="90"/>
      <c r="B640" s="91"/>
      <c r="C640" s="91"/>
      <c r="D640" s="92"/>
      <c r="E640" s="91"/>
      <c r="F640" s="91"/>
      <c r="G640" s="91"/>
      <c r="H640" s="91"/>
      <c r="I640" s="91"/>
      <c r="J640" s="79"/>
    </row>
    <row r="641" spans="1:10" x14ac:dyDescent="0.15">
      <c r="A641" s="90"/>
      <c r="B641" s="91"/>
      <c r="C641" s="91"/>
      <c r="D641" s="92"/>
      <c r="E641" s="91"/>
      <c r="F641" s="91"/>
      <c r="G641" s="91"/>
      <c r="H641" s="91"/>
      <c r="I641" s="91"/>
      <c r="J641" s="79"/>
    </row>
    <row r="642" spans="1:10" x14ac:dyDescent="0.15">
      <c r="A642" s="90"/>
      <c r="B642" s="91"/>
      <c r="C642" s="91"/>
      <c r="D642" s="92"/>
      <c r="E642" s="91"/>
      <c r="F642" s="91"/>
      <c r="G642" s="91"/>
      <c r="H642" s="91"/>
      <c r="I642" s="91"/>
      <c r="J642" s="79"/>
    </row>
    <row r="643" spans="1:10" x14ac:dyDescent="0.15">
      <c r="A643" s="90"/>
      <c r="B643" s="91"/>
      <c r="C643" s="91"/>
      <c r="D643" s="92"/>
      <c r="E643" s="91"/>
      <c r="F643" s="91"/>
      <c r="G643" s="91"/>
      <c r="H643" s="91"/>
      <c r="I643" s="91"/>
      <c r="J643" s="79"/>
    </row>
    <row r="644" spans="1:10" x14ac:dyDescent="0.15">
      <c r="A644" s="90"/>
      <c r="B644" s="91"/>
      <c r="C644" s="91"/>
      <c r="D644" s="92"/>
      <c r="E644" s="91"/>
      <c r="F644" s="91"/>
      <c r="G644" s="91"/>
      <c r="H644" s="91"/>
      <c r="I644" s="91"/>
      <c r="J644" s="79"/>
    </row>
    <row r="645" spans="1:10" x14ac:dyDescent="0.15">
      <c r="A645" s="90"/>
      <c r="B645" s="91"/>
      <c r="C645" s="91"/>
      <c r="D645" s="92"/>
      <c r="E645" s="91"/>
      <c r="F645" s="91"/>
      <c r="G645" s="91"/>
      <c r="H645" s="91"/>
      <c r="I645" s="91"/>
      <c r="J645" s="79"/>
    </row>
    <row r="646" spans="1:10" x14ac:dyDescent="0.15">
      <c r="A646" s="90"/>
      <c r="B646" s="91"/>
      <c r="C646" s="91"/>
      <c r="D646" s="92"/>
      <c r="E646" s="91"/>
      <c r="F646" s="91"/>
      <c r="G646" s="91"/>
      <c r="H646" s="91"/>
      <c r="I646" s="91"/>
      <c r="J646" s="79"/>
    </row>
    <row r="647" spans="1:10" x14ac:dyDescent="0.15">
      <c r="A647" s="90"/>
      <c r="B647" s="91"/>
      <c r="C647" s="91"/>
      <c r="D647" s="92"/>
      <c r="E647" s="91"/>
      <c r="F647" s="91"/>
      <c r="G647" s="91"/>
      <c r="H647" s="91"/>
      <c r="I647" s="91"/>
      <c r="J647" s="79"/>
    </row>
    <row r="648" spans="1:10" x14ac:dyDescent="0.15">
      <c r="A648" s="90"/>
      <c r="B648" s="91"/>
      <c r="C648" s="91"/>
      <c r="D648" s="92"/>
      <c r="E648" s="91"/>
      <c r="F648" s="91"/>
      <c r="G648" s="91"/>
      <c r="H648" s="91"/>
      <c r="I648" s="91"/>
      <c r="J648" s="79"/>
    </row>
    <row r="649" spans="1:10" x14ac:dyDescent="0.15">
      <c r="A649" s="90"/>
      <c r="B649" s="91"/>
      <c r="C649" s="91"/>
      <c r="D649" s="92"/>
      <c r="E649" s="91"/>
      <c r="F649" s="91"/>
      <c r="G649" s="91"/>
      <c r="H649" s="91"/>
      <c r="I649" s="91"/>
      <c r="J649" s="79"/>
    </row>
    <row r="650" spans="1:10" x14ac:dyDescent="0.15">
      <c r="A650" s="90"/>
      <c r="B650" s="91"/>
      <c r="C650" s="91"/>
      <c r="D650" s="92"/>
      <c r="E650" s="91"/>
      <c r="F650" s="91"/>
      <c r="G650" s="91"/>
      <c r="H650" s="91"/>
      <c r="I650" s="91"/>
      <c r="J650" s="79"/>
    </row>
    <row r="651" spans="1:10" x14ac:dyDescent="0.15">
      <c r="A651" s="90"/>
      <c r="B651" s="91"/>
      <c r="C651" s="91"/>
      <c r="D651" s="92"/>
      <c r="E651" s="91"/>
      <c r="F651" s="91"/>
      <c r="G651" s="91"/>
      <c r="H651" s="91"/>
      <c r="I651" s="91"/>
      <c r="J651" s="79"/>
    </row>
    <row r="652" spans="1:10" x14ac:dyDescent="0.15">
      <c r="A652" s="90"/>
      <c r="B652" s="91"/>
      <c r="C652" s="91"/>
      <c r="D652" s="92"/>
      <c r="E652" s="91"/>
      <c r="F652" s="91"/>
      <c r="G652" s="91"/>
      <c r="H652" s="91"/>
      <c r="I652" s="91"/>
      <c r="J652" s="79"/>
    </row>
    <row r="653" spans="1:10" x14ac:dyDescent="0.15">
      <c r="A653" s="90"/>
      <c r="B653" s="91"/>
      <c r="C653" s="91"/>
      <c r="D653" s="92"/>
      <c r="E653" s="91"/>
      <c r="F653" s="91"/>
      <c r="G653" s="91"/>
      <c r="H653" s="91"/>
      <c r="I653" s="91"/>
      <c r="J653" s="79"/>
    </row>
    <row r="654" spans="1:10" x14ac:dyDescent="0.15">
      <c r="A654" s="90"/>
      <c r="B654" s="91"/>
      <c r="C654" s="91"/>
      <c r="D654" s="92"/>
      <c r="E654" s="91"/>
      <c r="F654" s="91"/>
      <c r="G654" s="91"/>
      <c r="H654" s="91"/>
      <c r="I654" s="91"/>
      <c r="J654" s="79"/>
    </row>
    <row r="655" spans="1:10" x14ac:dyDescent="0.15">
      <c r="A655" s="90"/>
      <c r="B655" s="91"/>
      <c r="C655" s="91"/>
      <c r="D655" s="92"/>
      <c r="E655" s="91"/>
      <c r="F655" s="91"/>
      <c r="G655" s="91"/>
      <c r="H655" s="91"/>
      <c r="I655" s="91"/>
      <c r="J655" s="79"/>
    </row>
    <row r="656" spans="1:10" x14ac:dyDescent="0.15">
      <c r="A656" s="90"/>
      <c r="B656" s="91"/>
      <c r="C656" s="91"/>
      <c r="D656" s="92"/>
      <c r="E656" s="91"/>
      <c r="F656" s="91"/>
      <c r="G656" s="91"/>
      <c r="H656" s="91"/>
      <c r="I656" s="91"/>
      <c r="J656" s="79"/>
    </row>
    <row r="657" spans="1:10" x14ac:dyDescent="0.15">
      <c r="A657" s="90"/>
      <c r="B657" s="91"/>
      <c r="C657" s="91"/>
      <c r="D657" s="92"/>
      <c r="E657" s="91"/>
      <c r="F657" s="91"/>
      <c r="G657" s="91"/>
      <c r="H657" s="91"/>
      <c r="I657" s="91"/>
      <c r="J657" s="79"/>
    </row>
    <row r="658" spans="1:10" x14ac:dyDescent="0.15">
      <c r="A658" s="90"/>
      <c r="B658" s="91"/>
      <c r="C658" s="91"/>
      <c r="D658" s="92"/>
      <c r="E658" s="91"/>
      <c r="F658" s="91"/>
      <c r="G658" s="91"/>
      <c r="H658" s="91"/>
      <c r="I658" s="91"/>
      <c r="J658" s="79"/>
    </row>
    <row r="659" spans="1:10" x14ac:dyDescent="0.15">
      <c r="A659" s="90"/>
      <c r="B659" s="91"/>
      <c r="C659" s="91"/>
      <c r="D659" s="92"/>
      <c r="E659" s="91"/>
      <c r="F659" s="91"/>
      <c r="G659" s="91"/>
      <c r="H659" s="91"/>
      <c r="I659" s="91"/>
      <c r="J659" s="79"/>
    </row>
    <row r="660" spans="1:10" x14ac:dyDescent="0.15">
      <c r="A660" s="90"/>
      <c r="B660" s="91"/>
      <c r="C660" s="91"/>
      <c r="D660" s="92"/>
      <c r="E660" s="91"/>
      <c r="F660" s="91"/>
      <c r="G660" s="91"/>
      <c r="H660" s="91"/>
      <c r="I660" s="91"/>
      <c r="J660" s="79"/>
    </row>
    <row r="661" spans="1:10" x14ac:dyDescent="0.15">
      <c r="A661" s="90"/>
      <c r="B661" s="91"/>
      <c r="C661" s="91"/>
      <c r="D661" s="92"/>
      <c r="E661" s="91"/>
      <c r="F661" s="91"/>
      <c r="G661" s="91"/>
      <c r="H661" s="91"/>
      <c r="I661" s="91"/>
      <c r="J661" s="79"/>
    </row>
    <row r="662" spans="1:10" x14ac:dyDescent="0.15">
      <c r="A662" s="90"/>
      <c r="B662" s="91"/>
      <c r="C662" s="91"/>
      <c r="D662" s="92"/>
      <c r="E662" s="91"/>
      <c r="F662" s="91"/>
      <c r="G662" s="91"/>
      <c r="H662" s="91"/>
      <c r="I662" s="91"/>
      <c r="J662" s="79"/>
    </row>
    <row r="663" spans="1:10" x14ac:dyDescent="0.15">
      <c r="A663" s="90"/>
      <c r="B663" s="91"/>
      <c r="C663" s="91"/>
      <c r="D663" s="92"/>
      <c r="E663" s="91"/>
      <c r="F663" s="91"/>
      <c r="G663" s="91"/>
      <c r="H663" s="91"/>
      <c r="I663" s="91"/>
      <c r="J663" s="79"/>
    </row>
    <row r="664" spans="1:10" x14ac:dyDescent="0.15">
      <c r="A664" s="90"/>
      <c r="B664" s="91"/>
      <c r="C664" s="91"/>
      <c r="D664" s="92"/>
      <c r="E664" s="91"/>
      <c r="F664" s="91"/>
      <c r="G664" s="91"/>
      <c r="H664" s="91"/>
      <c r="I664" s="91"/>
      <c r="J664" s="79"/>
    </row>
    <row r="665" spans="1:10" x14ac:dyDescent="0.15">
      <c r="A665" s="90"/>
      <c r="B665" s="91"/>
      <c r="C665" s="91"/>
      <c r="D665" s="92"/>
      <c r="E665" s="91"/>
      <c r="F665" s="91"/>
      <c r="G665" s="91"/>
      <c r="H665" s="91"/>
      <c r="I665" s="91"/>
      <c r="J665" s="79"/>
    </row>
    <row r="666" spans="1:10" x14ac:dyDescent="0.15">
      <c r="A666" s="90"/>
      <c r="B666" s="91"/>
      <c r="C666" s="91"/>
      <c r="D666" s="92"/>
      <c r="E666" s="91"/>
      <c r="F666" s="91"/>
      <c r="G666" s="91"/>
      <c r="H666" s="91"/>
      <c r="I666" s="91"/>
      <c r="J666" s="79"/>
    </row>
    <row r="667" spans="1:10" x14ac:dyDescent="0.15">
      <c r="A667" s="90"/>
      <c r="B667" s="91"/>
      <c r="C667" s="91"/>
      <c r="D667" s="92"/>
      <c r="E667" s="91"/>
      <c r="F667" s="91"/>
      <c r="G667" s="91"/>
      <c r="H667" s="91"/>
      <c r="I667" s="91"/>
      <c r="J667" s="79"/>
    </row>
    <row r="668" spans="1:10" x14ac:dyDescent="0.15">
      <c r="A668" s="90"/>
      <c r="B668" s="91"/>
      <c r="C668" s="91"/>
      <c r="D668" s="92"/>
      <c r="E668" s="91"/>
      <c r="F668" s="91"/>
      <c r="G668" s="91"/>
      <c r="H668" s="91"/>
      <c r="I668" s="91"/>
      <c r="J668" s="79"/>
    </row>
    <row r="669" spans="1:10" x14ac:dyDescent="0.15">
      <c r="A669" s="90"/>
      <c r="B669" s="91"/>
      <c r="C669" s="91"/>
      <c r="D669" s="92"/>
      <c r="E669" s="91"/>
      <c r="F669" s="91"/>
      <c r="G669" s="91"/>
      <c r="H669" s="91"/>
      <c r="I669" s="91"/>
      <c r="J669" s="79"/>
    </row>
    <row r="670" spans="1:10" x14ac:dyDescent="0.15">
      <c r="A670" s="90"/>
      <c r="B670" s="91"/>
      <c r="C670" s="91"/>
      <c r="D670" s="92"/>
      <c r="E670" s="91"/>
      <c r="F670" s="91"/>
      <c r="G670" s="91"/>
      <c r="H670" s="91"/>
      <c r="I670" s="91"/>
      <c r="J670" s="79"/>
    </row>
    <row r="671" spans="1:10" x14ac:dyDescent="0.15">
      <c r="A671" s="90"/>
      <c r="B671" s="91"/>
      <c r="C671" s="91"/>
      <c r="D671" s="92"/>
      <c r="E671" s="91"/>
      <c r="F671" s="91"/>
      <c r="G671" s="91"/>
      <c r="H671" s="91"/>
      <c r="I671" s="91"/>
      <c r="J671" s="79"/>
    </row>
    <row r="672" spans="1:10" x14ac:dyDescent="0.15">
      <c r="A672" s="90"/>
      <c r="B672" s="91"/>
      <c r="C672" s="91"/>
      <c r="D672" s="92"/>
      <c r="E672" s="91"/>
      <c r="F672" s="91"/>
      <c r="G672" s="91"/>
      <c r="H672" s="91"/>
      <c r="I672" s="91"/>
      <c r="J672" s="79"/>
    </row>
    <row r="673" spans="1:10" x14ac:dyDescent="0.15">
      <c r="A673" s="90"/>
      <c r="B673" s="91"/>
      <c r="C673" s="91"/>
      <c r="D673" s="92"/>
      <c r="E673" s="91"/>
      <c r="F673" s="91"/>
      <c r="G673" s="91"/>
      <c r="H673" s="91"/>
      <c r="I673" s="91"/>
      <c r="J673" s="79"/>
    </row>
    <row r="674" spans="1:10" x14ac:dyDescent="0.15">
      <c r="A674" s="90"/>
      <c r="B674" s="91"/>
      <c r="C674" s="91"/>
      <c r="D674" s="92"/>
      <c r="E674" s="91"/>
      <c r="F674" s="91"/>
      <c r="G674" s="91"/>
      <c r="H674" s="91"/>
      <c r="I674" s="91"/>
      <c r="J674" s="79"/>
    </row>
    <row r="675" spans="1:10" x14ac:dyDescent="0.15">
      <c r="A675" s="90"/>
      <c r="B675" s="91"/>
      <c r="C675" s="91"/>
      <c r="D675" s="92"/>
      <c r="E675" s="91"/>
      <c r="F675" s="91"/>
      <c r="G675" s="91"/>
      <c r="H675" s="91"/>
      <c r="I675" s="91"/>
      <c r="J675" s="79"/>
    </row>
    <row r="676" spans="1:10" x14ac:dyDescent="0.15">
      <c r="A676" s="90"/>
      <c r="B676" s="91"/>
      <c r="C676" s="91"/>
      <c r="D676" s="92"/>
      <c r="E676" s="91"/>
      <c r="F676" s="91"/>
      <c r="G676" s="91"/>
      <c r="H676" s="91"/>
      <c r="I676" s="91"/>
      <c r="J676" s="79"/>
    </row>
    <row r="677" spans="1:10" x14ac:dyDescent="0.15">
      <c r="A677" s="90"/>
      <c r="B677" s="91"/>
      <c r="C677" s="91"/>
      <c r="D677" s="92"/>
      <c r="E677" s="91"/>
      <c r="F677" s="91"/>
      <c r="G677" s="91"/>
      <c r="H677" s="91"/>
      <c r="I677" s="91"/>
      <c r="J677" s="79"/>
    </row>
    <row r="678" spans="1:10" x14ac:dyDescent="0.15">
      <c r="A678" s="90"/>
      <c r="B678" s="91"/>
      <c r="C678" s="91"/>
      <c r="D678" s="92"/>
      <c r="E678" s="91"/>
      <c r="F678" s="91"/>
      <c r="G678" s="91"/>
      <c r="H678" s="91"/>
      <c r="I678" s="91"/>
      <c r="J678" s="79"/>
    </row>
    <row r="679" spans="1:10" x14ac:dyDescent="0.15">
      <c r="A679" s="90"/>
      <c r="B679" s="91"/>
      <c r="C679" s="91"/>
      <c r="D679" s="92"/>
      <c r="E679" s="91"/>
      <c r="F679" s="91"/>
      <c r="G679" s="91"/>
      <c r="H679" s="91"/>
      <c r="I679" s="91"/>
      <c r="J679" s="79"/>
    </row>
    <row r="680" spans="1:10" x14ac:dyDescent="0.15">
      <c r="A680" s="90"/>
      <c r="B680" s="91"/>
      <c r="C680" s="91"/>
      <c r="D680" s="92"/>
      <c r="E680" s="91"/>
      <c r="F680" s="91"/>
      <c r="G680" s="91"/>
      <c r="H680" s="91"/>
      <c r="I680" s="91"/>
      <c r="J680" s="79"/>
    </row>
    <row r="681" spans="1:10" x14ac:dyDescent="0.15">
      <c r="A681" s="90"/>
      <c r="B681" s="91"/>
      <c r="C681" s="91"/>
      <c r="D681" s="92"/>
      <c r="E681" s="91"/>
      <c r="F681" s="91"/>
      <c r="G681" s="91"/>
      <c r="H681" s="91"/>
      <c r="I681" s="91"/>
      <c r="J681" s="79"/>
    </row>
    <row r="682" spans="1:10" x14ac:dyDescent="0.15">
      <c r="A682" s="90"/>
      <c r="B682" s="91"/>
      <c r="C682" s="91"/>
      <c r="D682" s="92"/>
      <c r="E682" s="91"/>
      <c r="F682" s="91"/>
      <c r="G682" s="91"/>
      <c r="H682" s="91"/>
      <c r="I682" s="91"/>
      <c r="J682" s="79"/>
    </row>
    <row r="683" spans="1:10" x14ac:dyDescent="0.15">
      <c r="A683" s="90"/>
      <c r="B683" s="91"/>
      <c r="C683" s="91"/>
      <c r="D683" s="92"/>
      <c r="E683" s="91"/>
      <c r="F683" s="91"/>
      <c r="G683" s="91"/>
      <c r="H683" s="91"/>
      <c r="I683" s="91"/>
      <c r="J683" s="79"/>
    </row>
    <row r="684" spans="1:10" x14ac:dyDescent="0.15">
      <c r="A684" s="90"/>
      <c r="B684" s="91"/>
      <c r="C684" s="91"/>
      <c r="D684" s="92"/>
      <c r="E684" s="91"/>
      <c r="F684" s="91"/>
      <c r="G684" s="91"/>
      <c r="H684" s="91"/>
      <c r="I684" s="91"/>
      <c r="J684" s="79"/>
    </row>
    <row r="685" spans="1:10" x14ac:dyDescent="0.15">
      <c r="A685" s="90"/>
      <c r="B685" s="91"/>
      <c r="C685" s="91"/>
      <c r="D685" s="92"/>
      <c r="E685" s="91"/>
      <c r="F685" s="91"/>
      <c r="G685" s="91"/>
      <c r="H685" s="91"/>
      <c r="I685" s="91"/>
      <c r="J685" s="79"/>
    </row>
    <row r="686" spans="1:10" x14ac:dyDescent="0.15">
      <c r="A686" s="90"/>
      <c r="B686" s="91"/>
      <c r="C686" s="91"/>
      <c r="D686" s="92"/>
      <c r="E686" s="91"/>
      <c r="F686" s="91"/>
      <c r="G686" s="91"/>
      <c r="H686" s="91"/>
      <c r="I686" s="91"/>
      <c r="J686" s="79"/>
    </row>
    <row r="687" spans="1:10" x14ac:dyDescent="0.15">
      <c r="A687" s="90"/>
      <c r="B687" s="91"/>
      <c r="C687" s="91"/>
      <c r="D687" s="92"/>
      <c r="E687" s="91"/>
      <c r="F687" s="91"/>
      <c r="G687" s="91"/>
      <c r="H687" s="91"/>
      <c r="I687" s="91"/>
      <c r="J687" s="79"/>
    </row>
    <row r="688" spans="1:10" x14ac:dyDescent="0.15">
      <c r="A688" s="90"/>
      <c r="B688" s="91"/>
      <c r="C688" s="91"/>
      <c r="D688" s="92"/>
      <c r="E688" s="91"/>
      <c r="F688" s="91"/>
      <c r="G688" s="91"/>
      <c r="H688" s="91"/>
      <c r="I688" s="91"/>
      <c r="J688" s="79"/>
    </row>
    <row r="689" spans="1:10" x14ac:dyDescent="0.15">
      <c r="A689" s="90"/>
      <c r="B689" s="91"/>
      <c r="C689" s="91"/>
      <c r="D689" s="92"/>
      <c r="E689" s="91"/>
      <c r="F689" s="91"/>
      <c r="G689" s="91"/>
      <c r="H689" s="91"/>
      <c r="I689" s="91"/>
      <c r="J689" s="79"/>
    </row>
    <row r="690" spans="1:10" x14ac:dyDescent="0.15">
      <c r="A690" s="90"/>
      <c r="B690" s="91"/>
      <c r="C690" s="91"/>
      <c r="D690" s="92"/>
      <c r="E690" s="91"/>
      <c r="F690" s="91"/>
      <c r="G690" s="91"/>
      <c r="H690" s="91"/>
      <c r="I690" s="91"/>
      <c r="J690" s="79"/>
    </row>
    <row r="691" spans="1:10" x14ac:dyDescent="0.15">
      <c r="A691" s="90"/>
      <c r="B691" s="91"/>
      <c r="C691" s="91"/>
      <c r="D691" s="92"/>
      <c r="E691" s="91"/>
      <c r="F691" s="91"/>
      <c r="G691" s="91"/>
      <c r="H691" s="91"/>
      <c r="I691" s="91"/>
      <c r="J691" s="79"/>
    </row>
    <row r="692" spans="1:10" x14ac:dyDescent="0.15">
      <c r="A692" s="90"/>
      <c r="B692" s="91"/>
      <c r="C692" s="91"/>
      <c r="D692" s="92"/>
      <c r="E692" s="91"/>
      <c r="F692" s="91"/>
      <c r="G692" s="91"/>
      <c r="H692" s="91"/>
      <c r="I692" s="91"/>
      <c r="J692" s="79"/>
    </row>
    <row r="693" spans="1:10" x14ac:dyDescent="0.15">
      <c r="A693" s="90"/>
      <c r="B693" s="91"/>
      <c r="C693" s="91"/>
      <c r="D693" s="92"/>
      <c r="E693" s="91"/>
      <c r="F693" s="91"/>
      <c r="G693" s="91"/>
      <c r="H693" s="91"/>
      <c r="I693" s="91"/>
      <c r="J693" s="79"/>
    </row>
    <row r="694" spans="1:10" x14ac:dyDescent="0.15">
      <c r="A694" s="90"/>
      <c r="B694" s="91"/>
      <c r="C694" s="91"/>
      <c r="D694" s="92"/>
      <c r="E694" s="91"/>
      <c r="F694" s="91"/>
      <c r="G694" s="91"/>
      <c r="H694" s="91"/>
      <c r="I694" s="91"/>
      <c r="J694" s="79"/>
    </row>
    <row r="695" spans="1:10" x14ac:dyDescent="0.15">
      <c r="A695" s="90"/>
      <c r="B695" s="91"/>
      <c r="C695" s="91"/>
      <c r="D695" s="92"/>
      <c r="E695" s="91"/>
      <c r="F695" s="91"/>
      <c r="G695" s="91"/>
      <c r="H695" s="91"/>
      <c r="I695" s="91"/>
      <c r="J695" s="79"/>
    </row>
    <row r="696" spans="1:10" x14ac:dyDescent="0.15">
      <c r="A696" s="90"/>
      <c r="B696" s="91"/>
      <c r="C696" s="91"/>
      <c r="D696" s="92"/>
      <c r="E696" s="91"/>
      <c r="F696" s="91"/>
      <c r="G696" s="91"/>
      <c r="H696" s="91"/>
      <c r="I696" s="91"/>
      <c r="J696" s="79"/>
    </row>
    <row r="697" spans="1:10" x14ac:dyDescent="0.15">
      <c r="A697" s="90"/>
      <c r="B697" s="91"/>
      <c r="C697" s="91"/>
      <c r="D697" s="92"/>
      <c r="E697" s="91"/>
      <c r="F697" s="91"/>
      <c r="G697" s="91"/>
      <c r="H697" s="91"/>
      <c r="I697" s="91"/>
      <c r="J697" s="79"/>
    </row>
    <row r="698" spans="1:10" x14ac:dyDescent="0.15">
      <c r="A698" s="90"/>
      <c r="B698" s="91"/>
      <c r="C698" s="91"/>
      <c r="D698" s="92"/>
      <c r="E698" s="91"/>
      <c r="F698" s="91"/>
      <c r="G698" s="91"/>
      <c r="H698" s="91"/>
      <c r="I698" s="91"/>
      <c r="J698" s="79"/>
    </row>
    <row r="699" spans="1:10" x14ac:dyDescent="0.15">
      <c r="A699" s="90"/>
      <c r="B699" s="91"/>
      <c r="C699" s="91"/>
      <c r="D699" s="92"/>
      <c r="E699" s="91"/>
      <c r="F699" s="91"/>
      <c r="G699" s="91"/>
      <c r="H699" s="91"/>
      <c r="I699" s="91"/>
      <c r="J699" s="79"/>
    </row>
    <row r="700" spans="1:10" x14ac:dyDescent="0.15">
      <c r="A700" s="90"/>
      <c r="B700" s="91"/>
      <c r="C700" s="91"/>
      <c r="D700" s="92"/>
      <c r="E700" s="91"/>
      <c r="F700" s="91"/>
      <c r="G700" s="91"/>
      <c r="H700" s="91"/>
      <c r="I700" s="91"/>
      <c r="J700" s="79"/>
    </row>
    <row r="701" spans="1:10" x14ac:dyDescent="0.15">
      <c r="A701" s="90"/>
      <c r="B701" s="91"/>
      <c r="C701" s="91"/>
      <c r="D701" s="92"/>
      <c r="E701" s="91"/>
      <c r="F701" s="91"/>
      <c r="G701" s="91"/>
      <c r="H701" s="91"/>
      <c r="I701" s="91"/>
      <c r="J701" s="79"/>
    </row>
    <row r="702" spans="1:10" x14ac:dyDescent="0.15">
      <c r="A702" s="90"/>
      <c r="B702" s="91"/>
      <c r="C702" s="91"/>
      <c r="D702" s="92"/>
      <c r="E702" s="91"/>
      <c r="F702" s="91"/>
      <c r="G702" s="91"/>
      <c r="H702" s="91"/>
      <c r="I702" s="91"/>
      <c r="J702" s="79"/>
    </row>
    <row r="703" spans="1:10" x14ac:dyDescent="0.15">
      <c r="A703" s="90"/>
      <c r="B703" s="91"/>
      <c r="C703" s="91"/>
      <c r="D703" s="92"/>
      <c r="E703" s="91"/>
      <c r="F703" s="91"/>
      <c r="G703" s="91"/>
      <c r="H703" s="91"/>
      <c r="I703" s="91"/>
      <c r="J703" s="79"/>
    </row>
    <row r="704" spans="1:10" x14ac:dyDescent="0.15">
      <c r="A704" s="90"/>
      <c r="B704" s="91"/>
      <c r="C704" s="91"/>
      <c r="D704" s="92"/>
      <c r="E704" s="91"/>
      <c r="F704" s="91"/>
      <c r="G704" s="91"/>
      <c r="H704" s="91"/>
      <c r="I704" s="91"/>
      <c r="J704" s="79"/>
    </row>
    <row r="705" spans="1:10" x14ac:dyDescent="0.15">
      <c r="A705" s="90"/>
      <c r="B705" s="91"/>
      <c r="C705" s="91"/>
      <c r="D705" s="92"/>
      <c r="E705" s="91"/>
      <c r="F705" s="91"/>
      <c r="G705" s="91"/>
      <c r="H705" s="91"/>
      <c r="I705" s="91"/>
      <c r="J705" s="79"/>
    </row>
    <row r="706" spans="1:10" x14ac:dyDescent="0.15">
      <c r="A706" s="90"/>
      <c r="B706" s="91"/>
      <c r="C706" s="91"/>
      <c r="D706" s="92"/>
      <c r="E706" s="91"/>
      <c r="F706" s="91"/>
      <c r="G706" s="91"/>
      <c r="H706" s="91"/>
      <c r="I706" s="91"/>
      <c r="J706" s="79"/>
    </row>
    <row r="707" spans="1:10" x14ac:dyDescent="0.15">
      <c r="A707" s="90"/>
      <c r="B707" s="91"/>
      <c r="C707" s="91"/>
      <c r="D707" s="92"/>
      <c r="E707" s="91"/>
      <c r="F707" s="91"/>
      <c r="G707" s="91"/>
      <c r="H707" s="91"/>
      <c r="I707" s="91"/>
      <c r="J707" s="79"/>
    </row>
    <row r="708" spans="1:10" x14ac:dyDescent="0.15">
      <c r="A708" s="90"/>
      <c r="B708" s="91"/>
      <c r="C708" s="91"/>
      <c r="D708" s="92"/>
      <c r="E708" s="91"/>
      <c r="F708" s="91"/>
      <c r="G708" s="91"/>
      <c r="H708" s="91"/>
      <c r="I708" s="91"/>
      <c r="J708" s="79"/>
    </row>
    <row r="709" spans="1:10" x14ac:dyDescent="0.15">
      <c r="A709" s="90"/>
      <c r="B709" s="91"/>
      <c r="C709" s="91"/>
      <c r="D709" s="92"/>
      <c r="E709" s="91"/>
      <c r="F709" s="91"/>
      <c r="G709" s="91"/>
      <c r="H709" s="91"/>
      <c r="I709" s="91"/>
      <c r="J709" s="79"/>
    </row>
    <row r="710" spans="1:10" x14ac:dyDescent="0.15">
      <c r="A710" s="90"/>
      <c r="B710" s="91"/>
      <c r="C710" s="91"/>
      <c r="D710" s="92"/>
      <c r="E710" s="91"/>
      <c r="F710" s="91"/>
      <c r="G710" s="91"/>
      <c r="H710" s="91"/>
      <c r="I710" s="91"/>
      <c r="J710" s="79"/>
    </row>
    <row r="711" spans="1:10" x14ac:dyDescent="0.15">
      <c r="A711" s="90"/>
      <c r="B711" s="91"/>
      <c r="C711" s="91"/>
      <c r="D711" s="92"/>
      <c r="E711" s="91"/>
      <c r="F711" s="91"/>
      <c r="G711" s="91"/>
      <c r="H711" s="91"/>
      <c r="I711" s="91"/>
      <c r="J711" s="79"/>
    </row>
    <row r="712" spans="1:10" x14ac:dyDescent="0.15">
      <c r="A712" s="90"/>
      <c r="B712" s="91"/>
      <c r="C712" s="91"/>
      <c r="D712" s="92"/>
      <c r="E712" s="91"/>
      <c r="F712" s="91"/>
      <c r="G712" s="91"/>
      <c r="H712" s="91"/>
      <c r="I712" s="91"/>
      <c r="J712" s="79"/>
    </row>
    <row r="713" spans="1:10" x14ac:dyDescent="0.15">
      <c r="A713" s="90"/>
      <c r="B713" s="91"/>
      <c r="C713" s="91"/>
      <c r="D713" s="92"/>
      <c r="E713" s="91"/>
      <c r="F713" s="91"/>
      <c r="G713" s="91"/>
      <c r="H713" s="91"/>
      <c r="I713" s="91"/>
      <c r="J713" s="79"/>
    </row>
    <row r="714" spans="1:10" x14ac:dyDescent="0.15">
      <c r="A714" s="90"/>
      <c r="B714" s="91"/>
      <c r="C714" s="91"/>
      <c r="D714" s="92"/>
      <c r="E714" s="91"/>
      <c r="F714" s="91"/>
      <c r="G714" s="91"/>
      <c r="H714" s="91"/>
      <c r="I714" s="91"/>
      <c r="J714" s="79"/>
    </row>
    <row r="715" spans="1:10" x14ac:dyDescent="0.15">
      <c r="A715" s="90"/>
      <c r="B715" s="91"/>
      <c r="C715" s="91"/>
      <c r="D715" s="92"/>
      <c r="E715" s="91"/>
      <c r="F715" s="91"/>
      <c r="G715" s="91"/>
      <c r="H715" s="91"/>
      <c r="I715" s="91"/>
      <c r="J715" s="79"/>
    </row>
    <row r="716" spans="1:10" x14ac:dyDescent="0.15">
      <c r="A716" s="90"/>
      <c r="B716" s="91"/>
      <c r="C716" s="91"/>
      <c r="D716" s="92"/>
      <c r="E716" s="91"/>
      <c r="F716" s="91"/>
      <c r="G716" s="91"/>
      <c r="H716" s="91"/>
      <c r="I716" s="91"/>
      <c r="J716" s="79"/>
    </row>
    <row r="717" spans="1:10" x14ac:dyDescent="0.15">
      <c r="A717" s="90"/>
      <c r="B717" s="91"/>
      <c r="C717" s="91"/>
      <c r="D717" s="92"/>
      <c r="E717" s="91"/>
      <c r="F717" s="91"/>
      <c r="G717" s="91"/>
      <c r="H717" s="91"/>
      <c r="I717" s="91"/>
      <c r="J717" s="79"/>
    </row>
    <row r="718" spans="1:10" x14ac:dyDescent="0.15">
      <c r="A718" s="90"/>
      <c r="B718" s="91"/>
      <c r="C718" s="91"/>
      <c r="D718" s="92"/>
      <c r="E718" s="91"/>
      <c r="F718" s="91"/>
      <c r="G718" s="91"/>
      <c r="H718" s="91"/>
      <c r="I718" s="91"/>
      <c r="J718" s="79"/>
    </row>
    <row r="719" spans="1:10" x14ac:dyDescent="0.15">
      <c r="A719" s="90"/>
      <c r="B719" s="91"/>
      <c r="C719" s="91"/>
      <c r="D719" s="92"/>
      <c r="E719" s="91"/>
      <c r="F719" s="91"/>
      <c r="G719" s="91"/>
      <c r="H719" s="91"/>
      <c r="I719" s="91"/>
      <c r="J719" s="79"/>
    </row>
    <row r="720" spans="1:10" x14ac:dyDescent="0.15">
      <c r="A720" s="90"/>
      <c r="B720" s="91"/>
      <c r="C720" s="91"/>
      <c r="D720" s="92"/>
      <c r="E720" s="91"/>
      <c r="F720" s="91"/>
      <c r="G720" s="91"/>
      <c r="H720" s="91"/>
      <c r="I720" s="91"/>
      <c r="J720" s="79"/>
    </row>
    <row r="721" spans="1:10" x14ac:dyDescent="0.15">
      <c r="A721" s="90"/>
      <c r="B721" s="91"/>
      <c r="C721" s="91"/>
      <c r="D721" s="92"/>
      <c r="E721" s="91"/>
      <c r="F721" s="91"/>
      <c r="G721" s="91"/>
      <c r="H721" s="91"/>
      <c r="I721" s="91"/>
      <c r="J721" s="79"/>
    </row>
    <row r="722" spans="1:10" x14ac:dyDescent="0.15">
      <c r="A722" s="90"/>
      <c r="B722" s="91"/>
      <c r="C722" s="91"/>
      <c r="D722" s="92"/>
      <c r="E722" s="91"/>
      <c r="F722" s="91"/>
      <c r="G722" s="91"/>
      <c r="H722" s="91"/>
      <c r="I722" s="91"/>
      <c r="J722" s="79"/>
    </row>
    <row r="723" spans="1:10" x14ac:dyDescent="0.15">
      <c r="A723" s="90"/>
      <c r="B723" s="91"/>
      <c r="C723" s="91"/>
      <c r="D723" s="92"/>
      <c r="E723" s="91"/>
      <c r="F723" s="91"/>
      <c r="G723" s="91"/>
      <c r="H723" s="91"/>
      <c r="I723" s="91"/>
      <c r="J723" s="79"/>
    </row>
    <row r="724" spans="1:10" x14ac:dyDescent="0.15">
      <c r="A724" s="90"/>
      <c r="B724" s="91"/>
      <c r="C724" s="91"/>
      <c r="D724" s="92"/>
      <c r="E724" s="91"/>
      <c r="F724" s="91"/>
      <c r="G724" s="91"/>
      <c r="H724" s="91"/>
      <c r="I724" s="91"/>
      <c r="J724" s="79"/>
    </row>
    <row r="725" spans="1:10" x14ac:dyDescent="0.15">
      <c r="A725" s="90"/>
      <c r="B725" s="91"/>
      <c r="C725" s="91"/>
      <c r="D725" s="92"/>
      <c r="E725" s="91"/>
      <c r="F725" s="91"/>
      <c r="G725" s="91"/>
      <c r="H725" s="91"/>
      <c r="I725" s="91"/>
      <c r="J725" s="79"/>
    </row>
    <row r="726" spans="1:10" x14ac:dyDescent="0.15">
      <c r="A726" s="90"/>
      <c r="B726" s="91"/>
      <c r="C726" s="91"/>
      <c r="D726" s="92"/>
      <c r="E726" s="91"/>
      <c r="F726" s="91"/>
      <c r="G726" s="91"/>
      <c r="H726" s="91"/>
      <c r="I726" s="91"/>
      <c r="J726" s="79"/>
    </row>
    <row r="727" spans="1:10" x14ac:dyDescent="0.15">
      <c r="A727" s="90"/>
      <c r="B727" s="91"/>
      <c r="C727" s="91"/>
      <c r="D727" s="92"/>
      <c r="E727" s="91"/>
      <c r="F727" s="91"/>
      <c r="G727" s="91"/>
      <c r="H727" s="91"/>
      <c r="I727" s="91"/>
      <c r="J727" s="79"/>
    </row>
    <row r="728" spans="1:10" x14ac:dyDescent="0.15">
      <c r="A728" s="90"/>
      <c r="B728" s="91"/>
      <c r="C728" s="91"/>
      <c r="D728" s="92"/>
      <c r="E728" s="91"/>
      <c r="F728" s="91"/>
      <c r="G728" s="91"/>
      <c r="H728" s="91"/>
      <c r="I728" s="91"/>
      <c r="J728" s="79"/>
    </row>
    <row r="729" spans="1:10" x14ac:dyDescent="0.15">
      <c r="A729" s="90"/>
      <c r="B729" s="91"/>
      <c r="C729" s="91"/>
      <c r="D729" s="92"/>
      <c r="E729" s="91"/>
      <c r="F729" s="91"/>
      <c r="G729" s="91"/>
      <c r="H729" s="91"/>
      <c r="I729" s="91"/>
      <c r="J729" s="79"/>
    </row>
    <row r="730" spans="1:10" x14ac:dyDescent="0.15">
      <c r="A730" s="90"/>
      <c r="B730" s="91"/>
      <c r="C730" s="91"/>
      <c r="D730" s="92"/>
      <c r="E730" s="91"/>
      <c r="F730" s="91"/>
      <c r="G730" s="91"/>
      <c r="H730" s="91"/>
      <c r="I730" s="91"/>
      <c r="J730" s="79"/>
    </row>
    <row r="731" spans="1:10" x14ac:dyDescent="0.15">
      <c r="A731" s="90"/>
      <c r="B731" s="91"/>
      <c r="C731" s="91"/>
      <c r="D731" s="92"/>
      <c r="E731" s="91"/>
      <c r="F731" s="91"/>
      <c r="G731" s="91"/>
      <c r="H731" s="91"/>
      <c r="I731" s="91"/>
      <c r="J731" s="79"/>
    </row>
    <row r="732" spans="1:10" x14ac:dyDescent="0.15">
      <c r="A732" s="90"/>
      <c r="B732" s="91"/>
      <c r="C732" s="91"/>
      <c r="D732" s="92"/>
      <c r="E732" s="91"/>
      <c r="F732" s="91"/>
      <c r="G732" s="91"/>
      <c r="H732" s="91"/>
      <c r="I732" s="91"/>
      <c r="J732" s="79"/>
    </row>
    <row r="733" spans="1:10" x14ac:dyDescent="0.15">
      <c r="A733" s="90"/>
      <c r="B733" s="91"/>
      <c r="C733" s="91"/>
      <c r="D733" s="92"/>
      <c r="E733" s="91"/>
      <c r="F733" s="91"/>
      <c r="G733" s="91"/>
      <c r="H733" s="91"/>
      <c r="I733" s="91"/>
      <c r="J733" s="79"/>
    </row>
    <row r="734" spans="1:10" x14ac:dyDescent="0.15">
      <c r="A734" s="90"/>
      <c r="B734" s="91"/>
      <c r="C734" s="91"/>
      <c r="D734" s="92"/>
      <c r="E734" s="91"/>
      <c r="F734" s="91"/>
      <c r="G734" s="91"/>
      <c r="H734" s="91"/>
      <c r="I734" s="91"/>
      <c r="J734" s="79"/>
    </row>
    <row r="735" spans="1:10" x14ac:dyDescent="0.15">
      <c r="A735" s="90"/>
      <c r="B735" s="91"/>
      <c r="C735" s="91"/>
      <c r="D735" s="92"/>
      <c r="E735" s="91"/>
      <c r="F735" s="91"/>
      <c r="G735" s="91"/>
      <c r="H735" s="91"/>
      <c r="I735" s="91"/>
      <c r="J735" s="79"/>
    </row>
    <row r="736" spans="1:10" x14ac:dyDescent="0.15">
      <c r="A736" s="90"/>
      <c r="B736" s="91"/>
      <c r="C736" s="91"/>
      <c r="D736" s="92"/>
      <c r="E736" s="91"/>
      <c r="F736" s="91"/>
      <c r="G736" s="91"/>
      <c r="H736" s="91"/>
      <c r="I736" s="91"/>
      <c r="J736" s="79"/>
    </row>
    <row r="737" spans="1:10" x14ac:dyDescent="0.15">
      <c r="A737" s="90"/>
      <c r="B737" s="91"/>
      <c r="C737" s="91"/>
      <c r="D737" s="92"/>
      <c r="E737" s="91"/>
      <c r="F737" s="91"/>
      <c r="G737" s="91"/>
      <c r="H737" s="91"/>
      <c r="I737" s="91"/>
      <c r="J737" s="79"/>
    </row>
    <row r="738" spans="1:10" x14ac:dyDescent="0.15">
      <c r="A738" s="90"/>
      <c r="B738" s="91"/>
      <c r="C738" s="91"/>
      <c r="D738" s="92"/>
      <c r="E738" s="91"/>
      <c r="F738" s="91"/>
      <c r="G738" s="91"/>
      <c r="H738" s="91"/>
      <c r="I738" s="91"/>
      <c r="J738" s="79"/>
    </row>
    <row r="739" spans="1:10" x14ac:dyDescent="0.15">
      <c r="A739" s="90"/>
      <c r="B739" s="91"/>
      <c r="C739" s="91"/>
      <c r="D739" s="92"/>
      <c r="E739" s="91"/>
      <c r="F739" s="91"/>
      <c r="G739" s="91"/>
      <c r="H739" s="91"/>
      <c r="I739" s="91"/>
      <c r="J739" s="79"/>
    </row>
    <row r="740" spans="1:10" x14ac:dyDescent="0.15">
      <c r="A740" s="90"/>
      <c r="B740" s="91"/>
      <c r="C740" s="91"/>
      <c r="D740" s="92"/>
      <c r="E740" s="91"/>
      <c r="F740" s="91"/>
      <c r="G740" s="91"/>
      <c r="H740" s="91"/>
      <c r="I740" s="91"/>
      <c r="J740" s="79"/>
    </row>
    <row r="741" spans="1:10" x14ac:dyDescent="0.15">
      <c r="A741" s="90"/>
      <c r="B741" s="91"/>
      <c r="C741" s="91"/>
      <c r="D741" s="92"/>
      <c r="E741" s="91"/>
      <c r="F741" s="91"/>
      <c r="G741" s="91"/>
      <c r="H741" s="91"/>
      <c r="I741" s="91"/>
      <c r="J741" s="79"/>
    </row>
    <row r="742" spans="1:10" x14ac:dyDescent="0.15">
      <c r="A742" s="90"/>
      <c r="B742" s="91"/>
      <c r="C742" s="91"/>
      <c r="D742" s="92"/>
      <c r="E742" s="91"/>
      <c r="F742" s="91"/>
      <c r="G742" s="91"/>
      <c r="H742" s="91"/>
      <c r="I742" s="91"/>
      <c r="J742" s="79"/>
    </row>
    <row r="743" spans="1:10" x14ac:dyDescent="0.15">
      <c r="A743" s="90"/>
      <c r="B743" s="91"/>
      <c r="C743" s="91"/>
      <c r="D743" s="92"/>
      <c r="E743" s="91"/>
      <c r="F743" s="91"/>
      <c r="G743" s="91"/>
      <c r="H743" s="91"/>
      <c r="I743" s="91"/>
      <c r="J743" s="79"/>
    </row>
    <row r="744" spans="1:10" x14ac:dyDescent="0.15">
      <c r="A744" s="90"/>
      <c r="B744" s="91"/>
      <c r="C744" s="91"/>
      <c r="D744" s="92"/>
      <c r="E744" s="91"/>
      <c r="F744" s="91"/>
      <c r="G744" s="91"/>
      <c r="H744" s="91"/>
      <c r="I744" s="91"/>
      <c r="J744" s="79"/>
    </row>
    <row r="745" spans="1:10" x14ac:dyDescent="0.15">
      <c r="A745" s="90"/>
      <c r="B745" s="91"/>
      <c r="C745" s="91"/>
      <c r="D745" s="92"/>
      <c r="E745" s="91"/>
      <c r="F745" s="91"/>
      <c r="G745" s="91"/>
      <c r="H745" s="91"/>
      <c r="I745" s="91"/>
      <c r="J745" s="79"/>
    </row>
    <row r="746" spans="1:10" x14ac:dyDescent="0.15">
      <c r="A746" s="90"/>
      <c r="B746" s="91"/>
      <c r="C746" s="91"/>
      <c r="D746" s="92"/>
      <c r="E746" s="91"/>
      <c r="F746" s="91"/>
      <c r="G746" s="91"/>
      <c r="H746" s="91"/>
      <c r="I746" s="91"/>
      <c r="J746" s="79"/>
    </row>
    <row r="747" spans="1:10" x14ac:dyDescent="0.15">
      <c r="A747" s="90"/>
      <c r="B747" s="91"/>
      <c r="C747" s="91"/>
      <c r="D747" s="92"/>
      <c r="E747" s="91"/>
      <c r="F747" s="91"/>
      <c r="G747" s="91"/>
      <c r="H747" s="91"/>
      <c r="I747" s="91"/>
      <c r="J747" s="79"/>
    </row>
    <row r="748" spans="1:10" x14ac:dyDescent="0.15">
      <c r="A748" s="90"/>
      <c r="B748" s="91"/>
      <c r="C748" s="91"/>
      <c r="D748" s="92"/>
      <c r="E748" s="91"/>
      <c r="F748" s="91"/>
      <c r="G748" s="91"/>
      <c r="H748" s="91"/>
      <c r="I748" s="91"/>
      <c r="J748" s="79"/>
    </row>
    <row r="749" spans="1:10" x14ac:dyDescent="0.15">
      <c r="A749" s="90"/>
      <c r="B749" s="91"/>
      <c r="C749" s="91"/>
      <c r="D749" s="92"/>
      <c r="E749" s="91"/>
      <c r="F749" s="91"/>
      <c r="G749" s="91"/>
      <c r="H749" s="91"/>
      <c r="I749" s="91"/>
      <c r="J749" s="79"/>
    </row>
    <row r="750" spans="1:10" x14ac:dyDescent="0.15">
      <c r="A750" s="90"/>
      <c r="B750" s="91"/>
      <c r="C750" s="91"/>
      <c r="D750" s="92"/>
      <c r="E750" s="91"/>
      <c r="F750" s="91"/>
      <c r="G750" s="91"/>
      <c r="H750" s="91"/>
      <c r="I750" s="91"/>
      <c r="J750" s="79"/>
    </row>
    <row r="751" spans="1:10" x14ac:dyDescent="0.15">
      <c r="A751" s="90"/>
      <c r="B751" s="91"/>
      <c r="C751" s="91"/>
      <c r="D751" s="92"/>
      <c r="E751" s="91"/>
      <c r="F751" s="91"/>
      <c r="G751" s="91"/>
      <c r="H751" s="91"/>
      <c r="I751" s="91"/>
      <c r="J751" s="79"/>
    </row>
    <row r="752" spans="1:10" x14ac:dyDescent="0.15">
      <c r="A752" s="90"/>
      <c r="B752" s="91"/>
      <c r="C752" s="91"/>
      <c r="D752" s="92"/>
      <c r="E752" s="91"/>
      <c r="F752" s="91"/>
      <c r="G752" s="91"/>
      <c r="H752" s="91"/>
      <c r="I752" s="91"/>
      <c r="J752" s="79"/>
    </row>
    <row r="753" spans="1:10" x14ac:dyDescent="0.15">
      <c r="A753" s="90"/>
      <c r="B753" s="91"/>
      <c r="C753" s="91"/>
      <c r="D753" s="92"/>
      <c r="E753" s="91"/>
      <c r="F753" s="91"/>
      <c r="G753" s="91"/>
      <c r="H753" s="91"/>
      <c r="I753" s="91"/>
      <c r="J753" s="79"/>
    </row>
    <row r="754" spans="1:10" x14ac:dyDescent="0.15">
      <c r="A754" s="90"/>
      <c r="B754" s="91"/>
      <c r="C754" s="91"/>
      <c r="D754" s="92"/>
      <c r="E754" s="91"/>
      <c r="F754" s="91"/>
      <c r="G754" s="91"/>
      <c r="H754" s="91"/>
      <c r="I754" s="91"/>
      <c r="J754" s="79"/>
    </row>
    <row r="755" spans="1:10" x14ac:dyDescent="0.15">
      <c r="A755" s="90"/>
      <c r="B755" s="91"/>
      <c r="C755" s="91"/>
      <c r="D755" s="92"/>
      <c r="E755" s="91"/>
      <c r="F755" s="91"/>
      <c r="G755" s="91"/>
      <c r="H755" s="91"/>
      <c r="I755" s="91"/>
      <c r="J755" s="79"/>
    </row>
    <row r="756" spans="1:10" x14ac:dyDescent="0.15">
      <c r="A756" s="90"/>
      <c r="B756" s="91"/>
      <c r="C756" s="91"/>
      <c r="D756" s="92"/>
      <c r="E756" s="91"/>
      <c r="F756" s="91"/>
      <c r="G756" s="91"/>
      <c r="H756" s="91"/>
      <c r="I756" s="91"/>
      <c r="J756" s="79"/>
    </row>
    <row r="757" spans="1:10" x14ac:dyDescent="0.15">
      <c r="A757" s="90"/>
      <c r="B757" s="91"/>
      <c r="C757" s="91"/>
      <c r="D757" s="92"/>
      <c r="E757" s="91"/>
      <c r="F757" s="91"/>
      <c r="G757" s="91"/>
      <c r="H757" s="91"/>
      <c r="I757" s="91"/>
      <c r="J757" s="79"/>
    </row>
    <row r="758" spans="1:10" x14ac:dyDescent="0.15">
      <c r="A758" s="90"/>
      <c r="B758" s="91"/>
      <c r="C758" s="91"/>
      <c r="D758" s="92"/>
      <c r="E758" s="91"/>
      <c r="F758" s="91"/>
      <c r="G758" s="91"/>
      <c r="H758" s="91"/>
      <c r="I758" s="91"/>
      <c r="J758" s="79"/>
    </row>
    <row r="759" spans="1:10" x14ac:dyDescent="0.15">
      <c r="A759" s="90"/>
      <c r="B759" s="91"/>
      <c r="C759" s="91"/>
      <c r="D759" s="92"/>
      <c r="E759" s="91"/>
      <c r="F759" s="91"/>
      <c r="G759" s="91"/>
      <c r="H759" s="91"/>
      <c r="I759" s="91"/>
      <c r="J759" s="79"/>
    </row>
    <row r="760" spans="1:10" x14ac:dyDescent="0.15">
      <c r="A760" s="90"/>
      <c r="B760" s="91"/>
      <c r="C760" s="91"/>
      <c r="D760" s="92"/>
      <c r="E760" s="91"/>
      <c r="F760" s="91"/>
      <c r="G760" s="91"/>
      <c r="H760" s="91"/>
      <c r="I760" s="91"/>
      <c r="J760" s="79"/>
    </row>
    <row r="761" spans="1:10" x14ac:dyDescent="0.15">
      <c r="A761" s="90"/>
      <c r="B761" s="91"/>
      <c r="C761" s="91"/>
      <c r="D761" s="92"/>
      <c r="E761" s="91"/>
      <c r="F761" s="91"/>
      <c r="G761" s="91"/>
      <c r="H761" s="91"/>
      <c r="I761" s="91"/>
      <c r="J761" s="79"/>
    </row>
    <row r="762" spans="1:10" x14ac:dyDescent="0.15">
      <c r="A762" s="90"/>
      <c r="B762" s="91"/>
      <c r="C762" s="91"/>
      <c r="D762" s="92"/>
      <c r="E762" s="91"/>
      <c r="F762" s="91"/>
      <c r="G762" s="91"/>
      <c r="H762" s="91"/>
      <c r="I762" s="91"/>
      <c r="J762" s="79"/>
    </row>
    <row r="763" spans="1:10" x14ac:dyDescent="0.15">
      <c r="A763" s="90"/>
      <c r="B763" s="91"/>
      <c r="C763" s="91"/>
      <c r="D763" s="92"/>
      <c r="E763" s="91"/>
      <c r="F763" s="91"/>
      <c r="G763" s="91"/>
      <c r="H763" s="91"/>
      <c r="I763" s="91"/>
      <c r="J763" s="79"/>
    </row>
    <row r="764" spans="1:10" x14ac:dyDescent="0.15">
      <c r="A764" s="90"/>
      <c r="B764" s="91"/>
      <c r="C764" s="91"/>
      <c r="D764" s="92"/>
      <c r="E764" s="91"/>
      <c r="F764" s="91"/>
      <c r="G764" s="91"/>
      <c r="H764" s="91"/>
      <c r="I764" s="91"/>
      <c r="J764" s="79"/>
    </row>
    <row r="765" spans="1:10" x14ac:dyDescent="0.15">
      <c r="A765" s="90"/>
      <c r="B765" s="91"/>
      <c r="C765" s="91"/>
      <c r="D765" s="92"/>
      <c r="E765" s="91"/>
      <c r="F765" s="91"/>
      <c r="G765" s="91"/>
      <c r="H765" s="91"/>
      <c r="I765" s="91"/>
      <c r="J765" s="79"/>
    </row>
    <row r="766" spans="1:10" x14ac:dyDescent="0.15">
      <c r="A766" s="90"/>
      <c r="B766" s="91"/>
      <c r="C766" s="91"/>
      <c r="D766" s="92"/>
      <c r="E766" s="91"/>
      <c r="F766" s="91"/>
      <c r="G766" s="91"/>
      <c r="H766" s="91"/>
      <c r="I766" s="91"/>
      <c r="J766" s="79"/>
    </row>
    <row r="767" spans="1:10" x14ac:dyDescent="0.15">
      <c r="A767" s="90"/>
      <c r="B767" s="91"/>
      <c r="C767" s="91"/>
      <c r="D767" s="92"/>
      <c r="E767" s="91"/>
      <c r="F767" s="91"/>
      <c r="G767" s="91"/>
      <c r="H767" s="91"/>
      <c r="I767" s="91"/>
      <c r="J767" s="79"/>
    </row>
    <row r="768" spans="1:10" x14ac:dyDescent="0.15">
      <c r="A768" s="90"/>
      <c r="B768" s="91"/>
      <c r="C768" s="91"/>
      <c r="D768" s="92"/>
      <c r="E768" s="91"/>
      <c r="F768" s="91"/>
      <c r="G768" s="91"/>
      <c r="H768" s="91"/>
      <c r="I768" s="91"/>
      <c r="J768" s="79"/>
    </row>
    <row r="769" spans="1:10" x14ac:dyDescent="0.15">
      <c r="A769" s="90"/>
      <c r="B769" s="91"/>
      <c r="C769" s="91"/>
      <c r="D769" s="92"/>
      <c r="E769" s="91"/>
      <c r="F769" s="91"/>
      <c r="G769" s="91"/>
      <c r="H769" s="91"/>
      <c r="I769" s="91"/>
      <c r="J769" s="79"/>
    </row>
    <row r="770" spans="1:10" x14ac:dyDescent="0.15">
      <c r="A770" s="90"/>
      <c r="B770" s="91"/>
      <c r="C770" s="91"/>
      <c r="D770" s="92"/>
      <c r="E770" s="91"/>
      <c r="F770" s="91"/>
      <c r="G770" s="91"/>
      <c r="H770" s="91"/>
      <c r="I770" s="91"/>
      <c r="J770" s="79"/>
    </row>
    <row r="771" spans="1:10" x14ac:dyDescent="0.15">
      <c r="A771" s="90"/>
      <c r="B771" s="91"/>
      <c r="C771" s="91"/>
      <c r="D771" s="92"/>
      <c r="E771" s="91"/>
      <c r="F771" s="91"/>
      <c r="G771" s="91"/>
      <c r="H771" s="91"/>
      <c r="I771" s="91"/>
      <c r="J771" s="79"/>
    </row>
    <row r="772" spans="1:10" x14ac:dyDescent="0.15">
      <c r="A772" s="90"/>
      <c r="B772" s="91"/>
      <c r="C772" s="91"/>
      <c r="D772" s="92"/>
      <c r="E772" s="91"/>
      <c r="F772" s="91"/>
      <c r="G772" s="91"/>
      <c r="H772" s="91"/>
      <c r="I772" s="91"/>
      <c r="J772" s="79"/>
    </row>
    <row r="773" spans="1:10" x14ac:dyDescent="0.15">
      <c r="A773" s="90"/>
      <c r="B773" s="91"/>
      <c r="C773" s="91"/>
      <c r="D773" s="92"/>
      <c r="E773" s="91"/>
      <c r="F773" s="91"/>
      <c r="G773" s="91"/>
      <c r="H773" s="91"/>
      <c r="I773" s="91"/>
      <c r="J773" s="79"/>
    </row>
    <row r="774" spans="1:10" x14ac:dyDescent="0.15">
      <c r="A774" s="90"/>
      <c r="B774" s="91"/>
      <c r="C774" s="91"/>
      <c r="D774" s="92"/>
      <c r="E774" s="91"/>
      <c r="F774" s="91"/>
      <c r="G774" s="91"/>
      <c r="H774" s="91"/>
      <c r="I774" s="91"/>
      <c r="J774" s="79"/>
    </row>
    <row r="775" spans="1:10" x14ac:dyDescent="0.15">
      <c r="A775" s="90"/>
      <c r="B775" s="91"/>
      <c r="C775" s="91"/>
      <c r="D775" s="92"/>
      <c r="E775" s="91"/>
      <c r="F775" s="91"/>
      <c r="G775" s="91"/>
      <c r="H775" s="91"/>
      <c r="I775" s="91"/>
      <c r="J775" s="79"/>
    </row>
    <row r="776" spans="1:10" x14ac:dyDescent="0.15">
      <c r="A776" s="90"/>
      <c r="B776" s="91"/>
      <c r="C776" s="91"/>
      <c r="D776" s="92"/>
      <c r="E776" s="91"/>
      <c r="F776" s="91"/>
      <c r="G776" s="91"/>
      <c r="H776" s="91"/>
      <c r="I776" s="91"/>
      <c r="J776" s="79"/>
    </row>
    <row r="777" spans="1:10" x14ac:dyDescent="0.15">
      <c r="A777" s="90"/>
      <c r="B777" s="91"/>
      <c r="C777" s="91"/>
      <c r="D777" s="92"/>
      <c r="E777" s="91"/>
      <c r="F777" s="91"/>
      <c r="G777" s="91"/>
      <c r="H777" s="91"/>
      <c r="I777" s="91"/>
      <c r="J777" s="79"/>
    </row>
    <row r="778" spans="1:10" x14ac:dyDescent="0.15">
      <c r="A778" s="90"/>
      <c r="B778" s="91"/>
      <c r="C778" s="91"/>
      <c r="D778" s="92"/>
      <c r="E778" s="91"/>
      <c r="F778" s="91"/>
      <c r="G778" s="91"/>
      <c r="H778" s="91"/>
      <c r="I778" s="91"/>
      <c r="J778" s="79"/>
    </row>
    <row r="779" spans="1:10" x14ac:dyDescent="0.15">
      <c r="A779" s="90"/>
      <c r="B779" s="91"/>
      <c r="C779" s="91"/>
      <c r="D779" s="92"/>
      <c r="E779" s="91"/>
      <c r="F779" s="91"/>
      <c r="G779" s="91"/>
      <c r="H779" s="91"/>
      <c r="I779" s="91"/>
      <c r="J779" s="79"/>
    </row>
    <row r="780" spans="1:10" x14ac:dyDescent="0.15">
      <c r="A780" s="90"/>
      <c r="B780" s="91"/>
      <c r="C780" s="91"/>
      <c r="D780" s="92"/>
      <c r="E780" s="91"/>
      <c r="F780" s="91"/>
      <c r="G780" s="91"/>
      <c r="H780" s="91"/>
      <c r="I780" s="91"/>
      <c r="J780" s="79"/>
    </row>
    <row r="781" spans="1:10" x14ac:dyDescent="0.15">
      <c r="A781" s="90"/>
      <c r="B781" s="91"/>
      <c r="C781" s="91"/>
      <c r="D781" s="92"/>
      <c r="E781" s="91"/>
      <c r="F781" s="91"/>
      <c r="G781" s="91"/>
      <c r="H781" s="91"/>
      <c r="I781" s="91"/>
      <c r="J781" s="79"/>
    </row>
    <row r="782" spans="1:10" x14ac:dyDescent="0.15">
      <c r="A782" s="90"/>
      <c r="B782" s="91"/>
      <c r="C782" s="91"/>
      <c r="D782" s="92"/>
      <c r="E782" s="91"/>
      <c r="F782" s="91"/>
      <c r="G782" s="91"/>
      <c r="H782" s="91"/>
      <c r="I782" s="91"/>
      <c r="J782" s="79"/>
    </row>
    <row r="783" spans="1:10" x14ac:dyDescent="0.15">
      <c r="A783" s="90"/>
      <c r="B783" s="91"/>
      <c r="C783" s="91"/>
      <c r="D783" s="92"/>
      <c r="E783" s="91"/>
      <c r="F783" s="91"/>
      <c r="G783" s="91"/>
      <c r="H783" s="91"/>
      <c r="I783" s="91"/>
      <c r="J783" s="79"/>
    </row>
    <row r="784" spans="1:10" x14ac:dyDescent="0.15">
      <c r="A784" s="90"/>
      <c r="B784" s="91"/>
      <c r="C784" s="91"/>
      <c r="D784" s="92"/>
      <c r="E784" s="91"/>
      <c r="F784" s="91"/>
      <c r="G784" s="91"/>
      <c r="H784" s="91"/>
      <c r="I784" s="91"/>
      <c r="J784" s="79"/>
    </row>
    <row r="785" spans="1:10" x14ac:dyDescent="0.15">
      <c r="A785" s="90"/>
      <c r="B785" s="91"/>
      <c r="C785" s="91"/>
      <c r="D785" s="92"/>
      <c r="E785" s="91"/>
      <c r="F785" s="91"/>
      <c r="G785" s="91"/>
      <c r="H785" s="91"/>
      <c r="I785" s="91"/>
      <c r="J785" s="79"/>
    </row>
    <row r="786" spans="1:10" x14ac:dyDescent="0.15">
      <c r="A786" s="90"/>
      <c r="B786" s="91"/>
      <c r="C786" s="91"/>
      <c r="D786" s="92"/>
      <c r="E786" s="91"/>
      <c r="F786" s="91"/>
      <c r="G786" s="91"/>
      <c r="H786" s="91"/>
      <c r="I786" s="91"/>
      <c r="J786" s="79"/>
    </row>
    <row r="787" spans="1:10" x14ac:dyDescent="0.15">
      <c r="A787" s="90"/>
      <c r="B787" s="91"/>
      <c r="C787" s="91"/>
      <c r="D787" s="92"/>
      <c r="E787" s="91"/>
      <c r="F787" s="91"/>
      <c r="G787" s="91"/>
      <c r="H787" s="91"/>
      <c r="I787" s="91"/>
      <c r="J787" s="79"/>
    </row>
    <row r="788" spans="1:10" x14ac:dyDescent="0.15">
      <c r="A788" s="90"/>
      <c r="B788" s="91"/>
      <c r="C788" s="91"/>
      <c r="D788" s="92"/>
      <c r="E788" s="91"/>
      <c r="F788" s="91"/>
      <c r="G788" s="91"/>
      <c r="H788" s="91"/>
      <c r="I788" s="91"/>
      <c r="J788" s="79"/>
    </row>
    <row r="789" spans="1:10" x14ac:dyDescent="0.15">
      <c r="A789" s="90"/>
      <c r="B789" s="91"/>
      <c r="C789" s="91"/>
      <c r="D789" s="92"/>
      <c r="E789" s="91"/>
      <c r="F789" s="91"/>
      <c r="G789" s="91"/>
      <c r="H789" s="91"/>
      <c r="I789" s="91"/>
      <c r="J789" s="79"/>
    </row>
    <row r="790" spans="1:10" x14ac:dyDescent="0.15">
      <c r="A790" s="90"/>
      <c r="B790" s="91"/>
      <c r="C790" s="91"/>
      <c r="D790" s="92"/>
      <c r="E790" s="91"/>
      <c r="F790" s="91"/>
      <c r="G790" s="91"/>
      <c r="H790" s="91"/>
      <c r="I790" s="91"/>
      <c r="J790" s="79"/>
    </row>
    <row r="791" spans="1:10" x14ac:dyDescent="0.15">
      <c r="A791" s="90"/>
      <c r="B791" s="91"/>
      <c r="C791" s="91"/>
      <c r="D791" s="92"/>
      <c r="E791" s="91"/>
      <c r="F791" s="91"/>
      <c r="G791" s="91"/>
      <c r="H791" s="91"/>
      <c r="I791" s="91"/>
      <c r="J791" s="79"/>
    </row>
    <row r="792" spans="1:10" x14ac:dyDescent="0.15">
      <c r="A792" s="90"/>
      <c r="B792" s="91"/>
      <c r="C792" s="91"/>
      <c r="D792" s="92"/>
      <c r="E792" s="91"/>
      <c r="F792" s="91"/>
      <c r="G792" s="91"/>
      <c r="H792" s="91"/>
      <c r="I792" s="91"/>
      <c r="J792" s="79"/>
    </row>
    <row r="793" spans="1:10" x14ac:dyDescent="0.15">
      <c r="A793" s="90"/>
      <c r="B793" s="91"/>
      <c r="C793" s="91"/>
      <c r="D793" s="92"/>
      <c r="E793" s="91"/>
      <c r="F793" s="91"/>
      <c r="G793" s="91"/>
      <c r="H793" s="91"/>
      <c r="I793" s="91"/>
      <c r="J793" s="79"/>
    </row>
    <row r="794" spans="1:10" x14ac:dyDescent="0.15">
      <c r="A794" s="90"/>
      <c r="B794" s="91"/>
      <c r="C794" s="91"/>
      <c r="D794" s="92"/>
      <c r="E794" s="91"/>
      <c r="F794" s="91"/>
      <c r="G794" s="91"/>
      <c r="H794" s="91"/>
      <c r="I794" s="91"/>
      <c r="J794" s="79"/>
    </row>
    <row r="795" spans="1:10" x14ac:dyDescent="0.15">
      <c r="A795" s="90"/>
      <c r="B795" s="91"/>
      <c r="C795" s="91"/>
      <c r="D795" s="92"/>
      <c r="E795" s="91"/>
      <c r="F795" s="91"/>
      <c r="G795" s="91"/>
      <c r="H795" s="91"/>
      <c r="I795" s="91"/>
      <c r="J795" s="79"/>
    </row>
    <row r="796" spans="1:10" x14ac:dyDescent="0.15">
      <c r="A796" s="90"/>
      <c r="B796" s="91"/>
      <c r="C796" s="91"/>
      <c r="D796" s="92"/>
      <c r="E796" s="91"/>
      <c r="F796" s="91"/>
      <c r="G796" s="91"/>
      <c r="H796" s="91"/>
      <c r="I796" s="91"/>
      <c r="J796" s="79"/>
    </row>
    <row r="797" spans="1:10" x14ac:dyDescent="0.15">
      <c r="A797" s="90"/>
      <c r="B797" s="91"/>
      <c r="C797" s="91"/>
      <c r="D797" s="92"/>
      <c r="E797" s="91"/>
      <c r="F797" s="91"/>
      <c r="G797" s="91"/>
      <c r="H797" s="91"/>
      <c r="I797" s="91"/>
      <c r="J797" s="79"/>
    </row>
    <row r="798" spans="1:10" x14ac:dyDescent="0.15">
      <c r="A798" s="90"/>
      <c r="B798" s="91"/>
      <c r="C798" s="91"/>
      <c r="D798" s="92"/>
      <c r="E798" s="91"/>
      <c r="F798" s="91"/>
      <c r="G798" s="91"/>
      <c r="H798" s="91"/>
      <c r="I798" s="91"/>
      <c r="J798" s="79"/>
    </row>
    <row r="799" spans="1:10" x14ac:dyDescent="0.15">
      <c r="A799" s="90"/>
      <c r="B799" s="91"/>
      <c r="C799" s="91"/>
      <c r="D799" s="92"/>
      <c r="E799" s="91"/>
      <c r="F799" s="91"/>
      <c r="G799" s="91"/>
      <c r="H799" s="91"/>
      <c r="I799" s="91"/>
      <c r="J799" s="79"/>
    </row>
    <row r="800" spans="1:10" x14ac:dyDescent="0.15">
      <c r="A800" s="90"/>
      <c r="B800" s="91"/>
      <c r="C800" s="91"/>
      <c r="D800" s="92"/>
      <c r="E800" s="91"/>
      <c r="F800" s="91"/>
      <c r="G800" s="91"/>
      <c r="H800" s="91"/>
      <c r="I800" s="91"/>
      <c r="J800" s="79"/>
    </row>
    <row r="801" spans="1:10" x14ac:dyDescent="0.15">
      <c r="A801" s="90"/>
      <c r="B801" s="91"/>
      <c r="C801" s="91"/>
      <c r="D801" s="92"/>
      <c r="E801" s="91"/>
      <c r="F801" s="91"/>
      <c r="G801" s="91"/>
      <c r="H801" s="91"/>
      <c r="I801" s="91"/>
      <c r="J801" s="79"/>
    </row>
    <row r="802" spans="1:10" x14ac:dyDescent="0.15">
      <c r="A802" s="90"/>
      <c r="B802" s="91"/>
      <c r="C802" s="91"/>
      <c r="D802" s="92"/>
      <c r="E802" s="91"/>
      <c r="F802" s="91"/>
      <c r="G802" s="91"/>
      <c r="H802" s="91"/>
      <c r="I802" s="91"/>
      <c r="J802" s="79"/>
    </row>
    <row r="803" spans="1:10" x14ac:dyDescent="0.15">
      <c r="A803" s="90"/>
      <c r="B803" s="91"/>
      <c r="C803" s="91"/>
      <c r="D803" s="92"/>
      <c r="E803" s="91"/>
      <c r="F803" s="91"/>
      <c r="G803" s="91"/>
      <c r="H803" s="91"/>
      <c r="I803" s="91"/>
      <c r="J803" s="79"/>
    </row>
    <row r="804" spans="1:10" x14ac:dyDescent="0.15">
      <c r="A804" s="90"/>
      <c r="B804" s="91"/>
      <c r="C804" s="91"/>
      <c r="D804" s="92"/>
      <c r="E804" s="91"/>
      <c r="F804" s="91"/>
      <c r="G804" s="91"/>
      <c r="H804" s="91"/>
      <c r="I804" s="91"/>
      <c r="J804" s="79"/>
    </row>
    <row r="805" spans="1:10" x14ac:dyDescent="0.15">
      <c r="A805" s="90"/>
      <c r="B805" s="91"/>
      <c r="C805" s="91"/>
      <c r="D805" s="92"/>
      <c r="E805" s="91"/>
      <c r="F805" s="91"/>
      <c r="G805" s="91"/>
      <c r="H805" s="91"/>
      <c r="I805" s="91"/>
      <c r="J805" s="79"/>
    </row>
    <row r="806" spans="1:10" x14ac:dyDescent="0.15">
      <c r="A806" s="90"/>
      <c r="B806" s="91"/>
      <c r="C806" s="91"/>
      <c r="D806" s="92"/>
      <c r="E806" s="91"/>
      <c r="F806" s="91"/>
      <c r="G806" s="91"/>
      <c r="H806" s="91"/>
      <c r="I806" s="91"/>
      <c r="J806" s="79"/>
    </row>
    <row r="807" spans="1:10" x14ac:dyDescent="0.15">
      <c r="A807" s="90"/>
      <c r="B807" s="91"/>
      <c r="C807" s="91"/>
      <c r="D807" s="92"/>
      <c r="E807" s="91"/>
      <c r="F807" s="91"/>
      <c r="G807" s="91"/>
      <c r="H807" s="91"/>
      <c r="I807" s="91"/>
      <c r="J807" s="79"/>
    </row>
    <row r="808" spans="1:10" x14ac:dyDescent="0.15">
      <c r="A808" s="90"/>
      <c r="B808" s="91"/>
      <c r="C808" s="91"/>
      <c r="D808" s="92"/>
      <c r="E808" s="91"/>
      <c r="F808" s="91"/>
      <c r="G808" s="91"/>
      <c r="H808" s="91"/>
      <c r="I808" s="91"/>
      <c r="J808" s="79"/>
    </row>
    <row r="809" spans="1:10" x14ac:dyDescent="0.15">
      <c r="A809" s="90"/>
      <c r="B809" s="91"/>
      <c r="C809" s="91"/>
      <c r="D809" s="92"/>
      <c r="E809" s="91"/>
      <c r="F809" s="91"/>
      <c r="G809" s="91"/>
      <c r="H809" s="91"/>
      <c r="I809" s="91"/>
      <c r="J809" s="79"/>
    </row>
    <row r="810" spans="1:10" x14ac:dyDescent="0.15">
      <c r="A810" s="90"/>
      <c r="B810" s="91"/>
      <c r="C810" s="91"/>
      <c r="D810" s="92"/>
      <c r="E810" s="91"/>
      <c r="F810" s="91"/>
      <c r="G810" s="91"/>
      <c r="H810" s="91"/>
      <c r="I810" s="91"/>
      <c r="J810" s="79"/>
    </row>
    <row r="811" spans="1:10" x14ac:dyDescent="0.15">
      <c r="A811" s="90"/>
      <c r="B811" s="91"/>
      <c r="C811" s="91"/>
      <c r="D811" s="92"/>
      <c r="E811" s="91"/>
      <c r="F811" s="91"/>
      <c r="G811" s="91"/>
      <c r="H811" s="91"/>
      <c r="I811" s="91"/>
      <c r="J811" s="79"/>
    </row>
    <row r="812" spans="1:10" x14ac:dyDescent="0.15">
      <c r="A812" s="90"/>
      <c r="B812" s="91"/>
      <c r="C812" s="91"/>
      <c r="D812" s="92"/>
      <c r="E812" s="91"/>
      <c r="F812" s="91"/>
      <c r="G812" s="91"/>
      <c r="H812" s="91"/>
      <c r="I812" s="91"/>
      <c r="J812" s="79"/>
    </row>
    <row r="813" spans="1:10" x14ac:dyDescent="0.15">
      <c r="A813" s="90"/>
      <c r="B813" s="91"/>
      <c r="C813" s="91"/>
      <c r="D813" s="92"/>
      <c r="E813" s="91"/>
      <c r="F813" s="91"/>
      <c r="G813" s="91"/>
      <c r="H813" s="91"/>
      <c r="I813" s="91"/>
      <c r="J813" s="79"/>
    </row>
    <row r="814" spans="1:10" x14ac:dyDescent="0.15">
      <c r="A814" s="90"/>
      <c r="B814" s="91"/>
      <c r="C814" s="91"/>
      <c r="D814" s="92"/>
      <c r="E814" s="91"/>
      <c r="F814" s="91"/>
      <c r="G814" s="91"/>
      <c r="H814" s="91"/>
      <c r="I814" s="91"/>
      <c r="J814" s="79"/>
    </row>
    <row r="815" spans="1:10" x14ac:dyDescent="0.15">
      <c r="A815" s="90"/>
      <c r="B815" s="91"/>
      <c r="C815" s="91"/>
      <c r="D815" s="92"/>
      <c r="E815" s="91"/>
      <c r="F815" s="91"/>
      <c r="G815" s="91"/>
      <c r="H815" s="91"/>
      <c r="I815" s="91"/>
      <c r="J815" s="79"/>
    </row>
    <row r="816" spans="1:10" x14ac:dyDescent="0.15">
      <c r="A816" s="90"/>
      <c r="B816" s="91"/>
      <c r="C816" s="91"/>
      <c r="D816" s="92"/>
      <c r="E816" s="91"/>
      <c r="F816" s="91"/>
      <c r="G816" s="91"/>
      <c r="H816" s="91"/>
      <c r="I816" s="91"/>
      <c r="J816" s="79"/>
    </row>
    <row r="817" spans="1:10" x14ac:dyDescent="0.15">
      <c r="A817" s="90"/>
      <c r="B817" s="91"/>
      <c r="C817" s="91"/>
      <c r="D817" s="92"/>
      <c r="E817" s="91"/>
      <c r="F817" s="91"/>
      <c r="G817" s="91"/>
      <c r="H817" s="91"/>
      <c r="I817" s="91"/>
      <c r="J817" s="79"/>
    </row>
    <row r="818" spans="1:10" x14ac:dyDescent="0.15">
      <c r="A818" s="90"/>
      <c r="B818" s="91"/>
      <c r="C818" s="91"/>
      <c r="D818" s="92"/>
      <c r="E818" s="91"/>
      <c r="F818" s="91"/>
      <c r="G818" s="91"/>
      <c r="H818" s="91"/>
      <c r="I818" s="91"/>
      <c r="J818" s="79"/>
    </row>
    <row r="819" spans="1:10" x14ac:dyDescent="0.15">
      <c r="A819" s="90"/>
      <c r="B819" s="91"/>
      <c r="C819" s="91"/>
      <c r="D819" s="92"/>
      <c r="E819" s="91"/>
      <c r="F819" s="91"/>
      <c r="G819" s="91"/>
      <c r="H819" s="91"/>
      <c r="I819" s="91"/>
      <c r="J819" s="79"/>
    </row>
    <row r="820" spans="1:10" x14ac:dyDescent="0.15">
      <c r="A820" s="90"/>
      <c r="B820" s="91"/>
      <c r="C820" s="91"/>
      <c r="D820" s="92"/>
      <c r="E820" s="91"/>
      <c r="F820" s="91"/>
      <c r="G820" s="91"/>
      <c r="H820" s="91"/>
      <c r="I820" s="91"/>
      <c r="J820" s="79"/>
    </row>
    <row r="821" spans="1:10" x14ac:dyDescent="0.15">
      <c r="A821" s="90"/>
      <c r="B821" s="91"/>
      <c r="C821" s="91"/>
      <c r="D821" s="92"/>
      <c r="E821" s="91"/>
      <c r="F821" s="91"/>
      <c r="G821" s="91"/>
      <c r="H821" s="91"/>
      <c r="I821" s="91"/>
      <c r="J821" s="79"/>
    </row>
    <row r="822" spans="1:10" x14ac:dyDescent="0.15">
      <c r="A822" s="90"/>
      <c r="B822" s="91"/>
      <c r="C822" s="91"/>
      <c r="D822" s="92"/>
      <c r="E822" s="91"/>
      <c r="F822" s="91"/>
      <c r="G822" s="91"/>
      <c r="H822" s="91"/>
      <c r="I822" s="91"/>
      <c r="J822" s="79"/>
    </row>
    <row r="823" spans="1:10" x14ac:dyDescent="0.15">
      <c r="A823" s="90"/>
      <c r="B823" s="91"/>
      <c r="C823" s="91"/>
      <c r="D823" s="92"/>
      <c r="E823" s="91"/>
      <c r="F823" s="91"/>
      <c r="G823" s="91"/>
      <c r="H823" s="91"/>
      <c r="I823" s="91"/>
      <c r="J823" s="79"/>
    </row>
    <row r="824" spans="1:10" x14ac:dyDescent="0.15">
      <c r="A824" s="90"/>
      <c r="B824" s="91"/>
      <c r="C824" s="91"/>
      <c r="D824" s="92"/>
      <c r="E824" s="91"/>
      <c r="F824" s="91"/>
      <c r="G824" s="91"/>
      <c r="H824" s="91"/>
      <c r="I824" s="91"/>
      <c r="J824" s="79"/>
    </row>
    <row r="825" spans="1:10" x14ac:dyDescent="0.15">
      <c r="A825" s="90"/>
      <c r="B825" s="91"/>
      <c r="C825" s="91"/>
      <c r="D825" s="92"/>
      <c r="E825" s="91"/>
      <c r="F825" s="91"/>
      <c r="G825" s="91"/>
      <c r="H825" s="91"/>
      <c r="I825" s="91"/>
      <c r="J825" s="79"/>
    </row>
    <row r="826" spans="1:10" x14ac:dyDescent="0.15">
      <c r="A826" s="90"/>
      <c r="B826" s="91"/>
      <c r="C826" s="91"/>
      <c r="D826" s="92"/>
      <c r="E826" s="91"/>
      <c r="F826" s="91"/>
      <c r="G826" s="91"/>
      <c r="H826" s="91"/>
      <c r="I826" s="91"/>
      <c r="J826" s="79"/>
    </row>
    <row r="827" spans="1:10" x14ac:dyDescent="0.15">
      <c r="A827" s="90"/>
      <c r="B827" s="91"/>
      <c r="C827" s="91"/>
      <c r="D827" s="92"/>
      <c r="E827" s="91"/>
      <c r="F827" s="91"/>
      <c r="G827" s="91"/>
      <c r="H827" s="91"/>
      <c r="I827" s="91"/>
      <c r="J827" s="79"/>
    </row>
    <row r="828" spans="1:10" x14ac:dyDescent="0.15">
      <c r="A828" s="90"/>
      <c r="B828" s="91"/>
      <c r="C828" s="91"/>
      <c r="D828" s="92"/>
      <c r="E828" s="91"/>
      <c r="F828" s="91"/>
      <c r="G828" s="91"/>
      <c r="H828" s="91"/>
      <c r="I828" s="91"/>
      <c r="J828" s="79"/>
    </row>
    <row r="829" spans="1:10" x14ac:dyDescent="0.15">
      <c r="A829" s="90"/>
      <c r="B829" s="91"/>
      <c r="C829" s="91"/>
      <c r="D829" s="92"/>
      <c r="E829" s="91"/>
      <c r="F829" s="91"/>
      <c r="G829" s="91"/>
      <c r="H829" s="91"/>
      <c r="I829" s="91"/>
      <c r="J829" s="79"/>
    </row>
    <row r="830" spans="1:10" x14ac:dyDescent="0.15">
      <c r="A830" s="90"/>
      <c r="B830" s="91"/>
      <c r="C830" s="91"/>
      <c r="D830" s="92"/>
      <c r="E830" s="91"/>
      <c r="F830" s="91"/>
      <c r="G830" s="91"/>
      <c r="H830" s="91"/>
      <c r="I830" s="91"/>
      <c r="J830" s="79"/>
    </row>
    <row r="831" spans="1:10" x14ac:dyDescent="0.15">
      <c r="A831" s="90"/>
      <c r="B831" s="91"/>
      <c r="C831" s="91"/>
      <c r="D831" s="92"/>
      <c r="E831" s="91"/>
      <c r="F831" s="91"/>
      <c r="G831" s="91"/>
      <c r="H831" s="91"/>
      <c r="I831" s="91"/>
      <c r="J831" s="79"/>
    </row>
    <row r="832" spans="1:10" x14ac:dyDescent="0.15">
      <c r="A832" s="90"/>
      <c r="B832" s="91"/>
      <c r="C832" s="91"/>
      <c r="D832" s="92"/>
      <c r="E832" s="91"/>
      <c r="F832" s="91"/>
      <c r="G832" s="91"/>
      <c r="H832" s="91"/>
      <c r="I832" s="91"/>
      <c r="J832" s="79"/>
    </row>
    <row r="833" spans="1:10" x14ac:dyDescent="0.15">
      <c r="A833" s="90"/>
      <c r="B833" s="91"/>
      <c r="C833" s="91"/>
      <c r="D833" s="92"/>
      <c r="E833" s="91"/>
      <c r="F833" s="91"/>
      <c r="G833" s="91"/>
      <c r="H833" s="91"/>
      <c r="I833" s="91"/>
      <c r="J833" s="79"/>
    </row>
    <row r="834" spans="1:10" x14ac:dyDescent="0.15">
      <c r="A834" s="90"/>
      <c r="B834" s="91"/>
      <c r="C834" s="91"/>
      <c r="D834" s="92"/>
      <c r="E834" s="91"/>
      <c r="F834" s="91"/>
      <c r="G834" s="91"/>
      <c r="H834" s="91"/>
      <c r="I834" s="91"/>
      <c r="J834" s="79"/>
    </row>
    <row r="835" spans="1:10" x14ac:dyDescent="0.15">
      <c r="A835" s="90"/>
      <c r="B835" s="91"/>
      <c r="C835" s="91"/>
      <c r="D835" s="92"/>
      <c r="E835" s="91"/>
      <c r="F835" s="91"/>
      <c r="G835" s="91"/>
      <c r="H835" s="91"/>
      <c r="I835" s="91"/>
      <c r="J835" s="79"/>
    </row>
    <row r="836" spans="1:10" x14ac:dyDescent="0.15">
      <c r="A836" s="90"/>
      <c r="B836" s="91"/>
      <c r="C836" s="91"/>
      <c r="D836" s="92"/>
      <c r="E836" s="91"/>
      <c r="F836" s="91"/>
      <c r="G836" s="91"/>
      <c r="H836" s="91"/>
      <c r="I836" s="91"/>
      <c r="J836" s="79"/>
    </row>
    <row r="837" spans="1:10" x14ac:dyDescent="0.15">
      <c r="A837" s="90"/>
      <c r="B837" s="91"/>
      <c r="C837" s="91"/>
      <c r="D837" s="92"/>
      <c r="E837" s="91"/>
      <c r="F837" s="91"/>
      <c r="G837" s="91"/>
      <c r="H837" s="91"/>
      <c r="I837" s="91"/>
      <c r="J837" s="79"/>
    </row>
    <row r="838" spans="1:10" x14ac:dyDescent="0.15">
      <c r="A838" s="90"/>
      <c r="B838" s="91"/>
      <c r="C838" s="91"/>
      <c r="D838" s="92"/>
      <c r="E838" s="91"/>
      <c r="F838" s="91"/>
      <c r="G838" s="91"/>
      <c r="H838" s="91"/>
      <c r="I838" s="91"/>
      <c r="J838" s="79"/>
    </row>
    <row r="839" spans="1:10" x14ac:dyDescent="0.15">
      <c r="A839" s="90"/>
      <c r="B839" s="91"/>
      <c r="C839" s="91"/>
      <c r="D839" s="92"/>
      <c r="E839" s="91"/>
      <c r="F839" s="91"/>
      <c r="G839" s="91"/>
      <c r="H839" s="91"/>
      <c r="I839" s="91"/>
      <c r="J839" s="79"/>
    </row>
    <row r="840" spans="1:10" x14ac:dyDescent="0.15">
      <c r="A840" s="90"/>
      <c r="B840" s="91"/>
      <c r="C840" s="91"/>
      <c r="D840" s="92"/>
      <c r="E840" s="91"/>
      <c r="F840" s="91"/>
      <c r="G840" s="91"/>
      <c r="H840" s="91"/>
      <c r="I840" s="91"/>
      <c r="J840" s="79"/>
    </row>
    <row r="841" spans="1:10" x14ac:dyDescent="0.15">
      <c r="A841" s="90"/>
      <c r="B841" s="91"/>
      <c r="C841" s="91"/>
      <c r="D841" s="92"/>
      <c r="E841" s="91"/>
      <c r="F841" s="91"/>
      <c r="G841" s="91"/>
      <c r="H841" s="91"/>
      <c r="I841" s="91"/>
      <c r="J841" s="79"/>
    </row>
    <row r="842" spans="1:10" x14ac:dyDescent="0.15">
      <c r="A842" s="90"/>
      <c r="B842" s="91"/>
      <c r="C842" s="91"/>
      <c r="D842" s="92"/>
      <c r="E842" s="91"/>
      <c r="F842" s="91"/>
      <c r="G842" s="91"/>
      <c r="H842" s="91"/>
      <c r="I842" s="91"/>
      <c r="J842" s="79"/>
    </row>
    <row r="843" spans="1:10" x14ac:dyDescent="0.15">
      <c r="A843" s="90"/>
      <c r="B843" s="91"/>
      <c r="C843" s="91"/>
      <c r="D843" s="92"/>
      <c r="E843" s="91"/>
      <c r="F843" s="91"/>
      <c r="G843" s="91"/>
      <c r="H843" s="91"/>
      <c r="I843" s="91"/>
      <c r="J843" s="79"/>
    </row>
    <row r="844" spans="1:10" x14ac:dyDescent="0.15">
      <c r="A844" s="90"/>
      <c r="B844" s="91"/>
      <c r="C844" s="91"/>
      <c r="D844" s="92"/>
      <c r="E844" s="91"/>
      <c r="F844" s="91"/>
      <c r="G844" s="91"/>
      <c r="H844" s="91"/>
      <c r="I844" s="91"/>
      <c r="J844" s="79"/>
    </row>
    <row r="845" spans="1:10" x14ac:dyDescent="0.15">
      <c r="A845" s="90"/>
      <c r="B845" s="91"/>
      <c r="C845" s="91"/>
      <c r="D845" s="92"/>
      <c r="E845" s="91"/>
      <c r="F845" s="91"/>
      <c r="G845" s="91"/>
      <c r="H845" s="91"/>
      <c r="I845" s="91"/>
      <c r="J845" s="79"/>
    </row>
    <row r="846" spans="1:10" x14ac:dyDescent="0.15">
      <c r="A846" s="90"/>
      <c r="B846" s="91"/>
      <c r="C846" s="91"/>
      <c r="D846" s="92"/>
      <c r="E846" s="91"/>
      <c r="F846" s="91"/>
      <c r="G846" s="91"/>
      <c r="H846" s="91"/>
      <c r="I846" s="91"/>
      <c r="J846" s="79"/>
    </row>
    <row r="847" spans="1:10" x14ac:dyDescent="0.15">
      <c r="A847" s="90"/>
      <c r="B847" s="91"/>
      <c r="C847" s="91"/>
      <c r="D847" s="92"/>
      <c r="E847" s="91"/>
      <c r="F847" s="91"/>
      <c r="G847" s="91"/>
      <c r="H847" s="91"/>
      <c r="I847" s="91"/>
      <c r="J847" s="79"/>
    </row>
    <row r="848" spans="1:10" x14ac:dyDescent="0.15">
      <c r="A848" s="90"/>
      <c r="B848" s="91"/>
      <c r="C848" s="91"/>
      <c r="D848" s="92"/>
      <c r="E848" s="91"/>
      <c r="F848" s="91"/>
      <c r="G848" s="91"/>
      <c r="H848" s="91"/>
      <c r="I848" s="91"/>
      <c r="J848" s="79"/>
    </row>
    <row r="849" spans="1:10" x14ac:dyDescent="0.15">
      <c r="A849" s="90"/>
      <c r="B849" s="91"/>
      <c r="C849" s="91"/>
      <c r="D849" s="92"/>
      <c r="E849" s="91"/>
      <c r="F849" s="91"/>
      <c r="G849" s="91"/>
      <c r="H849" s="91"/>
      <c r="I849" s="91"/>
      <c r="J849" s="79"/>
    </row>
    <row r="850" spans="1:10" x14ac:dyDescent="0.15">
      <c r="A850" s="90"/>
      <c r="B850" s="91"/>
      <c r="C850" s="91"/>
      <c r="D850" s="92"/>
      <c r="E850" s="91"/>
      <c r="F850" s="91"/>
      <c r="G850" s="91"/>
      <c r="H850" s="91"/>
      <c r="I850" s="91"/>
      <c r="J850" s="79"/>
    </row>
    <row r="851" spans="1:10" x14ac:dyDescent="0.15">
      <c r="A851" s="90"/>
      <c r="B851" s="91"/>
      <c r="C851" s="91"/>
      <c r="D851" s="92"/>
      <c r="E851" s="91"/>
      <c r="F851" s="91"/>
      <c r="G851" s="91"/>
      <c r="H851" s="91"/>
      <c r="I851" s="91"/>
      <c r="J851" s="79"/>
    </row>
    <row r="852" spans="1:10" x14ac:dyDescent="0.15">
      <c r="A852" s="90"/>
      <c r="B852" s="91"/>
      <c r="C852" s="91"/>
      <c r="D852" s="92"/>
      <c r="E852" s="91"/>
      <c r="F852" s="91"/>
      <c r="G852" s="91"/>
      <c r="H852" s="91"/>
      <c r="I852" s="91"/>
      <c r="J852" s="79"/>
    </row>
    <row r="853" spans="1:10" x14ac:dyDescent="0.15">
      <c r="A853" s="90"/>
      <c r="B853" s="91"/>
      <c r="C853" s="91"/>
      <c r="D853" s="92"/>
      <c r="E853" s="91"/>
      <c r="F853" s="91"/>
      <c r="G853" s="91"/>
      <c r="H853" s="91"/>
      <c r="I853" s="91"/>
      <c r="J853" s="79"/>
    </row>
    <row r="854" spans="1:10" x14ac:dyDescent="0.15">
      <c r="A854" s="90"/>
      <c r="B854" s="91"/>
      <c r="C854" s="91"/>
      <c r="D854" s="92"/>
      <c r="E854" s="91"/>
      <c r="F854" s="91"/>
      <c r="G854" s="91"/>
      <c r="H854" s="91"/>
      <c r="I854" s="91"/>
      <c r="J854" s="79"/>
    </row>
    <row r="855" spans="1:10" x14ac:dyDescent="0.15">
      <c r="A855" s="90"/>
      <c r="B855" s="91"/>
      <c r="C855" s="91"/>
      <c r="D855" s="92"/>
      <c r="E855" s="91"/>
      <c r="F855" s="91"/>
      <c r="G855" s="91"/>
      <c r="H855" s="91"/>
      <c r="I855" s="91"/>
      <c r="J855" s="79"/>
    </row>
    <row r="856" spans="1:10" x14ac:dyDescent="0.15">
      <c r="A856" s="90"/>
      <c r="B856" s="91"/>
      <c r="C856" s="91"/>
      <c r="D856" s="92"/>
      <c r="E856" s="91"/>
      <c r="F856" s="91"/>
      <c r="G856" s="91"/>
      <c r="H856" s="91"/>
      <c r="I856" s="91"/>
      <c r="J856" s="79"/>
    </row>
    <row r="857" spans="1:10" x14ac:dyDescent="0.15">
      <c r="A857" s="90"/>
      <c r="B857" s="91"/>
      <c r="C857" s="91"/>
      <c r="D857" s="92"/>
      <c r="E857" s="91"/>
      <c r="F857" s="91"/>
      <c r="G857" s="91"/>
      <c r="H857" s="91"/>
      <c r="I857" s="91"/>
      <c r="J857" s="79"/>
    </row>
    <row r="858" spans="1:10" x14ac:dyDescent="0.15">
      <c r="A858" s="90"/>
      <c r="B858" s="91"/>
      <c r="C858" s="91"/>
      <c r="D858" s="92"/>
      <c r="E858" s="91"/>
      <c r="F858" s="91"/>
      <c r="G858" s="91"/>
      <c r="H858" s="91"/>
      <c r="I858" s="91"/>
      <c r="J858" s="79"/>
    </row>
    <row r="859" spans="1:10" x14ac:dyDescent="0.15">
      <c r="A859" s="90"/>
      <c r="B859" s="91"/>
      <c r="C859" s="91"/>
      <c r="D859" s="92"/>
      <c r="E859" s="91"/>
      <c r="F859" s="91"/>
      <c r="G859" s="91"/>
      <c r="H859" s="91"/>
      <c r="I859" s="91"/>
      <c r="J859" s="79"/>
    </row>
    <row r="860" spans="1:10" x14ac:dyDescent="0.15">
      <c r="A860" s="90"/>
      <c r="B860" s="91"/>
      <c r="C860" s="91"/>
      <c r="D860" s="92"/>
      <c r="E860" s="91"/>
      <c r="F860" s="91"/>
      <c r="G860" s="91"/>
      <c r="H860" s="91"/>
      <c r="I860" s="91"/>
      <c r="J860" s="79"/>
    </row>
    <row r="861" spans="1:10" x14ac:dyDescent="0.15">
      <c r="A861" s="90"/>
      <c r="B861" s="91"/>
      <c r="C861" s="91"/>
      <c r="D861" s="92"/>
      <c r="E861" s="91"/>
      <c r="F861" s="91"/>
      <c r="G861" s="91"/>
      <c r="H861" s="91"/>
      <c r="I861" s="91"/>
      <c r="J861" s="79"/>
    </row>
    <row r="862" spans="1:10" x14ac:dyDescent="0.15">
      <c r="A862" s="90"/>
      <c r="B862" s="91"/>
      <c r="C862" s="91"/>
      <c r="D862" s="92"/>
      <c r="E862" s="91"/>
      <c r="F862" s="91"/>
      <c r="G862" s="91"/>
      <c r="H862" s="91"/>
      <c r="I862" s="91"/>
      <c r="J862" s="79"/>
    </row>
    <row r="863" spans="1:10" x14ac:dyDescent="0.15">
      <c r="A863" s="90"/>
      <c r="B863" s="91"/>
      <c r="C863" s="91"/>
      <c r="D863" s="92"/>
      <c r="E863" s="91"/>
      <c r="F863" s="91"/>
      <c r="G863" s="91"/>
      <c r="H863" s="91"/>
      <c r="I863" s="91"/>
      <c r="J863" s="79"/>
    </row>
    <row r="864" spans="1:10" x14ac:dyDescent="0.15">
      <c r="A864" s="90"/>
      <c r="B864" s="91"/>
      <c r="C864" s="91"/>
      <c r="D864" s="92"/>
      <c r="E864" s="91"/>
      <c r="F864" s="91"/>
      <c r="G864" s="91"/>
      <c r="H864" s="91"/>
      <c r="I864" s="91"/>
      <c r="J864" s="79"/>
    </row>
    <row r="865" spans="1:10" x14ac:dyDescent="0.15">
      <c r="A865" s="90"/>
      <c r="B865" s="91"/>
      <c r="C865" s="91"/>
      <c r="D865" s="92"/>
      <c r="E865" s="91"/>
      <c r="F865" s="91"/>
      <c r="G865" s="91"/>
      <c r="H865" s="91"/>
      <c r="I865" s="91"/>
      <c r="J865" s="79"/>
    </row>
    <row r="866" spans="1:10" x14ac:dyDescent="0.15">
      <c r="A866" s="90"/>
      <c r="B866" s="91"/>
      <c r="C866" s="91"/>
      <c r="D866" s="92"/>
      <c r="E866" s="91"/>
      <c r="F866" s="91"/>
      <c r="G866" s="91"/>
      <c r="H866" s="91"/>
      <c r="I866" s="91"/>
      <c r="J866" s="79"/>
    </row>
    <row r="867" spans="1:10" x14ac:dyDescent="0.15">
      <c r="A867" s="90"/>
      <c r="B867" s="91"/>
      <c r="C867" s="91"/>
      <c r="D867" s="92"/>
      <c r="E867" s="91"/>
      <c r="F867" s="91"/>
      <c r="G867" s="91"/>
      <c r="H867" s="91"/>
      <c r="I867" s="91"/>
      <c r="J867" s="79"/>
    </row>
    <row r="868" spans="1:10" x14ac:dyDescent="0.15">
      <c r="A868" s="90"/>
      <c r="B868" s="91"/>
      <c r="C868" s="91"/>
      <c r="D868" s="92"/>
      <c r="E868" s="91"/>
      <c r="F868" s="91"/>
      <c r="G868" s="91"/>
      <c r="H868" s="91"/>
      <c r="I868" s="91"/>
      <c r="J868" s="79"/>
    </row>
    <row r="869" spans="1:10" x14ac:dyDescent="0.15">
      <c r="A869" s="90"/>
      <c r="B869" s="91"/>
      <c r="C869" s="91"/>
      <c r="D869" s="92"/>
      <c r="E869" s="91"/>
      <c r="F869" s="91"/>
      <c r="G869" s="91"/>
      <c r="H869" s="91"/>
      <c r="I869" s="91"/>
      <c r="J869" s="79"/>
    </row>
    <row r="870" spans="1:10" x14ac:dyDescent="0.15">
      <c r="A870" s="90"/>
      <c r="B870" s="91"/>
      <c r="C870" s="91"/>
      <c r="D870" s="92"/>
      <c r="E870" s="91"/>
      <c r="F870" s="91"/>
      <c r="G870" s="91"/>
      <c r="H870" s="91"/>
      <c r="I870" s="91"/>
      <c r="J870" s="79"/>
    </row>
    <row r="871" spans="1:10" x14ac:dyDescent="0.15">
      <c r="A871" s="90"/>
      <c r="B871" s="91"/>
      <c r="C871" s="91"/>
      <c r="D871" s="92"/>
      <c r="E871" s="91"/>
      <c r="F871" s="91"/>
      <c r="G871" s="91"/>
      <c r="H871" s="91"/>
      <c r="I871" s="91"/>
      <c r="J871" s="79"/>
    </row>
    <row r="872" spans="1:10" x14ac:dyDescent="0.15">
      <c r="A872" s="90"/>
      <c r="B872" s="91"/>
      <c r="C872" s="91"/>
      <c r="D872" s="92"/>
      <c r="E872" s="91"/>
      <c r="F872" s="91"/>
      <c r="G872" s="91"/>
      <c r="H872" s="91"/>
      <c r="I872" s="91"/>
      <c r="J872" s="79"/>
    </row>
    <row r="873" spans="1:10" x14ac:dyDescent="0.15">
      <c r="A873" s="90"/>
      <c r="B873" s="91"/>
      <c r="C873" s="91"/>
      <c r="D873" s="92"/>
      <c r="E873" s="91"/>
      <c r="F873" s="91"/>
      <c r="G873" s="91"/>
      <c r="H873" s="91"/>
      <c r="I873" s="91"/>
      <c r="J873" s="79"/>
    </row>
    <row r="874" spans="1:10" x14ac:dyDescent="0.15">
      <c r="A874" s="90"/>
      <c r="B874" s="91"/>
      <c r="C874" s="91"/>
      <c r="D874" s="92"/>
      <c r="E874" s="91"/>
      <c r="F874" s="91"/>
      <c r="G874" s="91"/>
      <c r="H874" s="91"/>
      <c r="I874" s="91"/>
      <c r="J874" s="79"/>
    </row>
    <row r="875" spans="1:10" x14ac:dyDescent="0.15">
      <c r="A875" s="90"/>
      <c r="B875" s="91"/>
      <c r="C875" s="91"/>
      <c r="D875" s="92"/>
      <c r="E875" s="91"/>
      <c r="F875" s="91"/>
      <c r="G875" s="91"/>
      <c r="H875" s="91"/>
      <c r="I875" s="91"/>
      <c r="J875" s="79"/>
    </row>
    <row r="876" spans="1:10" x14ac:dyDescent="0.15">
      <c r="A876" s="90"/>
      <c r="B876" s="91"/>
      <c r="C876" s="91"/>
      <c r="D876" s="92"/>
      <c r="E876" s="91"/>
      <c r="F876" s="91"/>
      <c r="G876" s="91"/>
      <c r="H876" s="91"/>
      <c r="I876" s="91"/>
      <c r="J876" s="79"/>
    </row>
    <row r="877" spans="1:10" x14ac:dyDescent="0.15">
      <c r="A877" s="90"/>
      <c r="B877" s="91"/>
      <c r="C877" s="91"/>
      <c r="D877" s="92"/>
      <c r="E877" s="91"/>
      <c r="F877" s="91"/>
      <c r="G877" s="91"/>
      <c r="H877" s="91"/>
      <c r="I877" s="91"/>
      <c r="J877" s="79"/>
    </row>
    <row r="878" spans="1:10" x14ac:dyDescent="0.15">
      <c r="A878" s="90"/>
      <c r="B878" s="91"/>
      <c r="C878" s="91"/>
      <c r="D878" s="92"/>
      <c r="E878" s="91"/>
      <c r="F878" s="91"/>
      <c r="G878" s="91"/>
      <c r="H878" s="91"/>
      <c r="I878" s="91"/>
      <c r="J878" s="79"/>
    </row>
    <row r="879" spans="1:10" x14ac:dyDescent="0.15">
      <c r="A879" s="90"/>
      <c r="B879" s="91"/>
      <c r="C879" s="91"/>
      <c r="D879" s="92"/>
      <c r="E879" s="91"/>
      <c r="F879" s="91"/>
      <c r="G879" s="91"/>
      <c r="H879" s="91"/>
      <c r="I879" s="91"/>
      <c r="J879" s="79"/>
    </row>
    <row r="880" spans="1:10" x14ac:dyDescent="0.15">
      <c r="A880" s="90"/>
      <c r="B880" s="91"/>
      <c r="C880" s="91"/>
      <c r="D880" s="92"/>
      <c r="E880" s="91"/>
      <c r="F880" s="91"/>
      <c r="G880" s="91"/>
      <c r="H880" s="91"/>
      <c r="I880" s="91"/>
      <c r="J880" s="79"/>
    </row>
    <row r="881" spans="1:10" x14ac:dyDescent="0.15">
      <c r="A881" s="90"/>
      <c r="B881" s="91"/>
      <c r="C881" s="91"/>
      <c r="D881" s="92"/>
      <c r="E881" s="91"/>
      <c r="F881" s="91"/>
      <c r="G881" s="91"/>
      <c r="H881" s="91"/>
      <c r="I881" s="91"/>
      <c r="J881" s="79"/>
    </row>
    <row r="882" spans="1:10" x14ac:dyDescent="0.15">
      <c r="A882" s="90"/>
      <c r="B882" s="91"/>
      <c r="C882" s="91"/>
      <c r="D882" s="92"/>
      <c r="E882" s="91"/>
      <c r="F882" s="91"/>
      <c r="G882" s="91"/>
      <c r="H882" s="91"/>
      <c r="I882" s="91"/>
      <c r="J882" s="79"/>
    </row>
    <row r="883" spans="1:10" x14ac:dyDescent="0.15">
      <c r="A883" s="90"/>
      <c r="B883" s="91"/>
      <c r="C883" s="91"/>
      <c r="D883" s="92"/>
      <c r="E883" s="91"/>
      <c r="F883" s="91"/>
      <c r="G883" s="91"/>
      <c r="H883" s="91"/>
      <c r="I883" s="91"/>
      <c r="J883" s="79"/>
    </row>
    <row r="884" spans="1:10" x14ac:dyDescent="0.15">
      <c r="A884" s="90"/>
      <c r="B884" s="91"/>
      <c r="C884" s="91"/>
      <c r="D884" s="92"/>
      <c r="E884" s="91"/>
      <c r="F884" s="91"/>
      <c r="G884" s="91"/>
      <c r="H884" s="91"/>
      <c r="I884" s="91"/>
      <c r="J884" s="79"/>
    </row>
    <row r="885" spans="1:10" x14ac:dyDescent="0.15">
      <c r="A885" s="90"/>
      <c r="B885" s="91"/>
      <c r="C885" s="91"/>
      <c r="D885" s="92"/>
      <c r="E885" s="91"/>
      <c r="F885" s="91"/>
      <c r="G885" s="91"/>
      <c r="H885" s="91"/>
      <c r="I885" s="91"/>
      <c r="J885" s="79"/>
    </row>
    <row r="886" spans="1:10" x14ac:dyDescent="0.15">
      <c r="A886" s="90"/>
      <c r="B886" s="91"/>
      <c r="C886" s="91"/>
      <c r="D886" s="92"/>
      <c r="E886" s="91"/>
      <c r="F886" s="91"/>
      <c r="G886" s="91"/>
      <c r="H886" s="91"/>
      <c r="I886" s="91"/>
      <c r="J886" s="79"/>
    </row>
    <row r="887" spans="1:10" x14ac:dyDescent="0.15">
      <c r="A887" s="90"/>
      <c r="B887" s="91"/>
      <c r="C887" s="91"/>
      <c r="D887" s="92"/>
      <c r="E887" s="91"/>
      <c r="F887" s="91"/>
      <c r="G887" s="91"/>
      <c r="H887" s="91"/>
      <c r="I887" s="91"/>
      <c r="J887" s="79"/>
    </row>
    <row r="888" spans="1:10" x14ac:dyDescent="0.15">
      <c r="A888" s="90"/>
      <c r="B888" s="91"/>
      <c r="C888" s="91"/>
      <c r="D888" s="92"/>
      <c r="E888" s="91"/>
      <c r="F888" s="91"/>
      <c r="G888" s="91"/>
      <c r="H888" s="91"/>
      <c r="I888" s="91"/>
      <c r="J888" s="79"/>
    </row>
    <row r="889" spans="1:10" x14ac:dyDescent="0.15">
      <c r="A889" s="90"/>
      <c r="B889" s="91"/>
      <c r="C889" s="91"/>
      <c r="D889" s="92"/>
      <c r="E889" s="91"/>
      <c r="F889" s="91"/>
      <c r="G889" s="91"/>
      <c r="H889" s="91"/>
      <c r="I889" s="91"/>
      <c r="J889" s="79"/>
    </row>
    <row r="890" spans="1:10" x14ac:dyDescent="0.15">
      <c r="A890" s="90"/>
      <c r="B890" s="91"/>
      <c r="C890" s="91"/>
      <c r="D890" s="92"/>
      <c r="E890" s="91"/>
      <c r="F890" s="91"/>
      <c r="G890" s="91"/>
      <c r="H890" s="91"/>
      <c r="I890" s="91"/>
      <c r="J890" s="79"/>
    </row>
    <row r="891" spans="1:10" x14ac:dyDescent="0.15">
      <c r="A891" s="90"/>
      <c r="B891" s="91"/>
      <c r="C891" s="91"/>
      <c r="D891" s="92"/>
      <c r="E891" s="91"/>
      <c r="F891" s="91"/>
      <c r="G891" s="91"/>
      <c r="H891" s="91"/>
      <c r="I891" s="91"/>
      <c r="J891" s="79"/>
    </row>
    <row r="892" spans="1:10" x14ac:dyDescent="0.15">
      <c r="A892" s="90"/>
      <c r="B892" s="91"/>
      <c r="C892" s="91"/>
      <c r="D892" s="92"/>
      <c r="E892" s="91"/>
      <c r="F892" s="91"/>
      <c r="G892" s="91"/>
      <c r="H892" s="91"/>
      <c r="I892" s="91"/>
      <c r="J892" s="79"/>
    </row>
    <row r="893" spans="1:10" x14ac:dyDescent="0.15">
      <c r="A893" s="90"/>
      <c r="B893" s="91"/>
      <c r="C893" s="91"/>
      <c r="D893" s="92"/>
      <c r="E893" s="91"/>
      <c r="F893" s="91"/>
      <c r="G893" s="91"/>
      <c r="H893" s="91"/>
      <c r="I893" s="91"/>
      <c r="J893" s="79"/>
    </row>
    <row r="894" spans="1:10" x14ac:dyDescent="0.15">
      <c r="A894" s="90"/>
      <c r="B894" s="91"/>
      <c r="C894" s="91"/>
      <c r="D894" s="92"/>
      <c r="E894" s="91"/>
      <c r="F894" s="91"/>
      <c r="G894" s="91"/>
      <c r="H894" s="91"/>
      <c r="I894" s="91"/>
      <c r="J894" s="79"/>
    </row>
    <row r="895" spans="1:10" x14ac:dyDescent="0.15">
      <c r="A895" s="90"/>
      <c r="B895" s="91"/>
      <c r="C895" s="91"/>
      <c r="D895" s="92"/>
      <c r="E895" s="91"/>
      <c r="F895" s="91"/>
      <c r="G895" s="91"/>
      <c r="H895" s="91"/>
      <c r="I895" s="91"/>
      <c r="J895" s="79"/>
    </row>
    <row r="896" spans="1:10" x14ac:dyDescent="0.15">
      <c r="A896" s="90"/>
      <c r="B896" s="91"/>
      <c r="C896" s="91"/>
      <c r="D896" s="92"/>
      <c r="E896" s="91"/>
      <c r="F896" s="91"/>
      <c r="G896" s="91"/>
      <c r="H896" s="91"/>
      <c r="I896" s="91"/>
      <c r="J896" s="79"/>
    </row>
    <row r="897" spans="1:10" x14ac:dyDescent="0.15">
      <c r="A897" s="90"/>
      <c r="B897" s="91"/>
      <c r="C897" s="91"/>
      <c r="D897" s="92"/>
      <c r="E897" s="91"/>
      <c r="F897" s="91"/>
      <c r="G897" s="91"/>
      <c r="H897" s="91"/>
      <c r="I897" s="91"/>
      <c r="J897" s="79"/>
    </row>
    <row r="898" spans="1:10" x14ac:dyDescent="0.15">
      <c r="A898" s="90"/>
      <c r="B898" s="91"/>
      <c r="C898" s="91"/>
      <c r="D898" s="92"/>
      <c r="E898" s="91"/>
      <c r="F898" s="91"/>
      <c r="G898" s="91"/>
      <c r="H898" s="91"/>
      <c r="I898" s="91"/>
      <c r="J898" s="79"/>
    </row>
    <row r="899" spans="1:10" x14ac:dyDescent="0.15">
      <c r="A899" s="90"/>
      <c r="B899" s="91"/>
      <c r="C899" s="91"/>
      <c r="D899" s="92"/>
      <c r="E899" s="91"/>
      <c r="F899" s="91"/>
      <c r="G899" s="91"/>
      <c r="H899" s="91"/>
      <c r="I899" s="91"/>
      <c r="J899" s="79"/>
    </row>
    <row r="900" spans="1:10" x14ac:dyDescent="0.15">
      <c r="A900" s="90"/>
      <c r="B900" s="91"/>
      <c r="C900" s="91"/>
      <c r="D900" s="92"/>
      <c r="E900" s="91"/>
      <c r="F900" s="91"/>
      <c r="G900" s="91"/>
      <c r="H900" s="91"/>
      <c r="I900" s="91"/>
      <c r="J900" s="79"/>
    </row>
    <row r="901" spans="1:10" x14ac:dyDescent="0.15">
      <c r="A901" s="90"/>
      <c r="B901" s="91"/>
      <c r="C901" s="91"/>
      <c r="D901" s="92"/>
      <c r="E901" s="91"/>
      <c r="F901" s="91"/>
      <c r="G901" s="91"/>
      <c r="H901" s="91"/>
      <c r="I901" s="91"/>
      <c r="J901" s="79"/>
    </row>
    <row r="902" spans="1:10" x14ac:dyDescent="0.15">
      <c r="A902" s="90"/>
      <c r="B902" s="91"/>
      <c r="C902" s="91"/>
      <c r="D902" s="92"/>
      <c r="E902" s="91"/>
      <c r="F902" s="91"/>
      <c r="G902" s="91"/>
      <c r="H902" s="91"/>
      <c r="I902" s="91"/>
      <c r="J902" s="79"/>
    </row>
    <row r="903" spans="1:10" x14ac:dyDescent="0.15">
      <c r="A903" s="90"/>
      <c r="B903" s="91"/>
      <c r="C903" s="91"/>
      <c r="D903" s="92"/>
      <c r="E903" s="91"/>
      <c r="F903" s="91"/>
      <c r="G903" s="91"/>
      <c r="H903" s="91"/>
      <c r="I903" s="91"/>
      <c r="J903" s="79"/>
    </row>
    <row r="904" spans="1:10" x14ac:dyDescent="0.15">
      <c r="A904" s="90"/>
      <c r="B904" s="91"/>
      <c r="C904" s="91"/>
      <c r="D904" s="92"/>
      <c r="E904" s="91"/>
      <c r="F904" s="91"/>
      <c r="G904" s="91"/>
      <c r="H904" s="91"/>
      <c r="I904" s="91"/>
      <c r="J904" s="79"/>
    </row>
    <row r="905" spans="1:10" x14ac:dyDescent="0.15">
      <c r="A905" s="90"/>
      <c r="B905" s="91"/>
      <c r="C905" s="91"/>
      <c r="D905" s="92"/>
      <c r="E905" s="91"/>
      <c r="F905" s="91"/>
      <c r="G905" s="91"/>
      <c r="H905" s="91"/>
      <c r="I905" s="91"/>
      <c r="J905" s="79"/>
    </row>
    <row r="906" spans="1:10" x14ac:dyDescent="0.15">
      <c r="A906" s="90"/>
      <c r="B906" s="91"/>
      <c r="C906" s="91"/>
      <c r="D906" s="92"/>
      <c r="E906" s="91"/>
      <c r="F906" s="91"/>
      <c r="G906" s="91"/>
      <c r="H906" s="91"/>
      <c r="I906" s="91"/>
      <c r="J906" s="79"/>
    </row>
    <row r="907" spans="1:10" x14ac:dyDescent="0.15">
      <c r="A907" s="90"/>
      <c r="B907" s="91"/>
      <c r="C907" s="91"/>
      <c r="D907" s="92"/>
      <c r="E907" s="91"/>
      <c r="F907" s="91"/>
      <c r="G907" s="91"/>
      <c r="H907" s="91"/>
      <c r="I907" s="91"/>
      <c r="J907" s="79"/>
    </row>
    <row r="908" spans="1:10" x14ac:dyDescent="0.15">
      <c r="A908" s="90"/>
      <c r="B908" s="91"/>
      <c r="C908" s="91"/>
      <c r="D908" s="92"/>
      <c r="E908" s="91"/>
      <c r="F908" s="91"/>
      <c r="G908" s="91"/>
      <c r="H908" s="91"/>
      <c r="I908" s="91"/>
      <c r="J908" s="79"/>
    </row>
    <row r="909" spans="1:10" x14ac:dyDescent="0.15">
      <c r="A909" s="90"/>
      <c r="B909" s="91"/>
      <c r="C909" s="91"/>
      <c r="D909" s="92"/>
      <c r="E909" s="91"/>
      <c r="F909" s="91"/>
      <c r="G909" s="91"/>
      <c r="H909" s="91"/>
      <c r="I909" s="91"/>
      <c r="J909" s="79"/>
    </row>
    <row r="910" spans="1:10" x14ac:dyDescent="0.15">
      <c r="A910" s="90"/>
      <c r="B910" s="91"/>
      <c r="C910" s="91"/>
      <c r="D910" s="92"/>
      <c r="E910" s="91"/>
      <c r="F910" s="91"/>
      <c r="G910" s="91"/>
      <c r="H910" s="91"/>
      <c r="I910" s="91"/>
      <c r="J910" s="79"/>
    </row>
    <row r="911" spans="1:10" x14ac:dyDescent="0.15">
      <c r="A911" s="90"/>
      <c r="B911" s="91"/>
      <c r="C911" s="91"/>
      <c r="D911" s="92"/>
      <c r="E911" s="91"/>
      <c r="F911" s="91"/>
      <c r="G911" s="91"/>
      <c r="H911" s="91"/>
      <c r="I911" s="91"/>
      <c r="J911" s="79"/>
    </row>
    <row r="912" spans="1:10" x14ac:dyDescent="0.15">
      <c r="A912" s="90"/>
      <c r="B912" s="91"/>
      <c r="C912" s="91"/>
      <c r="D912" s="92"/>
      <c r="E912" s="91"/>
      <c r="F912" s="91"/>
      <c r="G912" s="91"/>
      <c r="H912" s="91"/>
      <c r="I912" s="91"/>
      <c r="J912" s="79"/>
    </row>
    <row r="913" spans="1:10" x14ac:dyDescent="0.15">
      <c r="A913" s="90"/>
      <c r="B913" s="91"/>
      <c r="C913" s="91"/>
      <c r="D913" s="92"/>
      <c r="E913" s="91"/>
      <c r="F913" s="91"/>
      <c r="G913" s="91"/>
      <c r="H913" s="91"/>
      <c r="I913" s="91"/>
      <c r="J913" s="79"/>
    </row>
    <row r="914" spans="1:10" x14ac:dyDescent="0.15">
      <c r="A914" s="90"/>
      <c r="B914" s="91"/>
      <c r="C914" s="91"/>
      <c r="D914" s="92"/>
      <c r="E914" s="91"/>
      <c r="F914" s="91"/>
      <c r="G914" s="91"/>
      <c r="H914" s="91"/>
      <c r="I914" s="91"/>
      <c r="J914" s="79"/>
    </row>
    <row r="915" spans="1:10" x14ac:dyDescent="0.15">
      <c r="A915" s="90"/>
      <c r="B915" s="91"/>
      <c r="C915" s="91"/>
      <c r="D915" s="92"/>
      <c r="E915" s="91"/>
      <c r="F915" s="91"/>
      <c r="G915" s="91"/>
      <c r="H915" s="91"/>
      <c r="I915" s="91"/>
      <c r="J915" s="79"/>
    </row>
    <row r="916" spans="1:10" x14ac:dyDescent="0.15">
      <c r="A916" s="90"/>
      <c r="B916" s="91"/>
      <c r="C916" s="91"/>
      <c r="D916" s="92"/>
      <c r="E916" s="91"/>
      <c r="F916" s="91"/>
      <c r="G916" s="91"/>
      <c r="H916" s="91"/>
      <c r="I916" s="91"/>
      <c r="J916" s="79"/>
    </row>
    <row r="917" spans="1:10" x14ac:dyDescent="0.15">
      <c r="A917" s="90"/>
      <c r="B917" s="91"/>
      <c r="C917" s="91"/>
      <c r="D917" s="92"/>
      <c r="E917" s="91"/>
      <c r="F917" s="91"/>
      <c r="G917" s="91"/>
      <c r="H917" s="91"/>
      <c r="I917" s="91"/>
      <c r="J917" s="79"/>
    </row>
    <row r="918" spans="1:10" x14ac:dyDescent="0.15">
      <c r="A918" s="90"/>
      <c r="B918" s="91"/>
      <c r="C918" s="91"/>
      <c r="D918" s="92"/>
      <c r="E918" s="91"/>
      <c r="F918" s="91"/>
      <c r="G918" s="91"/>
      <c r="H918" s="91"/>
      <c r="I918" s="91"/>
      <c r="J918" s="79"/>
    </row>
    <row r="919" spans="1:10" x14ac:dyDescent="0.15">
      <c r="A919" s="90"/>
      <c r="B919" s="91"/>
      <c r="C919" s="91"/>
      <c r="D919" s="92"/>
      <c r="E919" s="91"/>
      <c r="F919" s="91"/>
      <c r="G919" s="91"/>
      <c r="H919" s="91"/>
      <c r="I919" s="91"/>
      <c r="J919" s="79"/>
    </row>
    <row r="920" spans="1:10" x14ac:dyDescent="0.15">
      <c r="A920" s="90"/>
      <c r="B920" s="91"/>
      <c r="C920" s="91"/>
      <c r="D920" s="92"/>
      <c r="E920" s="91"/>
      <c r="F920" s="91"/>
      <c r="G920" s="91"/>
      <c r="H920" s="91"/>
      <c r="I920" s="91"/>
      <c r="J920" s="79"/>
    </row>
    <row r="921" spans="1:10" x14ac:dyDescent="0.15">
      <c r="A921" s="90"/>
      <c r="B921" s="91"/>
      <c r="C921" s="91"/>
      <c r="D921" s="92"/>
      <c r="E921" s="91"/>
      <c r="F921" s="91"/>
      <c r="G921" s="91"/>
      <c r="H921" s="91"/>
      <c r="I921" s="91"/>
      <c r="J921" s="79"/>
    </row>
    <row r="922" spans="1:10" x14ac:dyDescent="0.15">
      <c r="A922" s="90"/>
      <c r="B922" s="91"/>
      <c r="C922" s="91"/>
      <c r="D922" s="92"/>
      <c r="E922" s="91"/>
      <c r="F922" s="91"/>
      <c r="G922" s="91"/>
      <c r="H922" s="91"/>
      <c r="I922" s="91"/>
      <c r="J922" s="79"/>
    </row>
    <row r="923" spans="1:10" x14ac:dyDescent="0.15">
      <c r="A923" s="90"/>
      <c r="B923" s="91"/>
      <c r="C923" s="91"/>
      <c r="D923" s="92"/>
      <c r="E923" s="91"/>
      <c r="F923" s="91"/>
      <c r="G923" s="91"/>
      <c r="H923" s="91"/>
      <c r="I923" s="91"/>
      <c r="J923" s="79"/>
    </row>
    <row r="924" spans="1:10" x14ac:dyDescent="0.15">
      <c r="A924" s="90"/>
      <c r="B924" s="91"/>
      <c r="C924" s="91"/>
      <c r="D924" s="92"/>
      <c r="E924" s="91"/>
      <c r="F924" s="91"/>
      <c r="G924" s="91"/>
      <c r="H924" s="91"/>
      <c r="I924" s="91"/>
      <c r="J924" s="79"/>
    </row>
    <row r="925" spans="1:10" x14ac:dyDescent="0.15">
      <c r="A925" s="90"/>
      <c r="B925" s="91"/>
      <c r="C925" s="91"/>
      <c r="D925" s="92"/>
      <c r="E925" s="91"/>
      <c r="F925" s="91"/>
      <c r="G925" s="91"/>
      <c r="H925" s="91"/>
      <c r="I925" s="91"/>
      <c r="J925" s="79"/>
    </row>
    <row r="926" spans="1:10" x14ac:dyDescent="0.15">
      <c r="A926" s="90"/>
      <c r="B926" s="91"/>
      <c r="C926" s="91"/>
      <c r="D926" s="92"/>
      <c r="E926" s="91"/>
      <c r="F926" s="91"/>
      <c r="G926" s="91"/>
      <c r="H926" s="91"/>
      <c r="I926" s="91"/>
      <c r="J926" s="79"/>
    </row>
    <row r="927" spans="1:10" x14ac:dyDescent="0.15">
      <c r="A927" s="90"/>
      <c r="B927" s="91"/>
      <c r="C927" s="91"/>
      <c r="D927" s="92"/>
      <c r="E927" s="91"/>
      <c r="F927" s="91"/>
      <c r="G927" s="91"/>
      <c r="H927" s="91"/>
      <c r="I927" s="91"/>
      <c r="J927" s="79"/>
    </row>
    <row r="928" spans="1:10" x14ac:dyDescent="0.15">
      <c r="A928" s="90"/>
      <c r="B928" s="91"/>
      <c r="C928" s="91"/>
      <c r="D928" s="92"/>
      <c r="E928" s="91"/>
      <c r="F928" s="91"/>
      <c r="G928" s="91"/>
      <c r="H928" s="91"/>
      <c r="I928" s="91"/>
      <c r="J928" s="79"/>
    </row>
    <row r="929" spans="1:10" x14ac:dyDescent="0.15">
      <c r="A929" s="90"/>
      <c r="B929" s="91"/>
      <c r="C929" s="91"/>
      <c r="D929" s="92"/>
      <c r="E929" s="91"/>
      <c r="F929" s="91"/>
      <c r="G929" s="91"/>
      <c r="H929" s="91"/>
      <c r="I929" s="91"/>
      <c r="J929" s="79"/>
    </row>
    <row r="930" spans="1:10" x14ac:dyDescent="0.15">
      <c r="A930" s="90"/>
      <c r="B930" s="91"/>
      <c r="C930" s="91"/>
      <c r="D930" s="92"/>
      <c r="E930" s="91"/>
      <c r="F930" s="91"/>
      <c r="G930" s="91"/>
      <c r="H930" s="91"/>
      <c r="I930" s="91"/>
      <c r="J930" s="79"/>
    </row>
    <row r="931" spans="1:10" x14ac:dyDescent="0.15">
      <c r="A931" s="90"/>
      <c r="B931" s="91"/>
      <c r="C931" s="91"/>
      <c r="D931" s="92"/>
      <c r="E931" s="91"/>
      <c r="F931" s="91"/>
      <c r="G931" s="91"/>
      <c r="H931" s="91"/>
      <c r="I931" s="91"/>
      <c r="J931" s="79"/>
    </row>
    <row r="932" spans="1:10" x14ac:dyDescent="0.15">
      <c r="A932" s="90"/>
      <c r="B932" s="91"/>
      <c r="C932" s="91"/>
      <c r="D932" s="92"/>
      <c r="E932" s="91"/>
      <c r="F932" s="91"/>
      <c r="G932" s="91"/>
      <c r="H932" s="91"/>
      <c r="I932" s="91"/>
      <c r="J932" s="79"/>
    </row>
    <row r="933" spans="1:10" x14ac:dyDescent="0.15">
      <c r="A933" s="90"/>
      <c r="B933" s="91"/>
      <c r="C933" s="91"/>
      <c r="D933" s="92"/>
      <c r="E933" s="91"/>
      <c r="F933" s="91"/>
      <c r="G933" s="91"/>
      <c r="H933" s="91"/>
      <c r="I933" s="91"/>
      <c r="J933" s="79"/>
    </row>
    <row r="934" spans="1:10" x14ac:dyDescent="0.15">
      <c r="A934" s="90"/>
      <c r="B934" s="91"/>
      <c r="C934" s="91"/>
      <c r="D934" s="92"/>
      <c r="E934" s="91"/>
      <c r="F934" s="91"/>
      <c r="G934" s="91"/>
      <c r="H934" s="91"/>
      <c r="I934" s="91"/>
      <c r="J934" s="79"/>
    </row>
    <row r="935" spans="1:10" x14ac:dyDescent="0.15">
      <c r="A935" s="90"/>
      <c r="B935" s="91"/>
      <c r="C935" s="91"/>
      <c r="D935" s="92"/>
      <c r="E935" s="91"/>
      <c r="F935" s="91"/>
      <c r="G935" s="91"/>
      <c r="H935" s="91"/>
      <c r="I935" s="91"/>
      <c r="J935" s="79"/>
    </row>
    <row r="936" spans="1:10" x14ac:dyDescent="0.15">
      <c r="A936" s="90"/>
      <c r="B936" s="91"/>
      <c r="C936" s="91"/>
      <c r="D936" s="92"/>
      <c r="E936" s="91"/>
      <c r="F936" s="91"/>
      <c r="G936" s="91"/>
      <c r="H936" s="91"/>
      <c r="I936" s="91"/>
      <c r="J936" s="79"/>
    </row>
    <row r="937" spans="1:10" x14ac:dyDescent="0.15">
      <c r="A937" s="90"/>
      <c r="B937" s="91"/>
      <c r="C937" s="91"/>
      <c r="D937" s="92"/>
      <c r="E937" s="91"/>
      <c r="F937" s="91"/>
      <c r="G937" s="91"/>
      <c r="H937" s="91"/>
      <c r="I937" s="91"/>
      <c r="J937" s="79"/>
    </row>
    <row r="938" spans="1:10" x14ac:dyDescent="0.15">
      <c r="A938" s="90"/>
      <c r="B938" s="91"/>
      <c r="C938" s="91"/>
      <c r="D938" s="92"/>
      <c r="E938" s="91"/>
      <c r="F938" s="91"/>
      <c r="G938" s="91"/>
      <c r="H938" s="91"/>
      <c r="I938" s="91"/>
      <c r="J938" s="79"/>
    </row>
    <row r="939" spans="1:10" x14ac:dyDescent="0.15">
      <c r="A939" s="90"/>
      <c r="B939" s="91"/>
      <c r="C939" s="91"/>
      <c r="D939" s="92"/>
      <c r="E939" s="91"/>
      <c r="F939" s="91"/>
      <c r="G939" s="91"/>
      <c r="H939" s="91"/>
      <c r="I939" s="91"/>
      <c r="J939" s="79"/>
    </row>
    <row r="940" spans="1:10" x14ac:dyDescent="0.15">
      <c r="A940" s="90"/>
      <c r="B940" s="91"/>
      <c r="C940" s="91"/>
      <c r="D940" s="92"/>
      <c r="E940" s="91"/>
      <c r="F940" s="91"/>
      <c r="G940" s="91"/>
      <c r="H940" s="91"/>
      <c r="I940" s="91"/>
      <c r="J940" s="79"/>
    </row>
    <row r="941" spans="1:10" x14ac:dyDescent="0.15">
      <c r="A941" s="90"/>
      <c r="B941" s="91"/>
      <c r="C941" s="91"/>
      <c r="D941" s="92"/>
      <c r="E941" s="91"/>
      <c r="F941" s="91"/>
      <c r="G941" s="91"/>
      <c r="H941" s="91"/>
      <c r="I941" s="91"/>
      <c r="J941" s="79"/>
    </row>
    <row r="942" spans="1:10" x14ac:dyDescent="0.15">
      <c r="A942" s="90"/>
      <c r="B942" s="91"/>
      <c r="C942" s="91"/>
      <c r="D942" s="92"/>
      <c r="E942" s="91"/>
      <c r="F942" s="91"/>
      <c r="G942" s="91"/>
      <c r="H942" s="91"/>
      <c r="I942" s="91"/>
      <c r="J942" s="79"/>
    </row>
    <row r="943" spans="1:10" x14ac:dyDescent="0.15">
      <c r="A943" s="90"/>
      <c r="B943" s="91"/>
      <c r="C943" s="91"/>
      <c r="D943" s="92"/>
      <c r="E943" s="91"/>
      <c r="F943" s="91"/>
      <c r="G943" s="91"/>
      <c r="H943" s="91"/>
      <c r="I943" s="91"/>
      <c r="J943" s="79"/>
    </row>
    <row r="944" spans="1:10" x14ac:dyDescent="0.15">
      <c r="A944" s="90"/>
      <c r="B944" s="91"/>
      <c r="C944" s="91"/>
      <c r="D944" s="92"/>
      <c r="E944" s="91"/>
      <c r="F944" s="91"/>
      <c r="G944" s="91"/>
      <c r="H944" s="91"/>
      <c r="I944" s="91"/>
      <c r="J944" s="79"/>
    </row>
    <row r="945" spans="1:10" x14ac:dyDescent="0.15">
      <c r="A945" s="90"/>
      <c r="B945" s="91"/>
      <c r="C945" s="91"/>
      <c r="D945" s="92"/>
      <c r="E945" s="91"/>
      <c r="F945" s="91"/>
      <c r="G945" s="91"/>
      <c r="H945" s="91"/>
      <c r="I945" s="91"/>
      <c r="J945" s="79"/>
    </row>
    <row r="946" spans="1:10" x14ac:dyDescent="0.15">
      <c r="A946" s="90"/>
      <c r="B946" s="91"/>
      <c r="C946" s="91"/>
      <c r="D946" s="92"/>
      <c r="E946" s="91"/>
      <c r="F946" s="91"/>
      <c r="G946" s="91"/>
      <c r="H946" s="91"/>
      <c r="I946" s="91"/>
      <c r="J946" s="79"/>
    </row>
    <row r="947" spans="1:10" x14ac:dyDescent="0.15">
      <c r="A947" s="90"/>
      <c r="B947" s="91"/>
      <c r="C947" s="91"/>
      <c r="D947" s="92"/>
      <c r="E947" s="91"/>
      <c r="F947" s="91"/>
      <c r="G947" s="91"/>
      <c r="H947" s="91"/>
      <c r="I947" s="91"/>
      <c r="J947" s="79"/>
    </row>
    <row r="948" spans="1:10" x14ac:dyDescent="0.15">
      <c r="A948" s="90"/>
      <c r="B948" s="91"/>
      <c r="C948" s="91"/>
      <c r="D948" s="92"/>
      <c r="E948" s="91"/>
      <c r="F948" s="91"/>
      <c r="G948" s="91"/>
      <c r="H948" s="91"/>
      <c r="I948" s="91"/>
      <c r="J948" s="79"/>
    </row>
    <row r="949" spans="1:10" x14ac:dyDescent="0.15">
      <c r="A949" s="90"/>
      <c r="B949" s="91"/>
      <c r="C949" s="91"/>
      <c r="D949" s="92"/>
      <c r="E949" s="91"/>
      <c r="F949" s="91"/>
      <c r="G949" s="91"/>
      <c r="H949" s="91"/>
      <c r="I949" s="91"/>
      <c r="J949" s="79"/>
    </row>
    <row r="950" spans="1:10" x14ac:dyDescent="0.15">
      <c r="A950" s="90"/>
      <c r="B950" s="91"/>
      <c r="C950" s="91"/>
      <c r="D950" s="92"/>
      <c r="E950" s="91"/>
      <c r="F950" s="91"/>
      <c r="G950" s="91"/>
      <c r="H950" s="91"/>
      <c r="I950" s="91"/>
      <c r="J950" s="79"/>
    </row>
    <row r="951" spans="1:10" x14ac:dyDescent="0.15">
      <c r="A951" s="90"/>
      <c r="B951" s="91"/>
      <c r="C951" s="91"/>
      <c r="D951" s="92"/>
      <c r="E951" s="91"/>
      <c r="F951" s="91"/>
      <c r="G951" s="91"/>
      <c r="H951" s="91"/>
      <c r="I951" s="91"/>
      <c r="J951" s="79"/>
    </row>
    <row r="952" spans="1:10" x14ac:dyDescent="0.15">
      <c r="A952" s="90"/>
      <c r="B952" s="91"/>
      <c r="C952" s="91"/>
      <c r="D952" s="92"/>
      <c r="E952" s="91"/>
      <c r="F952" s="91"/>
      <c r="G952" s="91"/>
      <c r="H952" s="91"/>
      <c r="I952" s="91"/>
      <c r="J952" s="79"/>
    </row>
    <row r="953" spans="1:10" x14ac:dyDescent="0.15">
      <c r="A953" s="90"/>
      <c r="B953" s="91"/>
      <c r="C953" s="91"/>
      <c r="D953" s="92"/>
      <c r="E953" s="91"/>
      <c r="F953" s="91"/>
      <c r="G953" s="91"/>
      <c r="H953" s="91"/>
      <c r="I953" s="91"/>
      <c r="J953" s="79"/>
    </row>
    <row r="954" spans="1:10" x14ac:dyDescent="0.15">
      <c r="A954" s="90"/>
      <c r="B954" s="91"/>
      <c r="C954" s="91"/>
      <c r="D954" s="92"/>
      <c r="E954" s="91"/>
      <c r="F954" s="91"/>
      <c r="G954" s="91"/>
      <c r="H954" s="91"/>
      <c r="I954" s="91"/>
      <c r="J954" s="79"/>
    </row>
    <row r="955" spans="1:10" x14ac:dyDescent="0.15">
      <c r="A955" s="90"/>
      <c r="B955" s="91"/>
      <c r="C955" s="91"/>
      <c r="D955" s="92"/>
      <c r="E955" s="91"/>
      <c r="F955" s="91"/>
      <c r="G955" s="91"/>
      <c r="H955" s="91"/>
      <c r="I955" s="91"/>
      <c r="J955" s="79"/>
    </row>
    <row r="956" spans="1:10" x14ac:dyDescent="0.15">
      <c r="A956" s="90"/>
      <c r="B956" s="91"/>
      <c r="C956" s="91"/>
      <c r="D956" s="92"/>
      <c r="E956" s="91"/>
      <c r="F956" s="91"/>
      <c r="G956" s="91"/>
      <c r="H956" s="91"/>
      <c r="I956" s="91"/>
      <c r="J956" s="79"/>
    </row>
    <row r="957" spans="1:10" x14ac:dyDescent="0.15">
      <c r="A957" s="90"/>
      <c r="B957" s="91"/>
      <c r="C957" s="91"/>
      <c r="D957" s="92"/>
      <c r="E957" s="91"/>
      <c r="F957" s="91"/>
      <c r="G957" s="91"/>
      <c r="H957" s="91"/>
      <c r="I957" s="91"/>
      <c r="J957" s="79"/>
    </row>
    <row r="958" spans="1:10" x14ac:dyDescent="0.15">
      <c r="A958" s="90"/>
      <c r="B958" s="91"/>
      <c r="C958" s="91"/>
      <c r="D958" s="92"/>
      <c r="E958" s="91"/>
      <c r="F958" s="91"/>
      <c r="G958" s="91"/>
      <c r="H958" s="91"/>
      <c r="I958" s="91"/>
      <c r="J958" s="79"/>
    </row>
    <row r="959" spans="1:10" x14ac:dyDescent="0.15">
      <c r="A959" s="90"/>
      <c r="B959" s="91"/>
      <c r="C959" s="91"/>
      <c r="D959" s="92"/>
      <c r="E959" s="91"/>
      <c r="F959" s="91"/>
      <c r="G959" s="91"/>
      <c r="H959" s="91"/>
      <c r="I959" s="91"/>
      <c r="J959" s="79"/>
    </row>
    <row r="960" spans="1:10" x14ac:dyDescent="0.15">
      <c r="A960" s="90"/>
      <c r="B960" s="91"/>
      <c r="C960" s="91"/>
      <c r="D960" s="92"/>
      <c r="E960" s="91"/>
      <c r="F960" s="91"/>
      <c r="G960" s="91"/>
      <c r="H960" s="91"/>
      <c r="I960" s="91"/>
      <c r="J960" s="79"/>
    </row>
    <row r="961" spans="1:10" x14ac:dyDescent="0.15">
      <c r="A961" s="90"/>
      <c r="B961" s="91"/>
      <c r="C961" s="91"/>
      <c r="D961" s="92"/>
      <c r="E961" s="91"/>
      <c r="F961" s="91"/>
      <c r="G961" s="91"/>
      <c r="H961" s="91"/>
      <c r="I961" s="91"/>
      <c r="J961" s="79"/>
    </row>
    <row r="962" spans="1:10" x14ac:dyDescent="0.15">
      <c r="A962" s="90"/>
      <c r="B962" s="91"/>
      <c r="C962" s="91"/>
      <c r="D962" s="92"/>
      <c r="E962" s="91"/>
      <c r="F962" s="91"/>
      <c r="G962" s="91"/>
      <c r="H962" s="91"/>
      <c r="I962" s="91"/>
      <c r="J962" s="79"/>
    </row>
    <row r="963" spans="1:10" x14ac:dyDescent="0.15">
      <c r="A963" s="90"/>
      <c r="B963" s="91"/>
      <c r="C963" s="91"/>
      <c r="D963" s="92"/>
      <c r="E963" s="91"/>
      <c r="F963" s="91"/>
      <c r="G963" s="91"/>
      <c r="H963" s="91"/>
      <c r="I963" s="91"/>
      <c r="J963" s="79"/>
    </row>
    <row r="964" spans="1:10" x14ac:dyDescent="0.15">
      <c r="A964" s="90"/>
      <c r="B964" s="91"/>
      <c r="C964" s="91"/>
      <c r="D964" s="92"/>
      <c r="E964" s="91"/>
      <c r="F964" s="91"/>
      <c r="G964" s="91"/>
      <c r="H964" s="91"/>
      <c r="I964" s="91"/>
      <c r="J964" s="79"/>
    </row>
    <row r="965" spans="1:10" x14ac:dyDescent="0.15">
      <c r="A965" s="90"/>
      <c r="B965" s="91"/>
      <c r="C965" s="91"/>
      <c r="D965" s="92"/>
      <c r="E965" s="91"/>
      <c r="F965" s="91"/>
      <c r="G965" s="91"/>
      <c r="H965" s="91"/>
      <c r="I965" s="91"/>
      <c r="J965" s="79"/>
    </row>
    <row r="966" spans="1:10" x14ac:dyDescent="0.15">
      <c r="A966" s="90"/>
      <c r="B966" s="91"/>
      <c r="C966" s="91"/>
      <c r="D966" s="92"/>
      <c r="E966" s="91"/>
      <c r="F966" s="91"/>
      <c r="G966" s="91"/>
      <c r="H966" s="91"/>
      <c r="I966" s="91"/>
      <c r="J966" s="79"/>
    </row>
    <row r="967" spans="1:10" x14ac:dyDescent="0.15">
      <c r="A967" s="90"/>
      <c r="B967" s="91"/>
      <c r="C967" s="91"/>
      <c r="D967" s="92"/>
      <c r="E967" s="91"/>
      <c r="F967" s="91"/>
      <c r="G967" s="91"/>
      <c r="H967" s="91"/>
      <c r="I967" s="91"/>
      <c r="J967" s="79"/>
    </row>
    <row r="968" spans="1:10" x14ac:dyDescent="0.15">
      <c r="A968" s="90"/>
      <c r="B968" s="91"/>
      <c r="C968" s="91"/>
      <c r="D968" s="92"/>
      <c r="E968" s="91"/>
      <c r="F968" s="91"/>
      <c r="G968" s="91"/>
      <c r="H968" s="91"/>
      <c r="I968" s="91"/>
      <c r="J968" s="79"/>
    </row>
    <row r="969" spans="1:10" x14ac:dyDescent="0.15">
      <c r="A969" s="90"/>
      <c r="B969" s="91"/>
      <c r="C969" s="91"/>
      <c r="D969" s="92"/>
      <c r="E969" s="91"/>
      <c r="F969" s="91"/>
      <c r="G969" s="91"/>
      <c r="H969" s="91"/>
      <c r="I969" s="91"/>
      <c r="J969" s="79"/>
    </row>
    <row r="970" spans="1:10" x14ac:dyDescent="0.15">
      <c r="A970" s="90"/>
      <c r="B970" s="91"/>
      <c r="C970" s="91"/>
      <c r="D970" s="92"/>
      <c r="E970" s="91"/>
      <c r="F970" s="91"/>
      <c r="G970" s="91"/>
      <c r="H970" s="91"/>
      <c r="I970" s="91"/>
      <c r="J970" s="79"/>
    </row>
    <row r="971" spans="1:10" x14ac:dyDescent="0.15">
      <c r="A971" s="90"/>
      <c r="B971" s="91"/>
      <c r="C971" s="91"/>
      <c r="D971" s="92"/>
      <c r="E971" s="91"/>
      <c r="F971" s="91"/>
      <c r="G971" s="91"/>
      <c r="H971" s="91"/>
      <c r="I971" s="91"/>
      <c r="J971" s="79"/>
    </row>
    <row r="972" spans="1:10" x14ac:dyDescent="0.15">
      <c r="A972" s="90"/>
      <c r="B972" s="91"/>
      <c r="C972" s="91"/>
      <c r="D972" s="92"/>
      <c r="E972" s="91"/>
      <c r="F972" s="91"/>
      <c r="G972" s="91"/>
      <c r="H972" s="91"/>
      <c r="I972" s="91"/>
      <c r="J972" s="79"/>
    </row>
    <row r="973" spans="1:10" x14ac:dyDescent="0.15">
      <c r="A973" s="90"/>
      <c r="B973" s="91"/>
      <c r="C973" s="91"/>
      <c r="D973" s="92"/>
      <c r="E973" s="91"/>
      <c r="F973" s="91"/>
      <c r="G973" s="91"/>
      <c r="H973" s="91"/>
      <c r="I973" s="91"/>
      <c r="J973" s="79"/>
    </row>
    <row r="974" spans="1:10" x14ac:dyDescent="0.15">
      <c r="A974" s="90"/>
      <c r="B974" s="91"/>
      <c r="C974" s="91"/>
      <c r="D974" s="92"/>
      <c r="E974" s="91"/>
      <c r="F974" s="91"/>
      <c r="G974" s="91"/>
      <c r="H974" s="91"/>
      <c r="I974" s="91"/>
      <c r="J974" s="79"/>
    </row>
    <row r="975" spans="1:10" x14ac:dyDescent="0.15">
      <c r="A975" s="90"/>
      <c r="B975" s="91"/>
      <c r="C975" s="91"/>
      <c r="D975" s="92"/>
      <c r="E975" s="91"/>
      <c r="F975" s="91"/>
      <c r="G975" s="91"/>
      <c r="H975" s="91"/>
      <c r="I975" s="91"/>
      <c r="J975" s="79"/>
    </row>
    <row r="976" spans="1:10" x14ac:dyDescent="0.15">
      <c r="A976" s="90"/>
      <c r="B976" s="91"/>
      <c r="C976" s="91"/>
      <c r="D976" s="92"/>
      <c r="E976" s="91"/>
      <c r="F976" s="91"/>
      <c r="G976" s="91"/>
      <c r="H976" s="91"/>
      <c r="I976" s="91"/>
      <c r="J976" s="79"/>
    </row>
    <row r="977" spans="1:10" x14ac:dyDescent="0.15">
      <c r="A977" s="90"/>
      <c r="B977" s="91"/>
      <c r="C977" s="91"/>
      <c r="D977" s="92"/>
      <c r="E977" s="91"/>
      <c r="F977" s="91"/>
      <c r="G977" s="91"/>
      <c r="H977" s="91"/>
      <c r="I977" s="91"/>
      <c r="J977" s="79"/>
    </row>
    <row r="978" spans="1:10" x14ac:dyDescent="0.15">
      <c r="A978" s="90"/>
      <c r="B978" s="91"/>
      <c r="C978" s="91"/>
      <c r="D978" s="92"/>
      <c r="E978" s="91"/>
      <c r="F978" s="91"/>
      <c r="G978" s="91"/>
      <c r="H978" s="91"/>
      <c r="I978" s="91"/>
      <c r="J978" s="79"/>
    </row>
    <row r="979" spans="1:10" x14ac:dyDescent="0.15">
      <c r="A979" s="90"/>
      <c r="B979" s="91"/>
      <c r="C979" s="91"/>
      <c r="D979" s="92"/>
      <c r="E979" s="91"/>
      <c r="F979" s="91"/>
      <c r="G979" s="91"/>
      <c r="H979" s="91"/>
      <c r="I979" s="91"/>
      <c r="J979" s="79"/>
    </row>
    <row r="980" spans="1:10" x14ac:dyDescent="0.15">
      <c r="A980" s="90"/>
      <c r="B980" s="91"/>
      <c r="C980" s="91"/>
      <c r="D980" s="92"/>
      <c r="E980" s="91"/>
      <c r="F980" s="91"/>
      <c r="G980" s="91"/>
      <c r="H980" s="91"/>
      <c r="I980" s="91"/>
      <c r="J980" s="79"/>
    </row>
    <row r="981" spans="1:10" x14ac:dyDescent="0.15">
      <c r="A981" s="90"/>
      <c r="B981" s="91"/>
      <c r="C981" s="91"/>
      <c r="D981" s="92"/>
      <c r="E981" s="91"/>
      <c r="F981" s="91"/>
      <c r="G981" s="91"/>
      <c r="H981" s="91"/>
      <c r="I981" s="91"/>
      <c r="J981" s="79"/>
    </row>
    <row r="982" spans="1:10" x14ac:dyDescent="0.15">
      <c r="A982" s="90"/>
      <c r="B982" s="91"/>
      <c r="C982" s="91"/>
      <c r="D982" s="92"/>
      <c r="E982" s="91"/>
      <c r="F982" s="91"/>
      <c r="G982" s="91"/>
      <c r="H982" s="91"/>
      <c r="I982" s="91"/>
      <c r="J982" s="79"/>
    </row>
    <row r="983" spans="1:10" x14ac:dyDescent="0.15">
      <c r="A983" s="90"/>
      <c r="B983" s="91"/>
      <c r="C983" s="91"/>
      <c r="D983" s="92"/>
      <c r="E983" s="91"/>
      <c r="F983" s="91"/>
      <c r="G983" s="91"/>
      <c r="H983" s="91"/>
      <c r="I983" s="91"/>
      <c r="J983" s="79"/>
    </row>
    <row r="984" spans="1:10" x14ac:dyDescent="0.15">
      <c r="A984" s="90"/>
      <c r="B984" s="91"/>
      <c r="C984" s="91"/>
      <c r="D984" s="92"/>
      <c r="E984" s="91"/>
      <c r="F984" s="91"/>
      <c r="G984" s="91"/>
      <c r="H984" s="91"/>
      <c r="I984" s="91"/>
      <c r="J984" s="79"/>
    </row>
    <row r="985" spans="1:10" x14ac:dyDescent="0.15">
      <c r="A985" s="90"/>
      <c r="B985" s="91"/>
      <c r="C985" s="91"/>
      <c r="D985" s="92"/>
      <c r="E985" s="91"/>
      <c r="F985" s="91"/>
      <c r="G985" s="91"/>
      <c r="H985" s="91"/>
      <c r="I985" s="91"/>
      <c r="J985" s="79"/>
    </row>
    <row r="986" spans="1:10" x14ac:dyDescent="0.15">
      <c r="A986" s="90"/>
      <c r="B986" s="91"/>
      <c r="C986" s="91"/>
      <c r="D986" s="92"/>
      <c r="E986" s="91"/>
      <c r="F986" s="91"/>
      <c r="G986" s="91"/>
      <c r="H986" s="91"/>
      <c r="I986" s="91"/>
      <c r="J986" s="79"/>
    </row>
    <row r="987" spans="1:10" x14ac:dyDescent="0.15">
      <c r="A987" s="90"/>
      <c r="B987" s="91"/>
      <c r="C987" s="91"/>
      <c r="D987" s="92"/>
      <c r="E987" s="91"/>
      <c r="F987" s="91"/>
      <c r="G987" s="91"/>
      <c r="H987" s="91"/>
      <c r="I987" s="91"/>
      <c r="J987" s="79"/>
    </row>
    <row r="988" spans="1:10" x14ac:dyDescent="0.15">
      <c r="A988" s="90"/>
      <c r="B988" s="91"/>
      <c r="C988" s="91"/>
      <c r="D988" s="92"/>
      <c r="E988" s="91"/>
      <c r="F988" s="91"/>
      <c r="G988" s="91"/>
      <c r="H988" s="91"/>
      <c r="I988" s="91"/>
      <c r="J988" s="79"/>
    </row>
    <row r="989" spans="1:10" x14ac:dyDescent="0.15">
      <c r="A989" s="90"/>
      <c r="B989" s="91"/>
      <c r="C989" s="91"/>
      <c r="D989" s="92"/>
      <c r="E989" s="91"/>
      <c r="F989" s="91"/>
      <c r="G989" s="91"/>
      <c r="H989" s="91"/>
      <c r="I989" s="91"/>
      <c r="J989" s="79"/>
    </row>
    <row r="990" spans="1:10" x14ac:dyDescent="0.15">
      <c r="A990" s="90"/>
      <c r="B990" s="91"/>
      <c r="C990" s="91"/>
      <c r="D990" s="92"/>
      <c r="E990" s="91"/>
      <c r="F990" s="91"/>
      <c r="G990" s="91"/>
      <c r="H990" s="91"/>
      <c r="I990" s="91"/>
      <c r="J990" s="79"/>
    </row>
    <row r="991" spans="1:10" x14ac:dyDescent="0.15">
      <c r="A991" s="90"/>
      <c r="B991" s="91"/>
      <c r="C991" s="91"/>
      <c r="D991" s="92"/>
      <c r="E991" s="91"/>
      <c r="F991" s="91"/>
      <c r="G991" s="91"/>
      <c r="H991" s="91"/>
      <c r="I991" s="91"/>
      <c r="J991" s="79"/>
    </row>
    <row r="992" spans="1:10" x14ac:dyDescent="0.15">
      <c r="A992" s="90"/>
      <c r="B992" s="91"/>
      <c r="C992" s="91"/>
      <c r="D992" s="92"/>
      <c r="E992" s="91"/>
      <c r="F992" s="91"/>
      <c r="G992" s="91"/>
      <c r="H992" s="91"/>
      <c r="I992" s="91"/>
      <c r="J992" s="79"/>
    </row>
    <row r="993" spans="1:10" x14ac:dyDescent="0.15">
      <c r="A993" s="90"/>
      <c r="B993" s="91"/>
      <c r="C993" s="91"/>
      <c r="D993" s="92"/>
      <c r="E993" s="91"/>
      <c r="F993" s="91"/>
      <c r="G993" s="91"/>
      <c r="H993" s="91"/>
      <c r="I993" s="91"/>
      <c r="J993" s="79"/>
    </row>
    <row r="994" spans="1:10" x14ac:dyDescent="0.15">
      <c r="A994" s="90"/>
      <c r="B994" s="91"/>
      <c r="C994" s="91"/>
      <c r="D994" s="92"/>
      <c r="E994" s="91"/>
      <c r="F994" s="91"/>
      <c r="G994" s="91"/>
      <c r="H994" s="91"/>
      <c r="I994" s="91"/>
      <c r="J994" s="79"/>
    </row>
    <row r="995" spans="1:10" x14ac:dyDescent="0.15">
      <c r="A995" s="90"/>
      <c r="B995" s="91"/>
      <c r="C995" s="91"/>
      <c r="D995" s="92"/>
      <c r="E995" s="91"/>
      <c r="F995" s="91"/>
      <c r="G995" s="91"/>
      <c r="H995" s="91"/>
      <c r="I995" s="91"/>
      <c r="J995" s="79"/>
    </row>
    <row r="996" spans="1:10" x14ac:dyDescent="0.15">
      <c r="A996" s="90"/>
      <c r="B996" s="91"/>
      <c r="C996" s="91"/>
      <c r="D996" s="92"/>
      <c r="E996" s="91"/>
      <c r="F996" s="91"/>
      <c r="G996" s="91"/>
      <c r="H996" s="91"/>
      <c r="I996" s="91"/>
      <c r="J996" s="79"/>
    </row>
    <row r="997" spans="1:10" x14ac:dyDescent="0.15">
      <c r="A997" s="90"/>
      <c r="B997" s="91"/>
      <c r="C997" s="91"/>
      <c r="D997" s="92"/>
      <c r="E997" s="91"/>
      <c r="F997" s="91"/>
      <c r="G997" s="91"/>
      <c r="H997" s="91"/>
      <c r="I997" s="91"/>
      <c r="J997" s="79"/>
    </row>
    <row r="998" spans="1:10" x14ac:dyDescent="0.15">
      <c r="A998" s="90"/>
      <c r="B998" s="91"/>
      <c r="C998" s="91"/>
      <c r="D998" s="92"/>
      <c r="E998" s="91"/>
      <c r="F998" s="91"/>
      <c r="G998" s="91"/>
      <c r="H998" s="91"/>
      <c r="I998" s="91"/>
      <c r="J998" s="79"/>
    </row>
    <row r="999" spans="1:10" x14ac:dyDescent="0.15">
      <c r="A999" s="90"/>
      <c r="B999" s="91"/>
      <c r="C999" s="91"/>
      <c r="D999" s="92"/>
      <c r="E999" s="91"/>
      <c r="F999" s="91"/>
      <c r="G999" s="91"/>
      <c r="H999" s="91"/>
      <c r="I999" s="91"/>
      <c r="J999" s="79"/>
    </row>
    <row r="1000" spans="1:10" x14ac:dyDescent="0.15">
      <c r="A1000" s="90"/>
      <c r="B1000" s="91"/>
      <c r="C1000" s="91"/>
      <c r="D1000" s="92"/>
      <c r="E1000" s="91"/>
      <c r="F1000" s="91"/>
      <c r="G1000" s="91"/>
      <c r="H1000" s="91"/>
      <c r="I1000" s="91"/>
      <c r="J1000" s="79"/>
    </row>
    <row r="1001" spans="1:10" x14ac:dyDescent="0.15">
      <c r="A1001" s="90"/>
      <c r="B1001" s="91"/>
      <c r="C1001" s="91"/>
      <c r="D1001" s="92"/>
      <c r="E1001" s="91"/>
      <c r="F1001" s="91"/>
      <c r="G1001" s="91"/>
      <c r="H1001" s="91"/>
      <c r="I1001" s="91"/>
      <c r="J1001" s="79"/>
    </row>
    <row r="1002" spans="1:10" x14ac:dyDescent="0.15">
      <c r="A1002" s="90"/>
      <c r="B1002" s="91"/>
      <c r="C1002" s="91"/>
      <c r="D1002" s="92"/>
      <c r="E1002" s="91"/>
      <c r="F1002" s="91"/>
      <c r="G1002" s="91"/>
      <c r="H1002" s="91"/>
      <c r="I1002" s="91"/>
      <c r="J1002" s="79"/>
    </row>
    <row r="1003" spans="1:10" x14ac:dyDescent="0.15">
      <c r="A1003" s="90"/>
      <c r="B1003" s="91"/>
      <c r="C1003" s="91"/>
      <c r="D1003" s="92"/>
      <c r="E1003" s="91"/>
      <c r="F1003" s="91"/>
      <c r="G1003" s="91"/>
      <c r="H1003" s="91"/>
      <c r="I1003" s="91"/>
      <c r="J1003" s="79"/>
    </row>
    <row r="1004" spans="1:10" x14ac:dyDescent="0.15">
      <c r="A1004" s="90"/>
      <c r="B1004" s="91"/>
      <c r="C1004" s="91"/>
      <c r="D1004" s="92"/>
      <c r="E1004" s="91"/>
      <c r="F1004" s="91"/>
      <c r="G1004" s="91"/>
      <c r="H1004" s="91"/>
      <c r="I1004" s="91"/>
      <c r="J1004" s="79"/>
    </row>
    <row r="1005" spans="1:10" x14ac:dyDescent="0.15">
      <c r="A1005" s="90"/>
      <c r="B1005" s="91"/>
      <c r="C1005" s="91"/>
      <c r="D1005" s="92"/>
      <c r="E1005" s="91"/>
      <c r="F1005" s="91"/>
      <c r="G1005" s="91"/>
      <c r="H1005" s="91"/>
      <c r="I1005" s="91"/>
      <c r="J1005" s="79"/>
    </row>
    <row r="1006" spans="1:10" x14ac:dyDescent="0.15">
      <c r="A1006" s="90"/>
      <c r="B1006" s="91"/>
      <c r="C1006" s="91"/>
      <c r="D1006" s="92"/>
      <c r="E1006" s="91"/>
      <c r="F1006" s="91"/>
      <c r="G1006" s="91"/>
      <c r="H1006" s="91"/>
      <c r="I1006" s="91"/>
      <c r="J1006" s="79"/>
    </row>
    <row r="1007" spans="1:10" x14ac:dyDescent="0.15">
      <c r="A1007" s="90"/>
      <c r="B1007" s="91"/>
      <c r="C1007" s="91"/>
      <c r="D1007" s="92"/>
      <c r="E1007" s="91"/>
      <c r="F1007" s="91"/>
      <c r="G1007" s="91"/>
      <c r="H1007" s="91"/>
      <c r="I1007" s="91"/>
      <c r="J1007" s="79"/>
    </row>
    <row r="1008" spans="1:10" x14ac:dyDescent="0.15">
      <c r="A1008" s="90"/>
      <c r="B1008" s="91"/>
      <c r="C1008" s="91"/>
      <c r="D1008" s="92"/>
      <c r="E1008" s="91"/>
      <c r="F1008" s="91"/>
      <c r="G1008" s="91"/>
      <c r="H1008" s="91"/>
      <c r="I1008" s="91"/>
      <c r="J1008" s="79"/>
    </row>
    <row r="1009" spans="1:10" x14ac:dyDescent="0.15">
      <c r="A1009" s="90"/>
      <c r="B1009" s="91"/>
      <c r="C1009" s="91"/>
      <c r="D1009" s="92"/>
      <c r="E1009" s="91"/>
      <c r="F1009" s="91"/>
      <c r="G1009" s="91"/>
      <c r="H1009" s="91"/>
      <c r="I1009" s="91"/>
      <c r="J1009" s="79"/>
    </row>
    <row r="1010" spans="1:10" x14ac:dyDescent="0.15">
      <c r="A1010" s="90"/>
      <c r="B1010" s="91"/>
      <c r="C1010" s="91"/>
      <c r="D1010" s="92"/>
      <c r="E1010" s="91"/>
      <c r="F1010" s="91"/>
      <c r="G1010" s="91"/>
      <c r="H1010" s="91"/>
      <c r="I1010" s="91"/>
      <c r="J1010" s="79"/>
    </row>
    <row r="1011" spans="1:10" x14ac:dyDescent="0.15">
      <c r="A1011" s="90"/>
      <c r="B1011" s="91"/>
      <c r="C1011" s="91"/>
      <c r="D1011" s="92"/>
      <c r="E1011" s="91"/>
      <c r="F1011" s="91"/>
      <c r="G1011" s="91"/>
      <c r="H1011" s="91"/>
      <c r="I1011" s="91"/>
      <c r="J1011" s="79"/>
    </row>
    <row r="1012" spans="1:10" x14ac:dyDescent="0.15">
      <c r="A1012" s="90"/>
      <c r="B1012" s="91"/>
      <c r="C1012" s="91"/>
      <c r="D1012" s="92"/>
      <c r="E1012" s="91"/>
      <c r="F1012" s="91"/>
      <c r="G1012" s="91"/>
      <c r="H1012" s="91"/>
      <c r="I1012" s="91"/>
      <c r="J1012" s="79"/>
    </row>
    <row r="1013" spans="1:10" x14ac:dyDescent="0.15">
      <c r="A1013" s="90"/>
      <c r="B1013" s="91"/>
      <c r="C1013" s="91"/>
      <c r="D1013" s="92"/>
      <c r="E1013" s="91"/>
      <c r="F1013" s="91"/>
      <c r="G1013" s="91"/>
      <c r="H1013" s="91"/>
      <c r="I1013" s="91"/>
      <c r="J1013" s="79"/>
    </row>
    <row r="1014" spans="1:10" x14ac:dyDescent="0.15">
      <c r="A1014" s="90"/>
      <c r="B1014" s="91"/>
      <c r="C1014" s="91"/>
      <c r="D1014" s="92"/>
      <c r="E1014" s="91"/>
      <c r="F1014" s="91"/>
      <c r="G1014" s="91"/>
      <c r="H1014" s="91"/>
      <c r="I1014" s="91"/>
      <c r="J1014" s="79"/>
    </row>
    <row r="1015" spans="1:10" x14ac:dyDescent="0.15">
      <c r="A1015" s="90"/>
      <c r="B1015" s="91"/>
      <c r="C1015" s="91"/>
      <c r="D1015" s="92"/>
      <c r="E1015" s="91"/>
      <c r="F1015" s="91"/>
      <c r="G1015" s="91"/>
      <c r="H1015" s="91"/>
      <c r="I1015" s="91"/>
      <c r="J1015" s="79"/>
    </row>
    <row r="1016" spans="1:10" x14ac:dyDescent="0.15">
      <c r="A1016" s="90"/>
      <c r="B1016" s="91"/>
      <c r="C1016" s="91"/>
      <c r="D1016" s="92"/>
      <c r="E1016" s="91"/>
      <c r="F1016" s="91"/>
      <c r="G1016" s="91"/>
      <c r="H1016" s="91"/>
      <c r="I1016" s="91"/>
      <c r="J1016" s="79"/>
    </row>
    <row r="1017" spans="1:10" x14ac:dyDescent="0.15">
      <c r="A1017" s="90"/>
      <c r="B1017" s="91"/>
      <c r="C1017" s="91"/>
      <c r="D1017" s="92"/>
      <c r="E1017" s="91"/>
      <c r="F1017" s="91"/>
      <c r="G1017" s="91"/>
      <c r="H1017" s="91"/>
      <c r="I1017" s="91"/>
      <c r="J1017" s="79"/>
    </row>
    <row r="1018" spans="1:10" x14ac:dyDescent="0.15">
      <c r="A1018" s="90"/>
      <c r="B1018" s="91"/>
      <c r="C1018" s="91"/>
      <c r="D1018" s="92"/>
      <c r="E1018" s="91"/>
      <c r="F1018" s="91"/>
      <c r="G1018" s="91"/>
      <c r="H1018" s="91"/>
      <c r="I1018" s="91"/>
      <c r="J1018" s="79"/>
    </row>
    <row r="1019" spans="1:10" x14ac:dyDescent="0.15">
      <c r="A1019" s="90"/>
      <c r="B1019" s="91"/>
      <c r="C1019" s="91"/>
      <c r="D1019" s="92"/>
      <c r="E1019" s="91"/>
      <c r="F1019" s="91"/>
      <c r="G1019" s="91"/>
      <c r="H1019" s="91"/>
      <c r="I1019" s="91"/>
      <c r="J1019" s="79"/>
    </row>
    <row r="1020" spans="1:10" x14ac:dyDescent="0.15">
      <c r="A1020" s="90"/>
      <c r="B1020" s="91"/>
      <c r="C1020" s="91"/>
      <c r="D1020" s="92"/>
      <c r="E1020" s="91"/>
      <c r="F1020" s="91"/>
      <c r="G1020" s="91"/>
      <c r="H1020" s="91"/>
      <c r="I1020" s="91"/>
      <c r="J1020" s="79"/>
    </row>
    <row r="1021" spans="1:10" x14ac:dyDescent="0.15">
      <c r="A1021" s="90"/>
      <c r="B1021" s="91"/>
      <c r="C1021" s="91"/>
      <c r="D1021" s="92"/>
      <c r="E1021" s="91"/>
      <c r="F1021" s="91"/>
      <c r="G1021" s="91"/>
      <c r="H1021" s="91"/>
      <c r="I1021" s="91"/>
      <c r="J1021" s="79"/>
    </row>
    <row r="1022" spans="1:10" x14ac:dyDescent="0.15">
      <c r="A1022" s="90"/>
      <c r="B1022" s="91"/>
      <c r="C1022" s="91"/>
      <c r="D1022" s="92"/>
      <c r="E1022" s="91"/>
      <c r="F1022" s="91"/>
      <c r="G1022" s="91"/>
      <c r="H1022" s="91"/>
      <c r="I1022" s="91"/>
      <c r="J1022" s="79"/>
    </row>
    <row r="1023" spans="1:10" x14ac:dyDescent="0.15">
      <c r="A1023" s="90"/>
      <c r="B1023" s="91"/>
      <c r="C1023" s="91"/>
      <c r="D1023" s="92"/>
      <c r="E1023" s="91"/>
      <c r="F1023" s="91"/>
      <c r="G1023" s="91"/>
      <c r="H1023" s="91"/>
      <c r="I1023" s="91"/>
      <c r="J1023" s="79"/>
    </row>
    <row r="1024" spans="1:10" x14ac:dyDescent="0.15">
      <c r="A1024" s="90"/>
      <c r="B1024" s="91"/>
      <c r="C1024" s="91"/>
      <c r="D1024" s="92"/>
      <c r="E1024" s="91"/>
      <c r="F1024" s="91"/>
      <c r="G1024" s="91"/>
      <c r="H1024" s="91"/>
      <c r="I1024" s="91"/>
      <c r="J1024" s="79"/>
    </row>
    <row r="1025" spans="1:10" x14ac:dyDescent="0.15">
      <c r="A1025" s="90"/>
      <c r="B1025" s="91"/>
      <c r="C1025" s="91"/>
      <c r="D1025" s="92"/>
      <c r="E1025" s="91"/>
      <c r="F1025" s="91"/>
      <c r="G1025" s="91"/>
      <c r="H1025" s="91"/>
      <c r="I1025" s="91"/>
      <c r="J1025" s="79"/>
    </row>
    <row r="1026" spans="1:10" x14ac:dyDescent="0.15">
      <c r="A1026" s="90"/>
      <c r="B1026" s="91"/>
      <c r="C1026" s="91"/>
      <c r="D1026" s="92"/>
      <c r="E1026" s="91"/>
      <c r="F1026" s="91"/>
      <c r="G1026" s="91"/>
      <c r="H1026" s="91"/>
      <c r="I1026" s="91"/>
      <c r="J1026" s="79"/>
    </row>
    <row r="1027" spans="1:10" x14ac:dyDescent="0.15">
      <c r="A1027" s="90"/>
      <c r="B1027" s="91"/>
      <c r="C1027" s="91"/>
      <c r="D1027" s="92"/>
      <c r="E1027" s="91"/>
      <c r="F1027" s="91"/>
      <c r="G1027" s="91"/>
      <c r="H1027" s="91"/>
      <c r="I1027" s="91"/>
      <c r="J1027" s="79"/>
    </row>
    <row r="1028" spans="1:10" x14ac:dyDescent="0.15">
      <c r="A1028" s="90"/>
      <c r="B1028" s="91"/>
      <c r="C1028" s="91"/>
      <c r="D1028" s="92"/>
      <c r="E1028" s="91"/>
      <c r="F1028" s="91"/>
      <c r="G1028" s="91"/>
      <c r="H1028" s="91"/>
      <c r="I1028" s="91"/>
      <c r="J1028" s="79"/>
    </row>
    <row r="1029" spans="1:10" x14ac:dyDescent="0.15">
      <c r="A1029" s="90"/>
      <c r="B1029" s="91"/>
      <c r="C1029" s="91"/>
      <c r="D1029" s="92"/>
      <c r="E1029" s="91"/>
      <c r="F1029" s="91"/>
      <c r="G1029" s="91"/>
      <c r="H1029" s="91"/>
      <c r="I1029" s="91"/>
      <c r="J1029" s="79"/>
    </row>
    <row r="1030" spans="1:10" x14ac:dyDescent="0.15">
      <c r="A1030" s="90"/>
      <c r="B1030" s="91"/>
      <c r="C1030" s="91"/>
      <c r="D1030" s="92"/>
      <c r="E1030" s="91"/>
      <c r="F1030" s="91"/>
      <c r="G1030" s="91"/>
      <c r="H1030" s="91"/>
      <c r="I1030" s="91"/>
      <c r="J1030" s="79"/>
    </row>
    <row r="1031" spans="1:10" x14ac:dyDescent="0.15">
      <c r="H1031" s="46"/>
    </row>
    <row r="1032" spans="1:10" x14ac:dyDescent="0.15">
      <c r="H1032" s="46"/>
    </row>
    <row r="1033" spans="1:10" x14ac:dyDescent="0.15">
      <c r="H1033" s="46"/>
    </row>
    <row r="1034" spans="1:10" x14ac:dyDescent="0.15">
      <c r="H1034" s="46"/>
    </row>
    <row r="1035" spans="1:10" x14ac:dyDescent="0.15">
      <c r="H1035" s="46"/>
    </row>
    <row r="1036" spans="1:10" x14ac:dyDescent="0.15">
      <c r="H1036" s="46"/>
    </row>
    <row r="1037" spans="1:10" x14ac:dyDescent="0.15">
      <c r="H1037" s="46"/>
    </row>
    <row r="1038" spans="1:10" x14ac:dyDescent="0.15">
      <c r="H1038" s="46"/>
    </row>
    <row r="1039" spans="1:10" x14ac:dyDescent="0.15">
      <c r="H1039" s="46"/>
    </row>
    <row r="1040" spans="1:10" x14ac:dyDescent="0.15">
      <c r="H1040" s="46"/>
    </row>
    <row r="1041" spans="8:8" x14ac:dyDescent="0.15">
      <c r="H1041" s="46"/>
    </row>
    <row r="1042" spans="8:8" x14ac:dyDescent="0.15">
      <c r="H1042" s="46"/>
    </row>
    <row r="1043" spans="8:8" x14ac:dyDescent="0.15">
      <c r="H1043" s="46"/>
    </row>
    <row r="1044" spans="8:8" x14ac:dyDescent="0.15">
      <c r="H1044" s="46"/>
    </row>
    <row r="1045" spans="8:8" x14ac:dyDescent="0.15">
      <c r="H1045" s="46"/>
    </row>
    <row r="1046" spans="8:8" x14ac:dyDescent="0.15">
      <c r="H1046" s="46"/>
    </row>
    <row r="1047" spans="8:8" x14ac:dyDescent="0.15">
      <c r="H1047" s="46"/>
    </row>
    <row r="1048" spans="8:8" x14ac:dyDescent="0.15">
      <c r="H1048" s="46"/>
    </row>
    <row r="1049" spans="8:8" x14ac:dyDescent="0.15">
      <c r="H1049" s="46"/>
    </row>
    <row r="1050" spans="8:8" x14ac:dyDescent="0.15">
      <c r="H1050" s="46"/>
    </row>
    <row r="1051" spans="8:8" x14ac:dyDescent="0.15">
      <c r="H1051" s="46"/>
    </row>
    <row r="1052" spans="8:8" x14ac:dyDescent="0.15">
      <c r="H1052" s="46"/>
    </row>
    <row r="1053" spans="8:8" x14ac:dyDescent="0.15">
      <c r="H1053" s="46"/>
    </row>
    <row r="1054" spans="8:8" x14ac:dyDescent="0.15">
      <c r="H1054" s="46"/>
    </row>
    <row r="1055" spans="8:8" x14ac:dyDescent="0.15">
      <c r="H1055" s="46"/>
    </row>
    <row r="1056" spans="8:8" x14ac:dyDescent="0.15">
      <c r="H1056" s="46"/>
    </row>
    <row r="1057" spans="8:8" x14ac:dyDescent="0.15">
      <c r="H1057" s="46"/>
    </row>
    <row r="1058" spans="8:8" x14ac:dyDescent="0.15">
      <c r="H1058" s="46"/>
    </row>
    <row r="1059" spans="8:8" x14ac:dyDescent="0.15">
      <c r="H1059" s="46"/>
    </row>
    <row r="1060" spans="8:8" x14ac:dyDescent="0.15">
      <c r="H1060" s="46"/>
    </row>
    <row r="1061" spans="8:8" x14ac:dyDescent="0.15">
      <c r="H1061" s="46"/>
    </row>
    <row r="1062" spans="8:8" x14ac:dyDescent="0.15">
      <c r="H1062" s="46"/>
    </row>
    <row r="1063" spans="8:8" x14ac:dyDescent="0.15">
      <c r="H1063" s="46"/>
    </row>
    <row r="1064" spans="8:8" x14ac:dyDescent="0.15">
      <c r="H1064" s="46"/>
    </row>
    <row r="1065" spans="8:8" x14ac:dyDescent="0.15">
      <c r="H1065" s="46"/>
    </row>
    <row r="1066" spans="8:8" x14ac:dyDescent="0.15">
      <c r="H1066" s="46"/>
    </row>
    <row r="1067" spans="8:8" x14ac:dyDescent="0.15">
      <c r="H1067" s="46"/>
    </row>
    <row r="1068" spans="8:8" x14ac:dyDescent="0.15">
      <c r="H1068" s="46"/>
    </row>
    <row r="1069" spans="8:8" x14ac:dyDescent="0.15">
      <c r="H1069" s="46"/>
    </row>
    <row r="1070" spans="8:8" x14ac:dyDescent="0.15">
      <c r="H1070" s="46"/>
    </row>
    <row r="1071" spans="8:8" x14ac:dyDescent="0.15">
      <c r="H1071" s="46"/>
    </row>
    <row r="1072" spans="8:8" x14ac:dyDescent="0.15">
      <c r="H1072" s="46"/>
    </row>
    <row r="1073" spans="8:8" x14ac:dyDescent="0.15">
      <c r="H1073" s="46"/>
    </row>
    <row r="1074" spans="8:8" x14ac:dyDescent="0.15">
      <c r="H1074" s="46"/>
    </row>
    <row r="1075" spans="8:8" x14ac:dyDescent="0.15">
      <c r="H1075" s="46"/>
    </row>
    <row r="1076" spans="8:8" x14ac:dyDescent="0.15">
      <c r="H1076" s="46"/>
    </row>
    <row r="1077" spans="8:8" x14ac:dyDescent="0.15">
      <c r="H1077" s="46"/>
    </row>
    <row r="1078" spans="8:8" x14ac:dyDescent="0.15">
      <c r="H1078" s="46"/>
    </row>
    <row r="1079" spans="8:8" x14ac:dyDescent="0.15">
      <c r="H1079" s="46"/>
    </row>
    <row r="1080" spans="8:8" x14ac:dyDescent="0.15">
      <c r="H1080" s="46"/>
    </row>
    <row r="1081" spans="8:8" x14ac:dyDescent="0.15">
      <c r="H1081" s="46"/>
    </row>
    <row r="1082" spans="8:8" x14ac:dyDescent="0.15">
      <c r="H1082" s="46"/>
    </row>
    <row r="1083" spans="8:8" x14ac:dyDescent="0.15">
      <c r="H1083" s="46"/>
    </row>
    <row r="1084" spans="8:8" x14ac:dyDescent="0.15">
      <c r="H1084" s="46"/>
    </row>
    <row r="1085" spans="8:8" x14ac:dyDescent="0.15">
      <c r="H1085" s="46"/>
    </row>
    <row r="1086" spans="8:8" x14ac:dyDescent="0.15">
      <c r="H1086" s="46"/>
    </row>
    <row r="1087" spans="8:8" x14ac:dyDescent="0.15">
      <c r="H1087" s="46"/>
    </row>
    <row r="1088" spans="8:8" x14ac:dyDescent="0.15">
      <c r="H1088" s="46"/>
    </row>
    <row r="1089" spans="8:8" x14ac:dyDescent="0.15">
      <c r="H1089" s="46"/>
    </row>
    <row r="1090" spans="8:8" x14ac:dyDescent="0.15">
      <c r="H1090" s="46"/>
    </row>
    <row r="1091" spans="8:8" x14ac:dyDescent="0.15">
      <c r="H1091" s="46"/>
    </row>
    <row r="1092" spans="8:8" x14ac:dyDescent="0.15">
      <c r="H1092" s="46"/>
    </row>
    <row r="1093" spans="8:8" x14ac:dyDescent="0.15">
      <c r="H1093" s="46"/>
    </row>
    <row r="1094" spans="8:8" x14ac:dyDescent="0.15">
      <c r="H1094" s="46"/>
    </row>
    <row r="1095" spans="8:8" x14ac:dyDescent="0.15">
      <c r="H1095" s="46"/>
    </row>
    <row r="1096" spans="8:8" x14ac:dyDescent="0.15">
      <c r="H1096" s="46"/>
    </row>
    <row r="1097" spans="8:8" x14ac:dyDescent="0.15">
      <c r="H1097" s="46"/>
    </row>
    <row r="1098" spans="8:8" x14ac:dyDescent="0.15">
      <c r="H1098" s="46"/>
    </row>
    <row r="1099" spans="8:8" x14ac:dyDescent="0.15">
      <c r="H1099" s="46"/>
    </row>
    <row r="1100" spans="8:8" x14ac:dyDescent="0.15">
      <c r="H1100" s="46"/>
    </row>
    <row r="1101" spans="8:8" x14ac:dyDescent="0.15">
      <c r="H1101" s="46"/>
    </row>
    <row r="1102" spans="8:8" x14ac:dyDescent="0.15">
      <c r="H1102" s="46"/>
    </row>
    <row r="1103" spans="8:8" x14ac:dyDescent="0.15">
      <c r="H1103" s="46"/>
    </row>
    <row r="1104" spans="8:8" x14ac:dyDescent="0.15">
      <c r="H1104" s="46"/>
    </row>
    <row r="1105" spans="8:8" x14ac:dyDescent="0.15">
      <c r="H1105" s="46"/>
    </row>
    <row r="1106" spans="8:8" x14ac:dyDescent="0.15">
      <c r="H1106" s="46"/>
    </row>
    <row r="1107" spans="8:8" x14ac:dyDescent="0.15">
      <c r="H1107" s="46"/>
    </row>
    <row r="1108" spans="8:8" x14ac:dyDescent="0.15">
      <c r="H1108" s="46"/>
    </row>
    <row r="1109" spans="8:8" x14ac:dyDescent="0.15">
      <c r="H1109" s="46"/>
    </row>
    <row r="1110" spans="8:8" x14ac:dyDescent="0.15">
      <c r="H1110" s="46"/>
    </row>
    <row r="1111" spans="8:8" x14ac:dyDescent="0.15">
      <c r="H1111" s="46"/>
    </row>
    <row r="1112" spans="8:8" x14ac:dyDescent="0.15">
      <c r="H1112" s="46"/>
    </row>
    <row r="1113" spans="8:8" x14ac:dyDescent="0.15">
      <c r="H1113" s="46"/>
    </row>
    <row r="1114" spans="8:8" x14ac:dyDescent="0.15">
      <c r="H1114" s="46"/>
    </row>
    <row r="1115" spans="8:8" x14ac:dyDescent="0.15">
      <c r="H1115" s="46"/>
    </row>
    <row r="1116" spans="8:8" x14ac:dyDescent="0.15">
      <c r="H1116" s="46"/>
    </row>
    <row r="1117" spans="8:8" x14ac:dyDescent="0.15">
      <c r="H1117" s="46"/>
    </row>
    <row r="1118" spans="8:8" x14ac:dyDescent="0.15">
      <c r="H1118" s="46"/>
    </row>
    <row r="1119" spans="8:8" x14ac:dyDescent="0.15">
      <c r="H1119" s="46"/>
    </row>
    <row r="1120" spans="8:8"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sheetData>
  <autoFilter ref="A1:BA142" xr:uid="{00000000-0009-0000-0000-000006000000}"/>
  <phoneticPr fontId="3"/>
  <dataValidations count="25">
    <dataValidation type="list" allowBlank="1" showInputMessage="1" showErrorMessage="1" sqref="F143:F1030" xr:uid="{00000000-0002-0000-0600-000000000000}">
      <formula1>$AH$2:$AH$10</formula1>
    </dataValidation>
    <dataValidation type="list" allowBlank="1" showInputMessage="1" showErrorMessage="1" sqref="E143:E1030" xr:uid="{00000000-0002-0000-0600-000001000000}">
      <formula1>$AG$2:$AG$10</formula1>
    </dataValidation>
    <dataValidation type="decimal" allowBlank="1" showInputMessage="1" showErrorMessage="1" error="硬度を正しく入力して下さい。" sqref="O2:P40 P41:P521 O43:O521" xr:uid="{00000000-0002-0000-0600-000002000000}">
      <formula1>0</formula1>
      <formula2>7</formula2>
    </dataValidation>
    <dataValidation operator="equal" allowBlank="1" showInputMessage="1" showErrorMessage="1" sqref="B143:B1030" xr:uid="{00000000-0002-0000-0600-00000B000000}"/>
    <dataValidation type="list" allowBlank="1" showInputMessage="1" showErrorMessage="1" sqref="F1031:F64272" xr:uid="{00000000-0002-0000-0600-00000C000000}">
      <formula1>$AH$2:$AH$8</formula1>
    </dataValidation>
    <dataValidation type="list" allowBlank="1" showInputMessage="1" showErrorMessage="1" sqref="E1031:E64272" xr:uid="{00000000-0002-0000-0600-00000D000000}">
      <formula1>$AG$2:$AG$9</formula1>
    </dataValidation>
    <dataValidation type="list" allowBlank="1" showInputMessage="1" showErrorMessage="1" sqref="H1348:H64272" xr:uid="{00000000-0002-0000-0600-00000E000000}">
      <formula1>$AL$2:$AL$10</formula1>
    </dataValidation>
    <dataValidation type="list" allowBlank="1" showInputMessage="1" showErrorMessage="1" sqref="Y522:AA64272" xr:uid="{00000000-0002-0000-0600-000010000000}">
      <formula1>$AV$2:$AV$26</formula1>
    </dataValidation>
    <dataValidation type="list" allowBlank="1" showInputMessage="1" showErrorMessage="1" sqref="I1031:I64272" xr:uid="{00000000-0002-0000-0600-000011000000}">
      <formula1>$AN$2:$AN$6</formula1>
    </dataValidation>
    <dataValidation type="list" allowBlank="1" showInputMessage="1" showErrorMessage="1" sqref="H1031:H1347 H2:H142" xr:uid="{AA81BB8A-F1FE-4208-85B5-1FF0FCEB4E33}">
      <formula1>$AL$2:$AL$9</formula1>
    </dataValidation>
    <dataValidation type="list" allowBlank="1" showInputMessage="1" showErrorMessage="1" sqref="H143:H1030" xr:uid="{275C054A-9B5A-41DF-84F0-3334368FCAD4}">
      <formula1>$AL$2:$AL$15</formula1>
    </dataValidation>
    <dataValidation type="list" allowBlank="1" showInputMessage="1" showErrorMessage="1" sqref="K65565:K65643 K131101:K131179 K196637:K196715 K262173:K262251 K327709:K327787 K393245:K393323 K458781:K458859 K524317:K524395 K589853:K589931 K655389:K655467 K720925:K721003 K786461:K786539 K851997:K852075 K917533:K917611 K983069:K983147" xr:uid="{A932097C-E062-4CBE-BED5-EC7639015DEC}">
      <formula1>$AR$2:$AR$30</formula1>
    </dataValidation>
    <dataValidation type="list" allowBlank="1" showInputMessage="1" showErrorMessage="1" sqref="J65565:J65643 J131101:J131179 J196637:J196715 J262173:J262251 J327709:J327787 J393245:J393323 J458781:J458859 J524317:J524395 J589853:J589931 J655389:J655467 J720925:J721003 J786461:J786539 J851997:J852075 J917533:J917611 J983069:J983147" xr:uid="{ACBB5488-F4F5-4D7A-B160-559CDB1F646F}">
      <formula1>$AP$2:$AP$15</formula1>
    </dataValidation>
    <dataValidation type="list" allowBlank="1" showInputMessage="1" showErrorMessage="1" sqref="J143:J1030" xr:uid="{C44CAB8E-0A7F-4B46-830A-91B0DB4FF77B}">
      <formula1>$AP$2:$AP$26</formula1>
    </dataValidation>
    <dataValidation type="list" allowBlank="1" showInputMessage="1" showErrorMessage="1" sqref="K143:K1030" xr:uid="{18452FB3-BC99-4046-A7DD-3E529B2DA4AC}">
      <formula1>$AR$2:$AR$25</formula1>
    </dataValidation>
    <dataValidation type="list" allowBlank="1" showInputMessage="1" showErrorMessage="1" sqref="K2:K142" xr:uid="{B2841F96-228D-48D0-BFD4-4E205AA6DD7C}">
      <formula1>$AR$2:$AR$28</formula1>
    </dataValidation>
    <dataValidation type="list" allowBlank="1" showInputMessage="1" showErrorMessage="1" sqref="J2:J142" xr:uid="{4EABB15A-7BD6-4AB4-B460-C5B83DB0C7BE}">
      <formula1>$AP$2:$AP$29</formula1>
    </dataValidation>
    <dataValidation type="list" allowBlank="1" showInputMessage="1" showErrorMessage="1" sqref="E2:E142" xr:uid="{915291FB-7F52-48A7-8BF7-D45A824F9D49}">
      <formula1>$AG$2:$AG$11</formula1>
    </dataValidation>
    <dataValidation allowBlank="1" showInputMessage="1" showErrorMessage="1" sqref="B2" xr:uid="{74D21918-0662-4903-A6A7-9C05CD7B07A1}"/>
    <dataValidation type="list" allowBlank="1" showInputMessage="1" showErrorMessage="1" sqref="F2:F142" xr:uid="{C3456C52-09EB-4E30-A9CE-8C5F7FB0F043}">
      <formula1>$AH$2:$AH$11</formula1>
    </dataValidation>
    <dataValidation type="list" allowBlank="1" showInputMessage="1" showErrorMessage="1" sqref="Y2:AA521" xr:uid="{00000000-0002-0000-0600-000003000000}">
      <formula1>$AV$2:$AV$21</formula1>
    </dataValidation>
    <dataValidation type="list" allowBlank="1" showInputMessage="1" showErrorMessage="1" sqref="I2:I1030" xr:uid="{00000000-0002-0000-0600-000005000000}">
      <formula1>$AN$5:$AN$6</formula1>
    </dataValidation>
    <dataValidation type="list" allowBlank="1" showInputMessage="1" showErrorMessage="1" sqref="A2:A1030" xr:uid="{00000000-0002-0000-0600-000007000000}">
      <formula1>$AE$2:$AE$19</formula1>
    </dataValidation>
    <dataValidation type="list" allowBlank="1" showInputMessage="1" showErrorMessage="1" sqref="X2:X521" xr:uid="{00000000-0002-0000-0600-000008000000}">
      <formula1>$AT$2:$AT$3</formula1>
    </dataValidation>
    <dataValidation type="list" allowBlank="1" showInputMessage="1" showErrorMessage="1" sqref="G2:G1030" xr:uid="{00000000-0002-0000-0600-000009000000}">
      <formula1>$AJ$2:$AJ$4</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D72F7678-02AD-4E4A-99B9-2A479B538BB6}"/>
</file>

<file path=customXml/itemProps3.xml><?xml version="1.0" encoding="utf-8"?>
<ds:datastoreItem xmlns:ds="http://schemas.openxmlformats.org/officeDocument/2006/customXml" ds:itemID="{3AACED27-2238-44D0-9189-361A903310DF}"/>
</file>

<file path=customXml/itemProps4.xml><?xml version="1.0" encoding="utf-8"?>
<ds:datastoreItem xmlns:ds="http://schemas.openxmlformats.org/officeDocument/2006/customXml" ds:itemID="{C3FC0256-8598-4C31-9A5D-E9F57AC982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tokyo-east(konishi)</vt:lpstr>
      <vt:lpstr>tokyo-west(ota)</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2020-06-18T02:12:58Z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