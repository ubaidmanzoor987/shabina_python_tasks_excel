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29"/>
  <workbookPr defaultThemeVersion="124226"/>
  <mc:AlternateContent xmlns:mc="http://schemas.openxmlformats.org/markup-compatibility/2006">
    <mc:Choice Requires="x15">
      <x15ac:absPath xmlns:x15ac="http://schemas.microsoft.com/office/spreadsheetml/2010/11/ac" url="\\192.168.11.200\000_全国共有\2-Zespri\品質調査\2020品質調査\34週\"/>
    </mc:Choice>
  </mc:AlternateContent>
  <xr:revisionPtr revIDLastSave="0" documentId="13_ncr:1_{E115D285-C834-4E6D-BB6F-C27B7D5344DD}" xr6:coauthVersionLast="45" xr6:coauthVersionMax="45" xr10:uidLastSave="{00000000-0000-0000-0000-000000000000}"/>
  <bookViews>
    <workbookView xWindow="-120" yWindow="-120" windowWidth="29040" windowHeight="15840" activeTab="7" xr2:uid="{00000000-000D-0000-FFFF-FFFF00000000}"/>
  </bookViews>
  <sheets>
    <sheet name="sapporo" sheetId="30" r:id="rId1"/>
    <sheet name="miyagi" sheetId="25" r:id="rId2"/>
    <sheet name="nagoya" sheetId="28" r:id="rId3"/>
    <sheet name="osaka" sheetId="29" r:id="rId4"/>
    <sheet name="hiroshima" sheetId="27" r:id="rId5"/>
    <sheet name="fukuoka" sheetId="31" r:id="rId6"/>
    <sheet name="tokyo-west(ota)" sheetId="23" r:id="rId7"/>
    <sheet name="tokyo-east(konishi)" sheetId="26" r:id="rId8"/>
  </sheets>
  <definedNames>
    <definedName name="_xlnm._FilterDatabase" localSheetId="5" hidden="1">fukuoka!$A$1:$BA$152</definedName>
    <definedName name="_xlnm._FilterDatabase" localSheetId="4" hidden="1">hiroshima!$A$1:$BA$121</definedName>
    <definedName name="_xlnm._FilterDatabase" localSheetId="1" hidden="1">miyagi!$A$1:$BA$151</definedName>
    <definedName name="_xlnm._FilterDatabase" localSheetId="2" hidden="1">nagoya!$A$1:$BA$145</definedName>
    <definedName name="_xlnm._FilterDatabase" localSheetId="3" hidden="1">osaka!$A$1:$BA$139</definedName>
    <definedName name="_xlnm._FilterDatabase" localSheetId="0" hidden="1">sapporo!$A$1:$BA$120</definedName>
    <definedName name="_xlnm._FilterDatabase" localSheetId="7" hidden="1">'tokyo-east(konishi)'!$A$1:$BA$172</definedName>
    <definedName name="_xlnm._FilterDatabase" localSheetId="6" hidden="1">'tokyo-west(ota)'!$A$1:$BA$1</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workbook>
</file>

<file path=xl/calcChain.xml><?xml version="1.0" encoding="utf-8"?>
<calcChain xmlns="http://schemas.openxmlformats.org/spreadsheetml/2006/main">
  <c r="V152" i="31" l="1"/>
  <c r="T152" i="31"/>
  <c r="Q152" i="31"/>
  <c r="V151" i="31"/>
  <c r="T151" i="31"/>
  <c r="Q151" i="31"/>
  <c r="V150" i="31"/>
  <c r="T150" i="31"/>
  <c r="Q150" i="31"/>
  <c r="V149" i="31"/>
  <c r="T149" i="31"/>
  <c r="Q149" i="31"/>
  <c r="V148" i="31"/>
  <c r="T148" i="31"/>
  <c r="Q148" i="31"/>
  <c r="V147" i="31"/>
  <c r="T147" i="31"/>
  <c r="Q147" i="31"/>
  <c r="V146" i="31"/>
  <c r="T146" i="31"/>
  <c r="Q146" i="31"/>
  <c r="V145" i="31"/>
  <c r="T145" i="31"/>
  <c r="Q145" i="31"/>
  <c r="V144" i="31"/>
  <c r="T144" i="31"/>
  <c r="Q144" i="31"/>
  <c r="V143" i="31"/>
  <c r="T143" i="31"/>
  <c r="Q143" i="31"/>
  <c r="V142" i="31"/>
  <c r="T142" i="31"/>
  <c r="Q142" i="31"/>
  <c r="V141" i="31"/>
  <c r="T141" i="31"/>
  <c r="Q141" i="31"/>
  <c r="V140" i="31"/>
  <c r="T140" i="31"/>
  <c r="Q140" i="31"/>
  <c r="V139" i="31"/>
  <c r="T139" i="31"/>
  <c r="Q139" i="31"/>
  <c r="V138" i="31"/>
  <c r="T138" i="31"/>
  <c r="Q138" i="31"/>
  <c r="V137" i="31"/>
  <c r="T137" i="31"/>
  <c r="Q137" i="31"/>
  <c r="V136" i="31"/>
  <c r="T136" i="31"/>
  <c r="Q136" i="31"/>
  <c r="V135" i="31"/>
  <c r="T135" i="31"/>
  <c r="Q135" i="31"/>
  <c r="V134" i="31"/>
  <c r="T134" i="31"/>
  <c r="Q134" i="31"/>
  <c r="V133" i="31"/>
  <c r="T133" i="31"/>
  <c r="Q133" i="31"/>
  <c r="V132" i="31"/>
  <c r="T132" i="31"/>
  <c r="Q132" i="31"/>
  <c r="V131" i="31"/>
  <c r="T131" i="31"/>
  <c r="Q131" i="31"/>
  <c r="V130" i="31"/>
  <c r="T130" i="31"/>
  <c r="Q130" i="31"/>
  <c r="V129" i="31"/>
  <c r="T129" i="31"/>
  <c r="Q129" i="31"/>
  <c r="V128" i="31"/>
  <c r="T128" i="31"/>
  <c r="Q128" i="31"/>
  <c r="V127" i="31"/>
  <c r="T127" i="31"/>
  <c r="Q127" i="31"/>
  <c r="V126" i="31"/>
  <c r="T126" i="31"/>
  <c r="Q126" i="31"/>
  <c r="V125" i="31"/>
  <c r="T125" i="31"/>
  <c r="Q125" i="31"/>
  <c r="V124" i="31"/>
  <c r="T124" i="31"/>
  <c r="Q124" i="31"/>
  <c r="V123" i="31"/>
  <c r="T123" i="31"/>
  <c r="Q123" i="31"/>
  <c r="V122" i="31"/>
  <c r="T122" i="31"/>
  <c r="Q122" i="31"/>
  <c r="V121" i="31"/>
  <c r="T121" i="31"/>
  <c r="Q121" i="31"/>
  <c r="V120" i="31"/>
  <c r="T120" i="31"/>
  <c r="Q120" i="31"/>
  <c r="V119" i="31"/>
  <c r="T119" i="31"/>
  <c r="Q119" i="31"/>
  <c r="V118" i="31"/>
  <c r="T118" i="31"/>
  <c r="Q118" i="31"/>
  <c r="V117" i="31"/>
  <c r="T117" i="31"/>
  <c r="Q117" i="31"/>
  <c r="V116" i="31"/>
  <c r="T116" i="31"/>
  <c r="Q116" i="31"/>
  <c r="V115" i="31"/>
  <c r="T115" i="31"/>
  <c r="Q115" i="31"/>
  <c r="V114" i="31"/>
  <c r="T114" i="31"/>
  <c r="Q114" i="31"/>
  <c r="V113" i="31"/>
  <c r="T113" i="31"/>
  <c r="Q113" i="31"/>
  <c r="V112" i="31"/>
  <c r="T112" i="31"/>
  <c r="Q112" i="31"/>
  <c r="V111" i="31"/>
  <c r="T111" i="31"/>
  <c r="Q111" i="31"/>
  <c r="V110" i="31"/>
  <c r="T110" i="31"/>
  <c r="Q110" i="31"/>
  <c r="V109" i="31"/>
  <c r="T109" i="31"/>
  <c r="Q109" i="31"/>
  <c r="V108" i="31"/>
  <c r="T108" i="31"/>
  <c r="Q108" i="31"/>
  <c r="V107" i="31"/>
  <c r="T107" i="31"/>
  <c r="Q107" i="31"/>
  <c r="V106" i="31"/>
  <c r="T106" i="31"/>
  <c r="Q106" i="31"/>
  <c r="V105" i="31"/>
  <c r="T105" i="31"/>
  <c r="Q105" i="31"/>
  <c r="V104" i="31"/>
  <c r="T104" i="31"/>
  <c r="Q104" i="31"/>
  <c r="V103" i="31"/>
  <c r="T103" i="31"/>
  <c r="Q103" i="31"/>
  <c r="V102" i="31"/>
  <c r="T102" i="31"/>
  <c r="Q102" i="31"/>
  <c r="V101" i="31"/>
  <c r="T101" i="31"/>
  <c r="Q101" i="31"/>
  <c r="V100" i="31"/>
  <c r="T100" i="31"/>
  <c r="Q100" i="31"/>
  <c r="V99" i="31"/>
  <c r="T99" i="31"/>
  <c r="Q99" i="31"/>
  <c r="V98" i="31"/>
  <c r="T98" i="31"/>
  <c r="Q98" i="31"/>
  <c r="V97" i="31"/>
  <c r="T97" i="31"/>
  <c r="Q97" i="31"/>
  <c r="V96" i="31"/>
  <c r="T96" i="31"/>
  <c r="Q96" i="31"/>
  <c r="V95" i="31"/>
  <c r="T95" i="31"/>
  <c r="Q95" i="31"/>
  <c r="V94" i="31"/>
  <c r="T94" i="31"/>
  <c r="Q94" i="31"/>
  <c r="V93" i="31"/>
  <c r="T93" i="31"/>
  <c r="Q93" i="31"/>
  <c r="V92" i="31"/>
  <c r="T92" i="31"/>
  <c r="Q92" i="31"/>
  <c r="V91" i="31"/>
  <c r="T91" i="31"/>
  <c r="Q91" i="31"/>
  <c r="V90" i="31"/>
  <c r="T90" i="31"/>
  <c r="Q90" i="31"/>
  <c r="V89" i="31"/>
  <c r="T89" i="31"/>
  <c r="Q89" i="31"/>
  <c r="V88" i="31"/>
  <c r="T88" i="31"/>
  <c r="Q88" i="31"/>
  <c r="V87" i="31"/>
  <c r="T87" i="31"/>
  <c r="Q87" i="31"/>
  <c r="V86" i="31"/>
  <c r="T86" i="31"/>
  <c r="Q86" i="31"/>
  <c r="V85" i="31"/>
  <c r="T85" i="31"/>
  <c r="Q85" i="31"/>
  <c r="V84" i="31"/>
  <c r="T84" i="31"/>
  <c r="Q84" i="31"/>
  <c r="V83" i="31"/>
  <c r="T83" i="31"/>
  <c r="Q83" i="31"/>
  <c r="V82" i="31"/>
  <c r="T82" i="31"/>
  <c r="Q82" i="31"/>
  <c r="V81" i="31"/>
  <c r="T81" i="31"/>
  <c r="Q81" i="31"/>
  <c r="V80" i="31"/>
  <c r="T80" i="31"/>
  <c r="Q80" i="31"/>
  <c r="V79" i="31"/>
  <c r="T79" i="31"/>
  <c r="Q79" i="31"/>
  <c r="V78" i="31"/>
  <c r="T78" i="31"/>
  <c r="Q78" i="31"/>
  <c r="V77" i="31"/>
  <c r="T77" i="31"/>
  <c r="Q77" i="31"/>
  <c r="V76" i="31"/>
  <c r="T76" i="31"/>
  <c r="Q76" i="31"/>
  <c r="V75" i="31"/>
  <c r="T75" i="31"/>
  <c r="Q75" i="31"/>
  <c r="V74" i="31"/>
  <c r="T74" i="31"/>
  <c r="Q74" i="31"/>
  <c r="V73" i="31"/>
  <c r="T73" i="31"/>
  <c r="Q73" i="31"/>
  <c r="V72" i="31"/>
  <c r="T72" i="31"/>
  <c r="Q72" i="31"/>
  <c r="V71" i="31"/>
  <c r="T71" i="31"/>
  <c r="Q71" i="31"/>
  <c r="V70" i="31"/>
  <c r="T70" i="31"/>
  <c r="Q70" i="31"/>
  <c r="V69" i="31"/>
  <c r="T69" i="31"/>
  <c r="Q69" i="31"/>
  <c r="V68" i="31"/>
  <c r="T68" i="31"/>
  <c r="Q68" i="31"/>
  <c r="V67" i="31"/>
  <c r="T67" i="31"/>
  <c r="Q67" i="31"/>
  <c r="V66" i="31"/>
  <c r="T66" i="31"/>
  <c r="Q66" i="31"/>
  <c r="V65" i="31"/>
  <c r="T65" i="31"/>
  <c r="Q65" i="31"/>
  <c r="V64" i="31"/>
  <c r="T64" i="31"/>
  <c r="Q64" i="31"/>
  <c r="V63" i="31"/>
  <c r="T63" i="31"/>
  <c r="Q63" i="31"/>
  <c r="V62" i="31"/>
  <c r="T62" i="31"/>
  <c r="Q62" i="31"/>
  <c r="V61" i="31"/>
  <c r="T61" i="31"/>
  <c r="Q61" i="31"/>
  <c r="V60" i="31"/>
  <c r="T60" i="31"/>
  <c r="Q60" i="31"/>
  <c r="V59" i="31"/>
  <c r="T59" i="31"/>
  <c r="Q59" i="31"/>
  <c r="V58" i="31"/>
  <c r="T58" i="31"/>
  <c r="Q58" i="31"/>
  <c r="V57" i="31"/>
  <c r="T57" i="31"/>
  <c r="Q57" i="31"/>
  <c r="V56" i="31"/>
  <c r="T56" i="31"/>
  <c r="Q56" i="31"/>
  <c r="V55" i="31"/>
  <c r="T55" i="31"/>
  <c r="Q55" i="31"/>
  <c r="V54" i="31"/>
  <c r="T54" i="31"/>
  <c r="Q54" i="31"/>
  <c r="V53" i="31"/>
  <c r="T53" i="31"/>
  <c r="Q53" i="31"/>
  <c r="V52" i="31"/>
  <c r="T52" i="31"/>
  <c r="Q52" i="31"/>
  <c r="V51" i="31"/>
  <c r="T51" i="31"/>
  <c r="Q51" i="31"/>
  <c r="V50" i="31"/>
  <c r="T50" i="31"/>
  <c r="Q50" i="31"/>
  <c r="V49" i="31"/>
  <c r="T49" i="31"/>
  <c r="Q49" i="31"/>
  <c r="V48" i="31"/>
  <c r="T48" i="31"/>
  <c r="Q48" i="31"/>
  <c r="V47" i="31"/>
  <c r="T47" i="31"/>
  <c r="Q47" i="31"/>
  <c r="V46" i="31"/>
  <c r="T46" i="31"/>
  <c r="Q46" i="31"/>
  <c r="V45" i="31"/>
  <c r="T45" i="31"/>
  <c r="Q45" i="31"/>
  <c r="V44" i="31"/>
  <c r="T44" i="31"/>
  <c r="Q44" i="31"/>
  <c r="V43" i="31"/>
  <c r="T43" i="31"/>
  <c r="Q43" i="31"/>
  <c r="V42" i="31"/>
  <c r="T42" i="31"/>
  <c r="Q42" i="31"/>
  <c r="V41" i="31"/>
  <c r="T41" i="31"/>
  <c r="Q41" i="31"/>
  <c r="V40" i="31"/>
  <c r="T40" i="31"/>
  <c r="Q40" i="31"/>
  <c r="V39" i="31"/>
  <c r="T39" i="31"/>
  <c r="Q39" i="31"/>
  <c r="V38" i="31"/>
  <c r="T38" i="31"/>
  <c r="Q38" i="31"/>
  <c r="V37" i="31"/>
  <c r="T37" i="31"/>
  <c r="Q37" i="31"/>
  <c r="V36" i="31"/>
  <c r="T36" i="31"/>
  <c r="Q36" i="31"/>
  <c r="V35" i="31"/>
  <c r="T35" i="31"/>
  <c r="Q35" i="31"/>
  <c r="V34" i="31"/>
  <c r="T34" i="31"/>
  <c r="Q34" i="31"/>
  <c r="V33" i="31"/>
  <c r="T33" i="31"/>
  <c r="Q33" i="31"/>
  <c r="V32" i="31"/>
  <c r="T32" i="31"/>
  <c r="Q32" i="31"/>
  <c r="V31" i="31"/>
  <c r="T31" i="31"/>
  <c r="Q31" i="31"/>
  <c r="V30" i="31"/>
  <c r="T30" i="31"/>
  <c r="Q30" i="31"/>
  <c r="V29" i="31"/>
  <c r="T29" i="31"/>
  <c r="Q29" i="31"/>
  <c r="V28" i="31"/>
  <c r="T28" i="31"/>
  <c r="Q28" i="31"/>
  <c r="V27" i="31"/>
  <c r="T27" i="31"/>
  <c r="Q27" i="31"/>
  <c r="V26" i="31"/>
  <c r="T26" i="31"/>
  <c r="Q26" i="31"/>
  <c r="V25" i="31"/>
  <c r="T25" i="31"/>
  <c r="Q25" i="31"/>
  <c r="V24" i="31"/>
  <c r="T24" i="31"/>
  <c r="Q24" i="31"/>
  <c r="V23" i="31"/>
  <c r="T23" i="31"/>
  <c r="Q23" i="31"/>
  <c r="V22" i="31"/>
  <c r="T22" i="31"/>
  <c r="Q22" i="31"/>
  <c r="V21" i="31"/>
  <c r="T21" i="31"/>
  <c r="Q21" i="31"/>
  <c r="V20" i="31"/>
  <c r="T20" i="31"/>
  <c r="Q20" i="31"/>
  <c r="V19" i="31"/>
  <c r="T19" i="31"/>
  <c r="Q19" i="31"/>
  <c r="V18" i="31"/>
  <c r="T18" i="31"/>
  <c r="Q18" i="31"/>
  <c r="V17" i="31"/>
  <c r="T17" i="31"/>
  <c r="Q17" i="31"/>
  <c r="V16" i="31"/>
  <c r="T16" i="31"/>
  <c r="Q16" i="31"/>
  <c r="V15" i="31"/>
  <c r="T15" i="31"/>
  <c r="Q15" i="31"/>
  <c r="V14" i="31"/>
  <c r="T14" i="31"/>
  <c r="Q14" i="31"/>
  <c r="V13" i="31"/>
  <c r="T13" i="31"/>
  <c r="Q13" i="31"/>
  <c r="V12" i="31"/>
  <c r="T12" i="31"/>
  <c r="Q12" i="31"/>
  <c r="V11" i="31"/>
  <c r="T11" i="31"/>
  <c r="Q11" i="31"/>
  <c r="V10" i="31"/>
  <c r="T10" i="31"/>
  <c r="Q10" i="31"/>
  <c r="V9" i="31"/>
  <c r="T9" i="31"/>
  <c r="Q9" i="31"/>
  <c r="V8" i="31"/>
  <c r="T8" i="31"/>
  <c r="Q8" i="31"/>
  <c r="V7" i="31"/>
  <c r="T7" i="31"/>
  <c r="Q7" i="31"/>
  <c r="V6" i="31"/>
  <c r="T6" i="31"/>
  <c r="Q6" i="31"/>
  <c r="V5" i="31"/>
  <c r="T5" i="31"/>
  <c r="Q5" i="31"/>
  <c r="V4" i="31"/>
  <c r="T4" i="31"/>
  <c r="Q4" i="31"/>
  <c r="V3" i="31"/>
  <c r="T3" i="31"/>
  <c r="Q3" i="31"/>
  <c r="V2" i="31"/>
  <c r="T2" i="31"/>
  <c r="Q2" i="31"/>
  <c r="T160" i="30" l="1"/>
  <c r="V160" i="30" s="1"/>
  <c r="Q160" i="30"/>
  <c r="T159" i="30"/>
  <c r="V159" i="30" s="1"/>
  <c r="Q159" i="30"/>
  <c r="T158" i="30"/>
  <c r="V158" i="30" s="1"/>
  <c r="Q158" i="30"/>
  <c r="T157" i="30"/>
  <c r="V157" i="30" s="1"/>
  <c r="Q157" i="30"/>
  <c r="T156" i="30"/>
  <c r="V156" i="30" s="1"/>
  <c r="Q156" i="30"/>
  <c r="T155" i="30"/>
  <c r="V155" i="30" s="1"/>
  <c r="Q155" i="30"/>
  <c r="T154" i="30"/>
  <c r="V154" i="30" s="1"/>
  <c r="Q154" i="30"/>
  <c r="T153" i="30"/>
  <c r="V153" i="30" s="1"/>
  <c r="Q153" i="30"/>
  <c r="T152" i="30"/>
  <c r="V152" i="30" s="1"/>
  <c r="Q152" i="30"/>
  <c r="T151" i="30"/>
  <c r="V151" i="30" s="1"/>
  <c r="Q151" i="30"/>
  <c r="T150" i="30"/>
  <c r="V150" i="30" s="1"/>
  <c r="Q150" i="30"/>
  <c r="T149" i="30"/>
  <c r="V149" i="30" s="1"/>
  <c r="Q149" i="30"/>
  <c r="T148" i="30"/>
  <c r="V148" i="30" s="1"/>
  <c r="Q148" i="30"/>
  <c r="T147" i="30"/>
  <c r="V147" i="30" s="1"/>
  <c r="Q147" i="30"/>
  <c r="T146" i="30"/>
  <c r="V146" i="30" s="1"/>
  <c r="Q146" i="30"/>
  <c r="T145" i="30"/>
  <c r="V145" i="30" s="1"/>
  <c r="Q145" i="30"/>
  <c r="T144" i="30"/>
  <c r="V144" i="30" s="1"/>
  <c r="Q144" i="30"/>
  <c r="T143" i="30"/>
  <c r="V143" i="30" s="1"/>
  <c r="Q143" i="30"/>
  <c r="T142" i="30"/>
  <c r="V142" i="30" s="1"/>
  <c r="Q142" i="30"/>
  <c r="T141" i="30"/>
  <c r="V141" i="30" s="1"/>
  <c r="Q141" i="30"/>
  <c r="T140" i="30"/>
  <c r="V140" i="30" s="1"/>
  <c r="Q140" i="30"/>
  <c r="T139" i="30"/>
  <c r="V139" i="30" s="1"/>
  <c r="Q139" i="30"/>
  <c r="T138" i="30"/>
  <c r="V138" i="30" s="1"/>
  <c r="Q138" i="30"/>
  <c r="T137" i="30"/>
  <c r="V137" i="30" s="1"/>
  <c r="Q137" i="30"/>
  <c r="T136" i="30"/>
  <c r="V136" i="30" s="1"/>
  <c r="Q136" i="30"/>
  <c r="T135" i="30"/>
  <c r="V135" i="30" s="1"/>
  <c r="Q135" i="30"/>
  <c r="T134" i="30"/>
  <c r="V134" i="30" s="1"/>
  <c r="Q134" i="30"/>
  <c r="T133" i="30"/>
  <c r="V133" i="30" s="1"/>
  <c r="Q133" i="30"/>
  <c r="T132" i="30"/>
  <c r="V132" i="30" s="1"/>
  <c r="Q132" i="30"/>
  <c r="T131" i="30"/>
  <c r="V131" i="30" s="1"/>
  <c r="Q131" i="30"/>
  <c r="T130" i="30"/>
  <c r="V130" i="30" s="1"/>
  <c r="Q130" i="30"/>
  <c r="T129" i="30"/>
  <c r="V129" i="30" s="1"/>
  <c r="Q129" i="30"/>
  <c r="T128" i="30"/>
  <c r="V128" i="30" s="1"/>
  <c r="Q128" i="30"/>
  <c r="T127" i="30"/>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130" i="29" l="1"/>
  <c r="V130" i="29" s="1"/>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115" i="28" l="1"/>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T260" i="26" l="1"/>
  <c r="V260" i="26" s="1"/>
  <c r="Q260" i="26"/>
  <c r="T259" i="26"/>
  <c r="V259" i="26" s="1"/>
  <c r="Q259" i="26"/>
  <c r="T258" i="26"/>
  <c r="V258" i="26" s="1"/>
  <c r="Q258" i="26"/>
  <c r="T257" i="26"/>
  <c r="V257" i="26" s="1"/>
  <c r="Q257" i="26"/>
  <c r="T256" i="26"/>
  <c r="V256" i="26" s="1"/>
  <c r="Q256" i="26"/>
  <c r="T255" i="26"/>
  <c r="V255" i="26" s="1"/>
  <c r="Q255" i="26"/>
  <c r="T254" i="26"/>
  <c r="V254" i="26" s="1"/>
  <c r="Q254" i="26"/>
  <c r="T253" i="26"/>
  <c r="V253" i="26" s="1"/>
  <c r="Q253" i="26"/>
  <c r="T252" i="26"/>
  <c r="V252" i="26" s="1"/>
  <c r="Q252" i="26"/>
  <c r="T251" i="26"/>
  <c r="V251" i="26" s="1"/>
  <c r="Q251" i="26"/>
  <c r="T250" i="26"/>
  <c r="V250" i="26" s="1"/>
  <c r="Q250" i="26"/>
  <c r="T249" i="26"/>
  <c r="V249" i="26" s="1"/>
  <c r="Q249" i="26"/>
  <c r="T248" i="26"/>
  <c r="V248" i="26" s="1"/>
  <c r="Q248" i="26"/>
  <c r="T247" i="26"/>
  <c r="V247" i="26" s="1"/>
  <c r="Q247" i="26"/>
  <c r="T246" i="26"/>
  <c r="V246" i="26" s="1"/>
  <c r="Q246" i="26"/>
  <c r="T245" i="26"/>
  <c r="V245" i="26" s="1"/>
  <c r="Q245" i="26"/>
  <c r="T244" i="26"/>
  <c r="V244" i="26" s="1"/>
  <c r="Q244" i="26"/>
  <c r="T243" i="26"/>
  <c r="V243" i="26" s="1"/>
  <c r="Q243" i="26"/>
  <c r="T242" i="26"/>
  <c r="V242" i="26" s="1"/>
  <c r="Q242" i="26"/>
  <c r="T241" i="26"/>
  <c r="V241" i="26" s="1"/>
  <c r="Q241" i="26"/>
  <c r="T240" i="26"/>
  <c r="V240" i="26" s="1"/>
  <c r="Q240" i="26"/>
  <c r="T239" i="26"/>
  <c r="V239" i="26" s="1"/>
  <c r="Q239" i="26"/>
  <c r="T238" i="26"/>
  <c r="V238" i="26" s="1"/>
  <c r="Q238" i="26"/>
  <c r="T237" i="26"/>
  <c r="V237" i="26" s="1"/>
  <c r="Q237" i="26"/>
  <c r="T236" i="26"/>
  <c r="V236" i="26" s="1"/>
  <c r="Q236" i="26"/>
  <c r="T235" i="26"/>
  <c r="V235" i="26" s="1"/>
  <c r="Q235" i="26"/>
  <c r="T234" i="26"/>
  <c r="V234" i="26" s="1"/>
  <c r="Q234" i="26"/>
  <c r="T233" i="26"/>
  <c r="V233" i="26" s="1"/>
  <c r="Q233" i="26"/>
  <c r="T232" i="26"/>
  <c r="V232" i="26" s="1"/>
  <c r="Q232" i="26"/>
  <c r="T231" i="26"/>
  <c r="V231" i="26" s="1"/>
  <c r="Q231" i="26"/>
  <c r="T230" i="26"/>
  <c r="V230" i="26" s="1"/>
  <c r="Q230" i="26"/>
  <c r="T229" i="26"/>
  <c r="V229" i="26" s="1"/>
  <c r="Q229" i="26"/>
  <c r="T228" i="26"/>
  <c r="V228" i="26" s="1"/>
  <c r="Q228" i="26"/>
  <c r="T227" i="26"/>
  <c r="V227" i="26" s="1"/>
  <c r="Q227" i="26"/>
  <c r="T226" i="26"/>
  <c r="V226" i="26" s="1"/>
  <c r="Q226" i="26"/>
  <c r="T225" i="26"/>
  <c r="V225" i="26" s="1"/>
  <c r="Q225" i="26"/>
  <c r="T224" i="26"/>
  <c r="V224" i="26" s="1"/>
  <c r="Q224" i="26"/>
  <c r="T223" i="26"/>
  <c r="V223" i="26" s="1"/>
  <c r="Q223" i="26"/>
  <c r="T222" i="26"/>
  <c r="V222" i="26" s="1"/>
  <c r="Q222" i="26"/>
  <c r="T221" i="26"/>
  <c r="V221" i="26" s="1"/>
  <c r="Q221" i="26"/>
  <c r="T220" i="26"/>
  <c r="V220" i="26" s="1"/>
  <c r="Q220" i="26"/>
  <c r="T219" i="26"/>
  <c r="V219" i="26" s="1"/>
  <c r="Q219" i="26"/>
  <c r="T218" i="26"/>
  <c r="V218" i="26" s="1"/>
  <c r="Q218" i="26"/>
  <c r="T217" i="26"/>
  <c r="V217" i="26" s="1"/>
  <c r="Q217" i="26"/>
  <c r="T216" i="26"/>
  <c r="V216" i="26" s="1"/>
  <c r="Q216" i="26"/>
  <c r="T215" i="26"/>
  <c r="V215" i="26" s="1"/>
  <c r="Q215" i="26"/>
  <c r="T214" i="26"/>
  <c r="V214" i="26" s="1"/>
  <c r="Q214" i="26"/>
  <c r="T213" i="26"/>
  <c r="V213" i="26" s="1"/>
  <c r="Q213" i="26"/>
  <c r="T212" i="26"/>
  <c r="V212" i="26" s="1"/>
  <c r="Q212" i="26"/>
  <c r="T211" i="26"/>
  <c r="V211" i="26" s="1"/>
  <c r="Q211" i="26"/>
  <c r="T210" i="26"/>
  <c r="V210" i="26" s="1"/>
  <c r="Q210" i="26"/>
  <c r="T209" i="26"/>
  <c r="V209" i="26" s="1"/>
  <c r="Q209" i="26"/>
  <c r="T208" i="26"/>
  <c r="V208" i="26" s="1"/>
  <c r="Q208" i="26"/>
  <c r="T207" i="26"/>
  <c r="V207" i="26" s="1"/>
  <c r="Q207" i="26"/>
  <c r="T206" i="26"/>
  <c r="V206" i="26" s="1"/>
  <c r="Q206" i="26"/>
  <c r="T205" i="26"/>
  <c r="V205" i="26" s="1"/>
  <c r="Q205" i="26"/>
  <c r="T204" i="26"/>
  <c r="V204" i="26" s="1"/>
  <c r="Q204" i="26"/>
  <c r="T203" i="26"/>
  <c r="V203" i="26" s="1"/>
  <c r="Q203" i="26"/>
  <c r="T202" i="26"/>
  <c r="V202" i="26" s="1"/>
  <c r="Q202" i="26"/>
  <c r="T201" i="26"/>
  <c r="V201" i="26" s="1"/>
  <c r="Q201" i="26"/>
  <c r="T200" i="26"/>
  <c r="V200" i="26" s="1"/>
  <c r="Q200" i="26"/>
  <c r="T199" i="26"/>
  <c r="V199" i="26" s="1"/>
  <c r="Q199" i="26"/>
  <c r="T198" i="26"/>
  <c r="V198" i="26" s="1"/>
  <c r="Q198" i="26"/>
  <c r="T197" i="26"/>
  <c r="V197" i="26" s="1"/>
  <c r="Q197" i="26"/>
  <c r="T196" i="26"/>
  <c r="V196" i="26" s="1"/>
  <c r="Q196" i="26"/>
  <c r="T195" i="26"/>
  <c r="V195" i="26" s="1"/>
  <c r="Q195" i="26"/>
  <c r="T194" i="26"/>
  <c r="V194" i="26" s="1"/>
  <c r="Q194" i="26"/>
  <c r="T193" i="26"/>
  <c r="V193" i="26" s="1"/>
  <c r="Q193" i="26"/>
  <c r="T192" i="26"/>
  <c r="V192" i="26" s="1"/>
  <c r="Q192" i="26"/>
  <c r="T191" i="26"/>
  <c r="V191" i="26" s="1"/>
  <c r="Q191" i="26"/>
  <c r="T190" i="26"/>
  <c r="V190" i="26" s="1"/>
  <c r="Q190" i="26"/>
  <c r="T189" i="26"/>
  <c r="V189" i="26" s="1"/>
  <c r="Q189" i="26"/>
  <c r="T188" i="26"/>
  <c r="V188" i="26" s="1"/>
  <c r="Q188" i="26"/>
  <c r="T187" i="26"/>
  <c r="V187" i="26" s="1"/>
  <c r="Q187" i="26"/>
  <c r="T186" i="26"/>
  <c r="V186" i="26" s="1"/>
  <c r="Q186" i="26"/>
  <c r="T185" i="26"/>
  <c r="V185" i="26" s="1"/>
  <c r="Q185" i="26"/>
  <c r="T184" i="26"/>
  <c r="V184" i="26" s="1"/>
  <c r="Q184" i="26"/>
  <c r="T183" i="26"/>
  <c r="V183" i="26" s="1"/>
  <c r="Q183" i="26"/>
  <c r="T182" i="26"/>
  <c r="V182" i="26" s="1"/>
  <c r="Q182" i="26"/>
  <c r="T181" i="26"/>
  <c r="V181" i="26" s="1"/>
  <c r="Q181" i="26"/>
  <c r="T180" i="26"/>
  <c r="V180" i="26" s="1"/>
  <c r="Q180" i="26"/>
  <c r="T179" i="26"/>
  <c r="V179" i="26" s="1"/>
  <c r="Q179" i="26"/>
  <c r="T178" i="26"/>
  <c r="V178" i="26" s="1"/>
  <c r="Q178" i="26"/>
  <c r="T177" i="26"/>
  <c r="V177" i="26" s="1"/>
  <c r="Q177" i="26"/>
  <c r="T176" i="26"/>
  <c r="V176" i="26" s="1"/>
  <c r="Q176" i="26"/>
  <c r="T175" i="26"/>
  <c r="V175" i="26" s="1"/>
  <c r="Q175" i="26"/>
  <c r="T174" i="26"/>
  <c r="V174" i="26" s="1"/>
  <c r="Q174" i="26"/>
  <c r="T173" i="26"/>
  <c r="V173" i="26" s="1"/>
  <c r="Q173" i="26"/>
  <c r="T172" i="26"/>
  <c r="V172" i="26" s="1"/>
  <c r="Q172" i="26"/>
  <c r="T171" i="26"/>
  <c r="V171" i="26" s="1"/>
  <c r="Q171" i="26"/>
  <c r="T170" i="26"/>
  <c r="V170" i="26" s="1"/>
  <c r="Q170" i="26"/>
  <c r="T169" i="26"/>
  <c r="V169" i="26" s="1"/>
  <c r="Q169" i="26"/>
  <c r="T168" i="26"/>
  <c r="V168" i="26" s="1"/>
  <c r="Q168" i="26"/>
  <c r="T167" i="26"/>
  <c r="V167" i="26" s="1"/>
  <c r="Q167" i="26"/>
  <c r="T166" i="26"/>
  <c r="V166" i="26" s="1"/>
  <c r="Q166" i="26"/>
  <c r="T165" i="26"/>
  <c r="V165" i="26" s="1"/>
  <c r="Q165" i="26"/>
  <c r="T164" i="26"/>
  <c r="V164" i="26" s="1"/>
  <c r="Q164" i="26"/>
  <c r="T163" i="26"/>
  <c r="V163" i="26" s="1"/>
  <c r="Q163" i="26"/>
  <c r="T162" i="26"/>
  <c r="V162" i="26" s="1"/>
  <c r="Q162" i="26"/>
  <c r="T161" i="26"/>
  <c r="V161" i="26" s="1"/>
  <c r="Q161" i="26"/>
  <c r="T160" i="26"/>
  <c r="V160" i="26" s="1"/>
  <c r="Q160" i="26"/>
  <c r="T159" i="26"/>
  <c r="V159" i="26" s="1"/>
  <c r="Q159" i="26"/>
  <c r="T158" i="26"/>
  <c r="V158" i="26" s="1"/>
  <c r="Q158" i="26"/>
  <c r="T157" i="26"/>
  <c r="V157" i="26" s="1"/>
  <c r="Q157" i="26"/>
  <c r="T156" i="26"/>
  <c r="V156" i="26" s="1"/>
  <c r="Q156" i="26"/>
  <c r="T155" i="26"/>
  <c r="V155" i="26" s="1"/>
  <c r="Q155" i="26"/>
  <c r="T154" i="26"/>
  <c r="V154" i="26" s="1"/>
  <c r="Q154" i="26"/>
  <c r="T153" i="26"/>
  <c r="V153" i="26" s="1"/>
  <c r="Q153" i="26"/>
  <c r="T152" i="26"/>
  <c r="V152" i="26" s="1"/>
  <c r="Q152" i="26"/>
  <c r="T151" i="26"/>
  <c r="V151" i="26" s="1"/>
  <c r="Q151" i="26"/>
  <c r="T150" i="26"/>
  <c r="V150" i="26" s="1"/>
  <c r="Q150" i="26"/>
  <c r="T149" i="26"/>
  <c r="V149" i="26" s="1"/>
  <c r="Q149" i="26"/>
  <c r="T148" i="26"/>
  <c r="V148" i="26" s="1"/>
  <c r="Q148" i="26"/>
  <c r="T147" i="26"/>
  <c r="V147" i="26" s="1"/>
  <c r="Q147" i="26"/>
  <c r="T146" i="26"/>
  <c r="V146" i="26" s="1"/>
  <c r="Q146" i="26"/>
  <c r="T145" i="26"/>
  <c r="V145" i="26" s="1"/>
  <c r="Q145" i="26"/>
  <c r="T144" i="26"/>
  <c r="V144" i="26" s="1"/>
  <c r="Q144" i="26"/>
  <c r="T143" i="26"/>
  <c r="V143" i="26" s="1"/>
  <c r="Q143" i="26"/>
  <c r="T142" i="26"/>
  <c r="V142" i="26" s="1"/>
  <c r="Q142" i="26"/>
  <c r="T141" i="26"/>
  <c r="V141" i="26" s="1"/>
  <c r="Q141" i="26"/>
  <c r="T140" i="26"/>
  <c r="V140" i="26" s="1"/>
  <c r="Q140" i="26"/>
  <c r="T139" i="26"/>
  <c r="V139" i="26" s="1"/>
  <c r="Q139" i="26"/>
  <c r="T138" i="26"/>
  <c r="V138" i="26" s="1"/>
  <c r="Q138" i="26"/>
  <c r="T137" i="26"/>
  <c r="V137" i="26" s="1"/>
  <c r="Q137" i="26"/>
  <c r="T136" i="26"/>
  <c r="V136" i="26" s="1"/>
  <c r="Q136" i="26"/>
  <c r="T135" i="26"/>
  <c r="V135" i="26" s="1"/>
  <c r="Q135" i="26"/>
  <c r="T134" i="26"/>
  <c r="V134" i="26" s="1"/>
  <c r="Q134" i="26"/>
  <c r="T133" i="26"/>
  <c r="V133" i="26" s="1"/>
  <c r="Q133" i="26"/>
  <c r="T132" i="26"/>
  <c r="V132" i="26" s="1"/>
  <c r="Q132" i="26"/>
  <c r="T131" i="26"/>
  <c r="V131" i="26" s="1"/>
  <c r="Q131" i="26"/>
  <c r="T130" i="26"/>
  <c r="V130" i="26" s="1"/>
  <c r="Q130" i="26"/>
  <c r="T129" i="26"/>
  <c r="V129" i="26" s="1"/>
  <c r="Q129" i="26"/>
  <c r="T128" i="26"/>
  <c r="V128" i="26" s="1"/>
  <c r="Q128" i="26"/>
  <c r="T127" i="26"/>
  <c r="V127" i="26" s="1"/>
  <c r="Q127" i="26"/>
  <c r="T126" i="26"/>
  <c r="V126" i="26" s="1"/>
  <c r="Q126" i="26"/>
  <c r="T125" i="26"/>
  <c r="V125" i="26" s="1"/>
  <c r="Q125" i="26"/>
  <c r="T124" i="26"/>
  <c r="V124" i="26" s="1"/>
  <c r="Q124" i="26"/>
  <c r="T123" i="26"/>
  <c r="V123" i="26" s="1"/>
  <c r="Q123" i="26"/>
  <c r="T122" i="26"/>
  <c r="V122" i="26" s="1"/>
  <c r="Q122" i="26"/>
  <c r="T121" i="26"/>
  <c r="V121" i="26" s="1"/>
  <c r="Q121" i="26"/>
  <c r="T120" i="26"/>
  <c r="V120" i="26" s="1"/>
  <c r="Q120" i="26"/>
  <c r="T119" i="26"/>
  <c r="V119" i="26" s="1"/>
  <c r="Q119" i="26"/>
  <c r="T118" i="26"/>
  <c r="V118" i="26" s="1"/>
  <c r="Q118" i="26"/>
  <c r="T117" i="26"/>
  <c r="V117" i="26" s="1"/>
  <c r="Q117" i="26"/>
  <c r="T116" i="26"/>
  <c r="V116" i="26" s="1"/>
  <c r="Q116" i="26"/>
  <c r="T115" i="26"/>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T142" i="25" l="1"/>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6" i="23" l="1"/>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T112" i="23"/>
  <c r="V112" i="23" s="1"/>
  <c r="T113" i="23"/>
  <c r="V113" i="23" s="1"/>
  <c r="T114" i="23"/>
  <c r="V114" i="23" s="1"/>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7" i="23"/>
  <c r="Q88" i="23"/>
  <c r="Q89" i="23"/>
  <c r="Q90" i="23"/>
  <c r="Q91" i="23"/>
  <c r="Q92" i="23"/>
  <c r="Q93" i="23"/>
  <c r="Q94" i="23"/>
  <c r="Q95" i="23"/>
  <c r="Q96" i="23"/>
  <c r="Q97" i="23"/>
  <c r="Q98" i="23"/>
  <c r="Q99" i="23"/>
  <c r="Q100" i="23"/>
  <c r="Q101" i="23"/>
  <c r="Q102" i="23"/>
  <c r="Q103" i="23"/>
  <c r="Q104"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<sst xmlns="http://schemas.openxmlformats.org/spreadsheetml/2006/main" count="15964" uniqueCount="425">
  <si>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</si>
  <si>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</si>
  <si>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</si>
  <si>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</si>
  <si>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</si>
  <si>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</si>
  <si>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</si>
  <si>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</si>
  <si>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</si>
  <si>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</si>
  <si>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</si>
  <si>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</si>
  <si>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</si>
  <si>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</si>
  <si>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</si>
  <si>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</si>
  <si>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</si>
  <si>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</si>
  <si>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</si>
  <si>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</si>
  <si>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</si>
  <si>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</si>
  <si>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</si>
  <si>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</si>
  <si>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</si>
  <si>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</si>
  <si>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</si>
  <si>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</si>
  <si>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</si>
  <si>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</si>
  <si>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</si>
  <si>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</si>
  <si>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</si>
  <si>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</si>
  <si>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</si>
  <si>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</si>
  <si>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</si>
  <si>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</si>
  <si>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</si>
  <si>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</si>
  <si>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</si>
  <si>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</si>
  <si>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</si>
  <si>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</si>
  <si>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</si>
  <si>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</si>
  <si>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</si>
  <si>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</si>
  <si>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</si>
  <si>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</si>
  <si>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</si>
  <si>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</si>
  <si>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</si>
  <si>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</si>
  <si>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</si>
  <si>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</si>
  <si>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</si>
  <si>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</si>
  <si>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</si>
  <si>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</si>
  <si>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</si>
  <si>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</si>
  <si>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</si>
  <si>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</si>
  <si>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</si>
  <si>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</si>
  <si>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</si>
  <si>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</si>
  <si>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</si>
  <si>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</si>
  <si>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</si>
  <si>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</si>
  <si>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</si>
  <si>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</si>
  <si>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</si>
  <si>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</si>
  <si>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</si>
  <si>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</si>
  <si>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</si>
  <si>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</si>
  <si>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</si>
  <si>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</si>
  <si>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</si>
  <si>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</si>
  <si>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</si>
  <si>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</si>
  <si>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</si>
  <si>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</si>
  <si>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</si>
  <si>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</si>
  <si>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</si>
  <si>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</si>
  <si>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</si>
  <si>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</si>
  <si>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</si>
  <si>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</si>
  <si>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</si>
  <si>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</si>
  <si>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</si>
  <si>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</si>
  <si>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</si>
  <si>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</si>
  <si>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</si>
  <si>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</si>
  <si>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</si>
  <si>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</si>
  <si>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</si>
  <si>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</si>
  <si>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</si>
  <si>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</si>
  <si>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</si>
  <si>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</si>
  <si>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</si>
  <si>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</si>
  <si>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</si>
  <si>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</si>
  <si>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</si>
  <si>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</si>
  <si>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</si>
  <si>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</si>
  <si>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</si>
  <si>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</si>
  <si>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</si>
  <si>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</si>
  <si>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</si>
  <si>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</si>
  <si>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</si>
  <si>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</si>
  <si>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</si>
  <si>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</si>
  <si>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</si>
  <si>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</si>
  <si>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</si>
  <si>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</si>
  <si>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</si>
  <si>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</si>
  <si>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</si>
  <si>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</si>
  <si>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</si>
  <si>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</si>
  <si>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</si>
  <si>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</si>
  <si>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</si>
  <si>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</si>
  <si>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</si>
  <si>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</si>
  <si>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</si>
  <si>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</si>
  <si>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</si>
  <si>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</si>
  <si>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</si>
  <si>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</si>
  <si>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</si>
  <si>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</si>
  <si>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</si>
  <si>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</si>
  <si>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</si>
  <si>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</si>
  <si>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</si>
  <si>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</si>
  <si>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</si>
  <si>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</si>
  <si>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</si>
  <si>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MIKO</t>
  </si>
  <si>
    <t>20.08.2020</t>
  </si>
  <si>
    <t>20.08.2020</t>
    <phoneticPr fontId="3"/>
  </si>
  <si>
    <t>マルエツ</t>
  </si>
  <si>
    <t>GA</t>
  </si>
  <si>
    <t>サミット</t>
  </si>
  <si>
    <t>ライフ</t>
  </si>
  <si>
    <t>オオゼキ</t>
  </si>
  <si>
    <t>ＩＹ</t>
  </si>
  <si>
    <t>OB</t>
  </si>
  <si>
    <t>HW</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</si>
  <si>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</si>
  <si>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</si>
  <si>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</si>
  <si>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</si>
  <si>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</si>
  <si>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</si>
  <si>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</si>
  <si>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</si>
  <si>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</si>
  <si>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</si>
  <si>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</si>
  <si>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</si>
  <si>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</si>
  <si>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</si>
  <si>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</si>
  <si>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</si>
  <si>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</si>
  <si>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18.08.2020</t>
    <phoneticPr fontId="14"/>
  </si>
  <si>
    <t>イオン</t>
  </si>
  <si>
    <t>利府店</t>
  </si>
  <si>
    <t>JPY</t>
  </si>
  <si>
    <t>その他グリーン</t>
  </si>
  <si>
    <t>みやぎ生協</t>
  </si>
  <si>
    <t>その他ゴールド</t>
  </si>
  <si>
    <t>杉の入店</t>
  </si>
  <si>
    <t>その他レッド</t>
  </si>
  <si>
    <t>減農薬栽培</t>
  </si>
  <si>
    <t>D'lish</t>
  </si>
  <si>
    <t>中国</t>
  </si>
  <si>
    <t>18.08.2020</t>
  </si>
  <si>
    <t>ウジエ</t>
  </si>
  <si>
    <t>Del Monte</t>
  </si>
  <si>
    <t>塩釜店</t>
  </si>
  <si>
    <t>GK</t>
  </si>
  <si>
    <t>ザ・ビッグ</t>
  </si>
  <si>
    <t>HE</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</si>
  <si>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</si>
  <si>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</si>
  <si>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</si>
  <si>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</si>
  <si>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</si>
  <si>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</si>
  <si>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</si>
  <si>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</si>
  <si>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</si>
  <si>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</si>
  <si>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</si>
  <si>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</si>
  <si>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</si>
  <si>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</si>
  <si>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</si>
  <si>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</si>
  <si>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</si>
  <si>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</si>
  <si>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</si>
  <si>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</si>
  <si>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</si>
  <si>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</si>
  <si>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</si>
  <si>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</si>
  <si>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</si>
  <si>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</si>
  <si>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</si>
  <si>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</si>
  <si>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</si>
  <si>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</si>
  <si>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</si>
  <si>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</si>
  <si>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</si>
  <si>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チェーン名</t>
    <phoneticPr fontId="3"/>
  </si>
  <si>
    <t>硬度　　　１</t>
    <rPh sb="0" eb="2">
      <t>コウド</t>
    </rPh>
    <phoneticPr fontId="4"/>
  </si>
  <si>
    <t>U/P JPY</t>
    <phoneticPr fontId="4"/>
  </si>
  <si>
    <t>２番人気
果実</t>
    <phoneticPr fontId="3"/>
  </si>
  <si>
    <t>17.08.2020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</si>
  <si>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</si>
  <si>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</si>
  <si>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</si>
  <si>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</si>
  <si>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</si>
  <si>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</si>
  <si>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</si>
  <si>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</si>
  <si>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</si>
  <si>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</si>
  <si>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</si>
  <si>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</si>
  <si>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</si>
  <si>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</si>
  <si>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</si>
  <si>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</si>
  <si>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</si>
  <si>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</si>
  <si>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</si>
  <si>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</si>
  <si>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</si>
  <si>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</si>
  <si>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</si>
  <si>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</si>
  <si>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</si>
  <si>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</si>
  <si>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松江店</t>
  </si>
  <si>
    <t>コモディイイダ</t>
  </si>
  <si>
    <t>いなげや</t>
  </si>
  <si>
    <t>県名</t>
    <phoneticPr fontId="3"/>
  </si>
  <si>
    <t>品種</t>
    <phoneticPr fontId="3"/>
  </si>
  <si>
    <t>販売
ユニット
個数</t>
    <phoneticPr fontId="4"/>
  </si>
  <si>
    <t>JP</t>
    <phoneticPr fontId="4"/>
  </si>
  <si>
    <t>19.08.2020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</si>
  <si>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</si>
  <si>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</si>
  <si>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</si>
  <si>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</si>
  <si>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</si>
  <si>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</si>
  <si>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</si>
  <si>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</si>
  <si>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</si>
  <si>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</si>
  <si>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普通店</t>
    <phoneticPr fontId="4"/>
  </si>
  <si>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</si>
  <si>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</si>
  <si>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</si>
  <si>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</si>
  <si>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</si>
  <si>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</si>
  <si>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</si>
  <si>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</si>
  <si>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</si>
  <si>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</si>
  <si>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</si>
  <si>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</si>
  <si>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</si>
  <si>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</si>
  <si>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</si>
  <si>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</si>
  <si>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</si>
  <si>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</si>
  <si>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</si>
  <si>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</si>
  <si>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</si>
  <si>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</si>
  <si>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</si>
  <si>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マックスバリュ</t>
  </si>
  <si>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</si>
  <si>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</si>
  <si>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</si>
  <si>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</si>
  <si>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</si>
  <si>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</si>
  <si>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21.08.2020</t>
  </si>
  <si>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</si>
  <si>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</si>
  <si>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</si>
  <si>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</si>
  <si>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</si>
  <si>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</si>
  <si>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</si>
  <si>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</si>
  <si>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</si>
  <si>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</si>
  <si>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</si>
  <si>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</si>
  <si>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</si>
  <si>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</si>
  <si>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</si>
  <si>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21.09.2020</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</si>
  <si>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</si>
  <si>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</si>
  <si>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</si>
  <si>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</si>
  <si>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</si>
  <si>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</si>
  <si>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</si>
  <si>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</si>
  <si>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</si>
  <si>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</si>
  <si>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</si>
  <si>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</si>
  <si>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</si>
  <si>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</si>
  <si>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</si>
  <si>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</si>
  <si>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栃木</t>
  </si>
  <si>
    <t>ＪＡ栃木</t>
  </si>
  <si>
    <t>愛知</t>
  </si>
  <si>
    <t>ＪＡ愛知</t>
  </si>
  <si>
    <t>宮の沢店</t>
    <rPh sb="0" eb="1">
      <t>ミヤ</t>
    </rPh>
    <rPh sb="2" eb="3">
      <t>サワ</t>
    </rPh>
    <rPh sb="3" eb="4">
      <t>テン</t>
    </rPh>
    <phoneticPr fontId="3"/>
  </si>
  <si>
    <t>コープさっぽろ</t>
  </si>
  <si>
    <t>西宮の沢店</t>
    <rPh sb="0" eb="2">
      <t>ニシミヤ</t>
    </rPh>
    <rPh sb="3" eb="4">
      <t>サワ</t>
    </rPh>
    <rPh sb="4" eb="5">
      <t>テン</t>
    </rPh>
    <phoneticPr fontId="3"/>
  </si>
  <si>
    <t>17.08.2020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</si>
  <si>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</si>
  <si>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</si>
  <si>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</si>
  <si>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</si>
  <si>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</si>
  <si>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</si>
  <si>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</si>
  <si>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</si>
  <si>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</si>
  <si>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</si>
  <si>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</si>
  <si>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</si>
  <si>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</si>
  <si>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GA</t>
    <phoneticPr fontId="3"/>
  </si>
  <si>
    <t>HW</t>
    <phoneticPr fontId="3"/>
  </si>
  <si>
    <t>19.08.2020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</si>
  <si>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</si>
  <si>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</si>
  <si>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</si>
  <si>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</si>
  <si>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</si>
  <si>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</si>
  <si>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</si>
  <si>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</si>
  <si>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</si>
  <si>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</si>
  <si>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</si>
  <si>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</si>
  <si>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</si>
  <si>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</si>
  <si>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</si>
  <si>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</si>
  <si>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</si>
  <si>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</si>
  <si>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</si>
  <si>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</si>
  <si>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</si>
  <si>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</si>
  <si>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</si>
  <si>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</si>
  <si>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</si>
  <si>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</si>
  <si>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</si>
  <si>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</si>
  <si>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</si>
  <si>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</si>
  <si>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</si>
  <si>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</si>
  <si>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</si>
  <si>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</si>
  <si>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</si>
  <si>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</si>
  <si>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</si>
  <si>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</si>
  <si>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</si>
  <si>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</si>
  <si>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</si>
  <si>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</si>
  <si>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CK</t>
    <phoneticPr fontId="3"/>
  </si>
  <si>
    <t>普通店</t>
    <phoneticPr fontId="3"/>
  </si>
  <si>
    <t>MIKO</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</si>
</sst>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name val="ＭＳ Ｐゴシック"/>
      <family val="3"/>
      <charset val="128"/>
      <scheme val="minor"/>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9">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0" borderId="31" xfId="1" applyFill="1" applyBorder="1"/>
    <xf numFmtId="0" fontId="1" fillId="3" borderId="0" xfId="1" applyFill="1" applyBorder="1"/>
    <xf numFmtId="0" fontId="1" fillId="0" borderId="32"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3" xfId="1" applyFont="1" applyBorder="1"/>
    <xf numFmtId="0" fontId="1" fillId="0" borderId="17" xfId="1" applyFill="1" applyBorder="1"/>
    <xf numFmtId="0" fontId="1" fillId="0" borderId="34" xfId="1" applyFont="1" applyBorder="1"/>
    <xf numFmtId="0" fontId="1" fillId="0" borderId="28" xfId="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3" borderId="0" xfId="1" applyNumberFormat="1" applyFill="1"/>
    <xf numFmtId="0" fontId="10" fillId="0" borderId="7" xfId="1" applyFont="1" applyBorder="1"/>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2" applyFont="1" applyBorder="1" applyAlignment="1">
      <alignment horizontal="center" vertical="center"/>
    </xf>
    <xf numFmtId="0" fontId="1" fillId="0" borderId="18" xfId="1" applyBorder="1"/>
    <xf numFmtId="0" fontId="1" fillId="3" borderId="0" xfId="1" applyFill="1"/>
    <xf numFmtId="0" fontId="15" fillId="0" borderId="0" xfId="1" applyFont="1"/>
    <xf numFmtId="0" fontId="1" fillId="0" borderId="0" xfId="2"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0" borderId="0" xfId="5" applyAlignment="1"/>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6" fillId="0" borderId="0" xfId="1" applyNumberFormat="1" applyFont="1"/>
    <xf numFmtId="0" fontId="1" fillId="0" borderId="12" xfId="1" applyBorder="1" applyAlignment="1">
      <alignment shrinkToFit="1"/>
    </xf>
    <xf numFmtId="0" fontId="11" fillId="0" borderId="0" xfId="2">
      <alignment vertical="center"/>
    </xf>
    <xf numFmtId="0" fontId="16"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78" fontId="1" fillId="3" borderId="0" xfId="1" applyNumberFormat="1" applyFill="1" applyAlignment="1">
      <alignment horizontal="right"/>
    </xf>
    <xf numFmtId="14" fontId="0" fillId="0" borderId="0" xfId="1" applyNumberFormat="1" applyFont="1"/>
    <xf numFmtId="178" fontId="1" fillId="2" borderId="0" xfId="1" applyNumberFormat="1" applyFill="1" applyAlignment="1">
      <alignment horizontal="right"/>
    </xf>
    <xf numFmtId="0" fontId="1" fillId="2" borderId="0" xfId="1" applyFill="1" applyAlignment="1">
      <alignment horizontal="right"/>
    </xf>
    <xf numFmtId="0" fontId="1" fillId="0" borderId="0" xfId="1" applyAlignment="1">
      <alignment horizontal="center"/>
    </xf>
    <xf numFmtId="14" fontId="16" fillId="0" borderId="0" xfId="1" applyNumberFormat="1" applyFont="1" applyAlignment="1">
      <alignment horizontal="center"/>
    </xf>
    <xf numFmtId="0" fontId="17"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C968-7894-4939-BF6A-6A0C10D3A9C4}">
  <dimension ref="A1:BA160"/>
  <sheetViews>
    <sheetView zoomScale="75" zoomScaleNormal="75" workbookViewId="0">
      <pane ySplit="1" topLeftCell="A2" activePane="bottomLeft" state="frozen"/>
      <selection pane="bottomLeft" activeCell="A2" sqref="A2"/>
    </sheetView>
  </sheetViews>
  <sheetFormatPr defaultRowHeight="13.5" x14ac:dyDescent="0.15"/>
  <cols>
    <col min="1" max="3" width="9" style="80"/>
    <col min="4" max="4" width="10.5" style="80" bestFit="1" customWidth="1"/>
    <col min="5" max="5" width="10.875" style="80" bestFit="1" customWidth="1"/>
    <col min="6" max="13" width="9" style="80"/>
    <col min="14" max="14" width="9.5" style="80" bestFit="1" customWidth="1"/>
    <col min="15" max="16" width="9" style="80"/>
    <col min="17" max="17" width="9" style="182"/>
    <col min="18" max="18" width="9" style="80"/>
    <col min="19" max="19" width="12.75" style="80" bestFit="1" customWidth="1"/>
    <col min="20" max="20" width="9" style="16"/>
    <col min="21" max="21" width="9.5" style="80" bestFit="1" customWidth="1"/>
    <col min="22" max="22" width="9" style="16"/>
    <col min="23" max="32" width="9" style="80"/>
    <col min="33" max="33" width="13.875" style="80" bestFit="1" customWidth="1"/>
    <col min="34" max="259" width="9" style="80"/>
    <col min="260" max="260" width="10.5" style="80" bestFit="1" customWidth="1"/>
    <col min="261" max="261" width="10.875" style="80" bestFit="1" customWidth="1"/>
    <col min="262" max="276" width="9" style="80"/>
    <col min="277" max="277" width="9.5" style="80" bestFit="1" customWidth="1"/>
    <col min="278" max="288" width="9" style="80"/>
    <col min="289" max="289" width="12.375" style="80" bestFit="1" customWidth="1"/>
    <col min="290" max="515" width="9" style="80"/>
    <col min="516" max="516" width="10.5" style="80" bestFit="1" customWidth="1"/>
    <col min="517" max="517" width="10.875" style="80" bestFit="1" customWidth="1"/>
    <col min="518" max="532" width="9" style="80"/>
    <col min="533" max="533" width="9.5" style="80" bestFit="1" customWidth="1"/>
    <col min="534" max="544" width="9" style="80"/>
    <col min="545" max="545" width="12.375" style="80" bestFit="1" customWidth="1"/>
    <col min="546" max="771" width="9" style="80"/>
    <col min="772" max="772" width="10.5" style="80" bestFit="1" customWidth="1"/>
    <col min="773" max="773" width="10.875" style="80" bestFit="1" customWidth="1"/>
    <col min="774" max="788" width="9" style="80"/>
    <col min="789" max="789" width="9.5" style="80" bestFit="1" customWidth="1"/>
    <col min="790" max="800" width="9" style="80"/>
    <col min="801" max="801" width="12.375" style="80" bestFit="1" customWidth="1"/>
    <col min="802" max="1027" width="9" style="80"/>
    <col min="1028" max="1028" width="10.5" style="80" bestFit="1" customWidth="1"/>
    <col min="1029" max="1029" width="10.875" style="80" bestFit="1" customWidth="1"/>
    <col min="1030" max="1044" width="9" style="80"/>
    <col min="1045" max="1045" width="9.5" style="80" bestFit="1" customWidth="1"/>
    <col min="1046" max="1056" width="9" style="80"/>
    <col min="1057" max="1057" width="12.375" style="80" bestFit="1" customWidth="1"/>
    <col min="1058" max="1283" width="9" style="80"/>
    <col min="1284" max="1284" width="10.5" style="80" bestFit="1" customWidth="1"/>
    <col min="1285" max="1285" width="10.875" style="80" bestFit="1" customWidth="1"/>
    <col min="1286" max="1300" width="9" style="80"/>
    <col min="1301" max="1301" width="9.5" style="80" bestFit="1" customWidth="1"/>
    <col min="1302" max="1312" width="9" style="80"/>
    <col min="1313" max="1313" width="12.375" style="80" bestFit="1" customWidth="1"/>
    <col min="1314" max="1539" width="9" style="80"/>
    <col min="1540" max="1540" width="10.5" style="80" bestFit="1" customWidth="1"/>
    <col min="1541" max="1541" width="10.875" style="80" bestFit="1" customWidth="1"/>
    <col min="1542" max="1556" width="9" style="80"/>
    <col min="1557" max="1557" width="9.5" style="80" bestFit="1" customWidth="1"/>
    <col min="1558" max="1568" width="9" style="80"/>
    <col min="1569" max="1569" width="12.375" style="80" bestFit="1" customWidth="1"/>
    <col min="1570" max="1795" width="9" style="80"/>
    <col min="1796" max="1796" width="10.5" style="80" bestFit="1" customWidth="1"/>
    <col min="1797" max="1797" width="10.875" style="80" bestFit="1" customWidth="1"/>
    <col min="1798" max="1812" width="9" style="80"/>
    <col min="1813" max="1813" width="9.5" style="80" bestFit="1" customWidth="1"/>
    <col min="1814" max="1824" width="9" style="80"/>
    <col min="1825" max="1825" width="12.375" style="80" bestFit="1" customWidth="1"/>
    <col min="1826" max="2051" width="9" style="80"/>
    <col min="2052" max="2052" width="10.5" style="80" bestFit="1" customWidth="1"/>
    <col min="2053" max="2053" width="10.875" style="80" bestFit="1" customWidth="1"/>
    <col min="2054" max="2068" width="9" style="80"/>
    <col min="2069" max="2069" width="9.5" style="80" bestFit="1" customWidth="1"/>
    <col min="2070" max="2080" width="9" style="80"/>
    <col min="2081" max="2081" width="12.375" style="80" bestFit="1" customWidth="1"/>
    <col min="2082" max="2307" width="9" style="80"/>
    <col min="2308" max="2308" width="10.5" style="80" bestFit="1" customWidth="1"/>
    <col min="2309" max="2309" width="10.875" style="80" bestFit="1" customWidth="1"/>
    <col min="2310" max="2324" width="9" style="80"/>
    <col min="2325" max="2325" width="9.5" style="80" bestFit="1" customWidth="1"/>
    <col min="2326" max="2336" width="9" style="80"/>
    <col min="2337" max="2337" width="12.375" style="80" bestFit="1" customWidth="1"/>
    <col min="2338" max="2563" width="9" style="80"/>
    <col min="2564" max="2564" width="10.5" style="80" bestFit="1" customWidth="1"/>
    <col min="2565" max="2565" width="10.875" style="80" bestFit="1" customWidth="1"/>
    <col min="2566" max="2580" width="9" style="80"/>
    <col min="2581" max="2581" width="9.5" style="80" bestFit="1" customWidth="1"/>
    <col min="2582" max="2592" width="9" style="80"/>
    <col min="2593" max="2593" width="12.375" style="80" bestFit="1" customWidth="1"/>
    <col min="2594" max="2819" width="9" style="80"/>
    <col min="2820" max="2820" width="10.5" style="80" bestFit="1" customWidth="1"/>
    <col min="2821" max="2821" width="10.875" style="80" bestFit="1" customWidth="1"/>
    <col min="2822" max="2836" width="9" style="80"/>
    <col min="2837" max="2837" width="9.5" style="80" bestFit="1" customWidth="1"/>
    <col min="2838" max="2848" width="9" style="80"/>
    <col min="2849" max="2849" width="12.375" style="80" bestFit="1" customWidth="1"/>
    <col min="2850" max="3075" width="9" style="80"/>
    <col min="3076" max="3076" width="10.5" style="80" bestFit="1" customWidth="1"/>
    <col min="3077" max="3077" width="10.875" style="80" bestFit="1" customWidth="1"/>
    <col min="3078" max="3092" width="9" style="80"/>
    <col min="3093" max="3093" width="9.5" style="80" bestFit="1" customWidth="1"/>
    <col min="3094" max="3104" width="9" style="80"/>
    <col min="3105" max="3105" width="12.375" style="80" bestFit="1" customWidth="1"/>
    <col min="3106" max="3331" width="9" style="80"/>
    <col min="3332" max="3332" width="10.5" style="80" bestFit="1" customWidth="1"/>
    <col min="3333" max="3333" width="10.875" style="80" bestFit="1" customWidth="1"/>
    <col min="3334" max="3348" width="9" style="80"/>
    <col min="3349" max="3349" width="9.5" style="80" bestFit="1" customWidth="1"/>
    <col min="3350" max="3360" width="9" style="80"/>
    <col min="3361" max="3361" width="12.375" style="80" bestFit="1" customWidth="1"/>
    <col min="3362" max="3587" width="9" style="80"/>
    <col min="3588" max="3588" width="10.5" style="80" bestFit="1" customWidth="1"/>
    <col min="3589" max="3589" width="10.875" style="80" bestFit="1" customWidth="1"/>
    <col min="3590" max="3604" width="9" style="80"/>
    <col min="3605" max="3605" width="9.5" style="80" bestFit="1" customWidth="1"/>
    <col min="3606" max="3616" width="9" style="80"/>
    <col min="3617" max="3617" width="12.375" style="80" bestFit="1" customWidth="1"/>
    <col min="3618" max="3843" width="9" style="80"/>
    <col min="3844" max="3844" width="10.5" style="80" bestFit="1" customWidth="1"/>
    <col min="3845" max="3845" width="10.875" style="80" bestFit="1" customWidth="1"/>
    <col min="3846" max="3860" width="9" style="80"/>
    <col min="3861" max="3861" width="9.5" style="80" bestFit="1" customWidth="1"/>
    <col min="3862" max="3872" width="9" style="80"/>
    <col min="3873" max="3873" width="12.375" style="80" bestFit="1" customWidth="1"/>
    <col min="3874" max="4099" width="9" style="80"/>
    <col min="4100" max="4100" width="10.5" style="80" bestFit="1" customWidth="1"/>
    <col min="4101" max="4101" width="10.875" style="80" bestFit="1" customWidth="1"/>
    <col min="4102" max="4116" width="9" style="80"/>
    <col min="4117" max="4117" width="9.5" style="80" bestFit="1" customWidth="1"/>
    <col min="4118" max="4128" width="9" style="80"/>
    <col min="4129" max="4129" width="12.375" style="80" bestFit="1" customWidth="1"/>
    <col min="4130" max="4355" width="9" style="80"/>
    <col min="4356" max="4356" width="10.5" style="80" bestFit="1" customWidth="1"/>
    <col min="4357" max="4357" width="10.875" style="80" bestFit="1" customWidth="1"/>
    <col min="4358" max="4372" width="9" style="80"/>
    <col min="4373" max="4373" width="9.5" style="80" bestFit="1" customWidth="1"/>
    <col min="4374" max="4384" width="9" style="80"/>
    <col min="4385" max="4385" width="12.375" style="80" bestFit="1" customWidth="1"/>
    <col min="4386" max="4611" width="9" style="80"/>
    <col min="4612" max="4612" width="10.5" style="80" bestFit="1" customWidth="1"/>
    <col min="4613" max="4613" width="10.875" style="80" bestFit="1" customWidth="1"/>
    <col min="4614" max="4628" width="9" style="80"/>
    <col min="4629" max="4629" width="9.5" style="80" bestFit="1" customWidth="1"/>
    <col min="4630" max="4640" width="9" style="80"/>
    <col min="4641" max="4641" width="12.375" style="80" bestFit="1" customWidth="1"/>
    <col min="4642" max="4867" width="9" style="80"/>
    <col min="4868" max="4868" width="10.5" style="80" bestFit="1" customWidth="1"/>
    <col min="4869" max="4869" width="10.875" style="80" bestFit="1" customWidth="1"/>
    <col min="4870" max="4884" width="9" style="80"/>
    <col min="4885" max="4885" width="9.5" style="80" bestFit="1" customWidth="1"/>
    <col min="4886" max="4896" width="9" style="80"/>
    <col min="4897" max="4897" width="12.375" style="80" bestFit="1" customWidth="1"/>
    <col min="4898" max="5123" width="9" style="80"/>
    <col min="5124" max="5124" width="10.5" style="80" bestFit="1" customWidth="1"/>
    <col min="5125" max="5125" width="10.875" style="80" bestFit="1" customWidth="1"/>
    <col min="5126" max="5140" width="9" style="80"/>
    <col min="5141" max="5141" width="9.5" style="80" bestFit="1" customWidth="1"/>
    <col min="5142" max="5152" width="9" style="80"/>
    <col min="5153" max="5153" width="12.375" style="80" bestFit="1" customWidth="1"/>
    <col min="5154" max="5379" width="9" style="80"/>
    <col min="5380" max="5380" width="10.5" style="80" bestFit="1" customWidth="1"/>
    <col min="5381" max="5381" width="10.875" style="80" bestFit="1" customWidth="1"/>
    <col min="5382" max="5396" width="9" style="80"/>
    <col min="5397" max="5397" width="9.5" style="80" bestFit="1" customWidth="1"/>
    <col min="5398" max="5408" width="9" style="80"/>
    <col min="5409" max="5409" width="12.375" style="80" bestFit="1" customWidth="1"/>
    <col min="5410" max="5635" width="9" style="80"/>
    <col min="5636" max="5636" width="10.5" style="80" bestFit="1" customWidth="1"/>
    <col min="5637" max="5637" width="10.875" style="80" bestFit="1" customWidth="1"/>
    <col min="5638" max="5652" width="9" style="80"/>
    <col min="5653" max="5653" width="9.5" style="80" bestFit="1" customWidth="1"/>
    <col min="5654" max="5664" width="9" style="80"/>
    <col min="5665" max="5665" width="12.375" style="80" bestFit="1" customWidth="1"/>
    <col min="5666" max="5891" width="9" style="80"/>
    <col min="5892" max="5892" width="10.5" style="80" bestFit="1" customWidth="1"/>
    <col min="5893" max="5893" width="10.875" style="80" bestFit="1" customWidth="1"/>
    <col min="5894" max="5908" width="9" style="80"/>
    <col min="5909" max="5909" width="9.5" style="80" bestFit="1" customWidth="1"/>
    <col min="5910" max="5920" width="9" style="80"/>
    <col min="5921" max="5921" width="12.375" style="80" bestFit="1" customWidth="1"/>
    <col min="5922" max="6147" width="9" style="80"/>
    <col min="6148" max="6148" width="10.5" style="80" bestFit="1" customWidth="1"/>
    <col min="6149" max="6149" width="10.875" style="80" bestFit="1" customWidth="1"/>
    <col min="6150" max="6164" width="9" style="80"/>
    <col min="6165" max="6165" width="9.5" style="80" bestFit="1" customWidth="1"/>
    <col min="6166" max="6176" width="9" style="80"/>
    <col min="6177" max="6177" width="12.375" style="80" bestFit="1" customWidth="1"/>
    <col min="6178" max="6403" width="9" style="80"/>
    <col min="6404" max="6404" width="10.5" style="80" bestFit="1" customWidth="1"/>
    <col min="6405" max="6405" width="10.875" style="80" bestFit="1" customWidth="1"/>
    <col min="6406" max="6420" width="9" style="80"/>
    <col min="6421" max="6421" width="9.5" style="80" bestFit="1" customWidth="1"/>
    <col min="6422" max="6432" width="9" style="80"/>
    <col min="6433" max="6433" width="12.375" style="80" bestFit="1" customWidth="1"/>
    <col min="6434" max="6659" width="9" style="80"/>
    <col min="6660" max="6660" width="10.5" style="80" bestFit="1" customWidth="1"/>
    <col min="6661" max="6661" width="10.875" style="80" bestFit="1" customWidth="1"/>
    <col min="6662" max="6676" width="9" style="80"/>
    <col min="6677" max="6677" width="9.5" style="80" bestFit="1" customWidth="1"/>
    <col min="6678" max="6688" width="9" style="80"/>
    <col min="6689" max="6689" width="12.375" style="80" bestFit="1" customWidth="1"/>
    <col min="6690" max="6915" width="9" style="80"/>
    <col min="6916" max="6916" width="10.5" style="80" bestFit="1" customWidth="1"/>
    <col min="6917" max="6917" width="10.875" style="80" bestFit="1" customWidth="1"/>
    <col min="6918" max="6932" width="9" style="80"/>
    <col min="6933" max="6933" width="9.5" style="80" bestFit="1" customWidth="1"/>
    <col min="6934" max="6944" width="9" style="80"/>
    <col min="6945" max="6945" width="12.375" style="80" bestFit="1" customWidth="1"/>
    <col min="6946" max="7171" width="9" style="80"/>
    <col min="7172" max="7172" width="10.5" style="80" bestFit="1" customWidth="1"/>
    <col min="7173" max="7173" width="10.875" style="80" bestFit="1" customWidth="1"/>
    <col min="7174" max="7188" width="9" style="80"/>
    <col min="7189" max="7189" width="9.5" style="80" bestFit="1" customWidth="1"/>
    <col min="7190" max="7200" width="9" style="80"/>
    <col min="7201" max="7201" width="12.375" style="80" bestFit="1" customWidth="1"/>
    <col min="7202" max="7427" width="9" style="80"/>
    <col min="7428" max="7428" width="10.5" style="80" bestFit="1" customWidth="1"/>
    <col min="7429" max="7429" width="10.875" style="80" bestFit="1" customWidth="1"/>
    <col min="7430" max="7444" width="9" style="80"/>
    <col min="7445" max="7445" width="9.5" style="80" bestFit="1" customWidth="1"/>
    <col min="7446" max="7456" width="9" style="80"/>
    <col min="7457" max="7457" width="12.375" style="80" bestFit="1" customWidth="1"/>
    <col min="7458" max="7683" width="9" style="80"/>
    <col min="7684" max="7684" width="10.5" style="80" bestFit="1" customWidth="1"/>
    <col min="7685" max="7685" width="10.875" style="80" bestFit="1" customWidth="1"/>
    <col min="7686" max="7700" width="9" style="80"/>
    <col min="7701" max="7701" width="9.5" style="80" bestFit="1" customWidth="1"/>
    <col min="7702" max="7712" width="9" style="80"/>
    <col min="7713" max="7713" width="12.375" style="80" bestFit="1" customWidth="1"/>
    <col min="7714" max="7939" width="9" style="80"/>
    <col min="7940" max="7940" width="10.5" style="80" bestFit="1" customWidth="1"/>
    <col min="7941" max="7941" width="10.875" style="80" bestFit="1" customWidth="1"/>
    <col min="7942" max="7956" width="9" style="80"/>
    <col min="7957" max="7957" width="9.5" style="80" bestFit="1" customWidth="1"/>
    <col min="7958" max="7968" width="9" style="80"/>
    <col min="7969" max="7969" width="12.375" style="80" bestFit="1" customWidth="1"/>
    <col min="7970" max="8195" width="9" style="80"/>
    <col min="8196" max="8196" width="10.5" style="80" bestFit="1" customWidth="1"/>
    <col min="8197" max="8197" width="10.875" style="80" bestFit="1" customWidth="1"/>
    <col min="8198" max="8212" width="9" style="80"/>
    <col min="8213" max="8213" width="9.5" style="80" bestFit="1" customWidth="1"/>
    <col min="8214" max="8224" width="9" style="80"/>
    <col min="8225" max="8225" width="12.375" style="80" bestFit="1" customWidth="1"/>
    <col min="8226" max="8451" width="9" style="80"/>
    <col min="8452" max="8452" width="10.5" style="80" bestFit="1" customWidth="1"/>
    <col min="8453" max="8453" width="10.875" style="80" bestFit="1" customWidth="1"/>
    <col min="8454" max="8468" width="9" style="80"/>
    <col min="8469" max="8469" width="9.5" style="80" bestFit="1" customWidth="1"/>
    <col min="8470" max="8480" width="9" style="80"/>
    <col min="8481" max="8481" width="12.375" style="80" bestFit="1" customWidth="1"/>
    <col min="8482" max="8707" width="9" style="80"/>
    <col min="8708" max="8708" width="10.5" style="80" bestFit="1" customWidth="1"/>
    <col min="8709" max="8709" width="10.875" style="80" bestFit="1" customWidth="1"/>
    <col min="8710" max="8724" width="9" style="80"/>
    <col min="8725" max="8725" width="9.5" style="80" bestFit="1" customWidth="1"/>
    <col min="8726" max="8736" width="9" style="80"/>
    <col min="8737" max="8737" width="12.375" style="80" bestFit="1" customWidth="1"/>
    <col min="8738" max="8963" width="9" style="80"/>
    <col min="8964" max="8964" width="10.5" style="80" bestFit="1" customWidth="1"/>
    <col min="8965" max="8965" width="10.875" style="80" bestFit="1" customWidth="1"/>
    <col min="8966" max="8980" width="9" style="80"/>
    <col min="8981" max="8981" width="9.5" style="80" bestFit="1" customWidth="1"/>
    <col min="8982" max="8992" width="9" style="80"/>
    <col min="8993" max="8993" width="12.375" style="80" bestFit="1" customWidth="1"/>
    <col min="8994" max="9219" width="9" style="80"/>
    <col min="9220" max="9220" width="10.5" style="80" bestFit="1" customWidth="1"/>
    <col min="9221" max="9221" width="10.875" style="80" bestFit="1" customWidth="1"/>
    <col min="9222" max="9236" width="9" style="80"/>
    <col min="9237" max="9237" width="9.5" style="80" bestFit="1" customWidth="1"/>
    <col min="9238" max="9248" width="9" style="80"/>
    <col min="9249" max="9249" width="12.375" style="80" bestFit="1" customWidth="1"/>
    <col min="9250" max="9475" width="9" style="80"/>
    <col min="9476" max="9476" width="10.5" style="80" bestFit="1" customWidth="1"/>
    <col min="9477" max="9477" width="10.875" style="80" bestFit="1" customWidth="1"/>
    <col min="9478" max="9492" width="9" style="80"/>
    <col min="9493" max="9493" width="9.5" style="80" bestFit="1" customWidth="1"/>
    <col min="9494" max="9504" width="9" style="80"/>
    <col min="9505" max="9505" width="12.375" style="80" bestFit="1" customWidth="1"/>
    <col min="9506" max="9731" width="9" style="80"/>
    <col min="9732" max="9732" width="10.5" style="80" bestFit="1" customWidth="1"/>
    <col min="9733" max="9733" width="10.875" style="80" bestFit="1" customWidth="1"/>
    <col min="9734" max="9748" width="9" style="80"/>
    <col min="9749" max="9749" width="9.5" style="80" bestFit="1" customWidth="1"/>
    <col min="9750" max="9760" width="9" style="80"/>
    <col min="9761" max="9761" width="12.375" style="80" bestFit="1" customWidth="1"/>
    <col min="9762" max="9987" width="9" style="80"/>
    <col min="9988" max="9988" width="10.5" style="80" bestFit="1" customWidth="1"/>
    <col min="9989" max="9989" width="10.875" style="80" bestFit="1" customWidth="1"/>
    <col min="9990" max="10004" width="9" style="80"/>
    <col min="10005" max="10005" width="9.5" style="80" bestFit="1" customWidth="1"/>
    <col min="10006" max="10016" width="9" style="80"/>
    <col min="10017" max="10017" width="12.375" style="80" bestFit="1" customWidth="1"/>
    <col min="10018" max="10243" width="9" style="80"/>
    <col min="10244" max="10244" width="10.5" style="80" bestFit="1" customWidth="1"/>
    <col min="10245" max="10245" width="10.875" style="80" bestFit="1" customWidth="1"/>
    <col min="10246" max="10260" width="9" style="80"/>
    <col min="10261" max="10261" width="9.5" style="80" bestFit="1" customWidth="1"/>
    <col min="10262" max="10272" width="9" style="80"/>
    <col min="10273" max="10273" width="12.375" style="80" bestFit="1" customWidth="1"/>
    <col min="10274" max="10499" width="9" style="80"/>
    <col min="10500" max="10500" width="10.5" style="80" bestFit="1" customWidth="1"/>
    <col min="10501" max="10501" width="10.875" style="80" bestFit="1" customWidth="1"/>
    <col min="10502" max="10516" width="9" style="80"/>
    <col min="10517" max="10517" width="9.5" style="80" bestFit="1" customWidth="1"/>
    <col min="10518" max="10528" width="9" style="80"/>
    <col min="10529" max="10529" width="12.375" style="80" bestFit="1" customWidth="1"/>
    <col min="10530" max="10755" width="9" style="80"/>
    <col min="10756" max="10756" width="10.5" style="80" bestFit="1" customWidth="1"/>
    <col min="10757" max="10757" width="10.875" style="80" bestFit="1" customWidth="1"/>
    <col min="10758" max="10772" width="9" style="80"/>
    <col min="10773" max="10773" width="9.5" style="80" bestFit="1" customWidth="1"/>
    <col min="10774" max="10784" width="9" style="80"/>
    <col min="10785" max="10785" width="12.375" style="80" bestFit="1" customWidth="1"/>
    <col min="10786" max="11011" width="9" style="80"/>
    <col min="11012" max="11012" width="10.5" style="80" bestFit="1" customWidth="1"/>
    <col min="11013" max="11013" width="10.875" style="80" bestFit="1" customWidth="1"/>
    <col min="11014" max="11028" width="9" style="80"/>
    <col min="11029" max="11029" width="9.5" style="80" bestFit="1" customWidth="1"/>
    <col min="11030" max="11040" width="9" style="80"/>
    <col min="11041" max="11041" width="12.375" style="80" bestFit="1" customWidth="1"/>
    <col min="11042" max="11267" width="9" style="80"/>
    <col min="11268" max="11268" width="10.5" style="80" bestFit="1" customWidth="1"/>
    <col min="11269" max="11269" width="10.875" style="80" bestFit="1" customWidth="1"/>
    <col min="11270" max="11284" width="9" style="80"/>
    <col min="11285" max="11285" width="9.5" style="80" bestFit="1" customWidth="1"/>
    <col min="11286" max="11296" width="9" style="80"/>
    <col min="11297" max="11297" width="12.375" style="80" bestFit="1" customWidth="1"/>
    <col min="11298" max="11523" width="9" style="80"/>
    <col min="11524" max="11524" width="10.5" style="80" bestFit="1" customWidth="1"/>
    <col min="11525" max="11525" width="10.875" style="80" bestFit="1" customWidth="1"/>
    <col min="11526" max="11540" width="9" style="80"/>
    <col min="11541" max="11541" width="9.5" style="80" bestFit="1" customWidth="1"/>
    <col min="11542" max="11552" width="9" style="80"/>
    <col min="11553" max="11553" width="12.375" style="80" bestFit="1" customWidth="1"/>
    <col min="11554" max="11779" width="9" style="80"/>
    <col min="11780" max="11780" width="10.5" style="80" bestFit="1" customWidth="1"/>
    <col min="11781" max="11781" width="10.875" style="80" bestFit="1" customWidth="1"/>
    <col min="11782" max="11796" width="9" style="80"/>
    <col min="11797" max="11797" width="9.5" style="80" bestFit="1" customWidth="1"/>
    <col min="11798" max="11808" width="9" style="80"/>
    <col min="11809" max="11809" width="12.375" style="80" bestFit="1" customWidth="1"/>
    <col min="11810" max="12035" width="9" style="80"/>
    <col min="12036" max="12036" width="10.5" style="80" bestFit="1" customWidth="1"/>
    <col min="12037" max="12037" width="10.875" style="80" bestFit="1" customWidth="1"/>
    <col min="12038" max="12052" width="9" style="80"/>
    <col min="12053" max="12053" width="9.5" style="80" bestFit="1" customWidth="1"/>
    <col min="12054" max="12064" width="9" style="80"/>
    <col min="12065" max="12065" width="12.375" style="80" bestFit="1" customWidth="1"/>
    <col min="12066" max="12291" width="9" style="80"/>
    <col min="12292" max="12292" width="10.5" style="80" bestFit="1" customWidth="1"/>
    <col min="12293" max="12293" width="10.875" style="80" bestFit="1" customWidth="1"/>
    <col min="12294" max="12308" width="9" style="80"/>
    <col min="12309" max="12309" width="9.5" style="80" bestFit="1" customWidth="1"/>
    <col min="12310" max="12320" width="9" style="80"/>
    <col min="12321" max="12321" width="12.375" style="80" bestFit="1" customWidth="1"/>
    <col min="12322" max="12547" width="9" style="80"/>
    <col min="12548" max="12548" width="10.5" style="80" bestFit="1" customWidth="1"/>
    <col min="12549" max="12549" width="10.875" style="80" bestFit="1" customWidth="1"/>
    <col min="12550" max="12564" width="9" style="80"/>
    <col min="12565" max="12565" width="9.5" style="80" bestFit="1" customWidth="1"/>
    <col min="12566" max="12576" width="9" style="80"/>
    <col min="12577" max="12577" width="12.375" style="80" bestFit="1" customWidth="1"/>
    <col min="12578" max="12803" width="9" style="80"/>
    <col min="12804" max="12804" width="10.5" style="80" bestFit="1" customWidth="1"/>
    <col min="12805" max="12805" width="10.875" style="80" bestFit="1" customWidth="1"/>
    <col min="12806" max="12820" width="9" style="80"/>
    <col min="12821" max="12821" width="9.5" style="80" bestFit="1" customWidth="1"/>
    <col min="12822" max="12832" width="9" style="80"/>
    <col min="12833" max="12833" width="12.375" style="80" bestFit="1" customWidth="1"/>
    <col min="12834" max="13059" width="9" style="80"/>
    <col min="13060" max="13060" width="10.5" style="80" bestFit="1" customWidth="1"/>
    <col min="13061" max="13061" width="10.875" style="80" bestFit="1" customWidth="1"/>
    <col min="13062" max="13076" width="9" style="80"/>
    <col min="13077" max="13077" width="9.5" style="80" bestFit="1" customWidth="1"/>
    <col min="13078" max="13088" width="9" style="80"/>
    <col min="13089" max="13089" width="12.375" style="80" bestFit="1" customWidth="1"/>
    <col min="13090" max="13315" width="9" style="80"/>
    <col min="13316" max="13316" width="10.5" style="80" bestFit="1" customWidth="1"/>
    <col min="13317" max="13317" width="10.875" style="80" bestFit="1" customWidth="1"/>
    <col min="13318" max="13332" width="9" style="80"/>
    <col min="13333" max="13333" width="9.5" style="80" bestFit="1" customWidth="1"/>
    <col min="13334" max="13344" width="9" style="80"/>
    <col min="13345" max="13345" width="12.375" style="80" bestFit="1" customWidth="1"/>
    <col min="13346" max="13571" width="9" style="80"/>
    <col min="13572" max="13572" width="10.5" style="80" bestFit="1" customWidth="1"/>
    <col min="13573" max="13573" width="10.875" style="80" bestFit="1" customWidth="1"/>
    <col min="13574" max="13588" width="9" style="80"/>
    <col min="13589" max="13589" width="9.5" style="80" bestFit="1" customWidth="1"/>
    <col min="13590" max="13600" width="9" style="80"/>
    <col min="13601" max="13601" width="12.375" style="80" bestFit="1" customWidth="1"/>
    <col min="13602" max="13827" width="9" style="80"/>
    <col min="13828" max="13828" width="10.5" style="80" bestFit="1" customWidth="1"/>
    <col min="13829" max="13829" width="10.875" style="80" bestFit="1" customWidth="1"/>
    <col min="13830" max="13844" width="9" style="80"/>
    <col min="13845" max="13845" width="9.5" style="80" bestFit="1" customWidth="1"/>
    <col min="13846" max="13856" width="9" style="80"/>
    <col min="13857" max="13857" width="12.375" style="80" bestFit="1" customWidth="1"/>
    <col min="13858" max="14083" width="9" style="80"/>
    <col min="14084" max="14084" width="10.5" style="80" bestFit="1" customWidth="1"/>
    <col min="14085" max="14085" width="10.875" style="80" bestFit="1" customWidth="1"/>
    <col min="14086" max="14100" width="9" style="80"/>
    <col min="14101" max="14101" width="9.5" style="80" bestFit="1" customWidth="1"/>
    <col min="14102" max="14112" width="9" style="80"/>
    <col min="14113" max="14113" width="12.375" style="80" bestFit="1" customWidth="1"/>
    <col min="14114" max="14339" width="9" style="80"/>
    <col min="14340" max="14340" width="10.5" style="80" bestFit="1" customWidth="1"/>
    <col min="14341" max="14341" width="10.875" style="80" bestFit="1" customWidth="1"/>
    <col min="14342" max="14356" width="9" style="80"/>
    <col min="14357" max="14357" width="9.5" style="80" bestFit="1" customWidth="1"/>
    <col min="14358" max="14368" width="9" style="80"/>
    <col min="14369" max="14369" width="12.375" style="80" bestFit="1" customWidth="1"/>
    <col min="14370" max="14595" width="9" style="80"/>
    <col min="14596" max="14596" width="10.5" style="80" bestFit="1" customWidth="1"/>
    <col min="14597" max="14597" width="10.875" style="80" bestFit="1" customWidth="1"/>
    <col min="14598" max="14612" width="9" style="80"/>
    <col min="14613" max="14613" width="9.5" style="80" bestFit="1" customWidth="1"/>
    <col min="14614" max="14624" width="9" style="80"/>
    <col min="14625" max="14625" width="12.375" style="80" bestFit="1" customWidth="1"/>
    <col min="14626" max="14851" width="9" style="80"/>
    <col min="14852" max="14852" width="10.5" style="80" bestFit="1" customWidth="1"/>
    <col min="14853" max="14853" width="10.875" style="80" bestFit="1" customWidth="1"/>
    <col min="14854" max="14868" width="9" style="80"/>
    <col min="14869" max="14869" width="9.5" style="80" bestFit="1" customWidth="1"/>
    <col min="14870" max="14880" width="9" style="80"/>
    <col min="14881" max="14881" width="12.375" style="80" bestFit="1" customWidth="1"/>
    <col min="14882" max="15107" width="9" style="80"/>
    <col min="15108" max="15108" width="10.5" style="80" bestFit="1" customWidth="1"/>
    <col min="15109" max="15109" width="10.875" style="80" bestFit="1" customWidth="1"/>
    <col min="15110" max="15124" width="9" style="80"/>
    <col min="15125" max="15125" width="9.5" style="80" bestFit="1" customWidth="1"/>
    <col min="15126" max="15136" width="9" style="80"/>
    <col min="15137" max="15137" width="12.375" style="80" bestFit="1" customWidth="1"/>
    <col min="15138" max="15363" width="9" style="80"/>
    <col min="15364" max="15364" width="10.5" style="80" bestFit="1" customWidth="1"/>
    <col min="15365" max="15365" width="10.875" style="80" bestFit="1" customWidth="1"/>
    <col min="15366" max="15380" width="9" style="80"/>
    <col min="15381" max="15381" width="9.5" style="80" bestFit="1" customWidth="1"/>
    <col min="15382" max="15392" width="9" style="80"/>
    <col min="15393" max="15393" width="12.375" style="80" bestFit="1" customWidth="1"/>
    <col min="15394" max="15619" width="9" style="80"/>
    <col min="15620" max="15620" width="10.5" style="80" bestFit="1" customWidth="1"/>
    <col min="15621" max="15621" width="10.875" style="80" bestFit="1" customWidth="1"/>
    <col min="15622" max="15636" width="9" style="80"/>
    <col min="15637" max="15637" width="9.5" style="80" bestFit="1" customWidth="1"/>
    <col min="15638" max="15648" width="9" style="80"/>
    <col min="15649" max="15649" width="12.375" style="80" bestFit="1" customWidth="1"/>
    <col min="15650" max="15875" width="9" style="80"/>
    <col min="15876" max="15876" width="10.5" style="80" bestFit="1" customWidth="1"/>
    <col min="15877" max="15877" width="10.875" style="80" bestFit="1" customWidth="1"/>
    <col min="15878" max="15892" width="9" style="80"/>
    <col min="15893" max="15893" width="9.5" style="80" bestFit="1" customWidth="1"/>
    <col min="15894" max="15904" width="9" style="80"/>
    <col min="15905" max="15905" width="12.375" style="80" bestFit="1" customWidth="1"/>
    <col min="15906" max="16131" width="9" style="80"/>
    <col min="16132" max="16132" width="10.5" style="80" bestFit="1" customWidth="1"/>
    <col min="16133" max="16133" width="10.875" style="80" bestFit="1" customWidth="1"/>
    <col min="16134" max="16148" width="9" style="80"/>
    <col min="16149" max="16149" width="9.5" style="80" bestFit="1" customWidth="1"/>
    <col min="16150" max="16160" width="9" style="80"/>
    <col min="16161" max="16161" width="12.375" style="80" bestFit="1" customWidth="1"/>
    <col min="16162" max="16384" width="9" style="80"/>
  </cols>
  <sheetData>
    <row r="1" spans="1:53" ht="45" x14ac:dyDescent="0.15">
      <c r="A1" s="40" t="s">
        <v>0</v>
      </c>
      <c r="B1" s="95" t="s">
        <v>1</v>
      </c>
      <c r="C1" s="95" t="s">
        <v>118</v>
      </c>
      <c r="D1" s="96" t="s">
        <v>2</v>
      </c>
      <c r="E1" s="86" t="s">
        <v>3</v>
      </c>
      <c r="F1" s="86" t="s">
        <v>4</v>
      </c>
      <c r="G1" s="86" t="s">
        <v>5</v>
      </c>
      <c r="H1" s="86" t="s">
        <v>6</v>
      </c>
      <c r="I1" s="86" t="s">
        <v>7</v>
      </c>
      <c r="J1" s="86" t="s">
        <v>8</v>
      </c>
      <c r="K1" s="86" t="s">
        <v>9</v>
      </c>
      <c r="L1" s="96" t="s">
        <v>119</v>
      </c>
      <c r="M1" s="96" t="s">
        <v>10</v>
      </c>
      <c r="N1" s="96" t="s">
        <v>11</v>
      </c>
      <c r="O1" s="96" t="s">
        <v>120</v>
      </c>
      <c r="P1" s="96" t="s">
        <v>121</v>
      </c>
      <c r="Q1" s="3" t="s">
        <v>12</v>
      </c>
      <c r="R1" s="96" t="s">
        <v>122</v>
      </c>
      <c r="S1" s="96" t="s">
        <v>123</v>
      </c>
      <c r="T1" s="3" t="s">
        <v>13</v>
      </c>
      <c r="U1" s="118" t="s">
        <v>92</v>
      </c>
      <c r="V1" s="5" t="s">
        <v>14</v>
      </c>
      <c r="W1" s="96" t="s">
        <v>15</v>
      </c>
      <c r="X1" s="86" t="s">
        <v>16</v>
      </c>
      <c r="Y1" s="86" t="s">
        <v>17</v>
      </c>
      <c r="Z1" s="86" t="s">
        <v>18</v>
      </c>
      <c r="AA1" s="42" t="s">
        <v>19</v>
      </c>
      <c r="AB1" s="119" t="s">
        <v>124</v>
      </c>
      <c r="AE1" s="99" t="s">
        <v>0</v>
      </c>
      <c r="AF1" s="120"/>
      <c r="AG1" s="99" t="s">
        <v>3</v>
      </c>
      <c r="AH1" s="99" t="s">
        <v>4</v>
      </c>
      <c r="AI1" s="120"/>
      <c r="AJ1" s="99" t="s">
        <v>5</v>
      </c>
      <c r="AK1" s="120"/>
      <c r="AL1" s="10" t="s">
        <v>278</v>
      </c>
      <c r="AM1" s="120"/>
      <c r="AN1" s="10" t="s">
        <v>7</v>
      </c>
      <c r="AO1" s="120"/>
      <c r="AP1" s="10" t="s">
        <v>20</v>
      </c>
      <c r="AQ1" s="120"/>
      <c r="AR1" s="10" t="s">
        <v>9</v>
      </c>
      <c r="AS1" s="120"/>
      <c r="AT1" s="11" t="s">
        <v>21</v>
      </c>
      <c r="AU1" s="120"/>
      <c r="AV1" s="10" t="s">
        <v>22</v>
      </c>
      <c r="AX1" s="12" t="s">
        <v>125</v>
      </c>
      <c r="AY1" s="13" t="s">
        <v>126</v>
      </c>
      <c r="AZ1" s="13" t="s">
        <v>127</v>
      </c>
      <c r="BA1" s="14" t="s">
        <v>128</v>
      </c>
    </row>
    <row r="2" spans="1:53" x14ac:dyDescent="0.15">
      <c r="A2" s="80" t="s">
        <v>24</v>
      </c>
      <c r="B2" s="80" t="s">
        <v>190</v>
      </c>
      <c r="C2" s="80">
        <v>2020</v>
      </c>
      <c r="D2" s="104" t="s">
        <v>247</v>
      </c>
      <c r="E2" s="80" t="s">
        <v>259</v>
      </c>
      <c r="F2" s="80" t="s">
        <v>360</v>
      </c>
      <c r="G2" s="80" t="s">
        <v>25</v>
      </c>
      <c r="H2" s="80" t="s">
        <v>113</v>
      </c>
      <c r="I2" s="80" t="s">
        <v>111</v>
      </c>
      <c r="J2" s="80" t="s">
        <v>27</v>
      </c>
      <c r="K2" s="80" t="s">
        <v>112</v>
      </c>
      <c r="L2" s="80">
        <v>1</v>
      </c>
      <c r="N2" s="34">
        <v>1</v>
      </c>
      <c r="O2" s="80">
        <v>1</v>
      </c>
      <c r="P2" s="80">
        <v>0.8</v>
      </c>
      <c r="Q2" s="179">
        <f t="shared" ref="Q2:Q65" si="0">IF(OR(O2="",P2=""),"",AVERAGE(O2,P2))</f>
        <v>0.9</v>
      </c>
      <c r="R2" s="80">
        <v>11.7</v>
      </c>
      <c r="S2" s="80">
        <v>115</v>
      </c>
      <c r="T2" s="115">
        <f t="shared" ref="T2:T65" si="1">IF(H2="","",IF(OR(H2="GREEN",H2="GK"),IF(S2&gt;=$AX$2,VLOOKUP(S2,$AX$2:$AY$12,2,1),""),IF(S2&gt;=$AZ$2,VLOOKUP(S2,$AZ$2:$BA$12,2,1),"")))</f>
        <v>30</v>
      </c>
      <c r="U2" s="80">
        <v>92</v>
      </c>
      <c r="V2" s="115">
        <f t="shared" ref="V2:V65" si="2">IF(OR(N2="",U2="",T2=""),"",U2/N2*T2)</f>
        <v>2760</v>
      </c>
      <c r="W2" s="80">
        <v>2</v>
      </c>
      <c r="X2" s="80" t="s">
        <v>35</v>
      </c>
      <c r="Y2" s="80" t="s">
        <v>64</v>
      </c>
      <c r="Z2" s="80" t="s">
        <v>82</v>
      </c>
      <c r="AA2" s="80" t="s">
        <v>55</v>
      </c>
      <c r="AB2" s="34" t="s">
        <v>194</v>
      </c>
      <c r="AE2" s="106" t="s">
        <v>24</v>
      </c>
      <c r="AG2" s="129" t="s">
        <v>361</v>
      </c>
      <c r="AH2" s="129" t="s">
        <v>362</v>
      </c>
      <c r="AJ2" s="50" t="s">
        <v>25</v>
      </c>
      <c r="AL2" s="109" t="s">
        <v>107</v>
      </c>
      <c r="AN2" s="50" t="s">
        <v>26</v>
      </c>
      <c r="AP2" s="50" t="s">
        <v>27</v>
      </c>
      <c r="AR2" s="50" t="s">
        <v>129</v>
      </c>
      <c r="AT2" s="50" t="s">
        <v>28</v>
      </c>
      <c r="AV2" s="50" t="s">
        <v>29</v>
      </c>
      <c r="AX2" s="110">
        <v>1</v>
      </c>
      <c r="AY2" s="111">
        <v>50</v>
      </c>
      <c r="AZ2" s="111">
        <v>1</v>
      </c>
      <c r="BA2" s="112">
        <v>50</v>
      </c>
    </row>
    <row r="3" spans="1:53" x14ac:dyDescent="0.15">
      <c r="A3" s="80" t="s">
        <v>24</v>
      </c>
      <c r="B3" s="80" t="s">
        <v>190</v>
      </c>
      <c r="C3" s="80">
        <v>2020</v>
      </c>
      <c r="D3" s="180" t="s">
        <v>363</v>
      </c>
      <c r="E3" s="80" t="s">
        <v>259</v>
      </c>
      <c r="F3" s="80" t="s">
        <v>360</v>
      </c>
      <c r="G3" s="80" t="s">
        <v>25</v>
      </c>
      <c r="H3" s="80" t="s">
        <v>113</v>
      </c>
      <c r="I3" s="80" t="s">
        <v>111</v>
      </c>
      <c r="J3" s="80" t="s">
        <v>27</v>
      </c>
      <c r="K3" s="80" t="s">
        <v>112</v>
      </c>
      <c r="L3" s="80">
        <v>2</v>
      </c>
      <c r="N3" s="80">
        <v>1</v>
      </c>
      <c r="O3" s="34">
        <v>1</v>
      </c>
      <c r="P3" s="80">
        <v>1</v>
      </c>
      <c r="Q3" s="181">
        <f t="shared" si="0"/>
        <v>1</v>
      </c>
      <c r="R3" s="80">
        <v>10.199999999999999</v>
      </c>
      <c r="S3" s="80">
        <v>121</v>
      </c>
      <c r="T3" s="16">
        <f t="shared" si="1"/>
        <v>27</v>
      </c>
      <c r="U3" s="80">
        <v>92</v>
      </c>
      <c r="V3" s="16">
        <f t="shared" si="2"/>
        <v>2484</v>
      </c>
      <c r="W3" s="80">
        <v>2</v>
      </c>
      <c r="X3" s="80" t="s">
        <v>35</v>
      </c>
      <c r="Y3" s="80" t="s">
        <v>64</v>
      </c>
      <c r="Z3" s="80" t="s">
        <v>82</v>
      </c>
      <c r="AA3" s="80" t="s">
        <v>55</v>
      </c>
      <c r="AB3" s="34" t="s">
        <v>194</v>
      </c>
      <c r="AE3" s="22" t="s">
        <v>30</v>
      </c>
      <c r="AG3" s="129" t="s">
        <v>354</v>
      </c>
      <c r="AH3" s="129" t="s">
        <v>364</v>
      </c>
      <c r="AJ3" s="83" t="s">
        <v>31</v>
      </c>
      <c r="AL3" s="83" t="s">
        <v>108</v>
      </c>
      <c r="AN3" s="83" t="s">
        <v>32</v>
      </c>
      <c r="AP3" s="83" t="s">
        <v>33</v>
      </c>
      <c r="AR3" s="83" t="s">
        <v>34</v>
      </c>
      <c r="AT3" s="83" t="s">
        <v>35</v>
      </c>
      <c r="AV3" s="83" t="s">
        <v>36</v>
      </c>
      <c r="AX3" s="24">
        <v>72</v>
      </c>
      <c r="AY3" s="25">
        <v>46</v>
      </c>
      <c r="AZ3" s="25">
        <v>71</v>
      </c>
      <c r="BA3" s="26">
        <v>42</v>
      </c>
    </row>
    <row r="4" spans="1:53" x14ac:dyDescent="0.15">
      <c r="A4" s="80" t="s">
        <v>24</v>
      </c>
      <c r="B4" s="80" t="s">
        <v>190</v>
      </c>
      <c r="C4" s="80">
        <v>2020</v>
      </c>
      <c r="D4" s="180" t="s">
        <v>363</v>
      </c>
      <c r="E4" s="80" t="s">
        <v>259</v>
      </c>
      <c r="F4" s="80" t="s">
        <v>360</v>
      </c>
      <c r="G4" s="80" t="s">
        <v>25</v>
      </c>
      <c r="H4" s="80" t="s">
        <v>113</v>
      </c>
      <c r="I4" s="80" t="s">
        <v>111</v>
      </c>
      <c r="J4" s="80" t="s">
        <v>27</v>
      </c>
      <c r="K4" s="80" t="s">
        <v>112</v>
      </c>
      <c r="L4" s="80">
        <v>3</v>
      </c>
      <c r="N4" s="80">
        <v>1</v>
      </c>
      <c r="O4" s="80">
        <v>1.5</v>
      </c>
      <c r="P4" s="80">
        <v>1.3</v>
      </c>
      <c r="Q4" s="181">
        <f t="shared" si="0"/>
        <v>1.4</v>
      </c>
      <c r="R4" s="80">
        <v>11.8</v>
      </c>
      <c r="S4" s="80">
        <v>117</v>
      </c>
      <c r="T4" s="16">
        <f t="shared" si="1"/>
        <v>30</v>
      </c>
      <c r="U4" s="80">
        <v>92</v>
      </c>
      <c r="V4" s="16">
        <f t="shared" si="2"/>
        <v>2760</v>
      </c>
      <c r="W4" s="80">
        <v>2</v>
      </c>
      <c r="X4" s="80" t="s">
        <v>35</v>
      </c>
      <c r="Y4" s="80" t="s">
        <v>64</v>
      </c>
      <c r="Z4" s="80" t="s">
        <v>82</v>
      </c>
      <c r="AA4" s="80" t="s">
        <v>55</v>
      </c>
      <c r="AB4" s="34" t="s">
        <v>194</v>
      </c>
      <c r="AE4" s="22" t="s">
        <v>23</v>
      </c>
      <c r="AG4" s="129" t="s">
        <v>295</v>
      </c>
      <c r="AH4" s="129" t="s">
        <v>365</v>
      </c>
      <c r="AJ4" s="27" t="s">
        <v>37</v>
      </c>
      <c r="AL4" s="83" t="s">
        <v>109</v>
      </c>
      <c r="AN4" s="28" t="s">
        <v>38</v>
      </c>
      <c r="AP4" s="83" t="s">
        <v>130</v>
      </c>
      <c r="AR4" s="83" t="s">
        <v>131</v>
      </c>
      <c r="AT4" s="28"/>
      <c r="AV4" s="83" t="s">
        <v>39</v>
      </c>
      <c r="AX4" s="24">
        <v>75</v>
      </c>
      <c r="AY4" s="25">
        <v>42</v>
      </c>
      <c r="AZ4" s="25">
        <v>76</v>
      </c>
      <c r="BA4" s="26">
        <v>39</v>
      </c>
    </row>
    <row r="5" spans="1:53" x14ac:dyDescent="0.15">
      <c r="A5" s="80" t="s">
        <v>24</v>
      </c>
      <c r="B5" s="80" t="s">
        <v>190</v>
      </c>
      <c r="C5" s="80">
        <v>2020</v>
      </c>
      <c r="D5" s="180" t="s">
        <v>363</v>
      </c>
      <c r="E5" s="80" t="s">
        <v>259</v>
      </c>
      <c r="F5" s="80" t="s">
        <v>360</v>
      </c>
      <c r="G5" s="80" t="s">
        <v>25</v>
      </c>
      <c r="H5" s="80" t="s">
        <v>113</v>
      </c>
      <c r="I5" s="80" t="s">
        <v>111</v>
      </c>
      <c r="J5" s="80" t="s">
        <v>27</v>
      </c>
      <c r="K5" s="80" t="s">
        <v>112</v>
      </c>
      <c r="L5" s="80">
        <v>1</v>
      </c>
      <c r="N5" s="80">
        <v>5</v>
      </c>
      <c r="O5" s="80">
        <v>0.75</v>
      </c>
      <c r="P5" s="80">
        <v>0.75</v>
      </c>
      <c r="Q5" s="181">
        <f t="shared" si="0"/>
        <v>0.75</v>
      </c>
      <c r="R5" s="80">
        <v>11.5</v>
      </c>
      <c r="S5" s="80">
        <v>88</v>
      </c>
      <c r="T5" s="16">
        <f t="shared" si="1"/>
        <v>36</v>
      </c>
      <c r="U5" s="80">
        <v>377</v>
      </c>
      <c r="V5" s="16">
        <f t="shared" si="2"/>
        <v>2714.4</v>
      </c>
      <c r="W5" s="80">
        <v>2</v>
      </c>
      <c r="X5" s="80" t="s">
        <v>35</v>
      </c>
      <c r="Y5" s="80" t="s">
        <v>64</v>
      </c>
      <c r="Z5" s="80" t="s">
        <v>82</v>
      </c>
      <c r="AA5" s="80" t="s">
        <v>55</v>
      </c>
      <c r="AB5" s="34" t="s">
        <v>194</v>
      </c>
      <c r="AE5" s="22" t="s">
        <v>40</v>
      </c>
      <c r="AG5" s="129" t="s">
        <v>366</v>
      </c>
      <c r="AH5" s="129" t="s">
        <v>367</v>
      </c>
      <c r="AJ5" s="28"/>
      <c r="AL5" s="83" t="s">
        <v>132</v>
      </c>
      <c r="AN5" s="114" t="s">
        <v>133</v>
      </c>
      <c r="AP5" s="83" t="s">
        <v>134</v>
      </c>
      <c r="AR5" s="83" t="s">
        <v>42</v>
      </c>
      <c r="AV5" s="83" t="s">
        <v>43</v>
      </c>
      <c r="AX5" s="24">
        <v>84</v>
      </c>
      <c r="AY5" s="25">
        <v>39</v>
      </c>
      <c r="AZ5" s="25">
        <v>84</v>
      </c>
      <c r="BA5" s="26">
        <v>36</v>
      </c>
    </row>
    <row r="6" spans="1:53" x14ac:dyDescent="0.15">
      <c r="A6" s="80" t="s">
        <v>24</v>
      </c>
      <c r="B6" s="80" t="s">
        <v>190</v>
      </c>
      <c r="C6" s="80">
        <v>2020</v>
      </c>
      <c r="D6" s="180" t="s">
        <v>363</v>
      </c>
      <c r="E6" s="80" t="s">
        <v>259</v>
      </c>
      <c r="F6" s="80" t="s">
        <v>360</v>
      </c>
      <c r="G6" s="80" t="s">
        <v>25</v>
      </c>
      <c r="H6" s="80" t="s">
        <v>113</v>
      </c>
      <c r="I6" s="80" t="s">
        <v>111</v>
      </c>
      <c r="J6" s="80" t="s">
        <v>27</v>
      </c>
      <c r="K6" s="80" t="s">
        <v>112</v>
      </c>
      <c r="L6" s="80">
        <v>2</v>
      </c>
      <c r="N6" s="80">
        <v>5</v>
      </c>
      <c r="O6" s="80">
        <v>0.8</v>
      </c>
      <c r="P6" s="80">
        <v>1</v>
      </c>
      <c r="Q6" s="181">
        <f t="shared" si="0"/>
        <v>0.9</v>
      </c>
      <c r="R6" s="80">
        <v>9.8000000000000007</v>
      </c>
      <c r="S6" s="80">
        <v>81</v>
      </c>
      <c r="T6" s="16">
        <f t="shared" si="1"/>
        <v>39</v>
      </c>
      <c r="U6" s="80">
        <v>377</v>
      </c>
      <c r="V6" s="16">
        <f t="shared" si="2"/>
        <v>2940.6000000000004</v>
      </c>
      <c r="W6" s="80">
        <v>2</v>
      </c>
      <c r="X6" s="80" t="s">
        <v>35</v>
      </c>
      <c r="Y6" s="80" t="s">
        <v>64</v>
      </c>
      <c r="Z6" s="80" t="s">
        <v>82</v>
      </c>
      <c r="AA6" s="80" t="s">
        <v>55</v>
      </c>
      <c r="AB6" s="34" t="s">
        <v>194</v>
      </c>
      <c r="AE6" s="22" t="s">
        <v>44</v>
      </c>
      <c r="AG6" s="129" t="s">
        <v>368</v>
      </c>
      <c r="AH6" s="129" t="s">
        <v>369</v>
      </c>
      <c r="AL6" s="83" t="s">
        <v>135</v>
      </c>
      <c r="AN6" s="114" t="s">
        <v>136</v>
      </c>
      <c r="AP6" s="83" t="s">
        <v>41</v>
      </c>
      <c r="AR6" s="83" t="s">
        <v>46</v>
      </c>
      <c r="AV6" s="83" t="s">
        <v>47</v>
      </c>
      <c r="AX6" s="24">
        <v>97</v>
      </c>
      <c r="AY6" s="25">
        <v>36</v>
      </c>
      <c r="AZ6" s="25">
        <v>99</v>
      </c>
      <c r="BA6" s="26">
        <v>33</v>
      </c>
    </row>
    <row r="7" spans="1:53" ht="12" customHeight="1" x14ac:dyDescent="0.15">
      <c r="A7" s="80" t="s">
        <v>24</v>
      </c>
      <c r="B7" s="80" t="s">
        <v>190</v>
      </c>
      <c r="C7" s="80">
        <v>2020</v>
      </c>
      <c r="D7" s="180" t="s">
        <v>363</v>
      </c>
      <c r="E7" s="80" t="s">
        <v>259</v>
      </c>
      <c r="F7" s="80" t="s">
        <v>360</v>
      </c>
      <c r="G7" s="80" t="s">
        <v>25</v>
      </c>
      <c r="H7" s="80" t="s">
        <v>113</v>
      </c>
      <c r="I7" s="80" t="s">
        <v>111</v>
      </c>
      <c r="J7" s="80" t="s">
        <v>27</v>
      </c>
      <c r="K7" s="80" t="s">
        <v>112</v>
      </c>
      <c r="L7" s="80">
        <v>3</v>
      </c>
      <c r="N7" s="80">
        <v>5</v>
      </c>
      <c r="O7" s="80">
        <v>1.25</v>
      </c>
      <c r="P7" s="80">
        <v>1.2</v>
      </c>
      <c r="Q7" s="181">
        <f t="shared" si="0"/>
        <v>1.2250000000000001</v>
      </c>
      <c r="R7" s="34">
        <v>11.3</v>
      </c>
      <c r="S7" s="80">
        <v>88</v>
      </c>
      <c r="T7" s="16">
        <f t="shared" si="1"/>
        <v>36</v>
      </c>
      <c r="U7" s="80">
        <v>377</v>
      </c>
      <c r="V7" s="16">
        <f t="shared" si="2"/>
        <v>2714.4</v>
      </c>
      <c r="W7" s="80">
        <v>2</v>
      </c>
      <c r="X7" s="80" t="s">
        <v>35</v>
      </c>
      <c r="Y7" s="80" t="s">
        <v>64</v>
      </c>
      <c r="Z7" s="80" t="s">
        <v>82</v>
      </c>
      <c r="AA7" s="80" t="s">
        <v>55</v>
      </c>
      <c r="AB7" s="34" t="s">
        <v>194</v>
      </c>
      <c r="AE7" s="22" t="s">
        <v>48</v>
      </c>
      <c r="AG7" s="129" t="s">
        <v>370</v>
      </c>
      <c r="AH7" s="129" t="s">
        <v>371</v>
      </c>
      <c r="AL7" s="89" t="s">
        <v>137</v>
      </c>
      <c r="AP7" s="83" t="s">
        <v>45</v>
      </c>
      <c r="AR7" s="83" t="s">
        <v>102</v>
      </c>
      <c r="AV7" s="83" t="s">
        <v>51</v>
      </c>
      <c r="AX7" s="24">
        <v>109</v>
      </c>
      <c r="AY7" s="25">
        <v>33</v>
      </c>
      <c r="AZ7" s="25">
        <v>113</v>
      </c>
      <c r="BA7" s="26">
        <v>30</v>
      </c>
    </row>
    <row r="8" spans="1:53" ht="12.75" customHeight="1" x14ac:dyDescent="0.15">
      <c r="A8" s="80" t="s">
        <v>24</v>
      </c>
      <c r="B8" s="80" t="s">
        <v>190</v>
      </c>
      <c r="C8" s="80">
        <v>2020</v>
      </c>
      <c r="D8" s="180" t="s">
        <v>363</v>
      </c>
      <c r="E8" s="80" t="s">
        <v>259</v>
      </c>
      <c r="F8" s="80" t="s">
        <v>360</v>
      </c>
      <c r="G8" s="80" t="s">
        <v>25</v>
      </c>
      <c r="H8" s="80" t="s">
        <v>167</v>
      </c>
      <c r="I8" s="80" t="s">
        <v>111</v>
      </c>
      <c r="J8" s="80" t="s">
        <v>27</v>
      </c>
      <c r="K8" s="80" t="s">
        <v>112</v>
      </c>
      <c r="L8" s="80">
        <v>1</v>
      </c>
      <c r="N8" s="80">
        <v>1</v>
      </c>
      <c r="O8" s="80">
        <v>1</v>
      </c>
      <c r="P8" s="80">
        <v>0.8</v>
      </c>
      <c r="Q8" s="181">
        <f t="shared" si="0"/>
        <v>0.9</v>
      </c>
      <c r="R8" s="34">
        <v>12.2</v>
      </c>
      <c r="S8" s="80">
        <v>127</v>
      </c>
      <c r="T8" s="16">
        <f t="shared" si="1"/>
        <v>27</v>
      </c>
      <c r="U8" s="80">
        <v>92</v>
      </c>
      <c r="V8" s="16">
        <f t="shared" si="2"/>
        <v>2484</v>
      </c>
      <c r="W8" s="80">
        <v>5</v>
      </c>
      <c r="X8" s="80" t="s">
        <v>35</v>
      </c>
      <c r="Y8" s="80" t="s">
        <v>64</v>
      </c>
      <c r="Z8" s="80" t="s">
        <v>82</v>
      </c>
      <c r="AA8" s="80" t="s">
        <v>55</v>
      </c>
      <c r="AB8" s="34" t="s">
        <v>194</v>
      </c>
      <c r="AE8" s="22" t="s">
        <v>46</v>
      </c>
      <c r="AG8" s="129" t="s">
        <v>259</v>
      </c>
      <c r="AH8" s="129" t="s">
        <v>360</v>
      </c>
      <c r="AL8" s="89" t="s">
        <v>110</v>
      </c>
      <c r="AP8" s="83" t="s">
        <v>49</v>
      </c>
      <c r="AR8" s="83" t="s">
        <v>67</v>
      </c>
      <c r="AV8" s="83" t="s">
        <v>82</v>
      </c>
      <c r="AX8" s="24">
        <v>119</v>
      </c>
      <c r="AY8" s="25">
        <v>30</v>
      </c>
      <c r="AZ8" s="25">
        <v>121</v>
      </c>
      <c r="BA8" s="26">
        <v>27</v>
      </c>
    </row>
    <row r="9" spans="1:53" x14ac:dyDescent="0.15">
      <c r="A9" s="80" t="s">
        <v>24</v>
      </c>
      <c r="B9" s="80" t="s">
        <v>190</v>
      </c>
      <c r="C9" s="80">
        <v>2020</v>
      </c>
      <c r="D9" s="180" t="s">
        <v>363</v>
      </c>
      <c r="E9" s="80" t="s">
        <v>259</v>
      </c>
      <c r="F9" s="80" t="s">
        <v>360</v>
      </c>
      <c r="G9" s="80" t="s">
        <v>25</v>
      </c>
      <c r="H9" s="80" t="s">
        <v>167</v>
      </c>
      <c r="I9" s="80" t="s">
        <v>111</v>
      </c>
      <c r="J9" s="80" t="s">
        <v>27</v>
      </c>
      <c r="K9" s="80" t="s">
        <v>112</v>
      </c>
      <c r="L9" s="80">
        <v>2</v>
      </c>
      <c r="N9" s="80">
        <v>1</v>
      </c>
      <c r="O9" s="80">
        <v>0.9</v>
      </c>
      <c r="P9" s="80">
        <v>0.9</v>
      </c>
      <c r="Q9" s="181">
        <f t="shared" si="0"/>
        <v>0.9</v>
      </c>
      <c r="R9" s="80">
        <v>12.2</v>
      </c>
      <c r="S9" s="80">
        <v>119</v>
      </c>
      <c r="T9" s="16">
        <f t="shared" si="1"/>
        <v>30</v>
      </c>
      <c r="U9" s="80">
        <v>92</v>
      </c>
      <c r="V9" s="16">
        <f t="shared" si="2"/>
        <v>2760</v>
      </c>
      <c r="W9" s="80">
        <v>5</v>
      </c>
      <c r="X9" s="80" t="s">
        <v>35</v>
      </c>
      <c r="Y9" s="80" t="s">
        <v>64</v>
      </c>
      <c r="Z9" s="80" t="s">
        <v>82</v>
      </c>
      <c r="AA9" s="80" t="s">
        <v>55</v>
      </c>
      <c r="AB9" s="34" t="s">
        <v>194</v>
      </c>
      <c r="AE9" s="22" t="s">
        <v>83</v>
      </c>
      <c r="AG9" s="129" t="s">
        <v>192</v>
      </c>
      <c r="AH9" s="129" t="s">
        <v>372</v>
      </c>
      <c r="AL9" s="83" t="s">
        <v>139</v>
      </c>
      <c r="AP9" s="83" t="s">
        <v>80</v>
      </c>
      <c r="AR9" s="83" t="s">
        <v>75</v>
      </c>
      <c r="AV9" s="83" t="s">
        <v>86</v>
      </c>
      <c r="AX9" s="24">
        <v>128</v>
      </c>
      <c r="AY9" s="25">
        <v>27</v>
      </c>
      <c r="AZ9" s="25">
        <v>129</v>
      </c>
      <c r="BA9" s="26">
        <v>25</v>
      </c>
    </row>
    <row r="10" spans="1:53" x14ac:dyDescent="0.15">
      <c r="A10" s="80" t="s">
        <v>24</v>
      </c>
      <c r="B10" s="80" t="s">
        <v>190</v>
      </c>
      <c r="C10" s="80">
        <v>2020</v>
      </c>
      <c r="D10" s="180" t="s">
        <v>363</v>
      </c>
      <c r="E10" s="80" t="s">
        <v>259</v>
      </c>
      <c r="F10" s="80" t="s">
        <v>360</v>
      </c>
      <c r="G10" s="80" t="s">
        <v>25</v>
      </c>
      <c r="H10" s="80" t="s">
        <v>167</v>
      </c>
      <c r="I10" s="80" t="s">
        <v>111</v>
      </c>
      <c r="J10" s="80" t="s">
        <v>27</v>
      </c>
      <c r="K10" s="80" t="s">
        <v>112</v>
      </c>
      <c r="L10" s="80">
        <v>3</v>
      </c>
      <c r="N10" s="80">
        <v>1</v>
      </c>
      <c r="O10" s="80">
        <v>1.1000000000000001</v>
      </c>
      <c r="P10" s="80">
        <v>1</v>
      </c>
      <c r="Q10" s="181">
        <f t="shared" si="0"/>
        <v>1.05</v>
      </c>
      <c r="R10" s="80">
        <v>16.399999999999999</v>
      </c>
      <c r="S10" s="80">
        <v>118</v>
      </c>
      <c r="T10" s="16">
        <f t="shared" si="1"/>
        <v>30</v>
      </c>
      <c r="U10" s="80">
        <v>92</v>
      </c>
      <c r="V10" s="16">
        <f t="shared" si="2"/>
        <v>2760</v>
      </c>
      <c r="W10" s="80">
        <v>5</v>
      </c>
      <c r="X10" s="80" t="s">
        <v>35</v>
      </c>
      <c r="Y10" s="80" t="s">
        <v>64</v>
      </c>
      <c r="Z10" s="80" t="s">
        <v>82</v>
      </c>
      <c r="AA10" s="80" t="s">
        <v>55</v>
      </c>
      <c r="AB10" s="34" t="s">
        <v>194</v>
      </c>
      <c r="AE10" s="22" t="s">
        <v>87</v>
      </c>
      <c r="AG10" s="129" t="s">
        <v>373</v>
      </c>
      <c r="AH10" s="129" t="s">
        <v>374</v>
      </c>
      <c r="AP10" s="83" t="s">
        <v>84</v>
      </c>
      <c r="AR10" s="83" t="s">
        <v>103</v>
      </c>
      <c r="AV10" s="83" t="s">
        <v>90</v>
      </c>
      <c r="AX10" s="24">
        <v>138</v>
      </c>
      <c r="AY10" s="25">
        <v>25</v>
      </c>
      <c r="AZ10" s="25">
        <v>138</v>
      </c>
      <c r="BA10" s="26">
        <v>22</v>
      </c>
    </row>
    <row r="11" spans="1:53" x14ac:dyDescent="0.15">
      <c r="A11" s="80" t="s">
        <v>24</v>
      </c>
      <c r="B11" s="80" t="s">
        <v>190</v>
      </c>
      <c r="C11" s="80">
        <v>2020</v>
      </c>
      <c r="D11" s="180" t="s">
        <v>363</v>
      </c>
      <c r="E11" s="80" t="s">
        <v>259</v>
      </c>
      <c r="F11" s="80" t="s">
        <v>360</v>
      </c>
      <c r="G11" s="80" t="s">
        <v>25</v>
      </c>
      <c r="H11" s="80" t="s">
        <v>167</v>
      </c>
      <c r="I11" s="80" t="s">
        <v>111</v>
      </c>
      <c r="J11" s="80" t="s">
        <v>27</v>
      </c>
      <c r="K11" s="80" t="s">
        <v>112</v>
      </c>
      <c r="L11" s="80">
        <v>1</v>
      </c>
      <c r="N11" s="80">
        <v>4</v>
      </c>
      <c r="O11" s="80">
        <v>0.8</v>
      </c>
      <c r="P11" s="80">
        <v>0.9</v>
      </c>
      <c r="Q11" s="181">
        <f t="shared" si="0"/>
        <v>0.85000000000000009</v>
      </c>
      <c r="R11" s="80">
        <v>11.1</v>
      </c>
      <c r="S11" s="80">
        <v>94</v>
      </c>
      <c r="T11" s="16">
        <f t="shared" si="1"/>
        <v>36</v>
      </c>
      <c r="U11" s="80">
        <v>377</v>
      </c>
      <c r="V11" s="16">
        <f t="shared" si="2"/>
        <v>3393</v>
      </c>
      <c r="W11" s="80">
        <v>2</v>
      </c>
      <c r="X11" s="80" t="s">
        <v>35</v>
      </c>
      <c r="Y11" s="80" t="s">
        <v>64</v>
      </c>
      <c r="Z11" s="80" t="s">
        <v>82</v>
      </c>
      <c r="AA11" s="80" t="s">
        <v>55</v>
      </c>
      <c r="AB11" s="34" t="s">
        <v>194</v>
      </c>
      <c r="AE11" s="22" t="s">
        <v>52</v>
      </c>
      <c r="AG11" s="129" t="s">
        <v>375</v>
      </c>
      <c r="AH11" s="129" t="s">
        <v>369</v>
      </c>
      <c r="AP11" s="83" t="s">
        <v>88</v>
      </c>
      <c r="AR11" s="83" t="s">
        <v>73</v>
      </c>
      <c r="AV11" s="83" t="s">
        <v>55</v>
      </c>
      <c r="AX11" s="24">
        <v>151</v>
      </c>
      <c r="AY11" s="25">
        <v>22</v>
      </c>
      <c r="AZ11" s="25">
        <v>152</v>
      </c>
      <c r="BA11" s="26">
        <v>18</v>
      </c>
    </row>
    <row r="12" spans="1:53" x14ac:dyDescent="0.15">
      <c r="A12" s="80" t="s">
        <v>24</v>
      </c>
      <c r="B12" s="80" t="s">
        <v>190</v>
      </c>
      <c r="C12" s="80">
        <v>2020</v>
      </c>
      <c r="D12" s="180" t="s">
        <v>363</v>
      </c>
      <c r="E12" s="80" t="s">
        <v>259</v>
      </c>
      <c r="F12" s="80" t="s">
        <v>360</v>
      </c>
      <c r="G12" s="80" t="s">
        <v>25</v>
      </c>
      <c r="H12" s="80" t="s">
        <v>167</v>
      </c>
      <c r="I12" s="80" t="s">
        <v>111</v>
      </c>
      <c r="J12" s="80" t="s">
        <v>27</v>
      </c>
      <c r="K12" s="80" t="s">
        <v>112</v>
      </c>
      <c r="L12" s="80">
        <v>2</v>
      </c>
      <c r="N12" s="80">
        <v>4</v>
      </c>
      <c r="O12" s="80">
        <v>0.75</v>
      </c>
      <c r="P12" s="80">
        <v>0.7</v>
      </c>
      <c r="Q12" s="181">
        <f t="shared" si="0"/>
        <v>0.72499999999999998</v>
      </c>
      <c r="R12" s="34">
        <v>11.1</v>
      </c>
      <c r="S12" s="80">
        <v>89</v>
      </c>
      <c r="T12" s="16">
        <f t="shared" si="1"/>
        <v>36</v>
      </c>
      <c r="U12" s="80">
        <v>377</v>
      </c>
      <c r="V12" s="16">
        <f t="shared" si="2"/>
        <v>3393</v>
      </c>
      <c r="W12" s="80">
        <v>2</v>
      </c>
      <c r="X12" s="80" t="s">
        <v>35</v>
      </c>
      <c r="Y12" s="80" t="s">
        <v>64</v>
      </c>
      <c r="Z12" s="80" t="s">
        <v>82</v>
      </c>
      <c r="AA12" s="80" t="s">
        <v>55</v>
      </c>
      <c r="AB12" s="34" t="s">
        <v>194</v>
      </c>
      <c r="AE12" s="22" t="s">
        <v>56</v>
      </c>
      <c r="AG12" s="68"/>
      <c r="AH12" s="68"/>
      <c r="AP12" s="83" t="s">
        <v>53</v>
      </c>
      <c r="AR12" s="83" t="s">
        <v>104</v>
      </c>
      <c r="AV12" s="83" t="s">
        <v>58</v>
      </c>
      <c r="AX12" s="31">
        <v>180</v>
      </c>
      <c r="AY12" s="32">
        <v>18</v>
      </c>
      <c r="AZ12" s="32">
        <v>181</v>
      </c>
      <c r="BA12" s="33">
        <v>16</v>
      </c>
    </row>
    <row r="13" spans="1:53" ht="14.25" customHeight="1" x14ac:dyDescent="0.15">
      <c r="A13" s="80" t="s">
        <v>24</v>
      </c>
      <c r="B13" s="80" t="s">
        <v>190</v>
      </c>
      <c r="C13" s="80">
        <v>2020</v>
      </c>
      <c r="D13" s="180" t="s">
        <v>363</v>
      </c>
      <c r="E13" s="80" t="s">
        <v>259</v>
      </c>
      <c r="F13" s="80" t="s">
        <v>360</v>
      </c>
      <c r="G13" s="80" t="s">
        <v>25</v>
      </c>
      <c r="H13" s="80" t="s">
        <v>167</v>
      </c>
      <c r="I13" s="80" t="s">
        <v>111</v>
      </c>
      <c r="J13" s="80" t="s">
        <v>27</v>
      </c>
      <c r="K13" s="80" t="s">
        <v>112</v>
      </c>
      <c r="L13" s="80">
        <v>3</v>
      </c>
      <c r="N13" s="80">
        <v>4</v>
      </c>
      <c r="O13" s="80">
        <v>1</v>
      </c>
      <c r="P13" s="80">
        <v>0.8</v>
      </c>
      <c r="Q13" s="181">
        <f t="shared" si="0"/>
        <v>0.9</v>
      </c>
      <c r="R13" s="80">
        <v>12.5</v>
      </c>
      <c r="S13" s="80">
        <v>95</v>
      </c>
      <c r="T13" s="16">
        <f t="shared" si="1"/>
        <v>36</v>
      </c>
      <c r="U13" s="80">
        <v>377</v>
      </c>
      <c r="V13" s="16">
        <f t="shared" si="2"/>
        <v>3393</v>
      </c>
      <c r="W13" s="80">
        <v>2</v>
      </c>
      <c r="X13" s="80" t="s">
        <v>35</v>
      </c>
      <c r="Y13" s="80" t="s">
        <v>64</v>
      </c>
      <c r="Z13" s="80" t="s">
        <v>82</v>
      </c>
      <c r="AA13" s="80" t="s">
        <v>55</v>
      </c>
      <c r="AB13" s="34" t="s">
        <v>194</v>
      </c>
      <c r="AE13" s="22" t="s">
        <v>59</v>
      </c>
      <c r="AG13" s="83"/>
      <c r="AH13" s="83"/>
      <c r="AP13" s="83" t="s">
        <v>57</v>
      </c>
      <c r="AR13" s="83" t="s">
        <v>87</v>
      </c>
      <c r="AV13" s="83" t="s">
        <v>61</v>
      </c>
    </row>
    <row r="14" spans="1:53" x14ac:dyDescent="0.15">
      <c r="A14" s="80" t="s">
        <v>24</v>
      </c>
      <c r="B14" s="80" t="s">
        <v>190</v>
      </c>
      <c r="C14" s="80">
        <v>2020</v>
      </c>
      <c r="D14" s="180" t="s">
        <v>363</v>
      </c>
      <c r="E14" s="80" t="s">
        <v>366</v>
      </c>
      <c r="F14" s="80" t="s">
        <v>367</v>
      </c>
      <c r="G14" s="80" t="s">
        <v>25</v>
      </c>
      <c r="H14" s="80" t="s">
        <v>113</v>
      </c>
      <c r="I14" s="80" t="s">
        <v>111</v>
      </c>
      <c r="J14" s="80" t="s">
        <v>27</v>
      </c>
      <c r="K14" s="80" t="s">
        <v>112</v>
      </c>
      <c r="L14" s="80">
        <v>1</v>
      </c>
      <c r="N14" s="80">
        <v>1</v>
      </c>
      <c r="O14" s="80">
        <v>1.5</v>
      </c>
      <c r="P14" s="80">
        <v>1.6</v>
      </c>
      <c r="Q14" s="181">
        <f t="shared" si="0"/>
        <v>1.55</v>
      </c>
      <c r="R14" s="80">
        <v>12.5</v>
      </c>
      <c r="S14" s="80">
        <v>128</v>
      </c>
      <c r="T14" s="16">
        <f t="shared" si="1"/>
        <v>27</v>
      </c>
      <c r="U14" s="80">
        <v>98</v>
      </c>
      <c r="V14" s="16">
        <f t="shared" si="2"/>
        <v>2646</v>
      </c>
      <c r="W14" s="80">
        <v>3</v>
      </c>
      <c r="X14" s="80" t="s">
        <v>35</v>
      </c>
      <c r="Y14" s="80" t="s">
        <v>74</v>
      </c>
      <c r="Z14" s="80" t="s">
        <v>55</v>
      </c>
      <c r="AA14" s="80" t="s">
        <v>86</v>
      </c>
      <c r="AB14" s="34" t="s">
        <v>194</v>
      </c>
      <c r="AE14" s="22" t="s">
        <v>62</v>
      </c>
      <c r="AG14" s="83"/>
      <c r="AH14" s="83"/>
      <c r="AP14" s="83" t="s">
        <v>60</v>
      </c>
      <c r="AR14" s="83" t="s">
        <v>105</v>
      </c>
      <c r="AV14" s="83" t="s">
        <v>64</v>
      </c>
    </row>
    <row r="15" spans="1:53" x14ac:dyDescent="0.15">
      <c r="A15" s="80" t="s">
        <v>24</v>
      </c>
      <c r="B15" s="80" t="s">
        <v>190</v>
      </c>
      <c r="C15" s="80">
        <v>2020</v>
      </c>
      <c r="D15" s="180" t="s">
        <v>363</v>
      </c>
      <c r="E15" s="80" t="s">
        <v>366</v>
      </c>
      <c r="F15" s="80" t="s">
        <v>367</v>
      </c>
      <c r="G15" s="80" t="s">
        <v>25</v>
      </c>
      <c r="H15" s="80" t="s">
        <v>113</v>
      </c>
      <c r="I15" s="80" t="s">
        <v>111</v>
      </c>
      <c r="J15" s="80" t="s">
        <v>27</v>
      </c>
      <c r="K15" s="80" t="s">
        <v>112</v>
      </c>
      <c r="L15" s="80">
        <v>2</v>
      </c>
      <c r="N15" s="80">
        <v>1</v>
      </c>
      <c r="O15" s="80">
        <v>1.3</v>
      </c>
      <c r="P15" s="80">
        <v>1.5</v>
      </c>
      <c r="Q15" s="181">
        <f t="shared" si="0"/>
        <v>1.4</v>
      </c>
      <c r="R15" s="80">
        <v>12.2</v>
      </c>
      <c r="S15" s="80">
        <v>123</v>
      </c>
      <c r="T15" s="16">
        <f t="shared" si="1"/>
        <v>27</v>
      </c>
      <c r="U15" s="80">
        <v>98</v>
      </c>
      <c r="V15" s="16">
        <f t="shared" si="2"/>
        <v>2646</v>
      </c>
      <c r="W15" s="80">
        <v>3</v>
      </c>
      <c r="X15" s="80" t="s">
        <v>35</v>
      </c>
      <c r="Y15" s="80" t="s">
        <v>74</v>
      </c>
      <c r="Z15" s="80" t="s">
        <v>55</v>
      </c>
      <c r="AA15" s="80" t="s">
        <v>86</v>
      </c>
      <c r="AB15" s="34" t="s">
        <v>194</v>
      </c>
      <c r="AE15" s="22" t="s">
        <v>65</v>
      </c>
      <c r="AG15" s="83"/>
      <c r="AH15" s="83"/>
      <c r="AP15" s="83" t="s">
        <v>63</v>
      </c>
      <c r="AR15" s="83" t="s">
        <v>79</v>
      </c>
      <c r="AV15" s="83" t="s">
        <v>91</v>
      </c>
    </row>
    <row r="16" spans="1:53" x14ac:dyDescent="0.15">
      <c r="A16" s="80" t="s">
        <v>24</v>
      </c>
      <c r="B16" s="80" t="s">
        <v>190</v>
      </c>
      <c r="C16" s="80">
        <v>2020</v>
      </c>
      <c r="D16" s="180" t="s">
        <v>363</v>
      </c>
      <c r="E16" s="80" t="s">
        <v>366</v>
      </c>
      <c r="F16" s="80" t="s">
        <v>367</v>
      </c>
      <c r="G16" s="80" t="s">
        <v>25</v>
      </c>
      <c r="H16" s="80" t="s">
        <v>113</v>
      </c>
      <c r="I16" s="80" t="s">
        <v>111</v>
      </c>
      <c r="J16" s="80" t="s">
        <v>27</v>
      </c>
      <c r="K16" s="80" t="s">
        <v>112</v>
      </c>
      <c r="L16" s="80">
        <v>3</v>
      </c>
      <c r="N16" s="80">
        <v>1</v>
      </c>
      <c r="O16" s="80">
        <v>1.25</v>
      </c>
      <c r="P16" s="80">
        <v>1.3</v>
      </c>
      <c r="Q16" s="181">
        <f t="shared" si="0"/>
        <v>1.2749999999999999</v>
      </c>
      <c r="R16" s="80">
        <v>9.4</v>
      </c>
      <c r="S16" s="80">
        <v>122</v>
      </c>
      <c r="T16" s="16">
        <f t="shared" si="1"/>
        <v>27</v>
      </c>
      <c r="U16" s="80">
        <v>98</v>
      </c>
      <c r="V16" s="16">
        <f t="shared" si="2"/>
        <v>2646</v>
      </c>
      <c r="W16" s="80">
        <v>3</v>
      </c>
      <c r="X16" s="80" t="s">
        <v>35</v>
      </c>
      <c r="Y16" s="80" t="s">
        <v>74</v>
      </c>
      <c r="Z16" s="80" t="s">
        <v>55</v>
      </c>
      <c r="AA16" s="80" t="s">
        <v>86</v>
      </c>
      <c r="AB16" s="34" t="s">
        <v>194</v>
      </c>
      <c r="AE16" s="22" t="s">
        <v>68</v>
      </c>
      <c r="AG16" s="28"/>
      <c r="AH16" s="28"/>
      <c r="AP16" s="83" t="s">
        <v>66</v>
      </c>
      <c r="AR16" s="83" t="s">
        <v>50</v>
      </c>
      <c r="AV16" s="83" t="s">
        <v>70</v>
      </c>
    </row>
    <row r="17" spans="1:48" x14ac:dyDescent="0.15">
      <c r="A17" s="80" t="s">
        <v>24</v>
      </c>
      <c r="B17" s="80" t="s">
        <v>190</v>
      </c>
      <c r="C17" s="80">
        <v>2020</v>
      </c>
      <c r="D17" s="180" t="s">
        <v>363</v>
      </c>
      <c r="E17" s="80" t="s">
        <v>366</v>
      </c>
      <c r="F17" s="80" t="s">
        <v>367</v>
      </c>
      <c r="G17" s="80" t="s">
        <v>25</v>
      </c>
      <c r="H17" s="80" t="s">
        <v>113</v>
      </c>
      <c r="I17" s="80" t="s">
        <v>172</v>
      </c>
      <c r="J17" s="80" t="s">
        <v>27</v>
      </c>
      <c r="K17" s="80" t="s">
        <v>112</v>
      </c>
      <c r="L17" s="80">
        <v>1</v>
      </c>
      <c r="N17" s="80">
        <v>4</v>
      </c>
      <c r="O17" s="80">
        <v>1</v>
      </c>
      <c r="P17" s="80">
        <v>1.2</v>
      </c>
      <c r="Q17" s="181">
        <f t="shared" si="0"/>
        <v>1.1000000000000001</v>
      </c>
      <c r="R17" s="80">
        <v>11.2</v>
      </c>
      <c r="S17" s="80">
        <v>86</v>
      </c>
      <c r="T17" s="16">
        <f t="shared" si="1"/>
        <v>36</v>
      </c>
      <c r="U17" s="80">
        <v>495</v>
      </c>
      <c r="V17" s="16">
        <f t="shared" si="2"/>
        <v>4455</v>
      </c>
      <c r="W17" s="80">
        <v>2</v>
      </c>
      <c r="X17" s="80" t="s">
        <v>35</v>
      </c>
      <c r="Y17" s="80" t="s">
        <v>74</v>
      </c>
      <c r="Z17" s="80" t="s">
        <v>55</v>
      </c>
      <c r="AA17" s="80" t="s">
        <v>86</v>
      </c>
      <c r="AB17" s="34" t="s">
        <v>194</v>
      </c>
      <c r="AE17" s="22" t="s">
        <v>71</v>
      </c>
      <c r="AP17" s="27" t="s">
        <v>93</v>
      </c>
      <c r="AR17" s="83" t="s">
        <v>81</v>
      </c>
      <c r="AV17" s="83" t="s">
        <v>72</v>
      </c>
    </row>
    <row r="18" spans="1:48" x14ac:dyDescent="0.15">
      <c r="A18" s="80" t="s">
        <v>24</v>
      </c>
      <c r="B18" s="80" t="s">
        <v>190</v>
      </c>
      <c r="C18" s="80">
        <v>2020</v>
      </c>
      <c r="D18" s="180" t="s">
        <v>363</v>
      </c>
      <c r="E18" s="80" t="s">
        <v>366</v>
      </c>
      <c r="F18" s="80" t="s">
        <v>367</v>
      </c>
      <c r="G18" s="80" t="s">
        <v>25</v>
      </c>
      <c r="H18" s="80" t="s">
        <v>113</v>
      </c>
      <c r="I18" s="80" t="s">
        <v>172</v>
      </c>
      <c r="J18" s="80" t="s">
        <v>27</v>
      </c>
      <c r="K18" s="80" t="s">
        <v>112</v>
      </c>
      <c r="L18" s="80">
        <v>2</v>
      </c>
      <c r="N18" s="80">
        <v>4</v>
      </c>
      <c r="O18" s="80">
        <v>1.5</v>
      </c>
      <c r="P18" s="80">
        <v>1.3</v>
      </c>
      <c r="Q18" s="181">
        <f t="shared" si="0"/>
        <v>1.4</v>
      </c>
      <c r="R18" s="80">
        <v>11.6</v>
      </c>
      <c r="S18" s="80">
        <v>88</v>
      </c>
      <c r="T18" s="16">
        <f t="shared" si="1"/>
        <v>36</v>
      </c>
      <c r="U18" s="80">
        <v>495</v>
      </c>
      <c r="V18" s="16">
        <f t="shared" si="2"/>
        <v>4455</v>
      </c>
      <c r="W18" s="80">
        <v>2</v>
      </c>
      <c r="X18" s="80" t="s">
        <v>35</v>
      </c>
      <c r="Y18" s="80" t="s">
        <v>74</v>
      </c>
      <c r="Z18" s="80" t="s">
        <v>55</v>
      </c>
      <c r="AA18" s="80" t="s">
        <v>86</v>
      </c>
      <c r="AB18" s="34" t="s">
        <v>194</v>
      </c>
      <c r="AE18" s="22" t="s">
        <v>73</v>
      </c>
      <c r="AP18" s="27" t="s">
        <v>94</v>
      </c>
      <c r="AR18" s="83" t="s">
        <v>85</v>
      </c>
      <c r="AV18" s="83" t="s">
        <v>74</v>
      </c>
    </row>
    <row r="19" spans="1:48" x14ac:dyDescent="0.15">
      <c r="A19" s="80" t="s">
        <v>24</v>
      </c>
      <c r="B19" s="80" t="s">
        <v>190</v>
      </c>
      <c r="C19" s="80">
        <v>2020</v>
      </c>
      <c r="D19" s="180" t="s">
        <v>363</v>
      </c>
      <c r="E19" s="80" t="s">
        <v>366</v>
      </c>
      <c r="F19" s="80" t="s">
        <v>367</v>
      </c>
      <c r="G19" s="80" t="s">
        <v>25</v>
      </c>
      <c r="H19" s="80" t="s">
        <v>113</v>
      </c>
      <c r="I19" s="80" t="s">
        <v>172</v>
      </c>
      <c r="J19" s="80" t="s">
        <v>27</v>
      </c>
      <c r="K19" s="80" t="s">
        <v>112</v>
      </c>
      <c r="L19" s="80">
        <v>3</v>
      </c>
      <c r="N19" s="80">
        <v>4</v>
      </c>
      <c r="O19" s="80">
        <v>1.3</v>
      </c>
      <c r="P19" s="80">
        <v>1.5</v>
      </c>
      <c r="Q19" s="181">
        <f t="shared" si="0"/>
        <v>1.4</v>
      </c>
      <c r="R19" s="80">
        <v>9.6</v>
      </c>
      <c r="S19" s="80">
        <v>88</v>
      </c>
      <c r="T19" s="16">
        <f t="shared" si="1"/>
        <v>36</v>
      </c>
      <c r="U19" s="80">
        <v>495</v>
      </c>
      <c r="V19" s="16">
        <f t="shared" si="2"/>
        <v>4455</v>
      </c>
      <c r="W19" s="80">
        <v>2</v>
      </c>
      <c r="X19" s="80" t="s">
        <v>35</v>
      </c>
      <c r="Y19" s="80" t="s">
        <v>74</v>
      </c>
      <c r="Z19" s="80" t="s">
        <v>55</v>
      </c>
      <c r="AA19" s="80" t="s">
        <v>86</v>
      </c>
      <c r="AB19" s="34" t="s">
        <v>194</v>
      </c>
      <c r="AE19" s="35" t="s">
        <v>75</v>
      </c>
      <c r="AP19" s="27" t="s">
        <v>95</v>
      </c>
      <c r="AR19" s="83" t="s">
        <v>106</v>
      </c>
      <c r="AV19" s="83" t="s">
        <v>76</v>
      </c>
    </row>
    <row r="20" spans="1:48" x14ac:dyDescent="0.15">
      <c r="A20" s="80" t="s">
        <v>24</v>
      </c>
      <c r="B20" s="80" t="s">
        <v>190</v>
      </c>
      <c r="C20" s="80">
        <v>2020</v>
      </c>
      <c r="D20" s="180" t="s">
        <v>363</v>
      </c>
      <c r="E20" s="80" t="s">
        <v>366</v>
      </c>
      <c r="F20" s="80" t="s">
        <v>367</v>
      </c>
      <c r="G20" s="80" t="s">
        <v>25</v>
      </c>
      <c r="H20" s="80" t="s">
        <v>167</v>
      </c>
      <c r="I20" s="80" t="s">
        <v>111</v>
      </c>
      <c r="J20" s="80" t="s">
        <v>27</v>
      </c>
      <c r="K20" s="80" t="s">
        <v>112</v>
      </c>
      <c r="L20" s="80">
        <v>1</v>
      </c>
      <c r="N20" s="80">
        <v>1</v>
      </c>
      <c r="O20" s="80">
        <v>1</v>
      </c>
      <c r="P20" s="34">
        <v>1.1000000000000001</v>
      </c>
      <c r="Q20" s="181">
        <f t="shared" si="0"/>
        <v>1.05</v>
      </c>
      <c r="R20" s="80">
        <v>12.9</v>
      </c>
      <c r="S20" s="80">
        <v>123</v>
      </c>
      <c r="T20" s="16">
        <f t="shared" si="1"/>
        <v>27</v>
      </c>
      <c r="U20" s="80">
        <v>125</v>
      </c>
      <c r="V20" s="16">
        <f t="shared" si="2"/>
        <v>3375</v>
      </c>
      <c r="W20" s="80">
        <v>4</v>
      </c>
      <c r="X20" s="80" t="s">
        <v>35</v>
      </c>
      <c r="Y20" s="80" t="s">
        <v>74</v>
      </c>
      <c r="Z20" s="80" t="s">
        <v>55</v>
      </c>
      <c r="AA20" s="80" t="s">
        <v>86</v>
      </c>
      <c r="AB20" s="34" t="s">
        <v>194</v>
      </c>
      <c r="AE20" s="22"/>
      <c r="AP20" s="27" t="s">
        <v>96</v>
      </c>
      <c r="AR20" s="83" t="s">
        <v>89</v>
      </c>
      <c r="AV20" s="27" t="s">
        <v>114</v>
      </c>
    </row>
    <row r="21" spans="1:48" x14ac:dyDescent="0.15">
      <c r="A21" s="80" t="s">
        <v>24</v>
      </c>
      <c r="B21" s="80" t="s">
        <v>190</v>
      </c>
      <c r="C21" s="80">
        <v>2020</v>
      </c>
      <c r="D21" s="180" t="s">
        <v>363</v>
      </c>
      <c r="E21" s="80" t="s">
        <v>366</v>
      </c>
      <c r="F21" s="80" t="s">
        <v>367</v>
      </c>
      <c r="G21" s="80" t="s">
        <v>25</v>
      </c>
      <c r="H21" s="80" t="s">
        <v>167</v>
      </c>
      <c r="I21" s="80" t="s">
        <v>111</v>
      </c>
      <c r="J21" s="80" t="s">
        <v>27</v>
      </c>
      <c r="K21" s="80" t="s">
        <v>112</v>
      </c>
      <c r="L21" s="80">
        <v>2</v>
      </c>
      <c r="N21" s="80">
        <v>1</v>
      </c>
      <c r="O21" s="80">
        <v>1.25</v>
      </c>
      <c r="P21" s="80">
        <v>1.2</v>
      </c>
      <c r="Q21" s="181">
        <f t="shared" si="0"/>
        <v>1.2250000000000001</v>
      </c>
      <c r="R21" s="80">
        <v>12.9</v>
      </c>
      <c r="S21" s="80">
        <v>123</v>
      </c>
      <c r="T21" s="16">
        <f t="shared" si="1"/>
        <v>27</v>
      </c>
      <c r="U21" s="80">
        <v>125</v>
      </c>
      <c r="V21" s="16">
        <f t="shared" si="2"/>
        <v>3375</v>
      </c>
      <c r="W21" s="80">
        <v>4</v>
      </c>
      <c r="X21" s="80" t="s">
        <v>35</v>
      </c>
      <c r="Y21" s="80" t="s">
        <v>74</v>
      </c>
      <c r="Z21" s="80" t="s">
        <v>55</v>
      </c>
      <c r="AA21" s="80" t="s">
        <v>86</v>
      </c>
      <c r="AB21" s="34" t="s">
        <v>194</v>
      </c>
      <c r="AE21" s="22"/>
      <c r="AP21" s="27" t="s">
        <v>97</v>
      </c>
      <c r="AR21" s="83" t="s">
        <v>54</v>
      </c>
      <c r="AV21" s="27" t="s">
        <v>115</v>
      </c>
    </row>
    <row r="22" spans="1:48" x14ac:dyDescent="0.15">
      <c r="A22" s="80" t="s">
        <v>24</v>
      </c>
      <c r="B22" s="80" t="s">
        <v>190</v>
      </c>
      <c r="C22" s="80">
        <v>2020</v>
      </c>
      <c r="D22" s="180" t="s">
        <v>363</v>
      </c>
      <c r="E22" s="80" t="s">
        <v>366</v>
      </c>
      <c r="F22" s="80" t="s">
        <v>367</v>
      </c>
      <c r="G22" s="80" t="s">
        <v>25</v>
      </c>
      <c r="H22" s="80" t="s">
        <v>167</v>
      </c>
      <c r="I22" s="80" t="s">
        <v>111</v>
      </c>
      <c r="J22" s="80" t="s">
        <v>27</v>
      </c>
      <c r="K22" s="80" t="s">
        <v>112</v>
      </c>
      <c r="L22" s="80">
        <v>3</v>
      </c>
      <c r="N22" s="80">
        <v>1</v>
      </c>
      <c r="O22" s="34">
        <v>1.1000000000000001</v>
      </c>
      <c r="P22" s="80">
        <v>1</v>
      </c>
      <c r="Q22" s="181">
        <f t="shared" si="0"/>
        <v>1.05</v>
      </c>
      <c r="R22" s="80">
        <v>13.4</v>
      </c>
      <c r="S22" s="80">
        <v>122</v>
      </c>
      <c r="T22" s="16">
        <f t="shared" si="1"/>
        <v>27</v>
      </c>
      <c r="U22" s="80">
        <v>125</v>
      </c>
      <c r="V22" s="16">
        <f t="shared" si="2"/>
        <v>3375</v>
      </c>
      <c r="W22" s="80">
        <v>4</v>
      </c>
      <c r="X22" s="80" t="s">
        <v>35</v>
      </c>
      <c r="Y22" s="80" t="s">
        <v>74</v>
      </c>
      <c r="Z22" s="80" t="s">
        <v>55</v>
      </c>
      <c r="AA22" s="80" t="s">
        <v>86</v>
      </c>
      <c r="AB22" s="34" t="s">
        <v>194</v>
      </c>
      <c r="AE22" s="35"/>
      <c r="AP22" s="27" t="s">
        <v>98</v>
      </c>
      <c r="AR22" s="83" t="s">
        <v>69</v>
      </c>
      <c r="AV22" s="27"/>
    </row>
    <row r="23" spans="1:48" x14ac:dyDescent="0.15">
      <c r="A23" s="80" t="s">
        <v>24</v>
      </c>
      <c r="B23" s="80" t="s">
        <v>190</v>
      </c>
      <c r="C23" s="80">
        <v>2020</v>
      </c>
      <c r="D23" s="180" t="s">
        <v>363</v>
      </c>
      <c r="E23" s="80" t="s">
        <v>366</v>
      </c>
      <c r="F23" s="80" t="s">
        <v>367</v>
      </c>
      <c r="G23" s="80" t="s">
        <v>25</v>
      </c>
      <c r="H23" s="80" t="s">
        <v>167</v>
      </c>
      <c r="I23" s="80" t="s">
        <v>172</v>
      </c>
      <c r="J23" s="80" t="s">
        <v>27</v>
      </c>
      <c r="K23" s="80" t="s">
        <v>112</v>
      </c>
      <c r="L23" s="80">
        <v>1</v>
      </c>
      <c r="N23" s="80">
        <v>4</v>
      </c>
      <c r="O23" s="34">
        <v>0.8</v>
      </c>
      <c r="P23" s="80">
        <v>0.9</v>
      </c>
      <c r="Q23" s="181">
        <f t="shared" si="0"/>
        <v>0.85000000000000009</v>
      </c>
      <c r="R23" s="80">
        <v>18.100000000000001</v>
      </c>
      <c r="S23" s="80">
        <v>101</v>
      </c>
      <c r="T23" s="16">
        <f t="shared" si="1"/>
        <v>33</v>
      </c>
      <c r="U23" s="80">
        <v>580</v>
      </c>
      <c r="V23" s="16">
        <f t="shared" si="2"/>
        <v>4785</v>
      </c>
      <c r="W23" s="80">
        <v>2</v>
      </c>
      <c r="X23" s="80" t="s">
        <v>35</v>
      </c>
      <c r="Y23" s="80" t="s">
        <v>74</v>
      </c>
      <c r="Z23" s="80" t="s">
        <v>55</v>
      </c>
      <c r="AA23" s="80" t="s">
        <v>86</v>
      </c>
      <c r="AB23" s="34" t="s">
        <v>194</v>
      </c>
      <c r="AE23" s="22"/>
      <c r="AP23" s="27" t="s">
        <v>116</v>
      </c>
      <c r="AR23" s="83" t="s">
        <v>48</v>
      </c>
      <c r="AV23" s="27"/>
    </row>
    <row r="24" spans="1:48" x14ac:dyDescent="0.15">
      <c r="A24" s="80" t="s">
        <v>24</v>
      </c>
      <c r="B24" s="80" t="s">
        <v>190</v>
      </c>
      <c r="C24" s="80">
        <v>2020</v>
      </c>
      <c r="D24" s="180" t="s">
        <v>363</v>
      </c>
      <c r="E24" s="80" t="s">
        <v>366</v>
      </c>
      <c r="F24" s="80" t="s">
        <v>367</v>
      </c>
      <c r="G24" s="80" t="s">
        <v>25</v>
      </c>
      <c r="H24" s="80" t="s">
        <v>167</v>
      </c>
      <c r="I24" s="80" t="s">
        <v>172</v>
      </c>
      <c r="J24" s="80" t="s">
        <v>27</v>
      </c>
      <c r="K24" s="80" t="s">
        <v>112</v>
      </c>
      <c r="L24" s="80">
        <v>2</v>
      </c>
      <c r="N24" s="80">
        <v>4</v>
      </c>
      <c r="O24" s="80">
        <v>0.75</v>
      </c>
      <c r="P24" s="80">
        <v>0.8</v>
      </c>
      <c r="Q24" s="181">
        <f t="shared" si="0"/>
        <v>0.77500000000000002</v>
      </c>
      <c r="R24" s="80">
        <v>16.3</v>
      </c>
      <c r="S24" s="80">
        <v>93</v>
      </c>
      <c r="T24" s="16">
        <f t="shared" si="1"/>
        <v>36</v>
      </c>
      <c r="U24" s="80">
        <v>580</v>
      </c>
      <c r="V24" s="16">
        <f t="shared" si="2"/>
        <v>5220</v>
      </c>
      <c r="W24" s="80">
        <v>2</v>
      </c>
      <c r="X24" s="80" t="s">
        <v>35</v>
      </c>
      <c r="Y24" s="80" t="s">
        <v>74</v>
      </c>
      <c r="Z24" s="80" t="s">
        <v>55</v>
      </c>
      <c r="AA24" s="80" t="s">
        <v>86</v>
      </c>
      <c r="AB24" s="34" t="s">
        <v>194</v>
      </c>
      <c r="AE24" s="22"/>
      <c r="AP24" s="27" t="s">
        <v>117</v>
      </c>
      <c r="AR24" s="83" t="s">
        <v>77</v>
      </c>
      <c r="AV24" s="27"/>
    </row>
    <row r="25" spans="1:48" x14ac:dyDescent="0.15">
      <c r="A25" s="80" t="s">
        <v>24</v>
      </c>
      <c r="B25" s="80" t="s">
        <v>190</v>
      </c>
      <c r="C25" s="80">
        <v>2020</v>
      </c>
      <c r="D25" s="180" t="s">
        <v>363</v>
      </c>
      <c r="E25" s="80" t="s">
        <v>366</v>
      </c>
      <c r="F25" s="80" t="s">
        <v>367</v>
      </c>
      <c r="G25" s="80" t="s">
        <v>25</v>
      </c>
      <c r="H25" s="80" t="s">
        <v>167</v>
      </c>
      <c r="I25" s="80" t="s">
        <v>172</v>
      </c>
      <c r="J25" s="80" t="s">
        <v>27</v>
      </c>
      <c r="K25" s="80" t="s">
        <v>112</v>
      </c>
      <c r="L25" s="80">
        <v>3</v>
      </c>
      <c r="N25" s="80">
        <v>4</v>
      </c>
      <c r="O25" s="80">
        <v>0.8</v>
      </c>
      <c r="P25" s="80">
        <v>0.9</v>
      </c>
      <c r="Q25" s="181">
        <f t="shared" si="0"/>
        <v>0.85000000000000009</v>
      </c>
      <c r="R25" s="80">
        <v>17.2</v>
      </c>
      <c r="S25" s="80">
        <v>104</v>
      </c>
      <c r="T25" s="16">
        <f t="shared" si="1"/>
        <v>33</v>
      </c>
      <c r="U25" s="80">
        <v>580</v>
      </c>
      <c r="V25" s="16">
        <f t="shared" si="2"/>
        <v>4785</v>
      </c>
      <c r="W25" s="80">
        <v>2</v>
      </c>
      <c r="X25" s="80" t="s">
        <v>35</v>
      </c>
      <c r="Y25" s="80" t="s">
        <v>74</v>
      </c>
      <c r="Z25" s="80" t="s">
        <v>55</v>
      </c>
      <c r="AA25" s="80" t="s">
        <v>86</v>
      </c>
      <c r="AB25" s="34" t="s">
        <v>194</v>
      </c>
      <c r="AE25" s="35"/>
      <c r="AP25" s="27" t="s">
        <v>99</v>
      </c>
      <c r="AR25" s="27" t="s">
        <v>78</v>
      </c>
      <c r="AV25" s="27"/>
    </row>
    <row r="26" spans="1:48" x14ac:dyDescent="0.15">
      <c r="A26" s="80" t="s">
        <v>24</v>
      </c>
      <c r="B26" s="80" t="s">
        <v>190</v>
      </c>
      <c r="C26" s="80">
        <v>2020</v>
      </c>
      <c r="D26" s="180" t="s">
        <v>363</v>
      </c>
      <c r="E26" s="80" t="s">
        <v>361</v>
      </c>
      <c r="F26" s="80" t="s">
        <v>362</v>
      </c>
      <c r="G26" s="80" t="s">
        <v>25</v>
      </c>
      <c r="H26" s="80" t="s">
        <v>113</v>
      </c>
      <c r="I26" s="80" t="s">
        <v>111</v>
      </c>
      <c r="J26" s="80" t="s">
        <v>27</v>
      </c>
      <c r="K26" s="80" t="s">
        <v>112</v>
      </c>
      <c r="L26" s="80">
        <v>1</v>
      </c>
      <c r="N26" s="80">
        <v>1</v>
      </c>
      <c r="O26" s="80">
        <v>1.5</v>
      </c>
      <c r="P26" s="80">
        <v>1.4</v>
      </c>
      <c r="Q26" s="181">
        <f t="shared" si="0"/>
        <v>1.45</v>
      </c>
      <c r="R26" s="80">
        <v>11.9</v>
      </c>
      <c r="S26" s="80">
        <v>121</v>
      </c>
      <c r="T26" s="16">
        <f t="shared" si="1"/>
        <v>27</v>
      </c>
      <c r="U26" s="80">
        <v>98</v>
      </c>
      <c r="V26" s="16">
        <f t="shared" si="2"/>
        <v>2646</v>
      </c>
      <c r="W26" s="80">
        <v>3</v>
      </c>
      <c r="X26" s="80" t="s">
        <v>35</v>
      </c>
      <c r="Y26" s="80" t="s">
        <v>74</v>
      </c>
      <c r="Z26" s="80" t="s">
        <v>72</v>
      </c>
      <c r="AA26" s="80" t="s">
        <v>64</v>
      </c>
      <c r="AB26" s="34" t="s">
        <v>194</v>
      </c>
      <c r="AE26" s="35"/>
      <c r="AP26" s="27" t="s">
        <v>100</v>
      </c>
      <c r="AR26" s="83" t="s">
        <v>138</v>
      </c>
      <c r="AV26" s="28"/>
    </row>
    <row r="27" spans="1:48" x14ac:dyDescent="0.15">
      <c r="A27" s="80" t="s">
        <v>24</v>
      </c>
      <c r="B27" s="80" t="s">
        <v>190</v>
      </c>
      <c r="C27" s="80">
        <v>2020</v>
      </c>
      <c r="D27" s="180" t="s">
        <v>363</v>
      </c>
      <c r="E27" s="80" t="s">
        <v>361</v>
      </c>
      <c r="F27" s="80" t="s">
        <v>362</v>
      </c>
      <c r="G27" s="80" t="s">
        <v>25</v>
      </c>
      <c r="H27" s="80" t="s">
        <v>113</v>
      </c>
      <c r="I27" s="80" t="s">
        <v>111</v>
      </c>
      <c r="J27" s="80" t="s">
        <v>27</v>
      </c>
      <c r="K27" s="80" t="s">
        <v>112</v>
      </c>
      <c r="L27" s="80">
        <v>2</v>
      </c>
      <c r="N27" s="80">
        <v>1</v>
      </c>
      <c r="O27" s="80">
        <v>1.6</v>
      </c>
      <c r="P27" s="80">
        <v>1.5</v>
      </c>
      <c r="Q27" s="181">
        <f t="shared" si="0"/>
        <v>1.55</v>
      </c>
      <c r="R27" s="80">
        <v>11.3</v>
      </c>
      <c r="S27" s="80">
        <v>118</v>
      </c>
      <c r="T27" s="16">
        <f t="shared" si="1"/>
        <v>30</v>
      </c>
      <c r="U27" s="80">
        <v>98</v>
      </c>
      <c r="V27" s="16">
        <f t="shared" si="2"/>
        <v>2940</v>
      </c>
      <c r="W27" s="80">
        <v>3</v>
      </c>
      <c r="X27" s="80" t="s">
        <v>35</v>
      </c>
      <c r="Y27" s="80" t="s">
        <v>74</v>
      </c>
      <c r="Z27" s="80" t="s">
        <v>72</v>
      </c>
      <c r="AA27" s="80" t="s">
        <v>64</v>
      </c>
      <c r="AB27" s="34" t="s">
        <v>194</v>
      </c>
      <c r="AE27" s="28"/>
      <c r="AP27" s="27" t="s">
        <v>101</v>
      </c>
      <c r="AR27" s="83" t="s">
        <v>159</v>
      </c>
    </row>
    <row r="28" spans="1:48" x14ac:dyDescent="0.15">
      <c r="A28" s="80" t="s">
        <v>24</v>
      </c>
      <c r="B28" s="80" t="s">
        <v>190</v>
      </c>
      <c r="C28" s="80">
        <v>2020</v>
      </c>
      <c r="D28" s="180" t="s">
        <v>363</v>
      </c>
      <c r="E28" s="80" t="s">
        <v>361</v>
      </c>
      <c r="F28" s="80" t="s">
        <v>362</v>
      </c>
      <c r="G28" s="80" t="s">
        <v>25</v>
      </c>
      <c r="H28" s="80" t="s">
        <v>113</v>
      </c>
      <c r="I28" s="80" t="s">
        <v>111</v>
      </c>
      <c r="J28" s="80" t="s">
        <v>27</v>
      </c>
      <c r="K28" s="80" t="s">
        <v>112</v>
      </c>
      <c r="L28" s="80">
        <v>3</v>
      </c>
      <c r="N28" s="80">
        <v>1</v>
      </c>
      <c r="O28" s="80">
        <v>1.75</v>
      </c>
      <c r="P28" s="80">
        <v>0.75</v>
      </c>
      <c r="Q28" s="181">
        <f t="shared" si="0"/>
        <v>1.25</v>
      </c>
      <c r="R28" s="80">
        <v>12.5</v>
      </c>
      <c r="S28" s="80">
        <v>120</v>
      </c>
      <c r="T28" s="16">
        <f t="shared" si="1"/>
        <v>30</v>
      </c>
      <c r="U28" s="80">
        <v>98</v>
      </c>
      <c r="V28" s="16">
        <f t="shared" si="2"/>
        <v>2940</v>
      </c>
      <c r="W28" s="80">
        <v>3</v>
      </c>
      <c r="X28" s="80" t="s">
        <v>35</v>
      </c>
      <c r="Y28" s="80" t="s">
        <v>74</v>
      </c>
      <c r="Z28" s="80" t="s">
        <v>72</v>
      </c>
      <c r="AA28" s="80" t="s">
        <v>64</v>
      </c>
      <c r="AB28" s="34" t="s">
        <v>194</v>
      </c>
      <c r="AP28" s="27" t="s">
        <v>156</v>
      </c>
      <c r="AR28" s="83" t="s">
        <v>158</v>
      </c>
    </row>
    <row r="29" spans="1:48" x14ac:dyDescent="0.15">
      <c r="A29" s="80" t="s">
        <v>24</v>
      </c>
      <c r="B29" s="80" t="s">
        <v>190</v>
      </c>
      <c r="C29" s="80">
        <v>2020</v>
      </c>
      <c r="D29" s="180" t="s">
        <v>363</v>
      </c>
      <c r="E29" s="80" t="s">
        <v>361</v>
      </c>
      <c r="F29" s="80" t="s">
        <v>362</v>
      </c>
      <c r="G29" s="80" t="s">
        <v>25</v>
      </c>
      <c r="H29" s="80" t="s">
        <v>113</v>
      </c>
      <c r="I29" s="80" t="s">
        <v>111</v>
      </c>
      <c r="J29" s="80" t="s">
        <v>27</v>
      </c>
      <c r="K29" s="80" t="s">
        <v>112</v>
      </c>
      <c r="L29" s="80">
        <v>1</v>
      </c>
      <c r="N29" s="80">
        <v>4</v>
      </c>
      <c r="O29" s="80">
        <v>0.8</v>
      </c>
      <c r="P29" s="80">
        <v>0.9</v>
      </c>
      <c r="Q29" s="181">
        <f t="shared" si="0"/>
        <v>0.85000000000000009</v>
      </c>
      <c r="R29" s="80">
        <v>18.399999999999999</v>
      </c>
      <c r="S29" s="80">
        <v>115</v>
      </c>
      <c r="T29" s="16">
        <f t="shared" si="1"/>
        <v>30</v>
      </c>
      <c r="U29" s="80">
        <v>398</v>
      </c>
      <c r="V29" s="16">
        <f t="shared" si="2"/>
        <v>2985</v>
      </c>
      <c r="W29" s="80">
        <v>3</v>
      </c>
      <c r="X29" s="80" t="s">
        <v>35</v>
      </c>
      <c r="Y29" s="80" t="s">
        <v>74</v>
      </c>
      <c r="Z29" s="80" t="s">
        <v>72</v>
      </c>
      <c r="AA29" s="80" t="s">
        <v>64</v>
      </c>
      <c r="AB29" s="34" t="s">
        <v>194</v>
      </c>
      <c r="AP29" s="27" t="s">
        <v>157</v>
      </c>
      <c r="AR29" s="28"/>
      <c r="AV29" s="28"/>
    </row>
    <row r="30" spans="1:48" x14ac:dyDescent="0.15">
      <c r="A30" s="80" t="s">
        <v>24</v>
      </c>
      <c r="B30" s="80" t="s">
        <v>190</v>
      </c>
      <c r="C30" s="80">
        <v>2020</v>
      </c>
      <c r="D30" s="180" t="s">
        <v>363</v>
      </c>
      <c r="E30" s="80" t="s">
        <v>361</v>
      </c>
      <c r="F30" s="80" t="s">
        <v>362</v>
      </c>
      <c r="G30" s="80" t="s">
        <v>25</v>
      </c>
      <c r="H30" s="80" t="s">
        <v>113</v>
      </c>
      <c r="I30" s="80" t="s">
        <v>111</v>
      </c>
      <c r="J30" s="80" t="s">
        <v>27</v>
      </c>
      <c r="K30" s="80" t="s">
        <v>112</v>
      </c>
      <c r="L30" s="80">
        <v>2</v>
      </c>
      <c r="N30" s="80">
        <v>4</v>
      </c>
      <c r="O30" s="80">
        <v>1</v>
      </c>
      <c r="P30" s="80">
        <v>1.2</v>
      </c>
      <c r="Q30" s="181">
        <f t="shared" si="0"/>
        <v>1.1000000000000001</v>
      </c>
      <c r="R30" s="80">
        <v>12.4</v>
      </c>
      <c r="S30" s="80">
        <v>114</v>
      </c>
      <c r="T30" s="16">
        <f t="shared" si="1"/>
        <v>30</v>
      </c>
      <c r="U30" s="80">
        <v>398</v>
      </c>
      <c r="V30" s="16">
        <f t="shared" si="2"/>
        <v>2985</v>
      </c>
      <c r="W30" s="80">
        <v>3</v>
      </c>
      <c r="X30" s="80" t="s">
        <v>35</v>
      </c>
      <c r="Y30" s="80" t="s">
        <v>74</v>
      </c>
      <c r="Z30" s="80" t="s">
        <v>72</v>
      </c>
      <c r="AA30" s="80" t="s">
        <v>64</v>
      </c>
      <c r="AB30" s="34" t="s">
        <v>194</v>
      </c>
      <c r="AP30" s="27"/>
      <c r="AR30" s="27"/>
    </row>
    <row r="31" spans="1:48" x14ac:dyDescent="0.15">
      <c r="A31" s="80" t="s">
        <v>24</v>
      </c>
      <c r="B31" s="80" t="s">
        <v>190</v>
      </c>
      <c r="C31" s="80">
        <v>2020</v>
      </c>
      <c r="D31" s="180" t="s">
        <v>363</v>
      </c>
      <c r="E31" s="80" t="s">
        <v>361</v>
      </c>
      <c r="F31" s="80" t="s">
        <v>362</v>
      </c>
      <c r="G31" s="80" t="s">
        <v>25</v>
      </c>
      <c r="H31" s="80" t="s">
        <v>113</v>
      </c>
      <c r="I31" s="80" t="s">
        <v>111</v>
      </c>
      <c r="J31" s="80" t="s">
        <v>27</v>
      </c>
      <c r="K31" s="80" t="s">
        <v>112</v>
      </c>
      <c r="L31" s="80">
        <v>3</v>
      </c>
      <c r="N31" s="80">
        <v>4</v>
      </c>
      <c r="O31" s="80">
        <v>1</v>
      </c>
      <c r="P31" s="80">
        <v>1</v>
      </c>
      <c r="Q31" s="181">
        <f t="shared" si="0"/>
        <v>1</v>
      </c>
      <c r="R31" s="80">
        <v>13.6</v>
      </c>
      <c r="S31" s="80">
        <v>115</v>
      </c>
      <c r="T31" s="16">
        <f t="shared" si="1"/>
        <v>30</v>
      </c>
      <c r="U31" s="80">
        <v>398</v>
      </c>
      <c r="V31" s="16">
        <f t="shared" si="2"/>
        <v>2985</v>
      </c>
      <c r="W31" s="80">
        <v>3</v>
      </c>
      <c r="X31" s="80" t="s">
        <v>35</v>
      </c>
      <c r="Y31" s="80" t="s">
        <v>74</v>
      </c>
      <c r="Z31" s="80" t="s">
        <v>72</v>
      </c>
      <c r="AA31" s="80" t="s">
        <v>64</v>
      </c>
      <c r="AB31" s="34" t="s">
        <v>194</v>
      </c>
      <c r="AP31" s="27"/>
      <c r="AR31" s="27"/>
    </row>
    <row r="32" spans="1:48" x14ac:dyDescent="0.15">
      <c r="A32" s="80" t="s">
        <v>24</v>
      </c>
      <c r="B32" s="80" t="s">
        <v>190</v>
      </c>
      <c r="C32" s="80">
        <v>2020</v>
      </c>
      <c r="D32" s="180" t="s">
        <v>363</v>
      </c>
      <c r="E32" s="80" t="s">
        <v>361</v>
      </c>
      <c r="F32" s="80" t="s">
        <v>362</v>
      </c>
      <c r="G32" s="80" t="s">
        <v>25</v>
      </c>
      <c r="H32" s="80" t="s">
        <v>167</v>
      </c>
      <c r="I32" s="80" t="s">
        <v>111</v>
      </c>
      <c r="J32" s="80" t="s">
        <v>27</v>
      </c>
      <c r="K32" s="80" t="s">
        <v>112</v>
      </c>
      <c r="L32" s="80">
        <v>1</v>
      </c>
      <c r="N32" s="80">
        <v>1</v>
      </c>
      <c r="O32" s="80">
        <v>0.9</v>
      </c>
      <c r="P32" s="80">
        <v>0.9</v>
      </c>
      <c r="Q32" s="181">
        <f t="shared" si="0"/>
        <v>0.9</v>
      </c>
      <c r="R32" s="80">
        <v>18.600000000000001</v>
      </c>
      <c r="S32" s="80">
        <v>123</v>
      </c>
      <c r="T32" s="16">
        <f t="shared" si="1"/>
        <v>27</v>
      </c>
      <c r="U32" s="80">
        <v>98</v>
      </c>
      <c r="V32" s="16">
        <f t="shared" si="2"/>
        <v>2646</v>
      </c>
      <c r="W32" s="80">
        <v>3</v>
      </c>
      <c r="X32" s="80" t="s">
        <v>35</v>
      </c>
      <c r="Y32" s="80" t="s">
        <v>74</v>
      </c>
      <c r="Z32" s="80" t="s">
        <v>72</v>
      </c>
      <c r="AA32" s="80" t="s">
        <v>64</v>
      </c>
      <c r="AB32" s="34" t="s">
        <v>194</v>
      </c>
      <c r="AP32" s="28"/>
      <c r="AR32" s="28"/>
    </row>
    <row r="33" spans="1:28" x14ac:dyDescent="0.15">
      <c r="A33" s="80" t="s">
        <v>24</v>
      </c>
      <c r="B33" s="80" t="s">
        <v>190</v>
      </c>
      <c r="C33" s="80">
        <v>2020</v>
      </c>
      <c r="D33" s="180" t="s">
        <v>363</v>
      </c>
      <c r="E33" s="80" t="s">
        <v>361</v>
      </c>
      <c r="F33" s="80" t="s">
        <v>362</v>
      </c>
      <c r="G33" s="80" t="s">
        <v>25</v>
      </c>
      <c r="H33" s="80" t="s">
        <v>167</v>
      </c>
      <c r="I33" s="80" t="s">
        <v>111</v>
      </c>
      <c r="J33" s="80" t="s">
        <v>27</v>
      </c>
      <c r="K33" s="80" t="s">
        <v>112</v>
      </c>
      <c r="L33" s="80">
        <v>2</v>
      </c>
      <c r="N33" s="80">
        <v>1</v>
      </c>
      <c r="O33" s="80">
        <v>1.25</v>
      </c>
      <c r="P33" s="80">
        <v>1.2</v>
      </c>
      <c r="Q33" s="181">
        <f t="shared" si="0"/>
        <v>1.2250000000000001</v>
      </c>
      <c r="R33" s="80">
        <v>13.4</v>
      </c>
      <c r="S33" s="80">
        <v>126</v>
      </c>
      <c r="T33" s="16">
        <f t="shared" si="1"/>
        <v>27</v>
      </c>
      <c r="U33" s="80">
        <v>98</v>
      </c>
      <c r="V33" s="16">
        <f t="shared" si="2"/>
        <v>2646</v>
      </c>
      <c r="W33" s="80">
        <v>3</v>
      </c>
      <c r="X33" s="80" t="s">
        <v>35</v>
      </c>
      <c r="Y33" s="80" t="s">
        <v>74</v>
      </c>
      <c r="Z33" s="80" t="s">
        <v>72</v>
      </c>
      <c r="AA33" s="80" t="s">
        <v>64</v>
      </c>
      <c r="AB33" s="34" t="s">
        <v>194</v>
      </c>
    </row>
    <row r="34" spans="1:28" x14ac:dyDescent="0.15">
      <c r="A34" s="80" t="s">
        <v>24</v>
      </c>
      <c r="B34" s="80" t="s">
        <v>190</v>
      </c>
      <c r="C34" s="80">
        <v>2020</v>
      </c>
      <c r="D34" s="180" t="s">
        <v>363</v>
      </c>
      <c r="E34" s="80" t="s">
        <v>361</v>
      </c>
      <c r="F34" s="80" t="s">
        <v>362</v>
      </c>
      <c r="G34" s="80" t="s">
        <v>25</v>
      </c>
      <c r="H34" s="80" t="s">
        <v>167</v>
      </c>
      <c r="I34" s="80" t="s">
        <v>111</v>
      </c>
      <c r="J34" s="80" t="s">
        <v>27</v>
      </c>
      <c r="K34" s="80" t="s">
        <v>112</v>
      </c>
      <c r="L34" s="80">
        <v>3</v>
      </c>
      <c r="N34" s="80">
        <v>1</v>
      </c>
      <c r="O34" s="80">
        <v>1.25</v>
      </c>
      <c r="P34" s="80">
        <v>1.2</v>
      </c>
      <c r="Q34" s="181">
        <f t="shared" si="0"/>
        <v>1.2250000000000001</v>
      </c>
      <c r="R34" s="80">
        <v>12.4</v>
      </c>
      <c r="S34" s="80">
        <v>121</v>
      </c>
      <c r="T34" s="16">
        <f t="shared" si="1"/>
        <v>27</v>
      </c>
      <c r="U34" s="80">
        <v>98</v>
      </c>
      <c r="V34" s="16">
        <f t="shared" si="2"/>
        <v>2646</v>
      </c>
      <c r="W34" s="80">
        <v>3</v>
      </c>
      <c r="X34" s="80" t="s">
        <v>35</v>
      </c>
      <c r="Y34" s="80" t="s">
        <v>74</v>
      </c>
      <c r="Z34" s="80" t="s">
        <v>72</v>
      </c>
      <c r="AA34" s="80" t="s">
        <v>64</v>
      </c>
      <c r="AB34" s="34" t="s">
        <v>194</v>
      </c>
    </row>
    <row r="35" spans="1:28" x14ac:dyDescent="0.15">
      <c r="A35" s="80" t="s">
        <v>24</v>
      </c>
      <c r="B35" s="80" t="s">
        <v>190</v>
      </c>
      <c r="C35" s="80">
        <v>2020</v>
      </c>
      <c r="D35" s="180" t="s">
        <v>363</v>
      </c>
      <c r="E35" s="80" t="s">
        <v>361</v>
      </c>
      <c r="F35" s="80" t="s">
        <v>362</v>
      </c>
      <c r="G35" s="80" t="s">
        <v>25</v>
      </c>
      <c r="H35" s="80" t="s">
        <v>167</v>
      </c>
      <c r="I35" s="80" t="s">
        <v>172</v>
      </c>
      <c r="J35" s="80" t="s">
        <v>27</v>
      </c>
      <c r="K35" s="80" t="s">
        <v>112</v>
      </c>
      <c r="L35" s="80">
        <v>1</v>
      </c>
      <c r="N35" s="80">
        <v>4</v>
      </c>
      <c r="O35" s="80">
        <v>0.9</v>
      </c>
      <c r="P35" s="80">
        <v>0.8</v>
      </c>
      <c r="Q35" s="181">
        <f t="shared" si="0"/>
        <v>0.85000000000000009</v>
      </c>
      <c r="R35" s="80">
        <v>18.5</v>
      </c>
      <c r="S35" s="80">
        <v>101</v>
      </c>
      <c r="T35" s="16">
        <f t="shared" si="1"/>
        <v>33</v>
      </c>
      <c r="U35" s="80">
        <v>498</v>
      </c>
      <c r="V35" s="16">
        <f t="shared" si="2"/>
        <v>4108.5</v>
      </c>
      <c r="W35" s="80">
        <v>1</v>
      </c>
      <c r="X35" s="80" t="s">
        <v>35</v>
      </c>
      <c r="Y35" s="80" t="s">
        <v>74</v>
      </c>
      <c r="Z35" s="80" t="s">
        <v>72</v>
      </c>
      <c r="AA35" s="80" t="s">
        <v>64</v>
      </c>
      <c r="AB35" s="34" t="s">
        <v>194</v>
      </c>
    </row>
    <row r="36" spans="1:28" x14ac:dyDescent="0.15">
      <c r="A36" s="80" t="s">
        <v>24</v>
      </c>
      <c r="B36" s="80" t="s">
        <v>190</v>
      </c>
      <c r="C36" s="80">
        <v>2020</v>
      </c>
      <c r="D36" s="180" t="s">
        <v>363</v>
      </c>
      <c r="E36" s="80" t="s">
        <v>361</v>
      </c>
      <c r="F36" s="80" t="s">
        <v>362</v>
      </c>
      <c r="G36" s="80" t="s">
        <v>25</v>
      </c>
      <c r="H36" s="80" t="s">
        <v>167</v>
      </c>
      <c r="I36" s="80" t="s">
        <v>172</v>
      </c>
      <c r="J36" s="80" t="s">
        <v>27</v>
      </c>
      <c r="K36" s="80" t="s">
        <v>112</v>
      </c>
      <c r="L36" s="80">
        <v>2</v>
      </c>
      <c r="N36" s="80">
        <v>4</v>
      </c>
      <c r="O36" s="80">
        <v>1.1000000000000001</v>
      </c>
      <c r="P36" s="80">
        <v>1</v>
      </c>
      <c r="Q36" s="181">
        <f t="shared" si="0"/>
        <v>1.05</v>
      </c>
      <c r="R36" s="80">
        <v>13.7</v>
      </c>
      <c r="S36" s="80">
        <v>105</v>
      </c>
      <c r="T36" s="16">
        <f t="shared" si="1"/>
        <v>33</v>
      </c>
      <c r="U36" s="80">
        <v>498</v>
      </c>
      <c r="V36" s="16">
        <f t="shared" si="2"/>
        <v>4108.5</v>
      </c>
      <c r="W36" s="80">
        <v>1</v>
      </c>
      <c r="X36" s="80" t="s">
        <v>35</v>
      </c>
      <c r="Y36" s="80" t="s">
        <v>74</v>
      </c>
      <c r="Z36" s="80" t="s">
        <v>72</v>
      </c>
      <c r="AA36" s="80" t="s">
        <v>64</v>
      </c>
      <c r="AB36" s="34" t="s">
        <v>194</v>
      </c>
    </row>
    <row r="37" spans="1:28" x14ac:dyDescent="0.15">
      <c r="A37" s="80" t="s">
        <v>24</v>
      </c>
      <c r="B37" s="80" t="s">
        <v>190</v>
      </c>
      <c r="C37" s="80">
        <v>2020</v>
      </c>
      <c r="D37" s="180" t="s">
        <v>363</v>
      </c>
      <c r="E37" s="80" t="s">
        <v>361</v>
      </c>
      <c r="F37" s="80" t="s">
        <v>362</v>
      </c>
      <c r="G37" s="80" t="s">
        <v>25</v>
      </c>
      <c r="H37" s="80" t="s">
        <v>167</v>
      </c>
      <c r="I37" s="80" t="s">
        <v>172</v>
      </c>
      <c r="J37" s="80" t="s">
        <v>27</v>
      </c>
      <c r="K37" s="80" t="s">
        <v>112</v>
      </c>
      <c r="L37" s="80">
        <v>3</v>
      </c>
      <c r="N37" s="80">
        <v>4</v>
      </c>
      <c r="O37" s="34">
        <v>1</v>
      </c>
      <c r="P37" s="34">
        <v>0.9</v>
      </c>
      <c r="Q37" s="181">
        <f t="shared" si="0"/>
        <v>0.95</v>
      </c>
      <c r="R37" s="80">
        <v>14.9</v>
      </c>
      <c r="S37" s="80">
        <v>106</v>
      </c>
      <c r="T37" s="16">
        <f t="shared" si="1"/>
        <v>33</v>
      </c>
      <c r="U37" s="80">
        <v>498</v>
      </c>
      <c r="V37" s="16">
        <f t="shared" si="2"/>
        <v>4108.5</v>
      </c>
      <c r="W37" s="80">
        <v>1</v>
      </c>
      <c r="X37" s="80" t="s">
        <v>35</v>
      </c>
      <c r="Y37" s="80" t="s">
        <v>74</v>
      </c>
      <c r="Z37" s="80" t="s">
        <v>72</v>
      </c>
      <c r="AA37" s="80" t="s">
        <v>64</v>
      </c>
      <c r="AB37" s="34" t="s">
        <v>194</v>
      </c>
    </row>
    <row r="38" spans="1:28" x14ac:dyDescent="0.15">
      <c r="A38" s="80" t="s">
        <v>24</v>
      </c>
      <c r="B38" s="80" t="s">
        <v>190</v>
      </c>
      <c r="C38" s="80">
        <v>2020</v>
      </c>
      <c r="D38" s="180" t="s">
        <v>363</v>
      </c>
      <c r="E38" s="80" t="s">
        <v>192</v>
      </c>
      <c r="F38" s="80" t="s">
        <v>372</v>
      </c>
      <c r="G38" s="80" t="s">
        <v>25</v>
      </c>
      <c r="H38" s="80" t="s">
        <v>113</v>
      </c>
      <c r="I38" s="80" t="s">
        <v>111</v>
      </c>
      <c r="J38" s="80" t="s">
        <v>27</v>
      </c>
      <c r="K38" s="80" t="s">
        <v>112</v>
      </c>
      <c r="L38" s="80">
        <v>1</v>
      </c>
      <c r="N38" s="80">
        <v>1</v>
      </c>
      <c r="O38" s="34">
        <v>1.75</v>
      </c>
      <c r="P38" s="34">
        <v>1.75</v>
      </c>
      <c r="Q38" s="181">
        <f t="shared" si="0"/>
        <v>1.75</v>
      </c>
      <c r="R38" s="80">
        <v>13.1</v>
      </c>
      <c r="S38" s="80">
        <v>115</v>
      </c>
      <c r="T38" s="16">
        <f t="shared" si="1"/>
        <v>30</v>
      </c>
      <c r="U38" s="80">
        <v>98</v>
      </c>
      <c r="V38" s="16">
        <f t="shared" si="2"/>
        <v>2940</v>
      </c>
      <c r="W38" s="80">
        <v>6</v>
      </c>
      <c r="X38" s="80" t="s">
        <v>35</v>
      </c>
      <c r="Y38" s="80" t="s">
        <v>74</v>
      </c>
      <c r="Z38" s="80" t="s">
        <v>72</v>
      </c>
      <c r="AA38" s="80" t="s">
        <v>82</v>
      </c>
      <c r="AB38" s="34" t="s">
        <v>194</v>
      </c>
    </row>
    <row r="39" spans="1:28" x14ac:dyDescent="0.15">
      <c r="A39" s="80" t="s">
        <v>24</v>
      </c>
      <c r="B39" s="80" t="s">
        <v>190</v>
      </c>
      <c r="C39" s="80">
        <v>2020</v>
      </c>
      <c r="D39" s="180" t="s">
        <v>363</v>
      </c>
      <c r="E39" s="80" t="s">
        <v>192</v>
      </c>
      <c r="F39" s="80" t="s">
        <v>372</v>
      </c>
      <c r="G39" s="80" t="s">
        <v>25</v>
      </c>
      <c r="H39" s="80" t="s">
        <v>113</v>
      </c>
      <c r="I39" s="80" t="s">
        <v>111</v>
      </c>
      <c r="J39" s="80" t="s">
        <v>27</v>
      </c>
      <c r="K39" s="80" t="s">
        <v>112</v>
      </c>
      <c r="L39" s="80">
        <v>2</v>
      </c>
      <c r="N39" s="80">
        <v>1</v>
      </c>
      <c r="O39" s="80">
        <v>1.4</v>
      </c>
      <c r="P39" s="80">
        <v>1.5</v>
      </c>
      <c r="Q39" s="181">
        <f t="shared" si="0"/>
        <v>1.45</v>
      </c>
      <c r="R39" s="34">
        <v>13.4</v>
      </c>
      <c r="S39" s="80">
        <v>119</v>
      </c>
      <c r="T39" s="16">
        <f t="shared" si="1"/>
        <v>30</v>
      </c>
      <c r="U39" s="80">
        <v>98</v>
      </c>
      <c r="V39" s="16">
        <f t="shared" si="2"/>
        <v>2940</v>
      </c>
      <c r="W39" s="80">
        <v>6</v>
      </c>
      <c r="X39" s="80" t="s">
        <v>35</v>
      </c>
      <c r="Y39" s="80" t="s">
        <v>74</v>
      </c>
      <c r="Z39" s="80" t="s">
        <v>72</v>
      </c>
      <c r="AA39" s="80" t="s">
        <v>82</v>
      </c>
      <c r="AB39" s="34" t="s">
        <v>194</v>
      </c>
    </row>
    <row r="40" spans="1:28" x14ac:dyDescent="0.15">
      <c r="A40" s="80" t="s">
        <v>24</v>
      </c>
      <c r="B40" s="80" t="s">
        <v>190</v>
      </c>
      <c r="C40" s="80">
        <v>2020</v>
      </c>
      <c r="D40" s="180" t="s">
        <v>363</v>
      </c>
      <c r="E40" s="80" t="s">
        <v>192</v>
      </c>
      <c r="F40" s="80" t="s">
        <v>372</v>
      </c>
      <c r="G40" s="80" t="s">
        <v>25</v>
      </c>
      <c r="H40" s="80" t="s">
        <v>113</v>
      </c>
      <c r="I40" s="80" t="s">
        <v>111</v>
      </c>
      <c r="J40" s="80" t="s">
        <v>27</v>
      </c>
      <c r="K40" s="80" t="s">
        <v>112</v>
      </c>
      <c r="L40" s="80">
        <v>3</v>
      </c>
      <c r="N40" s="80">
        <v>1</v>
      </c>
      <c r="O40" s="80">
        <v>1</v>
      </c>
      <c r="P40" s="80">
        <v>1.2</v>
      </c>
      <c r="Q40" s="181">
        <f t="shared" si="0"/>
        <v>1.1000000000000001</v>
      </c>
      <c r="R40" s="80">
        <v>13.1</v>
      </c>
      <c r="S40" s="80">
        <v>125</v>
      </c>
      <c r="T40" s="16">
        <f t="shared" si="1"/>
        <v>27</v>
      </c>
      <c r="U40" s="80">
        <v>98</v>
      </c>
      <c r="V40" s="16">
        <f t="shared" si="2"/>
        <v>2646</v>
      </c>
      <c r="W40" s="80">
        <v>6</v>
      </c>
      <c r="X40" s="80" t="s">
        <v>35</v>
      </c>
      <c r="Y40" s="80" t="s">
        <v>74</v>
      </c>
      <c r="Z40" s="80" t="s">
        <v>72</v>
      </c>
      <c r="AA40" s="80" t="s">
        <v>82</v>
      </c>
      <c r="AB40" s="34" t="s">
        <v>194</v>
      </c>
    </row>
    <row r="41" spans="1:28" ht="12.75" customHeight="1" x14ac:dyDescent="0.15">
      <c r="A41" s="80" t="s">
        <v>24</v>
      </c>
      <c r="B41" s="80" t="s">
        <v>190</v>
      </c>
      <c r="C41" s="80">
        <v>2020</v>
      </c>
      <c r="D41" s="180" t="s">
        <v>363</v>
      </c>
      <c r="E41" s="80" t="s">
        <v>192</v>
      </c>
      <c r="F41" s="80" t="s">
        <v>372</v>
      </c>
      <c r="G41" s="80" t="s">
        <v>25</v>
      </c>
      <c r="H41" s="80" t="s">
        <v>113</v>
      </c>
      <c r="I41" s="80" t="s">
        <v>172</v>
      </c>
      <c r="J41" s="80" t="s">
        <v>27</v>
      </c>
      <c r="K41" s="80" t="s">
        <v>112</v>
      </c>
      <c r="L41" s="80">
        <v>1</v>
      </c>
      <c r="N41" s="80">
        <v>4</v>
      </c>
      <c r="O41" s="80">
        <v>1.25</v>
      </c>
      <c r="P41" s="80">
        <v>1.25</v>
      </c>
      <c r="Q41" s="181">
        <f t="shared" si="0"/>
        <v>1.25</v>
      </c>
      <c r="R41" s="80">
        <v>12.3</v>
      </c>
      <c r="S41" s="80">
        <v>91</v>
      </c>
      <c r="T41" s="16">
        <f t="shared" si="1"/>
        <v>36</v>
      </c>
      <c r="U41" s="80">
        <v>398</v>
      </c>
      <c r="V41" s="16">
        <f t="shared" si="2"/>
        <v>3582</v>
      </c>
      <c r="W41" s="80">
        <v>2</v>
      </c>
      <c r="X41" s="80" t="s">
        <v>35</v>
      </c>
      <c r="Y41" s="80" t="s">
        <v>74</v>
      </c>
      <c r="Z41" s="80" t="s">
        <v>72</v>
      </c>
      <c r="AA41" s="80" t="s">
        <v>82</v>
      </c>
      <c r="AB41" s="34" t="s">
        <v>194</v>
      </c>
    </row>
    <row r="42" spans="1:28" x14ac:dyDescent="0.15">
      <c r="A42" s="80" t="s">
        <v>24</v>
      </c>
      <c r="B42" s="80" t="s">
        <v>190</v>
      </c>
      <c r="C42" s="80">
        <v>2020</v>
      </c>
      <c r="D42" s="180" t="s">
        <v>363</v>
      </c>
      <c r="E42" s="80" t="s">
        <v>192</v>
      </c>
      <c r="F42" s="80" t="s">
        <v>372</v>
      </c>
      <c r="G42" s="80" t="s">
        <v>25</v>
      </c>
      <c r="H42" s="80" t="s">
        <v>113</v>
      </c>
      <c r="I42" s="80" t="s">
        <v>172</v>
      </c>
      <c r="J42" s="80" t="s">
        <v>27</v>
      </c>
      <c r="K42" s="80" t="s">
        <v>112</v>
      </c>
      <c r="L42" s="80">
        <v>2</v>
      </c>
      <c r="N42" s="80">
        <v>4</v>
      </c>
      <c r="O42" s="80">
        <v>1</v>
      </c>
      <c r="P42" s="80">
        <v>0.8</v>
      </c>
      <c r="Q42" s="181">
        <f t="shared" si="0"/>
        <v>0.9</v>
      </c>
      <c r="R42" s="80">
        <v>12.4</v>
      </c>
      <c r="S42" s="80">
        <v>93</v>
      </c>
      <c r="T42" s="16">
        <f t="shared" si="1"/>
        <v>36</v>
      </c>
      <c r="U42" s="80">
        <v>398</v>
      </c>
      <c r="V42" s="16">
        <f t="shared" si="2"/>
        <v>3582</v>
      </c>
      <c r="W42" s="80">
        <v>2</v>
      </c>
      <c r="X42" s="80" t="s">
        <v>35</v>
      </c>
      <c r="Y42" s="80" t="s">
        <v>74</v>
      </c>
      <c r="Z42" s="80" t="s">
        <v>72</v>
      </c>
      <c r="AA42" s="80" t="s">
        <v>82</v>
      </c>
      <c r="AB42" s="34" t="s">
        <v>194</v>
      </c>
    </row>
    <row r="43" spans="1:28" x14ac:dyDescent="0.15">
      <c r="A43" s="80" t="s">
        <v>24</v>
      </c>
      <c r="B43" s="80" t="s">
        <v>190</v>
      </c>
      <c r="C43" s="80">
        <v>2020</v>
      </c>
      <c r="D43" s="180" t="s">
        <v>363</v>
      </c>
      <c r="E43" s="80" t="s">
        <v>192</v>
      </c>
      <c r="F43" s="80" t="s">
        <v>372</v>
      </c>
      <c r="G43" s="80" t="s">
        <v>25</v>
      </c>
      <c r="H43" s="80" t="s">
        <v>113</v>
      </c>
      <c r="I43" s="80" t="s">
        <v>172</v>
      </c>
      <c r="J43" s="80" t="s">
        <v>27</v>
      </c>
      <c r="K43" s="80" t="s">
        <v>112</v>
      </c>
      <c r="L43" s="80">
        <v>3</v>
      </c>
      <c r="N43" s="80">
        <v>4</v>
      </c>
      <c r="O43" s="80">
        <v>1.1000000000000001</v>
      </c>
      <c r="P43" s="80">
        <v>1.2</v>
      </c>
      <c r="Q43" s="181">
        <f t="shared" si="0"/>
        <v>1.1499999999999999</v>
      </c>
      <c r="R43" s="80">
        <v>11.4</v>
      </c>
      <c r="S43" s="80">
        <v>93</v>
      </c>
      <c r="T43" s="16">
        <f t="shared" si="1"/>
        <v>36</v>
      </c>
      <c r="U43" s="80">
        <v>398</v>
      </c>
      <c r="V43" s="16">
        <f t="shared" si="2"/>
        <v>3582</v>
      </c>
      <c r="W43" s="80">
        <v>2</v>
      </c>
      <c r="X43" s="80" t="s">
        <v>35</v>
      </c>
      <c r="Y43" s="80" t="s">
        <v>74</v>
      </c>
      <c r="Z43" s="80" t="s">
        <v>72</v>
      </c>
      <c r="AA43" s="80" t="s">
        <v>82</v>
      </c>
      <c r="AB43" s="34" t="s">
        <v>194</v>
      </c>
    </row>
    <row r="44" spans="1:28" x14ac:dyDescent="0.15">
      <c r="A44" s="80" t="s">
        <v>24</v>
      </c>
      <c r="B44" s="80" t="s">
        <v>190</v>
      </c>
      <c r="C44" s="80">
        <v>2020</v>
      </c>
      <c r="D44" s="180" t="s">
        <v>363</v>
      </c>
      <c r="E44" s="80" t="s">
        <v>192</v>
      </c>
      <c r="F44" s="80" t="s">
        <v>372</v>
      </c>
      <c r="G44" s="80" t="s">
        <v>25</v>
      </c>
      <c r="H44" s="80" t="s">
        <v>167</v>
      </c>
      <c r="I44" s="80" t="s">
        <v>111</v>
      </c>
      <c r="J44" s="80" t="s">
        <v>27</v>
      </c>
      <c r="K44" s="80" t="s">
        <v>112</v>
      </c>
      <c r="L44" s="80">
        <v>1</v>
      </c>
      <c r="N44" s="80">
        <v>1</v>
      </c>
      <c r="O44" s="80">
        <v>1</v>
      </c>
      <c r="P44" s="80">
        <v>1</v>
      </c>
      <c r="Q44" s="181">
        <f t="shared" si="0"/>
        <v>1</v>
      </c>
      <c r="R44" s="80">
        <v>18.399999999999999</v>
      </c>
      <c r="S44" s="80">
        <v>128</v>
      </c>
      <c r="T44" s="16">
        <f t="shared" si="1"/>
        <v>27</v>
      </c>
      <c r="U44" s="80">
        <v>98</v>
      </c>
      <c r="V44" s="16">
        <f t="shared" si="2"/>
        <v>2646</v>
      </c>
      <c r="W44" s="80">
        <v>8</v>
      </c>
      <c r="X44" s="80" t="s">
        <v>35</v>
      </c>
      <c r="Y44" s="80" t="s">
        <v>74</v>
      </c>
      <c r="Z44" s="80" t="s">
        <v>72</v>
      </c>
      <c r="AA44" s="80" t="s">
        <v>82</v>
      </c>
      <c r="AB44" s="34" t="s">
        <v>194</v>
      </c>
    </row>
    <row r="45" spans="1:28" x14ac:dyDescent="0.15">
      <c r="A45" s="80" t="s">
        <v>24</v>
      </c>
      <c r="B45" s="80" t="s">
        <v>190</v>
      </c>
      <c r="C45" s="80">
        <v>2020</v>
      </c>
      <c r="D45" s="180" t="s">
        <v>363</v>
      </c>
      <c r="E45" s="80" t="s">
        <v>192</v>
      </c>
      <c r="F45" s="80" t="s">
        <v>372</v>
      </c>
      <c r="G45" s="80" t="s">
        <v>25</v>
      </c>
      <c r="H45" s="80" t="s">
        <v>167</v>
      </c>
      <c r="I45" s="80" t="s">
        <v>111</v>
      </c>
      <c r="J45" s="80" t="s">
        <v>27</v>
      </c>
      <c r="K45" s="80" t="s">
        <v>112</v>
      </c>
      <c r="L45" s="80">
        <v>2</v>
      </c>
      <c r="N45" s="80">
        <v>1</v>
      </c>
      <c r="O45" s="80">
        <v>1</v>
      </c>
      <c r="P45" s="80">
        <v>1</v>
      </c>
      <c r="Q45" s="181">
        <f t="shared" si="0"/>
        <v>1</v>
      </c>
      <c r="R45" s="80">
        <v>16.399999999999999</v>
      </c>
      <c r="S45" s="80">
        <v>132</v>
      </c>
      <c r="T45" s="16">
        <f t="shared" si="1"/>
        <v>25</v>
      </c>
      <c r="U45" s="80">
        <v>98</v>
      </c>
      <c r="V45" s="16">
        <f t="shared" si="2"/>
        <v>2450</v>
      </c>
      <c r="W45" s="80">
        <v>8</v>
      </c>
      <c r="X45" s="80" t="s">
        <v>35</v>
      </c>
      <c r="Y45" s="80" t="s">
        <v>74</v>
      </c>
      <c r="Z45" s="80" t="s">
        <v>72</v>
      </c>
      <c r="AA45" s="80" t="s">
        <v>82</v>
      </c>
      <c r="AB45" s="34" t="s">
        <v>194</v>
      </c>
    </row>
    <row r="46" spans="1:28" x14ac:dyDescent="0.15">
      <c r="A46" s="80" t="s">
        <v>24</v>
      </c>
      <c r="B46" s="80" t="s">
        <v>190</v>
      </c>
      <c r="C46" s="80">
        <v>2020</v>
      </c>
      <c r="D46" s="180" t="s">
        <v>363</v>
      </c>
      <c r="E46" s="80" t="s">
        <v>192</v>
      </c>
      <c r="F46" s="80" t="s">
        <v>372</v>
      </c>
      <c r="G46" s="80" t="s">
        <v>25</v>
      </c>
      <c r="H46" s="80" t="s">
        <v>167</v>
      </c>
      <c r="I46" s="80" t="s">
        <v>111</v>
      </c>
      <c r="J46" s="80" t="s">
        <v>27</v>
      </c>
      <c r="K46" s="80" t="s">
        <v>112</v>
      </c>
      <c r="L46" s="80">
        <v>3</v>
      </c>
      <c r="N46" s="80">
        <v>1</v>
      </c>
      <c r="O46" s="80">
        <v>1.2</v>
      </c>
      <c r="P46" s="34">
        <v>1.1000000000000001</v>
      </c>
      <c r="Q46" s="181">
        <f t="shared" si="0"/>
        <v>1.1499999999999999</v>
      </c>
      <c r="R46" s="80">
        <v>18.899999999999999</v>
      </c>
      <c r="S46" s="80">
        <v>131</v>
      </c>
      <c r="T46" s="16">
        <f t="shared" si="1"/>
        <v>25</v>
      </c>
      <c r="U46" s="80">
        <v>98</v>
      </c>
      <c r="V46" s="16">
        <f t="shared" si="2"/>
        <v>2450</v>
      </c>
      <c r="W46" s="80">
        <v>8</v>
      </c>
      <c r="X46" s="80" t="s">
        <v>35</v>
      </c>
      <c r="Y46" s="80" t="s">
        <v>74</v>
      </c>
      <c r="Z46" s="80" t="s">
        <v>72</v>
      </c>
      <c r="AA46" s="80" t="s">
        <v>82</v>
      </c>
      <c r="AB46" s="34" t="s">
        <v>194</v>
      </c>
    </row>
    <row r="47" spans="1:28" x14ac:dyDescent="0.15">
      <c r="A47" s="80" t="s">
        <v>24</v>
      </c>
      <c r="B47" s="80" t="s">
        <v>190</v>
      </c>
      <c r="C47" s="80">
        <v>2020</v>
      </c>
      <c r="D47" s="180" t="s">
        <v>363</v>
      </c>
      <c r="E47" s="80" t="s">
        <v>192</v>
      </c>
      <c r="F47" s="80" t="s">
        <v>372</v>
      </c>
      <c r="G47" s="80" t="s">
        <v>25</v>
      </c>
      <c r="H47" s="80" t="s">
        <v>167</v>
      </c>
      <c r="I47" s="80" t="s">
        <v>172</v>
      </c>
      <c r="J47" s="80" t="s">
        <v>27</v>
      </c>
      <c r="K47" s="80" t="s">
        <v>112</v>
      </c>
      <c r="L47" s="80">
        <v>1</v>
      </c>
      <c r="N47" s="80">
        <v>4</v>
      </c>
      <c r="O47" s="80">
        <v>0.8</v>
      </c>
      <c r="P47" s="80">
        <v>0.9</v>
      </c>
      <c r="Q47" s="181">
        <f t="shared" si="0"/>
        <v>0.85000000000000009</v>
      </c>
      <c r="R47" s="80">
        <v>13</v>
      </c>
      <c r="S47" s="80">
        <v>85</v>
      </c>
      <c r="T47" s="16">
        <f t="shared" si="1"/>
        <v>36</v>
      </c>
      <c r="U47" s="80">
        <v>498</v>
      </c>
      <c r="V47" s="16">
        <f t="shared" si="2"/>
        <v>4482</v>
      </c>
      <c r="W47" s="80">
        <v>2</v>
      </c>
      <c r="X47" s="80" t="s">
        <v>35</v>
      </c>
      <c r="Y47" s="80" t="s">
        <v>74</v>
      </c>
      <c r="Z47" s="80" t="s">
        <v>72</v>
      </c>
      <c r="AA47" s="80" t="s">
        <v>82</v>
      </c>
      <c r="AB47" s="34" t="s">
        <v>194</v>
      </c>
    </row>
    <row r="48" spans="1:28" x14ac:dyDescent="0.15">
      <c r="A48" s="80" t="s">
        <v>24</v>
      </c>
      <c r="B48" s="80" t="s">
        <v>190</v>
      </c>
      <c r="C48" s="80">
        <v>2020</v>
      </c>
      <c r="D48" s="180" t="s">
        <v>363</v>
      </c>
      <c r="E48" s="80" t="s">
        <v>192</v>
      </c>
      <c r="F48" s="80" t="s">
        <v>372</v>
      </c>
      <c r="G48" s="80" t="s">
        <v>25</v>
      </c>
      <c r="H48" s="80" t="s">
        <v>167</v>
      </c>
      <c r="I48" s="80" t="s">
        <v>172</v>
      </c>
      <c r="J48" s="80" t="s">
        <v>27</v>
      </c>
      <c r="K48" s="80" t="s">
        <v>112</v>
      </c>
      <c r="L48" s="80">
        <v>2</v>
      </c>
      <c r="N48" s="80">
        <v>4</v>
      </c>
      <c r="O48" s="80">
        <v>0.5</v>
      </c>
      <c r="P48" s="80">
        <v>0.8</v>
      </c>
      <c r="Q48" s="181">
        <f t="shared" si="0"/>
        <v>0.65</v>
      </c>
      <c r="R48" s="80">
        <v>11.7</v>
      </c>
      <c r="S48" s="80">
        <v>84</v>
      </c>
      <c r="T48" s="16">
        <f t="shared" si="1"/>
        <v>36</v>
      </c>
      <c r="U48" s="80">
        <v>498</v>
      </c>
      <c r="V48" s="16">
        <f t="shared" si="2"/>
        <v>4482</v>
      </c>
      <c r="W48" s="80">
        <v>2</v>
      </c>
      <c r="X48" s="80" t="s">
        <v>35</v>
      </c>
      <c r="Y48" s="80" t="s">
        <v>74</v>
      </c>
      <c r="Z48" s="80" t="s">
        <v>72</v>
      </c>
      <c r="AA48" s="80" t="s">
        <v>82</v>
      </c>
      <c r="AB48" s="34" t="s">
        <v>194</v>
      </c>
    </row>
    <row r="49" spans="1:28" x14ac:dyDescent="0.15">
      <c r="A49" s="80" t="s">
        <v>24</v>
      </c>
      <c r="B49" s="80" t="s">
        <v>190</v>
      </c>
      <c r="C49" s="80">
        <v>2020</v>
      </c>
      <c r="D49" s="180" t="s">
        <v>363</v>
      </c>
      <c r="E49" s="80" t="s">
        <v>192</v>
      </c>
      <c r="F49" s="80" t="s">
        <v>372</v>
      </c>
      <c r="G49" s="80" t="s">
        <v>25</v>
      </c>
      <c r="H49" s="80" t="s">
        <v>167</v>
      </c>
      <c r="I49" s="80" t="s">
        <v>172</v>
      </c>
      <c r="J49" s="80" t="s">
        <v>27</v>
      </c>
      <c r="K49" s="80" t="s">
        <v>112</v>
      </c>
      <c r="L49" s="80">
        <v>3</v>
      </c>
      <c r="N49" s="80">
        <v>4</v>
      </c>
      <c r="O49" s="80">
        <v>0.8</v>
      </c>
      <c r="P49" s="34">
        <v>0.75</v>
      </c>
      <c r="Q49" s="181">
        <f t="shared" si="0"/>
        <v>0.77500000000000002</v>
      </c>
      <c r="R49" s="80">
        <v>13.5</v>
      </c>
      <c r="S49" s="80">
        <v>85</v>
      </c>
      <c r="T49" s="16">
        <f t="shared" si="1"/>
        <v>36</v>
      </c>
      <c r="U49" s="80">
        <v>498</v>
      </c>
      <c r="V49" s="16">
        <f t="shared" si="2"/>
        <v>4482</v>
      </c>
      <c r="W49" s="80">
        <v>2</v>
      </c>
      <c r="X49" s="80" t="s">
        <v>35</v>
      </c>
      <c r="Y49" s="80" t="s">
        <v>74</v>
      </c>
      <c r="Z49" s="80" t="s">
        <v>72</v>
      </c>
      <c r="AA49" s="80" t="s">
        <v>82</v>
      </c>
      <c r="AB49" s="34" t="s">
        <v>194</v>
      </c>
    </row>
    <row r="50" spans="1:28" x14ac:dyDescent="0.15">
      <c r="A50" s="80" t="s">
        <v>24</v>
      </c>
      <c r="B50" s="80" t="s">
        <v>190</v>
      </c>
      <c r="C50" s="80">
        <v>2020</v>
      </c>
      <c r="D50" s="180" t="s">
        <v>363</v>
      </c>
      <c r="E50" s="80" t="s">
        <v>368</v>
      </c>
      <c r="F50" s="80" t="s">
        <v>369</v>
      </c>
      <c r="G50" s="80" t="s">
        <v>25</v>
      </c>
      <c r="H50" s="80" t="s">
        <v>113</v>
      </c>
      <c r="I50" s="80" t="s">
        <v>111</v>
      </c>
      <c r="J50" s="80" t="s">
        <v>27</v>
      </c>
      <c r="K50" s="80" t="s">
        <v>112</v>
      </c>
      <c r="L50" s="80">
        <v>1</v>
      </c>
      <c r="N50" s="80">
        <v>1</v>
      </c>
      <c r="O50" s="80">
        <v>1.25</v>
      </c>
      <c r="P50" s="80">
        <v>1.2</v>
      </c>
      <c r="Q50" s="181">
        <f t="shared" si="0"/>
        <v>1.2250000000000001</v>
      </c>
      <c r="R50" s="80">
        <v>13.2</v>
      </c>
      <c r="S50" s="80">
        <v>130</v>
      </c>
      <c r="T50" s="16">
        <f t="shared" si="1"/>
        <v>25</v>
      </c>
      <c r="U50" s="80">
        <v>97</v>
      </c>
      <c r="V50" s="16">
        <f t="shared" si="2"/>
        <v>2425</v>
      </c>
      <c r="W50" s="80">
        <v>4</v>
      </c>
      <c r="X50" s="80" t="s">
        <v>35</v>
      </c>
      <c r="Y50" s="80" t="s">
        <v>74</v>
      </c>
      <c r="Z50" s="80" t="s">
        <v>64</v>
      </c>
      <c r="AA50" s="80" t="s">
        <v>86</v>
      </c>
      <c r="AB50" s="34" t="s">
        <v>194</v>
      </c>
    </row>
    <row r="51" spans="1:28" x14ac:dyDescent="0.15">
      <c r="A51" s="80" t="s">
        <v>24</v>
      </c>
      <c r="B51" s="80" t="s">
        <v>190</v>
      </c>
      <c r="C51" s="80">
        <v>2020</v>
      </c>
      <c r="D51" s="180" t="s">
        <v>363</v>
      </c>
      <c r="E51" s="80" t="s">
        <v>368</v>
      </c>
      <c r="F51" s="80" t="s">
        <v>369</v>
      </c>
      <c r="G51" s="80" t="s">
        <v>25</v>
      </c>
      <c r="H51" s="80" t="s">
        <v>113</v>
      </c>
      <c r="I51" s="80" t="s">
        <v>111</v>
      </c>
      <c r="J51" s="80" t="s">
        <v>27</v>
      </c>
      <c r="K51" s="80" t="s">
        <v>112</v>
      </c>
      <c r="L51" s="80">
        <v>2</v>
      </c>
      <c r="N51" s="80">
        <v>1</v>
      </c>
      <c r="O51" s="80">
        <v>1.25</v>
      </c>
      <c r="P51" s="80">
        <v>1.25</v>
      </c>
      <c r="Q51" s="181">
        <f t="shared" si="0"/>
        <v>1.25</v>
      </c>
      <c r="R51" s="80">
        <v>13.4</v>
      </c>
      <c r="S51" s="80">
        <v>129</v>
      </c>
      <c r="T51" s="16">
        <f t="shared" si="1"/>
        <v>25</v>
      </c>
      <c r="U51" s="80">
        <v>97</v>
      </c>
      <c r="V51" s="16">
        <f t="shared" si="2"/>
        <v>2425</v>
      </c>
      <c r="W51" s="80">
        <v>4</v>
      </c>
      <c r="X51" s="80" t="s">
        <v>35</v>
      </c>
      <c r="Y51" s="80" t="s">
        <v>74</v>
      </c>
      <c r="Z51" s="80" t="s">
        <v>64</v>
      </c>
      <c r="AA51" s="80" t="s">
        <v>86</v>
      </c>
      <c r="AB51" s="34" t="s">
        <v>194</v>
      </c>
    </row>
    <row r="52" spans="1:28" x14ac:dyDescent="0.15">
      <c r="A52" s="80" t="s">
        <v>24</v>
      </c>
      <c r="B52" s="80" t="s">
        <v>190</v>
      </c>
      <c r="C52" s="80">
        <v>2020</v>
      </c>
      <c r="D52" s="180" t="s">
        <v>363</v>
      </c>
      <c r="E52" s="80" t="s">
        <v>368</v>
      </c>
      <c r="F52" s="80" t="s">
        <v>369</v>
      </c>
      <c r="G52" s="80" t="s">
        <v>25</v>
      </c>
      <c r="H52" s="80" t="s">
        <v>113</v>
      </c>
      <c r="I52" s="80" t="s">
        <v>111</v>
      </c>
      <c r="J52" s="80" t="s">
        <v>27</v>
      </c>
      <c r="K52" s="80" t="s">
        <v>112</v>
      </c>
      <c r="L52" s="80">
        <v>3</v>
      </c>
      <c r="N52" s="80">
        <v>1</v>
      </c>
      <c r="O52" s="80">
        <v>0.9</v>
      </c>
      <c r="P52" s="80">
        <v>0.8</v>
      </c>
      <c r="Q52" s="181">
        <f t="shared" si="0"/>
        <v>0.85000000000000009</v>
      </c>
      <c r="R52" s="80">
        <v>13.3</v>
      </c>
      <c r="S52" s="80">
        <v>130</v>
      </c>
      <c r="T52" s="16">
        <f t="shared" si="1"/>
        <v>25</v>
      </c>
      <c r="U52" s="80">
        <v>97</v>
      </c>
      <c r="V52" s="16">
        <f t="shared" si="2"/>
        <v>2425</v>
      </c>
      <c r="W52" s="80">
        <v>4</v>
      </c>
      <c r="X52" s="80" t="s">
        <v>35</v>
      </c>
      <c r="Y52" s="80" t="s">
        <v>74</v>
      </c>
      <c r="Z52" s="80" t="s">
        <v>64</v>
      </c>
      <c r="AA52" s="80" t="s">
        <v>86</v>
      </c>
      <c r="AB52" s="34" t="s">
        <v>194</v>
      </c>
    </row>
    <row r="53" spans="1:28" x14ac:dyDescent="0.15">
      <c r="A53" s="80" t="s">
        <v>24</v>
      </c>
      <c r="B53" s="80" t="s">
        <v>190</v>
      </c>
      <c r="C53" s="80">
        <v>2020</v>
      </c>
      <c r="D53" s="180" t="s">
        <v>363</v>
      </c>
      <c r="E53" s="80" t="s">
        <v>368</v>
      </c>
      <c r="F53" s="80" t="s">
        <v>369</v>
      </c>
      <c r="G53" s="80" t="s">
        <v>25</v>
      </c>
      <c r="H53" s="80" t="s">
        <v>113</v>
      </c>
      <c r="I53" s="80" t="s">
        <v>111</v>
      </c>
      <c r="J53" s="80" t="s">
        <v>27</v>
      </c>
      <c r="K53" s="80" t="s">
        <v>112</v>
      </c>
      <c r="L53" s="80">
        <v>1</v>
      </c>
      <c r="N53" s="80">
        <v>4</v>
      </c>
      <c r="O53" s="80">
        <v>1</v>
      </c>
      <c r="P53" s="80">
        <v>0.9</v>
      </c>
      <c r="Q53" s="181">
        <f t="shared" si="0"/>
        <v>0.95</v>
      </c>
      <c r="R53" s="80">
        <v>11.6</v>
      </c>
      <c r="S53" s="80">
        <v>97</v>
      </c>
      <c r="T53" s="16">
        <f t="shared" si="1"/>
        <v>36</v>
      </c>
      <c r="U53" s="80">
        <v>398</v>
      </c>
      <c r="V53" s="16">
        <f t="shared" si="2"/>
        <v>3582</v>
      </c>
      <c r="W53" s="80">
        <v>2</v>
      </c>
      <c r="X53" s="80" t="s">
        <v>35</v>
      </c>
      <c r="Y53" s="80" t="s">
        <v>74</v>
      </c>
      <c r="Z53" s="80" t="s">
        <v>64</v>
      </c>
      <c r="AA53" s="80" t="s">
        <v>86</v>
      </c>
      <c r="AB53" s="34" t="s">
        <v>194</v>
      </c>
    </row>
    <row r="54" spans="1:28" x14ac:dyDescent="0.15">
      <c r="A54" s="80" t="s">
        <v>24</v>
      </c>
      <c r="B54" s="80" t="s">
        <v>190</v>
      </c>
      <c r="C54" s="80">
        <v>2020</v>
      </c>
      <c r="D54" s="180" t="s">
        <v>363</v>
      </c>
      <c r="E54" s="80" t="s">
        <v>368</v>
      </c>
      <c r="F54" s="80" t="s">
        <v>369</v>
      </c>
      <c r="G54" s="80" t="s">
        <v>25</v>
      </c>
      <c r="H54" s="80" t="s">
        <v>113</v>
      </c>
      <c r="I54" s="80" t="s">
        <v>111</v>
      </c>
      <c r="J54" s="80" t="s">
        <v>27</v>
      </c>
      <c r="K54" s="80" t="s">
        <v>112</v>
      </c>
      <c r="L54" s="80">
        <v>2</v>
      </c>
      <c r="N54" s="80">
        <v>4</v>
      </c>
      <c r="O54" s="80">
        <v>1.5</v>
      </c>
      <c r="P54" s="80">
        <v>1.4</v>
      </c>
      <c r="Q54" s="181">
        <f t="shared" si="0"/>
        <v>1.45</v>
      </c>
      <c r="R54" s="80">
        <v>11.8</v>
      </c>
      <c r="S54" s="80">
        <v>102</v>
      </c>
      <c r="T54" s="16">
        <f t="shared" si="1"/>
        <v>33</v>
      </c>
      <c r="U54" s="80">
        <v>398</v>
      </c>
      <c r="V54" s="16">
        <f t="shared" si="2"/>
        <v>3283.5</v>
      </c>
      <c r="W54" s="80">
        <v>2</v>
      </c>
      <c r="X54" s="80" t="s">
        <v>35</v>
      </c>
      <c r="Y54" s="80" t="s">
        <v>74</v>
      </c>
      <c r="Z54" s="80" t="s">
        <v>64</v>
      </c>
      <c r="AA54" s="80" t="s">
        <v>86</v>
      </c>
      <c r="AB54" s="34" t="s">
        <v>194</v>
      </c>
    </row>
    <row r="55" spans="1:28" x14ac:dyDescent="0.15">
      <c r="A55" s="80" t="s">
        <v>24</v>
      </c>
      <c r="B55" s="80" t="s">
        <v>190</v>
      </c>
      <c r="C55" s="80">
        <v>2020</v>
      </c>
      <c r="D55" s="180" t="s">
        <v>363</v>
      </c>
      <c r="E55" s="80" t="s">
        <v>368</v>
      </c>
      <c r="F55" s="80" t="s">
        <v>369</v>
      </c>
      <c r="G55" s="80" t="s">
        <v>25</v>
      </c>
      <c r="H55" s="80" t="s">
        <v>113</v>
      </c>
      <c r="I55" s="80" t="s">
        <v>111</v>
      </c>
      <c r="J55" s="80" t="s">
        <v>27</v>
      </c>
      <c r="K55" s="80" t="s">
        <v>112</v>
      </c>
      <c r="L55" s="80">
        <v>3</v>
      </c>
      <c r="N55" s="80">
        <v>4</v>
      </c>
      <c r="O55" s="80">
        <v>1</v>
      </c>
      <c r="P55" s="80">
        <v>0.9</v>
      </c>
      <c r="Q55" s="181">
        <f t="shared" si="0"/>
        <v>0.95</v>
      </c>
      <c r="R55" s="80">
        <v>12.8</v>
      </c>
      <c r="S55" s="80">
        <v>106</v>
      </c>
      <c r="T55" s="16">
        <f t="shared" si="1"/>
        <v>33</v>
      </c>
      <c r="U55" s="80">
        <v>398</v>
      </c>
      <c r="V55" s="16">
        <f t="shared" si="2"/>
        <v>3283.5</v>
      </c>
      <c r="W55" s="80">
        <v>2</v>
      </c>
      <c r="X55" s="80" t="s">
        <v>35</v>
      </c>
      <c r="Y55" s="80" t="s">
        <v>74</v>
      </c>
      <c r="Z55" s="80" t="s">
        <v>64</v>
      </c>
      <c r="AA55" s="80" t="s">
        <v>86</v>
      </c>
      <c r="AB55" s="34" t="s">
        <v>194</v>
      </c>
    </row>
    <row r="56" spans="1:28" x14ac:dyDescent="0.15">
      <c r="A56" s="80" t="s">
        <v>24</v>
      </c>
      <c r="B56" s="80" t="s">
        <v>190</v>
      </c>
      <c r="C56" s="80">
        <v>2020</v>
      </c>
      <c r="D56" s="180" t="s">
        <v>363</v>
      </c>
      <c r="E56" s="80" t="s">
        <v>368</v>
      </c>
      <c r="F56" s="80" t="s">
        <v>369</v>
      </c>
      <c r="G56" s="80" t="s">
        <v>25</v>
      </c>
      <c r="H56" s="80" t="s">
        <v>167</v>
      </c>
      <c r="I56" s="80" t="s">
        <v>111</v>
      </c>
      <c r="J56" s="80" t="s">
        <v>27</v>
      </c>
      <c r="K56" s="80" t="s">
        <v>112</v>
      </c>
      <c r="L56" s="80">
        <v>1</v>
      </c>
      <c r="N56" s="80">
        <v>1</v>
      </c>
      <c r="O56" s="80">
        <v>1</v>
      </c>
      <c r="P56" s="80">
        <v>1</v>
      </c>
      <c r="Q56" s="181">
        <f t="shared" si="0"/>
        <v>1</v>
      </c>
      <c r="R56" s="80">
        <v>18.2</v>
      </c>
      <c r="S56" s="80">
        <v>131</v>
      </c>
      <c r="T56" s="16">
        <f t="shared" si="1"/>
        <v>25</v>
      </c>
      <c r="U56" s="80">
        <v>97</v>
      </c>
      <c r="V56" s="16">
        <f t="shared" si="2"/>
        <v>2425</v>
      </c>
      <c r="W56" s="80">
        <v>4</v>
      </c>
      <c r="X56" s="80" t="s">
        <v>35</v>
      </c>
      <c r="Y56" s="80" t="s">
        <v>74</v>
      </c>
      <c r="Z56" s="80" t="s">
        <v>64</v>
      </c>
      <c r="AA56" s="80" t="s">
        <v>86</v>
      </c>
      <c r="AB56" s="34" t="s">
        <v>194</v>
      </c>
    </row>
    <row r="57" spans="1:28" x14ac:dyDescent="0.15">
      <c r="A57" s="80" t="s">
        <v>24</v>
      </c>
      <c r="B57" s="80" t="s">
        <v>190</v>
      </c>
      <c r="C57" s="80">
        <v>2020</v>
      </c>
      <c r="D57" s="180" t="s">
        <v>363</v>
      </c>
      <c r="E57" s="80" t="s">
        <v>368</v>
      </c>
      <c r="F57" s="80" t="s">
        <v>369</v>
      </c>
      <c r="G57" s="80" t="s">
        <v>25</v>
      </c>
      <c r="H57" s="80" t="s">
        <v>167</v>
      </c>
      <c r="I57" s="80" t="s">
        <v>111</v>
      </c>
      <c r="J57" s="80" t="s">
        <v>27</v>
      </c>
      <c r="K57" s="80" t="s">
        <v>112</v>
      </c>
      <c r="L57" s="80">
        <v>2</v>
      </c>
      <c r="N57" s="80">
        <v>1</v>
      </c>
      <c r="O57" s="80">
        <v>1.25</v>
      </c>
      <c r="P57" s="80">
        <v>1.2</v>
      </c>
      <c r="Q57" s="181">
        <f t="shared" si="0"/>
        <v>1.2250000000000001</v>
      </c>
      <c r="R57" s="80">
        <v>19</v>
      </c>
      <c r="S57" s="80">
        <v>133</v>
      </c>
      <c r="T57" s="16">
        <f t="shared" si="1"/>
        <v>25</v>
      </c>
      <c r="U57" s="80">
        <v>97</v>
      </c>
      <c r="V57" s="16">
        <f t="shared" si="2"/>
        <v>2425</v>
      </c>
      <c r="W57" s="80">
        <v>4</v>
      </c>
      <c r="X57" s="80" t="s">
        <v>35</v>
      </c>
      <c r="Y57" s="80" t="s">
        <v>74</v>
      </c>
      <c r="Z57" s="80" t="s">
        <v>64</v>
      </c>
      <c r="AA57" s="80" t="s">
        <v>86</v>
      </c>
      <c r="AB57" s="34" t="s">
        <v>194</v>
      </c>
    </row>
    <row r="58" spans="1:28" x14ac:dyDescent="0.15">
      <c r="A58" s="80" t="s">
        <v>24</v>
      </c>
      <c r="B58" s="80" t="s">
        <v>190</v>
      </c>
      <c r="C58" s="80">
        <v>2020</v>
      </c>
      <c r="D58" s="180" t="s">
        <v>363</v>
      </c>
      <c r="E58" s="80" t="s">
        <v>368</v>
      </c>
      <c r="F58" s="80" t="s">
        <v>369</v>
      </c>
      <c r="G58" s="80" t="s">
        <v>25</v>
      </c>
      <c r="H58" s="80" t="s">
        <v>167</v>
      </c>
      <c r="I58" s="80" t="s">
        <v>111</v>
      </c>
      <c r="J58" s="80" t="s">
        <v>27</v>
      </c>
      <c r="K58" s="80" t="s">
        <v>112</v>
      </c>
      <c r="L58" s="80">
        <v>3</v>
      </c>
      <c r="N58" s="80">
        <v>1</v>
      </c>
      <c r="O58" s="80">
        <v>0.8</v>
      </c>
      <c r="P58" s="80">
        <v>0.75</v>
      </c>
      <c r="Q58" s="181">
        <f t="shared" si="0"/>
        <v>0.77500000000000002</v>
      </c>
      <c r="R58" s="80">
        <v>19.100000000000001</v>
      </c>
      <c r="S58" s="80">
        <v>130</v>
      </c>
      <c r="T58" s="16">
        <f t="shared" si="1"/>
        <v>25</v>
      </c>
      <c r="U58" s="80">
        <v>97</v>
      </c>
      <c r="V58" s="16">
        <f t="shared" si="2"/>
        <v>2425</v>
      </c>
      <c r="W58" s="80">
        <v>4</v>
      </c>
      <c r="X58" s="80" t="s">
        <v>35</v>
      </c>
      <c r="Y58" s="80" t="s">
        <v>74</v>
      </c>
      <c r="Z58" s="80" t="s">
        <v>64</v>
      </c>
      <c r="AA58" s="80" t="s">
        <v>86</v>
      </c>
      <c r="AB58" s="34" t="s">
        <v>194</v>
      </c>
    </row>
    <row r="59" spans="1:28" x14ac:dyDescent="0.15">
      <c r="A59" s="80" t="s">
        <v>24</v>
      </c>
      <c r="B59" s="80" t="s">
        <v>190</v>
      </c>
      <c r="C59" s="80">
        <v>2020</v>
      </c>
      <c r="D59" s="180" t="s">
        <v>363</v>
      </c>
      <c r="E59" s="80" t="s">
        <v>368</v>
      </c>
      <c r="F59" s="80" t="s">
        <v>369</v>
      </c>
      <c r="G59" s="80" t="s">
        <v>25</v>
      </c>
      <c r="H59" s="80" t="s">
        <v>167</v>
      </c>
      <c r="I59" s="80" t="s">
        <v>111</v>
      </c>
      <c r="J59" s="80" t="s">
        <v>27</v>
      </c>
      <c r="K59" s="80" t="s">
        <v>112</v>
      </c>
      <c r="L59" s="80">
        <v>1</v>
      </c>
      <c r="N59" s="80">
        <v>4</v>
      </c>
      <c r="O59" s="80">
        <v>0.8</v>
      </c>
      <c r="P59" s="80">
        <v>1</v>
      </c>
      <c r="Q59" s="181">
        <f t="shared" si="0"/>
        <v>0.9</v>
      </c>
      <c r="R59" s="80">
        <v>16.3</v>
      </c>
      <c r="S59" s="80">
        <v>104</v>
      </c>
      <c r="T59" s="16">
        <f t="shared" si="1"/>
        <v>33</v>
      </c>
      <c r="U59" s="80">
        <v>498</v>
      </c>
      <c r="V59" s="16">
        <f t="shared" si="2"/>
        <v>4108.5</v>
      </c>
      <c r="W59" s="80">
        <v>2</v>
      </c>
      <c r="X59" s="80" t="s">
        <v>35</v>
      </c>
      <c r="Y59" s="80" t="s">
        <v>74</v>
      </c>
      <c r="Z59" s="80" t="s">
        <v>64</v>
      </c>
      <c r="AA59" s="80" t="s">
        <v>86</v>
      </c>
      <c r="AB59" s="34" t="s">
        <v>194</v>
      </c>
    </row>
    <row r="60" spans="1:28" x14ac:dyDescent="0.15">
      <c r="A60" s="80" t="s">
        <v>24</v>
      </c>
      <c r="B60" s="80" t="s">
        <v>190</v>
      </c>
      <c r="C60" s="80">
        <v>2020</v>
      </c>
      <c r="D60" s="180" t="s">
        <v>363</v>
      </c>
      <c r="E60" s="80" t="s">
        <v>368</v>
      </c>
      <c r="F60" s="80" t="s">
        <v>369</v>
      </c>
      <c r="G60" s="80" t="s">
        <v>25</v>
      </c>
      <c r="H60" s="80" t="s">
        <v>167</v>
      </c>
      <c r="I60" s="80" t="s">
        <v>111</v>
      </c>
      <c r="J60" s="80" t="s">
        <v>27</v>
      </c>
      <c r="K60" s="80" t="s">
        <v>112</v>
      </c>
      <c r="L60" s="80">
        <v>2</v>
      </c>
      <c r="N60" s="80">
        <v>4</v>
      </c>
      <c r="O60" s="80">
        <v>1.25</v>
      </c>
      <c r="P60" s="80">
        <v>1.3</v>
      </c>
      <c r="Q60" s="181">
        <f t="shared" si="0"/>
        <v>1.2749999999999999</v>
      </c>
      <c r="R60" s="80">
        <v>18.600000000000001</v>
      </c>
      <c r="S60" s="80">
        <v>107</v>
      </c>
      <c r="T60" s="16">
        <f t="shared" si="1"/>
        <v>33</v>
      </c>
      <c r="U60" s="80">
        <v>498</v>
      </c>
      <c r="V60" s="16">
        <f t="shared" si="2"/>
        <v>4108.5</v>
      </c>
      <c r="W60" s="80">
        <v>2</v>
      </c>
      <c r="X60" s="80" t="s">
        <v>35</v>
      </c>
      <c r="Y60" s="80" t="s">
        <v>74</v>
      </c>
      <c r="Z60" s="80" t="s">
        <v>64</v>
      </c>
      <c r="AA60" s="80" t="s">
        <v>86</v>
      </c>
      <c r="AB60" s="34" t="s">
        <v>194</v>
      </c>
    </row>
    <row r="61" spans="1:28" x14ac:dyDescent="0.15">
      <c r="A61" s="80" t="s">
        <v>24</v>
      </c>
      <c r="B61" s="80" t="s">
        <v>190</v>
      </c>
      <c r="C61" s="80">
        <v>2020</v>
      </c>
      <c r="D61" s="180" t="s">
        <v>363</v>
      </c>
      <c r="E61" s="80" t="s">
        <v>368</v>
      </c>
      <c r="F61" s="80" t="s">
        <v>369</v>
      </c>
      <c r="G61" s="80" t="s">
        <v>25</v>
      </c>
      <c r="H61" s="80" t="s">
        <v>167</v>
      </c>
      <c r="I61" s="80" t="s">
        <v>111</v>
      </c>
      <c r="J61" s="80" t="s">
        <v>27</v>
      </c>
      <c r="K61" s="80" t="s">
        <v>112</v>
      </c>
      <c r="L61" s="80">
        <v>3</v>
      </c>
      <c r="N61" s="80">
        <v>4</v>
      </c>
      <c r="O61" s="80">
        <v>1</v>
      </c>
      <c r="P61" s="80">
        <v>1</v>
      </c>
      <c r="Q61" s="181">
        <f t="shared" si="0"/>
        <v>1</v>
      </c>
      <c r="R61" s="80">
        <v>14.4</v>
      </c>
      <c r="S61" s="80">
        <v>106</v>
      </c>
      <c r="T61" s="16">
        <f t="shared" si="1"/>
        <v>33</v>
      </c>
      <c r="U61" s="80">
        <v>498</v>
      </c>
      <c r="V61" s="16">
        <f t="shared" si="2"/>
        <v>4108.5</v>
      </c>
      <c r="W61" s="80">
        <v>2</v>
      </c>
      <c r="X61" s="80" t="s">
        <v>35</v>
      </c>
      <c r="Y61" s="80" t="s">
        <v>74</v>
      </c>
      <c r="Z61" s="80" t="s">
        <v>64</v>
      </c>
      <c r="AA61" s="80" t="s">
        <v>86</v>
      </c>
      <c r="AB61" s="34" t="s">
        <v>194</v>
      </c>
    </row>
    <row r="62" spans="1:28" x14ac:dyDescent="0.15">
      <c r="A62" s="80" t="s">
        <v>24</v>
      </c>
      <c r="B62" s="80" t="s">
        <v>190</v>
      </c>
      <c r="C62" s="80">
        <v>2020</v>
      </c>
      <c r="D62" s="180" t="s">
        <v>363</v>
      </c>
      <c r="E62" s="80" t="s">
        <v>316</v>
      </c>
      <c r="F62" s="80" t="s">
        <v>365</v>
      </c>
      <c r="G62" s="80" t="s">
        <v>25</v>
      </c>
      <c r="H62" s="80" t="s">
        <v>113</v>
      </c>
      <c r="I62" s="80" t="s">
        <v>111</v>
      </c>
      <c r="J62" s="80" t="s">
        <v>27</v>
      </c>
      <c r="K62" s="80" t="s">
        <v>112</v>
      </c>
      <c r="L62" s="80">
        <v>1</v>
      </c>
      <c r="N62" s="80">
        <v>1</v>
      </c>
      <c r="O62" s="80">
        <v>1.25</v>
      </c>
      <c r="P62" s="80">
        <v>1.2</v>
      </c>
      <c r="Q62" s="181">
        <f t="shared" si="0"/>
        <v>1.2250000000000001</v>
      </c>
      <c r="R62" s="80">
        <v>16.7</v>
      </c>
      <c r="S62" s="80">
        <v>122</v>
      </c>
      <c r="T62" s="16">
        <f t="shared" si="1"/>
        <v>27</v>
      </c>
      <c r="U62" s="80">
        <v>98</v>
      </c>
      <c r="V62" s="16">
        <f t="shared" si="2"/>
        <v>2646</v>
      </c>
      <c r="W62" s="80">
        <v>2</v>
      </c>
      <c r="X62" s="80" t="s">
        <v>35</v>
      </c>
      <c r="Y62" s="80" t="s">
        <v>64</v>
      </c>
      <c r="Z62" s="80" t="s">
        <v>86</v>
      </c>
      <c r="AA62" s="80" t="s">
        <v>74</v>
      </c>
      <c r="AB62" s="34" t="s">
        <v>194</v>
      </c>
    </row>
    <row r="63" spans="1:28" x14ac:dyDescent="0.15">
      <c r="A63" s="80" t="s">
        <v>24</v>
      </c>
      <c r="B63" s="80" t="s">
        <v>190</v>
      </c>
      <c r="C63" s="80">
        <v>2020</v>
      </c>
      <c r="D63" s="180" t="s">
        <v>363</v>
      </c>
      <c r="E63" s="80" t="s">
        <v>316</v>
      </c>
      <c r="F63" s="80" t="s">
        <v>365</v>
      </c>
      <c r="G63" s="80" t="s">
        <v>25</v>
      </c>
      <c r="H63" s="80" t="s">
        <v>113</v>
      </c>
      <c r="I63" s="80" t="s">
        <v>111</v>
      </c>
      <c r="J63" s="80" t="s">
        <v>27</v>
      </c>
      <c r="K63" s="80" t="s">
        <v>112</v>
      </c>
      <c r="L63" s="80">
        <v>2</v>
      </c>
      <c r="N63" s="80">
        <v>1</v>
      </c>
      <c r="O63" s="80">
        <v>1.25</v>
      </c>
      <c r="P63" s="80">
        <v>1.25</v>
      </c>
      <c r="Q63" s="181">
        <f t="shared" si="0"/>
        <v>1.25</v>
      </c>
      <c r="R63" s="80">
        <v>13.4</v>
      </c>
      <c r="S63" s="80">
        <v>121</v>
      </c>
      <c r="T63" s="16">
        <f t="shared" si="1"/>
        <v>27</v>
      </c>
      <c r="U63" s="80">
        <v>98</v>
      </c>
      <c r="V63" s="16">
        <f t="shared" si="2"/>
        <v>2646</v>
      </c>
      <c r="W63" s="80">
        <v>2</v>
      </c>
      <c r="X63" s="80" t="s">
        <v>35</v>
      </c>
      <c r="Y63" s="80" t="s">
        <v>64</v>
      </c>
      <c r="Z63" s="80" t="s">
        <v>86</v>
      </c>
      <c r="AA63" s="80" t="s">
        <v>74</v>
      </c>
      <c r="AB63" s="34" t="s">
        <v>194</v>
      </c>
    </row>
    <row r="64" spans="1:28" x14ac:dyDescent="0.15">
      <c r="A64" s="80" t="s">
        <v>24</v>
      </c>
      <c r="B64" s="80" t="s">
        <v>190</v>
      </c>
      <c r="C64" s="80">
        <v>2020</v>
      </c>
      <c r="D64" s="180" t="s">
        <v>363</v>
      </c>
      <c r="E64" s="80" t="s">
        <v>316</v>
      </c>
      <c r="F64" s="80" t="s">
        <v>365</v>
      </c>
      <c r="G64" s="80" t="s">
        <v>25</v>
      </c>
      <c r="H64" s="80" t="s">
        <v>113</v>
      </c>
      <c r="I64" s="80" t="s">
        <v>111</v>
      </c>
      <c r="J64" s="80" t="s">
        <v>27</v>
      </c>
      <c r="K64" s="80" t="s">
        <v>112</v>
      </c>
      <c r="L64" s="80">
        <v>3</v>
      </c>
      <c r="N64" s="80">
        <v>1</v>
      </c>
      <c r="O64" s="80">
        <v>0.8</v>
      </c>
      <c r="P64" s="80">
        <v>1</v>
      </c>
      <c r="Q64" s="181">
        <f t="shared" si="0"/>
        <v>0.9</v>
      </c>
      <c r="R64" s="80">
        <v>13.5</v>
      </c>
      <c r="S64" s="80">
        <v>121</v>
      </c>
      <c r="T64" s="16">
        <f t="shared" si="1"/>
        <v>27</v>
      </c>
      <c r="U64" s="80">
        <v>98</v>
      </c>
      <c r="V64" s="16">
        <f t="shared" si="2"/>
        <v>2646</v>
      </c>
      <c r="W64" s="80">
        <v>2</v>
      </c>
      <c r="X64" s="80" t="s">
        <v>35</v>
      </c>
      <c r="Y64" s="80" t="s">
        <v>64</v>
      </c>
      <c r="Z64" s="80" t="s">
        <v>86</v>
      </c>
      <c r="AA64" s="80" t="s">
        <v>74</v>
      </c>
      <c r="AB64" s="34" t="s">
        <v>194</v>
      </c>
    </row>
    <row r="65" spans="1:28" x14ac:dyDescent="0.15">
      <c r="A65" s="80" t="s">
        <v>24</v>
      </c>
      <c r="B65" s="80" t="s">
        <v>190</v>
      </c>
      <c r="C65" s="80">
        <v>2020</v>
      </c>
      <c r="D65" s="180" t="s">
        <v>363</v>
      </c>
      <c r="E65" s="80" t="s">
        <v>316</v>
      </c>
      <c r="F65" s="80" t="s">
        <v>365</v>
      </c>
      <c r="G65" s="80" t="s">
        <v>25</v>
      </c>
      <c r="H65" s="80" t="s">
        <v>167</v>
      </c>
      <c r="I65" s="80" t="s">
        <v>111</v>
      </c>
      <c r="J65" s="80" t="s">
        <v>27</v>
      </c>
      <c r="K65" s="80" t="s">
        <v>112</v>
      </c>
      <c r="L65" s="80">
        <v>1</v>
      </c>
      <c r="N65" s="80">
        <v>1</v>
      </c>
      <c r="O65" s="80">
        <v>0.8</v>
      </c>
      <c r="P65" s="80">
        <v>0.75</v>
      </c>
      <c r="Q65" s="181">
        <f t="shared" si="0"/>
        <v>0.77500000000000002</v>
      </c>
      <c r="R65" s="80">
        <v>18.100000000000001</v>
      </c>
      <c r="S65" s="80">
        <v>126</v>
      </c>
      <c r="T65" s="16">
        <f t="shared" si="1"/>
        <v>27</v>
      </c>
      <c r="U65" s="80">
        <v>128</v>
      </c>
      <c r="V65" s="16">
        <f t="shared" si="2"/>
        <v>3456</v>
      </c>
      <c r="W65" s="80">
        <v>4</v>
      </c>
      <c r="X65" s="80" t="s">
        <v>35</v>
      </c>
      <c r="Y65" s="80" t="s">
        <v>64</v>
      </c>
      <c r="Z65" s="80" t="s">
        <v>86</v>
      </c>
      <c r="AA65" s="80" t="s">
        <v>74</v>
      </c>
      <c r="AB65" s="34" t="s">
        <v>194</v>
      </c>
    </row>
    <row r="66" spans="1:28" x14ac:dyDescent="0.15">
      <c r="A66" s="80" t="s">
        <v>24</v>
      </c>
      <c r="B66" s="80" t="s">
        <v>190</v>
      </c>
      <c r="C66" s="80">
        <v>2020</v>
      </c>
      <c r="D66" s="180" t="s">
        <v>363</v>
      </c>
      <c r="E66" s="80" t="s">
        <v>316</v>
      </c>
      <c r="F66" s="80" t="s">
        <v>365</v>
      </c>
      <c r="G66" s="80" t="s">
        <v>25</v>
      </c>
      <c r="H66" s="80" t="s">
        <v>167</v>
      </c>
      <c r="I66" s="80" t="s">
        <v>111</v>
      </c>
      <c r="J66" s="80" t="s">
        <v>27</v>
      </c>
      <c r="K66" s="80" t="s">
        <v>112</v>
      </c>
      <c r="L66" s="80">
        <v>2</v>
      </c>
      <c r="N66" s="80">
        <v>1</v>
      </c>
      <c r="O66" s="80">
        <v>1.1000000000000001</v>
      </c>
      <c r="P66" s="80">
        <v>1.1000000000000001</v>
      </c>
      <c r="Q66" s="181">
        <f t="shared" ref="Q66:Q77" si="3">IF(OR(O66="",P66=""),"",AVERAGE(O66,P66))</f>
        <v>1.1000000000000001</v>
      </c>
      <c r="R66" s="80">
        <v>18.399999999999999</v>
      </c>
      <c r="S66" s="80">
        <v>123</v>
      </c>
      <c r="T66" s="16">
        <f t="shared" ref="T66:T129" si="4">IF(H66="","",IF(OR(H66="GREEN",H66="GK"),IF(S66&gt;=$AX$2,VLOOKUP(S66,$AX$2:$AY$12,2,1),""),IF(S66&gt;=$AZ$2,VLOOKUP(S66,$AZ$2:$BA$12,2,1),"")))</f>
        <v>27</v>
      </c>
      <c r="U66" s="80">
        <v>128</v>
      </c>
      <c r="V66" s="16">
        <f t="shared" ref="V66:V129" si="5">IF(OR(N66="",U66="",T66=""),"",U66/N66*T66)</f>
        <v>3456</v>
      </c>
      <c r="W66" s="80">
        <v>4</v>
      </c>
      <c r="X66" s="80" t="s">
        <v>35</v>
      </c>
      <c r="Y66" s="80" t="s">
        <v>64</v>
      </c>
      <c r="Z66" s="80" t="s">
        <v>86</v>
      </c>
      <c r="AA66" s="80" t="s">
        <v>74</v>
      </c>
      <c r="AB66" s="34" t="s">
        <v>194</v>
      </c>
    </row>
    <row r="67" spans="1:28" x14ac:dyDescent="0.15">
      <c r="A67" s="80" t="s">
        <v>24</v>
      </c>
      <c r="B67" s="80" t="s">
        <v>190</v>
      </c>
      <c r="C67" s="80">
        <v>2020</v>
      </c>
      <c r="D67" s="180" t="s">
        <v>363</v>
      </c>
      <c r="E67" s="80" t="s">
        <v>316</v>
      </c>
      <c r="F67" s="80" t="s">
        <v>365</v>
      </c>
      <c r="G67" s="80" t="s">
        <v>25</v>
      </c>
      <c r="H67" s="80" t="s">
        <v>167</v>
      </c>
      <c r="I67" s="80" t="s">
        <v>111</v>
      </c>
      <c r="J67" s="80" t="s">
        <v>27</v>
      </c>
      <c r="K67" s="80" t="s">
        <v>112</v>
      </c>
      <c r="L67" s="80">
        <v>3</v>
      </c>
      <c r="N67" s="80">
        <v>1</v>
      </c>
      <c r="O67" s="80">
        <v>1.1000000000000001</v>
      </c>
      <c r="P67" s="80">
        <v>1</v>
      </c>
      <c r="Q67" s="181">
        <f t="shared" si="3"/>
        <v>1.05</v>
      </c>
      <c r="R67" s="80">
        <v>13.4</v>
      </c>
      <c r="S67" s="80">
        <v>122</v>
      </c>
      <c r="T67" s="16">
        <f t="shared" si="4"/>
        <v>27</v>
      </c>
      <c r="U67" s="80">
        <v>128</v>
      </c>
      <c r="V67" s="16">
        <f t="shared" si="5"/>
        <v>3456</v>
      </c>
      <c r="W67" s="80">
        <v>4</v>
      </c>
      <c r="X67" s="80" t="s">
        <v>35</v>
      </c>
      <c r="Y67" s="80" t="s">
        <v>64</v>
      </c>
      <c r="Z67" s="80" t="s">
        <v>86</v>
      </c>
      <c r="AA67" s="80" t="s">
        <v>74</v>
      </c>
      <c r="AB67" s="34" t="s">
        <v>194</v>
      </c>
    </row>
    <row r="68" spans="1:28" x14ac:dyDescent="0.15">
      <c r="A68" s="80" t="s">
        <v>24</v>
      </c>
      <c r="B68" s="80" t="s">
        <v>190</v>
      </c>
      <c r="C68" s="80">
        <v>2020</v>
      </c>
      <c r="D68" s="180" t="s">
        <v>363</v>
      </c>
      <c r="E68" s="80" t="s">
        <v>316</v>
      </c>
      <c r="F68" s="80" t="s">
        <v>365</v>
      </c>
      <c r="G68" s="80" t="s">
        <v>25</v>
      </c>
      <c r="H68" s="80" t="s">
        <v>167</v>
      </c>
      <c r="I68" s="80" t="s">
        <v>111</v>
      </c>
      <c r="J68" s="80" t="s">
        <v>27</v>
      </c>
      <c r="K68" s="80" t="s">
        <v>112</v>
      </c>
      <c r="L68" s="80">
        <v>1</v>
      </c>
      <c r="N68" s="80">
        <v>4</v>
      </c>
      <c r="O68" s="80">
        <v>0.75</v>
      </c>
      <c r="P68" s="80">
        <v>0.7</v>
      </c>
      <c r="Q68" s="181">
        <f t="shared" si="3"/>
        <v>0.72499999999999998</v>
      </c>
      <c r="R68" s="80">
        <v>13.3</v>
      </c>
      <c r="S68" s="80">
        <v>87</v>
      </c>
      <c r="T68" s="16">
        <f t="shared" si="4"/>
        <v>36</v>
      </c>
      <c r="U68" s="80">
        <v>498</v>
      </c>
      <c r="V68" s="16">
        <f t="shared" si="5"/>
        <v>4482</v>
      </c>
      <c r="W68" s="80">
        <v>1</v>
      </c>
      <c r="X68" s="80" t="s">
        <v>35</v>
      </c>
      <c r="Y68" s="80" t="s">
        <v>64</v>
      </c>
      <c r="Z68" s="80" t="s">
        <v>86</v>
      </c>
      <c r="AA68" s="80" t="s">
        <v>74</v>
      </c>
      <c r="AB68" s="34" t="s">
        <v>194</v>
      </c>
    </row>
    <row r="69" spans="1:28" x14ac:dyDescent="0.15">
      <c r="A69" s="80" t="s">
        <v>24</v>
      </c>
      <c r="B69" s="80" t="s">
        <v>190</v>
      </c>
      <c r="C69" s="80">
        <v>2020</v>
      </c>
      <c r="D69" s="180" t="s">
        <v>363</v>
      </c>
      <c r="E69" s="80" t="s">
        <v>316</v>
      </c>
      <c r="F69" s="80" t="s">
        <v>365</v>
      </c>
      <c r="G69" s="80" t="s">
        <v>25</v>
      </c>
      <c r="H69" s="80" t="s">
        <v>167</v>
      </c>
      <c r="I69" s="80" t="s">
        <v>111</v>
      </c>
      <c r="J69" s="80" t="s">
        <v>27</v>
      </c>
      <c r="K69" s="80" t="s">
        <v>112</v>
      </c>
      <c r="L69" s="80">
        <v>2</v>
      </c>
      <c r="N69" s="80">
        <v>4</v>
      </c>
      <c r="O69" s="80">
        <v>0.8</v>
      </c>
      <c r="P69" s="80">
        <v>0.9</v>
      </c>
      <c r="Q69" s="181">
        <f t="shared" si="3"/>
        <v>0.85000000000000009</v>
      </c>
      <c r="R69" s="80">
        <v>12.8</v>
      </c>
      <c r="S69" s="80">
        <v>91</v>
      </c>
      <c r="T69" s="16">
        <f t="shared" si="4"/>
        <v>36</v>
      </c>
      <c r="U69" s="80">
        <v>498</v>
      </c>
      <c r="V69" s="16">
        <f t="shared" si="5"/>
        <v>4482</v>
      </c>
      <c r="W69" s="80">
        <v>1</v>
      </c>
      <c r="X69" s="80" t="s">
        <v>35</v>
      </c>
      <c r="Y69" s="80" t="s">
        <v>64</v>
      </c>
      <c r="Z69" s="80" t="s">
        <v>86</v>
      </c>
      <c r="AA69" s="80" t="s">
        <v>74</v>
      </c>
      <c r="AB69" s="34" t="s">
        <v>194</v>
      </c>
    </row>
    <row r="70" spans="1:28" x14ac:dyDescent="0.15">
      <c r="A70" s="80" t="s">
        <v>24</v>
      </c>
      <c r="B70" s="80" t="s">
        <v>190</v>
      </c>
      <c r="C70" s="80">
        <v>2020</v>
      </c>
      <c r="D70" s="180" t="s">
        <v>363</v>
      </c>
      <c r="E70" s="80" t="s">
        <v>316</v>
      </c>
      <c r="F70" s="80" t="s">
        <v>365</v>
      </c>
      <c r="G70" s="80" t="s">
        <v>25</v>
      </c>
      <c r="H70" s="80" t="s">
        <v>167</v>
      </c>
      <c r="I70" s="80" t="s">
        <v>111</v>
      </c>
      <c r="J70" s="80" t="s">
        <v>27</v>
      </c>
      <c r="K70" s="80" t="s">
        <v>112</v>
      </c>
      <c r="L70" s="80">
        <v>3</v>
      </c>
      <c r="N70" s="80">
        <v>4</v>
      </c>
      <c r="O70" s="80">
        <v>0.6</v>
      </c>
      <c r="P70" s="80">
        <v>0.75</v>
      </c>
      <c r="Q70" s="181">
        <f t="shared" si="3"/>
        <v>0.67500000000000004</v>
      </c>
      <c r="R70" s="80">
        <v>12.9</v>
      </c>
      <c r="S70" s="80">
        <v>84</v>
      </c>
      <c r="T70" s="16">
        <f t="shared" si="4"/>
        <v>36</v>
      </c>
      <c r="U70" s="80">
        <v>498</v>
      </c>
      <c r="V70" s="16">
        <f t="shared" si="5"/>
        <v>4482</v>
      </c>
      <c r="W70" s="80">
        <v>1</v>
      </c>
      <c r="X70" s="80" t="s">
        <v>35</v>
      </c>
      <c r="Y70" s="80" t="s">
        <v>64</v>
      </c>
      <c r="Z70" s="80" t="s">
        <v>86</v>
      </c>
      <c r="AA70" s="80" t="s">
        <v>74</v>
      </c>
      <c r="AB70" s="34" t="s">
        <v>194</v>
      </c>
    </row>
    <row r="71" spans="1:28" x14ac:dyDescent="0.15">
      <c r="A71" s="80" t="s">
        <v>24</v>
      </c>
      <c r="B71" s="80" t="s">
        <v>190</v>
      </c>
      <c r="C71" s="80">
        <v>2020</v>
      </c>
      <c r="D71" s="180" t="s">
        <v>363</v>
      </c>
      <c r="E71" s="80" t="s">
        <v>370</v>
      </c>
      <c r="F71" s="80" t="s">
        <v>371</v>
      </c>
      <c r="G71" s="80" t="s">
        <v>25</v>
      </c>
      <c r="H71" s="80" t="s">
        <v>113</v>
      </c>
      <c r="I71" s="80" t="s">
        <v>111</v>
      </c>
      <c r="J71" s="80" t="s">
        <v>27</v>
      </c>
      <c r="K71" s="80" t="s">
        <v>112</v>
      </c>
      <c r="L71" s="80">
        <v>1</v>
      </c>
      <c r="N71" s="80">
        <v>1</v>
      </c>
      <c r="O71" s="80">
        <v>0.75</v>
      </c>
      <c r="P71" s="80">
        <v>1</v>
      </c>
      <c r="Q71" s="181">
        <f t="shared" si="3"/>
        <v>0.875</v>
      </c>
      <c r="R71" s="80">
        <v>16.2</v>
      </c>
      <c r="S71" s="80">
        <v>117</v>
      </c>
      <c r="T71" s="16">
        <f t="shared" si="4"/>
        <v>30</v>
      </c>
      <c r="U71" s="80">
        <v>98</v>
      </c>
      <c r="V71" s="16">
        <f t="shared" si="5"/>
        <v>2940</v>
      </c>
      <c r="W71" s="80">
        <v>2</v>
      </c>
      <c r="X71" s="80" t="s">
        <v>35</v>
      </c>
      <c r="Y71" s="80" t="s">
        <v>64</v>
      </c>
      <c r="Z71" s="80" t="s">
        <v>82</v>
      </c>
      <c r="AA71" s="80" t="s">
        <v>72</v>
      </c>
      <c r="AB71" s="34" t="s">
        <v>194</v>
      </c>
    </row>
    <row r="72" spans="1:28" x14ac:dyDescent="0.15">
      <c r="A72" s="80" t="s">
        <v>24</v>
      </c>
      <c r="B72" s="80" t="s">
        <v>190</v>
      </c>
      <c r="C72" s="80">
        <v>2020</v>
      </c>
      <c r="D72" s="180" t="s">
        <v>363</v>
      </c>
      <c r="E72" s="80" t="s">
        <v>370</v>
      </c>
      <c r="F72" s="80" t="s">
        <v>371</v>
      </c>
      <c r="G72" s="80" t="s">
        <v>25</v>
      </c>
      <c r="H72" s="80" t="s">
        <v>113</v>
      </c>
      <c r="I72" s="80" t="s">
        <v>111</v>
      </c>
      <c r="J72" s="80" t="s">
        <v>27</v>
      </c>
      <c r="K72" s="80" t="s">
        <v>112</v>
      </c>
      <c r="L72" s="80">
        <v>2</v>
      </c>
      <c r="N72" s="80">
        <v>1</v>
      </c>
      <c r="O72" s="80">
        <v>1</v>
      </c>
      <c r="P72" s="80">
        <v>1.2</v>
      </c>
      <c r="Q72" s="181">
        <f t="shared" si="3"/>
        <v>1.1000000000000001</v>
      </c>
      <c r="R72" s="80">
        <v>14.5</v>
      </c>
      <c r="S72" s="80">
        <v>115</v>
      </c>
      <c r="T72" s="16">
        <f t="shared" si="4"/>
        <v>30</v>
      </c>
      <c r="U72" s="80">
        <v>98</v>
      </c>
      <c r="V72" s="16">
        <f t="shared" si="5"/>
        <v>2940</v>
      </c>
      <c r="W72" s="80">
        <v>2</v>
      </c>
      <c r="X72" s="80" t="s">
        <v>35</v>
      </c>
      <c r="Y72" s="80" t="s">
        <v>64</v>
      </c>
      <c r="Z72" s="80" t="s">
        <v>82</v>
      </c>
      <c r="AA72" s="80" t="s">
        <v>72</v>
      </c>
      <c r="AB72" s="34" t="s">
        <v>194</v>
      </c>
    </row>
    <row r="73" spans="1:28" x14ac:dyDescent="0.15">
      <c r="A73" s="80" t="s">
        <v>24</v>
      </c>
      <c r="B73" s="80" t="s">
        <v>190</v>
      </c>
      <c r="C73" s="80">
        <v>2020</v>
      </c>
      <c r="D73" s="180" t="s">
        <v>363</v>
      </c>
      <c r="E73" s="80" t="s">
        <v>370</v>
      </c>
      <c r="F73" s="80" t="s">
        <v>371</v>
      </c>
      <c r="G73" s="80" t="s">
        <v>25</v>
      </c>
      <c r="H73" s="80" t="s">
        <v>113</v>
      </c>
      <c r="I73" s="80" t="s">
        <v>111</v>
      </c>
      <c r="J73" s="80" t="s">
        <v>27</v>
      </c>
      <c r="K73" s="80" t="s">
        <v>112</v>
      </c>
      <c r="L73" s="80">
        <v>3</v>
      </c>
      <c r="N73" s="80">
        <v>1</v>
      </c>
      <c r="O73" s="80">
        <v>1.2</v>
      </c>
      <c r="P73" s="80">
        <v>1</v>
      </c>
      <c r="Q73" s="181">
        <f t="shared" si="3"/>
        <v>1.1000000000000001</v>
      </c>
      <c r="R73" s="80">
        <v>18</v>
      </c>
      <c r="S73" s="80">
        <v>112</v>
      </c>
      <c r="T73" s="16">
        <f t="shared" si="4"/>
        <v>33</v>
      </c>
      <c r="U73" s="80">
        <v>98</v>
      </c>
      <c r="V73" s="16">
        <f t="shared" si="5"/>
        <v>3234</v>
      </c>
      <c r="W73" s="80">
        <v>2</v>
      </c>
      <c r="X73" s="80" t="s">
        <v>35</v>
      </c>
      <c r="Y73" s="80" t="s">
        <v>64</v>
      </c>
      <c r="Z73" s="80" t="s">
        <v>82</v>
      </c>
      <c r="AA73" s="80" t="s">
        <v>72</v>
      </c>
      <c r="AB73" s="34" t="s">
        <v>194</v>
      </c>
    </row>
    <row r="74" spans="1:28" x14ac:dyDescent="0.15">
      <c r="A74" s="80" t="s">
        <v>24</v>
      </c>
      <c r="B74" s="80" t="s">
        <v>190</v>
      </c>
      <c r="C74" s="80">
        <v>2020</v>
      </c>
      <c r="D74" s="180" t="s">
        <v>363</v>
      </c>
      <c r="E74" s="80" t="s">
        <v>370</v>
      </c>
      <c r="F74" s="80" t="s">
        <v>371</v>
      </c>
      <c r="G74" s="80" t="s">
        <v>25</v>
      </c>
      <c r="H74" s="80" t="s">
        <v>167</v>
      </c>
      <c r="I74" s="80" t="s">
        <v>111</v>
      </c>
      <c r="J74" s="80" t="s">
        <v>27</v>
      </c>
      <c r="K74" s="80" t="s">
        <v>112</v>
      </c>
      <c r="L74" s="80">
        <v>1</v>
      </c>
      <c r="N74" s="80">
        <v>1</v>
      </c>
      <c r="O74" s="80">
        <v>1.25</v>
      </c>
      <c r="P74" s="80">
        <v>1.2</v>
      </c>
      <c r="Q74" s="181">
        <f t="shared" si="3"/>
        <v>1.2250000000000001</v>
      </c>
      <c r="R74" s="80">
        <v>14.9</v>
      </c>
      <c r="S74" s="80">
        <v>120</v>
      </c>
      <c r="T74" s="16">
        <f t="shared" si="4"/>
        <v>30</v>
      </c>
      <c r="U74" s="80">
        <v>128</v>
      </c>
      <c r="V74" s="16">
        <f t="shared" si="5"/>
        <v>3840</v>
      </c>
      <c r="W74" s="80">
        <v>4</v>
      </c>
      <c r="X74" s="80" t="s">
        <v>35</v>
      </c>
      <c r="Y74" s="80" t="s">
        <v>64</v>
      </c>
      <c r="Z74" s="80" t="s">
        <v>82</v>
      </c>
      <c r="AA74" s="80" t="s">
        <v>72</v>
      </c>
      <c r="AB74" s="34" t="s">
        <v>194</v>
      </c>
    </row>
    <row r="75" spans="1:28" x14ac:dyDescent="0.15">
      <c r="A75" s="80" t="s">
        <v>24</v>
      </c>
      <c r="B75" s="80" t="s">
        <v>190</v>
      </c>
      <c r="C75" s="80">
        <v>2020</v>
      </c>
      <c r="D75" s="180" t="s">
        <v>363</v>
      </c>
      <c r="E75" s="80" t="s">
        <v>370</v>
      </c>
      <c r="F75" s="80" t="s">
        <v>371</v>
      </c>
      <c r="G75" s="80" t="s">
        <v>25</v>
      </c>
      <c r="H75" s="80" t="s">
        <v>167</v>
      </c>
      <c r="I75" s="80" t="s">
        <v>111</v>
      </c>
      <c r="J75" s="80" t="s">
        <v>27</v>
      </c>
      <c r="K75" s="80" t="s">
        <v>112</v>
      </c>
      <c r="L75" s="80">
        <v>2</v>
      </c>
      <c r="N75" s="80">
        <v>1</v>
      </c>
      <c r="O75" s="80">
        <v>1.2</v>
      </c>
      <c r="P75" s="80">
        <v>1</v>
      </c>
      <c r="Q75" s="181">
        <f t="shared" si="3"/>
        <v>1.1000000000000001</v>
      </c>
      <c r="R75" s="80">
        <v>12.9</v>
      </c>
      <c r="S75" s="80">
        <v>118</v>
      </c>
      <c r="T75" s="16">
        <f t="shared" si="4"/>
        <v>30</v>
      </c>
      <c r="U75" s="80">
        <v>128</v>
      </c>
      <c r="V75" s="16">
        <f t="shared" si="5"/>
        <v>3840</v>
      </c>
      <c r="W75" s="80">
        <v>4</v>
      </c>
      <c r="X75" s="80" t="s">
        <v>35</v>
      </c>
      <c r="Y75" s="80" t="s">
        <v>64</v>
      </c>
      <c r="Z75" s="80" t="s">
        <v>82</v>
      </c>
      <c r="AA75" s="80" t="s">
        <v>72</v>
      </c>
      <c r="AB75" s="34" t="s">
        <v>194</v>
      </c>
    </row>
    <row r="76" spans="1:28" x14ac:dyDescent="0.15">
      <c r="A76" s="80" t="s">
        <v>24</v>
      </c>
      <c r="B76" s="80" t="s">
        <v>190</v>
      </c>
      <c r="C76" s="80">
        <v>2020</v>
      </c>
      <c r="D76" s="180" t="s">
        <v>363</v>
      </c>
      <c r="E76" s="80" t="s">
        <v>370</v>
      </c>
      <c r="F76" s="80" t="s">
        <v>371</v>
      </c>
      <c r="G76" s="80" t="s">
        <v>25</v>
      </c>
      <c r="H76" s="80" t="s">
        <v>167</v>
      </c>
      <c r="I76" s="80" t="s">
        <v>111</v>
      </c>
      <c r="J76" s="80" t="s">
        <v>27</v>
      </c>
      <c r="K76" s="80" t="s">
        <v>112</v>
      </c>
      <c r="L76" s="80">
        <v>3</v>
      </c>
      <c r="N76" s="80">
        <v>1</v>
      </c>
      <c r="O76" s="80">
        <v>0.9</v>
      </c>
      <c r="P76" s="80">
        <v>1</v>
      </c>
      <c r="Q76" s="181">
        <f t="shared" si="3"/>
        <v>0.95</v>
      </c>
      <c r="R76" s="80">
        <v>14.9</v>
      </c>
      <c r="S76" s="80">
        <v>121</v>
      </c>
      <c r="T76" s="16">
        <f t="shared" si="4"/>
        <v>27</v>
      </c>
      <c r="U76" s="80">
        <v>128</v>
      </c>
      <c r="V76" s="16">
        <f t="shared" si="5"/>
        <v>3456</v>
      </c>
      <c r="W76" s="80">
        <v>4</v>
      </c>
      <c r="X76" s="80" t="s">
        <v>35</v>
      </c>
      <c r="Y76" s="80" t="s">
        <v>64</v>
      </c>
      <c r="Z76" s="80" t="s">
        <v>82</v>
      </c>
      <c r="AA76" s="80" t="s">
        <v>72</v>
      </c>
      <c r="AB76" s="34" t="s">
        <v>194</v>
      </c>
    </row>
    <row r="77" spans="1:28" x14ac:dyDescent="0.15">
      <c r="A77" s="80" t="s">
        <v>24</v>
      </c>
      <c r="B77" s="80" t="s">
        <v>190</v>
      </c>
      <c r="C77" s="80">
        <v>2020</v>
      </c>
      <c r="D77" s="180" t="s">
        <v>363</v>
      </c>
      <c r="E77" s="80" t="s">
        <v>375</v>
      </c>
      <c r="F77" s="80" t="s">
        <v>369</v>
      </c>
      <c r="G77" s="80" t="s">
        <v>25</v>
      </c>
      <c r="H77" s="80" t="s">
        <v>113</v>
      </c>
      <c r="I77" s="80" t="s">
        <v>111</v>
      </c>
      <c r="J77" s="80" t="s">
        <v>27</v>
      </c>
      <c r="K77" s="80" t="s">
        <v>112</v>
      </c>
      <c r="L77" s="80">
        <v>1</v>
      </c>
      <c r="N77" s="80">
        <v>1</v>
      </c>
      <c r="O77" s="80">
        <v>1</v>
      </c>
      <c r="P77" s="80">
        <v>0.9</v>
      </c>
      <c r="Q77" s="181">
        <f t="shared" si="3"/>
        <v>0.95</v>
      </c>
      <c r="R77" s="80">
        <v>13</v>
      </c>
      <c r="S77" s="80">
        <v>123</v>
      </c>
      <c r="T77" s="16">
        <f t="shared" si="4"/>
        <v>27</v>
      </c>
      <c r="U77" s="80">
        <v>98</v>
      </c>
      <c r="V77" s="16">
        <f t="shared" si="5"/>
        <v>2646</v>
      </c>
      <c r="W77" s="80">
        <v>1</v>
      </c>
      <c r="X77" s="80" t="s">
        <v>28</v>
      </c>
      <c r="Y77" s="80" t="s">
        <v>82</v>
      </c>
      <c r="Z77" s="80" t="s">
        <v>74</v>
      </c>
      <c r="AA77" s="80" t="s">
        <v>64</v>
      </c>
      <c r="AB77" s="34" t="s">
        <v>194</v>
      </c>
    </row>
    <row r="78" spans="1:28" x14ac:dyDescent="0.15">
      <c r="A78" s="80" t="s">
        <v>24</v>
      </c>
      <c r="B78" s="80" t="s">
        <v>190</v>
      </c>
      <c r="C78" s="80">
        <v>2020</v>
      </c>
      <c r="D78" s="180" t="s">
        <v>363</v>
      </c>
      <c r="E78" s="80" t="s">
        <v>375</v>
      </c>
      <c r="F78" s="80" t="s">
        <v>369</v>
      </c>
      <c r="G78" s="80" t="s">
        <v>25</v>
      </c>
      <c r="H78" s="80" t="s">
        <v>113</v>
      </c>
      <c r="I78" s="80" t="s">
        <v>111</v>
      </c>
      <c r="J78" s="80" t="s">
        <v>27</v>
      </c>
      <c r="K78" s="80" t="s">
        <v>112</v>
      </c>
      <c r="L78" s="80">
        <v>2</v>
      </c>
      <c r="N78" s="80">
        <v>1</v>
      </c>
      <c r="O78" s="80">
        <v>1.25</v>
      </c>
      <c r="P78" s="34">
        <v>1.2</v>
      </c>
      <c r="Q78" s="181">
        <f>IF(OR(O78="",P78=""),"",AVERAGE(O78,P78))</f>
        <v>1.2250000000000001</v>
      </c>
      <c r="R78" s="80">
        <v>12.2</v>
      </c>
      <c r="S78" s="80">
        <v>118</v>
      </c>
      <c r="T78" s="16">
        <f t="shared" si="4"/>
        <v>30</v>
      </c>
      <c r="U78" s="80">
        <v>98</v>
      </c>
      <c r="V78" s="16">
        <f t="shared" si="5"/>
        <v>2940</v>
      </c>
      <c r="W78" s="80">
        <v>1</v>
      </c>
      <c r="X78" s="80" t="s">
        <v>28</v>
      </c>
      <c r="Y78" s="80" t="s">
        <v>82</v>
      </c>
      <c r="Z78" s="80" t="s">
        <v>74</v>
      </c>
      <c r="AA78" s="80" t="s">
        <v>64</v>
      </c>
      <c r="AB78" s="34" t="s">
        <v>194</v>
      </c>
    </row>
    <row r="79" spans="1:28" x14ac:dyDescent="0.15">
      <c r="A79" s="80" t="s">
        <v>24</v>
      </c>
      <c r="B79" s="80" t="s">
        <v>190</v>
      </c>
      <c r="C79" s="80">
        <v>2020</v>
      </c>
      <c r="D79" s="180" t="s">
        <v>363</v>
      </c>
      <c r="E79" s="80" t="s">
        <v>375</v>
      </c>
      <c r="F79" s="80" t="s">
        <v>369</v>
      </c>
      <c r="G79" s="80" t="s">
        <v>25</v>
      </c>
      <c r="H79" s="80" t="s">
        <v>113</v>
      </c>
      <c r="I79" s="80" t="s">
        <v>111</v>
      </c>
      <c r="J79" s="80" t="s">
        <v>27</v>
      </c>
      <c r="K79" s="80" t="s">
        <v>112</v>
      </c>
      <c r="L79" s="80">
        <v>3</v>
      </c>
      <c r="N79" s="80">
        <v>1</v>
      </c>
      <c r="O79" s="80">
        <v>1</v>
      </c>
      <c r="P79" s="80">
        <v>1.1000000000000001</v>
      </c>
      <c r="Q79" s="181">
        <f>IF(OR(O79="",P79=""),"",AVERAGE(O79,P79))</f>
        <v>1.05</v>
      </c>
      <c r="R79" s="80">
        <v>18</v>
      </c>
      <c r="S79" s="80">
        <v>121</v>
      </c>
      <c r="T79" s="16">
        <f t="shared" si="4"/>
        <v>27</v>
      </c>
      <c r="U79" s="80">
        <v>98</v>
      </c>
      <c r="V79" s="16">
        <f t="shared" si="5"/>
        <v>2646</v>
      </c>
      <c r="W79" s="80">
        <v>1</v>
      </c>
      <c r="X79" s="80" t="s">
        <v>28</v>
      </c>
      <c r="Y79" s="80" t="s">
        <v>82</v>
      </c>
      <c r="Z79" s="80" t="s">
        <v>74</v>
      </c>
      <c r="AA79" s="80" t="s">
        <v>64</v>
      </c>
      <c r="AB79" s="34" t="s">
        <v>194</v>
      </c>
    </row>
    <row r="80" spans="1:28" x14ac:dyDescent="0.15">
      <c r="A80" s="80" t="s">
        <v>24</v>
      </c>
      <c r="B80" s="80" t="s">
        <v>190</v>
      </c>
      <c r="C80" s="80">
        <v>2020</v>
      </c>
      <c r="D80" s="180" t="s">
        <v>363</v>
      </c>
      <c r="E80" s="80" t="s">
        <v>375</v>
      </c>
      <c r="F80" s="80" t="s">
        <v>369</v>
      </c>
      <c r="G80" s="80" t="s">
        <v>25</v>
      </c>
      <c r="H80" s="80" t="s">
        <v>113</v>
      </c>
      <c r="I80" s="80" t="s">
        <v>111</v>
      </c>
      <c r="J80" s="80" t="s">
        <v>27</v>
      </c>
      <c r="K80" s="80" t="s">
        <v>112</v>
      </c>
      <c r="L80" s="80">
        <v>1</v>
      </c>
      <c r="N80" s="80">
        <v>8</v>
      </c>
      <c r="O80" s="80">
        <v>0.75</v>
      </c>
      <c r="P80" s="80">
        <v>1</v>
      </c>
      <c r="Q80" s="181">
        <f t="shared" ref="Q80:Q160" si="6">IF(OR(O80="",P80=""),"",AVERAGE(O80,P80))</f>
        <v>0.875</v>
      </c>
      <c r="R80" s="80">
        <v>14.9</v>
      </c>
      <c r="S80" s="80">
        <v>88</v>
      </c>
      <c r="T80" s="16">
        <f t="shared" si="4"/>
        <v>36</v>
      </c>
      <c r="U80" s="80">
        <v>580</v>
      </c>
      <c r="V80" s="16">
        <f t="shared" si="5"/>
        <v>2610</v>
      </c>
      <c r="W80" s="80">
        <v>1</v>
      </c>
      <c r="X80" s="80" t="s">
        <v>28</v>
      </c>
      <c r="Y80" s="80" t="s">
        <v>82</v>
      </c>
      <c r="Z80" s="80" t="s">
        <v>74</v>
      </c>
      <c r="AA80" s="80" t="s">
        <v>64</v>
      </c>
      <c r="AB80" s="34" t="s">
        <v>194</v>
      </c>
    </row>
    <row r="81" spans="1:28" x14ac:dyDescent="0.15">
      <c r="A81" s="80" t="s">
        <v>24</v>
      </c>
      <c r="B81" s="80" t="s">
        <v>190</v>
      </c>
      <c r="C81" s="80">
        <v>2020</v>
      </c>
      <c r="D81" s="180" t="s">
        <v>363</v>
      </c>
      <c r="E81" s="80" t="s">
        <v>375</v>
      </c>
      <c r="F81" s="80" t="s">
        <v>369</v>
      </c>
      <c r="G81" s="80" t="s">
        <v>25</v>
      </c>
      <c r="H81" s="80" t="s">
        <v>113</v>
      </c>
      <c r="I81" s="80" t="s">
        <v>111</v>
      </c>
      <c r="J81" s="80" t="s">
        <v>27</v>
      </c>
      <c r="K81" s="80" t="s">
        <v>112</v>
      </c>
      <c r="L81" s="80">
        <v>2</v>
      </c>
      <c r="N81" s="80">
        <v>8</v>
      </c>
      <c r="O81" s="80">
        <v>1.25</v>
      </c>
      <c r="P81" s="80">
        <v>1.3</v>
      </c>
      <c r="Q81" s="181">
        <f t="shared" si="6"/>
        <v>1.2749999999999999</v>
      </c>
      <c r="R81" s="80">
        <v>12.7</v>
      </c>
      <c r="S81" s="80">
        <v>94</v>
      </c>
      <c r="T81" s="16">
        <f t="shared" si="4"/>
        <v>36</v>
      </c>
      <c r="U81" s="80">
        <v>580</v>
      </c>
      <c r="V81" s="16">
        <f t="shared" si="5"/>
        <v>2610</v>
      </c>
      <c r="W81" s="80">
        <v>1</v>
      </c>
      <c r="X81" s="80" t="s">
        <v>28</v>
      </c>
      <c r="Y81" s="80" t="s">
        <v>82</v>
      </c>
      <c r="Z81" s="80" t="s">
        <v>74</v>
      </c>
      <c r="AA81" s="80" t="s">
        <v>64</v>
      </c>
      <c r="AB81" s="34" t="s">
        <v>194</v>
      </c>
    </row>
    <row r="82" spans="1:28" x14ac:dyDescent="0.15">
      <c r="A82" s="80" t="s">
        <v>24</v>
      </c>
      <c r="B82" s="80" t="s">
        <v>190</v>
      </c>
      <c r="C82" s="80">
        <v>2020</v>
      </c>
      <c r="D82" s="180" t="s">
        <v>363</v>
      </c>
      <c r="E82" s="80" t="s">
        <v>375</v>
      </c>
      <c r="F82" s="80" t="s">
        <v>369</v>
      </c>
      <c r="G82" s="80" t="s">
        <v>25</v>
      </c>
      <c r="H82" s="80" t="s">
        <v>113</v>
      </c>
      <c r="I82" s="80" t="s">
        <v>111</v>
      </c>
      <c r="J82" s="80" t="s">
        <v>27</v>
      </c>
      <c r="K82" s="80" t="s">
        <v>112</v>
      </c>
      <c r="L82" s="80">
        <v>3</v>
      </c>
      <c r="N82" s="80">
        <v>8</v>
      </c>
      <c r="O82" s="80">
        <v>1.25</v>
      </c>
      <c r="P82" s="80">
        <v>1.1000000000000001</v>
      </c>
      <c r="Q82" s="181">
        <f t="shared" si="6"/>
        <v>1.175</v>
      </c>
      <c r="R82" s="80">
        <v>12.9</v>
      </c>
      <c r="S82" s="80">
        <v>91</v>
      </c>
      <c r="T82" s="16">
        <f t="shared" si="4"/>
        <v>36</v>
      </c>
      <c r="U82" s="80">
        <v>580</v>
      </c>
      <c r="V82" s="16">
        <f t="shared" si="5"/>
        <v>2610</v>
      </c>
      <c r="W82" s="80">
        <v>1</v>
      </c>
      <c r="X82" s="80" t="s">
        <v>28</v>
      </c>
      <c r="Y82" s="80" t="s">
        <v>82</v>
      </c>
      <c r="Z82" s="80" t="s">
        <v>74</v>
      </c>
      <c r="AA82" s="80" t="s">
        <v>64</v>
      </c>
      <c r="AB82" s="34" t="s">
        <v>194</v>
      </c>
    </row>
    <row r="83" spans="1:28" x14ac:dyDescent="0.15">
      <c r="A83" s="80" t="s">
        <v>24</v>
      </c>
      <c r="B83" s="80" t="s">
        <v>190</v>
      </c>
      <c r="C83" s="80">
        <v>2020</v>
      </c>
      <c r="D83" s="180" t="s">
        <v>363</v>
      </c>
      <c r="E83" s="80" t="s">
        <v>375</v>
      </c>
      <c r="F83" s="80" t="s">
        <v>369</v>
      </c>
      <c r="G83" s="80" t="s">
        <v>25</v>
      </c>
      <c r="H83" s="80" t="s">
        <v>167</v>
      </c>
      <c r="I83" s="80" t="s">
        <v>111</v>
      </c>
      <c r="J83" s="80" t="s">
        <v>27</v>
      </c>
      <c r="K83" s="80" t="s">
        <v>112</v>
      </c>
      <c r="L83" s="80">
        <v>1</v>
      </c>
      <c r="N83" s="80">
        <v>1</v>
      </c>
      <c r="O83" s="80">
        <v>0.75</v>
      </c>
      <c r="P83" s="80">
        <v>0.8</v>
      </c>
      <c r="Q83" s="181">
        <f t="shared" si="6"/>
        <v>0.77500000000000002</v>
      </c>
      <c r="R83" s="80">
        <v>19.7</v>
      </c>
      <c r="S83" s="80">
        <v>122</v>
      </c>
      <c r="T83" s="16">
        <f t="shared" si="4"/>
        <v>27</v>
      </c>
      <c r="U83" s="80">
        <v>128</v>
      </c>
      <c r="V83" s="16">
        <f t="shared" si="5"/>
        <v>3456</v>
      </c>
      <c r="W83" s="80">
        <v>1</v>
      </c>
      <c r="X83" s="80" t="s">
        <v>28</v>
      </c>
      <c r="Y83" s="80" t="s">
        <v>82</v>
      </c>
      <c r="Z83" s="80" t="s">
        <v>74</v>
      </c>
      <c r="AA83" s="80" t="s">
        <v>64</v>
      </c>
      <c r="AB83" s="34" t="s">
        <v>194</v>
      </c>
    </row>
    <row r="84" spans="1:28" x14ac:dyDescent="0.15">
      <c r="A84" s="80" t="s">
        <v>24</v>
      </c>
      <c r="B84" s="80" t="s">
        <v>190</v>
      </c>
      <c r="C84" s="80">
        <v>2020</v>
      </c>
      <c r="D84" s="180" t="s">
        <v>363</v>
      </c>
      <c r="E84" s="80" t="s">
        <v>375</v>
      </c>
      <c r="F84" s="80" t="s">
        <v>369</v>
      </c>
      <c r="G84" s="80" t="s">
        <v>25</v>
      </c>
      <c r="H84" s="80" t="s">
        <v>167</v>
      </c>
      <c r="I84" s="80" t="s">
        <v>111</v>
      </c>
      <c r="J84" s="80" t="s">
        <v>27</v>
      </c>
      <c r="K84" s="80" t="s">
        <v>112</v>
      </c>
      <c r="L84" s="80">
        <v>2</v>
      </c>
      <c r="N84" s="80">
        <v>1</v>
      </c>
      <c r="O84" s="80">
        <v>1.25</v>
      </c>
      <c r="P84" s="80">
        <v>1.3</v>
      </c>
      <c r="Q84" s="181">
        <f t="shared" si="6"/>
        <v>1.2749999999999999</v>
      </c>
      <c r="R84" s="80">
        <v>12.4</v>
      </c>
      <c r="S84" s="80">
        <v>122</v>
      </c>
      <c r="T84" s="16">
        <f t="shared" si="4"/>
        <v>27</v>
      </c>
      <c r="U84" s="80">
        <v>128</v>
      </c>
      <c r="V84" s="16">
        <f t="shared" si="5"/>
        <v>3456</v>
      </c>
      <c r="W84" s="80">
        <v>1</v>
      </c>
      <c r="X84" s="80" t="s">
        <v>28</v>
      </c>
      <c r="Y84" s="80" t="s">
        <v>82</v>
      </c>
      <c r="Z84" s="80" t="s">
        <v>74</v>
      </c>
      <c r="AA84" s="80" t="s">
        <v>64</v>
      </c>
      <c r="AB84" s="34" t="s">
        <v>194</v>
      </c>
    </row>
    <row r="85" spans="1:28" x14ac:dyDescent="0.15">
      <c r="A85" s="80" t="s">
        <v>24</v>
      </c>
      <c r="B85" s="80" t="s">
        <v>190</v>
      </c>
      <c r="C85" s="80">
        <v>2020</v>
      </c>
      <c r="D85" s="180" t="s">
        <v>363</v>
      </c>
      <c r="E85" s="80" t="s">
        <v>375</v>
      </c>
      <c r="F85" s="80" t="s">
        <v>369</v>
      </c>
      <c r="G85" s="80" t="s">
        <v>25</v>
      </c>
      <c r="H85" s="80" t="s">
        <v>167</v>
      </c>
      <c r="I85" s="80" t="s">
        <v>111</v>
      </c>
      <c r="J85" s="80" t="s">
        <v>27</v>
      </c>
      <c r="K85" s="80" t="s">
        <v>112</v>
      </c>
      <c r="L85" s="80">
        <v>3</v>
      </c>
      <c r="N85" s="80">
        <v>1</v>
      </c>
      <c r="O85" s="80">
        <v>1.1000000000000001</v>
      </c>
      <c r="P85" s="80">
        <v>1.2</v>
      </c>
      <c r="Q85" s="181">
        <f t="shared" si="6"/>
        <v>1.1499999999999999</v>
      </c>
      <c r="R85" s="80">
        <v>16.899999999999999</v>
      </c>
      <c r="S85" s="80">
        <v>118</v>
      </c>
      <c r="T85" s="16">
        <f t="shared" si="4"/>
        <v>30</v>
      </c>
      <c r="U85" s="80">
        <v>128</v>
      </c>
      <c r="V85" s="16">
        <f t="shared" si="5"/>
        <v>3840</v>
      </c>
      <c r="W85" s="80">
        <v>1</v>
      </c>
      <c r="X85" s="80" t="s">
        <v>28</v>
      </c>
      <c r="Y85" s="80" t="s">
        <v>82</v>
      </c>
      <c r="Z85" s="80" t="s">
        <v>74</v>
      </c>
      <c r="AA85" s="80" t="s">
        <v>64</v>
      </c>
      <c r="AB85" s="34" t="s">
        <v>194</v>
      </c>
    </row>
    <row r="86" spans="1:28" x14ac:dyDescent="0.15">
      <c r="A86" s="80" t="s">
        <v>24</v>
      </c>
      <c r="B86" s="34" t="s">
        <v>190</v>
      </c>
      <c r="C86" s="80">
        <v>2020</v>
      </c>
      <c r="D86" s="180" t="s">
        <v>363</v>
      </c>
      <c r="E86" s="80" t="s">
        <v>375</v>
      </c>
      <c r="F86" s="80" t="s">
        <v>369</v>
      </c>
      <c r="G86" s="80" t="s">
        <v>25</v>
      </c>
      <c r="H86" s="80" t="s">
        <v>167</v>
      </c>
      <c r="I86" s="80" t="s">
        <v>111</v>
      </c>
      <c r="J86" s="80" t="s">
        <v>27</v>
      </c>
      <c r="K86" s="80" t="s">
        <v>112</v>
      </c>
      <c r="L86" s="80">
        <v>1</v>
      </c>
      <c r="N86" s="80">
        <v>8</v>
      </c>
      <c r="O86" s="80">
        <v>1.1000000000000001</v>
      </c>
      <c r="P86" s="80">
        <v>0.9</v>
      </c>
      <c r="Q86" s="181">
        <f t="shared" si="6"/>
        <v>1</v>
      </c>
      <c r="R86" s="80">
        <v>12.6</v>
      </c>
      <c r="S86" s="80">
        <v>92</v>
      </c>
      <c r="T86" s="16">
        <f t="shared" si="4"/>
        <v>36</v>
      </c>
      <c r="U86" s="80">
        <v>780</v>
      </c>
      <c r="V86" s="16">
        <f t="shared" si="5"/>
        <v>3510</v>
      </c>
      <c r="W86" s="80">
        <v>1</v>
      </c>
      <c r="X86" s="80" t="s">
        <v>28</v>
      </c>
      <c r="Y86" s="80" t="s">
        <v>82</v>
      </c>
      <c r="Z86" s="80" t="s">
        <v>74</v>
      </c>
      <c r="AA86" s="80" t="s">
        <v>64</v>
      </c>
      <c r="AB86" s="34" t="s">
        <v>194</v>
      </c>
    </row>
    <row r="87" spans="1:28" x14ac:dyDescent="0.15">
      <c r="A87" s="80" t="s">
        <v>24</v>
      </c>
      <c r="B87" s="34" t="s">
        <v>190</v>
      </c>
      <c r="C87" s="80">
        <v>2020</v>
      </c>
      <c r="D87" s="180" t="s">
        <v>363</v>
      </c>
      <c r="E87" s="80" t="s">
        <v>375</v>
      </c>
      <c r="F87" s="80" t="s">
        <v>369</v>
      </c>
      <c r="G87" s="80" t="s">
        <v>25</v>
      </c>
      <c r="H87" s="80" t="s">
        <v>167</v>
      </c>
      <c r="I87" s="80" t="s">
        <v>111</v>
      </c>
      <c r="J87" s="80" t="s">
        <v>27</v>
      </c>
      <c r="K87" s="80" t="s">
        <v>112</v>
      </c>
      <c r="L87" s="80">
        <v>2</v>
      </c>
      <c r="N87" s="80">
        <v>8</v>
      </c>
      <c r="O87" s="80">
        <v>0.8</v>
      </c>
      <c r="P87" s="80">
        <v>1</v>
      </c>
      <c r="Q87" s="181">
        <f t="shared" si="6"/>
        <v>0.9</v>
      </c>
      <c r="R87" s="80">
        <v>12.6</v>
      </c>
      <c r="S87" s="80">
        <v>84</v>
      </c>
      <c r="T87" s="16">
        <f t="shared" si="4"/>
        <v>36</v>
      </c>
      <c r="U87" s="80">
        <v>780</v>
      </c>
      <c r="V87" s="16">
        <f t="shared" si="5"/>
        <v>3510</v>
      </c>
      <c r="W87" s="80">
        <v>1</v>
      </c>
      <c r="X87" s="80" t="s">
        <v>28</v>
      </c>
      <c r="Y87" s="80" t="s">
        <v>82</v>
      </c>
      <c r="Z87" s="80" t="s">
        <v>74</v>
      </c>
      <c r="AA87" s="80" t="s">
        <v>64</v>
      </c>
      <c r="AB87" s="34" t="s">
        <v>194</v>
      </c>
    </row>
    <row r="88" spans="1:28" x14ac:dyDescent="0.15">
      <c r="A88" s="80" t="s">
        <v>24</v>
      </c>
      <c r="B88" s="34" t="s">
        <v>190</v>
      </c>
      <c r="C88" s="80">
        <v>2020</v>
      </c>
      <c r="D88" s="180" t="s">
        <v>363</v>
      </c>
      <c r="E88" s="80" t="s">
        <v>375</v>
      </c>
      <c r="F88" s="80" t="s">
        <v>369</v>
      </c>
      <c r="G88" s="80" t="s">
        <v>25</v>
      </c>
      <c r="H88" s="80" t="s">
        <v>167</v>
      </c>
      <c r="I88" s="80" t="s">
        <v>111</v>
      </c>
      <c r="J88" s="80" t="s">
        <v>27</v>
      </c>
      <c r="K88" s="80" t="s">
        <v>112</v>
      </c>
      <c r="L88" s="80">
        <v>3</v>
      </c>
      <c r="N88" s="80">
        <v>8</v>
      </c>
      <c r="O88" s="80">
        <v>1</v>
      </c>
      <c r="P88" s="80">
        <v>0.8</v>
      </c>
      <c r="Q88" s="181">
        <f t="shared" si="6"/>
        <v>0.9</v>
      </c>
      <c r="R88" s="80">
        <v>12.7</v>
      </c>
      <c r="S88" s="80">
        <v>85</v>
      </c>
      <c r="T88" s="16">
        <f t="shared" si="4"/>
        <v>36</v>
      </c>
      <c r="U88" s="80">
        <v>780</v>
      </c>
      <c r="V88" s="16">
        <f t="shared" si="5"/>
        <v>3510</v>
      </c>
      <c r="W88" s="80">
        <v>1</v>
      </c>
      <c r="X88" s="80" t="s">
        <v>28</v>
      </c>
      <c r="Y88" s="80" t="s">
        <v>82</v>
      </c>
      <c r="Z88" s="80" t="s">
        <v>74</v>
      </c>
      <c r="AA88" s="80" t="s">
        <v>64</v>
      </c>
      <c r="AB88" s="34" t="s">
        <v>194</v>
      </c>
    </row>
    <row r="89" spans="1:28" x14ac:dyDescent="0.15">
      <c r="A89" s="80" t="s">
        <v>24</v>
      </c>
      <c r="B89" s="34" t="s">
        <v>190</v>
      </c>
      <c r="C89" s="80">
        <v>2020</v>
      </c>
      <c r="D89" s="180" t="s">
        <v>363</v>
      </c>
      <c r="E89" s="80" t="s">
        <v>376</v>
      </c>
      <c r="F89" s="80" t="s">
        <v>374</v>
      </c>
      <c r="G89" s="80" t="s">
        <v>25</v>
      </c>
      <c r="H89" s="80" t="s">
        <v>113</v>
      </c>
      <c r="I89" s="80" t="s">
        <v>111</v>
      </c>
      <c r="J89" s="80" t="s">
        <v>27</v>
      </c>
      <c r="K89" s="80" t="s">
        <v>112</v>
      </c>
      <c r="L89" s="80">
        <v>1</v>
      </c>
      <c r="N89" s="80">
        <v>1</v>
      </c>
      <c r="O89" s="80">
        <v>1</v>
      </c>
      <c r="P89" s="80">
        <v>1</v>
      </c>
      <c r="Q89" s="181">
        <f t="shared" si="6"/>
        <v>1</v>
      </c>
      <c r="R89" s="80">
        <v>19</v>
      </c>
      <c r="S89" s="80">
        <v>84</v>
      </c>
      <c r="T89" s="16">
        <f t="shared" si="4"/>
        <v>36</v>
      </c>
      <c r="U89" s="80">
        <v>78</v>
      </c>
      <c r="V89" s="16">
        <f t="shared" si="5"/>
        <v>2808</v>
      </c>
      <c r="W89" s="80">
        <v>2</v>
      </c>
      <c r="X89" s="80" t="s">
        <v>35</v>
      </c>
      <c r="Y89" s="80" t="s">
        <v>74</v>
      </c>
      <c r="Z89" s="80" t="s">
        <v>86</v>
      </c>
      <c r="AA89" s="80" t="s">
        <v>64</v>
      </c>
      <c r="AB89" s="34" t="s">
        <v>194</v>
      </c>
    </row>
    <row r="90" spans="1:28" x14ac:dyDescent="0.15">
      <c r="A90" s="80" t="s">
        <v>24</v>
      </c>
      <c r="B90" s="34" t="s">
        <v>190</v>
      </c>
      <c r="C90" s="80">
        <v>2020</v>
      </c>
      <c r="D90" s="180" t="s">
        <v>363</v>
      </c>
      <c r="E90" s="80" t="s">
        <v>376</v>
      </c>
      <c r="F90" s="80" t="s">
        <v>374</v>
      </c>
      <c r="G90" s="80" t="s">
        <v>25</v>
      </c>
      <c r="H90" s="80" t="s">
        <v>113</v>
      </c>
      <c r="I90" s="80" t="s">
        <v>111</v>
      </c>
      <c r="J90" s="80" t="s">
        <v>27</v>
      </c>
      <c r="K90" s="80" t="s">
        <v>112</v>
      </c>
      <c r="L90" s="80">
        <v>2</v>
      </c>
      <c r="N90" s="80">
        <v>1</v>
      </c>
      <c r="O90" s="80">
        <v>1</v>
      </c>
      <c r="P90" s="80">
        <v>1</v>
      </c>
      <c r="Q90" s="181">
        <f t="shared" si="6"/>
        <v>1</v>
      </c>
      <c r="R90" s="80">
        <v>19</v>
      </c>
      <c r="S90" s="80">
        <v>91</v>
      </c>
      <c r="T90" s="16">
        <f t="shared" si="4"/>
        <v>36</v>
      </c>
      <c r="U90" s="80">
        <v>78</v>
      </c>
      <c r="V90" s="16">
        <f t="shared" si="5"/>
        <v>2808</v>
      </c>
      <c r="W90" s="80">
        <v>2</v>
      </c>
      <c r="X90" s="80" t="s">
        <v>35</v>
      </c>
      <c r="Y90" s="80" t="s">
        <v>74</v>
      </c>
      <c r="Z90" s="80" t="s">
        <v>86</v>
      </c>
      <c r="AA90" s="80" t="s">
        <v>64</v>
      </c>
      <c r="AB90" s="34" t="s">
        <v>194</v>
      </c>
    </row>
    <row r="91" spans="1:28" x14ac:dyDescent="0.15">
      <c r="A91" s="80" t="s">
        <v>24</v>
      </c>
      <c r="B91" s="34" t="s">
        <v>190</v>
      </c>
      <c r="C91" s="80">
        <v>2020</v>
      </c>
      <c r="D91" s="180" t="s">
        <v>363</v>
      </c>
      <c r="E91" s="80" t="s">
        <v>376</v>
      </c>
      <c r="F91" s="80" t="s">
        <v>374</v>
      </c>
      <c r="G91" s="80" t="s">
        <v>25</v>
      </c>
      <c r="H91" s="80" t="s">
        <v>113</v>
      </c>
      <c r="I91" s="80" t="s">
        <v>111</v>
      </c>
      <c r="J91" s="80" t="s">
        <v>27</v>
      </c>
      <c r="K91" s="80" t="s">
        <v>112</v>
      </c>
      <c r="L91" s="80">
        <v>3</v>
      </c>
      <c r="N91" s="80">
        <v>1</v>
      </c>
      <c r="O91" s="80">
        <v>0.75</v>
      </c>
      <c r="P91" s="80">
        <v>0.9</v>
      </c>
      <c r="Q91" s="181">
        <f t="shared" si="6"/>
        <v>0.82499999999999996</v>
      </c>
      <c r="R91" s="80">
        <v>16.3</v>
      </c>
      <c r="S91" s="80">
        <v>92</v>
      </c>
      <c r="T91" s="16">
        <f t="shared" si="4"/>
        <v>36</v>
      </c>
      <c r="U91" s="80">
        <v>78</v>
      </c>
      <c r="V91" s="16">
        <f t="shared" si="5"/>
        <v>2808</v>
      </c>
      <c r="W91" s="80">
        <v>2</v>
      </c>
      <c r="X91" s="80" t="s">
        <v>35</v>
      </c>
      <c r="Y91" s="80" t="s">
        <v>74</v>
      </c>
      <c r="Z91" s="80" t="s">
        <v>86</v>
      </c>
      <c r="AA91" s="80" t="s">
        <v>64</v>
      </c>
      <c r="AB91" s="34" t="s">
        <v>194</v>
      </c>
    </row>
    <row r="92" spans="1:28" x14ac:dyDescent="0.15">
      <c r="A92" s="80" t="s">
        <v>24</v>
      </c>
      <c r="B92" s="80" t="s">
        <v>190</v>
      </c>
      <c r="C92" s="80">
        <v>2020</v>
      </c>
      <c r="D92" s="80" t="s">
        <v>363</v>
      </c>
      <c r="E92" s="80" t="s">
        <v>376</v>
      </c>
      <c r="F92" s="80" t="s">
        <v>374</v>
      </c>
      <c r="G92" s="80" t="s">
        <v>25</v>
      </c>
      <c r="H92" s="80" t="s">
        <v>113</v>
      </c>
      <c r="I92" s="80" t="s">
        <v>111</v>
      </c>
      <c r="J92" s="80" t="s">
        <v>27</v>
      </c>
      <c r="K92" s="80" t="s">
        <v>112</v>
      </c>
      <c r="L92" s="80">
        <v>1</v>
      </c>
      <c r="N92" s="80">
        <v>5</v>
      </c>
      <c r="O92" s="80">
        <v>1.5</v>
      </c>
      <c r="P92" s="80">
        <v>1.75</v>
      </c>
      <c r="Q92" s="181">
        <f t="shared" si="6"/>
        <v>1.625</v>
      </c>
      <c r="R92" s="80">
        <v>12.9</v>
      </c>
      <c r="S92" s="80">
        <v>86</v>
      </c>
      <c r="T92" s="16">
        <f t="shared" si="4"/>
        <v>36</v>
      </c>
      <c r="U92" s="80">
        <v>398</v>
      </c>
      <c r="V92" s="16">
        <f t="shared" si="5"/>
        <v>2865.6</v>
      </c>
      <c r="W92" s="80">
        <v>2</v>
      </c>
      <c r="X92" s="80" t="s">
        <v>35</v>
      </c>
      <c r="Y92" s="80" t="s">
        <v>74</v>
      </c>
      <c r="Z92" s="80" t="s">
        <v>86</v>
      </c>
      <c r="AA92" s="80" t="s">
        <v>64</v>
      </c>
      <c r="AB92" s="80" t="s">
        <v>194</v>
      </c>
    </row>
    <row r="93" spans="1:28" x14ac:dyDescent="0.15">
      <c r="A93" s="80" t="s">
        <v>24</v>
      </c>
      <c r="B93" s="80" t="s">
        <v>190</v>
      </c>
      <c r="C93" s="80">
        <v>2020</v>
      </c>
      <c r="D93" s="80" t="s">
        <v>363</v>
      </c>
      <c r="E93" s="80" t="s">
        <v>376</v>
      </c>
      <c r="F93" s="80" t="s">
        <v>374</v>
      </c>
      <c r="G93" s="80" t="s">
        <v>25</v>
      </c>
      <c r="H93" s="80" t="s">
        <v>113</v>
      </c>
      <c r="I93" s="80" t="s">
        <v>111</v>
      </c>
      <c r="J93" s="80" t="s">
        <v>27</v>
      </c>
      <c r="K93" s="80" t="s">
        <v>112</v>
      </c>
      <c r="L93" s="80">
        <v>2</v>
      </c>
      <c r="N93" s="80">
        <v>5</v>
      </c>
      <c r="O93" s="80">
        <v>1</v>
      </c>
      <c r="P93" s="80">
        <v>1</v>
      </c>
      <c r="Q93" s="181">
        <f t="shared" si="6"/>
        <v>1</v>
      </c>
      <c r="R93" s="80">
        <v>11.9</v>
      </c>
      <c r="S93" s="80">
        <v>85</v>
      </c>
      <c r="T93" s="16">
        <f t="shared" si="4"/>
        <v>36</v>
      </c>
      <c r="U93" s="80">
        <v>398</v>
      </c>
      <c r="V93" s="16">
        <f t="shared" si="5"/>
        <v>2865.6</v>
      </c>
      <c r="W93" s="80">
        <v>2</v>
      </c>
      <c r="X93" s="80" t="s">
        <v>35</v>
      </c>
      <c r="Y93" s="80" t="s">
        <v>74</v>
      </c>
      <c r="Z93" s="80" t="s">
        <v>86</v>
      </c>
      <c r="AA93" s="80" t="s">
        <v>64</v>
      </c>
      <c r="AB93" s="80" t="s">
        <v>194</v>
      </c>
    </row>
    <row r="94" spans="1:28" x14ac:dyDescent="0.15">
      <c r="A94" s="80" t="s">
        <v>24</v>
      </c>
      <c r="B94" s="80" t="s">
        <v>190</v>
      </c>
      <c r="C94" s="80">
        <v>2020</v>
      </c>
      <c r="D94" s="80" t="s">
        <v>363</v>
      </c>
      <c r="E94" s="80" t="s">
        <v>376</v>
      </c>
      <c r="F94" s="80" t="s">
        <v>374</v>
      </c>
      <c r="G94" s="80" t="s">
        <v>25</v>
      </c>
      <c r="H94" s="80" t="s">
        <v>113</v>
      </c>
      <c r="I94" s="80" t="s">
        <v>111</v>
      </c>
      <c r="J94" s="80" t="s">
        <v>27</v>
      </c>
      <c r="K94" s="80" t="s">
        <v>112</v>
      </c>
      <c r="L94" s="80">
        <v>3</v>
      </c>
      <c r="N94" s="80">
        <v>5</v>
      </c>
      <c r="O94" s="80">
        <v>1.75</v>
      </c>
      <c r="P94" s="80">
        <v>1.75</v>
      </c>
      <c r="Q94" s="181">
        <f t="shared" si="6"/>
        <v>1.75</v>
      </c>
      <c r="R94" s="80">
        <v>11.7</v>
      </c>
      <c r="S94" s="80">
        <v>89</v>
      </c>
      <c r="T94" s="16">
        <f t="shared" si="4"/>
        <v>36</v>
      </c>
      <c r="U94" s="80">
        <v>398</v>
      </c>
      <c r="V94" s="16">
        <f t="shared" si="5"/>
        <v>2865.6</v>
      </c>
      <c r="W94" s="80">
        <v>2</v>
      </c>
      <c r="X94" s="80" t="s">
        <v>35</v>
      </c>
      <c r="Y94" s="80" t="s">
        <v>74</v>
      </c>
      <c r="Z94" s="80" t="s">
        <v>86</v>
      </c>
      <c r="AA94" s="80" t="s">
        <v>64</v>
      </c>
      <c r="AB94" s="80" t="s">
        <v>194</v>
      </c>
    </row>
    <row r="95" spans="1:28" x14ac:dyDescent="0.15">
      <c r="A95" s="80" t="s">
        <v>24</v>
      </c>
      <c r="B95" s="80" t="s">
        <v>190</v>
      </c>
      <c r="C95" s="80">
        <v>2020</v>
      </c>
      <c r="D95" s="80" t="s">
        <v>363</v>
      </c>
      <c r="E95" s="80" t="s">
        <v>376</v>
      </c>
      <c r="F95" s="80" t="s">
        <v>374</v>
      </c>
      <c r="G95" s="80" t="s">
        <v>25</v>
      </c>
      <c r="H95" s="80" t="s">
        <v>167</v>
      </c>
      <c r="I95" s="80" t="s">
        <v>111</v>
      </c>
      <c r="J95" s="80" t="s">
        <v>27</v>
      </c>
      <c r="K95" s="80" t="s">
        <v>112</v>
      </c>
      <c r="L95" s="80">
        <v>1</v>
      </c>
      <c r="N95" s="80">
        <v>1</v>
      </c>
      <c r="O95" s="80">
        <v>1.25</v>
      </c>
      <c r="P95" s="80">
        <v>1.25</v>
      </c>
      <c r="Q95" s="181">
        <f t="shared" si="6"/>
        <v>1.25</v>
      </c>
      <c r="R95" s="80">
        <v>10.9</v>
      </c>
      <c r="S95" s="80">
        <v>114</v>
      </c>
      <c r="T95" s="16">
        <f t="shared" si="4"/>
        <v>30</v>
      </c>
      <c r="U95" s="80">
        <v>128</v>
      </c>
      <c r="V95" s="16">
        <f t="shared" si="5"/>
        <v>3840</v>
      </c>
      <c r="W95" s="80">
        <v>2</v>
      </c>
      <c r="X95" s="80" t="s">
        <v>35</v>
      </c>
      <c r="Y95" s="80" t="s">
        <v>74</v>
      </c>
      <c r="Z95" s="80" t="s">
        <v>86</v>
      </c>
      <c r="AA95" s="80" t="s">
        <v>64</v>
      </c>
      <c r="AB95" s="80" t="s">
        <v>194</v>
      </c>
    </row>
    <row r="96" spans="1:28" x14ac:dyDescent="0.15">
      <c r="A96" s="80" t="s">
        <v>24</v>
      </c>
      <c r="B96" s="80" t="s">
        <v>190</v>
      </c>
      <c r="C96" s="80">
        <v>2020</v>
      </c>
      <c r="D96" s="80" t="s">
        <v>363</v>
      </c>
      <c r="E96" s="80" t="s">
        <v>376</v>
      </c>
      <c r="F96" s="80" t="s">
        <v>374</v>
      </c>
      <c r="G96" s="80" t="s">
        <v>25</v>
      </c>
      <c r="H96" s="80" t="s">
        <v>167</v>
      </c>
      <c r="I96" s="80" t="s">
        <v>111</v>
      </c>
      <c r="J96" s="80" t="s">
        <v>27</v>
      </c>
      <c r="K96" s="80" t="s">
        <v>112</v>
      </c>
      <c r="L96" s="80">
        <v>2</v>
      </c>
      <c r="N96" s="80">
        <v>1</v>
      </c>
      <c r="O96" s="80">
        <v>1.25</v>
      </c>
      <c r="P96" s="80">
        <v>1.2</v>
      </c>
      <c r="Q96" s="181">
        <f t="shared" si="6"/>
        <v>1.2250000000000001</v>
      </c>
      <c r="R96" s="80">
        <v>17.8</v>
      </c>
      <c r="S96" s="80">
        <v>112</v>
      </c>
      <c r="T96" s="16">
        <f t="shared" si="4"/>
        <v>33</v>
      </c>
      <c r="U96" s="80">
        <v>128</v>
      </c>
      <c r="V96" s="16">
        <f t="shared" si="5"/>
        <v>4224</v>
      </c>
      <c r="W96" s="80">
        <v>2</v>
      </c>
      <c r="X96" s="80" t="s">
        <v>35</v>
      </c>
      <c r="Y96" s="80" t="s">
        <v>74</v>
      </c>
      <c r="Z96" s="80" t="s">
        <v>86</v>
      </c>
      <c r="AA96" s="80" t="s">
        <v>64</v>
      </c>
      <c r="AB96" s="80" t="s">
        <v>194</v>
      </c>
    </row>
    <row r="97" spans="1:28" x14ac:dyDescent="0.15">
      <c r="A97" s="80" t="s">
        <v>24</v>
      </c>
      <c r="B97" s="80" t="s">
        <v>190</v>
      </c>
      <c r="C97" s="80">
        <v>2020</v>
      </c>
      <c r="D97" s="80" t="s">
        <v>363</v>
      </c>
      <c r="E97" s="80" t="s">
        <v>376</v>
      </c>
      <c r="F97" s="80" t="s">
        <v>374</v>
      </c>
      <c r="G97" s="80" t="s">
        <v>25</v>
      </c>
      <c r="H97" s="80" t="s">
        <v>167</v>
      </c>
      <c r="I97" s="80" t="s">
        <v>111</v>
      </c>
      <c r="J97" s="80" t="s">
        <v>27</v>
      </c>
      <c r="K97" s="80" t="s">
        <v>112</v>
      </c>
      <c r="L97" s="80">
        <v>3</v>
      </c>
      <c r="N97" s="80">
        <v>1</v>
      </c>
      <c r="O97" s="80">
        <v>1</v>
      </c>
      <c r="P97" s="80">
        <v>0.8</v>
      </c>
      <c r="Q97" s="181">
        <f t="shared" si="6"/>
        <v>0.9</v>
      </c>
      <c r="R97" s="80">
        <v>18.3</v>
      </c>
      <c r="S97" s="80">
        <v>113</v>
      </c>
      <c r="T97" s="16">
        <f t="shared" si="4"/>
        <v>30</v>
      </c>
      <c r="U97" s="80">
        <v>128</v>
      </c>
      <c r="V97" s="16">
        <f t="shared" si="5"/>
        <v>3840</v>
      </c>
      <c r="W97" s="80">
        <v>2</v>
      </c>
      <c r="X97" s="80" t="s">
        <v>35</v>
      </c>
      <c r="Y97" s="80" t="s">
        <v>74</v>
      </c>
      <c r="Z97" s="80" t="s">
        <v>86</v>
      </c>
      <c r="AA97" s="80" t="s">
        <v>64</v>
      </c>
      <c r="AB97" s="80" t="s">
        <v>194</v>
      </c>
    </row>
    <row r="98" spans="1:28" x14ac:dyDescent="0.15">
      <c r="A98" s="80" t="s">
        <v>24</v>
      </c>
      <c r="B98" s="80" t="s">
        <v>190</v>
      </c>
      <c r="C98" s="80">
        <v>2020</v>
      </c>
      <c r="D98" s="80" t="s">
        <v>363</v>
      </c>
      <c r="E98" s="80" t="s">
        <v>376</v>
      </c>
      <c r="F98" s="80" t="s">
        <v>374</v>
      </c>
      <c r="G98" s="80" t="s">
        <v>25</v>
      </c>
      <c r="H98" s="80" t="s">
        <v>167</v>
      </c>
      <c r="I98" s="80" t="s">
        <v>111</v>
      </c>
      <c r="J98" s="80" t="s">
        <v>27</v>
      </c>
      <c r="K98" s="80" t="s">
        <v>112</v>
      </c>
      <c r="L98" s="80">
        <v>1</v>
      </c>
      <c r="N98" s="80">
        <v>4</v>
      </c>
      <c r="O98" s="80">
        <v>0.75</v>
      </c>
      <c r="P98" s="80">
        <v>0.8</v>
      </c>
      <c r="Q98" s="181">
        <f t="shared" si="6"/>
        <v>0.77500000000000002</v>
      </c>
      <c r="R98" s="80">
        <v>18.7</v>
      </c>
      <c r="S98" s="80">
        <v>95</v>
      </c>
      <c r="T98" s="16">
        <f t="shared" si="4"/>
        <v>36</v>
      </c>
      <c r="U98" s="80">
        <v>498</v>
      </c>
      <c r="V98" s="16">
        <f t="shared" si="5"/>
        <v>4482</v>
      </c>
      <c r="W98" s="80">
        <v>1</v>
      </c>
      <c r="X98" s="80" t="s">
        <v>35</v>
      </c>
      <c r="Y98" s="80" t="s">
        <v>74</v>
      </c>
      <c r="Z98" s="80" t="s">
        <v>86</v>
      </c>
      <c r="AA98" s="80" t="s">
        <v>64</v>
      </c>
      <c r="AB98" s="80" t="s">
        <v>194</v>
      </c>
    </row>
    <row r="99" spans="1:28" x14ac:dyDescent="0.15">
      <c r="A99" s="80" t="s">
        <v>24</v>
      </c>
      <c r="B99" s="80" t="s">
        <v>190</v>
      </c>
      <c r="C99" s="80">
        <v>2020</v>
      </c>
      <c r="D99" s="80" t="s">
        <v>363</v>
      </c>
      <c r="E99" s="80" t="s">
        <v>376</v>
      </c>
      <c r="F99" s="80" t="s">
        <v>374</v>
      </c>
      <c r="G99" s="80" t="s">
        <v>25</v>
      </c>
      <c r="H99" s="80" t="s">
        <v>167</v>
      </c>
      <c r="I99" s="80" t="s">
        <v>111</v>
      </c>
      <c r="J99" s="80" t="s">
        <v>27</v>
      </c>
      <c r="K99" s="80" t="s">
        <v>112</v>
      </c>
      <c r="L99" s="80">
        <v>2</v>
      </c>
      <c r="N99" s="80">
        <v>4</v>
      </c>
      <c r="O99" s="80">
        <v>1.1000000000000001</v>
      </c>
      <c r="P99" s="80">
        <v>1.1000000000000001</v>
      </c>
      <c r="Q99" s="181">
        <f t="shared" si="6"/>
        <v>1.1000000000000001</v>
      </c>
      <c r="R99" s="80">
        <v>13.3</v>
      </c>
      <c r="S99" s="80">
        <v>103</v>
      </c>
      <c r="T99" s="16">
        <f t="shared" si="4"/>
        <v>33</v>
      </c>
      <c r="U99" s="80">
        <v>498</v>
      </c>
      <c r="V99" s="16">
        <f t="shared" si="5"/>
        <v>4108.5</v>
      </c>
      <c r="W99" s="80">
        <v>1</v>
      </c>
      <c r="X99" s="80" t="s">
        <v>35</v>
      </c>
      <c r="Y99" s="80" t="s">
        <v>74</v>
      </c>
      <c r="Z99" s="80" t="s">
        <v>86</v>
      </c>
      <c r="AA99" s="80" t="s">
        <v>64</v>
      </c>
      <c r="AB99" s="80" t="s">
        <v>194</v>
      </c>
    </row>
    <row r="100" spans="1:28" x14ac:dyDescent="0.15">
      <c r="A100" s="80" t="s">
        <v>24</v>
      </c>
      <c r="B100" s="80" t="s">
        <v>190</v>
      </c>
      <c r="C100" s="80">
        <v>2020</v>
      </c>
      <c r="D100" s="80" t="s">
        <v>363</v>
      </c>
      <c r="E100" s="80" t="s">
        <v>376</v>
      </c>
      <c r="F100" s="80" t="s">
        <v>374</v>
      </c>
      <c r="G100" s="80" t="s">
        <v>25</v>
      </c>
      <c r="H100" s="80" t="s">
        <v>167</v>
      </c>
      <c r="I100" s="80" t="s">
        <v>111</v>
      </c>
      <c r="J100" s="80" t="s">
        <v>27</v>
      </c>
      <c r="K100" s="80" t="s">
        <v>112</v>
      </c>
      <c r="L100" s="80">
        <v>3</v>
      </c>
      <c r="N100" s="80">
        <v>4</v>
      </c>
      <c r="O100" s="80">
        <v>0.8</v>
      </c>
      <c r="P100" s="80">
        <v>0.75</v>
      </c>
      <c r="Q100" s="181">
        <f t="shared" si="6"/>
        <v>0.77500000000000002</v>
      </c>
      <c r="R100" s="80">
        <v>17</v>
      </c>
      <c r="S100" s="80">
        <v>95</v>
      </c>
      <c r="T100" s="16">
        <f t="shared" si="4"/>
        <v>36</v>
      </c>
      <c r="U100" s="80">
        <v>498</v>
      </c>
      <c r="V100" s="16">
        <f t="shared" si="5"/>
        <v>4482</v>
      </c>
      <c r="W100" s="80">
        <v>1</v>
      </c>
      <c r="X100" s="80" t="s">
        <v>35</v>
      </c>
      <c r="Y100" s="80" t="s">
        <v>74</v>
      </c>
      <c r="Z100" s="80" t="s">
        <v>86</v>
      </c>
      <c r="AA100" s="80" t="s">
        <v>64</v>
      </c>
      <c r="AB100" s="80" t="s">
        <v>194</v>
      </c>
    </row>
    <row r="101" spans="1:28" x14ac:dyDescent="0.15">
      <c r="A101" s="80" t="s">
        <v>24</v>
      </c>
      <c r="B101" s="80" t="s">
        <v>190</v>
      </c>
      <c r="C101" s="80">
        <v>2020</v>
      </c>
      <c r="D101" s="80" t="s">
        <v>363</v>
      </c>
      <c r="E101" s="80" t="s">
        <v>354</v>
      </c>
      <c r="F101" s="80" t="s">
        <v>364</v>
      </c>
      <c r="G101" s="80" t="s">
        <v>25</v>
      </c>
      <c r="H101" s="80" t="s">
        <v>113</v>
      </c>
      <c r="I101" s="80" t="s">
        <v>111</v>
      </c>
      <c r="J101" s="80" t="s">
        <v>27</v>
      </c>
      <c r="K101" s="80" t="s">
        <v>112</v>
      </c>
      <c r="L101" s="80">
        <v>1</v>
      </c>
      <c r="N101" s="80">
        <v>1</v>
      </c>
      <c r="O101" s="80">
        <v>0.8</v>
      </c>
      <c r="P101" s="80">
        <v>0.75</v>
      </c>
      <c r="Q101" s="181">
        <f t="shared" si="6"/>
        <v>0.77500000000000002</v>
      </c>
      <c r="R101" s="80">
        <v>13.3</v>
      </c>
      <c r="S101" s="80">
        <v>122</v>
      </c>
      <c r="T101" s="16">
        <f t="shared" si="4"/>
        <v>27</v>
      </c>
      <c r="U101" s="80">
        <v>93</v>
      </c>
      <c r="V101" s="16">
        <f t="shared" si="5"/>
        <v>2511</v>
      </c>
      <c r="W101" s="80">
        <v>5</v>
      </c>
      <c r="X101" s="80" t="s">
        <v>35</v>
      </c>
      <c r="Y101" s="80" t="s">
        <v>74</v>
      </c>
      <c r="Z101" s="80" t="s">
        <v>64</v>
      </c>
      <c r="AA101" s="80" t="s">
        <v>82</v>
      </c>
      <c r="AB101" s="80" t="s">
        <v>194</v>
      </c>
    </row>
    <row r="102" spans="1:28" x14ac:dyDescent="0.15">
      <c r="A102" s="80" t="s">
        <v>24</v>
      </c>
      <c r="B102" s="80" t="s">
        <v>190</v>
      </c>
      <c r="C102" s="80">
        <v>2020</v>
      </c>
      <c r="D102" s="80" t="s">
        <v>363</v>
      </c>
      <c r="E102" s="80" t="s">
        <v>354</v>
      </c>
      <c r="F102" s="80" t="s">
        <v>364</v>
      </c>
      <c r="G102" s="80" t="s">
        <v>25</v>
      </c>
      <c r="H102" s="80" t="s">
        <v>113</v>
      </c>
      <c r="I102" s="80" t="s">
        <v>111</v>
      </c>
      <c r="J102" s="80" t="s">
        <v>27</v>
      </c>
      <c r="K102" s="80" t="s">
        <v>112</v>
      </c>
      <c r="L102" s="80">
        <v>2</v>
      </c>
      <c r="N102" s="80">
        <v>1</v>
      </c>
      <c r="O102" s="80">
        <v>0.75</v>
      </c>
      <c r="P102" s="80">
        <v>0.75</v>
      </c>
      <c r="Q102" s="181">
        <f t="shared" si="6"/>
        <v>0.75</v>
      </c>
      <c r="R102" s="80">
        <v>11.3</v>
      </c>
      <c r="S102" s="80">
        <v>116</v>
      </c>
      <c r="T102" s="16">
        <f t="shared" si="4"/>
        <v>30</v>
      </c>
      <c r="U102" s="80">
        <v>93</v>
      </c>
      <c r="V102" s="16">
        <f t="shared" si="5"/>
        <v>2790</v>
      </c>
      <c r="W102" s="80">
        <v>5</v>
      </c>
      <c r="X102" s="80" t="s">
        <v>35</v>
      </c>
      <c r="Y102" s="80" t="s">
        <v>74</v>
      </c>
      <c r="Z102" s="80" t="s">
        <v>64</v>
      </c>
      <c r="AA102" s="80" t="s">
        <v>82</v>
      </c>
      <c r="AB102" s="80" t="s">
        <v>194</v>
      </c>
    </row>
    <row r="103" spans="1:28" x14ac:dyDescent="0.15">
      <c r="A103" s="80" t="s">
        <v>24</v>
      </c>
      <c r="B103" s="80" t="s">
        <v>190</v>
      </c>
      <c r="C103" s="80">
        <v>2020</v>
      </c>
      <c r="D103" s="80" t="s">
        <v>363</v>
      </c>
      <c r="E103" s="80" t="s">
        <v>354</v>
      </c>
      <c r="F103" s="80" t="s">
        <v>364</v>
      </c>
      <c r="G103" s="80" t="s">
        <v>25</v>
      </c>
      <c r="H103" s="80" t="s">
        <v>113</v>
      </c>
      <c r="I103" s="80" t="s">
        <v>111</v>
      </c>
      <c r="J103" s="80" t="s">
        <v>27</v>
      </c>
      <c r="K103" s="80" t="s">
        <v>112</v>
      </c>
      <c r="L103" s="80">
        <v>3</v>
      </c>
      <c r="N103" s="80">
        <v>1</v>
      </c>
      <c r="O103" s="80">
        <v>0.75</v>
      </c>
      <c r="P103" s="80">
        <v>0.7</v>
      </c>
      <c r="Q103" s="181">
        <f t="shared" si="6"/>
        <v>0.72499999999999998</v>
      </c>
      <c r="R103" s="80">
        <v>13.7</v>
      </c>
      <c r="S103" s="80">
        <v>122</v>
      </c>
      <c r="T103" s="16">
        <f t="shared" si="4"/>
        <v>27</v>
      </c>
      <c r="U103" s="80">
        <v>93</v>
      </c>
      <c r="V103" s="16">
        <f t="shared" si="5"/>
        <v>2511</v>
      </c>
      <c r="W103" s="80">
        <v>5</v>
      </c>
      <c r="X103" s="80" t="s">
        <v>35</v>
      </c>
      <c r="Y103" s="80" t="s">
        <v>74</v>
      </c>
      <c r="Z103" s="80" t="s">
        <v>64</v>
      </c>
      <c r="AA103" s="80" t="s">
        <v>82</v>
      </c>
      <c r="AB103" s="80" t="s">
        <v>194</v>
      </c>
    </row>
    <row r="104" spans="1:28" x14ac:dyDescent="0.15">
      <c r="A104" s="80" t="s">
        <v>24</v>
      </c>
      <c r="B104" s="80" t="s">
        <v>190</v>
      </c>
      <c r="C104" s="80">
        <v>2020</v>
      </c>
      <c r="D104" s="80" t="s">
        <v>363</v>
      </c>
      <c r="E104" s="80" t="s">
        <v>354</v>
      </c>
      <c r="F104" s="80" t="s">
        <v>364</v>
      </c>
      <c r="G104" s="80" t="s">
        <v>25</v>
      </c>
      <c r="H104" s="80" t="s">
        <v>113</v>
      </c>
      <c r="I104" s="80" t="s">
        <v>111</v>
      </c>
      <c r="J104" s="80" t="s">
        <v>27</v>
      </c>
      <c r="K104" s="80" t="s">
        <v>112</v>
      </c>
      <c r="L104" s="80">
        <v>1</v>
      </c>
      <c r="N104" s="80">
        <v>5</v>
      </c>
      <c r="O104" s="80">
        <v>0.5</v>
      </c>
      <c r="P104" s="80">
        <v>0.5</v>
      </c>
      <c r="Q104" s="181">
        <f t="shared" si="6"/>
        <v>0.5</v>
      </c>
      <c r="R104" s="80">
        <v>12.2</v>
      </c>
      <c r="S104" s="80">
        <v>82</v>
      </c>
      <c r="T104" s="16">
        <f t="shared" si="4"/>
        <v>39</v>
      </c>
      <c r="U104" s="80">
        <v>398</v>
      </c>
      <c r="V104" s="16">
        <f t="shared" si="5"/>
        <v>3104.3999999999996</v>
      </c>
      <c r="W104" s="80">
        <v>2</v>
      </c>
      <c r="X104" s="80" t="s">
        <v>35</v>
      </c>
      <c r="Y104" s="80" t="s">
        <v>74</v>
      </c>
      <c r="Z104" s="80" t="s">
        <v>64</v>
      </c>
      <c r="AA104" s="80" t="s">
        <v>82</v>
      </c>
      <c r="AB104" s="80" t="s">
        <v>194</v>
      </c>
    </row>
    <row r="105" spans="1:28" x14ac:dyDescent="0.15">
      <c r="A105" s="80" t="s">
        <v>24</v>
      </c>
      <c r="B105" s="80" t="s">
        <v>190</v>
      </c>
      <c r="C105" s="80">
        <v>2020</v>
      </c>
      <c r="D105" s="80" t="s">
        <v>363</v>
      </c>
      <c r="E105" s="80" t="s">
        <v>354</v>
      </c>
      <c r="F105" s="80" t="s">
        <v>364</v>
      </c>
      <c r="G105" s="80" t="s">
        <v>25</v>
      </c>
      <c r="H105" s="80" t="s">
        <v>113</v>
      </c>
      <c r="I105" s="80" t="s">
        <v>111</v>
      </c>
      <c r="J105" s="80" t="s">
        <v>27</v>
      </c>
      <c r="K105" s="80" t="s">
        <v>112</v>
      </c>
      <c r="L105" s="80">
        <v>2</v>
      </c>
      <c r="N105" s="80">
        <v>5</v>
      </c>
      <c r="O105" s="80">
        <v>0.75</v>
      </c>
      <c r="P105" s="80">
        <v>0.75</v>
      </c>
      <c r="Q105" s="181">
        <f t="shared" si="6"/>
        <v>0.75</v>
      </c>
      <c r="R105" s="80">
        <v>13</v>
      </c>
      <c r="S105" s="80">
        <v>86</v>
      </c>
      <c r="T105" s="16">
        <f t="shared" si="4"/>
        <v>36</v>
      </c>
      <c r="U105" s="80">
        <v>398</v>
      </c>
      <c r="V105" s="16">
        <f t="shared" si="5"/>
        <v>2865.6</v>
      </c>
      <c r="W105" s="80">
        <v>2</v>
      </c>
      <c r="X105" s="80" t="s">
        <v>35</v>
      </c>
      <c r="Y105" s="80" t="s">
        <v>74</v>
      </c>
      <c r="Z105" s="80" t="s">
        <v>64</v>
      </c>
      <c r="AA105" s="80" t="s">
        <v>82</v>
      </c>
      <c r="AB105" s="80" t="s">
        <v>194</v>
      </c>
    </row>
    <row r="106" spans="1:28" x14ac:dyDescent="0.15">
      <c r="A106" s="80" t="s">
        <v>24</v>
      </c>
      <c r="B106" s="80" t="s">
        <v>190</v>
      </c>
      <c r="C106" s="80">
        <v>2020</v>
      </c>
      <c r="D106" s="80" t="s">
        <v>363</v>
      </c>
      <c r="E106" s="80" t="s">
        <v>354</v>
      </c>
      <c r="F106" s="80" t="s">
        <v>364</v>
      </c>
      <c r="G106" s="80" t="s">
        <v>25</v>
      </c>
      <c r="H106" s="80" t="s">
        <v>113</v>
      </c>
      <c r="I106" s="80" t="s">
        <v>111</v>
      </c>
      <c r="J106" s="80" t="s">
        <v>27</v>
      </c>
      <c r="K106" s="80" t="s">
        <v>112</v>
      </c>
      <c r="L106" s="80">
        <v>3</v>
      </c>
      <c r="N106" s="80">
        <v>5</v>
      </c>
      <c r="O106" s="80">
        <v>0.5</v>
      </c>
      <c r="P106" s="80">
        <v>0.5</v>
      </c>
      <c r="Q106" s="181">
        <f t="shared" si="6"/>
        <v>0.5</v>
      </c>
      <c r="R106" s="80">
        <v>11.6</v>
      </c>
      <c r="S106" s="80">
        <v>86</v>
      </c>
      <c r="T106" s="16">
        <f t="shared" si="4"/>
        <v>36</v>
      </c>
      <c r="U106" s="80">
        <v>398</v>
      </c>
      <c r="V106" s="16">
        <f t="shared" si="5"/>
        <v>2865.6</v>
      </c>
      <c r="W106" s="80">
        <v>2</v>
      </c>
      <c r="X106" s="80" t="s">
        <v>35</v>
      </c>
      <c r="Y106" s="80" t="s">
        <v>74</v>
      </c>
      <c r="Z106" s="80" t="s">
        <v>64</v>
      </c>
      <c r="AA106" s="80" t="s">
        <v>82</v>
      </c>
      <c r="AB106" s="80" t="s">
        <v>194</v>
      </c>
    </row>
    <row r="107" spans="1:28" x14ac:dyDescent="0.15">
      <c r="A107" s="80" t="s">
        <v>24</v>
      </c>
      <c r="B107" s="80" t="s">
        <v>190</v>
      </c>
      <c r="C107" s="80">
        <v>2020</v>
      </c>
      <c r="D107" s="80" t="s">
        <v>363</v>
      </c>
      <c r="E107" s="80" t="s">
        <v>354</v>
      </c>
      <c r="F107" s="80" t="s">
        <v>364</v>
      </c>
      <c r="G107" s="80" t="s">
        <v>25</v>
      </c>
      <c r="H107" s="80" t="s">
        <v>167</v>
      </c>
      <c r="I107" s="80" t="s">
        <v>111</v>
      </c>
      <c r="J107" s="80" t="s">
        <v>27</v>
      </c>
      <c r="K107" s="80" t="s">
        <v>112</v>
      </c>
      <c r="L107" s="80">
        <v>1</v>
      </c>
      <c r="N107" s="80">
        <v>1</v>
      </c>
      <c r="O107" s="80">
        <v>1</v>
      </c>
      <c r="P107" s="80">
        <v>0.9</v>
      </c>
      <c r="Q107" s="181">
        <f t="shared" si="6"/>
        <v>0.95</v>
      </c>
      <c r="R107" s="80">
        <v>13.4</v>
      </c>
      <c r="S107" s="80">
        <v>120</v>
      </c>
      <c r="T107" s="16">
        <f t="shared" si="4"/>
        <v>30</v>
      </c>
      <c r="U107" s="80">
        <v>93</v>
      </c>
      <c r="V107" s="16">
        <f t="shared" si="5"/>
        <v>2790</v>
      </c>
      <c r="W107" s="80">
        <v>5</v>
      </c>
      <c r="X107" s="80" t="s">
        <v>35</v>
      </c>
      <c r="Y107" s="80" t="s">
        <v>74</v>
      </c>
      <c r="Z107" s="80" t="s">
        <v>64</v>
      </c>
      <c r="AA107" s="80" t="s">
        <v>82</v>
      </c>
      <c r="AB107" s="80" t="s">
        <v>194</v>
      </c>
    </row>
    <row r="108" spans="1:28" x14ac:dyDescent="0.15">
      <c r="A108" s="80" t="s">
        <v>24</v>
      </c>
      <c r="B108" s="80" t="s">
        <v>190</v>
      </c>
      <c r="C108" s="80">
        <v>2020</v>
      </c>
      <c r="D108" s="80" t="s">
        <v>363</v>
      </c>
      <c r="E108" s="80" t="s">
        <v>354</v>
      </c>
      <c r="F108" s="80" t="s">
        <v>364</v>
      </c>
      <c r="G108" s="80" t="s">
        <v>25</v>
      </c>
      <c r="H108" s="80" t="s">
        <v>167</v>
      </c>
      <c r="I108" s="80" t="s">
        <v>111</v>
      </c>
      <c r="J108" s="80" t="s">
        <v>27</v>
      </c>
      <c r="K108" s="80" t="s">
        <v>112</v>
      </c>
      <c r="L108" s="80">
        <v>2</v>
      </c>
      <c r="N108" s="80">
        <v>1</v>
      </c>
      <c r="O108" s="80">
        <v>1.25</v>
      </c>
      <c r="P108" s="80">
        <v>1.2</v>
      </c>
      <c r="Q108" s="181">
        <f t="shared" si="6"/>
        <v>1.2250000000000001</v>
      </c>
      <c r="R108" s="80">
        <v>12.4</v>
      </c>
      <c r="S108" s="80">
        <v>120</v>
      </c>
      <c r="T108" s="16">
        <f t="shared" si="4"/>
        <v>30</v>
      </c>
      <c r="U108" s="80">
        <v>93</v>
      </c>
      <c r="V108" s="16">
        <f t="shared" si="5"/>
        <v>2790</v>
      </c>
      <c r="W108" s="80">
        <v>5</v>
      </c>
      <c r="X108" s="80" t="s">
        <v>35</v>
      </c>
      <c r="Y108" s="80" t="s">
        <v>74</v>
      </c>
      <c r="Z108" s="80" t="s">
        <v>64</v>
      </c>
      <c r="AA108" s="80" t="s">
        <v>82</v>
      </c>
      <c r="AB108" s="80" t="s">
        <v>194</v>
      </c>
    </row>
    <row r="109" spans="1:28" x14ac:dyDescent="0.15">
      <c r="A109" s="80" t="s">
        <v>24</v>
      </c>
      <c r="B109" s="80" t="s">
        <v>190</v>
      </c>
      <c r="C109" s="80">
        <v>2020</v>
      </c>
      <c r="D109" s="80" t="s">
        <v>363</v>
      </c>
      <c r="E109" s="80" t="s">
        <v>354</v>
      </c>
      <c r="F109" s="80" t="s">
        <v>364</v>
      </c>
      <c r="G109" s="80" t="s">
        <v>25</v>
      </c>
      <c r="H109" s="80" t="s">
        <v>167</v>
      </c>
      <c r="I109" s="80" t="s">
        <v>111</v>
      </c>
      <c r="J109" s="80" t="s">
        <v>27</v>
      </c>
      <c r="K109" s="80" t="s">
        <v>112</v>
      </c>
      <c r="L109" s="80">
        <v>3</v>
      </c>
      <c r="N109" s="80">
        <v>1</v>
      </c>
      <c r="O109" s="80">
        <v>1</v>
      </c>
      <c r="P109" s="80">
        <v>1</v>
      </c>
      <c r="Q109" s="181">
        <f t="shared" si="6"/>
        <v>1</v>
      </c>
      <c r="R109" s="80">
        <v>12.8</v>
      </c>
      <c r="S109" s="80">
        <v>123</v>
      </c>
      <c r="T109" s="16">
        <f t="shared" si="4"/>
        <v>27</v>
      </c>
      <c r="U109" s="80">
        <v>93</v>
      </c>
      <c r="V109" s="16">
        <f t="shared" si="5"/>
        <v>2511</v>
      </c>
      <c r="W109" s="80">
        <v>5</v>
      </c>
      <c r="X109" s="80" t="s">
        <v>35</v>
      </c>
      <c r="Y109" s="80" t="s">
        <v>74</v>
      </c>
      <c r="Z109" s="80" t="s">
        <v>64</v>
      </c>
      <c r="AA109" s="80" t="s">
        <v>82</v>
      </c>
      <c r="AB109" s="80" t="s">
        <v>194</v>
      </c>
    </row>
    <row r="110" spans="1:28" x14ac:dyDescent="0.15">
      <c r="A110" s="80" t="s">
        <v>24</v>
      </c>
      <c r="B110" s="80" t="s">
        <v>190</v>
      </c>
      <c r="C110" s="80">
        <v>2020</v>
      </c>
      <c r="D110" s="80" t="s">
        <v>363</v>
      </c>
      <c r="E110" s="80" t="s">
        <v>354</v>
      </c>
      <c r="F110" s="80" t="s">
        <v>364</v>
      </c>
      <c r="G110" s="80" t="s">
        <v>25</v>
      </c>
      <c r="H110" s="80" t="s">
        <v>167</v>
      </c>
      <c r="I110" s="80" t="s">
        <v>111</v>
      </c>
      <c r="J110" s="80" t="s">
        <v>27</v>
      </c>
      <c r="K110" s="80" t="s">
        <v>112</v>
      </c>
      <c r="L110" s="80">
        <v>1</v>
      </c>
      <c r="N110" s="80">
        <v>4</v>
      </c>
      <c r="O110" s="80">
        <v>1.25</v>
      </c>
      <c r="P110" s="80">
        <v>1.25</v>
      </c>
      <c r="Q110" s="181">
        <f t="shared" si="6"/>
        <v>1.25</v>
      </c>
      <c r="R110" s="80">
        <v>17.899999999999999</v>
      </c>
      <c r="S110" s="80">
        <v>124</v>
      </c>
      <c r="T110" s="16">
        <f t="shared" si="4"/>
        <v>27</v>
      </c>
      <c r="U110" s="80">
        <v>398</v>
      </c>
      <c r="V110" s="16">
        <f t="shared" si="5"/>
        <v>2686.5</v>
      </c>
      <c r="W110" s="80">
        <v>10</v>
      </c>
      <c r="X110" s="80" t="s">
        <v>35</v>
      </c>
      <c r="Y110" s="80" t="s">
        <v>74</v>
      </c>
      <c r="Z110" s="80" t="s">
        <v>64</v>
      </c>
      <c r="AA110" s="80" t="s">
        <v>82</v>
      </c>
      <c r="AB110" s="80" t="s">
        <v>194</v>
      </c>
    </row>
    <row r="111" spans="1:28" x14ac:dyDescent="0.15">
      <c r="A111" s="80" t="s">
        <v>24</v>
      </c>
      <c r="B111" s="80" t="s">
        <v>190</v>
      </c>
      <c r="C111" s="80">
        <v>2020</v>
      </c>
      <c r="D111" s="80" t="s">
        <v>363</v>
      </c>
      <c r="E111" s="80" t="s">
        <v>354</v>
      </c>
      <c r="F111" s="80" t="s">
        <v>364</v>
      </c>
      <c r="G111" s="80" t="s">
        <v>25</v>
      </c>
      <c r="H111" s="80" t="s">
        <v>167</v>
      </c>
      <c r="I111" s="80" t="s">
        <v>111</v>
      </c>
      <c r="J111" s="80" t="s">
        <v>27</v>
      </c>
      <c r="K111" s="80" t="s">
        <v>112</v>
      </c>
      <c r="L111" s="80">
        <v>2</v>
      </c>
      <c r="N111" s="80">
        <v>4</v>
      </c>
      <c r="O111" s="80">
        <v>0.8</v>
      </c>
      <c r="P111" s="80">
        <v>0.8</v>
      </c>
      <c r="Q111" s="181">
        <f t="shared" si="6"/>
        <v>0.8</v>
      </c>
      <c r="R111" s="80">
        <v>18.5</v>
      </c>
      <c r="S111" s="80">
        <v>126</v>
      </c>
      <c r="T111" s="16">
        <f t="shared" si="4"/>
        <v>27</v>
      </c>
      <c r="U111" s="80">
        <v>398</v>
      </c>
      <c r="V111" s="16">
        <f t="shared" si="5"/>
        <v>2686.5</v>
      </c>
      <c r="W111" s="80">
        <v>10</v>
      </c>
      <c r="X111" s="80" t="s">
        <v>35</v>
      </c>
      <c r="Y111" s="80" t="s">
        <v>74</v>
      </c>
      <c r="Z111" s="80" t="s">
        <v>64</v>
      </c>
      <c r="AA111" s="80" t="s">
        <v>82</v>
      </c>
      <c r="AB111" s="80" t="s">
        <v>194</v>
      </c>
    </row>
    <row r="112" spans="1:28" x14ac:dyDescent="0.15">
      <c r="A112" s="80" t="s">
        <v>24</v>
      </c>
      <c r="B112" s="80" t="s">
        <v>190</v>
      </c>
      <c r="C112" s="80">
        <v>2020</v>
      </c>
      <c r="D112" s="80" t="s">
        <v>363</v>
      </c>
      <c r="E112" s="80" t="s">
        <v>354</v>
      </c>
      <c r="F112" s="80" t="s">
        <v>364</v>
      </c>
      <c r="G112" s="80" t="s">
        <v>25</v>
      </c>
      <c r="H112" s="80" t="s">
        <v>167</v>
      </c>
      <c r="I112" s="80" t="s">
        <v>111</v>
      </c>
      <c r="J112" s="80" t="s">
        <v>27</v>
      </c>
      <c r="K112" s="80" t="s">
        <v>112</v>
      </c>
      <c r="L112" s="80">
        <v>3</v>
      </c>
      <c r="N112" s="80">
        <v>4</v>
      </c>
      <c r="O112" s="80">
        <v>1</v>
      </c>
      <c r="P112" s="80">
        <v>0.8</v>
      </c>
      <c r="Q112" s="181">
        <f t="shared" si="6"/>
        <v>0.9</v>
      </c>
      <c r="R112" s="80">
        <v>12.9</v>
      </c>
      <c r="S112" s="80">
        <v>123</v>
      </c>
      <c r="T112" s="16">
        <f t="shared" si="4"/>
        <v>27</v>
      </c>
      <c r="U112" s="80">
        <v>398</v>
      </c>
      <c r="V112" s="16">
        <f t="shared" si="5"/>
        <v>2686.5</v>
      </c>
      <c r="W112" s="80">
        <v>10</v>
      </c>
      <c r="X112" s="80" t="s">
        <v>35</v>
      </c>
      <c r="Y112" s="80" t="s">
        <v>74</v>
      </c>
      <c r="Z112" s="80" t="s">
        <v>64</v>
      </c>
      <c r="AA112" s="80" t="s">
        <v>82</v>
      </c>
      <c r="AB112" s="80" t="s">
        <v>194</v>
      </c>
    </row>
    <row r="113" spans="1:28" x14ac:dyDescent="0.15">
      <c r="A113" s="80" t="s">
        <v>24</v>
      </c>
      <c r="B113" s="80" t="s">
        <v>190</v>
      </c>
      <c r="C113" s="80">
        <v>2020</v>
      </c>
      <c r="D113" s="80" t="s">
        <v>363</v>
      </c>
      <c r="E113" s="80" t="s">
        <v>354</v>
      </c>
      <c r="F113" s="80" t="s">
        <v>364</v>
      </c>
      <c r="G113" s="80" t="s">
        <v>25</v>
      </c>
      <c r="H113" s="80" t="s">
        <v>167</v>
      </c>
      <c r="I113" s="80" t="s">
        <v>111</v>
      </c>
      <c r="J113" s="80" t="s">
        <v>27</v>
      </c>
      <c r="K113" s="80" t="s">
        <v>112</v>
      </c>
      <c r="L113" s="80">
        <v>1</v>
      </c>
      <c r="N113" s="80">
        <v>8</v>
      </c>
      <c r="O113" s="80">
        <v>0.8</v>
      </c>
      <c r="P113" s="80">
        <v>0.75</v>
      </c>
      <c r="Q113" s="181">
        <f t="shared" si="6"/>
        <v>0.77500000000000002</v>
      </c>
      <c r="R113" s="80">
        <v>12.5</v>
      </c>
      <c r="S113" s="80">
        <v>110</v>
      </c>
      <c r="T113" s="16">
        <f t="shared" si="4"/>
        <v>33</v>
      </c>
      <c r="U113" s="80">
        <v>698</v>
      </c>
      <c r="V113" s="16">
        <f t="shared" si="5"/>
        <v>2879.25</v>
      </c>
      <c r="W113" s="80">
        <v>3</v>
      </c>
      <c r="X113" s="80" t="s">
        <v>35</v>
      </c>
      <c r="Y113" s="80" t="s">
        <v>74</v>
      </c>
      <c r="Z113" s="80" t="s">
        <v>64</v>
      </c>
      <c r="AA113" s="80" t="s">
        <v>82</v>
      </c>
      <c r="AB113" s="80" t="s">
        <v>194</v>
      </c>
    </row>
    <row r="114" spans="1:28" x14ac:dyDescent="0.15">
      <c r="A114" s="80" t="s">
        <v>24</v>
      </c>
      <c r="B114" s="80" t="s">
        <v>190</v>
      </c>
      <c r="C114" s="80">
        <v>2020</v>
      </c>
      <c r="D114" s="80" t="s">
        <v>363</v>
      </c>
      <c r="E114" s="80" t="s">
        <v>354</v>
      </c>
      <c r="F114" s="80" t="s">
        <v>364</v>
      </c>
      <c r="G114" s="80" t="s">
        <v>25</v>
      </c>
      <c r="H114" s="80" t="s">
        <v>167</v>
      </c>
      <c r="I114" s="80" t="s">
        <v>111</v>
      </c>
      <c r="J114" s="80" t="s">
        <v>27</v>
      </c>
      <c r="K114" s="80" t="s">
        <v>112</v>
      </c>
      <c r="L114" s="80">
        <v>2</v>
      </c>
      <c r="N114" s="80">
        <v>8</v>
      </c>
      <c r="O114" s="80">
        <v>0.8</v>
      </c>
      <c r="P114" s="80">
        <v>1</v>
      </c>
      <c r="Q114" s="181">
        <f t="shared" si="6"/>
        <v>0.9</v>
      </c>
      <c r="R114" s="80">
        <v>18</v>
      </c>
      <c r="S114" s="80">
        <v>114</v>
      </c>
      <c r="T114" s="16">
        <f t="shared" si="4"/>
        <v>30</v>
      </c>
      <c r="U114" s="80">
        <v>698</v>
      </c>
      <c r="V114" s="16">
        <f t="shared" si="5"/>
        <v>2617.5</v>
      </c>
      <c r="W114" s="80">
        <v>3</v>
      </c>
      <c r="X114" s="80" t="s">
        <v>35</v>
      </c>
      <c r="Y114" s="80" t="s">
        <v>74</v>
      </c>
      <c r="Z114" s="80" t="s">
        <v>64</v>
      </c>
      <c r="AA114" s="80" t="s">
        <v>82</v>
      </c>
      <c r="AB114" s="80" t="s">
        <v>194</v>
      </c>
    </row>
    <row r="115" spans="1:28" x14ac:dyDescent="0.15">
      <c r="A115" s="80" t="s">
        <v>24</v>
      </c>
      <c r="B115" s="80" t="s">
        <v>190</v>
      </c>
      <c r="C115" s="80">
        <v>2020</v>
      </c>
      <c r="D115" s="80" t="s">
        <v>363</v>
      </c>
      <c r="E115" s="80" t="s">
        <v>354</v>
      </c>
      <c r="F115" s="80" t="s">
        <v>364</v>
      </c>
      <c r="G115" s="80" t="s">
        <v>25</v>
      </c>
      <c r="H115" s="80" t="s">
        <v>167</v>
      </c>
      <c r="I115" s="80" t="s">
        <v>111</v>
      </c>
      <c r="J115" s="80" t="s">
        <v>27</v>
      </c>
      <c r="K115" s="80" t="s">
        <v>112</v>
      </c>
      <c r="L115" s="80">
        <v>3</v>
      </c>
      <c r="N115" s="80">
        <v>8</v>
      </c>
      <c r="O115" s="80">
        <v>1</v>
      </c>
      <c r="P115" s="80">
        <v>1</v>
      </c>
      <c r="Q115" s="181">
        <f t="shared" si="6"/>
        <v>1</v>
      </c>
      <c r="R115" s="80">
        <v>16.5</v>
      </c>
      <c r="S115" s="80">
        <v>107</v>
      </c>
      <c r="T115" s="16">
        <f t="shared" si="4"/>
        <v>33</v>
      </c>
      <c r="U115" s="80">
        <v>698</v>
      </c>
      <c r="V115" s="16">
        <f t="shared" si="5"/>
        <v>2879.25</v>
      </c>
      <c r="W115" s="80">
        <v>3</v>
      </c>
      <c r="X115" s="80" t="s">
        <v>35</v>
      </c>
      <c r="Y115" s="80" t="s">
        <v>74</v>
      </c>
      <c r="Z115" s="80" t="s">
        <v>64</v>
      </c>
      <c r="AA115" s="80" t="s">
        <v>82</v>
      </c>
      <c r="AB115" s="80" t="s">
        <v>194</v>
      </c>
    </row>
    <row r="116" spans="1:28" x14ac:dyDescent="0.15">
      <c r="Q116" s="181" t="str">
        <f t="shared" si="6"/>
        <v/>
      </c>
      <c r="T116" s="16" t="str">
        <f t="shared" si="4"/>
        <v/>
      </c>
      <c r="V116" s="16" t="str">
        <f t="shared" si="5"/>
        <v/>
      </c>
    </row>
    <row r="117" spans="1:28" x14ac:dyDescent="0.15">
      <c r="Q117" s="181" t="str">
        <f t="shared" si="6"/>
        <v/>
      </c>
      <c r="T117" s="16" t="str">
        <f t="shared" si="4"/>
        <v/>
      </c>
      <c r="V117" s="16" t="str">
        <f t="shared" si="5"/>
        <v/>
      </c>
    </row>
    <row r="118" spans="1:28" x14ac:dyDescent="0.15">
      <c r="Q118" s="181" t="str">
        <f t="shared" si="6"/>
        <v/>
      </c>
      <c r="T118" s="16" t="str">
        <f t="shared" si="4"/>
        <v/>
      </c>
      <c r="V118" s="16" t="str">
        <f t="shared" si="5"/>
        <v/>
      </c>
    </row>
    <row r="119" spans="1:28" x14ac:dyDescent="0.15">
      <c r="Q119" s="181" t="str">
        <f t="shared" si="6"/>
        <v/>
      </c>
      <c r="T119" s="16" t="str">
        <f t="shared" si="4"/>
        <v/>
      </c>
      <c r="V119" s="16" t="str">
        <f t="shared" si="5"/>
        <v/>
      </c>
    </row>
    <row r="120" spans="1:28" x14ac:dyDescent="0.15">
      <c r="Q120" s="181" t="str">
        <f t="shared" si="6"/>
        <v/>
      </c>
      <c r="T120" s="16" t="str">
        <f t="shared" si="4"/>
        <v/>
      </c>
      <c r="V120" s="16" t="str">
        <f t="shared" si="5"/>
        <v/>
      </c>
    </row>
    <row r="121" spans="1:28" x14ac:dyDescent="0.15">
      <c r="Q121" s="182" t="str">
        <f t="shared" si="6"/>
        <v/>
      </c>
      <c r="T121" s="16" t="str">
        <f t="shared" si="4"/>
        <v/>
      </c>
      <c r="V121" s="16" t="str">
        <f t="shared" si="5"/>
        <v/>
      </c>
    </row>
    <row r="122" spans="1:28" x14ac:dyDescent="0.15">
      <c r="Q122" s="182" t="str">
        <f t="shared" si="6"/>
        <v/>
      </c>
      <c r="T122" s="16" t="str">
        <f t="shared" si="4"/>
        <v/>
      </c>
      <c r="V122" s="16" t="str">
        <f t="shared" si="5"/>
        <v/>
      </c>
    </row>
    <row r="123" spans="1:28" x14ac:dyDescent="0.15">
      <c r="Q123" s="182" t="str">
        <f t="shared" si="6"/>
        <v/>
      </c>
      <c r="T123" s="16" t="str">
        <f t="shared" si="4"/>
        <v/>
      </c>
      <c r="V123" s="16" t="str">
        <f t="shared" si="5"/>
        <v/>
      </c>
    </row>
    <row r="124" spans="1:28" x14ac:dyDescent="0.15">
      <c r="Q124" s="182" t="str">
        <f t="shared" si="6"/>
        <v/>
      </c>
      <c r="T124" s="16" t="str">
        <f t="shared" si="4"/>
        <v/>
      </c>
      <c r="V124" s="16" t="str">
        <f t="shared" si="5"/>
        <v/>
      </c>
    </row>
    <row r="125" spans="1:28" x14ac:dyDescent="0.15">
      <c r="Q125" s="182" t="str">
        <f t="shared" si="6"/>
        <v/>
      </c>
      <c r="T125" s="16" t="str">
        <f t="shared" si="4"/>
        <v/>
      </c>
      <c r="V125" s="16" t="str">
        <f t="shared" si="5"/>
        <v/>
      </c>
    </row>
    <row r="126" spans="1:28" x14ac:dyDescent="0.15">
      <c r="Q126" s="182" t="str">
        <f t="shared" si="6"/>
        <v/>
      </c>
      <c r="T126" s="16" t="str">
        <f t="shared" si="4"/>
        <v/>
      </c>
      <c r="V126" s="16" t="str">
        <f t="shared" si="5"/>
        <v/>
      </c>
    </row>
    <row r="127" spans="1:28" x14ac:dyDescent="0.15">
      <c r="Q127" s="182" t="str">
        <f t="shared" si="6"/>
        <v/>
      </c>
      <c r="T127" s="16" t="str">
        <f t="shared" si="4"/>
        <v/>
      </c>
      <c r="V127" s="16" t="str">
        <f t="shared" si="5"/>
        <v/>
      </c>
    </row>
    <row r="128" spans="1:28" x14ac:dyDescent="0.15">
      <c r="Q128" s="182" t="str">
        <f t="shared" si="6"/>
        <v/>
      </c>
      <c r="T128" s="16" t="str">
        <f t="shared" si="4"/>
        <v/>
      </c>
      <c r="V128" s="16" t="str">
        <f t="shared" si="5"/>
        <v/>
      </c>
    </row>
    <row r="129" spans="17:22" x14ac:dyDescent="0.15">
      <c r="Q129" s="182" t="str">
        <f t="shared" si="6"/>
        <v/>
      </c>
      <c r="T129" s="16" t="str">
        <f t="shared" si="4"/>
        <v/>
      </c>
      <c r="V129" s="16" t="str">
        <f t="shared" si="5"/>
        <v/>
      </c>
    </row>
    <row r="130" spans="17:22" x14ac:dyDescent="0.15">
      <c r="Q130" s="182" t="str">
        <f t="shared" si="6"/>
        <v/>
      </c>
      <c r="T130" s="16" t="str">
        <f t="shared" ref="T130:T160" si="7">IF(H130="","",IF(OR(H130="GREEN",H130="GK"),IF(S130&gt;=$AX$2,VLOOKUP(S130,$AX$2:$AY$12,2,1),""),IF(S130&gt;=$AZ$2,VLOOKUP(S130,$AZ$2:$BA$12,2,1),"")))</f>
        <v/>
      </c>
      <c r="V130" s="16" t="str">
        <f t="shared" ref="V130:V160" si="8">IF(OR(N130="",U130="",T130=""),"",U130/N130*T130)</f>
        <v/>
      </c>
    </row>
    <row r="131" spans="17:22" x14ac:dyDescent="0.15">
      <c r="Q131" s="182" t="str">
        <f t="shared" si="6"/>
        <v/>
      </c>
      <c r="T131" s="16" t="str">
        <f t="shared" si="7"/>
        <v/>
      </c>
      <c r="V131" s="16" t="str">
        <f t="shared" si="8"/>
        <v/>
      </c>
    </row>
    <row r="132" spans="17:22" x14ac:dyDescent="0.15">
      <c r="Q132" s="182" t="str">
        <f t="shared" si="6"/>
        <v/>
      </c>
      <c r="T132" s="16" t="str">
        <f t="shared" si="7"/>
        <v/>
      </c>
      <c r="V132" s="16" t="str">
        <f t="shared" si="8"/>
        <v/>
      </c>
    </row>
    <row r="133" spans="17:22" x14ac:dyDescent="0.15">
      <c r="Q133" s="182" t="str">
        <f t="shared" si="6"/>
        <v/>
      </c>
      <c r="T133" s="16" t="str">
        <f t="shared" si="7"/>
        <v/>
      </c>
      <c r="V133" s="16" t="str">
        <f t="shared" si="8"/>
        <v/>
      </c>
    </row>
    <row r="134" spans="17:22" x14ac:dyDescent="0.15">
      <c r="Q134" s="182" t="str">
        <f t="shared" si="6"/>
        <v/>
      </c>
      <c r="T134" s="16" t="str">
        <f t="shared" si="7"/>
        <v/>
      </c>
      <c r="V134" s="16" t="str">
        <f t="shared" si="8"/>
        <v/>
      </c>
    </row>
    <row r="135" spans="17:22" x14ac:dyDescent="0.15">
      <c r="Q135" s="182" t="str">
        <f t="shared" si="6"/>
        <v/>
      </c>
      <c r="T135" s="16" t="str">
        <f t="shared" si="7"/>
        <v/>
      </c>
      <c r="V135" s="16" t="str">
        <f t="shared" si="8"/>
        <v/>
      </c>
    </row>
    <row r="136" spans="17:22" x14ac:dyDescent="0.15">
      <c r="Q136" s="182" t="str">
        <f t="shared" si="6"/>
        <v/>
      </c>
      <c r="T136" s="16" t="str">
        <f t="shared" si="7"/>
        <v/>
      </c>
      <c r="V136" s="16" t="str">
        <f t="shared" si="8"/>
        <v/>
      </c>
    </row>
    <row r="137" spans="17:22" x14ac:dyDescent="0.15">
      <c r="Q137" s="182" t="str">
        <f t="shared" si="6"/>
        <v/>
      </c>
      <c r="T137" s="16" t="str">
        <f t="shared" si="7"/>
        <v/>
      </c>
      <c r="V137" s="16" t="str">
        <f t="shared" si="8"/>
        <v/>
      </c>
    </row>
    <row r="138" spans="17:22" x14ac:dyDescent="0.15">
      <c r="Q138" s="182" t="str">
        <f t="shared" si="6"/>
        <v/>
      </c>
      <c r="T138" s="16" t="str">
        <f t="shared" si="7"/>
        <v/>
      </c>
      <c r="V138" s="16" t="str">
        <f t="shared" si="8"/>
        <v/>
      </c>
    </row>
    <row r="139" spans="17:22" x14ac:dyDescent="0.15">
      <c r="Q139" s="182" t="str">
        <f t="shared" si="6"/>
        <v/>
      </c>
      <c r="T139" s="16" t="str">
        <f t="shared" si="7"/>
        <v/>
      </c>
      <c r="V139" s="16" t="str">
        <f t="shared" si="8"/>
        <v/>
      </c>
    </row>
    <row r="140" spans="17:22" x14ac:dyDescent="0.15">
      <c r="Q140" s="182" t="str">
        <f t="shared" si="6"/>
        <v/>
      </c>
      <c r="T140" s="16" t="str">
        <f t="shared" si="7"/>
        <v/>
      </c>
      <c r="V140" s="16" t="str">
        <f t="shared" si="8"/>
        <v/>
      </c>
    </row>
    <row r="141" spans="17:22" x14ac:dyDescent="0.15">
      <c r="Q141" s="182" t="str">
        <f t="shared" si="6"/>
        <v/>
      </c>
      <c r="T141" s="16" t="str">
        <f t="shared" si="7"/>
        <v/>
      </c>
      <c r="V141" s="16" t="str">
        <f t="shared" si="8"/>
        <v/>
      </c>
    </row>
    <row r="142" spans="17:22" x14ac:dyDescent="0.15">
      <c r="Q142" s="182" t="str">
        <f t="shared" si="6"/>
        <v/>
      </c>
      <c r="T142" s="16" t="str">
        <f t="shared" si="7"/>
        <v/>
      </c>
      <c r="V142" s="16" t="str">
        <f t="shared" si="8"/>
        <v/>
      </c>
    </row>
    <row r="143" spans="17:22" x14ac:dyDescent="0.15">
      <c r="Q143" s="182" t="str">
        <f t="shared" si="6"/>
        <v/>
      </c>
      <c r="T143" s="16" t="str">
        <f t="shared" si="7"/>
        <v/>
      </c>
      <c r="V143" s="16" t="str">
        <f t="shared" si="8"/>
        <v/>
      </c>
    </row>
    <row r="144" spans="17:22" x14ac:dyDescent="0.15">
      <c r="Q144" s="182" t="str">
        <f t="shared" si="6"/>
        <v/>
      </c>
      <c r="T144" s="16" t="str">
        <f t="shared" si="7"/>
        <v/>
      </c>
      <c r="V144" s="16" t="str">
        <f t="shared" si="8"/>
        <v/>
      </c>
    </row>
    <row r="145" spans="17:22" x14ac:dyDescent="0.15">
      <c r="Q145" s="182" t="str">
        <f t="shared" si="6"/>
        <v/>
      </c>
      <c r="T145" s="16" t="str">
        <f t="shared" si="7"/>
        <v/>
      </c>
      <c r="V145" s="16" t="str">
        <f t="shared" si="8"/>
        <v/>
      </c>
    </row>
    <row r="146" spans="17:22" x14ac:dyDescent="0.15">
      <c r="Q146" s="182" t="str">
        <f t="shared" si="6"/>
        <v/>
      </c>
      <c r="T146" s="16" t="str">
        <f t="shared" si="7"/>
        <v/>
      </c>
      <c r="V146" s="16" t="str">
        <f t="shared" si="8"/>
        <v/>
      </c>
    </row>
    <row r="147" spans="17:22" x14ac:dyDescent="0.15">
      <c r="Q147" s="182" t="str">
        <f t="shared" si="6"/>
        <v/>
      </c>
      <c r="T147" s="16" t="str">
        <f t="shared" si="7"/>
        <v/>
      </c>
      <c r="V147" s="16" t="str">
        <f t="shared" si="8"/>
        <v/>
      </c>
    </row>
    <row r="148" spans="17:22" x14ac:dyDescent="0.15">
      <c r="Q148" s="182" t="str">
        <f t="shared" si="6"/>
        <v/>
      </c>
      <c r="T148" s="16" t="str">
        <f t="shared" si="7"/>
        <v/>
      </c>
      <c r="V148" s="16" t="str">
        <f t="shared" si="8"/>
        <v/>
      </c>
    </row>
    <row r="149" spans="17:22" x14ac:dyDescent="0.15">
      <c r="Q149" s="182" t="str">
        <f t="shared" si="6"/>
        <v/>
      </c>
      <c r="T149" s="16" t="str">
        <f t="shared" si="7"/>
        <v/>
      </c>
      <c r="V149" s="16" t="str">
        <f t="shared" si="8"/>
        <v/>
      </c>
    </row>
    <row r="150" spans="17:22" x14ac:dyDescent="0.15">
      <c r="Q150" s="182" t="str">
        <f t="shared" si="6"/>
        <v/>
      </c>
      <c r="T150" s="16" t="str">
        <f t="shared" si="7"/>
        <v/>
      </c>
      <c r="V150" s="16" t="str">
        <f t="shared" si="8"/>
        <v/>
      </c>
    </row>
    <row r="151" spans="17:22" x14ac:dyDescent="0.15">
      <c r="Q151" s="182" t="str">
        <f t="shared" si="6"/>
        <v/>
      </c>
      <c r="T151" s="16" t="str">
        <f t="shared" si="7"/>
        <v/>
      </c>
      <c r="V151" s="16" t="str">
        <f t="shared" si="8"/>
        <v/>
      </c>
    </row>
    <row r="152" spans="17:22" x14ac:dyDescent="0.15">
      <c r="Q152" s="182" t="str">
        <f t="shared" si="6"/>
        <v/>
      </c>
      <c r="T152" s="16" t="str">
        <f t="shared" si="7"/>
        <v/>
      </c>
      <c r="V152" s="16" t="str">
        <f t="shared" si="8"/>
        <v/>
      </c>
    </row>
    <row r="153" spans="17:22" x14ac:dyDescent="0.15">
      <c r="Q153" s="182" t="str">
        <f t="shared" si="6"/>
        <v/>
      </c>
      <c r="T153" s="16" t="str">
        <f t="shared" si="7"/>
        <v/>
      </c>
      <c r="V153" s="16" t="str">
        <f t="shared" si="8"/>
        <v/>
      </c>
    </row>
    <row r="154" spans="17:22" x14ac:dyDescent="0.15">
      <c r="Q154" s="182" t="str">
        <f t="shared" si="6"/>
        <v/>
      </c>
      <c r="T154" s="16" t="str">
        <f t="shared" si="7"/>
        <v/>
      </c>
      <c r="V154" s="16" t="str">
        <f t="shared" si="8"/>
        <v/>
      </c>
    </row>
    <row r="155" spans="17:22" x14ac:dyDescent="0.15">
      <c r="Q155" s="182" t="str">
        <f t="shared" si="6"/>
        <v/>
      </c>
      <c r="T155" s="16" t="str">
        <f t="shared" si="7"/>
        <v/>
      </c>
      <c r="V155" s="16" t="str">
        <f t="shared" si="8"/>
        <v/>
      </c>
    </row>
    <row r="156" spans="17:22" x14ac:dyDescent="0.15">
      <c r="Q156" s="182" t="str">
        <f t="shared" si="6"/>
        <v/>
      </c>
      <c r="T156" s="16" t="str">
        <f t="shared" si="7"/>
        <v/>
      </c>
      <c r="V156" s="16" t="str">
        <f t="shared" si="8"/>
        <v/>
      </c>
    </row>
    <row r="157" spans="17:22" x14ac:dyDescent="0.15">
      <c r="Q157" s="182" t="str">
        <f t="shared" si="6"/>
        <v/>
      </c>
      <c r="T157" s="16" t="str">
        <f t="shared" si="7"/>
        <v/>
      </c>
      <c r="V157" s="16" t="str">
        <f t="shared" si="8"/>
        <v/>
      </c>
    </row>
    <row r="158" spans="17:22" x14ac:dyDescent="0.15">
      <c r="Q158" s="182" t="str">
        <f t="shared" si="6"/>
        <v/>
      </c>
      <c r="T158" s="16" t="str">
        <f t="shared" si="7"/>
        <v/>
      </c>
      <c r="V158" s="16" t="str">
        <f t="shared" si="8"/>
        <v/>
      </c>
    </row>
    <row r="159" spans="17:22" x14ac:dyDescent="0.15">
      <c r="Q159" s="182" t="str">
        <f t="shared" si="6"/>
        <v/>
      </c>
      <c r="T159" s="16" t="str">
        <f t="shared" si="7"/>
        <v/>
      </c>
      <c r="V159" s="16" t="str">
        <f t="shared" si="8"/>
        <v/>
      </c>
    </row>
    <row r="160" spans="17:22" x14ac:dyDescent="0.15">
      <c r="Q160" s="182" t="str">
        <f t="shared" si="6"/>
        <v/>
      </c>
      <c r="T160" s="16" t="str">
        <f t="shared" si="7"/>
        <v/>
      </c>
      <c r="V160" s="16" t="str">
        <f t="shared" si="8"/>
        <v/>
      </c>
    </row>
  </sheetData>
  <autoFilter ref="A1:BA120" xr:uid="{00000000-0009-0000-0000-000000000000}"/>
  <phoneticPr fontId="3"/>
  <dataValidations count="18">
    <dataValidation type="list" allowBlank="1" showInputMessage="1" showErrorMessage="1" sqref="F158:F1048576 F1:F148" xr:uid="{4D02EE16-CDA7-471B-B05D-B56483C511B6}">
      <formula1>$AH$2:$AH$11</formula1>
    </dataValidation>
    <dataValidation type="list" allowBlank="1" showInputMessage="1" showErrorMessage="1" sqref="K2:K1000" xr:uid="{10BD5D1E-49B3-47BA-B7AA-41C9ABC9D717}">
      <formula1>$AR$2:$AR$28</formula1>
    </dataValidation>
    <dataValidation type="list" allowBlank="1" showInputMessage="1" showErrorMessage="1" sqref="J2:J1000" xr:uid="{6B4E5AE0-E93D-4CE6-81DA-C4A3945A6565}">
      <formula1>$AP$2:$AP$29</formula1>
    </dataValidation>
    <dataValidation type="list" allowBlank="1" showInputMessage="1" showErrorMessage="1" sqref="H2:H1184" xr:uid="{81347D3E-00B0-4609-977C-7EF088B6D627}">
      <formula1>$AL$2:$AL$9</formula1>
    </dataValidation>
    <dataValidation type="decimal" allowBlank="1" showInputMessage="1" showErrorMessage="1" error="硬度を正しく入力して下さい。" sqref="O2:P497" xr:uid="{50B8855D-B796-4B0A-ADDF-3D6C354E405C}">
      <formula1>0</formula1>
      <formula2>7</formula2>
    </dataValidation>
    <dataValidation type="list" allowBlank="1" showInputMessage="1" showErrorMessage="1" sqref="Y2:AA497" xr:uid="{F865E146-3B43-4FC5-B29B-E6C215D4683F}">
      <formula1>$AV$2:$AV$21</formula1>
    </dataValidation>
    <dataValidation type="list" allowBlank="1" showInputMessage="1" showErrorMessage="1" sqref="A3:A497" xr:uid="{51251DB3-B3B6-41E9-8CC8-3F31E2A2B34C}">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ECEF1A6-559F-40C1-839D-E99462BA0D2E}">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52748E14-0818-499F-90E7-B1150B01E783}">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3F09ADEF-53FA-4BC1-B9B0-3A3C8C0178EC}">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7AED089D-A748-44CF-A7AD-1B662F30AAC0}">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DCAF9A25-C47E-41CB-BCE0-17CDFE9B04BD}">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194ACAED-5FD1-434E-B88A-DCC3A728E697}">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22B5D069-1E77-442D-BB97-1E7FE2598D59}">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18920134-71FF-4106-88DC-51D2BCC4C7A1}">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5FE07C05-99B9-4E90-84F3-C56B34B22B5F}">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EEF59D13-0E4C-4E71-900F-C5AE4130BE02}"/>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AA9A1FA7-A920-4714-97DA-C58F405678C6}">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EC2E-3863-44D1-9161-F79B65670D41}">
  <dimension ref="A1:BA142"/>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80"/>
    <col min="4" max="4" width="11" style="80" customWidth="1"/>
    <col min="5" max="5" width="10.875" style="80" customWidth="1"/>
    <col min="6" max="16" width="9" style="80"/>
    <col min="17" max="17" width="9" style="16"/>
    <col min="18" max="18" width="9" style="80"/>
    <col min="19" max="19" width="11.625" style="80" customWidth="1"/>
    <col min="20" max="20" width="9" style="16"/>
    <col min="21" max="21" width="9" style="80"/>
    <col min="22" max="22" width="9" style="16"/>
    <col min="23" max="32" width="9" style="80"/>
    <col min="33" max="33" width="14.375" style="80" customWidth="1"/>
    <col min="34" max="34" width="11.375" style="80" customWidth="1"/>
    <col min="35" max="16384" width="9" style="80"/>
  </cols>
  <sheetData>
    <row r="1" spans="1:53" ht="45" x14ac:dyDescent="0.15">
      <c r="A1" s="40" t="s">
        <v>0</v>
      </c>
      <c r="B1" s="95" t="s">
        <v>174</v>
      </c>
      <c r="C1" s="95" t="s">
        <v>175</v>
      </c>
      <c r="D1" s="96" t="s">
        <v>2</v>
      </c>
      <c r="E1" s="86" t="s">
        <v>3</v>
      </c>
      <c r="F1" s="86" t="s">
        <v>4</v>
      </c>
      <c r="G1" s="86" t="s">
        <v>5</v>
      </c>
      <c r="H1" s="86" t="s">
        <v>6</v>
      </c>
      <c r="I1" s="86" t="s">
        <v>7</v>
      </c>
      <c r="J1" s="86" t="s">
        <v>8</v>
      </c>
      <c r="K1" s="86" t="s">
        <v>9</v>
      </c>
      <c r="L1" s="96" t="s">
        <v>176</v>
      </c>
      <c r="M1" s="96" t="s">
        <v>177</v>
      </c>
      <c r="N1" s="96" t="s">
        <v>11</v>
      </c>
      <c r="O1" s="96" t="s">
        <v>178</v>
      </c>
      <c r="P1" s="96" t="s">
        <v>179</v>
      </c>
      <c r="Q1" s="97" t="s">
        <v>180</v>
      </c>
      <c r="R1" s="96" t="s">
        <v>181</v>
      </c>
      <c r="S1" s="96" t="s">
        <v>182</v>
      </c>
      <c r="T1" s="97" t="s">
        <v>13</v>
      </c>
      <c r="U1" s="96" t="s">
        <v>92</v>
      </c>
      <c r="V1" s="98" t="s">
        <v>14</v>
      </c>
      <c r="W1" s="96" t="s">
        <v>183</v>
      </c>
      <c r="X1" s="86" t="s">
        <v>16</v>
      </c>
      <c r="Y1" s="86" t="s">
        <v>17</v>
      </c>
      <c r="Z1" s="86" t="s">
        <v>18</v>
      </c>
      <c r="AA1" s="86" t="s">
        <v>19</v>
      </c>
      <c r="AB1" s="42" t="s">
        <v>184</v>
      </c>
      <c r="AE1" s="99" t="s">
        <v>0</v>
      </c>
      <c r="AF1" s="100"/>
      <c r="AG1" s="99" t="s">
        <v>3</v>
      </c>
      <c r="AH1" s="99" t="s">
        <v>4</v>
      </c>
      <c r="AI1" s="100"/>
      <c r="AJ1" s="99" t="s">
        <v>5</v>
      </c>
      <c r="AK1" s="100"/>
      <c r="AL1" s="10" t="s">
        <v>6</v>
      </c>
      <c r="AM1" s="100"/>
      <c r="AN1" s="10" t="s">
        <v>7</v>
      </c>
      <c r="AO1" s="100"/>
      <c r="AP1" s="10" t="s">
        <v>20</v>
      </c>
      <c r="AQ1" s="100"/>
      <c r="AR1" s="10" t="s">
        <v>9</v>
      </c>
      <c r="AS1" s="100"/>
      <c r="AT1" s="11" t="s">
        <v>185</v>
      </c>
      <c r="AU1" s="100"/>
      <c r="AV1" s="10" t="s">
        <v>22</v>
      </c>
      <c r="AX1" s="101" t="s">
        <v>186</v>
      </c>
      <c r="AY1" s="102" t="s">
        <v>187</v>
      </c>
      <c r="AZ1" s="102" t="s">
        <v>188</v>
      </c>
      <c r="BA1" s="103" t="s">
        <v>189</v>
      </c>
    </row>
    <row r="2" spans="1:53" x14ac:dyDescent="0.15">
      <c r="A2" s="80" t="s">
        <v>30</v>
      </c>
      <c r="B2" s="80" t="s">
        <v>190</v>
      </c>
      <c r="C2" s="80">
        <v>2020</v>
      </c>
      <c r="D2" s="104" t="s">
        <v>191</v>
      </c>
      <c r="E2" s="80" t="s">
        <v>192</v>
      </c>
      <c r="F2" s="80" t="s">
        <v>193</v>
      </c>
      <c r="G2" s="80" t="s">
        <v>25</v>
      </c>
      <c r="H2" s="80" t="s">
        <v>113</v>
      </c>
      <c r="I2" s="80" t="s">
        <v>111</v>
      </c>
      <c r="J2" s="80" t="s">
        <v>27</v>
      </c>
      <c r="K2" s="80" t="s">
        <v>112</v>
      </c>
      <c r="L2" s="80">
        <v>1</v>
      </c>
      <c r="N2" s="80">
        <v>1</v>
      </c>
      <c r="O2" s="80">
        <v>0.65</v>
      </c>
      <c r="P2" s="80">
        <v>0.55000000000000004</v>
      </c>
      <c r="Q2" s="105">
        <f t="shared" ref="Q2:Q65" si="0">IF(OR(O2="",P2=""),"",AVERAGE(O2,P2))</f>
        <v>0.60000000000000009</v>
      </c>
      <c r="R2" s="80">
        <v>13.5</v>
      </c>
      <c r="S2" s="80">
        <v>128</v>
      </c>
      <c r="T2" s="16">
        <f t="shared" ref="T2:T65" si="1">IF(H2="","",IF(OR(H2="GREEN",H2="GK"),IF(S2&gt;=$AX$2,VLOOKUP(S2,$AX$2:$AY$10,2,1),""),IF(S2&gt;=$AZ$2,VLOOKUP(S2,$AZ$2:$BA$10,2,1),"")))</f>
        <v>27</v>
      </c>
      <c r="U2" s="80">
        <v>78</v>
      </c>
      <c r="V2" s="16">
        <f t="shared" ref="V2:V65" si="2">IF(OR(N2="",U2="",T2=""),"",U2/N2*T2)</f>
        <v>2106</v>
      </c>
      <c r="W2" s="80">
        <v>2</v>
      </c>
      <c r="X2" s="80" t="s">
        <v>35</v>
      </c>
      <c r="Y2" s="80" t="s">
        <v>64</v>
      </c>
      <c r="Z2" s="80" t="s">
        <v>72</v>
      </c>
      <c r="AA2" s="80" t="s">
        <v>82</v>
      </c>
      <c r="AB2" s="80" t="s">
        <v>194</v>
      </c>
      <c r="AE2" s="106" t="s">
        <v>24</v>
      </c>
      <c r="AG2" s="107" t="s">
        <v>192</v>
      </c>
      <c r="AH2" s="108" t="s">
        <v>193</v>
      </c>
      <c r="AJ2" s="50" t="s">
        <v>25</v>
      </c>
      <c r="AL2" s="109" t="s">
        <v>195</v>
      </c>
      <c r="AN2" s="50" t="s">
        <v>26</v>
      </c>
      <c r="AP2" s="50" t="s">
        <v>27</v>
      </c>
      <c r="AR2" s="50" t="s">
        <v>112</v>
      </c>
      <c r="AT2" s="50" t="s">
        <v>28</v>
      </c>
      <c r="AV2" s="50" t="s">
        <v>29</v>
      </c>
      <c r="AX2" s="110">
        <v>1</v>
      </c>
      <c r="AY2" s="111">
        <v>50</v>
      </c>
      <c r="AZ2" s="111">
        <v>1</v>
      </c>
      <c r="BA2" s="112">
        <v>50</v>
      </c>
    </row>
    <row r="3" spans="1:53" x14ac:dyDescent="0.15">
      <c r="A3" s="80" t="s">
        <v>30</v>
      </c>
      <c r="B3" s="80" t="s">
        <v>190</v>
      </c>
      <c r="C3" s="80">
        <v>2020</v>
      </c>
      <c r="D3" s="104" t="s">
        <v>191</v>
      </c>
      <c r="E3" s="80" t="s">
        <v>192</v>
      </c>
      <c r="F3" s="80" t="s">
        <v>193</v>
      </c>
      <c r="G3" s="80" t="s">
        <v>25</v>
      </c>
      <c r="H3" s="80" t="s">
        <v>113</v>
      </c>
      <c r="I3" s="80" t="s">
        <v>111</v>
      </c>
      <c r="J3" s="80" t="s">
        <v>27</v>
      </c>
      <c r="K3" s="80" t="s">
        <v>112</v>
      </c>
      <c r="L3" s="80">
        <v>2</v>
      </c>
      <c r="N3" s="80">
        <v>1</v>
      </c>
      <c r="O3" s="80">
        <v>0.65</v>
      </c>
      <c r="P3" s="80">
        <v>0.5</v>
      </c>
      <c r="Q3" s="105">
        <f t="shared" si="0"/>
        <v>0.57499999999999996</v>
      </c>
      <c r="R3" s="80">
        <v>12.7</v>
      </c>
      <c r="S3" s="80">
        <v>124</v>
      </c>
      <c r="T3" s="16">
        <f t="shared" si="1"/>
        <v>27</v>
      </c>
      <c r="U3" s="80">
        <v>78</v>
      </c>
      <c r="V3" s="16">
        <f t="shared" si="2"/>
        <v>2106</v>
      </c>
      <c r="W3" s="80">
        <v>2</v>
      </c>
      <c r="X3" s="80" t="s">
        <v>35</v>
      </c>
      <c r="Y3" s="80" t="s">
        <v>64</v>
      </c>
      <c r="Z3" s="80" t="s">
        <v>72</v>
      </c>
      <c r="AA3" s="80" t="s">
        <v>82</v>
      </c>
      <c r="AB3" s="80" t="s">
        <v>194</v>
      </c>
      <c r="AE3" s="22" t="s">
        <v>30</v>
      </c>
      <c r="AG3" s="113" t="s">
        <v>196</v>
      </c>
      <c r="AH3" s="113" t="s">
        <v>193</v>
      </c>
      <c r="AJ3" s="83" t="s">
        <v>31</v>
      </c>
      <c r="AL3" s="83" t="s">
        <v>197</v>
      </c>
      <c r="AN3" s="83" t="s">
        <v>32</v>
      </c>
      <c r="AP3" s="83" t="s">
        <v>33</v>
      </c>
      <c r="AR3" s="83" t="s">
        <v>34</v>
      </c>
      <c r="AT3" s="83" t="s">
        <v>35</v>
      </c>
      <c r="AV3" s="83" t="s">
        <v>36</v>
      </c>
      <c r="AX3" s="24">
        <v>72</v>
      </c>
      <c r="AY3" s="25">
        <v>46</v>
      </c>
      <c r="AZ3" s="25">
        <v>71</v>
      </c>
      <c r="BA3" s="26">
        <v>42</v>
      </c>
    </row>
    <row r="4" spans="1:53" x14ac:dyDescent="0.15">
      <c r="A4" s="80" t="s">
        <v>30</v>
      </c>
      <c r="B4" s="80" t="s">
        <v>190</v>
      </c>
      <c r="C4" s="80">
        <v>2020</v>
      </c>
      <c r="D4" s="104" t="s">
        <v>191</v>
      </c>
      <c r="E4" s="80" t="s">
        <v>192</v>
      </c>
      <c r="F4" s="80" t="s">
        <v>193</v>
      </c>
      <c r="G4" s="80" t="s">
        <v>25</v>
      </c>
      <c r="H4" s="80" t="s">
        <v>113</v>
      </c>
      <c r="I4" s="80" t="s">
        <v>111</v>
      </c>
      <c r="J4" s="80" t="s">
        <v>27</v>
      </c>
      <c r="K4" s="80" t="s">
        <v>112</v>
      </c>
      <c r="L4" s="80">
        <v>3</v>
      </c>
      <c r="N4" s="80">
        <v>1</v>
      </c>
      <c r="O4" s="80">
        <v>0.45</v>
      </c>
      <c r="P4" s="80">
        <v>0.55000000000000004</v>
      </c>
      <c r="Q4" s="105">
        <f t="shared" si="0"/>
        <v>0.5</v>
      </c>
      <c r="R4" s="80">
        <v>12.4</v>
      </c>
      <c r="S4" s="80">
        <v>126</v>
      </c>
      <c r="T4" s="16">
        <f t="shared" si="1"/>
        <v>27</v>
      </c>
      <c r="U4" s="80">
        <v>78</v>
      </c>
      <c r="V4" s="16">
        <f t="shared" si="2"/>
        <v>2106</v>
      </c>
      <c r="W4" s="80">
        <v>2</v>
      </c>
      <c r="X4" s="80" t="s">
        <v>35</v>
      </c>
      <c r="Y4" s="80" t="s">
        <v>64</v>
      </c>
      <c r="Z4" s="80" t="s">
        <v>72</v>
      </c>
      <c r="AA4" s="80" t="s">
        <v>82</v>
      </c>
      <c r="AB4" s="80" t="s">
        <v>194</v>
      </c>
      <c r="AE4" s="22" t="s">
        <v>23</v>
      </c>
      <c r="AG4" s="113" t="s">
        <v>196</v>
      </c>
      <c r="AH4" s="113" t="s">
        <v>198</v>
      </c>
      <c r="AJ4" s="27" t="s">
        <v>37</v>
      </c>
      <c r="AL4" s="83" t="s">
        <v>199</v>
      </c>
      <c r="AN4" s="28" t="s">
        <v>200</v>
      </c>
      <c r="AP4" s="83" t="s">
        <v>201</v>
      </c>
      <c r="AR4" s="83" t="s">
        <v>202</v>
      </c>
      <c r="AT4" s="28"/>
      <c r="AV4" s="83" t="s">
        <v>39</v>
      </c>
      <c r="AX4" s="24">
        <v>75</v>
      </c>
      <c r="AY4" s="25">
        <v>42</v>
      </c>
      <c r="AZ4" s="25">
        <v>76</v>
      </c>
      <c r="BA4" s="26">
        <v>39</v>
      </c>
    </row>
    <row r="5" spans="1:53" ht="13.5" customHeight="1" x14ac:dyDescent="0.15">
      <c r="A5" s="80" t="s">
        <v>30</v>
      </c>
      <c r="B5" s="80" t="s">
        <v>190</v>
      </c>
      <c r="C5" s="80">
        <v>2020</v>
      </c>
      <c r="D5" s="104" t="s">
        <v>203</v>
      </c>
      <c r="E5" s="80" t="s">
        <v>192</v>
      </c>
      <c r="F5" s="80" t="s">
        <v>193</v>
      </c>
      <c r="G5" s="80" t="s">
        <v>25</v>
      </c>
      <c r="H5" s="80" t="s">
        <v>113</v>
      </c>
      <c r="I5" s="80" t="s">
        <v>172</v>
      </c>
      <c r="J5" s="80" t="s">
        <v>27</v>
      </c>
      <c r="K5" s="80" t="s">
        <v>112</v>
      </c>
      <c r="L5" s="80">
        <v>1</v>
      </c>
      <c r="N5" s="80">
        <v>10</v>
      </c>
      <c r="O5" s="80">
        <v>0.35</v>
      </c>
      <c r="P5" s="80">
        <v>0.35</v>
      </c>
      <c r="Q5" s="105">
        <f t="shared" si="0"/>
        <v>0.35</v>
      </c>
      <c r="R5" s="80">
        <v>16.5</v>
      </c>
      <c r="S5" s="80">
        <v>112</v>
      </c>
      <c r="T5" s="16">
        <f t="shared" si="1"/>
        <v>33</v>
      </c>
      <c r="U5" s="80">
        <v>780</v>
      </c>
      <c r="V5" s="16">
        <f t="shared" si="2"/>
        <v>2574</v>
      </c>
      <c r="W5" s="80">
        <v>2</v>
      </c>
      <c r="X5" s="80" t="s">
        <v>35</v>
      </c>
      <c r="Y5" s="80" t="s">
        <v>64</v>
      </c>
      <c r="Z5" s="80" t="s">
        <v>72</v>
      </c>
      <c r="AA5" s="80" t="s">
        <v>82</v>
      </c>
      <c r="AB5" s="80" t="s">
        <v>194</v>
      </c>
      <c r="AE5" s="22" t="s">
        <v>40</v>
      </c>
      <c r="AG5" s="113" t="s">
        <v>204</v>
      </c>
      <c r="AH5" s="113" t="s">
        <v>193</v>
      </c>
      <c r="AJ5" s="28"/>
      <c r="AL5" s="83" t="s">
        <v>113</v>
      </c>
      <c r="AN5" s="114" t="s">
        <v>111</v>
      </c>
      <c r="AP5" s="83" t="s">
        <v>205</v>
      </c>
      <c r="AR5" s="83" t="s">
        <v>42</v>
      </c>
      <c r="AV5" s="83" t="s">
        <v>43</v>
      </c>
      <c r="AX5" s="24">
        <v>84</v>
      </c>
      <c r="AY5" s="25">
        <v>39</v>
      </c>
      <c r="AZ5" s="25">
        <v>84</v>
      </c>
      <c r="BA5" s="26">
        <v>36</v>
      </c>
    </row>
    <row r="6" spans="1:53" x14ac:dyDescent="0.15">
      <c r="A6" s="80" t="s">
        <v>30</v>
      </c>
      <c r="B6" s="80" t="s">
        <v>190</v>
      </c>
      <c r="C6" s="80">
        <v>2020</v>
      </c>
      <c r="D6" s="104" t="s">
        <v>203</v>
      </c>
      <c r="E6" s="80" t="s">
        <v>192</v>
      </c>
      <c r="F6" s="80" t="s">
        <v>193</v>
      </c>
      <c r="G6" s="80" t="s">
        <v>25</v>
      </c>
      <c r="H6" s="80" t="s">
        <v>113</v>
      </c>
      <c r="I6" s="80" t="s">
        <v>172</v>
      </c>
      <c r="J6" s="80" t="s">
        <v>27</v>
      </c>
      <c r="K6" s="80" t="s">
        <v>112</v>
      </c>
      <c r="L6" s="80">
        <v>2</v>
      </c>
      <c r="N6" s="80">
        <v>10</v>
      </c>
      <c r="O6" s="80">
        <v>0.3</v>
      </c>
      <c r="P6" s="80">
        <v>0.35</v>
      </c>
      <c r="Q6" s="105">
        <f t="shared" si="0"/>
        <v>0.32499999999999996</v>
      </c>
      <c r="R6" s="80">
        <v>15.7</v>
      </c>
      <c r="S6" s="80">
        <v>110</v>
      </c>
      <c r="T6" s="16">
        <f t="shared" si="1"/>
        <v>33</v>
      </c>
      <c r="U6" s="80">
        <v>780</v>
      </c>
      <c r="V6" s="16">
        <f t="shared" si="2"/>
        <v>2574</v>
      </c>
      <c r="W6" s="80">
        <v>2</v>
      </c>
      <c r="X6" s="80" t="s">
        <v>35</v>
      </c>
      <c r="Y6" s="80" t="s">
        <v>64</v>
      </c>
      <c r="Z6" s="80" t="s">
        <v>72</v>
      </c>
      <c r="AA6" s="80" t="s">
        <v>82</v>
      </c>
      <c r="AB6" s="80" t="s">
        <v>194</v>
      </c>
      <c r="AE6" s="22" t="s">
        <v>44</v>
      </c>
      <c r="AG6" s="113" t="s">
        <v>204</v>
      </c>
      <c r="AH6" s="113" t="s">
        <v>206</v>
      </c>
      <c r="AL6" s="83" t="s">
        <v>207</v>
      </c>
      <c r="AN6" s="114" t="s">
        <v>172</v>
      </c>
      <c r="AP6" s="83" t="s">
        <v>41</v>
      </c>
      <c r="AR6" s="83" t="s">
        <v>46</v>
      </c>
      <c r="AV6" s="83" t="s">
        <v>47</v>
      </c>
      <c r="AX6" s="24">
        <v>97</v>
      </c>
      <c r="AY6" s="25">
        <v>36</v>
      </c>
      <c r="AZ6" s="25">
        <v>99</v>
      </c>
      <c r="BA6" s="26">
        <v>33</v>
      </c>
    </row>
    <row r="7" spans="1:53" x14ac:dyDescent="0.15">
      <c r="A7" s="80" t="s">
        <v>30</v>
      </c>
      <c r="B7" s="80" t="s">
        <v>190</v>
      </c>
      <c r="C7" s="80">
        <v>2020</v>
      </c>
      <c r="D7" s="104" t="s">
        <v>203</v>
      </c>
      <c r="E7" s="80" t="s">
        <v>192</v>
      </c>
      <c r="F7" s="80" t="s">
        <v>193</v>
      </c>
      <c r="G7" s="80" t="s">
        <v>25</v>
      </c>
      <c r="H7" s="80" t="s">
        <v>113</v>
      </c>
      <c r="I7" s="80" t="s">
        <v>172</v>
      </c>
      <c r="J7" s="80" t="s">
        <v>27</v>
      </c>
      <c r="K7" s="80" t="s">
        <v>112</v>
      </c>
      <c r="L7" s="80">
        <v>3</v>
      </c>
      <c r="N7" s="80">
        <v>10</v>
      </c>
      <c r="O7" s="80">
        <v>0.35</v>
      </c>
      <c r="P7" s="80">
        <v>0.25</v>
      </c>
      <c r="Q7" s="105">
        <f t="shared" si="0"/>
        <v>0.3</v>
      </c>
      <c r="R7" s="80">
        <v>15.2</v>
      </c>
      <c r="S7" s="80">
        <v>113</v>
      </c>
      <c r="T7" s="16">
        <f t="shared" si="1"/>
        <v>30</v>
      </c>
      <c r="U7" s="80">
        <v>780</v>
      </c>
      <c r="V7" s="16">
        <f t="shared" si="2"/>
        <v>2340</v>
      </c>
      <c r="W7" s="80">
        <v>2</v>
      </c>
      <c r="X7" s="80" t="s">
        <v>35</v>
      </c>
      <c r="Y7" s="80" t="s">
        <v>64</v>
      </c>
      <c r="Z7" s="80" t="s">
        <v>72</v>
      </c>
      <c r="AA7" s="80" t="s">
        <v>82</v>
      </c>
      <c r="AB7" s="80" t="s">
        <v>194</v>
      </c>
      <c r="AE7" s="22" t="s">
        <v>48</v>
      </c>
      <c r="AG7" s="113" t="s">
        <v>208</v>
      </c>
      <c r="AH7" s="113" t="s">
        <v>206</v>
      </c>
      <c r="AL7" s="83" t="s">
        <v>209</v>
      </c>
      <c r="AP7" s="83" t="s">
        <v>45</v>
      </c>
      <c r="AR7" s="83" t="s">
        <v>210</v>
      </c>
      <c r="AV7" s="83" t="s">
        <v>51</v>
      </c>
      <c r="AX7" s="24">
        <v>109</v>
      </c>
      <c r="AY7" s="25">
        <v>33</v>
      </c>
      <c r="AZ7" s="25">
        <v>113</v>
      </c>
      <c r="BA7" s="26">
        <v>30</v>
      </c>
    </row>
    <row r="8" spans="1:53" x14ac:dyDescent="0.15">
      <c r="A8" s="80" t="s">
        <v>30</v>
      </c>
      <c r="B8" s="80" t="s">
        <v>190</v>
      </c>
      <c r="C8" s="80">
        <v>2020</v>
      </c>
      <c r="D8" s="104" t="s">
        <v>203</v>
      </c>
      <c r="E8" s="80" t="s">
        <v>192</v>
      </c>
      <c r="F8" s="80" t="s">
        <v>193</v>
      </c>
      <c r="G8" s="80" t="s">
        <v>25</v>
      </c>
      <c r="H8" s="80" t="s">
        <v>167</v>
      </c>
      <c r="I8" s="80" t="s">
        <v>111</v>
      </c>
      <c r="J8" s="80" t="s">
        <v>27</v>
      </c>
      <c r="K8" s="80" t="s">
        <v>112</v>
      </c>
      <c r="L8" s="80">
        <v>1</v>
      </c>
      <c r="N8" s="80">
        <v>1</v>
      </c>
      <c r="O8" s="80">
        <v>0.65</v>
      </c>
      <c r="P8" s="80">
        <v>0.7</v>
      </c>
      <c r="Q8" s="105">
        <f t="shared" si="0"/>
        <v>0.67500000000000004</v>
      </c>
      <c r="R8" s="80">
        <v>13.8</v>
      </c>
      <c r="S8" s="80">
        <v>127</v>
      </c>
      <c r="T8" s="115">
        <f t="shared" si="1"/>
        <v>27</v>
      </c>
      <c r="U8" s="80">
        <v>128</v>
      </c>
      <c r="V8" s="115">
        <f t="shared" si="2"/>
        <v>3456</v>
      </c>
      <c r="W8" s="80">
        <v>1</v>
      </c>
      <c r="X8" s="80" t="s">
        <v>35</v>
      </c>
      <c r="Y8" s="80" t="s">
        <v>64</v>
      </c>
      <c r="Z8" s="80" t="s">
        <v>72</v>
      </c>
      <c r="AA8" s="80" t="s">
        <v>82</v>
      </c>
      <c r="AB8" s="80" t="s">
        <v>194</v>
      </c>
      <c r="AE8" s="22" t="s">
        <v>46</v>
      </c>
      <c r="AG8" s="113" t="s">
        <v>211</v>
      </c>
      <c r="AH8" s="113" t="s">
        <v>212</v>
      </c>
      <c r="AL8" s="83" t="s">
        <v>167</v>
      </c>
      <c r="AP8" s="83" t="s">
        <v>49</v>
      </c>
      <c r="AR8" s="83" t="s">
        <v>67</v>
      </c>
      <c r="AV8" s="83" t="s">
        <v>82</v>
      </c>
      <c r="AX8" s="24">
        <v>119</v>
      </c>
      <c r="AY8" s="25">
        <v>30</v>
      </c>
      <c r="AZ8" s="25">
        <v>121</v>
      </c>
      <c r="BA8" s="26">
        <v>27</v>
      </c>
    </row>
    <row r="9" spans="1:53" x14ac:dyDescent="0.15">
      <c r="A9" s="80" t="s">
        <v>30</v>
      </c>
      <c r="B9" s="80" t="s">
        <v>190</v>
      </c>
      <c r="C9" s="80">
        <v>2020</v>
      </c>
      <c r="D9" s="104" t="s">
        <v>203</v>
      </c>
      <c r="E9" s="80" t="s">
        <v>192</v>
      </c>
      <c r="F9" s="80" t="s">
        <v>193</v>
      </c>
      <c r="G9" s="80" t="s">
        <v>25</v>
      </c>
      <c r="H9" s="80" t="s">
        <v>167</v>
      </c>
      <c r="I9" s="80" t="s">
        <v>111</v>
      </c>
      <c r="J9" s="80" t="s">
        <v>27</v>
      </c>
      <c r="K9" s="80" t="s">
        <v>112</v>
      </c>
      <c r="L9" s="80">
        <v>2</v>
      </c>
      <c r="N9" s="80">
        <v>1</v>
      </c>
      <c r="O9" s="80">
        <v>0.7</v>
      </c>
      <c r="P9" s="80">
        <v>0.85</v>
      </c>
      <c r="Q9" s="105">
        <f t="shared" si="0"/>
        <v>0.77499999999999991</v>
      </c>
      <c r="R9" s="80">
        <v>14.8</v>
      </c>
      <c r="S9" s="80">
        <v>124</v>
      </c>
      <c r="T9" s="115">
        <f t="shared" si="1"/>
        <v>27</v>
      </c>
      <c r="U9" s="80">
        <v>128</v>
      </c>
      <c r="V9" s="16">
        <f t="shared" si="2"/>
        <v>3456</v>
      </c>
      <c r="W9" s="80">
        <v>1</v>
      </c>
      <c r="X9" s="80" t="s">
        <v>35</v>
      </c>
      <c r="Y9" s="80" t="s">
        <v>64</v>
      </c>
      <c r="Z9" s="80" t="s">
        <v>72</v>
      </c>
      <c r="AA9" s="80" t="s">
        <v>82</v>
      </c>
      <c r="AB9" s="80" t="s">
        <v>194</v>
      </c>
      <c r="AE9" s="22" t="s">
        <v>213</v>
      </c>
      <c r="AG9" s="113" t="s">
        <v>214</v>
      </c>
      <c r="AH9" s="113" t="s">
        <v>215</v>
      </c>
      <c r="AL9" s="83" t="s">
        <v>216</v>
      </c>
      <c r="AP9" s="83" t="s">
        <v>80</v>
      </c>
      <c r="AR9" s="83" t="s">
        <v>217</v>
      </c>
      <c r="AV9" s="83" t="s">
        <v>86</v>
      </c>
      <c r="AX9" s="24">
        <v>128</v>
      </c>
      <c r="AY9" s="25">
        <v>27</v>
      </c>
      <c r="AZ9" s="25">
        <v>129</v>
      </c>
      <c r="BA9" s="26">
        <v>25</v>
      </c>
    </row>
    <row r="10" spans="1:53" x14ac:dyDescent="0.15">
      <c r="A10" s="80" t="s">
        <v>30</v>
      </c>
      <c r="B10" s="80" t="s">
        <v>190</v>
      </c>
      <c r="C10" s="80">
        <v>2020</v>
      </c>
      <c r="D10" s="104" t="s">
        <v>203</v>
      </c>
      <c r="E10" s="80" t="s">
        <v>192</v>
      </c>
      <c r="F10" s="80" t="s">
        <v>193</v>
      </c>
      <c r="G10" s="80" t="s">
        <v>25</v>
      </c>
      <c r="H10" s="80" t="s">
        <v>167</v>
      </c>
      <c r="I10" s="80" t="s">
        <v>111</v>
      </c>
      <c r="J10" s="80" t="s">
        <v>27</v>
      </c>
      <c r="K10" s="80" t="s">
        <v>112</v>
      </c>
      <c r="L10" s="80">
        <v>3</v>
      </c>
      <c r="N10" s="80">
        <v>1</v>
      </c>
      <c r="O10" s="80">
        <v>0.9</v>
      </c>
      <c r="P10" s="80">
        <v>1</v>
      </c>
      <c r="Q10" s="105">
        <f t="shared" si="0"/>
        <v>0.95</v>
      </c>
      <c r="R10" s="80">
        <v>15.1</v>
      </c>
      <c r="S10" s="80">
        <v>126</v>
      </c>
      <c r="T10" s="115">
        <f t="shared" si="1"/>
        <v>27</v>
      </c>
      <c r="U10" s="80">
        <v>128</v>
      </c>
      <c r="V10" s="16">
        <f t="shared" si="2"/>
        <v>3456</v>
      </c>
      <c r="W10" s="80">
        <v>1</v>
      </c>
      <c r="X10" s="80" t="s">
        <v>35</v>
      </c>
      <c r="Y10" s="80" t="s">
        <v>64</v>
      </c>
      <c r="Z10" s="80" t="s">
        <v>72</v>
      </c>
      <c r="AA10" s="80" t="s">
        <v>82</v>
      </c>
      <c r="AB10" s="80" t="s">
        <v>194</v>
      </c>
      <c r="AE10" s="22" t="s">
        <v>218</v>
      </c>
      <c r="AG10" s="113" t="s">
        <v>211</v>
      </c>
      <c r="AH10" s="113" t="s">
        <v>219</v>
      </c>
      <c r="AP10" s="83" t="s">
        <v>84</v>
      </c>
      <c r="AR10" s="83" t="s">
        <v>220</v>
      </c>
      <c r="AV10" s="83" t="s">
        <v>90</v>
      </c>
      <c r="AX10" s="24">
        <v>138</v>
      </c>
      <c r="AY10" s="25">
        <v>25</v>
      </c>
      <c r="AZ10" s="25">
        <v>138</v>
      </c>
      <c r="BA10" s="26">
        <v>22</v>
      </c>
    </row>
    <row r="11" spans="1:53" x14ac:dyDescent="0.15">
      <c r="A11" s="80" t="s">
        <v>30</v>
      </c>
      <c r="B11" s="80" t="s">
        <v>190</v>
      </c>
      <c r="C11" s="80">
        <v>2020</v>
      </c>
      <c r="D11" s="104" t="s">
        <v>203</v>
      </c>
      <c r="E11" s="80" t="s">
        <v>192</v>
      </c>
      <c r="F11" s="80" t="s">
        <v>193</v>
      </c>
      <c r="G11" s="80" t="s">
        <v>25</v>
      </c>
      <c r="H11" s="80" t="s">
        <v>167</v>
      </c>
      <c r="I11" s="80" t="s">
        <v>111</v>
      </c>
      <c r="J11" s="80" t="s">
        <v>27</v>
      </c>
      <c r="K11" s="80" t="s">
        <v>112</v>
      </c>
      <c r="L11" s="80">
        <v>1</v>
      </c>
      <c r="N11" s="80">
        <v>6</v>
      </c>
      <c r="O11" s="80">
        <v>0.4</v>
      </c>
      <c r="P11" s="80">
        <v>0.45</v>
      </c>
      <c r="Q11" s="105">
        <f t="shared" si="0"/>
        <v>0.42500000000000004</v>
      </c>
      <c r="R11" s="80">
        <v>14.2</v>
      </c>
      <c r="S11" s="80">
        <v>124</v>
      </c>
      <c r="T11" s="115">
        <f t="shared" si="1"/>
        <v>27</v>
      </c>
      <c r="U11" s="80">
        <v>698</v>
      </c>
      <c r="V11" s="115">
        <f t="shared" si="2"/>
        <v>3141</v>
      </c>
      <c r="W11" s="80">
        <v>1</v>
      </c>
      <c r="X11" s="80" t="s">
        <v>35</v>
      </c>
      <c r="Y11" s="80" t="s">
        <v>64</v>
      </c>
      <c r="Z11" s="80" t="s">
        <v>72</v>
      </c>
      <c r="AA11" s="80" t="s">
        <v>82</v>
      </c>
      <c r="AB11" s="80" t="s">
        <v>194</v>
      </c>
      <c r="AE11" s="22" t="s">
        <v>54</v>
      </c>
      <c r="AG11" s="113" t="s">
        <v>221</v>
      </c>
      <c r="AH11" s="113" t="s">
        <v>222</v>
      </c>
      <c r="AP11" s="83" t="s">
        <v>88</v>
      </c>
      <c r="AR11" s="83" t="s">
        <v>223</v>
      </c>
      <c r="AV11" s="83" t="s">
        <v>55</v>
      </c>
      <c r="AX11" s="24">
        <v>151</v>
      </c>
      <c r="AY11" s="25">
        <v>22</v>
      </c>
      <c r="AZ11" s="25">
        <v>152</v>
      </c>
      <c r="BA11" s="26">
        <v>18</v>
      </c>
    </row>
    <row r="12" spans="1:53" x14ac:dyDescent="0.15">
      <c r="A12" s="80" t="s">
        <v>30</v>
      </c>
      <c r="B12" s="80" t="s">
        <v>190</v>
      </c>
      <c r="C12" s="80">
        <v>2020</v>
      </c>
      <c r="D12" s="104" t="s">
        <v>203</v>
      </c>
      <c r="E12" s="80" t="s">
        <v>192</v>
      </c>
      <c r="F12" s="80" t="s">
        <v>193</v>
      </c>
      <c r="G12" s="80" t="s">
        <v>25</v>
      </c>
      <c r="H12" s="80" t="s">
        <v>167</v>
      </c>
      <c r="I12" s="80" t="s">
        <v>111</v>
      </c>
      <c r="J12" s="80" t="s">
        <v>27</v>
      </c>
      <c r="K12" s="80" t="s">
        <v>112</v>
      </c>
      <c r="L12" s="80">
        <v>2</v>
      </c>
      <c r="N12" s="80">
        <v>6</v>
      </c>
      <c r="O12" s="80">
        <v>0.35</v>
      </c>
      <c r="P12" s="80">
        <v>0.4</v>
      </c>
      <c r="Q12" s="105">
        <f t="shared" si="0"/>
        <v>0.375</v>
      </c>
      <c r="R12" s="80">
        <v>16.8</v>
      </c>
      <c r="S12" s="80">
        <v>123</v>
      </c>
      <c r="T12" s="115">
        <f t="shared" si="1"/>
        <v>27</v>
      </c>
      <c r="U12" s="80">
        <v>698</v>
      </c>
      <c r="V12" s="16">
        <f t="shared" si="2"/>
        <v>3141</v>
      </c>
      <c r="W12" s="80">
        <v>1</v>
      </c>
      <c r="X12" s="80" t="s">
        <v>35</v>
      </c>
      <c r="Y12" s="80" t="s">
        <v>64</v>
      </c>
      <c r="Z12" s="80" t="s">
        <v>72</v>
      </c>
      <c r="AA12" s="80" t="s">
        <v>82</v>
      </c>
      <c r="AB12" s="80" t="s">
        <v>194</v>
      </c>
      <c r="AE12" s="22" t="s">
        <v>224</v>
      </c>
      <c r="AG12" s="22"/>
      <c r="AH12" s="22"/>
      <c r="AP12" s="83" t="s">
        <v>53</v>
      </c>
      <c r="AR12" s="83" t="s">
        <v>225</v>
      </c>
      <c r="AV12" s="83" t="s">
        <v>58</v>
      </c>
      <c r="AX12" s="31">
        <v>180</v>
      </c>
      <c r="AY12" s="32">
        <v>18</v>
      </c>
      <c r="AZ12" s="32">
        <v>181</v>
      </c>
      <c r="BA12" s="33">
        <v>16</v>
      </c>
    </row>
    <row r="13" spans="1:53" x14ac:dyDescent="0.15">
      <c r="A13" s="80" t="s">
        <v>30</v>
      </c>
      <c r="B13" s="80" t="s">
        <v>190</v>
      </c>
      <c r="C13" s="80">
        <v>2020</v>
      </c>
      <c r="D13" s="104" t="s">
        <v>203</v>
      </c>
      <c r="E13" s="80" t="s">
        <v>192</v>
      </c>
      <c r="F13" s="80" t="s">
        <v>193</v>
      </c>
      <c r="G13" s="80" t="s">
        <v>25</v>
      </c>
      <c r="H13" s="80" t="s">
        <v>167</v>
      </c>
      <c r="I13" s="80" t="s">
        <v>111</v>
      </c>
      <c r="J13" s="80" t="s">
        <v>27</v>
      </c>
      <c r="K13" s="80" t="s">
        <v>112</v>
      </c>
      <c r="L13" s="80">
        <v>3</v>
      </c>
      <c r="N13" s="80">
        <v>6</v>
      </c>
      <c r="O13" s="80">
        <v>0.5</v>
      </c>
      <c r="P13" s="80">
        <v>0.55000000000000004</v>
      </c>
      <c r="Q13" s="105">
        <f t="shared" si="0"/>
        <v>0.52500000000000002</v>
      </c>
      <c r="R13" s="80">
        <v>16.399999999999999</v>
      </c>
      <c r="S13" s="80">
        <v>122</v>
      </c>
      <c r="T13" s="115">
        <f t="shared" si="1"/>
        <v>27</v>
      </c>
      <c r="U13" s="80">
        <v>698</v>
      </c>
      <c r="V13" s="16">
        <f t="shared" si="2"/>
        <v>3141</v>
      </c>
      <c r="W13" s="80">
        <v>1</v>
      </c>
      <c r="X13" s="80" t="s">
        <v>35</v>
      </c>
      <c r="Y13" s="80" t="s">
        <v>64</v>
      </c>
      <c r="Z13" s="80" t="s">
        <v>72</v>
      </c>
      <c r="AA13" s="80" t="s">
        <v>82</v>
      </c>
      <c r="AB13" s="80" t="s">
        <v>194</v>
      </c>
      <c r="AE13" s="22" t="s">
        <v>226</v>
      </c>
      <c r="AG13" s="83"/>
      <c r="AH13" s="83"/>
      <c r="AP13" s="83" t="s">
        <v>57</v>
      </c>
      <c r="AR13" s="83" t="s">
        <v>218</v>
      </c>
      <c r="AV13" s="83" t="s">
        <v>61</v>
      </c>
    </row>
    <row r="14" spans="1:53" x14ac:dyDescent="0.15">
      <c r="A14" s="80" t="s">
        <v>30</v>
      </c>
      <c r="B14" s="80" t="s">
        <v>190</v>
      </c>
      <c r="C14" s="80">
        <v>2020</v>
      </c>
      <c r="D14" s="104" t="s">
        <v>203</v>
      </c>
      <c r="E14" s="80" t="s">
        <v>196</v>
      </c>
      <c r="F14" s="80" t="s">
        <v>193</v>
      </c>
      <c r="G14" s="80" t="s">
        <v>25</v>
      </c>
      <c r="H14" s="80" t="s">
        <v>167</v>
      </c>
      <c r="I14" s="80" t="s">
        <v>111</v>
      </c>
      <c r="J14" s="80" t="s">
        <v>27</v>
      </c>
      <c r="K14" s="80" t="s">
        <v>112</v>
      </c>
      <c r="L14" s="80">
        <v>1</v>
      </c>
      <c r="N14" s="80">
        <v>1</v>
      </c>
      <c r="O14" s="80">
        <v>0.7</v>
      </c>
      <c r="P14" s="80">
        <v>0.65</v>
      </c>
      <c r="Q14" s="105">
        <f t="shared" si="0"/>
        <v>0.67500000000000004</v>
      </c>
      <c r="R14" s="80">
        <v>14.2</v>
      </c>
      <c r="S14" s="80">
        <v>123</v>
      </c>
      <c r="T14" s="115">
        <f t="shared" si="1"/>
        <v>27</v>
      </c>
      <c r="U14" s="80">
        <v>138</v>
      </c>
      <c r="V14" s="16">
        <f t="shared" si="2"/>
        <v>3726</v>
      </c>
      <c r="W14" s="80">
        <v>2</v>
      </c>
      <c r="X14" s="80" t="s">
        <v>35</v>
      </c>
      <c r="Y14" s="80" t="s">
        <v>64</v>
      </c>
      <c r="Z14" s="80" t="s">
        <v>82</v>
      </c>
      <c r="AA14" s="80" t="s">
        <v>72</v>
      </c>
      <c r="AB14" s="80" t="s">
        <v>194</v>
      </c>
      <c r="AE14" s="22" t="s">
        <v>81</v>
      </c>
      <c r="AG14" s="83"/>
      <c r="AH14" s="83"/>
      <c r="AP14" s="83" t="s">
        <v>60</v>
      </c>
      <c r="AR14" s="83" t="s">
        <v>227</v>
      </c>
      <c r="AV14" s="83" t="s">
        <v>64</v>
      </c>
    </row>
    <row r="15" spans="1:53" x14ac:dyDescent="0.15">
      <c r="A15" s="80" t="s">
        <v>30</v>
      </c>
      <c r="B15" s="80" t="s">
        <v>190</v>
      </c>
      <c r="C15" s="80">
        <v>2020</v>
      </c>
      <c r="D15" s="104" t="s">
        <v>203</v>
      </c>
      <c r="E15" s="80" t="s">
        <v>196</v>
      </c>
      <c r="F15" s="80" t="s">
        <v>193</v>
      </c>
      <c r="G15" s="80" t="s">
        <v>25</v>
      </c>
      <c r="H15" s="80" t="s">
        <v>167</v>
      </c>
      <c r="I15" s="80" t="s">
        <v>111</v>
      </c>
      <c r="J15" s="80" t="s">
        <v>27</v>
      </c>
      <c r="K15" s="80" t="s">
        <v>112</v>
      </c>
      <c r="L15" s="80">
        <v>2</v>
      </c>
      <c r="N15" s="80">
        <v>1</v>
      </c>
      <c r="O15" s="80">
        <v>0.85</v>
      </c>
      <c r="P15" s="80">
        <v>0.8</v>
      </c>
      <c r="Q15" s="105">
        <f t="shared" si="0"/>
        <v>0.82499999999999996</v>
      </c>
      <c r="R15" s="80">
        <v>15.2</v>
      </c>
      <c r="S15" s="80">
        <v>122</v>
      </c>
      <c r="T15" s="115">
        <f t="shared" si="1"/>
        <v>27</v>
      </c>
      <c r="U15" s="80">
        <v>138</v>
      </c>
      <c r="V15" s="16">
        <f t="shared" si="2"/>
        <v>3726</v>
      </c>
      <c r="W15" s="80">
        <v>2</v>
      </c>
      <c r="X15" s="80" t="s">
        <v>35</v>
      </c>
      <c r="Y15" s="80" t="s">
        <v>64</v>
      </c>
      <c r="Z15" s="80" t="s">
        <v>82</v>
      </c>
      <c r="AA15" s="80" t="s">
        <v>72</v>
      </c>
      <c r="AB15" s="80" t="s">
        <v>194</v>
      </c>
      <c r="AE15" s="22" t="s">
        <v>228</v>
      </c>
      <c r="AG15" s="83"/>
      <c r="AH15" s="83"/>
      <c r="AP15" s="83" t="s">
        <v>63</v>
      </c>
      <c r="AR15" s="83" t="s">
        <v>66</v>
      </c>
      <c r="AV15" s="83" t="s">
        <v>91</v>
      </c>
    </row>
    <row r="16" spans="1:53" x14ac:dyDescent="0.15">
      <c r="A16" s="80" t="s">
        <v>30</v>
      </c>
      <c r="B16" s="80" t="s">
        <v>190</v>
      </c>
      <c r="C16" s="80">
        <v>2020</v>
      </c>
      <c r="D16" s="104" t="s">
        <v>203</v>
      </c>
      <c r="E16" s="80" t="s">
        <v>196</v>
      </c>
      <c r="F16" s="80" t="s">
        <v>193</v>
      </c>
      <c r="G16" s="80" t="s">
        <v>25</v>
      </c>
      <c r="H16" s="80" t="s">
        <v>167</v>
      </c>
      <c r="I16" s="80" t="s">
        <v>111</v>
      </c>
      <c r="J16" s="80" t="s">
        <v>27</v>
      </c>
      <c r="K16" s="80" t="s">
        <v>112</v>
      </c>
      <c r="L16" s="80">
        <v>3</v>
      </c>
      <c r="N16" s="80">
        <v>1</v>
      </c>
      <c r="O16" s="80">
        <v>0.7</v>
      </c>
      <c r="P16" s="80">
        <v>0.6</v>
      </c>
      <c r="Q16" s="105">
        <f t="shared" si="0"/>
        <v>0.64999999999999991</v>
      </c>
      <c r="R16" s="80">
        <v>15.9</v>
      </c>
      <c r="S16" s="80">
        <v>124</v>
      </c>
      <c r="T16" s="115">
        <f t="shared" si="1"/>
        <v>27</v>
      </c>
      <c r="U16" s="80">
        <v>138</v>
      </c>
      <c r="V16" s="16">
        <f t="shared" si="2"/>
        <v>3726</v>
      </c>
      <c r="W16" s="80">
        <v>2</v>
      </c>
      <c r="X16" s="80" t="s">
        <v>35</v>
      </c>
      <c r="Y16" s="80" t="s">
        <v>64</v>
      </c>
      <c r="Z16" s="80" t="s">
        <v>82</v>
      </c>
      <c r="AA16" s="80" t="s">
        <v>72</v>
      </c>
      <c r="AB16" s="80" t="s">
        <v>194</v>
      </c>
      <c r="AE16" s="22" t="s">
        <v>229</v>
      </c>
      <c r="AG16" s="28"/>
      <c r="AH16" s="28"/>
      <c r="AP16" s="83" t="s">
        <v>66</v>
      </c>
      <c r="AR16" s="83" t="s">
        <v>50</v>
      </c>
      <c r="AV16" s="83" t="s">
        <v>70</v>
      </c>
    </row>
    <row r="17" spans="1:48" x14ac:dyDescent="0.15">
      <c r="A17" s="80" t="s">
        <v>30</v>
      </c>
      <c r="B17" s="80" t="s">
        <v>190</v>
      </c>
      <c r="C17" s="80">
        <v>2020</v>
      </c>
      <c r="D17" s="104" t="s">
        <v>203</v>
      </c>
      <c r="E17" s="80" t="s">
        <v>196</v>
      </c>
      <c r="F17" s="80" t="s">
        <v>193</v>
      </c>
      <c r="G17" s="80" t="s">
        <v>25</v>
      </c>
      <c r="H17" s="80" t="s">
        <v>167</v>
      </c>
      <c r="I17" s="80" t="s">
        <v>111</v>
      </c>
      <c r="J17" s="80" t="s">
        <v>27</v>
      </c>
      <c r="K17" s="80" t="s">
        <v>112</v>
      </c>
      <c r="L17" s="80">
        <v>1</v>
      </c>
      <c r="N17" s="80">
        <v>4</v>
      </c>
      <c r="O17" s="80">
        <v>0.6</v>
      </c>
      <c r="P17" s="116">
        <v>0.4</v>
      </c>
      <c r="Q17" s="105">
        <f t="shared" si="0"/>
        <v>0.5</v>
      </c>
      <c r="R17" s="80">
        <v>16.399999999999999</v>
      </c>
      <c r="S17" s="80">
        <v>120</v>
      </c>
      <c r="T17" s="115">
        <f t="shared" si="1"/>
        <v>30</v>
      </c>
      <c r="U17" s="80">
        <v>498</v>
      </c>
      <c r="V17" s="16">
        <f t="shared" si="2"/>
        <v>3735</v>
      </c>
      <c r="W17" s="80">
        <v>1</v>
      </c>
      <c r="X17" s="80" t="s">
        <v>35</v>
      </c>
      <c r="Y17" s="80" t="s">
        <v>64</v>
      </c>
      <c r="Z17" s="80" t="s">
        <v>82</v>
      </c>
      <c r="AA17" s="80" t="s">
        <v>72</v>
      </c>
      <c r="AB17" s="80" t="s">
        <v>194</v>
      </c>
      <c r="AE17" s="22" t="s">
        <v>230</v>
      </c>
      <c r="AP17" s="27" t="s">
        <v>231</v>
      </c>
      <c r="AR17" s="83" t="s">
        <v>81</v>
      </c>
      <c r="AV17" s="83" t="s">
        <v>72</v>
      </c>
    </row>
    <row r="18" spans="1:48" x14ac:dyDescent="0.15">
      <c r="A18" s="80" t="s">
        <v>30</v>
      </c>
      <c r="B18" s="80" t="s">
        <v>190</v>
      </c>
      <c r="C18" s="80">
        <v>2020</v>
      </c>
      <c r="D18" s="104" t="s">
        <v>203</v>
      </c>
      <c r="E18" s="80" t="s">
        <v>196</v>
      </c>
      <c r="F18" s="80" t="s">
        <v>193</v>
      </c>
      <c r="G18" s="80" t="s">
        <v>25</v>
      </c>
      <c r="H18" s="80" t="s">
        <v>167</v>
      </c>
      <c r="I18" s="80" t="s">
        <v>111</v>
      </c>
      <c r="J18" s="80" t="s">
        <v>27</v>
      </c>
      <c r="K18" s="80" t="s">
        <v>112</v>
      </c>
      <c r="L18" s="80">
        <v>2</v>
      </c>
      <c r="N18" s="80">
        <v>4</v>
      </c>
      <c r="O18" s="80">
        <v>0.75</v>
      </c>
      <c r="P18" s="80">
        <v>0.6</v>
      </c>
      <c r="Q18" s="105">
        <f t="shared" si="0"/>
        <v>0.67500000000000004</v>
      </c>
      <c r="R18" s="80">
        <v>16.8</v>
      </c>
      <c r="S18" s="80">
        <v>117</v>
      </c>
      <c r="T18" s="115">
        <f t="shared" si="1"/>
        <v>30</v>
      </c>
      <c r="U18" s="80">
        <v>498</v>
      </c>
      <c r="V18" s="16">
        <f t="shared" si="2"/>
        <v>3735</v>
      </c>
      <c r="W18" s="80">
        <v>1</v>
      </c>
      <c r="X18" s="80" t="s">
        <v>35</v>
      </c>
      <c r="Y18" s="80" t="s">
        <v>64</v>
      </c>
      <c r="Z18" s="80" t="s">
        <v>82</v>
      </c>
      <c r="AA18" s="80" t="s">
        <v>72</v>
      </c>
      <c r="AB18" s="80" t="s">
        <v>194</v>
      </c>
      <c r="AE18" s="22" t="s">
        <v>223</v>
      </c>
      <c r="AP18" s="27" t="s">
        <v>232</v>
      </c>
      <c r="AR18" s="83" t="s">
        <v>85</v>
      </c>
      <c r="AV18" s="83" t="s">
        <v>74</v>
      </c>
    </row>
    <row r="19" spans="1:48" x14ac:dyDescent="0.15">
      <c r="A19" s="80" t="s">
        <v>30</v>
      </c>
      <c r="B19" s="80" t="s">
        <v>190</v>
      </c>
      <c r="C19" s="80">
        <v>2020</v>
      </c>
      <c r="D19" s="104" t="s">
        <v>203</v>
      </c>
      <c r="E19" s="80" t="s">
        <v>196</v>
      </c>
      <c r="F19" s="80" t="s">
        <v>193</v>
      </c>
      <c r="G19" s="80" t="s">
        <v>25</v>
      </c>
      <c r="H19" s="80" t="s">
        <v>167</v>
      </c>
      <c r="I19" s="80" t="s">
        <v>111</v>
      </c>
      <c r="J19" s="80" t="s">
        <v>27</v>
      </c>
      <c r="K19" s="80" t="s">
        <v>112</v>
      </c>
      <c r="L19" s="80">
        <v>3</v>
      </c>
      <c r="N19" s="80">
        <v>4</v>
      </c>
      <c r="O19" s="80">
        <v>0.75</v>
      </c>
      <c r="P19" s="80">
        <v>0.7</v>
      </c>
      <c r="Q19" s="105">
        <f t="shared" si="0"/>
        <v>0.72499999999999998</v>
      </c>
      <c r="R19" s="80">
        <v>14.8</v>
      </c>
      <c r="S19" s="80">
        <v>118</v>
      </c>
      <c r="T19" s="115">
        <f t="shared" si="1"/>
        <v>30</v>
      </c>
      <c r="U19" s="80">
        <v>498</v>
      </c>
      <c r="V19" s="16">
        <f t="shared" si="2"/>
        <v>3735</v>
      </c>
      <c r="W19" s="80">
        <v>1</v>
      </c>
      <c r="X19" s="80" t="s">
        <v>35</v>
      </c>
      <c r="Y19" s="80" t="s">
        <v>64</v>
      </c>
      <c r="Z19" s="80" t="s">
        <v>82</v>
      </c>
      <c r="AA19" s="80" t="s">
        <v>72</v>
      </c>
      <c r="AB19" s="80" t="s">
        <v>194</v>
      </c>
      <c r="AE19" s="35" t="s">
        <v>217</v>
      </c>
      <c r="AP19" s="27" t="s">
        <v>233</v>
      </c>
      <c r="AR19" s="83" t="s">
        <v>234</v>
      </c>
      <c r="AV19" s="83" t="s">
        <v>76</v>
      </c>
    </row>
    <row r="20" spans="1:48" x14ac:dyDescent="0.15">
      <c r="A20" s="80" t="s">
        <v>30</v>
      </c>
      <c r="B20" s="80" t="s">
        <v>190</v>
      </c>
      <c r="C20" s="80">
        <v>2020</v>
      </c>
      <c r="D20" s="104" t="s">
        <v>203</v>
      </c>
      <c r="E20" s="80" t="s">
        <v>196</v>
      </c>
      <c r="F20" s="80" t="s">
        <v>193</v>
      </c>
      <c r="G20" s="80" t="s">
        <v>25</v>
      </c>
      <c r="H20" s="80" t="s">
        <v>167</v>
      </c>
      <c r="I20" s="80" t="s">
        <v>111</v>
      </c>
      <c r="J20" s="80" t="s">
        <v>27</v>
      </c>
      <c r="K20" s="80" t="s">
        <v>112</v>
      </c>
      <c r="L20" s="80">
        <v>1</v>
      </c>
      <c r="N20" s="80">
        <v>7</v>
      </c>
      <c r="O20" s="80">
        <v>0.3</v>
      </c>
      <c r="P20" s="80">
        <v>0.25</v>
      </c>
      <c r="Q20" s="105">
        <f t="shared" si="0"/>
        <v>0.27500000000000002</v>
      </c>
      <c r="R20" s="80">
        <v>17</v>
      </c>
      <c r="S20" s="80">
        <v>100</v>
      </c>
      <c r="T20" s="115">
        <f t="shared" si="1"/>
        <v>33</v>
      </c>
      <c r="U20" s="80">
        <v>598</v>
      </c>
      <c r="V20" s="115">
        <f t="shared" si="2"/>
        <v>2819.1428571428573</v>
      </c>
      <c r="W20" s="80">
        <v>1</v>
      </c>
      <c r="X20" s="80" t="s">
        <v>35</v>
      </c>
      <c r="Y20" s="80" t="s">
        <v>64</v>
      </c>
      <c r="Z20" s="80" t="s">
        <v>82</v>
      </c>
      <c r="AA20" s="80" t="s">
        <v>72</v>
      </c>
      <c r="AB20" s="80" t="s">
        <v>194</v>
      </c>
      <c r="AE20" s="35"/>
      <c r="AP20" s="27" t="s">
        <v>235</v>
      </c>
      <c r="AR20" s="83" t="s">
        <v>89</v>
      </c>
      <c r="AV20" s="27" t="s">
        <v>236</v>
      </c>
    </row>
    <row r="21" spans="1:48" x14ac:dyDescent="0.15">
      <c r="A21" s="80" t="s">
        <v>30</v>
      </c>
      <c r="B21" s="80" t="s">
        <v>190</v>
      </c>
      <c r="C21" s="80">
        <v>2020</v>
      </c>
      <c r="D21" s="104" t="s">
        <v>203</v>
      </c>
      <c r="E21" s="80" t="s">
        <v>196</v>
      </c>
      <c r="F21" s="80" t="s">
        <v>193</v>
      </c>
      <c r="G21" s="80" t="s">
        <v>25</v>
      </c>
      <c r="H21" s="80" t="s">
        <v>167</v>
      </c>
      <c r="I21" s="80" t="s">
        <v>111</v>
      </c>
      <c r="J21" s="80" t="s">
        <v>27</v>
      </c>
      <c r="K21" s="80" t="s">
        <v>112</v>
      </c>
      <c r="L21" s="80">
        <v>2</v>
      </c>
      <c r="N21" s="80">
        <v>7</v>
      </c>
      <c r="O21" s="80">
        <v>0.3</v>
      </c>
      <c r="P21" s="80">
        <v>0.25</v>
      </c>
      <c r="Q21" s="105">
        <f t="shared" si="0"/>
        <v>0.27500000000000002</v>
      </c>
      <c r="R21" s="80">
        <v>17.399999999999999</v>
      </c>
      <c r="S21" s="80">
        <v>103</v>
      </c>
      <c r="T21" s="115">
        <f t="shared" si="1"/>
        <v>33</v>
      </c>
      <c r="U21" s="80">
        <v>598</v>
      </c>
      <c r="V21" s="16">
        <f t="shared" si="2"/>
        <v>2819.1428571428573</v>
      </c>
      <c r="W21" s="80">
        <v>1</v>
      </c>
      <c r="X21" s="80" t="s">
        <v>35</v>
      </c>
      <c r="Y21" s="80" t="s">
        <v>64</v>
      </c>
      <c r="Z21" s="80" t="s">
        <v>82</v>
      </c>
      <c r="AA21" s="80" t="s">
        <v>72</v>
      </c>
      <c r="AB21" s="80" t="s">
        <v>194</v>
      </c>
      <c r="AE21" s="28"/>
      <c r="AP21" s="27" t="s">
        <v>237</v>
      </c>
      <c r="AR21" s="83" t="s">
        <v>54</v>
      </c>
      <c r="AV21" s="27" t="s">
        <v>238</v>
      </c>
    </row>
    <row r="22" spans="1:48" x14ac:dyDescent="0.15">
      <c r="A22" s="80" t="s">
        <v>30</v>
      </c>
      <c r="B22" s="80" t="s">
        <v>190</v>
      </c>
      <c r="C22" s="80">
        <v>2020</v>
      </c>
      <c r="D22" s="104" t="s">
        <v>203</v>
      </c>
      <c r="E22" s="80" t="s">
        <v>196</v>
      </c>
      <c r="F22" s="80" t="s">
        <v>193</v>
      </c>
      <c r="G22" s="80" t="s">
        <v>25</v>
      </c>
      <c r="H22" s="80" t="s">
        <v>167</v>
      </c>
      <c r="I22" s="80" t="s">
        <v>111</v>
      </c>
      <c r="J22" s="80" t="s">
        <v>27</v>
      </c>
      <c r="K22" s="80" t="s">
        <v>112</v>
      </c>
      <c r="L22" s="80">
        <v>3</v>
      </c>
      <c r="N22" s="80">
        <v>7</v>
      </c>
      <c r="O22" s="80">
        <v>0.25</v>
      </c>
      <c r="P22" s="80">
        <v>0.25</v>
      </c>
      <c r="Q22" s="105">
        <f t="shared" si="0"/>
        <v>0.25</v>
      </c>
      <c r="R22" s="80">
        <v>14.2</v>
      </c>
      <c r="S22" s="80">
        <v>104</v>
      </c>
      <c r="T22" s="115">
        <f t="shared" si="1"/>
        <v>33</v>
      </c>
      <c r="U22" s="80">
        <v>598</v>
      </c>
      <c r="V22" s="16">
        <f t="shared" si="2"/>
        <v>2819.1428571428573</v>
      </c>
      <c r="W22" s="80">
        <v>1</v>
      </c>
      <c r="X22" s="80" t="s">
        <v>35</v>
      </c>
      <c r="Y22" s="80" t="s">
        <v>64</v>
      </c>
      <c r="Z22" s="80" t="s">
        <v>82</v>
      </c>
      <c r="AA22" s="80" t="s">
        <v>72</v>
      </c>
      <c r="AB22" s="80" t="s">
        <v>194</v>
      </c>
      <c r="AP22" s="27" t="s">
        <v>239</v>
      </c>
      <c r="AR22" s="83" t="s">
        <v>69</v>
      </c>
      <c r="AV22" s="27"/>
    </row>
    <row r="23" spans="1:48" x14ac:dyDescent="0.15">
      <c r="A23" s="80" t="s">
        <v>30</v>
      </c>
      <c r="B23" s="80" t="s">
        <v>190</v>
      </c>
      <c r="C23" s="80">
        <v>2020</v>
      </c>
      <c r="D23" s="104" t="s">
        <v>203</v>
      </c>
      <c r="E23" s="80" t="s">
        <v>196</v>
      </c>
      <c r="F23" s="80" t="s">
        <v>193</v>
      </c>
      <c r="G23" s="80" t="s">
        <v>25</v>
      </c>
      <c r="H23" s="80" t="s">
        <v>113</v>
      </c>
      <c r="I23" s="80" t="s">
        <v>111</v>
      </c>
      <c r="J23" s="80" t="s">
        <v>27</v>
      </c>
      <c r="K23" s="80" t="s">
        <v>112</v>
      </c>
      <c r="L23" s="80">
        <v>1</v>
      </c>
      <c r="N23" s="80">
        <v>1</v>
      </c>
      <c r="O23" s="80">
        <v>0.3</v>
      </c>
      <c r="P23" s="80">
        <v>0.25</v>
      </c>
      <c r="Q23" s="105">
        <f t="shared" si="0"/>
        <v>0.27500000000000002</v>
      </c>
      <c r="R23" s="80">
        <v>16.5</v>
      </c>
      <c r="S23" s="80">
        <v>124</v>
      </c>
      <c r="T23" s="115">
        <f t="shared" si="1"/>
        <v>27</v>
      </c>
      <c r="U23" s="80">
        <v>138</v>
      </c>
      <c r="V23" s="115">
        <f t="shared" si="2"/>
        <v>3726</v>
      </c>
      <c r="W23" s="80">
        <v>2</v>
      </c>
      <c r="X23" s="80" t="s">
        <v>35</v>
      </c>
      <c r="Y23" s="80" t="s">
        <v>64</v>
      </c>
      <c r="Z23" s="80" t="s">
        <v>82</v>
      </c>
      <c r="AA23" s="80" t="s">
        <v>72</v>
      </c>
      <c r="AB23" s="80" t="s">
        <v>194</v>
      </c>
      <c r="AP23" s="27" t="s">
        <v>240</v>
      </c>
      <c r="AR23" s="28" t="s">
        <v>241</v>
      </c>
      <c r="AV23" s="28"/>
    </row>
    <row r="24" spans="1:48" x14ac:dyDescent="0.15">
      <c r="A24" s="80" t="s">
        <v>30</v>
      </c>
      <c r="B24" s="80" t="s">
        <v>190</v>
      </c>
      <c r="C24" s="80">
        <v>2020</v>
      </c>
      <c r="D24" s="104" t="s">
        <v>203</v>
      </c>
      <c r="E24" s="80" t="s">
        <v>196</v>
      </c>
      <c r="F24" s="80" t="s">
        <v>193</v>
      </c>
      <c r="G24" s="80" t="s">
        <v>25</v>
      </c>
      <c r="H24" s="80" t="s">
        <v>113</v>
      </c>
      <c r="I24" s="80" t="s">
        <v>111</v>
      </c>
      <c r="J24" s="80" t="s">
        <v>27</v>
      </c>
      <c r="K24" s="80" t="s">
        <v>112</v>
      </c>
      <c r="L24" s="80">
        <v>2</v>
      </c>
      <c r="N24" s="80">
        <v>1</v>
      </c>
      <c r="O24" s="80">
        <v>0.25</v>
      </c>
      <c r="P24" s="80">
        <v>0.25</v>
      </c>
      <c r="Q24" s="105">
        <f t="shared" si="0"/>
        <v>0.25</v>
      </c>
      <c r="R24" s="80">
        <v>15.2</v>
      </c>
      <c r="S24" s="80">
        <v>123</v>
      </c>
      <c r="T24" s="115">
        <f t="shared" si="1"/>
        <v>27</v>
      </c>
      <c r="U24" s="80">
        <v>138</v>
      </c>
      <c r="V24" s="115">
        <f t="shared" si="2"/>
        <v>3726</v>
      </c>
      <c r="W24" s="80">
        <v>2</v>
      </c>
      <c r="X24" s="80" t="s">
        <v>35</v>
      </c>
      <c r="Y24" s="80" t="s">
        <v>64</v>
      </c>
      <c r="Z24" s="80" t="s">
        <v>82</v>
      </c>
      <c r="AA24" s="80" t="s">
        <v>72</v>
      </c>
      <c r="AB24" s="80" t="s">
        <v>194</v>
      </c>
      <c r="AP24" s="27" t="s">
        <v>242</v>
      </c>
    </row>
    <row r="25" spans="1:48" x14ac:dyDescent="0.15">
      <c r="A25" s="80" t="s">
        <v>30</v>
      </c>
      <c r="B25" s="80" t="s">
        <v>190</v>
      </c>
      <c r="C25" s="80">
        <v>2020</v>
      </c>
      <c r="D25" s="104" t="s">
        <v>203</v>
      </c>
      <c r="E25" s="80" t="s">
        <v>196</v>
      </c>
      <c r="F25" s="80" t="s">
        <v>193</v>
      </c>
      <c r="G25" s="80" t="s">
        <v>25</v>
      </c>
      <c r="H25" s="80" t="s">
        <v>113</v>
      </c>
      <c r="I25" s="80" t="s">
        <v>111</v>
      </c>
      <c r="J25" s="80" t="s">
        <v>27</v>
      </c>
      <c r="K25" s="80" t="s">
        <v>112</v>
      </c>
      <c r="L25" s="80">
        <v>3</v>
      </c>
      <c r="N25" s="80">
        <v>1</v>
      </c>
      <c r="O25" s="80">
        <v>0.25</v>
      </c>
      <c r="P25" s="80">
        <v>0.25</v>
      </c>
      <c r="Q25" s="105">
        <f t="shared" si="0"/>
        <v>0.25</v>
      </c>
      <c r="R25" s="80">
        <v>16</v>
      </c>
      <c r="S25" s="80">
        <v>122</v>
      </c>
      <c r="T25" s="115">
        <f t="shared" si="1"/>
        <v>27</v>
      </c>
      <c r="U25" s="80">
        <v>138</v>
      </c>
      <c r="V25" s="115">
        <f t="shared" si="2"/>
        <v>3726</v>
      </c>
      <c r="W25" s="80">
        <v>2</v>
      </c>
      <c r="X25" s="80" t="s">
        <v>35</v>
      </c>
      <c r="Y25" s="80" t="s">
        <v>64</v>
      </c>
      <c r="Z25" s="80" t="s">
        <v>82</v>
      </c>
      <c r="AA25" s="80" t="s">
        <v>72</v>
      </c>
      <c r="AB25" s="80" t="s">
        <v>194</v>
      </c>
      <c r="AP25" s="80" t="s">
        <v>163</v>
      </c>
    </row>
    <row r="26" spans="1:48" x14ac:dyDescent="0.15">
      <c r="A26" s="80" t="s">
        <v>30</v>
      </c>
      <c r="B26" s="80" t="s">
        <v>190</v>
      </c>
      <c r="C26" s="80">
        <v>2020</v>
      </c>
      <c r="D26" s="104" t="s">
        <v>203</v>
      </c>
      <c r="E26" s="80" t="s">
        <v>196</v>
      </c>
      <c r="F26" s="80" t="s">
        <v>193</v>
      </c>
      <c r="G26" s="80" t="s">
        <v>25</v>
      </c>
      <c r="H26" s="80" t="s">
        <v>113</v>
      </c>
      <c r="I26" s="80" t="s">
        <v>111</v>
      </c>
      <c r="J26" s="80" t="s">
        <v>27</v>
      </c>
      <c r="K26" s="80" t="s">
        <v>112</v>
      </c>
      <c r="L26" s="80">
        <v>1</v>
      </c>
      <c r="N26" s="80">
        <v>5</v>
      </c>
      <c r="O26" s="80">
        <v>0.85</v>
      </c>
      <c r="P26" s="80">
        <v>0.95</v>
      </c>
      <c r="Q26" s="105">
        <f t="shared" si="0"/>
        <v>0.89999999999999991</v>
      </c>
      <c r="R26" s="80">
        <v>12.6</v>
      </c>
      <c r="S26" s="80">
        <v>120</v>
      </c>
      <c r="T26" s="115">
        <f t="shared" si="1"/>
        <v>30</v>
      </c>
      <c r="U26" s="80">
        <v>398</v>
      </c>
      <c r="V26" s="115">
        <f t="shared" si="2"/>
        <v>2388</v>
      </c>
      <c r="W26" s="80">
        <v>2</v>
      </c>
      <c r="X26" s="80" t="s">
        <v>35</v>
      </c>
      <c r="Y26" s="80" t="s">
        <v>64</v>
      </c>
      <c r="Z26" s="80" t="s">
        <v>82</v>
      </c>
      <c r="AA26" s="80" t="s">
        <v>72</v>
      </c>
      <c r="AB26" s="80" t="s">
        <v>194</v>
      </c>
    </row>
    <row r="27" spans="1:48" x14ac:dyDescent="0.15">
      <c r="A27" s="80" t="s">
        <v>30</v>
      </c>
      <c r="B27" s="80" t="s">
        <v>190</v>
      </c>
      <c r="C27" s="80">
        <v>2020</v>
      </c>
      <c r="D27" s="104" t="s">
        <v>203</v>
      </c>
      <c r="E27" s="80" t="s">
        <v>196</v>
      </c>
      <c r="F27" s="80" t="s">
        <v>193</v>
      </c>
      <c r="G27" s="80" t="s">
        <v>25</v>
      </c>
      <c r="H27" s="80" t="s">
        <v>113</v>
      </c>
      <c r="I27" s="80" t="s">
        <v>111</v>
      </c>
      <c r="J27" s="80" t="s">
        <v>27</v>
      </c>
      <c r="K27" s="80" t="s">
        <v>112</v>
      </c>
      <c r="L27" s="80">
        <v>2</v>
      </c>
      <c r="N27" s="80">
        <v>5</v>
      </c>
      <c r="O27" s="80">
        <v>1</v>
      </c>
      <c r="P27" s="80">
        <v>0.8</v>
      </c>
      <c r="Q27" s="105">
        <f t="shared" si="0"/>
        <v>0.9</v>
      </c>
      <c r="R27" s="80">
        <v>13.8</v>
      </c>
      <c r="S27" s="80">
        <v>112</v>
      </c>
      <c r="T27" s="115">
        <f t="shared" si="1"/>
        <v>33</v>
      </c>
      <c r="U27" s="80">
        <v>398</v>
      </c>
      <c r="V27" s="115">
        <f t="shared" si="2"/>
        <v>2626.7999999999997</v>
      </c>
      <c r="W27" s="80">
        <v>2</v>
      </c>
      <c r="X27" s="80" t="s">
        <v>35</v>
      </c>
      <c r="Y27" s="80" t="s">
        <v>64</v>
      </c>
      <c r="Z27" s="80" t="s">
        <v>82</v>
      </c>
      <c r="AA27" s="80" t="s">
        <v>72</v>
      </c>
      <c r="AB27" s="80" t="s">
        <v>194</v>
      </c>
    </row>
    <row r="28" spans="1:48" x14ac:dyDescent="0.15">
      <c r="A28" s="80" t="s">
        <v>30</v>
      </c>
      <c r="B28" s="80" t="s">
        <v>190</v>
      </c>
      <c r="C28" s="80">
        <v>2020</v>
      </c>
      <c r="D28" s="104" t="s">
        <v>203</v>
      </c>
      <c r="E28" s="80" t="s">
        <v>196</v>
      </c>
      <c r="F28" s="80" t="s">
        <v>193</v>
      </c>
      <c r="G28" s="80" t="s">
        <v>25</v>
      </c>
      <c r="H28" s="80" t="s">
        <v>113</v>
      </c>
      <c r="I28" s="80" t="s">
        <v>111</v>
      </c>
      <c r="J28" s="80" t="s">
        <v>27</v>
      </c>
      <c r="K28" s="80" t="s">
        <v>112</v>
      </c>
      <c r="L28" s="80">
        <v>3</v>
      </c>
      <c r="N28" s="80">
        <v>5</v>
      </c>
      <c r="O28" s="80">
        <v>0.9</v>
      </c>
      <c r="P28" s="80">
        <v>0.8</v>
      </c>
      <c r="Q28" s="105">
        <f t="shared" si="0"/>
        <v>0.85000000000000009</v>
      </c>
      <c r="R28" s="80">
        <v>12.6</v>
      </c>
      <c r="S28" s="80">
        <v>115</v>
      </c>
      <c r="T28" s="115">
        <f t="shared" si="1"/>
        <v>30</v>
      </c>
      <c r="U28" s="80">
        <v>398</v>
      </c>
      <c r="V28" s="115">
        <f t="shared" si="2"/>
        <v>2388</v>
      </c>
      <c r="W28" s="80">
        <v>2</v>
      </c>
      <c r="X28" s="80" t="s">
        <v>35</v>
      </c>
      <c r="Y28" s="80" t="s">
        <v>64</v>
      </c>
      <c r="Z28" s="80" t="s">
        <v>82</v>
      </c>
      <c r="AA28" s="80" t="s">
        <v>72</v>
      </c>
      <c r="AB28" s="80" t="s">
        <v>194</v>
      </c>
    </row>
    <row r="29" spans="1:48" x14ac:dyDescent="0.15">
      <c r="A29" s="80" t="s">
        <v>30</v>
      </c>
      <c r="B29" s="80" t="s">
        <v>190</v>
      </c>
      <c r="C29" s="80">
        <v>2020</v>
      </c>
      <c r="D29" s="104" t="s">
        <v>203</v>
      </c>
      <c r="E29" s="80" t="s">
        <v>196</v>
      </c>
      <c r="F29" s="80" t="s">
        <v>193</v>
      </c>
      <c r="G29" s="80" t="s">
        <v>25</v>
      </c>
      <c r="H29" s="80" t="s">
        <v>113</v>
      </c>
      <c r="I29" s="80" t="s">
        <v>111</v>
      </c>
      <c r="J29" s="80" t="s">
        <v>27</v>
      </c>
      <c r="K29" s="80" t="s">
        <v>112</v>
      </c>
      <c r="L29" s="80">
        <v>1</v>
      </c>
      <c r="N29" s="80">
        <v>8</v>
      </c>
      <c r="O29" s="80">
        <v>0.3</v>
      </c>
      <c r="P29" s="80">
        <v>0.45</v>
      </c>
      <c r="Q29" s="105">
        <f t="shared" si="0"/>
        <v>0.375</v>
      </c>
      <c r="R29" s="80">
        <v>12.4</v>
      </c>
      <c r="S29" s="80">
        <v>98</v>
      </c>
      <c r="T29" s="115">
        <f t="shared" si="1"/>
        <v>36</v>
      </c>
      <c r="U29" s="80">
        <v>580</v>
      </c>
      <c r="V29" s="115">
        <f t="shared" si="2"/>
        <v>2610</v>
      </c>
      <c r="W29" s="80">
        <v>2</v>
      </c>
      <c r="X29" s="80" t="s">
        <v>35</v>
      </c>
      <c r="Y29" s="80" t="s">
        <v>64</v>
      </c>
      <c r="Z29" s="80" t="s">
        <v>82</v>
      </c>
      <c r="AA29" s="80" t="s">
        <v>72</v>
      </c>
      <c r="AB29" s="80" t="s">
        <v>194</v>
      </c>
    </row>
    <row r="30" spans="1:48" x14ac:dyDescent="0.15">
      <c r="A30" s="80" t="s">
        <v>30</v>
      </c>
      <c r="B30" s="80" t="s">
        <v>190</v>
      </c>
      <c r="C30" s="80">
        <v>2020</v>
      </c>
      <c r="D30" s="104" t="s">
        <v>203</v>
      </c>
      <c r="E30" s="80" t="s">
        <v>196</v>
      </c>
      <c r="F30" s="80" t="s">
        <v>193</v>
      </c>
      <c r="G30" s="80" t="s">
        <v>25</v>
      </c>
      <c r="H30" s="80" t="s">
        <v>113</v>
      </c>
      <c r="I30" s="80" t="s">
        <v>111</v>
      </c>
      <c r="J30" s="80" t="s">
        <v>27</v>
      </c>
      <c r="K30" s="80" t="s">
        <v>112</v>
      </c>
      <c r="L30" s="80">
        <v>2</v>
      </c>
      <c r="N30" s="80">
        <v>8</v>
      </c>
      <c r="O30" s="80">
        <v>0.8</v>
      </c>
      <c r="P30" s="80">
        <v>0.5</v>
      </c>
      <c r="Q30" s="105">
        <f t="shared" si="0"/>
        <v>0.65</v>
      </c>
      <c r="R30" s="80">
        <v>14.8</v>
      </c>
      <c r="S30" s="80">
        <v>100</v>
      </c>
      <c r="T30" s="115">
        <f t="shared" si="1"/>
        <v>33</v>
      </c>
      <c r="U30" s="80">
        <v>580</v>
      </c>
      <c r="V30" s="16">
        <f t="shared" si="2"/>
        <v>2392.5</v>
      </c>
      <c r="W30" s="80">
        <v>2</v>
      </c>
      <c r="X30" s="80" t="s">
        <v>35</v>
      </c>
      <c r="Y30" s="80" t="s">
        <v>64</v>
      </c>
      <c r="Z30" s="80" t="s">
        <v>82</v>
      </c>
      <c r="AA30" s="80" t="s">
        <v>72</v>
      </c>
      <c r="AB30" s="80" t="s">
        <v>194</v>
      </c>
    </row>
    <row r="31" spans="1:48" x14ac:dyDescent="0.15">
      <c r="A31" s="80" t="s">
        <v>30</v>
      </c>
      <c r="B31" s="80" t="s">
        <v>190</v>
      </c>
      <c r="C31" s="80">
        <v>2020</v>
      </c>
      <c r="D31" s="104" t="s">
        <v>203</v>
      </c>
      <c r="E31" s="80" t="s">
        <v>196</v>
      </c>
      <c r="F31" s="80" t="s">
        <v>193</v>
      </c>
      <c r="G31" s="80" t="s">
        <v>25</v>
      </c>
      <c r="H31" s="80" t="s">
        <v>113</v>
      </c>
      <c r="I31" s="80" t="s">
        <v>111</v>
      </c>
      <c r="J31" s="80" t="s">
        <v>27</v>
      </c>
      <c r="K31" s="80" t="s">
        <v>112</v>
      </c>
      <c r="L31" s="80">
        <v>3</v>
      </c>
      <c r="N31" s="80">
        <v>8</v>
      </c>
      <c r="O31" s="80">
        <v>0.65</v>
      </c>
      <c r="P31" s="80">
        <v>0.65</v>
      </c>
      <c r="Q31" s="105">
        <f t="shared" si="0"/>
        <v>0.65</v>
      </c>
      <c r="R31" s="80">
        <v>14.3</v>
      </c>
      <c r="S31" s="80">
        <v>104</v>
      </c>
      <c r="T31" s="115">
        <f t="shared" si="1"/>
        <v>33</v>
      </c>
      <c r="U31" s="80">
        <v>580</v>
      </c>
      <c r="V31" s="16">
        <f t="shared" si="2"/>
        <v>2392.5</v>
      </c>
      <c r="W31" s="80">
        <v>2</v>
      </c>
      <c r="X31" s="80" t="s">
        <v>35</v>
      </c>
      <c r="Y31" s="80" t="s">
        <v>64</v>
      </c>
      <c r="Z31" s="80" t="s">
        <v>82</v>
      </c>
      <c r="AA31" s="80" t="s">
        <v>72</v>
      </c>
      <c r="AB31" s="80" t="s">
        <v>194</v>
      </c>
    </row>
    <row r="32" spans="1:48" x14ac:dyDescent="0.15">
      <c r="A32" s="80" t="s">
        <v>30</v>
      </c>
      <c r="B32" s="80" t="s">
        <v>190</v>
      </c>
      <c r="C32" s="80">
        <v>2020</v>
      </c>
      <c r="D32" s="104" t="s">
        <v>203</v>
      </c>
      <c r="E32" s="80" t="s">
        <v>196</v>
      </c>
      <c r="F32" s="80" t="s">
        <v>198</v>
      </c>
      <c r="G32" s="80" t="s">
        <v>25</v>
      </c>
      <c r="H32" s="80" t="s">
        <v>167</v>
      </c>
      <c r="I32" s="80" t="s">
        <v>111</v>
      </c>
      <c r="J32" s="80" t="s">
        <v>27</v>
      </c>
      <c r="K32" s="80" t="s">
        <v>112</v>
      </c>
      <c r="L32" s="80">
        <v>1</v>
      </c>
      <c r="N32" s="80">
        <v>1</v>
      </c>
      <c r="O32" s="80">
        <v>0.7</v>
      </c>
      <c r="P32" s="80">
        <v>0.65</v>
      </c>
      <c r="Q32" s="105">
        <f t="shared" si="0"/>
        <v>0.67500000000000004</v>
      </c>
      <c r="R32" s="80">
        <v>12.6</v>
      </c>
      <c r="S32" s="80">
        <v>123</v>
      </c>
      <c r="T32" s="16">
        <f t="shared" si="1"/>
        <v>27</v>
      </c>
      <c r="U32" s="80">
        <v>138</v>
      </c>
      <c r="V32" s="16">
        <f t="shared" si="2"/>
        <v>3726</v>
      </c>
      <c r="W32" s="80">
        <v>1</v>
      </c>
      <c r="X32" s="80" t="s">
        <v>35</v>
      </c>
      <c r="Y32" s="80" t="s">
        <v>72</v>
      </c>
      <c r="Z32" s="80" t="s">
        <v>64</v>
      </c>
      <c r="AA32" s="80" t="s">
        <v>82</v>
      </c>
      <c r="AB32" s="80" t="s">
        <v>194</v>
      </c>
    </row>
    <row r="33" spans="1:28" x14ac:dyDescent="0.15">
      <c r="A33" s="80" t="s">
        <v>30</v>
      </c>
      <c r="B33" s="80" t="s">
        <v>190</v>
      </c>
      <c r="C33" s="80">
        <v>2020</v>
      </c>
      <c r="D33" s="104" t="s">
        <v>203</v>
      </c>
      <c r="E33" s="80" t="s">
        <v>196</v>
      </c>
      <c r="F33" s="80" t="s">
        <v>198</v>
      </c>
      <c r="G33" s="80" t="s">
        <v>25</v>
      </c>
      <c r="H33" s="80" t="s">
        <v>167</v>
      </c>
      <c r="I33" s="80" t="s">
        <v>111</v>
      </c>
      <c r="J33" s="80" t="s">
        <v>27</v>
      </c>
      <c r="K33" s="80" t="s">
        <v>112</v>
      </c>
      <c r="L33" s="80">
        <v>2</v>
      </c>
      <c r="N33" s="80">
        <v>1</v>
      </c>
      <c r="O33" s="80">
        <v>0.45</v>
      </c>
      <c r="P33" s="80">
        <v>0.65</v>
      </c>
      <c r="Q33" s="105">
        <f t="shared" si="0"/>
        <v>0.55000000000000004</v>
      </c>
      <c r="R33" s="80">
        <v>13.4</v>
      </c>
      <c r="S33" s="80">
        <v>124</v>
      </c>
      <c r="T33" s="16">
        <f t="shared" si="1"/>
        <v>27</v>
      </c>
      <c r="U33" s="80">
        <v>138</v>
      </c>
      <c r="V33" s="16">
        <f t="shared" si="2"/>
        <v>3726</v>
      </c>
      <c r="W33" s="80">
        <v>1</v>
      </c>
      <c r="X33" s="80" t="s">
        <v>35</v>
      </c>
      <c r="Y33" s="80" t="s">
        <v>72</v>
      </c>
      <c r="Z33" s="80" t="s">
        <v>64</v>
      </c>
      <c r="AA33" s="80" t="s">
        <v>82</v>
      </c>
      <c r="AB33" s="80" t="s">
        <v>194</v>
      </c>
    </row>
    <row r="34" spans="1:28" x14ac:dyDescent="0.15">
      <c r="A34" s="80" t="s">
        <v>30</v>
      </c>
      <c r="B34" s="80" t="s">
        <v>190</v>
      </c>
      <c r="C34" s="80">
        <v>2020</v>
      </c>
      <c r="D34" s="104" t="s">
        <v>203</v>
      </c>
      <c r="E34" s="80" t="s">
        <v>196</v>
      </c>
      <c r="F34" s="80" t="s">
        <v>198</v>
      </c>
      <c r="G34" s="80" t="s">
        <v>25</v>
      </c>
      <c r="H34" s="80" t="s">
        <v>167</v>
      </c>
      <c r="I34" s="80" t="s">
        <v>111</v>
      </c>
      <c r="J34" s="80" t="s">
        <v>27</v>
      </c>
      <c r="K34" s="80" t="s">
        <v>112</v>
      </c>
      <c r="L34" s="80">
        <v>3</v>
      </c>
      <c r="N34" s="80">
        <v>1</v>
      </c>
      <c r="O34" s="80">
        <v>0.5</v>
      </c>
      <c r="P34" s="80">
        <v>0.65</v>
      </c>
      <c r="Q34" s="105">
        <f t="shared" si="0"/>
        <v>0.57499999999999996</v>
      </c>
      <c r="R34" s="80">
        <v>14.2</v>
      </c>
      <c r="S34" s="80">
        <v>126</v>
      </c>
      <c r="T34" s="16">
        <f t="shared" si="1"/>
        <v>27</v>
      </c>
      <c r="U34" s="80">
        <v>138</v>
      </c>
      <c r="V34" s="16">
        <f t="shared" si="2"/>
        <v>3726</v>
      </c>
      <c r="W34" s="80">
        <v>1</v>
      </c>
      <c r="X34" s="80" t="s">
        <v>35</v>
      </c>
      <c r="Y34" s="80" t="s">
        <v>72</v>
      </c>
      <c r="Z34" s="80" t="s">
        <v>64</v>
      </c>
      <c r="AA34" s="80" t="s">
        <v>82</v>
      </c>
      <c r="AB34" s="80" t="s">
        <v>194</v>
      </c>
    </row>
    <row r="35" spans="1:28" x14ac:dyDescent="0.15">
      <c r="A35" s="80" t="s">
        <v>30</v>
      </c>
      <c r="B35" s="80" t="s">
        <v>190</v>
      </c>
      <c r="C35" s="80">
        <v>2020</v>
      </c>
      <c r="D35" s="104" t="s">
        <v>203</v>
      </c>
      <c r="E35" s="80" t="s">
        <v>196</v>
      </c>
      <c r="F35" s="80" t="s">
        <v>198</v>
      </c>
      <c r="G35" s="80" t="s">
        <v>25</v>
      </c>
      <c r="H35" s="80" t="s">
        <v>167</v>
      </c>
      <c r="I35" s="80" t="s">
        <v>111</v>
      </c>
      <c r="J35" s="80" t="s">
        <v>27</v>
      </c>
      <c r="K35" s="80" t="s">
        <v>112</v>
      </c>
      <c r="L35" s="80">
        <v>1</v>
      </c>
      <c r="N35" s="80">
        <v>4</v>
      </c>
      <c r="O35" s="80">
        <v>0.5</v>
      </c>
      <c r="P35" s="80">
        <v>0.45</v>
      </c>
      <c r="Q35" s="105">
        <f t="shared" si="0"/>
        <v>0.47499999999999998</v>
      </c>
      <c r="R35" s="80">
        <v>16.2</v>
      </c>
      <c r="S35" s="80">
        <v>115</v>
      </c>
      <c r="T35" s="115">
        <f t="shared" si="1"/>
        <v>30</v>
      </c>
      <c r="U35" s="80">
        <v>498</v>
      </c>
      <c r="V35" s="115">
        <f t="shared" si="2"/>
        <v>3735</v>
      </c>
      <c r="W35" s="80">
        <v>2</v>
      </c>
      <c r="X35" s="80" t="s">
        <v>35</v>
      </c>
      <c r="Y35" s="80" t="s">
        <v>72</v>
      </c>
      <c r="Z35" s="80" t="s">
        <v>64</v>
      </c>
      <c r="AA35" s="80" t="s">
        <v>82</v>
      </c>
      <c r="AB35" s="80" t="s">
        <v>194</v>
      </c>
    </row>
    <row r="36" spans="1:28" x14ac:dyDescent="0.15">
      <c r="A36" s="80" t="s">
        <v>30</v>
      </c>
      <c r="B36" s="80" t="s">
        <v>190</v>
      </c>
      <c r="C36" s="80">
        <v>2020</v>
      </c>
      <c r="D36" s="104" t="s">
        <v>203</v>
      </c>
      <c r="E36" s="80" t="s">
        <v>196</v>
      </c>
      <c r="F36" s="80" t="s">
        <v>198</v>
      </c>
      <c r="G36" s="80" t="s">
        <v>25</v>
      </c>
      <c r="H36" s="80" t="s">
        <v>167</v>
      </c>
      <c r="I36" s="80" t="s">
        <v>111</v>
      </c>
      <c r="J36" s="80" t="s">
        <v>27</v>
      </c>
      <c r="K36" s="80" t="s">
        <v>112</v>
      </c>
      <c r="L36" s="80">
        <v>2</v>
      </c>
      <c r="N36" s="80">
        <v>4</v>
      </c>
      <c r="O36" s="80">
        <v>0.25</v>
      </c>
      <c r="P36" s="80">
        <v>0.3</v>
      </c>
      <c r="Q36" s="105">
        <f t="shared" si="0"/>
        <v>0.27500000000000002</v>
      </c>
      <c r="R36" s="80">
        <v>16.399999999999999</v>
      </c>
      <c r="S36" s="80">
        <v>119</v>
      </c>
      <c r="T36" s="115">
        <f t="shared" si="1"/>
        <v>30</v>
      </c>
      <c r="U36" s="80">
        <v>498</v>
      </c>
      <c r="V36" s="115">
        <f t="shared" si="2"/>
        <v>3735</v>
      </c>
      <c r="W36" s="80">
        <v>2</v>
      </c>
      <c r="X36" s="80" t="s">
        <v>35</v>
      </c>
      <c r="Y36" s="80" t="s">
        <v>72</v>
      </c>
      <c r="Z36" s="80" t="s">
        <v>64</v>
      </c>
      <c r="AA36" s="80" t="s">
        <v>82</v>
      </c>
      <c r="AB36" s="80" t="s">
        <v>194</v>
      </c>
    </row>
    <row r="37" spans="1:28" x14ac:dyDescent="0.15">
      <c r="A37" s="80" t="s">
        <v>30</v>
      </c>
      <c r="B37" s="80" t="s">
        <v>190</v>
      </c>
      <c r="C37" s="80">
        <v>2020</v>
      </c>
      <c r="D37" s="104" t="s">
        <v>203</v>
      </c>
      <c r="E37" s="80" t="s">
        <v>196</v>
      </c>
      <c r="F37" s="80" t="s">
        <v>198</v>
      </c>
      <c r="G37" s="80" t="s">
        <v>25</v>
      </c>
      <c r="H37" s="80" t="s">
        <v>167</v>
      </c>
      <c r="I37" s="80" t="s">
        <v>111</v>
      </c>
      <c r="J37" s="80" t="s">
        <v>27</v>
      </c>
      <c r="K37" s="80" t="s">
        <v>112</v>
      </c>
      <c r="L37" s="80">
        <v>3</v>
      </c>
      <c r="N37" s="80">
        <v>4</v>
      </c>
      <c r="O37" s="80">
        <v>0.4</v>
      </c>
      <c r="P37" s="80">
        <v>0.5</v>
      </c>
      <c r="Q37" s="105">
        <f t="shared" si="0"/>
        <v>0.45</v>
      </c>
      <c r="R37" s="80">
        <v>15.8</v>
      </c>
      <c r="S37" s="80">
        <v>117</v>
      </c>
      <c r="T37" s="115">
        <f t="shared" si="1"/>
        <v>30</v>
      </c>
      <c r="U37" s="80">
        <v>498</v>
      </c>
      <c r="V37" s="115">
        <f t="shared" si="2"/>
        <v>3735</v>
      </c>
      <c r="W37" s="80">
        <v>2</v>
      </c>
      <c r="X37" s="80" t="s">
        <v>35</v>
      </c>
      <c r="Y37" s="80" t="s">
        <v>72</v>
      </c>
      <c r="Z37" s="80" t="s">
        <v>64</v>
      </c>
      <c r="AA37" s="80" t="s">
        <v>82</v>
      </c>
      <c r="AB37" s="80" t="s">
        <v>194</v>
      </c>
    </row>
    <row r="38" spans="1:28" x14ac:dyDescent="0.15">
      <c r="A38" s="80" t="s">
        <v>30</v>
      </c>
      <c r="B38" s="80" t="s">
        <v>190</v>
      </c>
      <c r="C38" s="80">
        <v>2020</v>
      </c>
      <c r="D38" s="104" t="s">
        <v>203</v>
      </c>
      <c r="E38" s="80" t="s">
        <v>196</v>
      </c>
      <c r="F38" s="80" t="s">
        <v>198</v>
      </c>
      <c r="G38" s="80" t="s">
        <v>25</v>
      </c>
      <c r="H38" s="80" t="s">
        <v>167</v>
      </c>
      <c r="I38" s="80" t="s">
        <v>111</v>
      </c>
      <c r="J38" s="80" t="s">
        <v>27</v>
      </c>
      <c r="K38" s="80" t="s">
        <v>112</v>
      </c>
      <c r="L38" s="80">
        <v>1</v>
      </c>
      <c r="N38" s="80">
        <v>6</v>
      </c>
      <c r="O38" s="80">
        <v>0.35</v>
      </c>
      <c r="P38" s="80">
        <v>0.4</v>
      </c>
      <c r="Q38" s="105">
        <f t="shared" si="0"/>
        <v>0.375</v>
      </c>
      <c r="R38" s="80">
        <v>15.7</v>
      </c>
      <c r="S38" s="80">
        <v>105</v>
      </c>
      <c r="T38" s="115">
        <f t="shared" si="1"/>
        <v>33</v>
      </c>
      <c r="U38" s="80">
        <v>598</v>
      </c>
      <c r="V38" s="115">
        <f t="shared" si="2"/>
        <v>3289</v>
      </c>
      <c r="W38" s="80">
        <v>2</v>
      </c>
      <c r="X38" s="80" t="s">
        <v>35</v>
      </c>
      <c r="Y38" s="80" t="s">
        <v>72</v>
      </c>
      <c r="Z38" s="80" t="s">
        <v>64</v>
      </c>
      <c r="AA38" s="80" t="s">
        <v>82</v>
      </c>
      <c r="AB38" s="80" t="s">
        <v>194</v>
      </c>
    </row>
    <row r="39" spans="1:28" x14ac:dyDescent="0.15">
      <c r="A39" s="80" t="s">
        <v>30</v>
      </c>
      <c r="B39" s="80" t="s">
        <v>190</v>
      </c>
      <c r="C39" s="80">
        <v>2020</v>
      </c>
      <c r="D39" s="104" t="s">
        <v>203</v>
      </c>
      <c r="E39" s="80" t="s">
        <v>196</v>
      </c>
      <c r="F39" s="80" t="s">
        <v>198</v>
      </c>
      <c r="G39" s="80" t="s">
        <v>25</v>
      </c>
      <c r="H39" s="80" t="s">
        <v>167</v>
      </c>
      <c r="I39" s="80" t="s">
        <v>111</v>
      </c>
      <c r="J39" s="80" t="s">
        <v>27</v>
      </c>
      <c r="K39" s="80" t="s">
        <v>112</v>
      </c>
      <c r="L39" s="80">
        <v>2</v>
      </c>
      <c r="N39" s="80">
        <v>6</v>
      </c>
      <c r="O39" s="80">
        <v>0.5</v>
      </c>
      <c r="P39" s="80">
        <v>0.45</v>
      </c>
      <c r="Q39" s="105">
        <f t="shared" si="0"/>
        <v>0.47499999999999998</v>
      </c>
      <c r="R39" s="80">
        <v>16.899999999999999</v>
      </c>
      <c r="S39" s="80">
        <v>111</v>
      </c>
      <c r="T39" s="115">
        <f t="shared" si="1"/>
        <v>33</v>
      </c>
      <c r="U39" s="80">
        <v>598</v>
      </c>
      <c r="V39" s="16">
        <f t="shared" si="2"/>
        <v>3289</v>
      </c>
      <c r="W39" s="80">
        <v>2</v>
      </c>
      <c r="X39" s="80" t="s">
        <v>35</v>
      </c>
      <c r="Y39" s="80" t="s">
        <v>72</v>
      </c>
      <c r="Z39" s="80" t="s">
        <v>64</v>
      </c>
      <c r="AA39" s="80" t="s">
        <v>82</v>
      </c>
      <c r="AB39" s="80" t="s">
        <v>194</v>
      </c>
    </row>
    <row r="40" spans="1:28" x14ac:dyDescent="0.15">
      <c r="A40" s="80" t="s">
        <v>30</v>
      </c>
      <c r="B40" s="80" t="s">
        <v>190</v>
      </c>
      <c r="C40" s="80">
        <v>2020</v>
      </c>
      <c r="D40" s="104" t="s">
        <v>203</v>
      </c>
      <c r="E40" s="80" t="s">
        <v>196</v>
      </c>
      <c r="F40" s="80" t="s">
        <v>198</v>
      </c>
      <c r="G40" s="80" t="s">
        <v>25</v>
      </c>
      <c r="H40" s="80" t="s">
        <v>167</v>
      </c>
      <c r="I40" s="80" t="s">
        <v>111</v>
      </c>
      <c r="J40" s="80" t="s">
        <v>27</v>
      </c>
      <c r="K40" s="80" t="s">
        <v>112</v>
      </c>
      <c r="L40" s="80">
        <v>3</v>
      </c>
      <c r="N40" s="80">
        <v>6</v>
      </c>
      <c r="O40" s="80">
        <v>0.45</v>
      </c>
      <c r="P40" s="80">
        <v>0.4</v>
      </c>
      <c r="Q40" s="105">
        <f t="shared" si="0"/>
        <v>0.42500000000000004</v>
      </c>
      <c r="R40" s="80">
        <v>16.399999999999999</v>
      </c>
      <c r="S40" s="80">
        <v>109</v>
      </c>
      <c r="T40" s="115">
        <f t="shared" si="1"/>
        <v>33</v>
      </c>
      <c r="U40" s="80">
        <v>598</v>
      </c>
      <c r="V40" s="16">
        <f t="shared" si="2"/>
        <v>3289</v>
      </c>
      <c r="W40" s="80">
        <v>2</v>
      </c>
      <c r="X40" s="80" t="s">
        <v>35</v>
      </c>
      <c r="Y40" s="80" t="s">
        <v>72</v>
      </c>
      <c r="Z40" s="80" t="s">
        <v>64</v>
      </c>
      <c r="AA40" s="80" t="s">
        <v>82</v>
      </c>
      <c r="AB40" s="80" t="s">
        <v>194</v>
      </c>
    </row>
    <row r="41" spans="1:28" x14ac:dyDescent="0.15">
      <c r="A41" s="80" t="s">
        <v>30</v>
      </c>
      <c r="B41" s="80" t="s">
        <v>190</v>
      </c>
      <c r="C41" s="80">
        <v>2020</v>
      </c>
      <c r="D41" s="104" t="s">
        <v>203</v>
      </c>
      <c r="E41" s="80" t="s">
        <v>196</v>
      </c>
      <c r="F41" s="80" t="s">
        <v>198</v>
      </c>
      <c r="G41" s="80" t="s">
        <v>25</v>
      </c>
      <c r="H41" s="80" t="s">
        <v>113</v>
      </c>
      <c r="I41" s="80" t="s">
        <v>111</v>
      </c>
      <c r="J41" s="80" t="s">
        <v>27</v>
      </c>
      <c r="K41" s="80" t="s">
        <v>112</v>
      </c>
      <c r="L41" s="80">
        <v>1</v>
      </c>
      <c r="N41" s="80">
        <v>1</v>
      </c>
      <c r="O41" s="80">
        <v>0.75</v>
      </c>
      <c r="P41" s="80">
        <v>0.5</v>
      </c>
      <c r="Q41" s="105">
        <f t="shared" si="0"/>
        <v>0.625</v>
      </c>
      <c r="R41" s="80">
        <v>12.3</v>
      </c>
      <c r="S41" s="80">
        <v>120</v>
      </c>
      <c r="T41" s="16">
        <f t="shared" si="1"/>
        <v>30</v>
      </c>
      <c r="U41" s="80">
        <v>138</v>
      </c>
      <c r="V41" s="16">
        <f t="shared" si="2"/>
        <v>4140</v>
      </c>
      <c r="W41" s="80">
        <v>1</v>
      </c>
      <c r="X41" s="80" t="s">
        <v>35</v>
      </c>
      <c r="Y41" s="80" t="s">
        <v>72</v>
      </c>
      <c r="Z41" s="80" t="s">
        <v>64</v>
      </c>
      <c r="AA41" s="80" t="s">
        <v>82</v>
      </c>
      <c r="AB41" s="80" t="s">
        <v>194</v>
      </c>
    </row>
    <row r="42" spans="1:28" x14ac:dyDescent="0.15">
      <c r="A42" s="80" t="s">
        <v>30</v>
      </c>
      <c r="B42" s="80" t="s">
        <v>190</v>
      </c>
      <c r="C42" s="80">
        <v>2020</v>
      </c>
      <c r="D42" s="104" t="s">
        <v>203</v>
      </c>
      <c r="E42" s="80" t="s">
        <v>196</v>
      </c>
      <c r="F42" s="80" t="s">
        <v>198</v>
      </c>
      <c r="G42" s="80" t="s">
        <v>25</v>
      </c>
      <c r="H42" s="80" t="s">
        <v>113</v>
      </c>
      <c r="I42" s="80" t="s">
        <v>111</v>
      </c>
      <c r="J42" s="80" t="s">
        <v>27</v>
      </c>
      <c r="K42" s="80" t="s">
        <v>112</v>
      </c>
      <c r="L42" s="80">
        <v>2</v>
      </c>
      <c r="N42" s="80">
        <v>1</v>
      </c>
      <c r="O42" s="80">
        <v>0.6</v>
      </c>
      <c r="P42" s="80">
        <v>0.65</v>
      </c>
      <c r="Q42" s="105">
        <f t="shared" si="0"/>
        <v>0.625</v>
      </c>
      <c r="R42" s="80">
        <v>11.9</v>
      </c>
      <c r="S42" s="80">
        <v>123</v>
      </c>
      <c r="T42" s="16">
        <f t="shared" si="1"/>
        <v>27</v>
      </c>
      <c r="U42" s="80">
        <v>138</v>
      </c>
      <c r="V42" s="16">
        <f t="shared" si="2"/>
        <v>3726</v>
      </c>
      <c r="W42" s="80">
        <v>1</v>
      </c>
      <c r="X42" s="80" t="s">
        <v>35</v>
      </c>
      <c r="Y42" s="80" t="s">
        <v>72</v>
      </c>
      <c r="Z42" s="80" t="s">
        <v>64</v>
      </c>
      <c r="AA42" s="80" t="s">
        <v>82</v>
      </c>
      <c r="AB42" s="80" t="s">
        <v>194</v>
      </c>
    </row>
    <row r="43" spans="1:28" x14ac:dyDescent="0.15">
      <c r="A43" s="80" t="s">
        <v>30</v>
      </c>
      <c r="B43" s="80" t="s">
        <v>190</v>
      </c>
      <c r="C43" s="80">
        <v>2020</v>
      </c>
      <c r="D43" s="104" t="s">
        <v>203</v>
      </c>
      <c r="E43" s="80" t="s">
        <v>196</v>
      </c>
      <c r="F43" s="80" t="s">
        <v>198</v>
      </c>
      <c r="G43" s="80" t="s">
        <v>25</v>
      </c>
      <c r="H43" s="80" t="s">
        <v>113</v>
      </c>
      <c r="I43" s="80" t="s">
        <v>111</v>
      </c>
      <c r="J43" s="80" t="s">
        <v>27</v>
      </c>
      <c r="K43" s="80" t="s">
        <v>112</v>
      </c>
      <c r="L43" s="80">
        <v>3</v>
      </c>
      <c r="N43" s="80">
        <v>1</v>
      </c>
      <c r="O43" s="80">
        <v>0.5</v>
      </c>
      <c r="P43" s="80">
        <v>0.45</v>
      </c>
      <c r="Q43" s="105">
        <f t="shared" si="0"/>
        <v>0.47499999999999998</v>
      </c>
      <c r="R43" s="80">
        <v>13.1</v>
      </c>
      <c r="S43" s="80">
        <v>122</v>
      </c>
      <c r="T43" s="16">
        <f t="shared" si="1"/>
        <v>27</v>
      </c>
      <c r="U43" s="80">
        <v>138</v>
      </c>
      <c r="V43" s="16">
        <f t="shared" si="2"/>
        <v>3726</v>
      </c>
      <c r="W43" s="80">
        <v>1</v>
      </c>
      <c r="X43" s="80" t="s">
        <v>35</v>
      </c>
      <c r="Y43" s="80" t="s">
        <v>72</v>
      </c>
      <c r="Z43" s="80" t="s">
        <v>64</v>
      </c>
      <c r="AA43" s="80" t="s">
        <v>82</v>
      </c>
      <c r="AB43" s="80" t="s">
        <v>194</v>
      </c>
    </row>
    <row r="44" spans="1:28" x14ac:dyDescent="0.15">
      <c r="A44" s="80" t="s">
        <v>30</v>
      </c>
      <c r="B44" s="80" t="s">
        <v>190</v>
      </c>
      <c r="C44" s="80">
        <v>2020</v>
      </c>
      <c r="D44" s="104" t="s">
        <v>203</v>
      </c>
      <c r="E44" s="80" t="s">
        <v>196</v>
      </c>
      <c r="F44" s="80" t="s">
        <v>198</v>
      </c>
      <c r="G44" s="80" t="s">
        <v>25</v>
      </c>
      <c r="H44" s="80" t="s">
        <v>113</v>
      </c>
      <c r="I44" s="80" t="s">
        <v>111</v>
      </c>
      <c r="J44" s="80" t="s">
        <v>27</v>
      </c>
      <c r="K44" s="80" t="s">
        <v>112</v>
      </c>
      <c r="L44" s="80">
        <v>1</v>
      </c>
      <c r="N44" s="80">
        <v>5</v>
      </c>
      <c r="O44" s="80">
        <v>0.45</v>
      </c>
      <c r="P44" s="80">
        <v>0.65</v>
      </c>
      <c r="Q44" s="105">
        <f t="shared" si="0"/>
        <v>0.55000000000000004</v>
      </c>
      <c r="R44" s="80">
        <v>14.5</v>
      </c>
      <c r="S44" s="80">
        <v>114</v>
      </c>
      <c r="T44" s="16">
        <f t="shared" si="1"/>
        <v>30</v>
      </c>
      <c r="U44" s="80">
        <v>398</v>
      </c>
      <c r="V44" s="16">
        <f t="shared" si="2"/>
        <v>2388</v>
      </c>
      <c r="W44" s="80">
        <v>2</v>
      </c>
      <c r="X44" s="80" t="s">
        <v>35</v>
      </c>
      <c r="Y44" s="80" t="s">
        <v>72</v>
      </c>
      <c r="Z44" s="80" t="s">
        <v>64</v>
      </c>
      <c r="AA44" s="80" t="s">
        <v>82</v>
      </c>
      <c r="AB44" s="80" t="s">
        <v>194</v>
      </c>
    </row>
    <row r="45" spans="1:28" x14ac:dyDescent="0.15">
      <c r="A45" s="80" t="s">
        <v>30</v>
      </c>
      <c r="B45" s="80" t="s">
        <v>190</v>
      </c>
      <c r="C45" s="80">
        <v>2020</v>
      </c>
      <c r="D45" s="104" t="s">
        <v>203</v>
      </c>
      <c r="E45" s="80" t="s">
        <v>196</v>
      </c>
      <c r="F45" s="80" t="s">
        <v>198</v>
      </c>
      <c r="G45" s="80" t="s">
        <v>25</v>
      </c>
      <c r="H45" s="80" t="s">
        <v>113</v>
      </c>
      <c r="I45" s="80" t="s">
        <v>111</v>
      </c>
      <c r="J45" s="80" t="s">
        <v>27</v>
      </c>
      <c r="K45" s="80" t="s">
        <v>112</v>
      </c>
      <c r="L45" s="80">
        <v>2</v>
      </c>
      <c r="N45" s="80">
        <v>5</v>
      </c>
      <c r="O45" s="80">
        <v>0.5</v>
      </c>
      <c r="P45" s="80">
        <v>0.75</v>
      </c>
      <c r="Q45" s="105">
        <f t="shared" si="0"/>
        <v>0.625</v>
      </c>
      <c r="R45" s="80">
        <v>15.2</v>
      </c>
      <c r="S45" s="80">
        <v>116</v>
      </c>
      <c r="T45" s="16">
        <f t="shared" si="1"/>
        <v>30</v>
      </c>
      <c r="U45" s="80">
        <v>398</v>
      </c>
      <c r="V45" s="16">
        <f t="shared" si="2"/>
        <v>2388</v>
      </c>
      <c r="W45" s="80">
        <v>2</v>
      </c>
      <c r="X45" s="80" t="s">
        <v>35</v>
      </c>
      <c r="Y45" s="80" t="s">
        <v>72</v>
      </c>
      <c r="Z45" s="80" t="s">
        <v>64</v>
      </c>
      <c r="AA45" s="80" t="s">
        <v>82</v>
      </c>
      <c r="AB45" s="80" t="s">
        <v>194</v>
      </c>
    </row>
    <row r="46" spans="1:28" x14ac:dyDescent="0.15">
      <c r="A46" s="80" t="s">
        <v>30</v>
      </c>
      <c r="B46" s="80" t="s">
        <v>190</v>
      </c>
      <c r="C46" s="80">
        <v>2020</v>
      </c>
      <c r="D46" s="104" t="s">
        <v>203</v>
      </c>
      <c r="E46" s="80" t="s">
        <v>196</v>
      </c>
      <c r="F46" s="80" t="s">
        <v>198</v>
      </c>
      <c r="G46" s="80" t="s">
        <v>25</v>
      </c>
      <c r="H46" s="80" t="s">
        <v>113</v>
      </c>
      <c r="I46" s="80" t="s">
        <v>111</v>
      </c>
      <c r="J46" s="80" t="s">
        <v>27</v>
      </c>
      <c r="K46" s="80" t="s">
        <v>112</v>
      </c>
      <c r="L46" s="80">
        <v>3</v>
      </c>
      <c r="N46" s="80">
        <v>5</v>
      </c>
      <c r="O46" s="80">
        <v>0.35</v>
      </c>
      <c r="P46" s="80">
        <v>0.45</v>
      </c>
      <c r="Q46" s="105">
        <f t="shared" si="0"/>
        <v>0.4</v>
      </c>
      <c r="R46" s="80">
        <v>15</v>
      </c>
      <c r="S46" s="80">
        <v>117</v>
      </c>
      <c r="T46" s="16">
        <f t="shared" si="1"/>
        <v>30</v>
      </c>
      <c r="U46" s="80">
        <v>398</v>
      </c>
      <c r="V46" s="16">
        <f t="shared" si="2"/>
        <v>2388</v>
      </c>
      <c r="W46" s="80">
        <v>2</v>
      </c>
      <c r="X46" s="80" t="s">
        <v>35</v>
      </c>
      <c r="Y46" s="80" t="s">
        <v>72</v>
      </c>
      <c r="Z46" s="80" t="s">
        <v>64</v>
      </c>
      <c r="AA46" s="80" t="s">
        <v>82</v>
      </c>
      <c r="AB46" s="80" t="s">
        <v>194</v>
      </c>
    </row>
    <row r="47" spans="1:28" x14ac:dyDescent="0.15">
      <c r="A47" s="80" t="s">
        <v>30</v>
      </c>
      <c r="B47" s="80" t="s">
        <v>190</v>
      </c>
      <c r="C47" s="80">
        <v>2020</v>
      </c>
      <c r="D47" s="104" t="s">
        <v>203</v>
      </c>
      <c r="E47" s="80" t="s">
        <v>196</v>
      </c>
      <c r="F47" s="80" t="s">
        <v>198</v>
      </c>
      <c r="G47" s="80" t="s">
        <v>25</v>
      </c>
      <c r="H47" s="80" t="s">
        <v>113</v>
      </c>
      <c r="I47" s="80" t="s">
        <v>111</v>
      </c>
      <c r="J47" s="80" t="s">
        <v>27</v>
      </c>
      <c r="K47" s="80" t="s">
        <v>112</v>
      </c>
      <c r="L47" s="80">
        <v>1</v>
      </c>
      <c r="N47" s="80">
        <v>8</v>
      </c>
      <c r="O47" s="80">
        <v>0.85</v>
      </c>
      <c r="P47" s="80">
        <v>0.8</v>
      </c>
      <c r="Q47" s="105">
        <f t="shared" si="0"/>
        <v>0.82499999999999996</v>
      </c>
      <c r="R47" s="80">
        <v>14.2</v>
      </c>
      <c r="S47" s="80">
        <v>100</v>
      </c>
      <c r="T47" s="16">
        <f t="shared" si="1"/>
        <v>33</v>
      </c>
      <c r="U47" s="80">
        <v>580</v>
      </c>
      <c r="V47" s="16">
        <f t="shared" si="2"/>
        <v>2392.5</v>
      </c>
      <c r="W47" s="80">
        <v>2</v>
      </c>
      <c r="X47" s="80" t="s">
        <v>35</v>
      </c>
      <c r="Y47" s="80" t="s">
        <v>72</v>
      </c>
      <c r="Z47" s="80" t="s">
        <v>64</v>
      </c>
      <c r="AA47" s="80" t="s">
        <v>82</v>
      </c>
      <c r="AB47" s="80" t="s">
        <v>194</v>
      </c>
    </row>
    <row r="48" spans="1:28" x14ac:dyDescent="0.15">
      <c r="A48" s="80" t="s">
        <v>30</v>
      </c>
      <c r="B48" s="80" t="s">
        <v>190</v>
      </c>
      <c r="C48" s="80">
        <v>2020</v>
      </c>
      <c r="D48" s="104" t="s">
        <v>203</v>
      </c>
      <c r="E48" s="80" t="s">
        <v>196</v>
      </c>
      <c r="F48" s="80" t="s">
        <v>198</v>
      </c>
      <c r="G48" s="80" t="s">
        <v>25</v>
      </c>
      <c r="H48" s="80" t="s">
        <v>113</v>
      </c>
      <c r="I48" s="80" t="s">
        <v>111</v>
      </c>
      <c r="J48" s="80" t="s">
        <v>27</v>
      </c>
      <c r="K48" s="80" t="s">
        <v>112</v>
      </c>
      <c r="L48" s="80">
        <v>2</v>
      </c>
      <c r="N48" s="80">
        <v>8</v>
      </c>
      <c r="O48" s="80">
        <v>0.9</v>
      </c>
      <c r="P48" s="80">
        <v>0.8</v>
      </c>
      <c r="Q48" s="105">
        <f t="shared" si="0"/>
        <v>0.85000000000000009</v>
      </c>
      <c r="R48" s="80">
        <v>13.5</v>
      </c>
      <c r="S48" s="80">
        <v>106</v>
      </c>
      <c r="T48" s="16">
        <f t="shared" si="1"/>
        <v>33</v>
      </c>
      <c r="U48" s="80">
        <v>580</v>
      </c>
      <c r="V48" s="16">
        <f t="shared" si="2"/>
        <v>2392.5</v>
      </c>
      <c r="W48" s="80">
        <v>2</v>
      </c>
      <c r="X48" s="80" t="s">
        <v>35</v>
      </c>
      <c r="Y48" s="80" t="s">
        <v>72</v>
      </c>
      <c r="Z48" s="80" t="s">
        <v>64</v>
      </c>
      <c r="AA48" s="80" t="s">
        <v>82</v>
      </c>
      <c r="AB48" s="80" t="s">
        <v>194</v>
      </c>
    </row>
    <row r="49" spans="1:28" x14ac:dyDescent="0.15">
      <c r="A49" s="80" t="s">
        <v>30</v>
      </c>
      <c r="B49" s="80" t="s">
        <v>190</v>
      </c>
      <c r="C49" s="80">
        <v>2020</v>
      </c>
      <c r="D49" s="104" t="s">
        <v>203</v>
      </c>
      <c r="E49" s="80" t="s">
        <v>196</v>
      </c>
      <c r="F49" s="80" t="s">
        <v>198</v>
      </c>
      <c r="G49" s="80" t="s">
        <v>25</v>
      </c>
      <c r="H49" s="80" t="s">
        <v>113</v>
      </c>
      <c r="I49" s="80" t="s">
        <v>111</v>
      </c>
      <c r="J49" s="80" t="s">
        <v>27</v>
      </c>
      <c r="K49" s="80" t="s">
        <v>112</v>
      </c>
      <c r="L49" s="80">
        <v>3</v>
      </c>
      <c r="N49" s="80">
        <v>8</v>
      </c>
      <c r="O49" s="80">
        <v>0.75</v>
      </c>
      <c r="P49" s="80">
        <v>0.8</v>
      </c>
      <c r="Q49" s="105">
        <f t="shared" si="0"/>
        <v>0.77500000000000002</v>
      </c>
      <c r="R49" s="80">
        <v>13.3</v>
      </c>
      <c r="S49" s="80">
        <v>98</v>
      </c>
      <c r="T49" s="16">
        <f t="shared" si="1"/>
        <v>36</v>
      </c>
      <c r="U49" s="80">
        <v>580</v>
      </c>
      <c r="V49" s="16">
        <f t="shared" si="2"/>
        <v>2610</v>
      </c>
      <c r="W49" s="80">
        <v>2</v>
      </c>
      <c r="X49" s="80" t="s">
        <v>35</v>
      </c>
      <c r="Y49" s="80" t="s">
        <v>72</v>
      </c>
      <c r="Z49" s="80" t="s">
        <v>64</v>
      </c>
      <c r="AA49" s="80" t="s">
        <v>82</v>
      </c>
      <c r="AB49" s="80" t="s">
        <v>194</v>
      </c>
    </row>
    <row r="50" spans="1:28" x14ac:dyDescent="0.15">
      <c r="A50" s="80" t="s">
        <v>30</v>
      </c>
      <c r="B50" s="80" t="s">
        <v>190</v>
      </c>
      <c r="C50" s="80">
        <v>2020</v>
      </c>
      <c r="D50" s="104" t="s">
        <v>203</v>
      </c>
      <c r="E50" s="80" t="s">
        <v>204</v>
      </c>
      <c r="F50" s="80" t="s">
        <v>193</v>
      </c>
      <c r="G50" s="80" t="s">
        <v>25</v>
      </c>
      <c r="H50" s="80" t="s">
        <v>113</v>
      </c>
      <c r="I50" s="80" t="s">
        <v>111</v>
      </c>
      <c r="J50" s="80" t="s">
        <v>27</v>
      </c>
      <c r="K50" s="80" t="s">
        <v>112</v>
      </c>
      <c r="L50" s="80">
        <v>1</v>
      </c>
      <c r="N50" s="80">
        <v>1</v>
      </c>
      <c r="O50" s="80">
        <v>0.55000000000000004</v>
      </c>
      <c r="P50" s="80">
        <v>0.65</v>
      </c>
      <c r="Q50" s="105">
        <f t="shared" si="0"/>
        <v>0.60000000000000009</v>
      </c>
      <c r="R50" s="80">
        <v>13.2</v>
      </c>
      <c r="S50" s="80">
        <v>127</v>
      </c>
      <c r="T50" s="16">
        <f t="shared" si="1"/>
        <v>27</v>
      </c>
      <c r="U50" s="80">
        <v>100</v>
      </c>
      <c r="V50" s="16">
        <f t="shared" si="2"/>
        <v>2700</v>
      </c>
      <c r="W50" s="80">
        <v>1</v>
      </c>
      <c r="X50" s="80" t="s">
        <v>35</v>
      </c>
      <c r="Y50" s="80" t="s">
        <v>72</v>
      </c>
      <c r="Z50" s="80" t="s">
        <v>82</v>
      </c>
      <c r="AA50" s="80" t="s">
        <v>64</v>
      </c>
      <c r="AB50" s="80" t="s">
        <v>194</v>
      </c>
    </row>
    <row r="51" spans="1:28" x14ac:dyDescent="0.15">
      <c r="A51" s="80" t="s">
        <v>30</v>
      </c>
      <c r="B51" s="80" t="s">
        <v>190</v>
      </c>
      <c r="C51" s="80">
        <v>2020</v>
      </c>
      <c r="D51" s="104" t="s">
        <v>203</v>
      </c>
      <c r="E51" s="80" t="s">
        <v>204</v>
      </c>
      <c r="F51" s="80" t="s">
        <v>193</v>
      </c>
      <c r="G51" s="80" t="s">
        <v>25</v>
      </c>
      <c r="H51" s="80" t="s">
        <v>113</v>
      </c>
      <c r="I51" s="80" t="s">
        <v>111</v>
      </c>
      <c r="J51" s="80" t="s">
        <v>27</v>
      </c>
      <c r="K51" s="80" t="s">
        <v>112</v>
      </c>
      <c r="L51" s="80">
        <v>2</v>
      </c>
      <c r="N51" s="80">
        <v>1</v>
      </c>
      <c r="O51" s="80">
        <v>0.65</v>
      </c>
      <c r="P51" s="80">
        <v>0.6</v>
      </c>
      <c r="Q51" s="105">
        <f t="shared" si="0"/>
        <v>0.625</v>
      </c>
      <c r="R51" s="80">
        <v>12.7</v>
      </c>
      <c r="S51" s="80">
        <v>123</v>
      </c>
      <c r="T51" s="16">
        <f t="shared" si="1"/>
        <v>27</v>
      </c>
      <c r="U51" s="80">
        <v>100</v>
      </c>
      <c r="V51" s="16">
        <f t="shared" si="2"/>
        <v>2700</v>
      </c>
      <c r="W51" s="80">
        <v>1</v>
      </c>
      <c r="X51" s="80" t="s">
        <v>35</v>
      </c>
      <c r="Y51" s="80" t="s">
        <v>72</v>
      </c>
      <c r="Z51" s="80" t="s">
        <v>82</v>
      </c>
      <c r="AA51" s="80" t="s">
        <v>64</v>
      </c>
      <c r="AB51" s="80" t="s">
        <v>194</v>
      </c>
    </row>
    <row r="52" spans="1:28" x14ac:dyDescent="0.15">
      <c r="A52" s="80" t="s">
        <v>30</v>
      </c>
      <c r="B52" s="80" t="s">
        <v>190</v>
      </c>
      <c r="C52" s="80">
        <v>2020</v>
      </c>
      <c r="D52" s="104" t="s">
        <v>203</v>
      </c>
      <c r="E52" s="80" t="s">
        <v>204</v>
      </c>
      <c r="F52" s="80" t="s">
        <v>193</v>
      </c>
      <c r="G52" s="80" t="s">
        <v>25</v>
      </c>
      <c r="H52" s="80" t="s">
        <v>113</v>
      </c>
      <c r="I52" s="80" t="s">
        <v>111</v>
      </c>
      <c r="J52" s="80" t="s">
        <v>27</v>
      </c>
      <c r="K52" s="80" t="s">
        <v>112</v>
      </c>
      <c r="L52" s="80">
        <v>3</v>
      </c>
      <c r="N52" s="80">
        <v>1</v>
      </c>
      <c r="O52" s="80">
        <v>0.3</v>
      </c>
      <c r="P52" s="80">
        <v>0.4</v>
      </c>
      <c r="Q52" s="105">
        <f t="shared" si="0"/>
        <v>0.35</v>
      </c>
      <c r="R52" s="80">
        <v>11.9</v>
      </c>
      <c r="S52" s="80">
        <v>124</v>
      </c>
      <c r="T52" s="16">
        <f t="shared" si="1"/>
        <v>27</v>
      </c>
      <c r="U52" s="80">
        <v>100</v>
      </c>
      <c r="V52" s="16">
        <f t="shared" si="2"/>
        <v>2700</v>
      </c>
      <c r="W52" s="80">
        <v>1</v>
      </c>
      <c r="X52" s="80" t="s">
        <v>35</v>
      </c>
      <c r="Y52" s="80" t="s">
        <v>72</v>
      </c>
      <c r="Z52" s="80" t="s">
        <v>82</v>
      </c>
      <c r="AA52" s="80" t="s">
        <v>64</v>
      </c>
      <c r="AB52" s="80" t="s">
        <v>194</v>
      </c>
    </row>
    <row r="53" spans="1:28" x14ac:dyDescent="0.15">
      <c r="A53" s="80" t="s">
        <v>30</v>
      </c>
      <c r="B53" s="80" t="s">
        <v>190</v>
      </c>
      <c r="C53" s="80">
        <v>2020</v>
      </c>
      <c r="D53" s="104" t="s">
        <v>203</v>
      </c>
      <c r="E53" s="80" t="s">
        <v>204</v>
      </c>
      <c r="F53" s="80" t="s">
        <v>193</v>
      </c>
      <c r="G53" s="80" t="s">
        <v>25</v>
      </c>
      <c r="H53" s="80" t="s">
        <v>113</v>
      </c>
      <c r="I53" s="80" t="s">
        <v>111</v>
      </c>
      <c r="J53" s="80" t="s">
        <v>27</v>
      </c>
      <c r="K53" s="80" t="s">
        <v>112</v>
      </c>
      <c r="L53" s="80">
        <v>1</v>
      </c>
      <c r="N53" s="80">
        <v>4</v>
      </c>
      <c r="O53" s="80">
        <v>0.3</v>
      </c>
      <c r="P53" s="80">
        <v>0.45</v>
      </c>
      <c r="Q53" s="105">
        <f t="shared" si="0"/>
        <v>0.375</v>
      </c>
      <c r="R53" s="80">
        <v>15.7</v>
      </c>
      <c r="S53" s="80">
        <v>120</v>
      </c>
      <c r="T53" s="16">
        <f t="shared" si="1"/>
        <v>30</v>
      </c>
      <c r="U53" s="80">
        <v>398</v>
      </c>
      <c r="V53" s="16">
        <f t="shared" si="2"/>
        <v>2985</v>
      </c>
      <c r="W53" s="80">
        <v>2</v>
      </c>
      <c r="X53" s="80" t="s">
        <v>35</v>
      </c>
      <c r="Y53" s="80" t="s">
        <v>72</v>
      </c>
      <c r="Z53" s="80" t="s">
        <v>82</v>
      </c>
      <c r="AA53" s="80" t="s">
        <v>64</v>
      </c>
      <c r="AB53" s="80" t="s">
        <v>194</v>
      </c>
    </row>
    <row r="54" spans="1:28" x14ac:dyDescent="0.15">
      <c r="A54" s="80" t="s">
        <v>30</v>
      </c>
      <c r="B54" s="80" t="s">
        <v>190</v>
      </c>
      <c r="C54" s="80">
        <v>2020</v>
      </c>
      <c r="D54" s="104" t="s">
        <v>203</v>
      </c>
      <c r="E54" s="80" t="s">
        <v>204</v>
      </c>
      <c r="F54" s="80" t="s">
        <v>193</v>
      </c>
      <c r="G54" s="80" t="s">
        <v>25</v>
      </c>
      <c r="H54" s="80" t="s">
        <v>113</v>
      </c>
      <c r="I54" s="80" t="s">
        <v>111</v>
      </c>
      <c r="J54" s="80" t="s">
        <v>27</v>
      </c>
      <c r="K54" s="80" t="s">
        <v>112</v>
      </c>
      <c r="L54" s="80">
        <v>2</v>
      </c>
      <c r="N54" s="80">
        <v>4</v>
      </c>
      <c r="O54" s="80">
        <v>0.25</v>
      </c>
      <c r="P54" s="80">
        <v>0.4</v>
      </c>
      <c r="Q54" s="105">
        <f t="shared" si="0"/>
        <v>0.32500000000000001</v>
      </c>
      <c r="R54" s="80">
        <v>15.2</v>
      </c>
      <c r="S54" s="80">
        <v>114</v>
      </c>
      <c r="T54" s="16">
        <f t="shared" si="1"/>
        <v>30</v>
      </c>
      <c r="U54" s="80">
        <v>398</v>
      </c>
      <c r="V54" s="16">
        <f t="shared" si="2"/>
        <v>2985</v>
      </c>
      <c r="W54" s="80">
        <v>2</v>
      </c>
      <c r="X54" s="80" t="s">
        <v>35</v>
      </c>
      <c r="Y54" s="80" t="s">
        <v>72</v>
      </c>
      <c r="Z54" s="80" t="s">
        <v>82</v>
      </c>
      <c r="AA54" s="80" t="s">
        <v>64</v>
      </c>
      <c r="AB54" s="80" t="s">
        <v>194</v>
      </c>
    </row>
    <row r="55" spans="1:28" x14ac:dyDescent="0.15">
      <c r="A55" s="80" t="s">
        <v>30</v>
      </c>
      <c r="B55" s="80" t="s">
        <v>190</v>
      </c>
      <c r="C55" s="80">
        <v>2020</v>
      </c>
      <c r="D55" s="104" t="s">
        <v>203</v>
      </c>
      <c r="E55" s="80" t="s">
        <v>204</v>
      </c>
      <c r="F55" s="80" t="s">
        <v>193</v>
      </c>
      <c r="G55" s="80" t="s">
        <v>25</v>
      </c>
      <c r="H55" s="80" t="s">
        <v>113</v>
      </c>
      <c r="I55" s="80" t="s">
        <v>111</v>
      </c>
      <c r="J55" s="80" t="s">
        <v>27</v>
      </c>
      <c r="K55" s="80" t="s">
        <v>112</v>
      </c>
      <c r="L55" s="80">
        <v>3</v>
      </c>
      <c r="N55" s="80">
        <v>4</v>
      </c>
      <c r="O55" s="80">
        <v>0.35</v>
      </c>
      <c r="P55" s="80">
        <v>0.3</v>
      </c>
      <c r="Q55" s="105">
        <f t="shared" si="0"/>
        <v>0.32499999999999996</v>
      </c>
      <c r="R55" s="80">
        <v>16.7</v>
      </c>
      <c r="S55" s="80">
        <v>117</v>
      </c>
      <c r="T55" s="16">
        <f t="shared" si="1"/>
        <v>30</v>
      </c>
      <c r="U55" s="80">
        <v>398</v>
      </c>
      <c r="V55" s="16">
        <f t="shared" si="2"/>
        <v>2985</v>
      </c>
      <c r="W55" s="80">
        <v>2</v>
      </c>
      <c r="X55" s="80" t="s">
        <v>35</v>
      </c>
      <c r="Y55" s="80" t="s">
        <v>72</v>
      </c>
      <c r="Z55" s="80" t="s">
        <v>82</v>
      </c>
      <c r="AA55" s="80" t="s">
        <v>64</v>
      </c>
      <c r="AB55" s="80" t="s">
        <v>194</v>
      </c>
    </row>
    <row r="56" spans="1:28" x14ac:dyDescent="0.15">
      <c r="A56" s="80" t="s">
        <v>30</v>
      </c>
      <c r="B56" s="80" t="s">
        <v>190</v>
      </c>
      <c r="C56" s="80">
        <v>2020</v>
      </c>
      <c r="D56" s="104" t="s">
        <v>203</v>
      </c>
      <c r="E56" s="80" t="s">
        <v>204</v>
      </c>
      <c r="F56" s="80" t="s">
        <v>193</v>
      </c>
      <c r="G56" s="80" t="s">
        <v>25</v>
      </c>
      <c r="H56" s="80" t="s">
        <v>167</v>
      </c>
      <c r="I56" s="80" t="s">
        <v>111</v>
      </c>
      <c r="J56" s="80" t="s">
        <v>27</v>
      </c>
      <c r="K56" s="80" t="s">
        <v>112</v>
      </c>
      <c r="L56" s="80">
        <v>1</v>
      </c>
      <c r="N56" s="80">
        <v>1</v>
      </c>
      <c r="O56" s="80">
        <v>0.9</v>
      </c>
      <c r="P56" s="80">
        <v>1</v>
      </c>
      <c r="Q56" s="105">
        <f t="shared" si="0"/>
        <v>0.95</v>
      </c>
      <c r="R56" s="80">
        <v>14.4</v>
      </c>
      <c r="S56" s="80">
        <v>126</v>
      </c>
      <c r="T56" s="16">
        <f t="shared" si="1"/>
        <v>27</v>
      </c>
      <c r="U56" s="80">
        <v>128</v>
      </c>
      <c r="V56" s="16">
        <f t="shared" si="2"/>
        <v>3456</v>
      </c>
      <c r="W56" s="80">
        <v>1</v>
      </c>
      <c r="X56" s="80" t="s">
        <v>35</v>
      </c>
      <c r="Y56" s="80" t="s">
        <v>72</v>
      </c>
      <c r="Z56" s="80" t="s">
        <v>82</v>
      </c>
      <c r="AA56" s="80" t="s">
        <v>64</v>
      </c>
      <c r="AB56" s="80" t="s">
        <v>194</v>
      </c>
    </row>
    <row r="57" spans="1:28" x14ac:dyDescent="0.15">
      <c r="A57" s="80" t="s">
        <v>30</v>
      </c>
      <c r="B57" s="80" t="s">
        <v>190</v>
      </c>
      <c r="C57" s="80">
        <v>2020</v>
      </c>
      <c r="D57" s="104" t="s">
        <v>203</v>
      </c>
      <c r="E57" s="80" t="s">
        <v>204</v>
      </c>
      <c r="F57" s="80" t="s">
        <v>193</v>
      </c>
      <c r="G57" s="80" t="s">
        <v>25</v>
      </c>
      <c r="H57" s="80" t="s">
        <v>167</v>
      </c>
      <c r="I57" s="80" t="s">
        <v>111</v>
      </c>
      <c r="J57" s="80" t="s">
        <v>27</v>
      </c>
      <c r="K57" s="80" t="s">
        <v>112</v>
      </c>
      <c r="L57" s="80">
        <v>2</v>
      </c>
      <c r="N57" s="80">
        <v>1</v>
      </c>
      <c r="O57" s="80">
        <v>0.65</v>
      </c>
      <c r="P57" s="80">
        <v>0.85</v>
      </c>
      <c r="Q57" s="105">
        <f t="shared" si="0"/>
        <v>0.75</v>
      </c>
      <c r="R57" s="80">
        <v>15.1</v>
      </c>
      <c r="S57" s="80">
        <v>122</v>
      </c>
      <c r="T57" s="16">
        <f t="shared" si="1"/>
        <v>27</v>
      </c>
      <c r="U57" s="80">
        <v>128</v>
      </c>
      <c r="V57" s="16">
        <f t="shared" si="2"/>
        <v>3456</v>
      </c>
      <c r="W57" s="80">
        <v>1</v>
      </c>
      <c r="X57" s="80" t="s">
        <v>35</v>
      </c>
      <c r="Y57" s="80" t="s">
        <v>72</v>
      </c>
      <c r="Z57" s="80" t="s">
        <v>82</v>
      </c>
      <c r="AA57" s="80" t="s">
        <v>64</v>
      </c>
      <c r="AB57" s="80" t="s">
        <v>194</v>
      </c>
    </row>
    <row r="58" spans="1:28" x14ac:dyDescent="0.15">
      <c r="A58" s="80" t="s">
        <v>30</v>
      </c>
      <c r="B58" s="80" t="s">
        <v>190</v>
      </c>
      <c r="C58" s="80">
        <v>2020</v>
      </c>
      <c r="D58" s="104" t="s">
        <v>203</v>
      </c>
      <c r="E58" s="80" t="s">
        <v>204</v>
      </c>
      <c r="F58" s="80" t="s">
        <v>193</v>
      </c>
      <c r="G58" s="80" t="s">
        <v>25</v>
      </c>
      <c r="H58" s="80" t="s">
        <v>167</v>
      </c>
      <c r="I58" s="80" t="s">
        <v>111</v>
      </c>
      <c r="J58" s="80" t="s">
        <v>27</v>
      </c>
      <c r="K58" s="80" t="s">
        <v>112</v>
      </c>
      <c r="L58" s="80">
        <v>3</v>
      </c>
      <c r="N58" s="80">
        <v>1</v>
      </c>
      <c r="O58" s="80">
        <v>0.8</v>
      </c>
      <c r="P58" s="80">
        <v>0.8</v>
      </c>
      <c r="Q58" s="105">
        <f t="shared" si="0"/>
        <v>0.8</v>
      </c>
      <c r="R58" s="80">
        <v>15.9</v>
      </c>
      <c r="S58" s="80">
        <v>123</v>
      </c>
      <c r="T58" s="16">
        <f t="shared" si="1"/>
        <v>27</v>
      </c>
      <c r="U58" s="80">
        <v>128</v>
      </c>
      <c r="V58" s="16">
        <f t="shared" si="2"/>
        <v>3456</v>
      </c>
      <c r="W58" s="80">
        <v>1</v>
      </c>
      <c r="X58" s="80" t="s">
        <v>35</v>
      </c>
      <c r="Y58" s="80" t="s">
        <v>72</v>
      </c>
      <c r="Z58" s="80" t="s">
        <v>82</v>
      </c>
      <c r="AA58" s="80" t="s">
        <v>64</v>
      </c>
      <c r="AB58" s="80" t="s">
        <v>194</v>
      </c>
    </row>
    <row r="59" spans="1:28" x14ac:dyDescent="0.15">
      <c r="A59" s="80" t="s">
        <v>30</v>
      </c>
      <c r="B59" s="80" t="s">
        <v>190</v>
      </c>
      <c r="C59" s="80">
        <v>2020</v>
      </c>
      <c r="D59" s="104" t="s">
        <v>203</v>
      </c>
      <c r="E59" s="80" t="s">
        <v>204</v>
      </c>
      <c r="F59" s="80" t="s">
        <v>193</v>
      </c>
      <c r="G59" s="80" t="s">
        <v>25</v>
      </c>
      <c r="H59" s="80" t="s">
        <v>167</v>
      </c>
      <c r="I59" s="80" t="s">
        <v>111</v>
      </c>
      <c r="J59" s="80" t="s">
        <v>27</v>
      </c>
      <c r="K59" s="80" t="s">
        <v>112</v>
      </c>
      <c r="L59" s="80">
        <v>1</v>
      </c>
      <c r="N59" s="80">
        <v>4</v>
      </c>
      <c r="O59" s="80">
        <v>0.45</v>
      </c>
      <c r="P59" s="80">
        <v>0.55000000000000004</v>
      </c>
      <c r="Q59" s="105">
        <f t="shared" si="0"/>
        <v>0.5</v>
      </c>
      <c r="R59" s="80">
        <v>16.8</v>
      </c>
      <c r="S59" s="80">
        <v>123</v>
      </c>
      <c r="T59" s="16">
        <f t="shared" si="1"/>
        <v>27</v>
      </c>
      <c r="U59" s="80">
        <v>498</v>
      </c>
      <c r="V59" s="16">
        <f t="shared" si="2"/>
        <v>3361.5</v>
      </c>
      <c r="W59" s="80">
        <v>3</v>
      </c>
      <c r="X59" s="80" t="s">
        <v>35</v>
      </c>
      <c r="Y59" s="80" t="s">
        <v>72</v>
      </c>
      <c r="Z59" s="80" t="s">
        <v>82</v>
      </c>
      <c r="AA59" s="80" t="s">
        <v>64</v>
      </c>
      <c r="AB59" s="80" t="s">
        <v>194</v>
      </c>
    </row>
    <row r="60" spans="1:28" x14ac:dyDescent="0.15">
      <c r="A60" s="80" t="s">
        <v>30</v>
      </c>
      <c r="B60" s="80" t="s">
        <v>190</v>
      </c>
      <c r="C60" s="80">
        <v>2020</v>
      </c>
      <c r="D60" s="104" t="s">
        <v>203</v>
      </c>
      <c r="E60" s="80" t="s">
        <v>204</v>
      </c>
      <c r="F60" s="80" t="s">
        <v>193</v>
      </c>
      <c r="G60" s="80" t="s">
        <v>25</v>
      </c>
      <c r="H60" s="80" t="s">
        <v>167</v>
      </c>
      <c r="I60" s="80" t="s">
        <v>111</v>
      </c>
      <c r="J60" s="80" t="s">
        <v>27</v>
      </c>
      <c r="K60" s="80" t="s">
        <v>112</v>
      </c>
      <c r="L60" s="80">
        <v>2</v>
      </c>
      <c r="N60" s="80">
        <v>4</v>
      </c>
      <c r="O60" s="80">
        <v>0.3</v>
      </c>
      <c r="P60" s="80">
        <v>0.45</v>
      </c>
      <c r="Q60" s="105">
        <f t="shared" si="0"/>
        <v>0.375</v>
      </c>
      <c r="R60" s="80">
        <v>15.1</v>
      </c>
      <c r="S60" s="80">
        <v>120</v>
      </c>
      <c r="T60" s="16">
        <f t="shared" si="1"/>
        <v>30</v>
      </c>
      <c r="U60" s="80">
        <v>498</v>
      </c>
      <c r="V60" s="16">
        <f t="shared" si="2"/>
        <v>3735</v>
      </c>
      <c r="W60" s="80">
        <v>3</v>
      </c>
      <c r="X60" s="80" t="s">
        <v>35</v>
      </c>
      <c r="Y60" s="80" t="s">
        <v>72</v>
      </c>
      <c r="Z60" s="80" t="s">
        <v>82</v>
      </c>
      <c r="AA60" s="80" t="s">
        <v>64</v>
      </c>
      <c r="AB60" s="80" t="s">
        <v>194</v>
      </c>
    </row>
    <row r="61" spans="1:28" x14ac:dyDescent="0.15">
      <c r="A61" s="80" t="s">
        <v>30</v>
      </c>
      <c r="B61" s="80" t="s">
        <v>190</v>
      </c>
      <c r="C61" s="80">
        <v>2020</v>
      </c>
      <c r="D61" s="104" t="s">
        <v>203</v>
      </c>
      <c r="E61" s="80" t="s">
        <v>204</v>
      </c>
      <c r="F61" s="80" t="s">
        <v>193</v>
      </c>
      <c r="G61" s="80" t="s">
        <v>25</v>
      </c>
      <c r="H61" s="80" t="s">
        <v>167</v>
      </c>
      <c r="I61" s="80" t="s">
        <v>111</v>
      </c>
      <c r="J61" s="80" t="s">
        <v>27</v>
      </c>
      <c r="K61" s="80" t="s">
        <v>112</v>
      </c>
      <c r="L61" s="80">
        <v>3</v>
      </c>
      <c r="N61" s="80">
        <v>4</v>
      </c>
      <c r="O61" s="80">
        <v>0.3</v>
      </c>
      <c r="P61" s="80">
        <v>0.25</v>
      </c>
      <c r="Q61" s="105">
        <f t="shared" si="0"/>
        <v>0.27500000000000002</v>
      </c>
      <c r="R61" s="80">
        <v>15.4</v>
      </c>
      <c r="S61" s="80">
        <v>120</v>
      </c>
      <c r="T61" s="16">
        <f t="shared" si="1"/>
        <v>30</v>
      </c>
      <c r="U61" s="80">
        <v>498</v>
      </c>
      <c r="V61" s="16">
        <f t="shared" si="2"/>
        <v>3735</v>
      </c>
      <c r="W61" s="80">
        <v>3</v>
      </c>
      <c r="X61" s="80" t="s">
        <v>35</v>
      </c>
      <c r="Y61" s="80" t="s">
        <v>72</v>
      </c>
      <c r="Z61" s="80" t="s">
        <v>82</v>
      </c>
      <c r="AA61" s="80" t="s">
        <v>64</v>
      </c>
      <c r="AB61" s="80" t="s">
        <v>194</v>
      </c>
    </row>
    <row r="62" spans="1:28" x14ac:dyDescent="0.15">
      <c r="A62" s="80" t="s">
        <v>30</v>
      </c>
      <c r="B62" s="80" t="s">
        <v>190</v>
      </c>
      <c r="C62" s="80">
        <v>2020</v>
      </c>
      <c r="D62" s="104" t="s">
        <v>203</v>
      </c>
      <c r="E62" s="80" t="s">
        <v>204</v>
      </c>
      <c r="F62" s="80" t="s">
        <v>193</v>
      </c>
      <c r="G62" s="80" t="s">
        <v>25</v>
      </c>
      <c r="H62" s="80" t="s">
        <v>167</v>
      </c>
      <c r="I62" s="80" t="s">
        <v>111</v>
      </c>
      <c r="J62" s="80" t="s">
        <v>27</v>
      </c>
      <c r="K62" s="80" t="s">
        <v>112</v>
      </c>
      <c r="L62" s="80">
        <v>1</v>
      </c>
      <c r="N62" s="80">
        <v>10</v>
      </c>
      <c r="O62" s="80">
        <v>0.8</v>
      </c>
      <c r="P62" s="80">
        <v>0.85</v>
      </c>
      <c r="Q62" s="105">
        <f t="shared" si="0"/>
        <v>0.82499999999999996</v>
      </c>
      <c r="R62" s="80">
        <v>12.6</v>
      </c>
      <c r="S62" s="80">
        <v>117</v>
      </c>
      <c r="T62" s="16">
        <f t="shared" si="1"/>
        <v>30</v>
      </c>
      <c r="U62" s="80">
        <v>1250</v>
      </c>
      <c r="V62" s="16">
        <f t="shared" si="2"/>
        <v>3750</v>
      </c>
      <c r="W62" s="80">
        <v>2</v>
      </c>
      <c r="X62" s="80" t="s">
        <v>35</v>
      </c>
      <c r="Y62" s="80" t="s">
        <v>72</v>
      </c>
      <c r="Z62" s="80" t="s">
        <v>82</v>
      </c>
      <c r="AA62" s="80" t="s">
        <v>64</v>
      </c>
      <c r="AB62" s="80" t="s">
        <v>194</v>
      </c>
    </row>
    <row r="63" spans="1:28" x14ac:dyDescent="0.15">
      <c r="A63" s="80" t="s">
        <v>30</v>
      </c>
      <c r="B63" s="80" t="s">
        <v>190</v>
      </c>
      <c r="C63" s="80">
        <v>2020</v>
      </c>
      <c r="D63" s="104" t="s">
        <v>203</v>
      </c>
      <c r="E63" s="80" t="s">
        <v>204</v>
      </c>
      <c r="F63" s="80" t="s">
        <v>193</v>
      </c>
      <c r="G63" s="80" t="s">
        <v>25</v>
      </c>
      <c r="H63" s="80" t="s">
        <v>167</v>
      </c>
      <c r="I63" s="80" t="s">
        <v>111</v>
      </c>
      <c r="J63" s="80" t="s">
        <v>27</v>
      </c>
      <c r="K63" s="80" t="s">
        <v>112</v>
      </c>
      <c r="L63" s="80">
        <v>2</v>
      </c>
      <c r="N63" s="80">
        <v>10</v>
      </c>
      <c r="O63" s="80">
        <v>1</v>
      </c>
      <c r="P63" s="81">
        <v>1.05</v>
      </c>
      <c r="Q63" s="105">
        <f t="shared" si="0"/>
        <v>1.0249999999999999</v>
      </c>
      <c r="R63" s="80">
        <v>13.7</v>
      </c>
      <c r="S63" s="80">
        <v>120</v>
      </c>
      <c r="T63" s="16">
        <f t="shared" si="1"/>
        <v>30</v>
      </c>
      <c r="U63" s="80">
        <v>1250</v>
      </c>
      <c r="V63" s="16">
        <f t="shared" si="2"/>
        <v>3750</v>
      </c>
      <c r="W63" s="80">
        <v>2</v>
      </c>
      <c r="X63" s="80" t="s">
        <v>35</v>
      </c>
      <c r="Y63" s="80" t="s">
        <v>72</v>
      </c>
      <c r="Z63" s="80" t="s">
        <v>82</v>
      </c>
      <c r="AA63" s="80" t="s">
        <v>64</v>
      </c>
      <c r="AB63" s="80" t="s">
        <v>194</v>
      </c>
    </row>
    <row r="64" spans="1:28" x14ac:dyDescent="0.15">
      <c r="A64" s="80" t="s">
        <v>30</v>
      </c>
      <c r="B64" s="80" t="s">
        <v>190</v>
      </c>
      <c r="C64" s="80">
        <v>2020</v>
      </c>
      <c r="D64" s="104" t="s">
        <v>203</v>
      </c>
      <c r="E64" s="80" t="s">
        <v>204</v>
      </c>
      <c r="F64" s="80" t="s">
        <v>193</v>
      </c>
      <c r="G64" s="80" t="s">
        <v>25</v>
      </c>
      <c r="H64" s="80" t="s">
        <v>167</v>
      </c>
      <c r="I64" s="80" t="s">
        <v>111</v>
      </c>
      <c r="J64" s="80" t="s">
        <v>27</v>
      </c>
      <c r="K64" s="80" t="s">
        <v>112</v>
      </c>
      <c r="L64" s="80">
        <v>3</v>
      </c>
      <c r="N64" s="80">
        <v>10</v>
      </c>
      <c r="O64" s="80">
        <v>1.1499999999999999</v>
      </c>
      <c r="P64" s="80">
        <v>1.05</v>
      </c>
      <c r="Q64" s="105">
        <f t="shared" si="0"/>
        <v>1.1000000000000001</v>
      </c>
      <c r="R64" s="80">
        <v>14.9</v>
      </c>
      <c r="S64" s="80">
        <v>116</v>
      </c>
      <c r="T64" s="16">
        <f t="shared" si="1"/>
        <v>30</v>
      </c>
      <c r="U64" s="80">
        <v>1250</v>
      </c>
      <c r="V64" s="16">
        <f t="shared" si="2"/>
        <v>3750</v>
      </c>
      <c r="W64" s="80">
        <v>2</v>
      </c>
      <c r="X64" s="80" t="s">
        <v>35</v>
      </c>
      <c r="Y64" s="80" t="s">
        <v>72</v>
      </c>
      <c r="Z64" s="80" t="s">
        <v>82</v>
      </c>
      <c r="AA64" s="80" t="s">
        <v>64</v>
      </c>
      <c r="AB64" s="80" t="s">
        <v>194</v>
      </c>
    </row>
    <row r="65" spans="1:28" x14ac:dyDescent="0.15">
      <c r="A65" s="80" t="s">
        <v>30</v>
      </c>
      <c r="B65" s="80" t="s">
        <v>190</v>
      </c>
      <c r="C65" s="80">
        <v>2020</v>
      </c>
      <c r="D65" s="104" t="s">
        <v>203</v>
      </c>
      <c r="E65" s="80" t="s">
        <v>204</v>
      </c>
      <c r="F65" s="80" t="s">
        <v>206</v>
      </c>
      <c r="G65" s="80" t="s">
        <v>25</v>
      </c>
      <c r="H65" s="80" t="s">
        <v>167</v>
      </c>
      <c r="I65" s="80" t="s">
        <v>111</v>
      </c>
      <c r="J65" s="80" t="s">
        <v>27</v>
      </c>
      <c r="K65" s="80" t="s">
        <v>112</v>
      </c>
      <c r="L65" s="80">
        <v>1</v>
      </c>
      <c r="N65" s="80">
        <v>1</v>
      </c>
      <c r="O65" s="80">
        <v>0.65</v>
      </c>
      <c r="P65" s="80">
        <v>0.5</v>
      </c>
      <c r="Q65" s="105">
        <f t="shared" si="0"/>
        <v>0.57499999999999996</v>
      </c>
      <c r="R65" s="80">
        <v>17.2</v>
      </c>
      <c r="S65" s="80">
        <v>127</v>
      </c>
      <c r="T65" s="16">
        <f t="shared" si="1"/>
        <v>27</v>
      </c>
      <c r="U65" s="80">
        <v>128</v>
      </c>
      <c r="V65" s="16">
        <f t="shared" si="2"/>
        <v>3456</v>
      </c>
      <c r="W65" s="80">
        <v>1</v>
      </c>
      <c r="X65" s="80" t="s">
        <v>35</v>
      </c>
      <c r="Y65" s="80" t="s">
        <v>74</v>
      </c>
      <c r="Z65" s="80" t="s">
        <v>64</v>
      </c>
      <c r="AA65" s="80" t="s">
        <v>72</v>
      </c>
      <c r="AB65" s="80" t="s">
        <v>194</v>
      </c>
    </row>
    <row r="66" spans="1:28" x14ac:dyDescent="0.15">
      <c r="A66" s="80" t="s">
        <v>30</v>
      </c>
      <c r="B66" s="80" t="s">
        <v>190</v>
      </c>
      <c r="C66" s="80">
        <v>2020</v>
      </c>
      <c r="D66" s="104" t="s">
        <v>203</v>
      </c>
      <c r="E66" s="80" t="s">
        <v>204</v>
      </c>
      <c r="F66" s="80" t="s">
        <v>206</v>
      </c>
      <c r="G66" s="80" t="s">
        <v>25</v>
      </c>
      <c r="H66" s="80" t="s">
        <v>167</v>
      </c>
      <c r="I66" s="80" t="s">
        <v>111</v>
      </c>
      <c r="J66" s="80" t="s">
        <v>27</v>
      </c>
      <c r="K66" s="80" t="s">
        <v>112</v>
      </c>
      <c r="L66" s="80">
        <v>2</v>
      </c>
      <c r="N66" s="80">
        <v>1</v>
      </c>
      <c r="O66" s="80">
        <v>0.4</v>
      </c>
      <c r="P66" s="80">
        <v>0.65</v>
      </c>
      <c r="Q66" s="105">
        <f t="shared" ref="Q66:Q129" si="3">IF(OR(O66="",P66=""),"",AVERAGE(O66,P66))</f>
        <v>0.52500000000000002</v>
      </c>
      <c r="R66" s="80">
        <v>15.2</v>
      </c>
      <c r="S66" s="80">
        <v>122</v>
      </c>
      <c r="T66" s="16">
        <f t="shared" ref="T66:T70" si="4">IF(H66="","",IF(OR(H66="GREEN",H66="GK"),IF(S66&gt;=$AX$2,VLOOKUP(S66,$AX$2:$AY$10,2,1),""),IF(S66&gt;=$AZ$2,VLOOKUP(S66,$AZ$2:$BA$10,2,1),"")))</f>
        <v>27</v>
      </c>
      <c r="U66" s="80">
        <v>128</v>
      </c>
      <c r="V66" s="16">
        <f t="shared" ref="V66:V129" si="5">IF(OR(N66="",U66="",T66=""),"",U66/N66*T66)</f>
        <v>3456</v>
      </c>
      <c r="W66" s="80">
        <v>1</v>
      </c>
      <c r="X66" s="80" t="s">
        <v>35</v>
      </c>
      <c r="Y66" s="80" t="s">
        <v>74</v>
      </c>
      <c r="Z66" s="80" t="s">
        <v>64</v>
      </c>
      <c r="AA66" s="80" t="s">
        <v>72</v>
      </c>
      <c r="AB66" s="80" t="s">
        <v>194</v>
      </c>
    </row>
    <row r="67" spans="1:28" x14ac:dyDescent="0.15">
      <c r="A67" s="80" t="s">
        <v>30</v>
      </c>
      <c r="B67" s="80" t="s">
        <v>190</v>
      </c>
      <c r="C67" s="80">
        <v>2020</v>
      </c>
      <c r="D67" s="104" t="s">
        <v>203</v>
      </c>
      <c r="E67" s="80" t="s">
        <v>204</v>
      </c>
      <c r="F67" s="80" t="s">
        <v>206</v>
      </c>
      <c r="G67" s="80" t="s">
        <v>25</v>
      </c>
      <c r="H67" s="80" t="s">
        <v>167</v>
      </c>
      <c r="I67" s="80" t="s">
        <v>111</v>
      </c>
      <c r="J67" s="80" t="s">
        <v>27</v>
      </c>
      <c r="K67" s="80" t="s">
        <v>112</v>
      </c>
      <c r="L67" s="80">
        <v>3</v>
      </c>
      <c r="N67" s="80">
        <v>1</v>
      </c>
      <c r="O67" s="80">
        <v>0.35</v>
      </c>
      <c r="P67" s="80">
        <v>0.45</v>
      </c>
      <c r="Q67" s="105">
        <f t="shared" si="3"/>
        <v>0.4</v>
      </c>
      <c r="R67" s="80">
        <v>15.9</v>
      </c>
      <c r="S67" s="80">
        <v>126</v>
      </c>
      <c r="T67" s="16">
        <f t="shared" si="4"/>
        <v>27</v>
      </c>
      <c r="U67" s="80">
        <v>128</v>
      </c>
      <c r="V67" s="16">
        <f t="shared" si="5"/>
        <v>3456</v>
      </c>
      <c r="W67" s="80">
        <v>1</v>
      </c>
      <c r="X67" s="80" t="s">
        <v>35</v>
      </c>
      <c r="Y67" s="80" t="s">
        <v>74</v>
      </c>
      <c r="Z67" s="80" t="s">
        <v>64</v>
      </c>
      <c r="AA67" s="80" t="s">
        <v>72</v>
      </c>
      <c r="AB67" s="80" t="s">
        <v>194</v>
      </c>
    </row>
    <row r="68" spans="1:28" x14ac:dyDescent="0.15">
      <c r="A68" s="80" t="s">
        <v>30</v>
      </c>
      <c r="B68" s="80" t="s">
        <v>190</v>
      </c>
      <c r="C68" s="80">
        <v>2020</v>
      </c>
      <c r="D68" s="104" t="s">
        <v>203</v>
      </c>
      <c r="E68" s="80" t="s">
        <v>204</v>
      </c>
      <c r="F68" s="80" t="s">
        <v>206</v>
      </c>
      <c r="G68" s="80" t="s">
        <v>25</v>
      </c>
      <c r="H68" s="80" t="s">
        <v>167</v>
      </c>
      <c r="I68" s="80" t="s">
        <v>111</v>
      </c>
      <c r="J68" s="80" t="s">
        <v>27</v>
      </c>
      <c r="K68" s="80" t="s">
        <v>112</v>
      </c>
      <c r="L68" s="80">
        <v>1</v>
      </c>
      <c r="N68" s="80">
        <v>4</v>
      </c>
      <c r="O68" s="80">
        <v>0.25</v>
      </c>
      <c r="P68" s="80">
        <v>0.3</v>
      </c>
      <c r="Q68" s="105">
        <f t="shared" si="3"/>
        <v>0.27500000000000002</v>
      </c>
      <c r="R68" s="80">
        <v>16.399999999999999</v>
      </c>
      <c r="S68" s="80">
        <v>120</v>
      </c>
      <c r="T68" s="16">
        <f t="shared" si="4"/>
        <v>30</v>
      </c>
      <c r="U68" s="80">
        <v>498</v>
      </c>
      <c r="V68" s="16">
        <f t="shared" si="5"/>
        <v>3735</v>
      </c>
      <c r="W68" s="80">
        <v>2</v>
      </c>
      <c r="X68" s="80" t="s">
        <v>35</v>
      </c>
      <c r="Y68" s="80" t="s">
        <v>74</v>
      </c>
      <c r="Z68" s="80" t="s">
        <v>64</v>
      </c>
      <c r="AA68" s="80" t="s">
        <v>72</v>
      </c>
      <c r="AB68" s="80" t="s">
        <v>194</v>
      </c>
    </row>
    <row r="69" spans="1:28" x14ac:dyDescent="0.15">
      <c r="A69" s="80" t="s">
        <v>30</v>
      </c>
      <c r="B69" s="80" t="s">
        <v>190</v>
      </c>
      <c r="C69" s="80">
        <v>2020</v>
      </c>
      <c r="D69" s="104" t="s">
        <v>203</v>
      </c>
      <c r="E69" s="80" t="s">
        <v>204</v>
      </c>
      <c r="F69" s="80" t="s">
        <v>206</v>
      </c>
      <c r="G69" s="80" t="s">
        <v>25</v>
      </c>
      <c r="H69" s="80" t="s">
        <v>167</v>
      </c>
      <c r="I69" s="80" t="s">
        <v>111</v>
      </c>
      <c r="J69" s="80" t="s">
        <v>27</v>
      </c>
      <c r="K69" s="80" t="s">
        <v>112</v>
      </c>
      <c r="L69" s="80">
        <v>2</v>
      </c>
      <c r="N69" s="80">
        <v>4</v>
      </c>
      <c r="O69" s="80">
        <v>0.3</v>
      </c>
      <c r="P69" s="80">
        <v>0.35</v>
      </c>
      <c r="Q69" s="105">
        <f t="shared" si="3"/>
        <v>0.32499999999999996</v>
      </c>
      <c r="R69" s="80">
        <v>16.8</v>
      </c>
      <c r="S69" s="80">
        <v>122</v>
      </c>
      <c r="T69" s="16">
        <f t="shared" si="4"/>
        <v>27</v>
      </c>
      <c r="U69" s="80">
        <v>498</v>
      </c>
      <c r="V69" s="16">
        <f t="shared" si="5"/>
        <v>3361.5</v>
      </c>
      <c r="W69" s="80">
        <v>2</v>
      </c>
      <c r="X69" s="80" t="s">
        <v>35</v>
      </c>
      <c r="Y69" s="80" t="s">
        <v>74</v>
      </c>
      <c r="Z69" s="80" t="s">
        <v>64</v>
      </c>
      <c r="AA69" s="80" t="s">
        <v>72</v>
      </c>
      <c r="AB69" s="80" t="s">
        <v>194</v>
      </c>
    </row>
    <row r="70" spans="1:28" x14ac:dyDescent="0.15">
      <c r="A70" s="80" t="s">
        <v>30</v>
      </c>
      <c r="B70" s="80" t="s">
        <v>190</v>
      </c>
      <c r="C70" s="80">
        <v>2020</v>
      </c>
      <c r="D70" s="104" t="s">
        <v>203</v>
      </c>
      <c r="E70" s="80" t="s">
        <v>204</v>
      </c>
      <c r="F70" s="80" t="s">
        <v>206</v>
      </c>
      <c r="G70" s="80" t="s">
        <v>25</v>
      </c>
      <c r="H70" s="80" t="s">
        <v>167</v>
      </c>
      <c r="I70" s="80" t="s">
        <v>111</v>
      </c>
      <c r="J70" s="80" t="s">
        <v>27</v>
      </c>
      <c r="K70" s="80" t="s">
        <v>112</v>
      </c>
      <c r="L70" s="80">
        <v>3</v>
      </c>
      <c r="N70" s="80">
        <v>4</v>
      </c>
      <c r="O70" s="80">
        <v>0.45</v>
      </c>
      <c r="P70" s="80">
        <v>0.5</v>
      </c>
      <c r="Q70" s="105">
        <f t="shared" si="3"/>
        <v>0.47499999999999998</v>
      </c>
      <c r="R70" s="80">
        <v>14.8</v>
      </c>
      <c r="S70" s="80">
        <v>118</v>
      </c>
      <c r="T70" s="16">
        <f t="shared" si="4"/>
        <v>30</v>
      </c>
      <c r="U70" s="80">
        <v>498</v>
      </c>
      <c r="V70" s="16">
        <f t="shared" si="5"/>
        <v>3735</v>
      </c>
      <c r="W70" s="80">
        <v>2</v>
      </c>
      <c r="X70" s="80" t="s">
        <v>35</v>
      </c>
      <c r="Y70" s="80" t="s">
        <v>74</v>
      </c>
      <c r="Z70" s="80" t="s">
        <v>64</v>
      </c>
      <c r="AA70" s="80" t="s">
        <v>72</v>
      </c>
      <c r="AB70" s="80" t="s">
        <v>194</v>
      </c>
    </row>
    <row r="71" spans="1:28" x14ac:dyDescent="0.15">
      <c r="A71" s="80" t="s">
        <v>30</v>
      </c>
      <c r="B71" s="80" t="s">
        <v>190</v>
      </c>
      <c r="C71" s="80">
        <v>2020</v>
      </c>
      <c r="D71" s="104" t="s">
        <v>203</v>
      </c>
      <c r="E71" s="80" t="s">
        <v>204</v>
      </c>
      <c r="F71" s="80" t="s">
        <v>206</v>
      </c>
      <c r="G71" s="80" t="s">
        <v>25</v>
      </c>
      <c r="H71" s="80" t="s">
        <v>113</v>
      </c>
      <c r="I71" s="80" t="s">
        <v>111</v>
      </c>
      <c r="J71" s="80" t="s">
        <v>27</v>
      </c>
      <c r="K71" s="80" t="s">
        <v>112</v>
      </c>
      <c r="L71" s="80">
        <v>1</v>
      </c>
      <c r="N71" s="80">
        <v>1</v>
      </c>
      <c r="O71" s="80">
        <v>0.65</v>
      </c>
      <c r="P71" s="80">
        <v>0.55000000000000004</v>
      </c>
      <c r="Q71" s="105">
        <f t="shared" si="3"/>
        <v>0.60000000000000009</v>
      </c>
      <c r="R71" s="80">
        <v>14.2</v>
      </c>
      <c r="S71" s="80">
        <v>124</v>
      </c>
      <c r="T71" s="16">
        <f t="shared" ref="T71:T76" si="6">IF(H71="","",IF(OR(H71="GREEN",H71="GK"),IF(S71&gt;=$AX$2,VLOOKUP(S71,$AX$2:$AY$12,2,1),""),IF(S71&gt;=$AZ$2,VLOOKUP(S71,$AZ$2:$BA$12,2,1),"")))</f>
        <v>27</v>
      </c>
      <c r="U71" s="80">
        <v>100</v>
      </c>
      <c r="V71" s="16">
        <f t="shared" si="5"/>
        <v>2700</v>
      </c>
      <c r="W71" s="80">
        <v>1</v>
      </c>
      <c r="X71" s="80" t="s">
        <v>35</v>
      </c>
      <c r="Y71" s="80" t="s">
        <v>74</v>
      </c>
      <c r="Z71" s="80" t="s">
        <v>64</v>
      </c>
      <c r="AA71" s="80" t="s">
        <v>72</v>
      </c>
      <c r="AB71" s="80" t="s">
        <v>194</v>
      </c>
    </row>
    <row r="72" spans="1:28" x14ac:dyDescent="0.15">
      <c r="A72" s="80" t="s">
        <v>30</v>
      </c>
      <c r="B72" s="80" t="s">
        <v>190</v>
      </c>
      <c r="C72" s="80">
        <v>2020</v>
      </c>
      <c r="D72" s="104" t="s">
        <v>203</v>
      </c>
      <c r="E72" s="80" t="s">
        <v>204</v>
      </c>
      <c r="F72" s="80" t="s">
        <v>206</v>
      </c>
      <c r="G72" s="80" t="s">
        <v>25</v>
      </c>
      <c r="H72" s="80" t="s">
        <v>113</v>
      </c>
      <c r="I72" s="80" t="s">
        <v>111</v>
      </c>
      <c r="J72" s="80" t="s">
        <v>27</v>
      </c>
      <c r="K72" s="80" t="s">
        <v>112</v>
      </c>
      <c r="L72" s="80">
        <v>2</v>
      </c>
      <c r="N72" s="80">
        <v>1</v>
      </c>
      <c r="O72" s="80">
        <v>0.75</v>
      </c>
      <c r="P72" s="80">
        <v>0.8</v>
      </c>
      <c r="Q72" s="105">
        <f t="shared" si="3"/>
        <v>0.77500000000000002</v>
      </c>
      <c r="R72" s="80">
        <v>13.2</v>
      </c>
      <c r="S72" s="80">
        <v>126</v>
      </c>
      <c r="T72" s="16">
        <f t="shared" si="6"/>
        <v>27</v>
      </c>
      <c r="U72" s="80">
        <v>100</v>
      </c>
      <c r="V72" s="16">
        <f t="shared" si="5"/>
        <v>2700</v>
      </c>
      <c r="W72" s="80">
        <v>1</v>
      </c>
      <c r="X72" s="80" t="s">
        <v>35</v>
      </c>
      <c r="Y72" s="80" t="s">
        <v>74</v>
      </c>
      <c r="Z72" s="80" t="s">
        <v>64</v>
      </c>
      <c r="AA72" s="80" t="s">
        <v>72</v>
      </c>
      <c r="AB72" s="80" t="s">
        <v>194</v>
      </c>
    </row>
    <row r="73" spans="1:28" x14ac:dyDescent="0.15">
      <c r="A73" s="80" t="s">
        <v>30</v>
      </c>
      <c r="B73" s="80" t="s">
        <v>190</v>
      </c>
      <c r="C73" s="80">
        <v>2020</v>
      </c>
      <c r="D73" s="104" t="s">
        <v>203</v>
      </c>
      <c r="E73" s="80" t="s">
        <v>204</v>
      </c>
      <c r="F73" s="80" t="s">
        <v>206</v>
      </c>
      <c r="G73" s="80" t="s">
        <v>25</v>
      </c>
      <c r="H73" s="80" t="s">
        <v>113</v>
      </c>
      <c r="I73" s="80" t="s">
        <v>111</v>
      </c>
      <c r="J73" s="80" t="s">
        <v>27</v>
      </c>
      <c r="K73" s="80" t="s">
        <v>112</v>
      </c>
      <c r="L73" s="80">
        <v>3</v>
      </c>
      <c r="N73" s="80">
        <v>1</v>
      </c>
      <c r="O73" s="80">
        <v>0.8</v>
      </c>
      <c r="P73" s="80">
        <v>0.75</v>
      </c>
      <c r="Q73" s="105">
        <f t="shared" si="3"/>
        <v>0.77500000000000002</v>
      </c>
      <c r="R73" s="80">
        <v>11.5</v>
      </c>
      <c r="S73" s="80">
        <v>123</v>
      </c>
      <c r="T73" s="16">
        <f t="shared" si="6"/>
        <v>27</v>
      </c>
      <c r="U73" s="80">
        <v>100</v>
      </c>
      <c r="V73" s="16">
        <f t="shared" si="5"/>
        <v>2700</v>
      </c>
      <c r="W73" s="80">
        <v>1</v>
      </c>
      <c r="X73" s="80" t="s">
        <v>35</v>
      </c>
      <c r="Y73" s="80" t="s">
        <v>74</v>
      </c>
      <c r="Z73" s="80" t="s">
        <v>64</v>
      </c>
      <c r="AA73" s="80" t="s">
        <v>72</v>
      </c>
      <c r="AB73" s="80" t="s">
        <v>194</v>
      </c>
    </row>
    <row r="74" spans="1:28" x14ac:dyDescent="0.15">
      <c r="A74" s="80" t="s">
        <v>30</v>
      </c>
      <c r="B74" s="80" t="s">
        <v>190</v>
      </c>
      <c r="C74" s="80">
        <v>2020</v>
      </c>
      <c r="D74" s="104" t="s">
        <v>203</v>
      </c>
      <c r="E74" s="80" t="s">
        <v>204</v>
      </c>
      <c r="F74" s="80" t="s">
        <v>206</v>
      </c>
      <c r="G74" s="80" t="s">
        <v>25</v>
      </c>
      <c r="H74" s="80" t="s">
        <v>113</v>
      </c>
      <c r="I74" s="80" t="s">
        <v>111</v>
      </c>
      <c r="J74" s="80" t="s">
        <v>27</v>
      </c>
      <c r="K74" s="80" t="s">
        <v>112</v>
      </c>
      <c r="L74" s="80">
        <v>1</v>
      </c>
      <c r="N74" s="80">
        <v>4</v>
      </c>
      <c r="O74" s="80">
        <v>0.65</v>
      </c>
      <c r="P74" s="80">
        <v>0.6</v>
      </c>
      <c r="Q74" s="105">
        <f t="shared" si="3"/>
        <v>0.625</v>
      </c>
      <c r="R74" s="80">
        <v>11.9</v>
      </c>
      <c r="S74" s="80">
        <v>115</v>
      </c>
      <c r="T74" s="16">
        <f t="shared" si="6"/>
        <v>30</v>
      </c>
      <c r="U74" s="80">
        <v>398</v>
      </c>
      <c r="V74" s="16">
        <f t="shared" si="5"/>
        <v>2985</v>
      </c>
      <c r="W74" s="80">
        <v>2</v>
      </c>
      <c r="X74" s="80" t="s">
        <v>35</v>
      </c>
      <c r="Y74" s="80" t="s">
        <v>74</v>
      </c>
      <c r="Z74" s="80" t="s">
        <v>64</v>
      </c>
      <c r="AA74" s="80" t="s">
        <v>72</v>
      </c>
      <c r="AB74" s="80" t="s">
        <v>194</v>
      </c>
    </row>
    <row r="75" spans="1:28" x14ac:dyDescent="0.15">
      <c r="A75" s="80" t="s">
        <v>30</v>
      </c>
      <c r="B75" s="80" t="s">
        <v>190</v>
      </c>
      <c r="C75" s="80">
        <v>2020</v>
      </c>
      <c r="D75" s="104" t="s">
        <v>203</v>
      </c>
      <c r="E75" s="80" t="s">
        <v>204</v>
      </c>
      <c r="F75" s="80" t="s">
        <v>206</v>
      </c>
      <c r="G75" s="80" t="s">
        <v>25</v>
      </c>
      <c r="H75" s="80" t="s">
        <v>113</v>
      </c>
      <c r="I75" s="80" t="s">
        <v>111</v>
      </c>
      <c r="J75" s="80" t="s">
        <v>27</v>
      </c>
      <c r="K75" s="80" t="s">
        <v>112</v>
      </c>
      <c r="L75" s="80">
        <v>2</v>
      </c>
      <c r="N75" s="80">
        <v>4</v>
      </c>
      <c r="O75" s="80">
        <v>0.75</v>
      </c>
      <c r="P75" s="80">
        <v>0.7</v>
      </c>
      <c r="Q75" s="105">
        <f t="shared" si="3"/>
        <v>0.72499999999999998</v>
      </c>
      <c r="R75" s="80">
        <v>12.4</v>
      </c>
      <c r="S75" s="80">
        <v>118</v>
      </c>
      <c r="T75" s="16">
        <f t="shared" si="6"/>
        <v>30</v>
      </c>
      <c r="U75" s="80">
        <v>398</v>
      </c>
      <c r="V75" s="16">
        <f t="shared" si="5"/>
        <v>2985</v>
      </c>
      <c r="W75" s="80">
        <v>2</v>
      </c>
      <c r="X75" s="80" t="s">
        <v>35</v>
      </c>
      <c r="Y75" s="80" t="s">
        <v>74</v>
      </c>
      <c r="Z75" s="80" t="s">
        <v>64</v>
      </c>
      <c r="AA75" s="80" t="s">
        <v>72</v>
      </c>
      <c r="AB75" s="80" t="s">
        <v>194</v>
      </c>
    </row>
    <row r="76" spans="1:28" x14ac:dyDescent="0.15">
      <c r="A76" s="80" t="s">
        <v>30</v>
      </c>
      <c r="B76" s="80" t="s">
        <v>190</v>
      </c>
      <c r="C76" s="80">
        <v>2020</v>
      </c>
      <c r="D76" s="104" t="s">
        <v>203</v>
      </c>
      <c r="E76" s="80" t="s">
        <v>204</v>
      </c>
      <c r="F76" s="80" t="s">
        <v>206</v>
      </c>
      <c r="G76" s="80" t="s">
        <v>25</v>
      </c>
      <c r="H76" s="80" t="s">
        <v>113</v>
      </c>
      <c r="I76" s="80" t="s">
        <v>111</v>
      </c>
      <c r="J76" s="80" t="s">
        <v>27</v>
      </c>
      <c r="K76" s="80" t="s">
        <v>112</v>
      </c>
      <c r="L76" s="80">
        <v>3</v>
      </c>
      <c r="N76" s="80">
        <v>4</v>
      </c>
      <c r="O76" s="80">
        <v>0.6</v>
      </c>
      <c r="P76" s="80">
        <v>0.45</v>
      </c>
      <c r="Q76" s="105">
        <f t="shared" si="3"/>
        <v>0.52500000000000002</v>
      </c>
      <c r="R76" s="80">
        <v>13.8</v>
      </c>
      <c r="S76" s="80">
        <v>114</v>
      </c>
      <c r="T76" s="16">
        <f t="shared" si="6"/>
        <v>30</v>
      </c>
      <c r="U76" s="80">
        <v>398</v>
      </c>
      <c r="V76" s="16">
        <f t="shared" si="5"/>
        <v>2985</v>
      </c>
      <c r="W76" s="80">
        <v>2</v>
      </c>
      <c r="X76" s="80" t="s">
        <v>35</v>
      </c>
      <c r="Y76" s="80" t="s">
        <v>74</v>
      </c>
      <c r="Z76" s="80" t="s">
        <v>64</v>
      </c>
      <c r="AA76" s="80" t="s">
        <v>72</v>
      </c>
      <c r="AB76" s="80" t="s">
        <v>194</v>
      </c>
    </row>
    <row r="77" spans="1:28" x14ac:dyDescent="0.15">
      <c r="A77" s="80" t="s">
        <v>30</v>
      </c>
      <c r="B77" s="80" t="s">
        <v>190</v>
      </c>
      <c r="C77" s="80">
        <v>2020</v>
      </c>
      <c r="D77" s="104" t="s">
        <v>203</v>
      </c>
      <c r="E77" s="80" t="s">
        <v>208</v>
      </c>
      <c r="F77" s="80" t="s">
        <v>206</v>
      </c>
      <c r="G77" s="80" t="s">
        <v>25</v>
      </c>
      <c r="H77" s="80" t="s">
        <v>113</v>
      </c>
      <c r="I77" s="80" t="s">
        <v>111</v>
      </c>
      <c r="J77" s="80" t="s">
        <v>27</v>
      </c>
      <c r="K77" s="80" t="s">
        <v>112</v>
      </c>
      <c r="L77" s="80">
        <v>1</v>
      </c>
      <c r="N77" s="80">
        <v>1</v>
      </c>
      <c r="O77" s="80">
        <v>0.55000000000000004</v>
      </c>
      <c r="P77" s="80">
        <v>0.5</v>
      </c>
      <c r="Q77" s="105">
        <f t="shared" si="3"/>
        <v>0.52500000000000002</v>
      </c>
      <c r="R77" s="80">
        <v>13.5</v>
      </c>
      <c r="S77" s="80">
        <v>116</v>
      </c>
      <c r="T77" s="16">
        <f t="shared" ref="T77:T140" si="7">IF(H77="","",IF(OR(H77="GREEN",H77="GK"),IF(S77&gt;=$AX$2,VLOOKUP(S77,$AX$2:$AY$10,2,1),""),IF(S77&gt;=$AZ$2,VLOOKUP(S77,$AZ$2:$BA$10,2,1),"")))</f>
        <v>30</v>
      </c>
      <c r="U77" s="80">
        <v>87</v>
      </c>
      <c r="V77" s="16">
        <f t="shared" si="5"/>
        <v>2610</v>
      </c>
      <c r="W77" s="80">
        <v>1</v>
      </c>
      <c r="X77" s="80" t="s">
        <v>35</v>
      </c>
      <c r="Y77" s="80" t="s">
        <v>72</v>
      </c>
      <c r="Z77" s="80" t="s">
        <v>82</v>
      </c>
      <c r="AA77" s="80" t="s">
        <v>64</v>
      </c>
      <c r="AB77" s="80" t="s">
        <v>194</v>
      </c>
    </row>
    <row r="78" spans="1:28" x14ac:dyDescent="0.15">
      <c r="A78" s="80" t="s">
        <v>30</v>
      </c>
      <c r="B78" s="80" t="s">
        <v>190</v>
      </c>
      <c r="C78" s="80">
        <v>2020</v>
      </c>
      <c r="D78" s="104" t="s">
        <v>203</v>
      </c>
      <c r="E78" s="80" t="s">
        <v>208</v>
      </c>
      <c r="F78" s="80" t="s">
        <v>206</v>
      </c>
      <c r="G78" s="80" t="s">
        <v>25</v>
      </c>
      <c r="H78" s="80" t="s">
        <v>113</v>
      </c>
      <c r="I78" s="80" t="s">
        <v>111</v>
      </c>
      <c r="J78" s="80" t="s">
        <v>27</v>
      </c>
      <c r="K78" s="80" t="s">
        <v>112</v>
      </c>
      <c r="L78" s="80">
        <v>2</v>
      </c>
      <c r="N78" s="80">
        <v>1</v>
      </c>
      <c r="O78" s="80">
        <v>0.45</v>
      </c>
      <c r="P78" s="80">
        <v>0.55000000000000004</v>
      </c>
      <c r="Q78" s="105">
        <f t="shared" si="3"/>
        <v>0.5</v>
      </c>
      <c r="R78" s="80">
        <v>15.4</v>
      </c>
      <c r="S78" s="80">
        <v>115</v>
      </c>
      <c r="T78" s="16">
        <f t="shared" si="7"/>
        <v>30</v>
      </c>
      <c r="U78" s="80">
        <v>87</v>
      </c>
      <c r="V78" s="16">
        <f t="shared" si="5"/>
        <v>2610</v>
      </c>
      <c r="W78" s="80">
        <v>1</v>
      </c>
      <c r="X78" s="80" t="s">
        <v>35</v>
      </c>
      <c r="Y78" s="80" t="s">
        <v>72</v>
      </c>
      <c r="Z78" s="80" t="s">
        <v>82</v>
      </c>
      <c r="AA78" s="80" t="s">
        <v>64</v>
      </c>
      <c r="AB78" s="80" t="s">
        <v>194</v>
      </c>
    </row>
    <row r="79" spans="1:28" x14ac:dyDescent="0.15">
      <c r="A79" s="80" t="s">
        <v>30</v>
      </c>
      <c r="B79" s="80" t="s">
        <v>190</v>
      </c>
      <c r="C79" s="80">
        <v>2020</v>
      </c>
      <c r="D79" s="104" t="s">
        <v>203</v>
      </c>
      <c r="E79" s="80" t="s">
        <v>208</v>
      </c>
      <c r="F79" s="80" t="s">
        <v>206</v>
      </c>
      <c r="G79" s="80" t="s">
        <v>25</v>
      </c>
      <c r="H79" s="80" t="s">
        <v>113</v>
      </c>
      <c r="I79" s="80" t="s">
        <v>111</v>
      </c>
      <c r="J79" s="80" t="s">
        <v>27</v>
      </c>
      <c r="K79" s="80" t="s">
        <v>112</v>
      </c>
      <c r="L79" s="80">
        <v>3</v>
      </c>
      <c r="N79" s="80">
        <v>1</v>
      </c>
      <c r="O79" s="80">
        <v>0.6</v>
      </c>
      <c r="P79" s="80">
        <v>0.75</v>
      </c>
      <c r="Q79" s="105">
        <f t="shared" si="3"/>
        <v>0.67500000000000004</v>
      </c>
      <c r="R79" s="80">
        <v>14.2</v>
      </c>
      <c r="S79" s="80">
        <v>118</v>
      </c>
      <c r="T79" s="16">
        <f t="shared" si="7"/>
        <v>30</v>
      </c>
      <c r="U79" s="80">
        <v>87</v>
      </c>
      <c r="V79" s="16">
        <f t="shared" si="5"/>
        <v>2610</v>
      </c>
      <c r="W79" s="80">
        <v>1</v>
      </c>
      <c r="X79" s="80" t="s">
        <v>35</v>
      </c>
      <c r="Y79" s="80" t="s">
        <v>72</v>
      </c>
      <c r="Z79" s="80" t="s">
        <v>82</v>
      </c>
      <c r="AA79" s="80" t="s">
        <v>64</v>
      </c>
      <c r="AB79" s="80" t="s">
        <v>194</v>
      </c>
    </row>
    <row r="80" spans="1:28" x14ac:dyDescent="0.15">
      <c r="A80" s="80" t="s">
        <v>30</v>
      </c>
      <c r="B80" s="80" t="s">
        <v>190</v>
      </c>
      <c r="C80" s="80">
        <v>2020</v>
      </c>
      <c r="D80" s="104" t="s">
        <v>203</v>
      </c>
      <c r="E80" s="80" t="s">
        <v>208</v>
      </c>
      <c r="F80" s="80" t="s">
        <v>206</v>
      </c>
      <c r="G80" s="80" t="s">
        <v>25</v>
      </c>
      <c r="H80" s="80" t="s">
        <v>113</v>
      </c>
      <c r="I80" s="80" t="s">
        <v>111</v>
      </c>
      <c r="J80" s="80" t="s">
        <v>27</v>
      </c>
      <c r="K80" s="80" t="s">
        <v>112</v>
      </c>
      <c r="L80" s="80">
        <v>1</v>
      </c>
      <c r="N80" s="80">
        <v>11</v>
      </c>
      <c r="O80" s="80">
        <v>0.25</v>
      </c>
      <c r="P80" s="80">
        <v>0.25</v>
      </c>
      <c r="Q80" s="105">
        <f t="shared" si="3"/>
        <v>0.25</v>
      </c>
      <c r="R80" s="80">
        <v>16.2</v>
      </c>
      <c r="S80" s="80">
        <v>98</v>
      </c>
      <c r="T80" s="16">
        <f t="shared" si="7"/>
        <v>36</v>
      </c>
      <c r="U80" s="80">
        <v>870</v>
      </c>
      <c r="V80" s="16">
        <f t="shared" si="5"/>
        <v>2847.2727272727275</v>
      </c>
      <c r="W80" s="80">
        <v>3</v>
      </c>
      <c r="X80" s="80" t="s">
        <v>35</v>
      </c>
      <c r="Y80" s="80" t="s">
        <v>72</v>
      </c>
      <c r="Z80" s="80" t="s">
        <v>82</v>
      </c>
      <c r="AA80" s="80" t="s">
        <v>64</v>
      </c>
      <c r="AB80" s="80" t="s">
        <v>194</v>
      </c>
    </row>
    <row r="81" spans="1:28" x14ac:dyDescent="0.15">
      <c r="A81" s="80" t="s">
        <v>30</v>
      </c>
      <c r="B81" s="80" t="s">
        <v>190</v>
      </c>
      <c r="C81" s="80">
        <v>2020</v>
      </c>
      <c r="D81" s="104" t="s">
        <v>203</v>
      </c>
      <c r="E81" s="80" t="s">
        <v>208</v>
      </c>
      <c r="F81" s="80" t="s">
        <v>206</v>
      </c>
      <c r="G81" s="80" t="s">
        <v>25</v>
      </c>
      <c r="H81" s="80" t="s">
        <v>113</v>
      </c>
      <c r="I81" s="80" t="s">
        <v>111</v>
      </c>
      <c r="J81" s="80" t="s">
        <v>27</v>
      </c>
      <c r="K81" s="80" t="s">
        <v>112</v>
      </c>
      <c r="L81" s="80">
        <v>2</v>
      </c>
      <c r="N81" s="80">
        <v>11</v>
      </c>
      <c r="O81" s="80">
        <v>0.6</v>
      </c>
      <c r="P81" s="80">
        <v>0.5</v>
      </c>
      <c r="Q81" s="105">
        <f t="shared" si="3"/>
        <v>0.55000000000000004</v>
      </c>
      <c r="R81" s="80">
        <v>15.9</v>
      </c>
      <c r="S81" s="80">
        <v>109</v>
      </c>
      <c r="T81" s="16">
        <f t="shared" si="7"/>
        <v>33</v>
      </c>
      <c r="U81" s="80">
        <v>870</v>
      </c>
      <c r="V81" s="16">
        <f t="shared" si="5"/>
        <v>2610</v>
      </c>
      <c r="W81" s="80">
        <v>3</v>
      </c>
      <c r="X81" s="80" t="s">
        <v>35</v>
      </c>
      <c r="Y81" s="80" t="s">
        <v>72</v>
      </c>
      <c r="Z81" s="80" t="s">
        <v>82</v>
      </c>
      <c r="AA81" s="80" t="s">
        <v>64</v>
      </c>
      <c r="AB81" s="80" t="s">
        <v>194</v>
      </c>
    </row>
    <row r="82" spans="1:28" x14ac:dyDescent="0.15">
      <c r="A82" s="80" t="s">
        <v>30</v>
      </c>
      <c r="B82" s="80" t="s">
        <v>190</v>
      </c>
      <c r="C82" s="80">
        <v>2020</v>
      </c>
      <c r="D82" s="104" t="s">
        <v>203</v>
      </c>
      <c r="E82" s="80" t="s">
        <v>208</v>
      </c>
      <c r="F82" s="80" t="s">
        <v>206</v>
      </c>
      <c r="G82" s="80" t="s">
        <v>25</v>
      </c>
      <c r="H82" s="80" t="s">
        <v>113</v>
      </c>
      <c r="I82" s="80" t="s">
        <v>111</v>
      </c>
      <c r="J82" s="80" t="s">
        <v>27</v>
      </c>
      <c r="K82" s="80" t="s">
        <v>112</v>
      </c>
      <c r="L82" s="80">
        <v>3</v>
      </c>
      <c r="N82" s="80">
        <v>11</v>
      </c>
      <c r="O82" s="80">
        <v>0.45</v>
      </c>
      <c r="P82" s="80">
        <v>0.45</v>
      </c>
      <c r="Q82" s="105">
        <f t="shared" si="3"/>
        <v>0.45</v>
      </c>
      <c r="R82" s="80">
        <v>13.4</v>
      </c>
      <c r="S82" s="80">
        <v>105</v>
      </c>
      <c r="T82" s="16">
        <f t="shared" si="7"/>
        <v>33</v>
      </c>
      <c r="U82" s="80">
        <v>870</v>
      </c>
      <c r="V82" s="16">
        <f t="shared" si="5"/>
        <v>2610</v>
      </c>
      <c r="W82" s="80">
        <v>3</v>
      </c>
      <c r="X82" s="80" t="s">
        <v>35</v>
      </c>
      <c r="Y82" s="80" t="s">
        <v>72</v>
      </c>
      <c r="Z82" s="80" t="s">
        <v>82</v>
      </c>
      <c r="AA82" s="80" t="s">
        <v>64</v>
      </c>
      <c r="AB82" s="80" t="s">
        <v>194</v>
      </c>
    </row>
    <row r="83" spans="1:28" x14ac:dyDescent="0.15">
      <c r="A83" s="80" t="s">
        <v>30</v>
      </c>
      <c r="B83" s="80" t="s">
        <v>190</v>
      </c>
      <c r="C83" s="80">
        <v>2020</v>
      </c>
      <c r="D83" s="104" t="s">
        <v>203</v>
      </c>
      <c r="E83" s="80" t="s">
        <v>208</v>
      </c>
      <c r="F83" s="80" t="s">
        <v>206</v>
      </c>
      <c r="G83" s="80" t="s">
        <v>25</v>
      </c>
      <c r="H83" s="80" t="s">
        <v>167</v>
      </c>
      <c r="I83" s="80" t="s">
        <v>111</v>
      </c>
      <c r="J83" s="80" t="s">
        <v>27</v>
      </c>
      <c r="K83" s="80" t="s">
        <v>112</v>
      </c>
      <c r="L83" s="80">
        <v>1</v>
      </c>
      <c r="N83" s="80">
        <v>1</v>
      </c>
      <c r="O83" s="80">
        <v>0.5</v>
      </c>
      <c r="P83" s="80">
        <v>0.45</v>
      </c>
      <c r="Q83" s="105">
        <f t="shared" si="3"/>
        <v>0.47499999999999998</v>
      </c>
      <c r="R83" s="80">
        <v>14.2</v>
      </c>
      <c r="S83" s="80">
        <v>120</v>
      </c>
      <c r="T83" s="16">
        <f t="shared" si="7"/>
        <v>30</v>
      </c>
      <c r="U83" s="80">
        <v>87</v>
      </c>
      <c r="V83" s="16">
        <f t="shared" si="5"/>
        <v>2610</v>
      </c>
      <c r="W83" s="80">
        <v>2</v>
      </c>
      <c r="X83" s="80" t="s">
        <v>35</v>
      </c>
      <c r="Y83" s="80" t="s">
        <v>72</v>
      </c>
      <c r="Z83" s="80" t="s">
        <v>82</v>
      </c>
      <c r="AA83" s="80" t="s">
        <v>64</v>
      </c>
      <c r="AB83" s="80" t="s">
        <v>194</v>
      </c>
    </row>
    <row r="84" spans="1:28" x14ac:dyDescent="0.15">
      <c r="A84" s="80" t="s">
        <v>30</v>
      </c>
      <c r="B84" s="80" t="s">
        <v>190</v>
      </c>
      <c r="C84" s="80">
        <v>2020</v>
      </c>
      <c r="D84" s="104" t="s">
        <v>203</v>
      </c>
      <c r="E84" s="80" t="s">
        <v>208</v>
      </c>
      <c r="F84" s="80" t="s">
        <v>206</v>
      </c>
      <c r="G84" s="80" t="s">
        <v>25</v>
      </c>
      <c r="H84" s="80" t="s">
        <v>167</v>
      </c>
      <c r="I84" s="80" t="s">
        <v>111</v>
      </c>
      <c r="J84" s="80" t="s">
        <v>27</v>
      </c>
      <c r="K84" s="80" t="s">
        <v>112</v>
      </c>
      <c r="L84" s="80">
        <v>2</v>
      </c>
      <c r="N84" s="80">
        <v>1</v>
      </c>
      <c r="O84" s="80">
        <v>0.55000000000000004</v>
      </c>
      <c r="P84" s="80">
        <v>0.5</v>
      </c>
      <c r="Q84" s="105">
        <f t="shared" si="3"/>
        <v>0.52500000000000002</v>
      </c>
      <c r="R84" s="80">
        <v>15.2</v>
      </c>
      <c r="S84" s="80">
        <v>122</v>
      </c>
      <c r="T84" s="16">
        <f t="shared" si="7"/>
        <v>27</v>
      </c>
      <c r="U84" s="80">
        <v>87</v>
      </c>
      <c r="V84" s="16">
        <f t="shared" si="5"/>
        <v>2349</v>
      </c>
      <c r="W84" s="80">
        <v>2</v>
      </c>
      <c r="X84" s="80" t="s">
        <v>35</v>
      </c>
      <c r="Y84" s="80" t="s">
        <v>72</v>
      </c>
      <c r="Z84" s="80" t="s">
        <v>82</v>
      </c>
      <c r="AA84" s="80" t="s">
        <v>64</v>
      </c>
      <c r="AB84" s="80" t="s">
        <v>194</v>
      </c>
    </row>
    <row r="85" spans="1:28" x14ac:dyDescent="0.15">
      <c r="A85" s="80" t="s">
        <v>30</v>
      </c>
      <c r="B85" s="80" t="s">
        <v>190</v>
      </c>
      <c r="C85" s="80">
        <v>2020</v>
      </c>
      <c r="D85" s="104" t="s">
        <v>203</v>
      </c>
      <c r="E85" s="80" t="s">
        <v>208</v>
      </c>
      <c r="F85" s="80" t="s">
        <v>206</v>
      </c>
      <c r="G85" s="80" t="s">
        <v>25</v>
      </c>
      <c r="H85" s="80" t="s">
        <v>167</v>
      </c>
      <c r="I85" s="80" t="s">
        <v>111</v>
      </c>
      <c r="J85" s="80" t="s">
        <v>27</v>
      </c>
      <c r="K85" s="80" t="s">
        <v>112</v>
      </c>
      <c r="L85" s="80">
        <v>3</v>
      </c>
      <c r="N85" s="80">
        <v>1</v>
      </c>
      <c r="O85" s="80">
        <v>0.6</v>
      </c>
      <c r="P85" s="80">
        <v>0.55000000000000004</v>
      </c>
      <c r="Q85" s="105">
        <f t="shared" si="3"/>
        <v>0.57499999999999996</v>
      </c>
      <c r="R85" s="80">
        <v>15.8</v>
      </c>
      <c r="S85" s="80">
        <v>118</v>
      </c>
      <c r="T85" s="16">
        <f t="shared" si="7"/>
        <v>30</v>
      </c>
      <c r="U85" s="80">
        <v>87</v>
      </c>
      <c r="V85" s="16">
        <f t="shared" si="5"/>
        <v>2610</v>
      </c>
      <c r="W85" s="80">
        <v>2</v>
      </c>
      <c r="X85" s="80" t="s">
        <v>35</v>
      </c>
      <c r="Y85" s="80" t="s">
        <v>72</v>
      </c>
      <c r="Z85" s="80" t="s">
        <v>82</v>
      </c>
      <c r="AA85" s="80" t="s">
        <v>64</v>
      </c>
      <c r="AB85" s="80" t="s">
        <v>194</v>
      </c>
    </row>
    <row r="86" spans="1:28" x14ac:dyDescent="0.15">
      <c r="A86" s="80" t="s">
        <v>30</v>
      </c>
      <c r="B86" s="80" t="s">
        <v>190</v>
      </c>
      <c r="C86" s="80">
        <v>2020</v>
      </c>
      <c r="D86" s="104" t="s">
        <v>203</v>
      </c>
      <c r="E86" s="80" t="s">
        <v>208</v>
      </c>
      <c r="F86" s="80" t="s">
        <v>206</v>
      </c>
      <c r="G86" s="80" t="s">
        <v>25</v>
      </c>
      <c r="H86" s="80" t="s">
        <v>167</v>
      </c>
      <c r="I86" s="80" t="s">
        <v>111</v>
      </c>
      <c r="J86" s="80" t="s">
        <v>27</v>
      </c>
      <c r="K86" s="80" t="s">
        <v>112</v>
      </c>
      <c r="L86" s="80">
        <v>1</v>
      </c>
      <c r="N86" s="80">
        <v>10</v>
      </c>
      <c r="O86" s="80">
        <v>0.25</v>
      </c>
      <c r="P86" s="80">
        <v>0.4</v>
      </c>
      <c r="Q86" s="105">
        <f t="shared" si="3"/>
        <v>0.32500000000000001</v>
      </c>
      <c r="R86" s="80">
        <v>18.399999999999999</v>
      </c>
      <c r="S86" s="80">
        <v>102</v>
      </c>
      <c r="T86" s="16">
        <f t="shared" si="7"/>
        <v>33</v>
      </c>
      <c r="U86" s="80">
        <v>870</v>
      </c>
      <c r="V86" s="16">
        <f t="shared" si="5"/>
        <v>2871</v>
      </c>
      <c r="W86" s="80">
        <v>2</v>
      </c>
      <c r="X86" s="80" t="s">
        <v>35</v>
      </c>
      <c r="Y86" s="80" t="s">
        <v>72</v>
      </c>
      <c r="Z86" s="80" t="s">
        <v>82</v>
      </c>
      <c r="AA86" s="80" t="s">
        <v>64</v>
      </c>
      <c r="AB86" s="80" t="s">
        <v>194</v>
      </c>
    </row>
    <row r="87" spans="1:28" x14ac:dyDescent="0.15">
      <c r="A87" s="80" t="s">
        <v>30</v>
      </c>
      <c r="B87" s="80" t="s">
        <v>190</v>
      </c>
      <c r="C87" s="80">
        <v>2020</v>
      </c>
      <c r="D87" s="104" t="s">
        <v>203</v>
      </c>
      <c r="E87" s="80" t="s">
        <v>208</v>
      </c>
      <c r="F87" s="80" t="s">
        <v>206</v>
      </c>
      <c r="G87" s="80" t="s">
        <v>25</v>
      </c>
      <c r="H87" s="80" t="s">
        <v>167</v>
      </c>
      <c r="I87" s="80" t="s">
        <v>111</v>
      </c>
      <c r="J87" s="80" t="s">
        <v>27</v>
      </c>
      <c r="K87" s="80" t="s">
        <v>112</v>
      </c>
      <c r="L87" s="80">
        <v>2</v>
      </c>
      <c r="N87" s="80">
        <v>10</v>
      </c>
      <c r="O87" s="80">
        <v>0.35</v>
      </c>
      <c r="P87" s="80">
        <v>0.3</v>
      </c>
      <c r="Q87" s="105">
        <f t="shared" si="3"/>
        <v>0.32499999999999996</v>
      </c>
      <c r="R87" s="80">
        <v>16.7</v>
      </c>
      <c r="S87" s="80">
        <v>106</v>
      </c>
      <c r="T87" s="16">
        <f t="shared" si="7"/>
        <v>33</v>
      </c>
      <c r="U87" s="80">
        <v>870</v>
      </c>
      <c r="V87" s="16">
        <f t="shared" si="5"/>
        <v>2871</v>
      </c>
      <c r="W87" s="80">
        <v>2</v>
      </c>
      <c r="X87" s="80" t="s">
        <v>35</v>
      </c>
      <c r="Y87" s="80" t="s">
        <v>72</v>
      </c>
      <c r="Z87" s="80" t="s">
        <v>82</v>
      </c>
      <c r="AA87" s="80" t="s">
        <v>64</v>
      </c>
      <c r="AB87" s="80" t="s">
        <v>194</v>
      </c>
    </row>
    <row r="88" spans="1:28" x14ac:dyDescent="0.15">
      <c r="A88" s="80" t="s">
        <v>30</v>
      </c>
      <c r="B88" s="80" t="s">
        <v>190</v>
      </c>
      <c r="C88" s="80">
        <v>2020</v>
      </c>
      <c r="D88" s="104" t="s">
        <v>203</v>
      </c>
      <c r="E88" s="80" t="s">
        <v>208</v>
      </c>
      <c r="F88" s="80" t="s">
        <v>206</v>
      </c>
      <c r="G88" s="80" t="s">
        <v>25</v>
      </c>
      <c r="H88" s="80" t="s">
        <v>167</v>
      </c>
      <c r="I88" s="80" t="s">
        <v>111</v>
      </c>
      <c r="J88" s="80" t="s">
        <v>27</v>
      </c>
      <c r="K88" s="80" t="s">
        <v>112</v>
      </c>
      <c r="L88" s="80">
        <v>3</v>
      </c>
      <c r="N88" s="80">
        <v>10</v>
      </c>
      <c r="O88" s="80">
        <v>0.3</v>
      </c>
      <c r="P88" s="80">
        <v>0.35</v>
      </c>
      <c r="Q88" s="105">
        <f t="shared" si="3"/>
        <v>0.32499999999999996</v>
      </c>
      <c r="R88" s="80">
        <v>16.5</v>
      </c>
      <c r="S88" s="80">
        <v>108</v>
      </c>
      <c r="T88" s="16">
        <f t="shared" si="7"/>
        <v>33</v>
      </c>
      <c r="U88" s="80">
        <v>870</v>
      </c>
      <c r="V88" s="16">
        <f t="shared" si="5"/>
        <v>2871</v>
      </c>
      <c r="W88" s="80">
        <v>2</v>
      </c>
      <c r="X88" s="80" t="s">
        <v>35</v>
      </c>
      <c r="Y88" s="80" t="s">
        <v>72</v>
      </c>
      <c r="Z88" s="80" t="s">
        <v>82</v>
      </c>
      <c r="AA88" s="80" t="s">
        <v>64</v>
      </c>
      <c r="AB88" s="80" t="s">
        <v>194</v>
      </c>
    </row>
    <row r="89" spans="1:28" x14ac:dyDescent="0.15">
      <c r="A89" s="80" t="s">
        <v>30</v>
      </c>
      <c r="B89" s="80" t="s">
        <v>190</v>
      </c>
      <c r="C89" s="80">
        <v>2020</v>
      </c>
      <c r="D89" s="104" t="s">
        <v>203</v>
      </c>
      <c r="E89" s="80" t="s">
        <v>211</v>
      </c>
      <c r="F89" s="80" t="s">
        <v>212</v>
      </c>
      <c r="G89" s="80" t="s">
        <v>25</v>
      </c>
      <c r="H89" s="80" t="s">
        <v>167</v>
      </c>
      <c r="I89" s="80" t="s">
        <v>111</v>
      </c>
      <c r="J89" s="80" t="s">
        <v>27</v>
      </c>
      <c r="K89" s="80" t="s">
        <v>112</v>
      </c>
      <c r="L89" s="80">
        <v>1</v>
      </c>
      <c r="N89" s="80">
        <v>1</v>
      </c>
      <c r="O89" s="80">
        <v>0.6</v>
      </c>
      <c r="P89" s="80">
        <v>0.65</v>
      </c>
      <c r="Q89" s="105">
        <f t="shared" si="3"/>
        <v>0.625</v>
      </c>
      <c r="R89" s="80">
        <v>13.5</v>
      </c>
      <c r="S89" s="80">
        <v>123</v>
      </c>
      <c r="T89" s="16">
        <f t="shared" si="7"/>
        <v>27</v>
      </c>
      <c r="U89" s="80">
        <v>128</v>
      </c>
      <c r="V89" s="16">
        <f t="shared" si="5"/>
        <v>3456</v>
      </c>
      <c r="W89" s="80">
        <v>1</v>
      </c>
      <c r="X89" s="80" t="s">
        <v>28</v>
      </c>
      <c r="Y89" s="80" t="s">
        <v>64</v>
      </c>
      <c r="Z89" s="80" t="s">
        <v>72</v>
      </c>
      <c r="AA89" s="80" t="s">
        <v>74</v>
      </c>
      <c r="AB89" s="80" t="s">
        <v>194</v>
      </c>
    </row>
    <row r="90" spans="1:28" x14ac:dyDescent="0.15">
      <c r="A90" s="80" t="s">
        <v>30</v>
      </c>
      <c r="B90" s="80" t="s">
        <v>190</v>
      </c>
      <c r="C90" s="80">
        <v>2020</v>
      </c>
      <c r="D90" s="104" t="s">
        <v>203</v>
      </c>
      <c r="E90" s="80" t="s">
        <v>211</v>
      </c>
      <c r="F90" s="80" t="s">
        <v>212</v>
      </c>
      <c r="G90" s="80" t="s">
        <v>25</v>
      </c>
      <c r="H90" s="80" t="s">
        <v>167</v>
      </c>
      <c r="I90" s="80" t="s">
        <v>111</v>
      </c>
      <c r="J90" s="80" t="s">
        <v>27</v>
      </c>
      <c r="K90" s="80" t="s">
        <v>112</v>
      </c>
      <c r="L90" s="80">
        <v>2</v>
      </c>
      <c r="N90" s="80">
        <v>1</v>
      </c>
      <c r="O90" s="80">
        <v>0.75</v>
      </c>
      <c r="P90" s="80">
        <v>0.6</v>
      </c>
      <c r="Q90" s="105">
        <f t="shared" si="3"/>
        <v>0.67500000000000004</v>
      </c>
      <c r="R90" s="80">
        <v>14.2</v>
      </c>
      <c r="S90" s="80">
        <v>124</v>
      </c>
      <c r="T90" s="16">
        <f t="shared" si="7"/>
        <v>27</v>
      </c>
      <c r="U90" s="80">
        <v>128</v>
      </c>
      <c r="V90" s="16">
        <f t="shared" si="5"/>
        <v>3456</v>
      </c>
      <c r="W90" s="80">
        <v>1</v>
      </c>
      <c r="X90" s="80" t="s">
        <v>28</v>
      </c>
      <c r="Y90" s="80" t="s">
        <v>64</v>
      </c>
      <c r="Z90" s="80" t="s">
        <v>72</v>
      </c>
      <c r="AA90" s="80" t="s">
        <v>74</v>
      </c>
      <c r="AB90" s="80" t="s">
        <v>194</v>
      </c>
    </row>
    <row r="91" spans="1:28" x14ac:dyDescent="0.15">
      <c r="A91" s="80" t="s">
        <v>30</v>
      </c>
      <c r="B91" s="80" t="s">
        <v>190</v>
      </c>
      <c r="C91" s="80">
        <v>2020</v>
      </c>
      <c r="D91" s="104" t="s">
        <v>203</v>
      </c>
      <c r="E91" s="80" t="s">
        <v>211</v>
      </c>
      <c r="F91" s="80" t="s">
        <v>212</v>
      </c>
      <c r="G91" s="80" t="s">
        <v>25</v>
      </c>
      <c r="H91" s="80" t="s">
        <v>167</v>
      </c>
      <c r="I91" s="80" t="s">
        <v>111</v>
      </c>
      <c r="J91" s="80" t="s">
        <v>27</v>
      </c>
      <c r="K91" s="80" t="s">
        <v>112</v>
      </c>
      <c r="L91" s="80">
        <v>3</v>
      </c>
      <c r="N91" s="80">
        <v>1</v>
      </c>
      <c r="O91" s="80">
        <v>0.5</v>
      </c>
      <c r="P91" s="80">
        <v>0.6</v>
      </c>
      <c r="Q91" s="105">
        <f t="shared" si="3"/>
        <v>0.55000000000000004</v>
      </c>
      <c r="R91" s="80">
        <v>14.9</v>
      </c>
      <c r="S91" s="80">
        <v>122</v>
      </c>
      <c r="T91" s="16">
        <f t="shared" si="7"/>
        <v>27</v>
      </c>
      <c r="U91" s="80">
        <v>128</v>
      </c>
      <c r="V91" s="16">
        <f t="shared" si="5"/>
        <v>3456</v>
      </c>
      <c r="W91" s="80">
        <v>1</v>
      </c>
      <c r="X91" s="80" t="s">
        <v>28</v>
      </c>
      <c r="Y91" s="80" t="s">
        <v>64</v>
      </c>
      <c r="Z91" s="80" t="s">
        <v>72</v>
      </c>
      <c r="AA91" s="80" t="s">
        <v>74</v>
      </c>
      <c r="AB91" s="80" t="s">
        <v>194</v>
      </c>
    </row>
    <row r="92" spans="1:28" x14ac:dyDescent="0.15">
      <c r="A92" s="80" t="s">
        <v>30</v>
      </c>
      <c r="B92" s="80" t="s">
        <v>190</v>
      </c>
      <c r="C92" s="80">
        <v>2020</v>
      </c>
      <c r="D92" s="104" t="s">
        <v>203</v>
      </c>
      <c r="E92" s="80" t="s">
        <v>211</v>
      </c>
      <c r="F92" s="80" t="s">
        <v>212</v>
      </c>
      <c r="G92" s="80" t="s">
        <v>25</v>
      </c>
      <c r="H92" s="80" t="s">
        <v>167</v>
      </c>
      <c r="I92" s="80" t="s">
        <v>111</v>
      </c>
      <c r="J92" s="80" t="s">
        <v>27</v>
      </c>
      <c r="K92" s="80" t="s">
        <v>112</v>
      </c>
      <c r="L92" s="80">
        <v>1</v>
      </c>
      <c r="N92" s="80">
        <v>4</v>
      </c>
      <c r="O92" s="80">
        <v>0.3</v>
      </c>
      <c r="P92" s="80">
        <v>0.25</v>
      </c>
      <c r="Q92" s="105">
        <f t="shared" si="3"/>
        <v>0.27500000000000002</v>
      </c>
      <c r="R92" s="80">
        <v>15.9</v>
      </c>
      <c r="S92" s="80">
        <v>115</v>
      </c>
      <c r="T92" s="16">
        <f t="shared" si="7"/>
        <v>30</v>
      </c>
      <c r="U92" s="80">
        <v>498</v>
      </c>
      <c r="V92" s="16">
        <f t="shared" si="5"/>
        <v>3735</v>
      </c>
      <c r="W92" s="80">
        <v>1</v>
      </c>
      <c r="X92" s="80" t="s">
        <v>28</v>
      </c>
      <c r="Y92" s="80" t="s">
        <v>64</v>
      </c>
      <c r="Z92" s="80" t="s">
        <v>72</v>
      </c>
      <c r="AA92" s="80" t="s">
        <v>74</v>
      </c>
      <c r="AB92" s="80" t="s">
        <v>194</v>
      </c>
    </row>
    <row r="93" spans="1:28" x14ac:dyDescent="0.15">
      <c r="A93" s="80" t="s">
        <v>30</v>
      </c>
      <c r="B93" s="80" t="s">
        <v>190</v>
      </c>
      <c r="C93" s="80">
        <v>2020</v>
      </c>
      <c r="D93" s="104" t="s">
        <v>203</v>
      </c>
      <c r="E93" s="80" t="s">
        <v>211</v>
      </c>
      <c r="F93" s="80" t="s">
        <v>212</v>
      </c>
      <c r="G93" s="80" t="s">
        <v>25</v>
      </c>
      <c r="H93" s="80" t="s">
        <v>167</v>
      </c>
      <c r="I93" s="80" t="s">
        <v>111</v>
      </c>
      <c r="J93" s="80" t="s">
        <v>27</v>
      </c>
      <c r="K93" s="80" t="s">
        <v>112</v>
      </c>
      <c r="L93" s="80">
        <v>2</v>
      </c>
      <c r="N93" s="80">
        <v>4</v>
      </c>
      <c r="O93" s="80">
        <v>0.25</v>
      </c>
      <c r="P93" s="80">
        <v>0.25</v>
      </c>
      <c r="Q93" s="105">
        <f t="shared" si="3"/>
        <v>0.25</v>
      </c>
      <c r="R93" s="80">
        <v>15.8</v>
      </c>
      <c r="S93" s="80">
        <v>120</v>
      </c>
      <c r="T93" s="16">
        <f t="shared" si="7"/>
        <v>30</v>
      </c>
      <c r="U93" s="80">
        <v>498</v>
      </c>
      <c r="V93" s="16">
        <f t="shared" si="5"/>
        <v>3735</v>
      </c>
      <c r="W93" s="80">
        <v>1</v>
      </c>
      <c r="X93" s="80" t="s">
        <v>28</v>
      </c>
      <c r="Y93" s="80" t="s">
        <v>64</v>
      </c>
      <c r="Z93" s="80" t="s">
        <v>72</v>
      </c>
      <c r="AA93" s="80" t="s">
        <v>74</v>
      </c>
      <c r="AB93" s="80" t="s">
        <v>194</v>
      </c>
    </row>
    <row r="94" spans="1:28" x14ac:dyDescent="0.15">
      <c r="A94" s="80" t="s">
        <v>30</v>
      </c>
      <c r="B94" s="80" t="s">
        <v>190</v>
      </c>
      <c r="C94" s="80">
        <v>2020</v>
      </c>
      <c r="D94" s="104" t="s">
        <v>203</v>
      </c>
      <c r="E94" s="80" t="s">
        <v>211</v>
      </c>
      <c r="F94" s="80" t="s">
        <v>212</v>
      </c>
      <c r="G94" s="80" t="s">
        <v>25</v>
      </c>
      <c r="H94" s="80" t="s">
        <v>167</v>
      </c>
      <c r="I94" s="80" t="s">
        <v>111</v>
      </c>
      <c r="J94" s="80" t="s">
        <v>27</v>
      </c>
      <c r="K94" s="80" t="s">
        <v>112</v>
      </c>
      <c r="L94" s="80">
        <v>3</v>
      </c>
      <c r="N94" s="80">
        <v>4</v>
      </c>
      <c r="O94" s="80">
        <v>0.3</v>
      </c>
      <c r="P94" s="80">
        <v>0.25</v>
      </c>
      <c r="Q94" s="105">
        <f t="shared" si="3"/>
        <v>0.27500000000000002</v>
      </c>
      <c r="R94" s="80">
        <v>16.399999999999999</v>
      </c>
      <c r="S94" s="80">
        <v>114</v>
      </c>
      <c r="T94" s="16">
        <f t="shared" si="7"/>
        <v>30</v>
      </c>
      <c r="U94" s="80">
        <v>498</v>
      </c>
      <c r="V94" s="16">
        <f t="shared" si="5"/>
        <v>3735</v>
      </c>
      <c r="W94" s="80">
        <v>1</v>
      </c>
      <c r="X94" s="80" t="s">
        <v>28</v>
      </c>
      <c r="Y94" s="80" t="s">
        <v>64</v>
      </c>
      <c r="Z94" s="80" t="s">
        <v>72</v>
      </c>
      <c r="AA94" s="80" t="s">
        <v>74</v>
      </c>
      <c r="AB94" s="80" t="s">
        <v>194</v>
      </c>
    </row>
    <row r="95" spans="1:28" x14ac:dyDescent="0.15">
      <c r="A95" s="80" t="s">
        <v>30</v>
      </c>
      <c r="B95" s="80" t="s">
        <v>190</v>
      </c>
      <c r="C95" s="80">
        <v>2020</v>
      </c>
      <c r="D95" s="104" t="s">
        <v>203</v>
      </c>
      <c r="E95" s="80" t="s">
        <v>211</v>
      </c>
      <c r="F95" s="80" t="s">
        <v>212</v>
      </c>
      <c r="G95" s="80" t="s">
        <v>25</v>
      </c>
      <c r="H95" s="80" t="s">
        <v>113</v>
      </c>
      <c r="I95" s="80" t="s">
        <v>111</v>
      </c>
      <c r="J95" s="80" t="s">
        <v>27</v>
      </c>
      <c r="K95" s="80" t="s">
        <v>112</v>
      </c>
      <c r="L95" s="80">
        <v>1</v>
      </c>
      <c r="N95" s="80">
        <v>1</v>
      </c>
      <c r="O95" s="80">
        <v>0.45</v>
      </c>
      <c r="P95" s="80">
        <v>0.55000000000000004</v>
      </c>
      <c r="Q95" s="105">
        <f t="shared" si="3"/>
        <v>0.5</v>
      </c>
      <c r="R95" s="80">
        <v>16.899999999999999</v>
      </c>
      <c r="S95" s="80">
        <v>124</v>
      </c>
      <c r="T95" s="16">
        <f t="shared" si="7"/>
        <v>27</v>
      </c>
      <c r="U95" s="80">
        <v>128</v>
      </c>
      <c r="V95" s="16">
        <f t="shared" si="5"/>
        <v>3456</v>
      </c>
      <c r="W95" s="80">
        <v>1</v>
      </c>
      <c r="X95" s="80" t="s">
        <v>28</v>
      </c>
      <c r="Y95" s="80" t="s">
        <v>64</v>
      </c>
      <c r="Z95" s="80" t="s">
        <v>72</v>
      </c>
      <c r="AA95" s="80" t="s">
        <v>74</v>
      </c>
      <c r="AB95" s="80" t="s">
        <v>194</v>
      </c>
    </row>
    <row r="96" spans="1:28" x14ac:dyDescent="0.15">
      <c r="A96" s="80" t="s">
        <v>30</v>
      </c>
      <c r="B96" s="80" t="s">
        <v>190</v>
      </c>
      <c r="C96" s="80">
        <v>2020</v>
      </c>
      <c r="D96" s="104" t="s">
        <v>203</v>
      </c>
      <c r="E96" s="80" t="s">
        <v>211</v>
      </c>
      <c r="F96" s="80" t="s">
        <v>212</v>
      </c>
      <c r="G96" s="80" t="s">
        <v>25</v>
      </c>
      <c r="H96" s="80" t="s">
        <v>113</v>
      </c>
      <c r="I96" s="80" t="s">
        <v>111</v>
      </c>
      <c r="J96" s="80" t="s">
        <v>27</v>
      </c>
      <c r="K96" s="80" t="s">
        <v>112</v>
      </c>
      <c r="L96" s="80">
        <v>2</v>
      </c>
      <c r="N96" s="80">
        <v>1</v>
      </c>
      <c r="O96" s="80">
        <v>0.6</v>
      </c>
      <c r="P96" s="80">
        <v>0.65</v>
      </c>
      <c r="Q96" s="105">
        <f t="shared" si="3"/>
        <v>0.625</v>
      </c>
      <c r="R96" s="80">
        <v>15.2</v>
      </c>
      <c r="S96" s="80">
        <v>120</v>
      </c>
      <c r="T96" s="16">
        <f t="shared" si="7"/>
        <v>30</v>
      </c>
      <c r="U96" s="80">
        <v>128</v>
      </c>
      <c r="V96" s="16">
        <f t="shared" si="5"/>
        <v>3840</v>
      </c>
      <c r="W96" s="80">
        <v>1</v>
      </c>
      <c r="X96" s="80" t="s">
        <v>28</v>
      </c>
      <c r="Y96" s="80" t="s">
        <v>64</v>
      </c>
      <c r="Z96" s="80" t="s">
        <v>72</v>
      </c>
      <c r="AA96" s="80" t="s">
        <v>74</v>
      </c>
      <c r="AB96" s="80" t="s">
        <v>194</v>
      </c>
    </row>
    <row r="97" spans="1:28" x14ac:dyDescent="0.15">
      <c r="A97" s="80" t="s">
        <v>30</v>
      </c>
      <c r="B97" s="80" t="s">
        <v>190</v>
      </c>
      <c r="C97" s="80">
        <v>2020</v>
      </c>
      <c r="D97" s="104" t="s">
        <v>203</v>
      </c>
      <c r="E97" s="80" t="s">
        <v>211</v>
      </c>
      <c r="F97" s="80" t="s">
        <v>212</v>
      </c>
      <c r="G97" s="80" t="s">
        <v>25</v>
      </c>
      <c r="H97" s="80" t="s">
        <v>113</v>
      </c>
      <c r="I97" s="80" t="s">
        <v>111</v>
      </c>
      <c r="J97" s="80" t="s">
        <v>27</v>
      </c>
      <c r="K97" s="80" t="s">
        <v>112</v>
      </c>
      <c r="L97" s="80">
        <v>3</v>
      </c>
      <c r="N97" s="80">
        <v>1</v>
      </c>
      <c r="O97" s="80">
        <v>0.5</v>
      </c>
      <c r="P97" s="80">
        <v>0.5</v>
      </c>
      <c r="Q97" s="105">
        <f t="shared" si="3"/>
        <v>0.5</v>
      </c>
      <c r="R97" s="80">
        <v>15</v>
      </c>
      <c r="S97" s="80">
        <v>123</v>
      </c>
      <c r="T97" s="16">
        <f t="shared" si="7"/>
        <v>27</v>
      </c>
      <c r="U97" s="80">
        <v>128</v>
      </c>
      <c r="V97" s="16">
        <f t="shared" si="5"/>
        <v>3456</v>
      </c>
      <c r="W97" s="80">
        <v>1</v>
      </c>
      <c r="X97" s="80" t="s">
        <v>28</v>
      </c>
      <c r="Y97" s="80" t="s">
        <v>64</v>
      </c>
      <c r="Z97" s="80" t="s">
        <v>72</v>
      </c>
      <c r="AA97" s="80" t="s">
        <v>74</v>
      </c>
      <c r="AB97" s="80" t="s">
        <v>194</v>
      </c>
    </row>
    <row r="98" spans="1:28" x14ac:dyDescent="0.15">
      <c r="A98" s="80" t="s">
        <v>30</v>
      </c>
      <c r="B98" s="80" t="s">
        <v>190</v>
      </c>
      <c r="C98" s="80">
        <v>2020</v>
      </c>
      <c r="D98" s="104" t="s">
        <v>203</v>
      </c>
      <c r="E98" s="80" t="s">
        <v>211</v>
      </c>
      <c r="F98" s="80" t="s">
        <v>212</v>
      </c>
      <c r="G98" s="80" t="s">
        <v>25</v>
      </c>
      <c r="H98" s="80" t="s">
        <v>113</v>
      </c>
      <c r="I98" s="80" t="s">
        <v>111</v>
      </c>
      <c r="J98" s="80" t="s">
        <v>27</v>
      </c>
      <c r="K98" s="80" t="s">
        <v>112</v>
      </c>
      <c r="L98" s="80">
        <v>1</v>
      </c>
      <c r="N98" s="80">
        <v>5</v>
      </c>
      <c r="O98" s="80">
        <v>0.6</v>
      </c>
      <c r="P98" s="80">
        <v>0.55000000000000004</v>
      </c>
      <c r="Q98" s="105">
        <f t="shared" si="3"/>
        <v>0.57499999999999996</v>
      </c>
      <c r="R98" s="80">
        <v>14.9</v>
      </c>
      <c r="S98" s="80">
        <v>116</v>
      </c>
      <c r="T98" s="16">
        <f t="shared" si="7"/>
        <v>30</v>
      </c>
      <c r="U98" s="80">
        <v>380</v>
      </c>
      <c r="V98" s="16">
        <f t="shared" si="5"/>
        <v>2280</v>
      </c>
      <c r="W98" s="80">
        <v>1</v>
      </c>
      <c r="X98" s="80" t="s">
        <v>28</v>
      </c>
      <c r="Y98" s="80" t="s">
        <v>64</v>
      </c>
      <c r="Z98" s="80" t="s">
        <v>72</v>
      </c>
      <c r="AA98" s="80" t="s">
        <v>74</v>
      </c>
      <c r="AB98" s="80" t="s">
        <v>194</v>
      </c>
    </row>
    <row r="99" spans="1:28" x14ac:dyDescent="0.15">
      <c r="A99" s="80" t="s">
        <v>30</v>
      </c>
      <c r="B99" s="80" t="s">
        <v>190</v>
      </c>
      <c r="C99" s="80">
        <v>2020</v>
      </c>
      <c r="D99" s="104" t="s">
        <v>203</v>
      </c>
      <c r="E99" s="80" t="s">
        <v>211</v>
      </c>
      <c r="F99" s="80" t="s">
        <v>212</v>
      </c>
      <c r="G99" s="80" t="s">
        <v>25</v>
      </c>
      <c r="H99" s="80" t="s">
        <v>113</v>
      </c>
      <c r="I99" s="80" t="s">
        <v>111</v>
      </c>
      <c r="J99" s="80" t="s">
        <v>27</v>
      </c>
      <c r="K99" s="80" t="s">
        <v>112</v>
      </c>
      <c r="L99" s="80">
        <v>2</v>
      </c>
      <c r="N99" s="80">
        <v>5</v>
      </c>
      <c r="O99" s="80">
        <v>0.45</v>
      </c>
      <c r="P99" s="80">
        <v>0.5</v>
      </c>
      <c r="Q99" s="105">
        <f t="shared" si="3"/>
        <v>0.47499999999999998</v>
      </c>
      <c r="R99" s="80">
        <v>14.3</v>
      </c>
      <c r="S99" s="80">
        <v>118</v>
      </c>
      <c r="T99" s="16">
        <f t="shared" si="7"/>
        <v>30</v>
      </c>
      <c r="U99" s="80">
        <v>380</v>
      </c>
      <c r="V99" s="16">
        <f t="shared" si="5"/>
        <v>2280</v>
      </c>
      <c r="W99" s="80">
        <v>1</v>
      </c>
      <c r="X99" s="80" t="s">
        <v>28</v>
      </c>
      <c r="Y99" s="80" t="s">
        <v>64</v>
      </c>
      <c r="Z99" s="80" t="s">
        <v>72</v>
      </c>
      <c r="AA99" s="80" t="s">
        <v>74</v>
      </c>
      <c r="AB99" s="80" t="s">
        <v>194</v>
      </c>
    </row>
    <row r="100" spans="1:28" x14ac:dyDescent="0.15">
      <c r="A100" s="80" t="s">
        <v>30</v>
      </c>
      <c r="B100" s="80" t="s">
        <v>190</v>
      </c>
      <c r="C100" s="80">
        <v>2020</v>
      </c>
      <c r="D100" s="104" t="s">
        <v>203</v>
      </c>
      <c r="E100" s="80" t="s">
        <v>211</v>
      </c>
      <c r="F100" s="80" t="s">
        <v>212</v>
      </c>
      <c r="G100" s="80" t="s">
        <v>25</v>
      </c>
      <c r="H100" s="80" t="s">
        <v>113</v>
      </c>
      <c r="I100" s="80" t="s">
        <v>111</v>
      </c>
      <c r="J100" s="80" t="s">
        <v>27</v>
      </c>
      <c r="K100" s="80" t="s">
        <v>112</v>
      </c>
      <c r="L100" s="80">
        <v>3</v>
      </c>
      <c r="N100" s="80">
        <v>5</v>
      </c>
      <c r="O100" s="80">
        <v>0.4</v>
      </c>
      <c r="P100" s="80">
        <v>0.45</v>
      </c>
      <c r="Q100" s="105">
        <f t="shared" si="3"/>
        <v>0.42500000000000004</v>
      </c>
      <c r="R100" s="80">
        <v>15.2</v>
      </c>
      <c r="S100" s="80">
        <v>120</v>
      </c>
      <c r="T100" s="16">
        <f t="shared" si="7"/>
        <v>30</v>
      </c>
      <c r="U100" s="80">
        <v>380</v>
      </c>
      <c r="V100" s="16">
        <f t="shared" si="5"/>
        <v>2280</v>
      </c>
      <c r="W100" s="80">
        <v>1</v>
      </c>
      <c r="X100" s="80" t="s">
        <v>28</v>
      </c>
      <c r="Y100" s="80" t="s">
        <v>64</v>
      </c>
      <c r="Z100" s="80" t="s">
        <v>72</v>
      </c>
      <c r="AA100" s="80" t="s">
        <v>74</v>
      </c>
      <c r="AB100" s="80" t="s">
        <v>194</v>
      </c>
    </row>
    <row r="101" spans="1:28" x14ac:dyDescent="0.15">
      <c r="A101" s="80" t="s">
        <v>30</v>
      </c>
      <c r="B101" s="80" t="s">
        <v>190</v>
      </c>
      <c r="C101" s="80">
        <v>2020</v>
      </c>
      <c r="D101" s="104" t="s">
        <v>203</v>
      </c>
      <c r="E101" s="80" t="s">
        <v>211</v>
      </c>
      <c r="F101" s="80" t="s">
        <v>212</v>
      </c>
      <c r="G101" s="80" t="s">
        <v>25</v>
      </c>
      <c r="H101" s="80" t="s">
        <v>167</v>
      </c>
      <c r="I101" s="80" t="s">
        <v>111</v>
      </c>
      <c r="J101" s="80" t="s">
        <v>27</v>
      </c>
      <c r="K101" s="80" t="s">
        <v>112</v>
      </c>
      <c r="L101" s="80">
        <v>1</v>
      </c>
      <c r="N101" s="80">
        <v>3</v>
      </c>
      <c r="O101" s="80">
        <v>0.4</v>
      </c>
      <c r="P101" s="80">
        <v>0.55000000000000004</v>
      </c>
      <c r="Q101" s="105">
        <f t="shared" si="3"/>
        <v>0.47500000000000003</v>
      </c>
      <c r="R101" s="80">
        <v>16.2</v>
      </c>
      <c r="S101" s="80">
        <v>137</v>
      </c>
      <c r="T101" s="115">
        <f t="shared" si="7"/>
        <v>25</v>
      </c>
      <c r="U101" s="80">
        <v>498</v>
      </c>
      <c r="V101" s="115">
        <f t="shared" si="5"/>
        <v>4150</v>
      </c>
      <c r="W101" s="80">
        <v>1</v>
      </c>
      <c r="X101" s="80" t="s">
        <v>28</v>
      </c>
      <c r="Y101" s="80" t="s">
        <v>64</v>
      </c>
      <c r="Z101" s="80" t="s">
        <v>72</v>
      </c>
      <c r="AA101" s="80" t="s">
        <v>74</v>
      </c>
      <c r="AB101" s="80" t="s">
        <v>194</v>
      </c>
    </row>
    <row r="102" spans="1:28" x14ac:dyDescent="0.15">
      <c r="A102" s="80" t="s">
        <v>30</v>
      </c>
      <c r="B102" s="80" t="s">
        <v>190</v>
      </c>
      <c r="C102" s="80">
        <v>2020</v>
      </c>
      <c r="D102" s="104" t="s">
        <v>203</v>
      </c>
      <c r="E102" s="80" t="s">
        <v>211</v>
      </c>
      <c r="F102" s="80" t="s">
        <v>212</v>
      </c>
      <c r="G102" s="80" t="s">
        <v>25</v>
      </c>
      <c r="H102" s="80" t="s">
        <v>167</v>
      </c>
      <c r="I102" s="80" t="s">
        <v>111</v>
      </c>
      <c r="J102" s="80" t="s">
        <v>27</v>
      </c>
      <c r="K102" s="80" t="s">
        <v>112</v>
      </c>
      <c r="L102" s="80">
        <v>2</v>
      </c>
      <c r="N102" s="80">
        <v>3</v>
      </c>
      <c r="O102" s="80">
        <v>0.5</v>
      </c>
      <c r="P102" s="80">
        <v>0.5</v>
      </c>
      <c r="Q102" s="105">
        <f t="shared" si="3"/>
        <v>0.5</v>
      </c>
      <c r="R102" s="80">
        <v>16.8</v>
      </c>
      <c r="S102" s="80">
        <v>134</v>
      </c>
      <c r="T102" s="115">
        <f t="shared" si="7"/>
        <v>25</v>
      </c>
      <c r="U102" s="80">
        <v>498</v>
      </c>
      <c r="V102" s="115">
        <f t="shared" si="5"/>
        <v>4150</v>
      </c>
      <c r="W102" s="80">
        <v>1</v>
      </c>
      <c r="X102" s="80" t="s">
        <v>28</v>
      </c>
      <c r="Y102" s="80" t="s">
        <v>64</v>
      </c>
      <c r="Z102" s="80" t="s">
        <v>72</v>
      </c>
      <c r="AA102" s="80" t="s">
        <v>74</v>
      </c>
      <c r="AB102" s="80" t="s">
        <v>194</v>
      </c>
    </row>
    <row r="103" spans="1:28" x14ac:dyDescent="0.15">
      <c r="A103" s="80" t="s">
        <v>30</v>
      </c>
      <c r="B103" s="80" t="s">
        <v>190</v>
      </c>
      <c r="C103" s="80">
        <v>2020</v>
      </c>
      <c r="D103" s="104" t="s">
        <v>203</v>
      </c>
      <c r="E103" s="80" t="s">
        <v>211</v>
      </c>
      <c r="F103" s="80" t="s">
        <v>212</v>
      </c>
      <c r="G103" s="80" t="s">
        <v>25</v>
      </c>
      <c r="H103" s="80" t="s">
        <v>167</v>
      </c>
      <c r="I103" s="80" t="s">
        <v>111</v>
      </c>
      <c r="J103" s="80" t="s">
        <v>27</v>
      </c>
      <c r="K103" s="80" t="s">
        <v>112</v>
      </c>
      <c r="L103" s="80">
        <v>3</v>
      </c>
      <c r="N103" s="80">
        <v>3</v>
      </c>
      <c r="O103" s="80">
        <v>0.35</v>
      </c>
      <c r="P103" s="80">
        <v>0.35</v>
      </c>
      <c r="Q103" s="105">
        <f t="shared" si="3"/>
        <v>0.35</v>
      </c>
      <c r="R103" s="80">
        <v>15.8</v>
      </c>
      <c r="S103" s="80">
        <v>136</v>
      </c>
      <c r="T103" s="115">
        <f t="shared" si="7"/>
        <v>25</v>
      </c>
      <c r="U103" s="80">
        <v>498</v>
      </c>
      <c r="V103" s="115">
        <f t="shared" si="5"/>
        <v>4150</v>
      </c>
      <c r="W103" s="80">
        <v>1</v>
      </c>
      <c r="X103" s="80" t="s">
        <v>28</v>
      </c>
      <c r="Y103" s="80" t="s">
        <v>64</v>
      </c>
      <c r="Z103" s="80" t="s">
        <v>72</v>
      </c>
      <c r="AA103" s="80" t="s">
        <v>74</v>
      </c>
      <c r="AB103" s="80" t="s">
        <v>194</v>
      </c>
    </row>
    <row r="104" spans="1:28" x14ac:dyDescent="0.15">
      <c r="A104" s="80" t="s">
        <v>30</v>
      </c>
      <c r="B104" s="80" t="s">
        <v>190</v>
      </c>
      <c r="C104" s="80">
        <v>2020</v>
      </c>
      <c r="D104" s="104" t="s">
        <v>203</v>
      </c>
      <c r="E104" s="80" t="s">
        <v>211</v>
      </c>
      <c r="F104" s="80" t="s">
        <v>219</v>
      </c>
      <c r="G104" s="80" t="s">
        <v>25</v>
      </c>
      <c r="H104" s="80" t="s">
        <v>167</v>
      </c>
      <c r="I104" s="80" t="s">
        <v>111</v>
      </c>
      <c r="J104" s="80" t="s">
        <v>27</v>
      </c>
      <c r="K104" s="80" t="s">
        <v>112</v>
      </c>
      <c r="L104" s="80">
        <v>1</v>
      </c>
      <c r="N104" s="80">
        <v>1</v>
      </c>
      <c r="O104" s="80">
        <v>0.25</v>
      </c>
      <c r="P104" s="80">
        <v>0.3</v>
      </c>
      <c r="Q104" s="105">
        <f t="shared" si="3"/>
        <v>0.27500000000000002</v>
      </c>
      <c r="R104" s="80">
        <v>18.100000000000001</v>
      </c>
      <c r="S104" s="80">
        <v>122</v>
      </c>
      <c r="T104" s="16">
        <f t="shared" si="7"/>
        <v>27</v>
      </c>
      <c r="U104" s="80">
        <v>128</v>
      </c>
      <c r="V104" s="16">
        <f t="shared" si="5"/>
        <v>3456</v>
      </c>
      <c r="W104" s="80">
        <v>2</v>
      </c>
      <c r="X104" s="80" t="s">
        <v>35</v>
      </c>
      <c r="Y104" s="80" t="s">
        <v>64</v>
      </c>
      <c r="Z104" s="80" t="s">
        <v>72</v>
      </c>
      <c r="AA104" s="80" t="s">
        <v>82</v>
      </c>
      <c r="AB104" s="80" t="s">
        <v>194</v>
      </c>
    </row>
    <row r="105" spans="1:28" x14ac:dyDescent="0.15">
      <c r="A105" s="80" t="s">
        <v>30</v>
      </c>
      <c r="B105" s="80" t="s">
        <v>190</v>
      </c>
      <c r="C105" s="80">
        <v>2020</v>
      </c>
      <c r="D105" s="104" t="s">
        <v>203</v>
      </c>
      <c r="E105" s="80" t="s">
        <v>211</v>
      </c>
      <c r="F105" s="80" t="s">
        <v>219</v>
      </c>
      <c r="G105" s="80" t="s">
        <v>25</v>
      </c>
      <c r="H105" s="80" t="s">
        <v>167</v>
      </c>
      <c r="I105" s="80" t="s">
        <v>111</v>
      </c>
      <c r="J105" s="80" t="s">
        <v>27</v>
      </c>
      <c r="K105" s="80" t="s">
        <v>112</v>
      </c>
      <c r="L105" s="80">
        <v>2</v>
      </c>
      <c r="N105" s="80">
        <v>1</v>
      </c>
      <c r="O105" s="80">
        <v>0.35</v>
      </c>
      <c r="P105" s="80">
        <v>0.3</v>
      </c>
      <c r="Q105" s="105">
        <f t="shared" si="3"/>
        <v>0.32499999999999996</v>
      </c>
      <c r="R105" s="80">
        <v>18</v>
      </c>
      <c r="S105" s="80">
        <v>126</v>
      </c>
      <c r="T105" s="16">
        <f t="shared" si="7"/>
        <v>27</v>
      </c>
      <c r="U105" s="80">
        <v>128</v>
      </c>
      <c r="V105" s="16">
        <f t="shared" si="5"/>
        <v>3456</v>
      </c>
      <c r="W105" s="80">
        <v>2</v>
      </c>
      <c r="X105" s="80" t="s">
        <v>35</v>
      </c>
      <c r="Y105" s="80" t="s">
        <v>64</v>
      </c>
      <c r="Z105" s="80" t="s">
        <v>72</v>
      </c>
      <c r="AA105" s="80" t="s">
        <v>82</v>
      </c>
      <c r="AB105" s="80" t="s">
        <v>194</v>
      </c>
    </row>
    <row r="106" spans="1:28" x14ac:dyDescent="0.15">
      <c r="A106" s="80" t="s">
        <v>30</v>
      </c>
      <c r="B106" s="80" t="s">
        <v>190</v>
      </c>
      <c r="C106" s="80">
        <v>2020</v>
      </c>
      <c r="D106" s="104" t="s">
        <v>203</v>
      </c>
      <c r="E106" s="80" t="s">
        <v>211</v>
      </c>
      <c r="F106" s="80" t="s">
        <v>219</v>
      </c>
      <c r="G106" s="80" t="s">
        <v>25</v>
      </c>
      <c r="H106" s="80" t="s">
        <v>167</v>
      </c>
      <c r="I106" s="80" t="s">
        <v>111</v>
      </c>
      <c r="J106" s="80" t="s">
        <v>27</v>
      </c>
      <c r="K106" s="80" t="s">
        <v>112</v>
      </c>
      <c r="L106" s="80">
        <v>3</v>
      </c>
      <c r="N106" s="80">
        <v>1</v>
      </c>
      <c r="O106" s="80">
        <v>0.45</v>
      </c>
      <c r="P106" s="80">
        <v>0.6</v>
      </c>
      <c r="Q106" s="105">
        <f t="shared" si="3"/>
        <v>0.52500000000000002</v>
      </c>
      <c r="R106" s="80">
        <v>17.399999999999999</v>
      </c>
      <c r="S106" s="80">
        <v>123</v>
      </c>
      <c r="T106" s="16">
        <f t="shared" si="7"/>
        <v>27</v>
      </c>
      <c r="U106" s="80">
        <v>128</v>
      </c>
      <c r="V106" s="16">
        <f t="shared" si="5"/>
        <v>3456</v>
      </c>
      <c r="W106" s="80">
        <v>2</v>
      </c>
      <c r="X106" s="80" t="s">
        <v>35</v>
      </c>
      <c r="Y106" s="80" t="s">
        <v>64</v>
      </c>
      <c r="Z106" s="80" t="s">
        <v>72</v>
      </c>
      <c r="AA106" s="80" t="s">
        <v>82</v>
      </c>
      <c r="AB106" s="80" t="s">
        <v>194</v>
      </c>
    </row>
    <row r="107" spans="1:28" x14ac:dyDescent="0.15">
      <c r="A107" s="80" t="s">
        <v>30</v>
      </c>
      <c r="B107" s="80" t="s">
        <v>190</v>
      </c>
      <c r="C107" s="80">
        <v>2020</v>
      </c>
      <c r="D107" s="104" t="s">
        <v>203</v>
      </c>
      <c r="E107" s="80" t="s">
        <v>211</v>
      </c>
      <c r="F107" s="80" t="s">
        <v>219</v>
      </c>
      <c r="G107" s="80" t="s">
        <v>25</v>
      </c>
      <c r="H107" s="80" t="s">
        <v>167</v>
      </c>
      <c r="I107" s="80" t="s">
        <v>111</v>
      </c>
      <c r="J107" s="80" t="s">
        <v>27</v>
      </c>
      <c r="K107" s="80" t="s">
        <v>112</v>
      </c>
      <c r="L107" s="80">
        <v>1</v>
      </c>
      <c r="N107" s="80">
        <v>4</v>
      </c>
      <c r="O107" s="80">
        <v>0.55000000000000004</v>
      </c>
      <c r="P107" s="80">
        <v>0.45</v>
      </c>
      <c r="Q107" s="105">
        <f t="shared" si="3"/>
        <v>0.5</v>
      </c>
      <c r="R107" s="80">
        <v>15.9</v>
      </c>
      <c r="S107" s="80">
        <v>118</v>
      </c>
      <c r="T107" s="16">
        <f t="shared" si="7"/>
        <v>30</v>
      </c>
      <c r="U107" s="80">
        <v>498</v>
      </c>
      <c r="V107" s="16">
        <f t="shared" si="5"/>
        <v>3735</v>
      </c>
      <c r="W107" s="80">
        <v>1</v>
      </c>
      <c r="X107" s="80" t="s">
        <v>35</v>
      </c>
      <c r="Y107" s="80" t="s">
        <v>64</v>
      </c>
      <c r="Z107" s="80" t="s">
        <v>72</v>
      </c>
      <c r="AA107" s="80" t="s">
        <v>82</v>
      </c>
      <c r="AB107" s="80" t="s">
        <v>194</v>
      </c>
    </row>
    <row r="108" spans="1:28" x14ac:dyDescent="0.15">
      <c r="A108" s="80" t="s">
        <v>30</v>
      </c>
      <c r="B108" s="80" t="s">
        <v>190</v>
      </c>
      <c r="C108" s="80">
        <v>2020</v>
      </c>
      <c r="D108" s="104" t="s">
        <v>203</v>
      </c>
      <c r="E108" s="80" t="s">
        <v>211</v>
      </c>
      <c r="F108" s="80" t="s">
        <v>219</v>
      </c>
      <c r="G108" s="80" t="s">
        <v>25</v>
      </c>
      <c r="H108" s="80" t="s">
        <v>167</v>
      </c>
      <c r="I108" s="80" t="s">
        <v>111</v>
      </c>
      <c r="J108" s="80" t="s">
        <v>27</v>
      </c>
      <c r="K108" s="80" t="s">
        <v>112</v>
      </c>
      <c r="L108" s="80">
        <v>2</v>
      </c>
      <c r="N108" s="80">
        <v>4</v>
      </c>
      <c r="O108" s="80">
        <v>0.35</v>
      </c>
      <c r="P108" s="80">
        <v>0.3</v>
      </c>
      <c r="Q108" s="105">
        <f t="shared" si="3"/>
        <v>0.32499999999999996</v>
      </c>
      <c r="R108" s="80">
        <v>16.8</v>
      </c>
      <c r="S108" s="80">
        <v>116</v>
      </c>
      <c r="T108" s="16">
        <f t="shared" si="7"/>
        <v>30</v>
      </c>
      <c r="U108" s="80">
        <v>498</v>
      </c>
      <c r="V108" s="16">
        <f t="shared" si="5"/>
        <v>3735</v>
      </c>
      <c r="W108" s="80">
        <v>1</v>
      </c>
      <c r="X108" s="80" t="s">
        <v>35</v>
      </c>
      <c r="Y108" s="80" t="s">
        <v>64</v>
      </c>
      <c r="Z108" s="80" t="s">
        <v>72</v>
      </c>
      <c r="AA108" s="80" t="s">
        <v>82</v>
      </c>
      <c r="AB108" s="80" t="s">
        <v>194</v>
      </c>
    </row>
    <row r="109" spans="1:28" x14ac:dyDescent="0.15">
      <c r="A109" s="80" t="s">
        <v>30</v>
      </c>
      <c r="B109" s="80" t="s">
        <v>190</v>
      </c>
      <c r="C109" s="80">
        <v>2020</v>
      </c>
      <c r="D109" s="104" t="s">
        <v>203</v>
      </c>
      <c r="E109" s="80" t="s">
        <v>211</v>
      </c>
      <c r="F109" s="80" t="s">
        <v>219</v>
      </c>
      <c r="G109" s="80" t="s">
        <v>25</v>
      </c>
      <c r="H109" s="80" t="s">
        <v>167</v>
      </c>
      <c r="I109" s="80" t="s">
        <v>111</v>
      </c>
      <c r="J109" s="80" t="s">
        <v>27</v>
      </c>
      <c r="K109" s="80" t="s">
        <v>112</v>
      </c>
      <c r="L109" s="80">
        <v>3</v>
      </c>
      <c r="N109" s="80">
        <v>4</v>
      </c>
      <c r="O109" s="80">
        <v>0.3</v>
      </c>
      <c r="P109" s="80">
        <v>0.45</v>
      </c>
      <c r="Q109" s="105">
        <f t="shared" si="3"/>
        <v>0.375</v>
      </c>
      <c r="R109" s="80">
        <v>15</v>
      </c>
      <c r="S109" s="80">
        <v>115</v>
      </c>
      <c r="T109" s="16">
        <f t="shared" si="7"/>
        <v>30</v>
      </c>
      <c r="U109" s="80">
        <v>498</v>
      </c>
      <c r="V109" s="16">
        <f t="shared" si="5"/>
        <v>3735</v>
      </c>
      <c r="W109" s="80">
        <v>1</v>
      </c>
      <c r="X109" s="80" t="s">
        <v>35</v>
      </c>
      <c r="Y109" s="80" t="s">
        <v>64</v>
      </c>
      <c r="Z109" s="80" t="s">
        <v>72</v>
      </c>
      <c r="AA109" s="80" t="s">
        <v>82</v>
      </c>
      <c r="AB109" s="80" t="s">
        <v>194</v>
      </c>
    </row>
    <row r="110" spans="1:28" x14ac:dyDescent="0.15">
      <c r="A110" s="80" t="s">
        <v>30</v>
      </c>
      <c r="B110" s="80" t="s">
        <v>190</v>
      </c>
      <c r="C110" s="80">
        <v>2020</v>
      </c>
      <c r="D110" s="104" t="s">
        <v>203</v>
      </c>
      <c r="E110" s="80" t="s">
        <v>211</v>
      </c>
      <c r="F110" s="80" t="s">
        <v>219</v>
      </c>
      <c r="G110" s="80" t="s">
        <v>25</v>
      </c>
      <c r="H110" s="80" t="s">
        <v>113</v>
      </c>
      <c r="I110" s="80" t="s">
        <v>111</v>
      </c>
      <c r="J110" s="80" t="s">
        <v>27</v>
      </c>
      <c r="K110" s="80" t="s">
        <v>112</v>
      </c>
      <c r="L110" s="80">
        <v>1</v>
      </c>
      <c r="N110" s="80">
        <v>1</v>
      </c>
      <c r="O110" s="80">
        <v>0.45</v>
      </c>
      <c r="P110" s="80">
        <v>0.55000000000000004</v>
      </c>
      <c r="Q110" s="105">
        <f t="shared" si="3"/>
        <v>0.5</v>
      </c>
      <c r="R110" s="80">
        <v>14.2</v>
      </c>
      <c r="S110" s="80">
        <v>122</v>
      </c>
      <c r="T110" s="115">
        <f t="shared" si="7"/>
        <v>27</v>
      </c>
      <c r="U110" s="80">
        <v>128</v>
      </c>
      <c r="V110" s="115">
        <f t="shared" si="5"/>
        <v>3456</v>
      </c>
      <c r="W110" s="80">
        <v>2</v>
      </c>
      <c r="X110" s="80" t="s">
        <v>35</v>
      </c>
      <c r="Y110" s="80" t="s">
        <v>64</v>
      </c>
      <c r="Z110" s="80" t="s">
        <v>72</v>
      </c>
      <c r="AA110" s="80" t="s">
        <v>82</v>
      </c>
      <c r="AB110" s="80" t="s">
        <v>194</v>
      </c>
    </row>
    <row r="111" spans="1:28" x14ac:dyDescent="0.15">
      <c r="A111" s="80" t="s">
        <v>30</v>
      </c>
      <c r="B111" s="80" t="s">
        <v>190</v>
      </c>
      <c r="C111" s="80">
        <v>2020</v>
      </c>
      <c r="D111" s="104" t="s">
        <v>203</v>
      </c>
      <c r="E111" s="80" t="s">
        <v>211</v>
      </c>
      <c r="F111" s="80" t="s">
        <v>219</v>
      </c>
      <c r="G111" s="80" t="s">
        <v>25</v>
      </c>
      <c r="H111" s="80" t="s">
        <v>113</v>
      </c>
      <c r="I111" s="80" t="s">
        <v>111</v>
      </c>
      <c r="J111" s="80" t="s">
        <v>27</v>
      </c>
      <c r="K111" s="80" t="s">
        <v>112</v>
      </c>
      <c r="L111" s="80">
        <v>2</v>
      </c>
      <c r="N111" s="80">
        <v>1</v>
      </c>
      <c r="O111" s="80">
        <v>0.8</v>
      </c>
      <c r="P111" s="80">
        <v>0.9</v>
      </c>
      <c r="Q111" s="105">
        <f t="shared" si="3"/>
        <v>0.85000000000000009</v>
      </c>
      <c r="R111" s="80">
        <v>14.6</v>
      </c>
      <c r="S111" s="80">
        <v>122</v>
      </c>
      <c r="T111" s="115">
        <f t="shared" si="7"/>
        <v>27</v>
      </c>
      <c r="U111" s="80">
        <v>128</v>
      </c>
      <c r="V111" s="115">
        <f t="shared" si="5"/>
        <v>3456</v>
      </c>
      <c r="W111" s="80">
        <v>2</v>
      </c>
      <c r="X111" s="80" t="s">
        <v>35</v>
      </c>
      <c r="Y111" s="80" t="s">
        <v>64</v>
      </c>
      <c r="Z111" s="80" t="s">
        <v>72</v>
      </c>
      <c r="AA111" s="80" t="s">
        <v>82</v>
      </c>
      <c r="AB111" s="80" t="s">
        <v>194</v>
      </c>
    </row>
    <row r="112" spans="1:28" x14ac:dyDescent="0.15">
      <c r="A112" s="80" t="s">
        <v>30</v>
      </c>
      <c r="B112" s="80" t="s">
        <v>190</v>
      </c>
      <c r="C112" s="80">
        <v>2020</v>
      </c>
      <c r="D112" s="104" t="s">
        <v>203</v>
      </c>
      <c r="E112" s="80" t="s">
        <v>211</v>
      </c>
      <c r="F112" s="80" t="s">
        <v>219</v>
      </c>
      <c r="G112" s="80" t="s">
        <v>25</v>
      </c>
      <c r="H112" s="80" t="s">
        <v>113</v>
      </c>
      <c r="I112" s="80" t="s">
        <v>111</v>
      </c>
      <c r="J112" s="80" t="s">
        <v>27</v>
      </c>
      <c r="K112" s="80" t="s">
        <v>112</v>
      </c>
      <c r="L112" s="80">
        <v>3</v>
      </c>
      <c r="N112" s="80">
        <v>1</v>
      </c>
      <c r="O112" s="80">
        <v>0.95</v>
      </c>
      <c r="P112" s="80">
        <v>0.9</v>
      </c>
      <c r="Q112" s="105">
        <f t="shared" si="3"/>
        <v>0.92500000000000004</v>
      </c>
      <c r="R112" s="80">
        <v>13.5</v>
      </c>
      <c r="S112" s="80">
        <v>123</v>
      </c>
      <c r="T112" s="115">
        <f t="shared" si="7"/>
        <v>27</v>
      </c>
      <c r="U112" s="80">
        <v>128</v>
      </c>
      <c r="V112" s="115">
        <f t="shared" si="5"/>
        <v>3456</v>
      </c>
      <c r="W112" s="80">
        <v>2</v>
      </c>
      <c r="X112" s="80" t="s">
        <v>35</v>
      </c>
      <c r="Y112" s="80" t="s">
        <v>64</v>
      </c>
      <c r="Z112" s="80" t="s">
        <v>72</v>
      </c>
      <c r="AA112" s="80" t="s">
        <v>82</v>
      </c>
      <c r="AB112" s="80" t="s">
        <v>194</v>
      </c>
    </row>
    <row r="113" spans="1:28" x14ac:dyDescent="0.15">
      <c r="A113" s="80" t="s">
        <v>30</v>
      </c>
      <c r="B113" s="80" t="s">
        <v>190</v>
      </c>
      <c r="C113" s="80">
        <v>2020</v>
      </c>
      <c r="D113" s="104" t="s">
        <v>203</v>
      </c>
      <c r="E113" s="80" t="s">
        <v>211</v>
      </c>
      <c r="F113" s="80" t="s">
        <v>219</v>
      </c>
      <c r="G113" s="80" t="s">
        <v>25</v>
      </c>
      <c r="H113" s="80" t="s">
        <v>113</v>
      </c>
      <c r="I113" s="80" t="s">
        <v>111</v>
      </c>
      <c r="J113" s="80" t="s">
        <v>27</v>
      </c>
      <c r="K113" s="80" t="s">
        <v>112</v>
      </c>
      <c r="L113" s="80">
        <v>1</v>
      </c>
      <c r="N113" s="80">
        <v>5</v>
      </c>
      <c r="O113" s="80">
        <v>0.7</v>
      </c>
      <c r="P113" s="80">
        <v>0.85</v>
      </c>
      <c r="Q113" s="105">
        <f t="shared" si="3"/>
        <v>0.77499999999999991</v>
      </c>
      <c r="R113" s="80">
        <v>12.2</v>
      </c>
      <c r="S113" s="80">
        <v>120</v>
      </c>
      <c r="T113" s="115">
        <f t="shared" si="7"/>
        <v>30</v>
      </c>
      <c r="U113" s="80">
        <v>380</v>
      </c>
      <c r="V113" s="115">
        <f t="shared" si="5"/>
        <v>2280</v>
      </c>
      <c r="W113" s="80">
        <v>1</v>
      </c>
      <c r="X113" s="80" t="s">
        <v>35</v>
      </c>
      <c r="Y113" s="80" t="s">
        <v>64</v>
      </c>
      <c r="Z113" s="80" t="s">
        <v>72</v>
      </c>
      <c r="AA113" s="80" t="s">
        <v>82</v>
      </c>
      <c r="AB113" s="80" t="s">
        <v>194</v>
      </c>
    </row>
    <row r="114" spans="1:28" x14ac:dyDescent="0.15">
      <c r="A114" s="80" t="s">
        <v>30</v>
      </c>
      <c r="B114" s="80" t="s">
        <v>190</v>
      </c>
      <c r="C114" s="80">
        <v>2020</v>
      </c>
      <c r="D114" s="104" t="s">
        <v>203</v>
      </c>
      <c r="E114" s="80" t="s">
        <v>211</v>
      </c>
      <c r="F114" s="80" t="s">
        <v>219</v>
      </c>
      <c r="G114" s="80" t="s">
        <v>25</v>
      </c>
      <c r="H114" s="80" t="s">
        <v>113</v>
      </c>
      <c r="I114" s="80" t="s">
        <v>111</v>
      </c>
      <c r="J114" s="80" t="s">
        <v>27</v>
      </c>
      <c r="K114" s="80" t="s">
        <v>112</v>
      </c>
      <c r="L114" s="80">
        <v>2</v>
      </c>
      <c r="N114" s="80">
        <v>5</v>
      </c>
      <c r="O114" s="80">
        <v>1</v>
      </c>
      <c r="P114" s="80">
        <v>0.95</v>
      </c>
      <c r="Q114" s="105">
        <f t="shared" si="3"/>
        <v>0.97499999999999998</v>
      </c>
      <c r="R114" s="80">
        <v>13.7</v>
      </c>
      <c r="S114" s="80">
        <v>114</v>
      </c>
      <c r="T114" s="115">
        <f t="shared" si="7"/>
        <v>30</v>
      </c>
      <c r="U114" s="80">
        <v>380</v>
      </c>
      <c r="V114" s="16">
        <f t="shared" si="5"/>
        <v>2280</v>
      </c>
      <c r="W114" s="80">
        <v>1</v>
      </c>
      <c r="X114" s="80" t="s">
        <v>35</v>
      </c>
      <c r="Y114" s="80" t="s">
        <v>64</v>
      </c>
      <c r="Z114" s="80" t="s">
        <v>72</v>
      </c>
      <c r="AA114" s="80" t="s">
        <v>82</v>
      </c>
      <c r="AB114" s="80" t="s">
        <v>194</v>
      </c>
    </row>
    <row r="115" spans="1:28" x14ac:dyDescent="0.15">
      <c r="A115" s="80" t="s">
        <v>30</v>
      </c>
      <c r="B115" s="80" t="s">
        <v>190</v>
      </c>
      <c r="C115" s="80">
        <v>2020</v>
      </c>
      <c r="D115" s="104" t="s">
        <v>203</v>
      </c>
      <c r="E115" s="80" t="s">
        <v>211</v>
      </c>
      <c r="F115" s="80" t="s">
        <v>219</v>
      </c>
      <c r="G115" s="80" t="s">
        <v>25</v>
      </c>
      <c r="H115" s="80" t="s">
        <v>113</v>
      </c>
      <c r="I115" s="80" t="s">
        <v>111</v>
      </c>
      <c r="J115" s="80" t="s">
        <v>27</v>
      </c>
      <c r="K115" s="80" t="s">
        <v>112</v>
      </c>
      <c r="L115" s="80">
        <v>3</v>
      </c>
      <c r="N115" s="80">
        <v>5</v>
      </c>
      <c r="O115" s="80">
        <v>0.85</v>
      </c>
      <c r="P115" s="80">
        <v>0.9</v>
      </c>
      <c r="Q115" s="105">
        <f t="shared" si="3"/>
        <v>0.875</v>
      </c>
      <c r="R115" s="80">
        <v>11.2</v>
      </c>
      <c r="S115" s="80">
        <v>117</v>
      </c>
      <c r="T115" s="115">
        <f t="shared" si="7"/>
        <v>30</v>
      </c>
      <c r="U115" s="80">
        <v>380</v>
      </c>
      <c r="V115" s="16">
        <f t="shared" si="5"/>
        <v>2280</v>
      </c>
      <c r="W115" s="80">
        <v>1</v>
      </c>
      <c r="X115" s="80" t="s">
        <v>35</v>
      </c>
      <c r="Y115" s="80" t="s">
        <v>64</v>
      </c>
      <c r="Z115" s="80" t="s">
        <v>72</v>
      </c>
      <c r="AA115" s="80" t="s">
        <v>82</v>
      </c>
      <c r="AB115" s="80" t="s">
        <v>194</v>
      </c>
    </row>
    <row r="116" spans="1:28" x14ac:dyDescent="0.15">
      <c r="A116" s="80" t="s">
        <v>30</v>
      </c>
      <c r="B116" s="80" t="s">
        <v>190</v>
      </c>
      <c r="C116" s="80">
        <v>2020</v>
      </c>
      <c r="D116" s="104" t="s">
        <v>203</v>
      </c>
      <c r="E116" s="80" t="s">
        <v>214</v>
      </c>
      <c r="F116" s="80" t="s">
        <v>215</v>
      </c>
      <c r="G116" s="80" t="s">
        <v>25</v>
      </c>
      <c r="H116" s="80" t="s">
        <v>167</v>
      </c>
      <c r="I116" s="80" t="s">
        <v>111</v>
      </c>
      <c r="J116" s="80" t="s">
        <v>27</v>
      </c>
      <c r="K116" s="80" t="s">
        <v>112</v>
      </c>
      <c r="L116" s="80">
        <v>1</v>
      </c>
      <c r="N116" s="80">
        <v>1</v>
      </c>
      <c r="O116" s="80">
        <v>0.8</v>
      </c>
      <c r="P116" s="80">
        <v>0.9</v>
      </c>
      <c r="Q116" s="105">
        <f t="shared" si="3"/>
        <v>0.85000000000000009</v>
      </c>
      <c r="R116" s="80">
        <v>13.2</v>
      </c>
      <c r="S116" s="80">
        <v>120</v>
      </c>
      <c r="T116" s="16">
        <f t="shared" si="7"/>
        <v>30</v>
      </c>
      <c r="U116" s="80">
        <v>100</v>
      </c>
      <c r="V116" s="16">
        <f t="shared" si="5"/>
        <v>3000</v>
      </c>
      <c r="W116" s="80">
        <v>1</v>
      </c>
      <c r="X116" s="80" t="s">
        <v>35</v>
      </c>
      <c r="Y116" s="80" t="s">
        <v>82</v>
      </c>
      <c r="Z116" s="80" t="s">
        <v>64</v>
      </c>
      <c r="AA116" s="80" t="s">
        <v>72</v>
      </c>
      <c r="AB116" s="80" t="s">
        <v>194</v>
      </c>
    </row>
    <row r="117" spans="1:28" x14ac:dyDescent="0.15">
      <c r="A117" s="80" t="s">
        <v>30</v>
      </c>
      <c r="B117" s="80" t="s">
        <v>190</v>
      </c>
      <c r="C117" s="80">
        <v>2020</v>
      </c>
      <c r="D117" s="104" t="s">
        <v>203</v>
      </c>
      <c r="E117" s="80" t="s">
        <v>214</v>
      </c>
      <c r="F117" s="80" t="s">
        <v>215</v>
      </c>
      <c r="G117" s="80" t="s">
        <v>25</v>
      </c>
      <c r="H117" s="80" t="s">
        <v>167</v>
      </c>
      <c r="I117" s="80" t="s">
        <v>111</v>
      </c>
      <c r="J117" s="80" t="s">
        <v>27</v>
      </c>
      <c r="K117" s="80" t="s">
        <v>112</v>
      </c>
      <c r="L117" s="80">
        <v>2</v>
      </c>
      <c r="N117" s="80">
        <v>1</v>
      </c>
      <c r="O117" s="80">
        <v>0.95</v>
      </c>
      <c r="P117" s="80">
        <v>1</v>
      </c>
      <c r="Q117" s="105">
        <f t="shared" si="3"/>
        <v>0.97499999999999998</v>
      </c>
      <c r="R117" s="80">
        <v>14.2</v>
      </c>
      <c r="S117" s="80">
        <v>123</v>
      </c>
      <c r="T117" s="16">
        <f t="shared" si="7"/>
        <v>27</v>
      </c>
      <c r="U117" s="80">
        <v>100</v>
      </c>
      <c r="V117" s="16">
        <f t="shared" si="5"/>
        <v>2700</v>
      </c>
      <c r="W117" s="80">
        <v>1</v>
      </c>
      <c r="X117" s="80" t="s">
        <v>35</v>
      </c>
      <c r="Y117" s="80" t="s">
        <v>82</v>
      </c>
      <c r="Z117" s="80" t="s">
        <v>64</v>
      </c>
      <c r="AA117" s="80" t="s">
        <v>72</v>
      </c>
      <c r="AB117" s="80" t="s">
        <v>194</v>
      </c>
    </row>
    <row r="118" spans="1:28" x14ac:dyDescent="0.15">
      <c r="A118" s="80" t="s">
        <v>30</v>
      </c>
      <c r="B118" s="80" t="s">
        <v>190</v>
      </c>
      <c r="C118" s="80">
        <v>2020</v>
      </c>
      <c r="D118" s="104" t="s">
        <v>203</v>
      </c>
      <c r="E118" s="80" t="s">
        <v>214</v>
      </c>
      <c r="F118" s="80" t="s">
        <v>215</v>
      </c>
      <c r="G118" s="80" t="s">
        <v>25</v>
      </c>
      <c r="H118" s="80" t="s">
        <v>167</v>
      </c>
      <c r="I118" s="80" t="s">
        <v>111</v>
      </c>
      <c r="J118" s="80" t="s">
        <v>27</v>
      </c>
      <c r="K118" s="80" t="s">
        <v>112</v>
      </c>
      <c r="L118" s="80">
        <v>3</v>
      </c>
      <c r="N118" s="80">
        <v>1</v>
      </c>
      <c r="O118" s="80">
        <v>1.1499999999999999</v>
      </c>
      <c r="P118" s="80">
        <v>1.05</v>
      </c>
      <c r="Q118" s="105">
        <f t="shared" si="3"/>
        <v>1.1000000000000001</v>
      </c>
      <c r="R118" s="80">
        <v>15.2</v>
      </c>
      <c r="S118" s="80">
        <v>121</v>
      </c>
      <c r="T118" s="16">
        <f t="shared" si="7"/>
        <v>27</v>
      </c>
      <c r="U118" s="80">
        <v>100</v>
      </c>
      <c r="V118" s="16">
        <f t="shared" si="5"/>
        <v>2700</v>
      </c>
      <c r="W118" s="80">
        <v>1</v>
      </c>
      <c r="X118" s="80" t="s">
        <v>35</v>
      </c>
      <c r="Y118" s="80" t="s">
        <v>82</v>
      </c>
      <c r="Z118" s="80" t="s">
        <v>64</v>
      </c>
      <c r="AA118" s="80" t="s">
        <v>72</v>
      </c>
      <c r="AB118" s="80" t="s">
        <v>194</v>
      </c>
    </row>
    <row r="119" spans="1:28" x14ac:dyDescent="0.15">
      <c r="A119" s="80" t="s">
        <v>30</v>
      </c>
      <c r="B119" s="80" t="s">
        <v>190</v>
      </c>
      <c r="C119" s="80">
        <v>2020</v>
      </c>
      <c r="D119" s="104" t="s">
        <v>203</v>
      </c>
      <c r="E119" s="80" t="s">
        <v>214</v>
      </c>
      <c r="F119" s="80" t="s">
        <v>215</v>
      </c>
      <c r="G119" s="80" t="s">
        <v>25</v>
      </c>
      <c r="H119" s="80" t="s">
        <v>167</v>
      </c>
      <c r="I119" s="80" t="s">
        <v>111</v>
      </c>
      <c r="J119" s="80" t="s">
        <v>27</v>
      </c>
      <c r="K119" s="80" t="s">
        <v>112</v>
      </c>
      <c r="L119" s="80">
        <v>1</v>
      </c>
      <c r="N119" s="80">
        <v>4</v>
      </c>
      <c r="O119" s="80">
        <v>0.65</v>
      </c>
      <c r="P119" s="80">
        <v>1.05</v>
      </c>
      <c r="Q119" s="105">
        <f t="shared" si="3"/>
        <v>0.85000000000000009</v>
      </c>
      <c r="R119" s="80">
        <v>15.2</v>
      </c>
      <c r="S119" s="80">
        <v>116</v>
      </c>
      <c r="T119" s="16">
        <f t="shared" si="7"/>
        <v>30</v>
      </c>
      <c r="U119" s="80">
        <v>388</v>
      </c>
      <c r="V119" s="16">
        <f t="shared" si="5"/>
        <v>2910</v>
      </c>
      <c r="W119" s="80">
        <v>2</v>
      </c>
      <c r="X119" s="80" t="s">
        <v>35</v>
      </c>
      <c r="Y119" s="80" t="s">
        <v>82</v>
      </c>
      <c r="Z119" s="80" t="s">
        <v>64</v>
      </c>
      <c r="AA119" s="80" t="s">
        <v>72</v>
      </c>
      <c r="AB119" s="80" t="s">
        <v>194</v>
      </c>
    </row>
    <row r="120" spans="1:28" x14ac:dyDescent="0.15">
      <c r="A120" s="80" t="s">
        <v>30</v>
      </c>
      <c r="B120" s="80" t="s">
        <v>190</v>
      </c>
      <c r="C120" s="80">
        <v>2020</v>
      </c>
      <c r="D120" s="104" t="s">
        <v>203</v>
      </c>
      <c r="E120" s="80" t="s">
        <v>214</v>
      </c>
      <c r="F120" s="80" t="s">
        <v>215</v>
      </c>
      <c r="G120" s="80" t="s">
        <v>25</v>
      </c>
      <c r="H120" s="80" t="s">
        <v>167</v>
      </c>
      <c r="I120" s="80" t="s">
        <v>111</v>
      </c>
      <c r="J120" s="80" t="s">
        <v>27</v>
      </c>
      <c r="K120" s="80" t="s">
        <v>112</v>
      </c>
      <c r="L120" s="80">
        <v>2</v>
      </c>
      <c r="N120" s="80">
        <v>4</v>
      </c>
      <c r="O120" s="80">
        <v>0.95</v>
      </c>
      <c r="P120" s="80">
        <v>0.8</v>
      </c>
      <c r="Q120" s="105">
        <f t="shared" si="3"/>
        <v>0.875</v>
      </c>
      <c r="R120" s="80">
        <v>16.100000000000001</v>
      </c>
      <c r="S120" s="80">
        <v>117</v>
      </c>
      <c r="T120" s="16">
        <f t="shared" si="7"/>
        <v>30</v>
      </c>
      <c r="U120" s="80">
        <v>388</v>
      </c>
      <c r="V120" s="16">
        <f t="shared" si="5"/>
        <v>2910</v>
      </c>
      <c r="W120" s="80">
        <v>2</v>
      </c>
      <c r="X120" s="80" t="s">
        <v>35</v>
      </c>
      <c r="Y120" s="80" t="s">
        <v>82</v>
      </c>
      <c r="Z120" s="80" t="s">
        <v>64</v>
      </c>
      <c r="AA120" s="80" t="s">
        <v>72</v>
      </c>
      <c r="AB120" s="80" t="s">
        <v>194</v>
      </c>
    </row>
    <row r="121" spans="1:28" x14ac:dyDescent="0.15">
      <c r="A121" s="80" t="s">
        <v>30</v>
      </c>
      <c r="B121" s="80" t="s">
        <v>190</v>
      </c>
      <c r="C121" s="80">
        <v>2020</v>
      </c>
      <c r="D121" s="104" t="s">
        <v>203</v>
      </c>
      <c r="E121" s="80" t="s">
        <v>214</v>
      </c>
      <c r="F121" s="80" t="s">
        <v>215</v>
      </c>
      <c r="G121" s="80" t="s">
        <v>25</v>
      </c>
      <c r="H121" s="80" t="s">
        <v>167</v>
      </c>
      <c r="I121" s="80" t="s">
        <v>111</v>
      </c>
      <c r="J121" s="80" t="s">
        <v>27</v>
      </c>
      <c r="K121" s="80" t="s">
        <v>112</v>
      </c>
      <c r="L121" s="80">
        <v>3</v>
      </c>
      <c r="N121" s="80">
        <v>4</v>
      </c>
      <c r="O121" s="80">
        <v>0.8</v>
      </c>
      <c r="P121" s="80">
        <v>0.85</v>
      </c>
      <c r="Q121" s="105">
        <f t="shared" si="3"/>
        <v>0.82499999999999996</v>
      </c>
      <c r="R121" s="80">
        <v>17.399999999999999</v>
      </c>
      <c r="S121" s="80">
        <v>119</v>
      </c>
      <c r="T121" s="16">
        <f t="shared" si="7"/>
        <v>30</v>
      </c>
      <c r="U121" s="80">
        <v>388</v>
      </c>
      <c r="V121" s="16">
        <f t="shared" si="5"/>
        <v>2910</v>
      </c>
      <c r="W121" s="80">
        <v>2</v>
      </c>
      <c r="X121" s="80" t="s">
        <v>35</v>
      </c>
      <c r="Y121" s="80" t="s">
        <v>82</v>
      </c>
      <c r="Z121" s="80" t="s">
        <v>64</v>
      </c>
      <c r="AA121" s="80" t="s">
        <v>72</v>
      </c>
      <c r="AB121" s="80" t="s">
        <v>194</v>
      </c>
    </row>
    <row r="122" spans="1:28" x14ac:dyDescent="0.15">
      <c r="A122" s="80" t="s">
        <v>30</v>
      </c>
      <c r="B122" s="80" t="s">
        <v>190</v>
      </c>
      <c r="C122" s="80">
        <v>2020</v>
      </c>
      <c r="D122" s="104" t="s">
        <v>203</v>
      </c>
      <c r="E122" s="80" t="s">
        <v>214</v>
      </c>
      <c r="F122" s="80" t="s">
        <v>215</v>
      </c>
      <c r="G122" s="80" t="s">
        <v>25</v>
      </c>
      <c r="H122" s="80" t="s">
        <v>167</v>
      </c>
      <c r="I122" s="80" t="s">
        <v>111</v>
      </c>
      <c r="J122" s="80" t="s">
        <v>27</v>
      </c>
      <c r="K122" s="80" t="s">
        <v>112</v>
      </c>
      <c r="L122" s="80">
        <v>1</v>
      </c>
      <c r="N122" s="80">
        <v>8</v>
      </c>
      <c r="O122" s="80">
        <v>0.65</v>
      </c>
      <c r="P122" s="80">
        <v>0.7</v>
      </c>
      <c r="Q122" s="105">
        <f t="shared" si="3"/>
        <v>0.67500000000000004</v>
      </c>
      <c r="R122" s="80">
        <v>16.5</v>
      </c>
      <c r="S122" s="80">
        <v>116</v>
      </c>
      <c r="T122" s="16">
        <f t="shared" si="7"/>
        <v>30</v>
      </c>
      <c r="U122" s="80">
        <v>780</v>
      </c>
      <c r="V122" s="16">
        <f t="shared" si="5"/>
        <v>2925</v>
      </c>
      <c r="W122" s="80">
        <v>1</v>
      </c>
      <c r="X122" s="80" t="s">
        <v>35</v>
      </c>
      <c r="Y122" s="80" t="s">
        <v>82</v>
      </c>
      <c r="Z122" s="80" t="s">
        <v>64</v>
      </c>
      <c r="AA122" s="80" t="s">
        <v>72</v>
      </c>
      <c r="AB122" s="80" t="s">
        <v>194</v>
      </c>
    </row>
    <row r="123" spans="1:28" x14ac:dyDescent="0.15">
      <c r="A123" s="80" t="s">
        <v>30</v>
      </c>
      <c r="B123" s="80" t="s">
        <v>190</v>
      </c>
      <c r="C123" s="80">
        <v>2020</v>
      </c>
      <c r="D123" s="104" t="s">
        <v>203</v>
      </c>
      <c r="E123" s="80" t="s">
        <v>214</v>
      </c>
      <c r="F123" s="80" t="s">
        <v>215</v>
      </c>
      <c r="G123" s="80" t="s">
        <v>25</v>
      </c>
      <c r="H123" s="80" t="s">
        <v>167</v>
      </c>
      <c r="I123" s="80" t="s">
        <v>111</v>
      </c>
      <c r="J123" s="80" t="s">
        <v>27</v>
      </c>
      <c r="K123" s="80" t="s">
        <v>112</v>
      </c>
      <c r="L123" s="80">
        <v>2</v>
      </c>
      <c r="N123" s="80">
        <v>8</v>
      </c>
      <c r="O123" s="80">
        <v>0.95</v>
      </c>
      <c r="P123" s="80">
        <v>0.85</v>
      </c>
      <c r="Q123" s="105">
        <f t="shared" si="3"/>
        <v>0.89999999999999991</v>
      </c>
      <c r="R123" s="80">
        <v>15.2</v>
      </c>
      <c r="S123" s="80">
        <v>112</v>
      </c>
      <c r="T123" s="16">
        <f t="shared" si="7"/>
        <v>33</v>
      </c>
      <c r="U123" s="80">
        <v>780</v>
      </c>
      <c r="V123" s="16">
        <f t="shared" si="5"/>
        <v>3217.5</v>
      </c>
      <c r="W123" s="80">
        <v>1</v>
      </c>
      <c r="X123" s="80" t="s">
        <v>35</v>
      </c>
      <c r="Y123" s="80" t="s">
        <v>82</v>
      </c>
      <c r="Z123" s="80" t="s">
        <v>64</v>
      </c>
      <c r="AA123" s="80" t="s">
        <v>72</v>
      </c>
      <c r="AB123" s="80" t="s">
        <v>194</v>
      </c>
    </row>
    <row r="124" spans="1:28" x14ac:dyDescent="0.15">
      <c r="A124" s="80" t="s">
        <v>30</v>
      </c>
      <c r="B124" s="80" t="s">
        <v>190</v>
      </c>
      <c r="C124" s="80">
        <v>2020</v>
      </c>
      <c r="D124" s="104" t="s">
        <v>203</v>
      </c>
      <c r="E124" s="80" t="s">
        <v>214</v>
      </c>
      <c r="F124" s="80" t="s">
        <v>215</v>
      </c>
      <c r="G124" s="80" t="s">
        <v>25</v>
      </c>
      <c r="H124" s="80" t="s">
        <v>167</v>
      </c>
      <c r="I124" s="80" t="s">
        <v>111</v>
      </c>
      <c r="J124" s="80" t="s">
        <v>27</v>
      </c>
      <c r="K124" s="80" t="s">
        <v>112</v>
      </c>
      <c r="L124" s="80">
        <v>3</v>
      </c>
      <c r="N124" s="80">
        <v>8</v>
      </c>
      <c r="O124" s="80">
        <v>0.7</v>
      </c>
      <c r="P124" s="80">
        <v>0.65</v>
      </c>
      <c r="Q124" s="105">
        <f t="shared" si="3"/>
        <v>0.67500000000000004</v>
      </c>
      <c r="R124" s="80">
        <v>14.7</v>
      </c>
      <c r="S124" s="80">
        <v>112</v>
      </c>
      <c r="T124" s="16">
        <f t="shared" si="7"/>
        <v>33</v>
      </c>
      <c r="U124" s="80">
        <v>780</v>
      </c>
      <c r="V124" s="16">
        <f t="shared" si="5"/>
        <v>3217.5</v>
      </c>
      <c r="W124" s="80">
        <v>1</v>
      </c>
      <c r="X124" s="80" t="s">
        <v>35</v>
      </c>
      <c r="Y124" s="80" t="s">
        <v>82</v>
      </c>
      <c r="Z124" s="80" t="s">
        <v>64</v>
      </c>
      <c r="AA124" s="80" t="s">
        <v>72</v>
      </c>
      <c r="AB124" s="80" t="s">
        <v>194</v>
      </c>
    </row>
    <row r="125" spans="1:28" x14ac:dyDescent="0.15">
      <c r="A125" s="80" t="s">
        <v>30</v>
      </c>
      <c r="B125" s="80" t="s">
        <v>190</v>
      </c>
      <c r="C125" s="80">
        <v>2020</v>
      </c>
      <c r="D125" s="104" t="s">
        <v>203</v>
      </c>
      <c r="E125" s="80" t="s">
        <v>214</v>
      </c>
      <c r="F125" s="80" t="s">
        <v>215</v>
      </c>
      <c r="G125" s="80" t="s">
        <v>25</v>
      </c>
      <c r="H125" s="80" t="s">
        <v>113</v>
      </c>
      <c r="I125" s="80" t="s">
        <v>111</v>
      </c>
      <c r="J125" s="80" t="s">
        <v>27</v>
      </c>
      <c r="K125" s="80" t="s">
        <v>112</v>
      </c>
      <c r="L125" s="80">
        <v>1</v>
      </c>
      <c r="N125" s="80">
        <v>1</v>
      </c>
      <c r="O125" s="80">
        <v>0.65</v>
      </c>
      <c r="P125" s="80">
        <v>0.55000000000000004</v>
      </c>
      <c r="Q125" s="105">
        <f t="shared" si="3"/>
        <v>0.60000000000000009</v>
      </c>
      <c r="R125" s="80">
        <v>13.2</v>
      </c>
      <c r="S125" s="80">
        <v>123</v>
      </c>
      <c r="T125" s="16">
        <f t="shared" si="7"/>
        <v>27</v>
      </c>
      <c r="U125" s="80">
        <v>100</v>
      </c>
      <c r="V125" s="16">
        <f t="shared" si="5"/>
        <v>2700</v>
      </c>
      <c r="W125" s="80">
        <v>1</v>
      </c>
      <c r="X125" s="80" t="s">
        <v>35</v>
      </c>
      <c r="Y125" s="80" t="s">
        <v>82</v>
      </c>
      <c r="Z125" s="80" t="s">
        <v>64</v>
      </c>
      <c r="AA125" s="80" t="s">
        <v>72</v>
      </c>
      <c r="AB125" s="80" t="s">
        <v>194</v>
      </c>
    </row>
    <row r="126" spans="1:28" x14ac:dyDescent="0.15">
      <c r="A126" s="80" t="s">
        <v>30</v>
      </c>
      <c r="B126" s="80" t="s">
        <v>190</v>
      </c>
      <c r="C126" s="80">
        <v>2020</v>
      </c>
      <c r="D126" s="104" t="s">
        <v>203</v>
      </c>
      <c r="E126" s="80" t="s">
        <v>214</v>
      </c>
      <c r="F126" s="80" t="s">
        <v>215</v>
      </c>
      <c r="G126" s="80" t="s">
        <v>25</v>
      </c>
      <c r="H126" s="80" t="s">
        <v>113</v>
      </c>
      <c r="I126" s="80" t="s">
        <v>111</v>
      </c>
      <c r="J126" s="80" t="s">
        <v>27</v>
      </c>
      <c r="K126" s="80" t="s">
        <v>112</v>
      </c>
      <c r="L126" s="80">
        <v>2</v>
      </c>
      <c r="N126" s="80">
        <v>1</v>
      </c>
      <c r="O126" s="80">
        <v>0.75</v>
      </c>
      <c r="P126" s="80">
        <v>0.8</v>
      </c>
      <c r="Q126" s="105">
        <f t="shared" si="3"/>
        <v>0.77500000000000002</v>
      </c>
      <c r="R126" s="80">
        <v>12.6</v>
      </c>
      <c r="S126" s="80">
        <v>127</v>
      </c>
      <c r="T126" s="16">
        <f t="shared" si="7"/>
        <v>27</v>
      </c>
      <c r="U126" s="80">
        <v>100</v>
      </c>
      <c r="V126" s="16">
        <f t="shared" si="5"/>
        <v>2700</v>
      </c>
      <c r="W126" s="80">
        <v>1</v>
      </c>
      <c r="X126" s="80" t="s">
        <v>35</v>
      </c>
      <c r="Y126" s="80" t="s">
        <v>82</v>
      </c>
      <c r="Z126" s="80" t="s">
        <v>64</v>
      </c>
      <c r="AA126" s="80" t="s">
        <v>72</v>
      </c>
      <c r="AB126" s="80" t="s">
        <v>194</v>
      </c>
    </row>
    <row r="127" spans="1:28" x14ac:dyDescent="0.15">
      <c r="A127" s="80" t="s">
        <v>30</v>
      </c>
      <c r="B127" s="80" t="s">
        <v>190</v>
      </c>
      <c r="C127" s="80">
        <v>2020</v>
      </c>
      <c r="D127" s="104" t="s">
        <v>203</v>
      </c>
      <c r="E127" s="80" t="s">
        <v>214</v>
      </c>
      <c r="F127" s="80" t="s">
        <v>215</v>
      </c>
      <c r="G127" s="80" t="s">
        <v>25</v>
      </c>
      <c r="H127" s="80" t="s">
        <v>113</v>
      </c>
      <c r="I127" s="80" t="s">
        <v>111</v>
      </c>
      <c r="J127" s="80" t="s">
        <v>27</v>
      </c>
      <c r="K127" s="80" t="s">
        <v>112</v>
      </c>
      <c r="L127" s="80">
        <v>3</v>
      </c>
      <c r="N127" s="80">
        <v>1</v>
      </c>
      <c r="O127" s="80">
        <v>0.8</v>
      </c>
      <c r="P127" s="80">
        <v>0.75</v>
      </c>
      <c r="Q127" s="105">
        <f t="shared" si="3"/>
        <v>0.77500000000000002</v>
      </c>
      <c r="R127" s="80">
        <v>11.5</v>
      </c>
      <c r="S127" s="80">
        <v>125</v>
      </c>
      <c r="T127" s="16">
        <f t="shared" si="7"/>
        <v>27</v>
      </c>
      <c r="U127" s="80">
        <v>100</v>
      </c>
      <c r="V127" s="16">
        <f t="shared" si="5"/>
        <v>2700</v>
      </c>
      <c r="W127" s="80">
        <v>1</v>
      </c>
      <c r="X127" s="80" t="s">
        <v>35</v>
      </c>
      <c r="Y127" s="80" t="s">
        <v>82</v>
      </c>
      <c r="Z127" s="80" t="s">
        <v>64</v>
      </c>
      <c r="AA127" s="80" t="s">
        <v>72</v>
      </c>
      <c r="AB127" s="80" t="s">
        <v>194</v>
      </c>
    </row>
    <row r="128" spans="1:28" x14ac:dyDescent="0.15">
      <c r="A128" s="80" t="s">
        <v>30</v>
      </c>
      <c r="B128" s="80" t="s">
        <v>190</v>
      </c>
      <c r="C128" s="80">
        <v>2020</v>
      </c>
      <c r="D128" s="104" t="s">
        <v>203</v>
      </c>
      <c r="E128" s="80" t="s">
        <v>214</v>
      </c>
      <c r="F128" s="80" t="s">
        <v>215</v>
      </c>
      <c r="G128" s="80" t="s">
        <v>25</v>
      </c>
      <c r="H128" s="80" t="s">
        <v>113</v>
      </c>
      <c r="I128" s="80" t="s">
        <v>111</v>
      </c>
      <c r="J128" s="80" t="s">
        <v>27</v>
      </c>
      <c r="K128" s="80" t="s">
        <v>112</v>
      </c>
      <c r="L128" s="80">
        <v>1</v>
      </c>
      <c r="N128" s="80">
        <v>4</v>
      </c>
      <c r="O128" s="80">
        <v>0.8</v>
      </c>
      <c r="P128" s="80">
        <v>1</v>
      </c>
      <c r="Q128" s="105">
        <f t="shared" si="3"/>
        <v>0.9</v>
      </c>
      <c r="R128" s="80">
        <v>12.4</v>
      </c>
      <c r="S128" s="80">
        <v>116</v>
      </c>
      <c r="T128" s="16">
        <f t="shared" si="7"/>
        <v>30</v>
      </c>
      <c r="U128" s="80">
        <v>388</v>
      </c>
      <c r="V128" s="16">
        <f t="shared" si="5"/>
        <v>2910</v>
      </c>
      <c r="W128" s="80">
        <v>2</v>
      </c>
      <c r="X128" s="80" t="s">
        <v>35</v>
      </c>
      <c r="Y128" s="80" t="s">
        <v>82</v>
      </c>
      <c r="Z128" s="80" t="s">
        <v>64</v>
      </c>
      <c r="AA128" s="80" t="s">
        <v>72</v>
      </c>
      <c r="AB128" s="80" t="s">
        <v>194</v>
      </c>
    </row>
    <row r="129" spans="1:28" x14ac:dyDescent="0.15">
      <c r="A129" s="80" t="s">
        <v>30</v>
      </c>
      <c r="B129" s="80" t="s">
        <v>190</v>
      </c>
      <c r="C129" s="80">
        <v>2020</v>
      </c>
      <c r="D129" s="104" t="s">
        <v>203</v>
      </c>
      <c r="E129" s="80" t="s">
        <v>214</v>
      </c>
      <c r="F129" s="80" t="s">
        <v>215</v>
      </c>
      <c r="G129" s="80" t="s">
        <v>25</v>
      </c>
      <c r="H129" s="80" t="s">
        <v>113</v>
      </c>
      <c r="I129" s="80" t="s">
        <v>111</v>
      </c>
      <c r="J129" s="80" t="s">
        <v>27</v>
      </c>
      <c r="K129" s="80" t="s">
        <v>112</v>
      </c>
      <c r="L129" s="80">
        <v>2</v>
      </c>
      <c r="N129" s="80">
        <v>4</v>
      </c>
      <c r="O129" s="80">
        <v>0.95</v>
      </c>
      <c r="P129" s="80">
        <v>0.85</v>
      </c>
      <c r="Q129" s="105">
        <f t="shared" si="3"/>
        <v>0.89999999999999991</v>
      </c>
      <c r="R129" s="80">
        <v>13.2</v>
      </c>
      <c r="S129" s="80">
        <v>118</v>
      </c>
      <c r="T129" s="16">
        <f t="shared" si="7"/>
        <v>30</v>
      </c>
      <c r="U129" s="80">
        <v>388</v>
      </c>
      <c r="V129" s="16">
        <f t="shared" si="5"/>
        <v>2910</v>
      </c>
      <c r="W129" s="80">
        <v>2</v>
      </c>
      <c r="X129" s="80" t="s">
        <v>35</v>
      </c>
      <c r="Y129" s="80" t="s">
        <v>82</v>
      </c>
      <c r="Z129" s="80" t="s">
        <v>64</v>
      </c>
      <c r="AA129" s="80" t="s">
        <v>72</v>
      </c>
      <c r="AB129" s="80" t="s">
        <v>194</v>
      </c>
    </row>
    <row r="130" spans="1:28" x14ac:dyDescent="0.15">
      <c r="A130" s="80" t="s">
        <v>30</v>
      </c>
      <c r="B130" s="80" t="s">
        <v>190</v>
      </c>
      <c r="C130" s="80">
        <v>2020</v>
      </c>
      <c r="D130" s="104" t="s">
        <v>203</v>
      </c>
      <c r="E130" s="80" t="s">
        <v>214</v>
      </c>
      <c r="F130" s="80" t="s">
        <v>215</v>
      </c>
      <c r="G130" s="80" t="s">
        <v>25</v>
      </c>
      <c r="H130" s="80" t="s">
        <v>113</v>
      </c>
      <c r="I130" s="80" t="s">
        <v>111</v>
      </c>
      <c r="J130" s="80" t="s">
        <v>27</v>
      </c>
      <c r="K130" s="80" t="s">
        <v>112</v>
      </c>
      <c r="L130" s="80">
        <v>3</v>
      </c>
      <c r="N130" s="80">
        <v>4</v>
      </c>
      <c r="O130" s="80">
        <v>0.8</v>
      </c>
      <c r="P130" s="80">
        <v>0.8</v>
      </c>
      <c r="Q130" s="105">
        <f t="shared" ref="Q130:Q142" si="8">IF(OR(O130="",P130=""),"",AVERAGE(O130,P130))</f>
        <v>0.8</v>
      </c>
      <c r="R130" s="80">
        <v>12.7</v>
      </c>
      <c r="S130" s="80">
        <v>114</v>
      </c>
      <c r="T130" s="16">
        <f t="shared" si="7"/>
        <v>30</v>
      </c>
      <c r="U130" s="80">
        <v>388</v>
      </c>
      <c r="V130" s="16">
        <f t="shared" ref="V130:V142" si="9">IF(OR(N130="",U130="",T130=""),"",U130/N130*T130)</f>
        <v>2910</v>
      </c>
      <c r="W130" s="80">
        <v>2</v>
      </c>
      <c r="X130" s="80" t="s">
        <v>35</v>
      </c>
      <c r="Y130" s="80" t="s">
        <v>82</v>
      </c>
      <c r="Z130" s="80" t="s">
        <v>64</v>
      </c>
      <c r="AA130" s="80" t="s">
        <v>72</v>
      </c>
      <c r="AB130" s="80" t="s">
        <v>194</v>
      </c>
    </row>
    <row r="131" spans="1:28" x14ac:dyDescent="0.15">
      <c r="A131" s="80" t="s">
        <v>30</v>
      </c>
      <c r="B131" s="80" t="s">
        <v>190</v>
      </c>
      <c r="C131" s="80">
        <v>2020</v>
      </c>
      <c r="D131" s="104" t="s">
        <v>203</v>
      </c>
      <c r="E131" s="80" t="s">
        <v>221</v>
      </c>
      <c r="F131" s="80" t="s">
        <v>222</v>
      </c>
      <c r="G131" s="80" t="s">
        <v>25</v>
      </c>
      <c r="H131" s="80" t="s">
        <v>167</v>
      </c>
      <c r="I131" s="80" t="s">
        <v>111</v>
      </c>
      <c r="J131" s="80" t="s">
        <v>27</v>
      </c>
      <c r="K131" s="80" t="s">
        <v>112</v>
      </c>
      <c r="L131" s="80">
        <v>1</v>
      </c>
      <c r="N131" s="80">
        <v>1</v>
      </c>
      <c r="O131" s="80">
        <v>0.6</v>
      </c>
      <c r="P131" s="80">
        <v>0.65</v>
      </c>
      <c r="Q131" s="105">
        <f t="shared" si="8"/>
        <v>0.625</v>
      </c>
      <c r="R131" s="80">
        <v>17.5</v>
      </c>
      <c r="S131" s="80">
        <v>125</v>
      </c>
      <c r="T131" s="16">
        <f t="shared" si="7"/>
        <v>27</v>
      </c>
      <c r="U131" s="80">
        <v>92</v>
      </c>
      <c r="V131" s="16">
        <f t="shared" si="9"/>
        <v>2484</v>
      </c>
      <c r="W131" s="80">
        <v>2</v>
      </c>
      <c r="X131" s="80" t="s">
        <v>35</v>
      </c>
      <c r="Y131" s="80" t="s">
        <v>74</v>
      </c>
      <c r="Z131" s="80" t="s">
        <v>64</v>
      </c>
      <c r="AA131" s="80" t="s">
        <v>82</v>
      </c>
      <c r="AB131" s="80" t="s">
        <v>194</v>
      </c>
    </row>
    <row r="132" spans="1:28" x14ac:dyDescent="0.15">
      <c r="A132" s="80" t="s">
        <v>30</v>
      </c>
      <c r="B132" s="80" t="s">
        <v>190</v>
      </c>
      <c r="C132" s="80">
        <v>2020</v>
      </c>
      <c r="D132" s="104" t="s">
        <v>203</v>
      </c>
      <c r="E132" s="80" t="s">
        <v>221</v>
      </c>
      <c r="F132" s="80" t="s">
        <v>222</v>
      </c>
      <c r="G132" s="80" t="s">
        <v>25</v>
      </c>
      <c r="H132" s="80" t="s">
        <v>167</v>
      </c>
      <c r="I132" s="80" t="s">
        <v>111</v>
      </c>
      <c r="J132" s="80" t="s">
        <v>27</v>
      </c>
      <c r="K132" s="80" t="s">
        <v>112</v>
      </c>
      <c r="L132" s="80">
        <v>2</v>
      </c>
      <c r="N132" s="80">
        <v>1</v>
      </c>
      <c r="O132" s="80">
        <v>0.45</v>
      </c>
      <c r="P132" s="80">
        <v>0.45</v>
      </c>
      <c r="Q132" s="105">
        <f t="shared" si="8"/>
        <v>0.45</v>
      </c>
      <c r="R132" s="80">
        <v>15.9</v>
      </c>
      <c r="S132" s="80">
        <v>123</v>
      </c>
      <c r="T132" s="16">
        <f t="shared" si="7"/>
        <v>27</v>
      </c>
      <c r="U132" s="80">
        <v>92</v>
      </c>
      <c r="V132" s="16">
        <f t="shared" si="9"/>
        <v>2484</v>
      </c>
      <c r="W132" s="80">
        <v>2</v>
      </c>
      <c r="X132" s="80" t="s">
        <v>35</v>
      </c>
      <c r="Y132" s="80" t="s">
        <v>74</v>
      </c>
      <c r="Z132" s="80" t="s">
        <v>64</v>
      </c>
      <c r="AA132" s="80" t="s">
        <v>82</v>
      </c>
      <c r="AB132" s="80" t="s">
        <v>194</v>
      </c>
    </row>
    <row r="133" spans="1:28" x14ac:dyDescent="0.15">
      <c r="A133" s="80" t="s">
        <v>30</v>
      </c>
      <c r="B133" s="80" t="s">
        <v>190</v>
      </c>
      <c r="C133" s="80">
        <v>2020</v>
      </c>
      <c r="D133" s="104" t="s">
        <v>203</v>
      </c>
      <c r="E133" s="80" t="s">
        <v>221</v>
      </c>
      <c r="F133" s="80" t="s">
        <v>222</v>
      </c>
      <c r="G133" s="80" t="s">
        <v>25</v>
      </c>
      <c r="H133" s="80" t="s">
        <v>167</v>
      </c>
      <c r="I133" s="80" t="s">
        <v>111</v>
      </c>
      <c r="J133" s="80" t="s">
        <v>27</v>
      </c>
      <c r="K133" s="80" t="s">
        <v>112</v>
      </c>
      <c r="L133" s="80">
        <v>3</v>
      </c>
      <c r="N133" s="80">
        <v>1</v>
      </c>
      <c r="O133" s="80">
        <v>0.45</v>
      </c>
      <c r="P133" s="80">
        <v>0.5</v>
      </c>
      <c r="Q133" s="105">
        <f t="shared" si="8"/>
        <v>0.47499999999999998</v>
      </c>
      <c r="R133" s="80">
        <v>16.399999999999999</v>
      </c>
      <c r="S133" s="80">
        <v>128</v>
      </c>
      <c r="T133" s="16">
        <f t="shared" si="7"/>
        <v>27</v>
      </c>
      <c r="U133" s="80">
        <v>92</v>
      </c>
      <c r="V133" s="16">
        <f t="shared" si="9"/>
        <v>2484</v>
      </c>
      <c r="W133" s="80">
        <v>2</v>
      </c>
      <c r="X133" s="80" t="s">
        <v>35</v>
      </c>
      <c r="Y133" s="80" t="s">
        <v>74</v>
      </c>
      <c r="Z133" s="80" t="s">
        <v>64</v>
      </c>
      <c r="AA133" s="80" t="s">
        <v>82</v>
      </c>
      <c r="AB133" s="80" t="s">
        <v>194</v>
      </c>
    </row>
    <row r="134" spans="1:28" x14ac:dyDescent="0.15">
      <c r="A134" s="80" t="s">
        <v>30</v>
      </c>
      <c r="B134" s="80" t="s">
        <v>190</v>
      </c>
      <c r="C134" s="80">
        <v>2020</v>
      </c>
      <c r="D134" s="104" t="s">
        <v>203</v>
      </c>
      <c r="E134" s="80" t="s">
        <v>221</v>
      </c>
      <c r="F134" s="80" t="s">
        <v>222</v>
      </c>
      <c r="G134" s="80" t="s">
        <v>25</v>
      </c>
      <c r="H134" s="80" t="s">
        <v>167</v>
      </c>
      <c r="I134" s="80" t="s">
        <v>111</v>
      </c>
      <c r="J134" s="80" t="s">
        <v>27</v>
      </c>
      <c r="K134" s="80" t="s">
        <v>112</v>
      </c>
      <c r="L134" s="80">
        <v>1</v>
      </c>
      <c r="N134" s="80">
        <v>4</v>
      </c>
      <c r="O134" s="80">
        <v>0.45</v>
      </c>
      <c r="P134" s="80">
        <v>0.55000000000000004</v>
      </c>
      <c r="Q134" s="105">
        <f t="shared" si="8"/>
        <v>0.5</v>
      </c>
      <c r="R134" s="80">
        <v>15.2</v>
      </c>
      <c r="S134" s="80">
        <v>120</v>
      </c>
      <c r="T134" s="16">
        <f t="shared" si="7"/>
        <v>30</v>
      </c>
      <c r="U134" s="117">
        <v>357</v>
      </c>
      <c r="V134" s="16">
        <f t="shared" si="9"/>
        <v>2677.5</v>
      </c>
      <c r="W134" s="80">
        <v>2</v>
      </c>
      <c r="X134" s="80" t="s">
        <v>35</v>
      </c>
      <c r="Y134" s="80" t="s">
        <v>74</v>
      </c>
      <c r="Z134" s="80" t="s">
        <v>64</v>
      </c>
      <c r="AA134" s="80" t="s">
        <v>82</v>
      </c>
      <c r="AB134" s="80" t="s">
        <v>194</v>
      </c>
    </row>
    <row r="135" spans="1:28" x14ac:dyDescent="0.15">
      <c r="A135" s="80" t="s">
        <v>30</v>
      </c>
      <c r="B135" s="80" t="s">
        <v>190</v>
      </c>
      <c r="C135" s="80">
        <v>2020</v>
      </c>
      <c r="D135" s="104" t="s">
        <v>203</v>
      </c>
      <c r="E135" s="80" t="s">
        <v>221</v>
      </c>
      <c r="F135" s="80" t="s">
        <v>222</v>
      </c>
      <c r="G135" s="80" t="s">
        <v>25</v>
      </c>
      <c r="H135" s="80" t="s">
        <v>167</v>
      </c>
      <c r="I135" s="80" t="s">
        <v>111</v>
      </c>
      <c r="J135" s="80" t="s">
        <v>27</v>
      </c>
      <c r="K135" s="80" t="s">
        <v>112</v>
      </c>
      <c r="L135" s="80">
        <v>2</v>
      </c>
      <c r="N135" s="80">
        <v>4</v>
      </c>
      <c r="O135" s="80">
        <v>0.45</v>
      </c>
      <c r="P135" s="80">
        <v>0.6</v>
      </c>
      <c r="Q135" s="105">
        <f t="shared" si="8"/>
        <v>0.52500000000000002</v>
      </c>
      <c r="R135" s="80">
        <v>14.2</v>
      </c>
      <c r="S135" s="80">
        <v>118</v>
      </c>
      <c r="T135" s="16">
        <f t="shared" si="7"/>
        <v>30</v>
      </c>
      <c r="U135" s="117">
        <v>357</v>
      </c>
      <c r="V135" s="16">
        <f t="shared" si="9"/>
        <v>2677.5</v>
      </c>
      <c r="W135" s="80">
        <v>2</v>
      </c>
      <c r="X135" s="80" t="s">
        <v>35</v>
      </c>
      <c r="Y135" s="80" t="s">
        <v>74</v>
      </c>
      <c r="Z135" s="80" t="s">
        <v>64</v>
      </c>
      <c r="AA135" s="80" t="s">
        <v>82</v>
      </c>
      <c r="AB135" s="80" t="s">
        <v>194</v>
      </c>
    </row>
    <row r="136" spans="1:28" x14ac:dyDescent="0.15">
      <c r="A136" s="80" t="s">
        <v>30</v>
      </c>
      <c r="B136" s="80" t="s">
        <v>190</v>
      </c>
      <c r="C136" s="80">
        <v>2020</v>
      </c>
      <c r="D136" s="104" t="s">
        <v>203</v>
      </c>
      <c r="E136" s="80" t="s">
        <v>221</v>
      </c>
      <c r="F136" s="80" t="s">
        <v>222</v>
      </c>
      <c r="G136" s="80" t="s">
        <v>25</v>
      </c>
      <c r="H136" s="80" t="s">
        <v>167</v>
      </c>
      <c r="I136" s="80" t="s">
        <v>111</v>
      </c>
      <c r="J136" s="80" t="s">
        <v>27</v>
      </c>
      <c r="K136" s="80" t="s">
        <v>112</v>
      </c>
      <c r="L136" s="80">
        <v>3</v>
      </c>
      <c r="N136" s="80">
        <v>4</v>
      </c>
      <c r="O136" s="80">
        <v>0.5</v>
      </c>
      <c r="P136" s="80">
        <v>0.45</v>
      </c>
      <c r="Q136" s="105">
        <f t="shared" si="8"/>
        <v>0.47499999999999998</v>
      </c>
      <c r="R136" s="80">
        <v>14.9</v>
      </c>
      <c r="S136" s="80">
        <v>120</v>
      </c>
      <c r="T136" s="16">
        <f t="shared" si="7"/>
        <v>30</v>
      </c>
      <c r="U136" s="117">
        <v>357</v>
      </c>
      <c r="V136" s="16">
        <f t="shared" si="9"/>
        <v>2677.5</v>
      </c>
      <c r="W136" s="80">
        <v>2</v>
      </c>
      <c r="X136" s="80" t="s">
        <v>35</v>
      </c>
      <c r="Y136" s="80" t="s">
        <v>74</v>
      </c>
      <c r="Z136" s="80" t="s">
        <v>64</v>
      </c>
      <c r="AA136" s="80" t="s">
        <v>82</v>
      </c>
      <c r="AB136" s="80" t="s">
        <v>194</v>
      </c>
    </row>
    <row r="137" spans="1:28" x14ac:dyDescent="0.15">
      <c r="A137" s="80" t="s">
        <v>30</v>
      </c>
      <c r="B137" s="80" t="s">
        <v>190</v>
      </c>
      <c r="C137" s="80">
        <v>2020</v>
      </c>
      <c r="D137" s="104" t="s">
        <v>203</v>
      </c>
      <c r="E137" s="80" t="s">
        <v>221</v>
      </c>
      <c r="F137" s="80" t="s">
        <v>222</v>
      </c>
      <c r="G137" s="80" t="s">
        <v>25</v>
      </c>
      <c r="H137" s="80" t="s">
        <v>113</v>
      </c>
      <c r="I137" s="80" t="s">
        <v>111</v>
      </c>
      <c r="J137" s="80" t="s">
        <v>27</v>
      </c>
      <c r="K137" s="80" t="s">
        <v>112</v>
      </c>
      <c r="L137" s="80">
        <v>1</v>
      </c>
      <c r="N137" s="80">
        <v>1</v>
      </c>
      <c r="O137" s="80">
        <v>0.65</v>
      </c>
      <c r="P137" s="80">
        <v>0.7</v>
      </c>
      <c r="Q137" s="105">
        <f t="shared" si="8"/>
        <v>0.67500000000000004</v>
      </c>
      <c r="R137" s="80">
        <v>15.2</v>
      </c>
      <c r="S137" s="80">
        <v>124</v>
      </c>
      <c r="T137" s="16">
        <f t="shared" si="7"/>
        <v>27</v>
      </c>
      <c r="U137" s="117">
        <v>92</v>
      </c>
      <c r="V137" s="16">
        <f t="shared" si="9"/>
        <v>2484</v>
      </c>
      <c r="W137" s="80">
        <v>1</v>
      </c>
      <c r="X137" s="80" t="s">
        <v>35</v>
      </c>
      <c r="Y137" s="80" t="s">
        <v>74</v>
      </c>
      <c r="Z137" s="80" t="s">
        <v>64</v>
      </c>
      <c r="AA137" s="80" t="s">
        <v>82</v>
      </c>
      <c r="AB137" s="80" t="s">
        <v>194</v>
      </c>
    </row>
    <row r="138" spans="1:28" x14ac:dyDescent="0.15">
      <c r="A138" s="80" t="s">
        <v>30</v>
      </c>
      <c r="B138" s="80" t="s">
        <v>190</v>
      </c>
      <c r="C138" s="80">
        <v>2020</v>
      </c>
      <c r="D138" s="104" t="s">
        <v>203</v>
      </c>
      <c r="E138" s="80" t="s">
        <v>221</v>
      </c>
      <c r="F138" s="80" t="s">
        <v>222</v>
      </c>
      <c r="G138" s="80" t="s">
        <v>25</v>
      </c>
      <c r="H138" s="80" t="s">
        <v>113</v>
      </c>
      <c r="I138" s="80" t="s">
        <v>111</v>
      </c>
      <c r="J138" s="80" t="s">
        <v>27</v>
      </c>
      <c r="K138" s="80" t="s">
        <v>112</v>
      </c>
      <c r="L138" s="80">
        <v>2</v>
      </c>
      <c r="N138" s="80">
        <v>1</v>
      </c>
      <c r="O138" s="80">
        <v>0.35</v>
      </c>
      <c r="P138" s="80">
        <v>0.5</v>
      </c>
      <c r="Q138" s="105">
        <f t="shared" si="8"/>
        <v>0.42499999999999999</v>
      </c>
      <c r="R138" s="80">
        <v>14.2</v>
      </c>
      <c r="S138" s="80">
        <v>126</v>
      </c>
      <c r="T138" s="16">
        <f t="shared" si="7"/>
        <v>27</v>
      </c>
      <c r="U138" s="117">
        <v>92</v>
      </c>
      <c r="V138" s="16">
        <f t="shared" si="9"/>
        <v>2484</v>
      </c>
      <c r="W138" s="80">
        <v>1</v>
      </c>
      <c r="X138" s="80" t="s">
        <v>35</v>
      </c>
      <c r="Y138" s="80" t="s">
        <v>74</v>
      </c>
      <c r="Z138" s="80" t="s">
        <v>64</v>
      </c>
      <c r="AA138" s="80" t="s">
        <v>82</v>
      </c>
      <c r="AB138" s="80" t="s">
        <v>194</v>
      </c>
    </row>
    <row r="139" spans="1:28" x14ac:dyDescent="0.15">
      <c r="A139" s="80" t="s">
        <v>30</v>
      </c>
      <c r="B139" s="80" t="s">
        <v>190</v>
      </c>
      <c r="C139" s="80">
        <v>2020</v>
      </c>
      <c r="D139" s="104" t="s">
        <v>203</v>
      </c>
      <c r="E139" s="80" t="s">
        <v>221</v>
      </c>
      <c r="F139" s="80" t="s">
        <v>222</v>
      </c>
      <c r="G139" s="80" t="s">
        <v>25</v>
      </c>
      <c r="H139" s="80" t="s">
        <v>113</v>
      </c>
      <c r="I139" s="80" t="s">
        <v>111</v>
      </c>
      <c r="J139" s="80" t="s">
        <v>27</v>
      </c>
      <c r="K139" s="80" t="s">
        <v>112</v>
      </c>
      <c r="L139" s="80">
        <v>3</v>
      </c>
      <c r="N139" s="80">
        <v>1</v>
      </c>
      <c r="O139" s="80">
        <v>0.4</v>
      </c>
      <c r="P139" s="80">
        <v>0.35</v>
      </c>
      <c r="Q139" s="105">
        <f t="shared" si="8"/>
        <v>0.375</v>
      </c>
      <c r="R139" s="80">
        <v>13.5</v>
      </c>
      <c r="S139" s="80">
        <v>122</v>
      </c>
      <c r="T139" s="16">
        <f t="shared" si="7"/>
        <v>27</v>
      </c>
      <c r="U139" s="117">
        <v>92</v>
      </c>
      <c r="V139" s="16">
        <f t="shared" si="9"/>
        <v>2484</v>
      </c>
      <c r="W139" s="80">
        <v>1</v>
      </c>
      <c r="X139" s="80" t="s">
        <v>35</v>
      </c>
      <c r="Y139" s="80" t="s">
        <v>74</v>
      </c>
      <c r="Z139" s="80" t="s">
        <v>64</v>
      </c>
      <c r="AA139" s="80" t="s">
        <v>82</v>
      </c>
      <c r="AB139" s="80" t="s">
        <v>194</v>
      </c>
    </row>
    <row r="140" spans="1:28" x14ac:dyDescent="0.15">
      <c r="A140" s="80" t="s">
        <v>30</v>
      </c>
      <c r="B140" s="80" t="s">
        <v>190</v>
      </c>
      <c r="C140" s="80">
        <v>2020</v>
      </c>
      <c r="D140" s="104" t="s">
        <v>203</v>
      </c>
      <c r="E140" s="80" t="s">
        <v>221</v>
      </c>
      <c r="F140" s="80" t="s">
        <v>222</v>
      </c>
      <c r="G140" s="80" t="s">
        <v>25</v>
      </c>
      <c r="H140" s="80" t="s">
        <v>113</v>
      </c>
      <c r="I140" s="80" t="s">
        <v>111</v>
      </c>
      <c r="J140" s="80" t="s">
        <v>27</v>
      </c>
      <c r="K140" s="80" t="s">
        <v>112</v>
      </c>
      <c r="L140" s="80">
        <v>1</v>
      </c>
      <c r="N140" s="80">
        <v>5</v>
      </c>
      <c r="O140" s="80">
        <v>0.45</v>
      </c>
      <c r="P140" s="80">
        <v>0.5</v>
      </c>
      <c r="Q140" s="105">
        <f t="shared" si="8"/>
        <v>0.47499999999999998</v>
      </c>
      <c r="R140" s="80">
        <v>15.6</v>
      </c>
      <c r="S140" s="80">
        <v>115</v>
      </c>
      <c r="T140" s="16">
        <f t="shared" si="7"/>
        <v>30</v>
      </c>
      <c r="U140" s="117">
        <v>357</v>
      </c>
      <c r="V140" s="16">
        <f t="shared" si="9"/>
        <v>2142</v>
      </c>
      <c r="W140" s="80">
        <v>1</v>
      </c>
      <c r="X140" s="80" t="s">
        <v>35</v>
      </c>
      <c r="Y140" s="80" t="s">
        <v>74</v>
      </c>
      <c r="Z140" s="80" t="s">
        <v>64</v>
      </c>
      <c r="AA140" s="80" t="s">
        <v>82</v>
      </c>
      <c r="AB140" s="80" t="s">
        <v>194</v>
      </c>
    </row>
    <row r="141" spans="1:28" x14ac:dyDescent="0.15">
      <c r="A141" s="80" t="s">
        <v>30</v>
      </c>
      <c r="B141" s="80" t="s">
        <v>190</v>
      </c>
      <c r="C141" s="80">
        <v>2020</v>
      </c>
      <c r="D141" s="104" t="s">
        <v>203</v>
      </c>
      <c r="E141" s="80" t="s">
        <v>221</v>
      </c>
      <c r="F141" s="80" t="s">
        <v>222</v>
      </c>
      <c r="G141" s="80" t="s">
        <v>25</v>
      </c>
      <c r="H141" s="80" t="s">
        <v>113</v>
      </c>
      <c r="I141" s="80" t="s">
        <v>111</v>
      </c>
      <c r="J141" s="80" t="s">
        <v>27</v>
      </c>
      <c r="K141" s="80" t="s">
        <v>112</v>
      </c>
      <c r="L141" s="80">
        <v>2</v>
      </c>
      <c r="N141" s="80">
        <v>5</v>
      </c>
      <c r="O141" s="80">
        <v>0.6</v>
      </c>
      <c r="P141" s="80">
        <v>0.6</v>
      </c>
      <c r="Q141" s="105">
        <f t="shared" si="8"/>
        <v>0.6</v>
      </c>
      <c r="R141" s="80">
        <v>14.1</v>
      </c>
      <c r="S141" s="80">
        <v>117</v>
      </c>
      <c r="T141" s="16">
        <f t="shared" ref="T141:T142" si="10">IF(H141="","",IF(OR(H141="GREEN",H141="GK"),IF(S141&gt;=$AX$2,VLOOKUP(S141,$AX$2:$AY$10,2,1),""),IF(S141&gt;=$AZ$2,VLOOKUP(S141,$AZ$2:$BA$10,2,1),"")))</f>
        <v>30</v>
      </c>
      <c r="U141" s="117">
        <v>357</v>
      </c>
      <c r="V141" s="16">
        <f t="shared" si="9"/>
        <v>2142</v>
      </c>
      <c r="W141" s="80">
        <v>1</v>
      </c>
      <c r="X141" s="80" t="s">
        <v>35</v>
      </c>
      <c r="Y141" s="80" t="s">
        <v>74</v>
      </c>
      <c r="Z141" s="80" t="s">
        <v>64</v>
      </c>
      <c r="AA141" s="80" t="s">
        <v>82</v>
      </c>
      <c r="AB141" s="80" t="s">
        <v>194</v>
      </c>
    </row>
    <row r="142" spans="1:28" x14ac:dyDescent="0.15">
      <c r="A142" s="80" t="s">
        <v>30</v>
      </c>
      <c r="B142" s="80" t="s">
        <v>190</v>
      </c>
      <c r="C142" s="80">
        <v>2020</v>
      </c>
      <c r="D142" s="104" t="s">
        <v>203</v>
      </c>
      <c r="E142" s="80" t="s">
        <v>221</v>
      </c>
      <c r="F142" s="80" t="s">
        <v>222</v>
      </c>
      <c r="G142" s="80" t="s">
        <v>25</v>
      </c>
      <c r="H142" s="80" t="s">
        <v>113</v>
      </c>
      <c r="I142" s="80" t="s">
        <v>111</v>
      </c>
      <c r="J142" s="80" t="s">
        <v>27</v>
      </c>
      <c r="K142" s="80" t="s">
        <v>112</v>
      </c>
      <c r="L142" s="80">
        <v>3</v>
      </c>
      <c r="N142" s="80">
        <v>5</v>
      </c>
      <c r="O142" s="80">
        <v>0.5</v>
      </c>
      <c r="P142" s="80">
        <v>0.75</v>
      </c>
      <c r="Q142" s="105">
        <f t="shared" si="8"/>
        <v>0.625</v>
      </c>
      <c r="R142" s="80">
        <v>14.8</v>
      </c>
      <c r="S142" s="80">
        <v>113</v>
      </c>
      <c r="T142" s="16">
        <f t="shared" si="10"/>
        <v>30</v>
      </c>
      <c r="U142" s="117">
        <v>357</v>
      </c>
      <c r="V142" s="16">
        <f t="shared" si="9"/>
        <v>2142</v>
      </c>
      <c r="W142" s="80">
        <v>1</v>
      </c>
      <c r="X142" s="80" t="s">
        <v>35</v>
      </c>
      <c r="Y142" s="80" t="s">
        <v>74</v>
      </c>
      <c r="Z142" s="80" t="s">
        <v>64</v>
      </c>
      <c r="AA142" s="80" t="s">
        <v>82</v>
      </c>
      <c r="AB142" s="80" t="s">
        <v>194</v>
      </c>
    </row>
  </sheetData>
  <autoFilter ref="A1:BA151" xr:uid="{00000000-0009-0000-0000-000001000000}"/>
  <phoneticPr fontId="3"/>
  <dataValidations count="19">
    <dataValidation type="list" allowBlank="1" showInputMessage="1" showErrorMessage="1" sqref="Y152:AA309" xr:uid="{01DF8846-C97B-44D4-B214-E97A3ADF8106}">
      <formula1>$AV$2:$AV$16</formula1>
    </dataValidation>
    <dataValidation type="list" allowBlank="1" showInputMessage="1" showErrorMessage="1" sqref="J152:J309" xr:uid="{72423932-96DB-4FB2-B37D-993E574036E0}">
      <formula1>$AP$2:$AP$19</formula1>
    </dataValidation>
    <dataValidation type="list" allowBlank="1" showInputMessage="1" showErrorMessage="1" sqref="J2:J142" xr:uid="{70407E2B-89D2-4380-A629-D5392EE9BBFC}">
      <formula1>$AP$2:$AP$27</formula1>
    </dataValidation>
    <dataValidation type="list" allowBlank="1" showInputMessage="1" showErrorMessage="1" sqref="G152:G309 G2:G142" xr:uid="{0973ED63-20EE-4AA8-8CC7-907511FA6669}">
      <formula1>$AJ$2:$AJ$4</formula1>
    </dataValidation>
    <dataValidation type="list" allowBlank="1" showInputMessage="1" showErrorMessage="1" sqref="F152:F309" xr:uid="{7C8AEAE2-3947-49BD-A201-ED31F31E0E6F}">
      <formula1>$AH$2:$AH$9</formula1>
    </dataValidation>
    <dataValidation type="list" allowBlank="1" showInputMessage="1" showErrorMessage="1" sqref="F2:F142" xr:uid="{A999F1F6-4ACC-40D7-848B-7EA2C8E5D428}">
      <formula1>$AH$2:$AH$11</formula1>
    </dataValidation>
    <dataValidation type="list" allowBlank="1" showInputMessage="1" showErrorMessage="1" sqref="E152:E309" xr:uid="{A92C5D27-B461-4843-9262-534441AC5ADD}">
      <formula1>$AG$2:$AG$10</formula1>
    </dataValidation>
    <dataValidation allowBlank="1" showInputMessage="1" showErrorMessage="1" sqref="B3:B70" xr:uid="{A1035FF9-48FA-43F2-ACE2-D20592BC6A1F}"/>
    <dataValidation type="list" allowBlank="1" showInputMessage="1" showErrorMessage="1" sqref="K118:K142" xr:uid="{2E108527-7855-4908-9152-A7531179F10E}">
      <formula1>$AR$2:$AR$25</formula1>
    </dataValidation>
    <dataValidation type="list" allowBlank="1" showInputMessage="1" showErrorMessage="1" sqref="K2:K117" xr:uid="{7D990F74-7B15-445E-8272-DE5F4A5DD383}">
      <formula1>$AR$2:$AR$26</formula1>
    </dataValidation>
    <dataValidation type="list" allowBlank="1" showInputMessage="1" showErrorMessage="1" sqref="K152:K309" xr:uid="{2000BDD7-99BF-4F20-A2B2-66DA9537E0F7}">
      <formula1>$AR$2:$AR$19</formula1>
    </dataValidation>
    <dataValidation type="list" allowBlank="1" showInputMessage="1" showErrorMessage="1" sqref="X152:X309 X2:X142" xr:uid="{0436BA0E-3F96-45D5-822A-AE828A559DA0}">
      <formula1>$AT$2:$AT$3</formula1>
    </dataValidation>
    <dataValidation type="decimal" allowBlank="1" showInputMessage="1" showErrorMessage="1" error="硬度を正しく入力して下さい。" sqref="O152:P309 O2:P142" xr:uid="{859D475F-8E95-4E76-A211-89F624FBFFE9}">
      <formula1>0</formula1>
      <formula2>7</formula2>
    </dataValidation>
    <dataValidation type="list" allowBlank="1" showInputMessage="1" showErrorMessage="1" sqref="E2:E142" xr:uid="{C38D3D4C-CAE5-484E-86EF-512EE9CC4E5D}">
      <formula1>$AG$2:$AG$11</formula1>
    </dataValidation>
    <dataValidation type="list" allowBlank="1" showInputMessage="1" showErrorMessage="1" sqref="H152:H1250 H2:H142" xr:uid="{856C59C6-D244-4AAB-BA76-E79D799E238A}">
      <formula1>$AL$2:$AL$9</formula1>
    </dataValidation>
    <dataValidation type="list" allowBlank="1" showInputMessage="1" showErrorMessage="1" sqref="I152:I309 I2:I142" xr:uid="{BF35BAF6-0A8A-4C84-89E1-3A1252CA1BC6}">
      <formula1>$AN$5:$AN$6</formula1>
    </dataValidation>
    <dataValidation type="list" allowBlank="1" showInputMessage="1" showErrorMessage="1" sqref="A3:A142" xr:uid="{1B600A3B-1E8D-4387-A2F7-3DCDCC7FD87B}">
      <formula1>$AE$2:$AE$19</formula1>
    </dataValidation>
    <dataValidation type="list" allowBlank="1" showInputMessage="1" showErrorMessage="1" sqref="Y2:AA142" xr:uid="{A8C75B43-4F72-4622-943A-E501C54FEB9A}">
      <formula1>$AV$2:$AV$23</formula1>
    </dataValidation>
    <dataValidation type="list" allowBlank="1" showInputMessage="1" showErrorMessage="1" sqref="A152:A309" xr:uid="{FA95E87C-58BC-4D24-B3C4-3F3048C5F283}">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B754C-FAD1-4E05-981A-94CBE825D742}">
  <dimension ref="A1:BA154"/>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80"/>
    <col min="4" max="4" width="10.5" style="80" customWidth="1"/>
    <col min="5" max="13" width="9" style="80"/>
    <col min="14" max="14" width="9.5" style="80" customWidth="1"/>
    <col min="15" max="16" width="9" style="80"/>
    <col min="17" max="17" width="9" style="16"/>
    <col min="18" max="19" width="9" style="80"/>
    <col min="20" max="20" width="9" style="16"/>
    <col min="21" max="21" width="9" style="80"/>
    <col min="22" max="22" width="9" style="16"/>
    <col min="23" max="32" width="9" style="80"/>
    <col min="33" max="33" width="15.875" style="80" customWidth="1"/>
    <col min="34" max="34" width="11.375" style="80" customWidth="1"/>
    <col min="35" max="259" width="9" style="80"/>
    <col min="260" max="260" width="10.5" style="80" customWidth="1"/>
    <col min="261" max="269" width="9" style="80"/>
    <col min="270" max="270" width="9.5" style="80" customWidth="1"/>
    <col min="271" max="288" width="9" style="80"/>
    <col min="289" max="289" width="15.875" style="80" customWidth="1"/>
    <col min="290" max="290" width="11.375" style="80" customWidth="1"/>
    <col min="291" max="515" width="9" style="80"/>
    <col min="516" max="516" width="10.5" style="80" customWidth="1"/>
    <col min="517" max="525" width="9" style="80"/>
    <col min="526" max="526" width="9.5" style="80" customWidth="1"/>
    <col min="527" max="544" width="9" style="80"/>
    <col min="545" max="545" width="15.875" style="80" customWidth="1"/>
    <col min="546" max="546" width="11.375" style="80" customWidth="1"/>
    <col min="547" max="771" width="9" style="80"/>
    <col min="772" max="772" width="10.5" style="80" customWidth="1"/>
    <col min="773" max="781" width="9" style="80"/>
    <col min="782" max="782" width="9.5" style="80" customWidth="1"/>
    <col min="783" max="800" width="9" style="80"/>
    <col min="801" max="801" width="15.875" style="80" customWidth="1"/>
    <col min="802" max="802" width="11.375" style="80" customWidth="1"/>
    <col min="803" max="1027" width="9" style="80"/>
    <col min="1028" max="1028" width="10.5" style="80" customWidth="1"/>
    <col min="1029" max="1037" width="9" style="80"/>
    <col min="1038" max="1038" width="9.5" style="80" customWidth="1"/>
    <col min="1039" max="1056" width="9" style="80"/>
    <col min="1057" max="1057" width="15.875" style="80" customWidth="1"/>
    <col min="1058" max="1058" width="11.375" style="80" customWidth="1"/>
    <col min="1059" max="1283" width="9" style="80"/>
    <col min="1284" max="1284" width="10.5" style="80" customWidth="1"/>
    <col min="1285" max="1293" width="9" style="80"/>
    <col min="1294" max="1294" width="9.5" style="80" customWidth="1"/>
    <col min="1295" max="1312" width="9" style="80"/>
    <col min="1313" max="1313" width="15.875" style="80" customWidth="1"/>
    <col min="1314" max="1314" width="11.375" style="80" customWidth="1"/>
    <col min="1315" max="1539" width="9" style="80"/>
    <col min="1540" max="1540" width="10.5" style="80" customWidth="1"/>
    <col min="1541" max="1549" width="9" style="80"/>
    <col min="1550" max="1550" width="9.5" style="80" customWidth="1"/>
    <col min="1551" max="1568" width="9" style="80"/>
    <col min="1569" max="1569" width="15.875" style="80" customWidth="1"/>
    <col min="1570" max="1570" width="11.375" style="80" customWidth="1"/>
    <col min="1571" max="1795" width="9" style="80"/>
    <col min="1796" max="1796" width="10.5" style="80" customWidth="1"/>
    <col min="1797" max="1805" width="9" style="80"/>
    <col min="1806" max="1806" width="9.5" style="80" customWidth="1"/>
    <col min="1807" max="1824" width="9" style="80"/>
    <col min="1825" max="1825" width="15.875" style="80" customWidth="1"/>
    <col min="1826" max="1826" width="11.375" style="80" customWidth="1"/>
    <col min="1827" max="2051" width="9" style="80"/>
    <col min="2052" max="2052" width="10.5" style="80" customWidth="1"/>
    <col min="2053" max="2061" width="9" style="80"/>
    <col min="2062" max="2062" width="9.5" style="80" customWidth="1"/>
    <col min="2063" max="2080" width="9" style="80"/>
    <col min="2081" max="2081" width="15.875" style="80" customWidth="1"/>
    <col min="2082" max="2082" width="11.375" style="80" customWidth="1"/>
    <col min="2083" max="2307" width="9" style="80"/>
    <col min="2308" max="2308" width="10.5" style="80" customWidth="1"/>
    <col min="2309" max="2317" width="9" style="80"/>
    <col min="2318" max="2318" width="9.5" style="80" customWidth="1"/>
    <col min="2319" max="2336" width="9" style="80"/>
    <col min="2337" max="2337" width="15.875" style="80" customWidth="1"/>
    <col min="2338" max="2338" width="11.375" style="80" customWidth="1"/>
    <col min="2339" max="2563" width="9" style="80"/>
    <col min="2564" max="2564" width="10.5" style="80" customWidth="1"/>
    <col min="2565" max="2573" width="9" style="80"/>
    <col min="2574" max="2574" width="9.5" style="80" customWidth="1"/>
    <col min="2575" max="2592" width="9" style="80"/>
    <col min="2593" max="2593" width="15.875" style="80" customWidth="1"/>
    <col min="2594" max="2594" width="11.375" style="80" customWidth="1"/>
    <col min="2595" max="2819" width="9" style="80"/>
    <col min="2820" max="2820" width="10.5" style="80" customWidth="1"/>
    <col min="2821" max="2829" width="9" style="80"/>
    <col min="2830" max="2830" width="9.5" style="80" customWidth="1"/>
    <col min="2831" max="2848" width="9" style="80"/>
    <col min="2849" max="2849" width="15.875" style="80" customWidth="1"/>
    <col min="2850" max="2850" width="11.375" style="80" customWidth="1"/>
    <col min="2851" max="3075" width="9" style="80"/>
    <col min="3076" max="3076" width="10.5" style="80" customWidth="1"/>
    <col min="3077" max="3085" width="9" style="80"/>
    <col min="3086" max="3086" width="9.5" style="80" customWidth="1"/>
    <col min="3087" max="3104" width="9" style="80"/>
    <col min="3105" max="3105" width="15.875" style="80" customWidth="1"/>
    <col min="3106" max="3106" width="11.375" style="80" customWidth="1"/>
    <col min="3107" max="3331" width="9" style="80"/>
    <col min="3332" max="3332" width="10.5" style="80" customWidth="1"/>
    <col min="3333" max="3341" width="9" style="80"/>
    <col min="3342" max="3342" width="9.5" style="80" customWidth="1"/>
    <col min="3343" max="3360" width="9" style="80"/>
    <col min="3361" max="3361" width="15.875" style="80" customWidth="1"/>
    <col min="3362" max="3362" width="11.375" style="80" customWidth="1"/>
    <col min="3363" max="3587" width="9" style="80"/>
    <col min="3588" max="3588" width="10.5" style="80" customWidth="1"/>
    <col min="3589" max="3597" width="9" style="80"/>
    <col min="3598" max="3598" width="9.5" style="80" customWidth="1"/>
    <col min="3599" max="3616" width="9" style="80"/>
    <col min="3617" max="3617" width="15.875" style="80" customWidth="1"/>
    <col min="3618" max="3618" width="11.375" style="80" customWidth="1"/>
    <col min="3619" max="3843" width="9" style="80"/>
    <col min="3844" max="3844" width="10.5" style="80" customWidth="1"/>
    <col min="3845" max="3853" width="9" style="80"/>
    <col min="3854" max="3854" width="9.5" style="80" customWidth="1"/>
    <col min="3855" max="3872" width="9" style="80"/>
    <col min="3873" max="3873" width="15.875" style="80" customWidth="1"/>
    <col min="3874" max="3874" width="11.375" style="80" customWidth="1"/>
    <col min="3875" max="4099" width="9" style="80"/>
    <col min="4100" max="4100" width="10.5" style="80" customWidth="1"/>
    <col min="4101" max="4109" width="9" style="80"/>
    <col min="4110" max="4110" width="9.5" style="80" customWidth="1"/>
    <col min="4111" max="4128" width="9" style="80"/>
    <col min="4129" max="4129" width="15.875" style="80" customWidth="1"/>
    <col min="4130" max="4130" width="11.375" style="80" customWidth="1"/>
    <col min="4131" max="4355" width="9" style="80"/>
    <col min="4356" max="4356" width="10.5" style="80" customWidth="1"/>
    <col min="4357" max="4365" width="9" style="80"/>
    <col min="4366" max="4366" width="9.5" style="80" customWidth="1"/>
    <col min="4367" max="4384" width="9" style="80"/>
    <col min="4385" max="4385" width="15.875" style="80" customWidth="1"/>
    <col min="4386" max="4386" width="11.375" style="80" customWidth="1"/>
    <col min="4387" max="4611" width="9" style="80"/>
    <col min="4612" max="4612" width="10.5" style="80" customWidth="1"/>
    <col min="4613" max="4621" width="9" style="80"/>
    <col min="4622" max="4622" width="9.5" style="80" customWidth="1"/>
    <col min="4623" max="4640" width="9" style="80"/>
    <col min="4641" max="4641" width="15.875" style="80" customWidth="1"/>
    <col min="4642" max="4642" width="11.375" style="80" customWidth="1"/>
    <col min="4643" max="4867" width="9" style="80"/>
    <col min="4868" max="4868" width="10.5" style="80" customWidth="1"/>
    <col min="4869" max="4877" width="9" style="80"/>
    <col min="4878" max="4878" width="9.5" style="80" customWidth="1"/>
    <col min="4879" max="4896" width="9" style="80"/>
    <col min="4897" max="4897" width="15.875" style="80" customWidth="1"/>
    <col min="4898" max="4898" width="11.375" style="80" customWidth="1"/>
    <col min="4899" max="5123" width="9" style="80"/>
    <col min="5124" max="5124" width="10.5" style="80" customWidth="1"/>
    <col min="5125" max="5133" width="9" style="80"/>
    <col min="5134" max="5134" width="9.5" style="80" customWidth="1"/>
    <col min="5135" max="5152" width="9" style="80"/>
    <col min="5153" max="5153" width="15.875" style="80" customWidth="1"/>
    <col min="5154" max="5154" width="11.375" style="80" customWidth="1"/>
    <col min="5155" max="5379" width="9" style="80"/>
    <col min="5380" max="5380" width="10.5" style="80" customWidth="1"/>
    <col min="5381" max="5389" width="9" style="80"/>
    <col min="5390" max="5390" width="9.5" style="80" customWidth="1"/>
    <col min="5391" max="5408" width="9" style="80"/>
    <col min="5409" max="5409" width="15.875" style="80" customWidth="1"/>
    <col min="5410" max="5410" width="11.375" style="80" customWidth="1"/>
    <col min="5411" max="5635" width="9" style="80"/>
    <col min="5636" max="5636" width="10.5" style="80" customWidth="1"/>
    <col min="5637" max="5645" width="9" style="80"/>
    <col min="5646" max="5646" width="9.5" style="80" customWidth="1"/>
    <col min="5647" max="5664" width="9" style="80"/>
    <col min="5665" max="5665" width="15.875" style="80" customWidth="1"/>
    <col min="5666" max="5666" width="11.375" style="80" customWidth="1"/>
    <col min="5667" max="5891" width="9" style="80"/>
    <col min="5892" max="5892" width="10.5" style="80" customWidth="1"/>
    <col min="5893" max="5901" width="9" style="80"/>
    <col min="5902" max="5902" width="9.5" style="80" customWidth="1"/>
    <col min="5903" max="5920" width="9" style="80"/>
    <col min="5921" max="5921" width="15.875" style="80" customWidth="1"/>
    <col min="5922" max="5922" width="11.375" style="80" customWidth="1"/>
    <col min="5923" max="6147" width="9" style="80"/>
    <col min="6148" max="6148" width="10.5" style="80" customWidth="1"/>
    <col min="6149" max="6157" width="9" style="80"/>
    <col min="6158" max="6158" width="9.5" style="80" customWidth="1"/>
    <col min="6159" max="6176" width="9" style="80"/>
    <col min="6177" max="6177" width="15.875" style="80" customWidth="1"/>
    <col min="6178" max="6178" width="11.375" style="80" customWidth="1"/>
    <col min="6179" max="6403" width="9" style="80"/>
    <col min="6404" max="6404" width="10.5" style="80" customWidth="1"/>
    <col min="6405" max="6413" width="9" style="80"/>
    <col min="6414" max="6414" width="9.5" style="80" customWidth="1"/>
    <col min="6415" max="6432" width="9" style="80"/>
    <col min="6433" max="6433" width="15.875" style="80" customWidth="1"/>
    <col min="6434" max="6434" width="11.375" style="80" customWidth="1"/>
    <col min="6435" max="6659" width="9" style="80"/>
    <col min="6660" max="6660" width="10.5" style="80" customWidth="1"/>
    <col min="6661" max="6669" width="9" style="80"/>
    <col min="6670" max="6670" width="9.5" style="80" customWidth="1"/>
    <col min="6671" max="6688" width="9" style="80"/>
    <col min="6689" max="6689" width="15.875" style="80" customWidth="1"/>
    <col min="6690" max="6690" width="11.375" style="80" customWidth="1"/>
    <col min="6691" max="6915" width="9" style="80"/>
    <col min="6916" max="6916" width="10.5" style="80" customWidth="1"/>
    <col min="6917" max="6925" width="9" style="80"/>
    <col min="6926" max="6926" width="9.5" style="80" customWidth="1"/>
    <col min="6927" max="6944" width="9" style="80"/>
    <col min="6945" max="6945" width="15.875" style="80" customWidth="1"/>
    <col min="6946" max="6946" width="11.375" style="80" customWidth="1"/>
    <col min="6947" max="7171" width="9" style="80"/>
    <col min="7172" max="7172" width="10.5" style="80" customWidth="1"/>
    <col min="7173" max="7181" width="9" style="80"/>
    <col min="7182" max="7182" width="9.5" style="80" customWidth="1"/>
    <col min="7183" max="7200" width="9" style="80"/>
    <col min="7201" max="7201" width="15.875" style="80" customWidth="1"/>
    <col min="7202" max="7202" width="11.375" style="80" customWidth="1"/>
    <col min="7203" max="7427" width="9" style="80"/>
    <col min="7428" max="7428" width="10.5" style="80" customWidth="1"/>
    <col min="7429" max="7437" width="9" style="80"/>
    <col min="7438" max="7438" width="9.5" style="80" customWidth="1"/>
    <col min="7439" max="7456" width="9" style="80"/>
    <col min="7457" max="7457" width="15.875" style="80" customWidth="1"/>
    <col min="7458" max="7458" width="11.375" style="80" customWidth="1"/>
    <col min="7459" max="7683" width="9" style="80"/>
    <col min="7684" max="7684" width="10.5" style="80" customWidth="1"/>
    <col min="7685" max="7693" width="9" style="80"/>
    <col min="7694" max="7694" width="9.5" style="80" customWidth="1"/>
    <col min="7695" max="7712" width="9" style="80"/>
    <col min="7713" max="7713" width="15.875" style="80" customWidth="1"/>
    <col min="7714" max="7714" width="11.375" style="80" customWidth="1"/>
    <col min="7715" max="7939" width="9" style="80"/>
    <col min="7940" max="7940" width="10.5" style="80" customWidth="1"/>
    <col min="7941" max="7949" width="9" style="80"/>
    <col min="7950" max="7950" width="9.5" style="80" customWidth="1"/>
    <col min="7951" max="7968" width="9" style="80"/>
    <col min="7969" max="7969" width="15.875" style="80" customWidth="1"/>
    <col min="7970" max="7970" width="11.375" style="80" customWidth="1"/>
    <col min="7971" max="8195" width="9" style="80"/>
    <col min="8196" max="8196" width="10.5" style="80" customWidth="1"/>
    <col min="8197" max="8205" width="9" style="80"/>
    <col min="8206" max="8206" width="9.5" style="80" customWidth="1"/>
    <col min="8207" max="8224" width="9" style="80"/>
    <col min="8225" max="8225" width="15.875" style="80" customWidth="1"/>
    <col min="8226" max="8226" width="11.375" style="80" customWidth="1"/>
    <col min="8227" max="8451" width="9" style="80"/>
    <col min="8452" max="8452" width="10.5" style="80" customWidth="1"/>
    <col min="8453" max="8461" width="9" style="80"/>
    <col min="8462" max="8462" width="9.5" style="80" customWidth="1"/>
    <col min="8463" max="8480" width="9" style="80"/>
    <col min="8481" max="8481" width="15.875" style="80" customWidth="1"/>
    <col min="8482" max="8482" width="11.375" style="80" customWidth="1"/>
    <col min="8483" max="8707" width="9" style="80"/>
    <col min="8708" max="8708" width="10.5" style="80" customWidth="1"/>
    <col min="8709" max="8717" width="9" style="80"/>
    <col min="8718" max="8718" width="9.5" style="80" customWidth="1"/>
    <col min="8719" max="8736" width="9" style="80"/>
    <col min="8737" max="8737" width="15.875" style="80" customWidth="1"/>
    <col min="8738" max="8738" width="11.375" style="80" customWidth="1"/>
    <col min="8739" max="8963" width="9" style="80"/>
    <col min="8964" max="8964" width="10.5" style="80" customWidth="1"/>
    <col min="8965" max="8973" width="9" style="80"/>
    <col min="8974" max="8974" width="9.5" style="80" customWidth="1"/>
    <col min="8975" max="8992" width="9" style="80"/>
    <col min="8993" max="8993" width="15.875" style="80" customWidth="1"/>
    <col min="8994" max="8994" width="11.375" style="80" customWidth="1"/>
    <col min="8995" max="9219" width="9" style="80"/>
    <col min="9220" max="9220" width="10.5" style="80" customWidth="1"/>
    <col min="9221" max="9229" width="9" style="80"/>
    <col min="9230" max="9230" width="9.5" style="80" customWidth="1"/>
    <col min="9231" max="9248" width="9" style="80"/>
    <col min="9249" max="9249" width="15.875" style="80" customWidth="1"/>
    <col min="9250" max="9250" width="11.375" style="80" customWidth="1"/>
    <col min="9251" max="9475" width="9" style="80"/>
    <col min="9476" max="9476" width="10.5" style="80" customWidth="1"/>
    <col min="9477" max="9485" width="9" style="80"/>
    <col min="9486" max="9486" width="9.5" style="80" customWidth="1"/>
    <col min="9487" max="9504" width="9" style="80"/>
    <col min="9505" max="9505" width="15.875" style="80" customWidth="1"/>
    <col min="9506" max="9506" width="11.375" style="80" customWidth="1"/>
    <col min="9507" max="9731" width="9" style="80"/>
    <col min="9732" max="9732" width="10.5" style="80" customWidth="1"/>
    <col min="9733" max="9741" width="9" style="80"/>
    <col min="9742" max="9742" width="9.5" style="80" customWidth="1"/>
    <col min="9743" max="9760" width="9" style="80"/>
    <col min="9761" max="9761" width="15.875" style="80" customWidth="1"/>
    <col min="9762" max="9762" width="11.375" style="80" customWidth="1"/>
    <col min="9763" max="9987" width="9" style="80"/>
    <col min="9988" max="9988" width="10.5" style="80" customWidth="1"/>
    <col min="9989" max="9997" width="9" style="80"/>
    <col min="9998" max="9998" width="9.5" style="80" customWidth="1"/>
    <col min="9999" max="10016" width="9" style="80"/>
    <col min="10017" max="10017" width="15.875" style="80" customWidth="1"/>
    <col min="10018" max="10018" width="11.375" style="80" customWidth="1"/>
    <col min="10019" max="10243" width="9" style="80"/>
    <col min="10244" max="10244" width="10.5" style="80" customWidth="1"/>
    <col min="10245" max="10253" width="9" style="80"/>
    <col min="10254" max="10254" width="9.5" style="80" customWidth="1"/>
    <col min="10255" max="10272" width="9" style="80"/>
    <col min="10273" max="10273" width="15.875" style="80" customWidth="1"/>
    <col min="10274" max="10274" width="11.375" style="80" customWidth="1"/>
    <col min="10275" max="10499" width="9" style="80"/>
    <col min="10500" max="10500" width="10.5" style="80" customWidth="1"/>
    <col min="10501" max="10509" width="9" style="80"/>
    <col min="10510" max="10510" width="9.5" style="80" customWidth="1"/>
    <col min="10511" max="10528" width="9" style="80"/>
    <col min="10529" max="10529" width="15.875" style="80" customWidth="1"/>
    <col min="10530" max="10530" width="11.375" style="80" customWidth="1"/>
    <col min="10531" max="10755" width="9" style="80"/>
    <col min="10756" max="10756" width="10.5" style="80" customWidth="1"/>
    <col min="10757" max="10765" width="9" style="80"/>
    <col min="10766" max="10766" width="9.5" style="80" customWidth="1"/>
    <col min="10767" max="10784" width="9" style="80"/>
    <col min="10785" max="10785" width="15.875" style="80" customWidth="1"/>
    <col min="10786" max="10786" width="11.375" style="80" customWidth="1"/>
    <col min="10787" max="11011" width="9" style="80"/>
    <col min="11012" max="11012" width="10.5" style="80" customWidth="1"/>
    <col min="11013" max="11021" width="9" style="80"/>
    <col min="11022" max="11022" width="9.5" style="80" customWidth="1"/>
    <col min="11023" max="11040" width="9" style="80"/>
    <col min="11041" max="11041" width="15.875" style="80" customWidth="1"/>
    <col min="11042" max="11042" width="11.375" style="80" customWidth="1"/>
    <col min="11043" max="11267" width="9" style="80"/>
    <col min="11268" max="11268" width="10.5" style="80" customWidth="1"/>
    <col min="11269" max="11277" width="9" style="80"/>
    <col min="11278" max="11278" width="9.5" style="80" customWidth="1"/>
    <col min="11279" max="11296" width="9" style="80"/>
    <col min="11297" max="11297" width="15.875" style="80" customWidth="1"/>
    <col min="11298" max="11298" width="11.375" style="80" customWidth="1"/>
    <col min="11299" max="11523" width="9" style="80"/>
    <col min="11524" max="11524" width="10.5" style="80" customWidth="1"/>
    <col min="11525" max="11533" width="9" style="80"/>
    <col min="11534" max="11534" width="9.5" style="80" customWidth="1"/>
    <col min="11535" max="11552" width="9" style="80"/>
    <col min="11553" max="11553" width="15.875" style="80" customWidth="1"/>
    <col min="11554" max="11554" width="11.375" style="80" customWidth="1"/>
    <col min="11555" max="11779" width="9" style="80"/>
    <col min="11780" max="11780" width="10.5" style="80" customWidth="1"/>
    <col min="11781" max="11789" width="9" style="80"/>
    <col min="11790" max="11790" width="9.5" style="80" customWidth="1"/>
    <col min="11791" max="11808" width="9" style="80"/>
    <col min="11809" max="11809" width="15.875" style="80" customWidth="1"/>
    <col min="11810" max="11810" width="11.375" style="80" customWidth="1"/>
    <col min="11811" max="12035" width="9" style="80"/>
    <col min="12036" max="12036" width="10.5" style="80" customWidth="1"/>
    <col min="12037" max="12045" width="9" style="80"/>
    <col min="12046" max="12046" width="9.5" style="80" customWidth="1"/>
    <col min="12047" max="12064" width="9" style="80"/>
    <col min="12065" max="12065" width="15.875" style="80" customWidth="1"/>
    <col min="12066" max="12066" width="11.375" style="80" customWidth="1"/>
    <col min="12067" max="12291" width="9" style="80"/>
    <col min="12292" max="12292" width="10.5" style="80" customWidth="1"/>
    <col min="12293" max="12301" width="9" style="80"/>
    <col min="12302" max="12302" width="9.5" style="80" customWidth="1"/>
    <col min="12303" max="12320" width="9" style="80"/>
    <col min="12321" max="12321" width="15.875" style="80" customWidth="1"/>
    <col min="12322" max="12322" width="11.375" style="80" customWidth="1"/>
    <col min="12323" max="12547" width="9" style="80"/>
    <col min="12548" max="12548" width="10.5" style="80" customWidth="1"/>
    <col min="12549" max="12557" width="9" style="80"/>
    <col min="12558" max="12558" width="9.5" style="80" customWidth="1"/>
    <col min="12559" max="12576" width="9" style="80"/>
    <col min="12577" max="12577" width="15.875" style="80" customWidth="1"/>
    <col min="12578" max="12578" width="11.375" style="80" customWidth="1"/>
    <col min="12579" max="12803" width="9" style="80"/>
    <col min="12804" max="12804" width="10.5" style="80" customWidth="1"/>
    <col min="12805" max="12813" width="9" style="80"/>
    <col min="12814" max="12814" width="9.5" style="80" customWidth="1"/>
    <col min="12815" max="12832" width="9" style="80"/>
    <col min="12833" max="12833" width="15.875" style="80" customWidth="1"/>
    <col min="12834" max="12834" width="11.375" style="80" customWidth="1"/>
    <col min="12835" max="13059" width="9" style="80"/>
    <col min="13060" max="13060" width="10.5" style="80" customWidth="1"/>
    <col min="13061" max="13069" width="9" style="80"/>
    <col min="13070" max="13070" width="9.5" style="80" customWidth="1"/>
    <col min="13071" max="13088" width="9" style="80"/>
    <col min="13089" max="13089" width="15.875" style="80" customWidth="1"/>
    <col min="13090" max="13090" width="11.375" style="80" customWidth="1"/>
    <col min="13091" max="13315" width="9" style="80"/>
    <col min="13316" max="13316" width="10.5" style="80" customWidth="1"/>
    <col min="13317" max="13325" width="9" style="80"/>
    <col min="13326" max="13326" width="9.5" style="80" customWidth="1"/>
    <col min="13327" max="13344" width="9" style="80"/>
    <col min="13345" max="13345" width="15.875" style="80" customWidth="1"/>
    <col min="13346" max="13346" width="11.375" style="80" customWidth="1"/>
    <col min="13347" max="13571" width="9" style="80"/>
    <col min="13572" max="13572" width="10.5" style="80" customWidth="1"/>
    <col min="13573" max="13581" width="9" style="80"/>
    <col min="13582" max="13582" width="9.5" style="80" customWidth="1"/>
    <col min="13583" max="13600" width="9" style="80"/>
    <col min="13601" max="13601" width="15.875" style="80" customWidth="1"/>
    <col min="13602" max="13602" width="11.375" style="80" customWidth="1"/>
    <col min="13603" max="13827" width="9" style="80"/>
    <col min="13828" max="13828" width="10.5" style="80" customWidth="1"/>
    <col min="13829" max="13837" width="9" style="80"/>
    <col min="13838" max="13838" width="9.5" style="80" customWidth="1"/>
    <col min="13839" max="13856" width="9" style="80"/>
    <col min="13857" max="13857" width="15.875" style="80" customWidth="1"/>
    <col min="13858" max="13858" width="11.375" style="80" customWidth="1"/>
    <col min="13859" max="14083" width="9" style="80"/>
    <col min="14084" max="14084" width="10.5" style="80" customWidth="1"/>
    <col min="14085" max="14093" width="9" style="80"/>
    <col min="14094" max="14094" width="9.5" style="80" customWidth="1"/>
    <col min="14095" max="14112" width="9" style="80"/>
    <col min="14113" max="14113" width="15.875" style="80" customWidth="1"/>
    <col min="14114" max="14114" width="11.375" style="80" customWidth="1"/>
    <col min="14115" max="14339" width="9" style="80"/>
    <col min="14340" max="14340" width="10.5" style="80" customWidth="1"/>
    <col min="14341" max="14349" width="9" style="80"/>
    <col min="14350" max="14350" width="9.5" style="80" customWidth="1"/>
    <col min="14351" max="14368" width="9" style="80"/>
    <col min="14369" max="14369" width="15.875" style="80" customWidth="1"/>
    <col min="14370" max="14370" width="11.375" style="80" customWidth="1"/>
    <col min="14371" max="14595" width="9" style="80"/>
    <col min="14596" max="14596" width="10.5" style="80" customWidth="1"/>
    <col min="14597" max="14605" width="9" style="80"/>
    <col min="14606" max="14606" width="9.5" style="80" customWidth="1"/>
    <col min="14607" max="14624" width="9" style="80"/>
    <col min="14625" max="14625" width="15.875" style="80" customWidth="1"/>
    <col min="14626" max="14626" width="11.375" style="80" customWidth="1"/>
    <col min="14627" max="14851" width="9" style="80"/>
    <col min="14852" max="14852" width="10.5" style="80" customWidth="1"/>
    <col min="14853" max="14861" width="9" style="80"/>
    <col min="14862" max="14862" width="9.5" style="80" customWidth="1"/>
    <col min="14863" max="14880" width="9" style="80"/>
    <col min="14881" max="14881" width="15.875" style="80" customWidth="1"/>
    <col min="14882" max="14882" width="11.375" style="80" customWidth="1"/>
    <col min="14883" max="15107" width="9" style="80"/>
    <col min="15108" max="15108" width="10.5" style="80" customWidth="1"/>
    <col min="15109" max="15117" width="9" style="80"/>
    <col min="15118" max="15118" width="9.5" style="80" customWidth="1"/>
    <col min="15119" max="15136" width="9" style="80"/>
    <col min="15137" max="15137" width="15.875" style="80" customWidth="1"/>
    <col min="15138" max="15138" width="11.375" style="80" customWidth="1"/>
    <col min="15139" max="15363" width="9" style="80"/>
    <col min="15364" max="15364" width="10.5" style="80" customWidth="1"/>
    <col min="15365" max="15373" width="9" style="80"/>
    <col min="15374" max="15374" width="9.5" style="80" customWidth="1"/>
    <col min="15375" max="15392" width="9" style="80"/>
    <col min="15393" max="15393" width="15.875" style="80" customWidth="1"/>
    <col min="15394" max="15394" width="11.375" style="80" customWidth="1"/>
    <col min="15395" max="15619" width="9" style="80"/>
    <col min="15620" max="15620" width="10.5" style="80" customWidth="1"/>
    <col min="15621" max="15629" width="9" style="80"/>
    <col min="15630" max="15630" width="9.5" style="80" customWidth="1"/>
    <col min="15631" max="15648" width="9" style="80"/>
    <col min="15649" max="15649" width="15.875" style="80" customWidth="1"/>
    <col min="15650" max="15650" width="11.375" style="80" customWidth="1"/>
    <col min="15651" max="15875" width="9" style="80"/>
    <col min="15876" max="15876" width="10.5" style="80" customWidth="1"/>
    <col min="15877" max="15885" width="9" style="80"/>
    <col min="15886" max="15886" width="9.5" style="80" customWidth="1"/>
    <col min="15887" max="15904" width="9" style="80"/>
    <col min="15905" max="15905" width="15.875" style="80" customWidth="1"/>
    <col min="15906" max="15906" width="11.375" style="80" customWidth="1"/>
    <col min="15907" max="16131" width="9" style="80"/>
    <col min="16132" max="16132" width="10.5" style="80" customWidth="1"/>
    <col min="16133" max="16141" width="9" style="80"/>
    <col min="16142" max="16142" width="9.5" style="80" customWidth="1"/>
    <col min="16143" max="16160" width="9" style="80"/>
    <col min="16161" max="16161" width="15.875" style="80" customWidth="1"/>
    <col min="16162" max="16162" width="11.375" style="80" customWidth="1"/>
    <col min="16163" max="16384" width="9" style="80"/>
  </cols>
  <sheetData>
    <row r="1" spans="1:53" ht="45" x14ac:dyDescent="0.15">
      <c r="A1" s="135" t="s">
        <v>0</v>
      </c>
      <c r="B1" s="95" t="s">
        <v>174</v>
      </c>
      <c r="C1" s="95" t="s">
        <v>175</v>
      </c>
      <c r="D1" s="96" t="s">
        <v>2</v>
      </c>
      <c r="E1" s="136" t="s">
        <v>3</v>
      </c>
      <c r="F1" s="136" t="s">
        <v>4</v>
      </c>
      <c r="G1" s="136" t="s">
        <v>5</v>
      </c>
      <c r="H1" s="136" t="s">
        <v>6</v>
      </c>
      <c r="I1" s="136" t="s">
        <v>7</v>
      </c>
      <c r="J1" s="136" t="s">
        <v>8</v>
      </c>
      <c r="K1" s="136" t="s">
        <v>9</v>
      </c>
      <c r="L1" s="96" t="s">
        <v>176</v>
      </c>
      <c r="M1" s="96" t="s">
        <v>177</v>
      </c>
      <c r="N1" s="96" t="s">
        <v>11</v>
      </c>
      <c r="O1" s="96" t="s">
        <v>178</v>
      </c>
      <c r="P1" s="96" t="s">
        <v>179</v>
      </c>
      <c r="Q1" s="3" t="s">
        <v>180</v>
      </c>
      <c r="R1" s="96" t="s">
        <v>181</v>
      </c>
      <c r="S1" s="96" t="s">
        <v>182</v>
      </c>
      <c r="T1" s="3" t="s">
        <v>13</v>
      </c>
      <c r="U1" s="118" t="s">
        <v>92</v>
      </c>
      <c r="V1" s="5" t="s">
        <v>14</v>
      </c>
      <c r="W1" s="96" t="s">
        <v>183</v>
      </c>
      <c r="X1" s="136" t="s">
        <v>16</v>
      </c>
      <c r="Y1" s="136" t="s">
        <v>17</v>
      </c>
      <c r="Z1" s="136" t="s">
        <v>18</v>
      </c>
      <c r="AA1" s="137" t="s">
        <v>19</v>
      </c>
      <c r="AB1" s="119" t="s">
        <v>184</v>
      </c>
      <c r="AE1" s="99" t="s">
        <v>0</v>
      </c>
      <c r="AF1" s="120"/>
      <c r="AG1" s="99" t="s">
        <v>3</v>
      </c>
      <c r="AH1" s="99" t="s">
        <v>4</v>
      </c>
      <c r="AI1" s="120"/>
      <c r="AJ1" s="99" t="s">
        <v>5</v>
      </c>
      <c r="AK1" s="120"/>
      <c r="AL1" s="10" t="s">
        <v>6</v>
      </c>
      <c r="AM1" s="120"/>
      <c r="AN1" s="10" t="s">
        <v>7</v>
      </c>
      <c r="AO1" s="120"/>
      <c r="AP1" s="10" t="s">
        <v>20</v>
      </c>
      <c r="AQ1" s="120"/>
      <c r="AR1" s="10" t="s">
        <v>9</v>
      </c>
      <c r="AS1" s="120"/>
      <c r="AT1" s="11" t="s">
        <v>185</v>
      </c>
      <c r="AU1" s="120"/>
      <c r="AV1" s="10" t="s">
        <v>22</v>
      </c>
      <c r="AX1" s="12" t="s">
        <v>321</v>
      </c>
      <c r="AY1" s="13" t="s">
        <v>187</v>
      </c>
      <c r="AZ1" s="13" t="s">
        <v>322</v>
      </c>
      <c r="BA1" s="14" t="s">
        <v>189</v>
      </c>
    </row>
    <row r="2" spans="1:53" x14ac:dyDescent="0.15">
      <c r="A2" s="80" t="s">
        <v>44</v>
      </c>
      <c r="B2" s="80" t="s">
        <v>190</v>
      </c>
      <c r="C2" s="80">
        <v>2020</v>
      </c>
      <c r="D2" s="138" t="s">
        <v>323</v>
      </c>
      <c r="E2" s="80" t="s">
        <v>324</v>
      </c>
      <c r="F2" s="80" t="s">
        <v>325</v>
      </c>
      <c r="G2" s="80" t="s">
        <v>31</v>
      </c>
      <c r="H2" s="80" t="s">
        <v>113</v>
      </c>
      <c r="I2" s="80" t="s">
        <v>172</v>
      </c>
      <c r="J2" s="80" t="s">
        <v>27</v>
      </c>
      <c r="K2" s="80" t="s">
        <v>112</v>
      </c>
      <c r="L2" s="80">
        <v>1</v>
      </c>
      <c r="N2" s="80">
        <v>4</v>
      </c>
      <c r="O2" s="80">
        <v>0.7</v>
      </c>
      <c r="P2" s="80">
        <v>0.65</v>
      </c>
      <c r="Q2" s="44">
        <f t="shared" ref="Q2:Q65" si="0">IF(OR(O2="",P2=""),"",AVERAGE(O2,P2))</f>
        <v>0.67500000000000004</v>
      </c>
      <c r="R2" s="80">
        <v>15.9</v>
      </c>
      <c r="S2" s="80">
        <v>99</v>
      </c>
      <c r="T2" s="16">
        <f t="shared" ref="T2:T65" si="1">IF(H2="","",IF(OR(H2="GREEN",H2="GK"),IF(S2&gt;=$AX$2,VLOOKUP(S2,$AX$2:$AY$10,2,1),""),IF(S2&gt;=$AZ$2,VLOOKUP(S2,$AZ$2:$BA$10,2,1),"")))</f>
        <v>33</v>
      </c>
      <c r="U2" s="80">
        <v>499</v>
      </c>
      <c r="V2" s="16">
        <f t="shared" ref="V2:V65" si="2">IF(OR(N2="",U2="",T2=""),"",U2/N2*T2)</f>
        <v>4116.75</v>
      </c>
      <c r="W2" s="80">
        <v>2</v>
      </c>
      <c r="X2" s="80" t="s">
        <v>28</v>
      </c>
      <c r="Y2" s="80" t="s">
        <v>236</v>
      </c>
      <c r="Z2" s="80" t="s">
        <v>74</v>
      </c>
      <c r="AA2" s="80" t="s">
        <v>43</v>
      </c>
      <c r="AB2" s="80" t="s">
        <v>194</v>
      </c>
      <c r="AE2" s="106" t="s">
        <v>24</v>
      </c>
      <c r="AG2" s="83" t="s">
        <v>326</v>
      </c>
      <c r="AH2" s="139" t="s">
        <v>327</v>
      </c>
      <c r="AJ2" s="50" t="s">
        <v>25</v>
      </c>
      <c r="AL2" s="50" t="s">
        <v>195</v>
      </c>
      <c r="AN2" s="50" t="s">
        <v>26</v>
      </c>
      <c r="AP2" s="50" t="s">
        <v>27</v>
      </c>
      <c r="AR2" s="50" t="s">
        <v>112</v>
      </c>
      <c r="AT2" s="50" t="s">
        <v>28</v>
      </c>
      <c r="AV2" s="50" t="s">
        <v>29</v>
      </c>
      <c r="AX2" s="110">
        <v>1</v>
      </c>
      <c r="AY2" s="111">
        <v>50</v>
      </c>
      <c r="AZ2" s="111">
        <v>1</v>
      </c>
      <c r="BA2" s="112">
        <v>50</v>
      </c>
    </row>
    <row r="3" spans="1:53" x14ac:dyDescent="0.15">
      <c r="A3" s="80" t="s">
        <v>44</v>
      </c>
      <c r="B3" s="80" t="s">
        <v>190</v>
      </c>
      <c r="C3" s="80">
        <v>2020</v>
      </c>
      <c r="D3" s="138" t="s">
        <v>323</v>
      </c>
      <c r="E3" s="80" t="s">
        <v>324</v>
      </c>
      <c r="F3" s="80" t="s">
        <v>325</v>
      </c>
      <c r="G3" s="80" t="s">
        <v>31</v>
      </c>
      <c r="H3" s="80" t="s">
        <v>113</v>
      </c>
      <c r="I3" s="80" t="s">
        <v>172</v>
      </c>
      <c r="J3" s="80" t="s">
        <v>27</v>
      </c>
      <c r="K3" s="80" t="s">
        <v>112</v>
      </c>
      <c r="L3" s="80">
        <v>2</v>
      </c>
      <c r="N3" s="80">
        <v>4</v>
      </c>
      <c r="O3" s="80">
        <v>0.7</v>
      </c>
      <c r="P3" s="80">
        <v>0.7</v>
      </c>
      <c r="Q3" s="44">
        <f t="shared" si="0"/>
        <v>0.7</v>
      </c>
      <c r="R3" s="80">
        <v>14</v>
      </c>
      <c r="S3" s="80">
        <v>99</v>
      </c>
      <c r="T3" s="16">
        <f t="shared" si="1"/>
        <v>33</v>
      </c>
      <c r="U3" s="80">
        <v>499</v>
      </c>
      <c r="V3" s="16">
        <f t="shared" si="2"/>
        <v>4116.75</v>
      </c>
      <c r="W3" s="80">
        <v>2</v>
      </c>
      <c r="X3" s="80" t="s">
        <v>28</v>
      </c>
      <c r="Y3" s="80" t="s">
        <v>236</v>
      </c>
      <c r="Z3" s="80" t="s">
        <v>74</v>
      </c>
      <c r="AA3" s="80" t="s">
        <v>43</v>
      </c>
      <c r="AB3" s="80" t="s">
        <v>194</v>
      </c>
      <c r="AE3" s="22" t="s">
        <v>30</v>
      </c>
      <c r="AG3" s="83" t="s">
        <v>328</v>
      </c>
      <c r="AH3" s="139" t="s">
        <v>329</v>
      </c>
      <c r="AJ3" s="83" t="s">
        <v>31</v>
      </c>
      <c r="AL3" s="83" t="s">
        <v>197</v>
      </c>
      <c r="AN3" s="83" t="s">
        <v>32</v>
      </c>
      <c r="AP3" s="83" t="s">
        <v>33</v>
      </c>
      <c r="AR3" s="83" t="s">
        <v>34</v>
      </c>
      <c r="AT3" s="83" t="s">
        <v>35</v>
      </c>
      <c r="AV3" s="83" t="s">
        <v>36</v>
      </c>
      <c r="AX3" s="24">
        <v>72</v>
      </c>
      <c r="AY3" s="25">
        <v>46</v>
      </c>
      <c r="AZ3" s="25">
        <v>71</v>
      </c>
      <c r="BA3" s="26">
        <v>42</v>
      </c>
    </row>
    <row r="4" spans="1:53" x14ac:dyDescent="0.15">
      <c r="A4" s="80" t="s">
        <v>44</v>
      </c>
      <c r="B4" s="80" t="s">
        <v>190</v>
      </c>
      <c r="C4" s="80">
        <v>2020</v>
      </c>
      <c r="D4" s="138" t="s">
        <v>323</v>
      </c>
      <c r="E4" s="80" t="s">
        <v>324</v>
      </c>
      <c r="F4" s="80" t="s">
        <v>325</v>
      </c>
      <c r="G4" s="80" t="s">
        <v>31</v>
      </c>
      <c r="H4" s="80" t="s">
        <v>113</v>
      </c>
      <c r="I4" s="80" t="s">
        <v>172</v>
      </c>
      <c r="J4" s="80" t="s">
        <v>27</v>
      </c>
      <c r="K4" s="80" t="s">
        <v>112</v>
      </c>
      <c r="L4" s="80">
        <v>3</v>
      </c>
      <c r="N4" s="80">
        <v>4</v>
      </c>
      <c r="O4" s="80">
        <v>0.7</v>
      </c>
      <c r="P4" s="80">
        <v>0.7</v>
      </c>
      <c r="Q4" s="44">
        <f t="shared" si="0"/>
        <v>0.7</v>
      </c>
      <c r="R4" s="80">
        <v>17.100000000000001</v>
      </c>
      <c r="S4" s="80">
        <v>93</v>
      </c>
      <c r="T4" s="16">
        <f t="shared" si="1"/>
        <v>36</v>
      </c>
      <c r="U4" s="80">
        <v>499</v>
      </c>
      <c r="V4" s="16">
        <f t="shared" si="2"/>
        <v>4491</v>
      </c>
      <c r="W4" s="80">
        <v>2</v>
      </c>
      <c r="X4" s="80" t="s">
        <v>28</v>
      </c>
      <c r="Y4" s="80" t="s">
        <v>236</v>
      </c>
      <c r="Z4" s="80" t="s">
        <v>74</v>
      </c>
      <c r="AA4" s="80" t="s">
        <v>43</v>
      </c>
      <c r="AB4" s="80" t="s">
        <v>194</v>
      </c>
      <c r="AE4" s="22" t="s">
        <v>23</v>
      </c>
      <c r="AG4" s="83" t="s">
        <v>330</v>
      </c>
      <c r="AH4" s="139" t="s">
        <v>331</v>
      </c>
      <c r="AJ4" s="27" t="s">
        <v>37</v>
      </c>
      <c r="AL4" s="27" t="s">
        <v>199</v>
      </c>
      <c r="AN4" s="28" t="s">
        <v>200</v>
      </c>
      <c r="AP4" s="83" t="s">
        <v>201</v>
      </c>
      <c r="AR4" s="83" t="s">
        <v>202</v>
      </c>
      <c r="AT4" s="28"/>
      <c r="AV4" s="83" t="s">
        <v>39</v>
      </c>
      <c r="AX4" s="24">
        <v>75</v>
      </c>
      <c r="AY4" s="25">
        <v>42</v>
      </c>
      <c r="AZ4" s="25">
        <v>76</v>
      </c>
      <c r="BA4" s="26">
        <v>39</v>
      </c>
    </row>
    <row r="5" spans="1:53" x14ac:dyDescent="0.15">
      <c r="A5" s="80" t="s">
        <v>44</v>
      </c>
      <c r="B5" s="80" t="s">
        <v>190</v>
      </c>
      <c r="C5" s="80">
        <v>2020</v>
      </c>
      <c r="D5" s="138" t="s">
        <v>323</v>
      </c>
      <c r="E5" s="80" t="s">
        <v>324</v>
      </c>
      <c r="F5" s="80" t="s">
        <v>325</v>
      </c>
      <c r="G5" s="80" t="s">
        <v>31</v>
      </c>
      <c r="H5" s="80" t="s">
        <v>167</v>
      </c>
      <c r="I5" s="80" t="s">
        <v>172</v>
      </c>
      <c r="J5" s="80" t="s">
        <v>27</v>
      </c>
      <c r="K5" s="80" t="s">
        <v>112</v>
      </c>
      <c r="L5" s="80">
        <v>1</v>
      </c>
      <c r="N5" s="80">
        <v>4</v>
      </c>
      <c r="O5" s="80">
        <v>0.6</v>
      </c>
      <c r="P5" s="80">
        <v>0.6</v>
      </c>
      <c r="Q5" s="44">
        <f t="shared" si="0"/>
        <v>0.6</v>
      </c>
      <c r="R5" s="80">
        <v>16.7</v>
      </c>
      <c r="S5" s="80">
        <v>99</v>
      </c>
      <c r="T5" s="16">
        <f t="shared" si="1"/>
        <v>33</v>
      </c>
      <c r="U5" s="80">
        <v>599</v>
      </c>
      <c r="V5" s="16">
        <f t="shared" si="2"/>
        <v>4941.75</v>
      </c>
      <c r="W5" s="80">
        <v>2</v>
      </c>
      <c r="X5" s="80" t="s">
        <v>28</v>
      </c>
      <c r="Y5" s="80" t="s">
        <v>236</v>
      </c>
      <c r="Z5" s="80" t="s">
        <v>74</v>
      </c>
      <c r="AA5" s="80" t="s">
        <v>43</v>
      </c>
      <c r="AB5" s="80" t="s">
        <v>194</v>
      </c>
      <c r="AE5" s="22" t="s">
        <v>40</v>
      </c>
      <c r="AG5" s="83" t="s">
        <v>332</v>
      </c>
      <c r="AH5" s="139" t="s">
        <v>325</v>
      </c>
      <c r="AJ5" s="28"/>
      <c r="AL5" s="114" t="s">
        <v>113</v>
      </c>
      <c r="AN5" s="114" t="s">
        <v>111</v>
      </c>
      <c r="AP5" s="83" t="s">
        <v>205</v>
      </c>
      <c r="AR5" s="83" t="s">
        <v>42</v>
      </c>
      <c r="AV5" s="83" t="s">
        <v>43</v>
      </c>
      <c r="AX5" s="24">
        <v>84</v>
      </c>
      <c r="AY5" s="25">
        <v>39</v>
      </c>
      <c r="AZ5" s="25">
        <v>84</v>
      </c>
      <c r="BA5" s="26">
        <v>36</v>
      </c>
    </row>
    <row r="6" spans="1:53" x14ac:dyDescent="0.15">
      <c r="A6" s="80" t="s">
        <v>44</v>
      </c>
      <c r="B6" s="80" t="s">
        <v>190</v>
      </c>
      <c r="C6" s="80">
        <v>2020</v>
      </c>
      <c r="D6" s="138" t="s">
        <v>323</v>
      </c>
      <c r="E6" s="80" t="s">
        <v>324</v>
      </c>
      <c r="F6" s="80" t="s">
        <v>325</v>
      </c>
      <c r="G6" s="80" t="s">
        <v>31</v>
      </c>
      <c r="H6" s="80" t="s">
        <v>167</v>
      </c>
      <c r="I6" s="80" t="s">
        <v>172</v>
      </c>
      <c r="J6" s="80" t="s">
        <v>27</v>
      </c>
      <c r="K6" s="80" t="s">
        <v>112</v>
      </c>
      <c r="L6" s="80">
        <v>2</v>
      </c>
      <c r="M6" s="140"/>
      <c r="N6" s="80">
        <v>4</v>
      </c>
      <c r="O6" s="80">
        <v>0.65</v>
      </c>
      <c r="P6" s="80">
        <v>0.65</v>
      </c>
      <c r="Q6" s="44">
        <f t="shared" si="0"/>
        <v>0.65</v>
      </c>
      <c r="R6" s="80">
        <v>16.8</v>
      </c>
      <c r="S6" s="80">
        <v>104</v>
      </c>
      <c r="T6" s="16">
        <f t="shared" si="1"/>
        <v>33</v>
      </c>
      <c r="U6" s="80">
        <v>599</v>
      </c>
      <c r="V6" s="16">
        <f t="shared" si="2"/>
        <v>4941.75</v>
      </c>
      <c r="W6" s="80">
        <v>2</v>
      </c>
      <c r="X6" s="80" t="s">
        <v>28</v>
      </c>
      <c r="Y6" s="80" t="s">
        <v>236</v>
      </c>
      <c r="Z6" s="80" t="s">
        <v>74</v>
      </c>
      <c r="AA6" s="80" t="s">
        <v>43</v>
      </c>
      <c r="AB6" s="80" t="s">
        <v>194</v>
      </c>
      <c r="AE6" s="22" t="s">
        <v>44</v>
      </c>
      <c r="AG6" s="83" t="s">
        <v>333</v>
      </c>
      <c r="AH6" s="139" t="s">
        <v>325</v>
      </c>
      <c r="AL6" s="114" t="s">
        <v>207</v>
      </c>
      <c r="AN6" s="114" t="s">
        <v>172</v>
      </c>
      <c r="AP6" s="83" t="s">
        <v>41</v>
      </c>
      <c r="AR6" s="83" t="s">
        <v>46</v>
      </c>
      <c r="AV6" s="83" t="s">
        <v>47</v>
      </c>
      <c r="AX6" s="24">
        <v>97</v>
      </c>
      <c r="AY6" s="25">
        <v>36</v>
      </c>
      <c r="AZ6" s="25">
        <v>99</v>
      </c>
      <c r="BA6" s="26">
        <v>33</v>
      </c>
    </row>
    <row r="7" spans="1:53" x14ac:dyDescent="0.15">
      <c r="A7" s="80" t="s">
        <v>44</v>
      </c>
      <c r="B7" s="80" t="s">
        <v>190</v>
      </c>
      <c r="C7" s="80">
        <v>2020</v>
      </c>
      <c r="D7" s="138" t="s">
        <v>323</v>
      </c>
      <c r="E7" s="80" t="s">
        <v>324</v>
      </c>
      <c r="F7" s="80" t="s">
        <v>325</v>
      </c>
      <c r="G7" s="80" t="s">
        <v>31</v>
      </c>
      <c r="H7" s="80" t="s">
        <v>167</v>
      </c>
      <c r="I7" s="80" t="s">
        <v>172</v>
      </c>
      <c r="J7" s="80" t="s">
        <v>27</v>
      </c>
      <c r="K7" s="80" t="s">
        <v>112</v>
      </c>
      <c r="L7" s="80">
        <v>3</v>
      </c>
      <c r="M7" s="140"/>
      <c r="N7" s="80">
        <v>4</v>
      </c>
      <c r="O7" s="80">
        <v>0.8</v>
      </c>
      <c r="P7" s="80">
        <v>0.75</v>
      </c>
      <c r="Q7" s="44">
        <f t="shared" si="0"/>
        <v>0.77500000000000002</v>
      </c>
      <c r="R7" s="80">
        <v>16.899999999999999</v>
      </c>
      <c r="S7" s="80">
        <v>102</v>
      </c>
      <c r="T7" s="16">
        <f t="shared" si="1"/>
        <v>33</v>
      </c>
      <c r="U7" s="80">
        <v>599</v>
      </c>
      <c r="V7" s="16">
        <f t="shared" si="2"/>
        <v>4941.75</v>
      </c>
      <c r="W7" s="80">
        <v>2</v>
      </c>
      <c r="X7" s="80" t="s">
        <v>28</v>
      </c>
      <c r="Y7" s="80" t="s">
        <v>236</v>
      </c>
      <c r="Z7" s="80" t="s">
        <v>74</v>
      </c>
      <c r="AA7" s="80" t="s">
        <v>43</v>
      </c>
      <c r="AB7" s="80" t="s">
        <v>194</v>
      </c>
      <c r="AE7" s="22" t="s">
        <v>48</v>
      </c>
      <c r="AG7" s="83" t="s">
        <v>316</v>
      </c>
      <c r="AH7" s="139" t="s">
        <v>334</v>
      </c>
      <c r="AL7" s="141" t="s">
        <v>209</v>
      </c>
      <c r="AP7" s="83" t="s">
        <v>45</v>
      </c>
      <c r="AR7" s="83" t="s">
        <v>210</v>
      </c>
      <c r="AV7" s="83" t="s">
        <v>51</v>
      </c>
      <c r="AX7" s="24">
        <v>109</v>
      </c>
      <c r="AY7" s="25">
        <v>33</v>
      </c>
      <c r="AZ7" s="25">
        <v>113</v>
      </c>
      <c r="BA7" s="26">
        <v>30</v>
      </c>
    </row>
    <row r="8" spans="1:53" x14ac:dyDescent="0.15">
      <c r="A8" s="80" t="s">
        <v>44</v>
      </c>
      <c r="B8" s="80" t="s">
        <v>190</v>
      </c>
      <c r="C8" s="80">
        <v>2020</v>
      </c>
      <c r="D8" s="138" t="s">
        <v>323</v>
      </c>
      <c r="E8" s="80" t="s">
        <v>324</v>
      </c>
      <c r="F8" s="80" t="s">
        <v>325</v>
      </c>
      <c r="G8" s="80" t="s">
        <v>31</v>
      </c>
      <c r="H8" s="80" t="s">
        <v>167</v>
      </c>
      <c r="I8" s="80" t="s">
        <v>172</v>
      </c>
      <c r="J8" s="80" t="s">
        <v>27</v>
      </c>
      <c r="K8" s="80" t="s">
        <v>112</v>
      </c>
      <c r="L8" s="80">
        <v>1</v>
      </c>
      <c r="N8" s="80">
        <v>1</v>
      </c>
      <c r="O8" s="80">
        <v>0.55000000000000004</v>
      </c>
      <c r="P8" s="80">
        <v>0.55000000000000004</v>
      </c>
      <c r="Q8" s="44">
        <f t="shared" si="0"/>
        <v>0.55000000000000004</v>
      </c>
      <c r="R8" s="80">
        <v>17.2</v>
      </c>
      <c r="S8" s="80">
        <v>120</v>
      </c>
      <c r="T8" s="16">
        <f t="shared" si="1"/>
        <v>30</v>
      </c>
      <c r="U8" s="80">
        <v>159</v>
      </c>
      <c r="V8" s="16">
        <f t="shared" si="2"/>
        <v>4770</v>
      </c>
      <c r="W8" s="80">
        <v>2</v>
      </c>
      <c r="X8" s="80" t="s">
        <v>28</v>
      </c>
      <c r="Y8" s="80" t="s">
        <v>236</v>
      </c>
      <c r="Z8" s="80" t="s">
        <v>74</v>
      </c>
      <c r="AA8" s="80" t="s">
        <v>43</v>
      </c>
      <c r="AB8" s="80" t="s">
        <v>194</v>
      </c>
      <c r="AE8" s="22" t="s">
        <v>46</v>
      </c>
      <c r="AG8" s="83" t="s">
        <v>335</v>
      </c>
      <c r="AH8" s="139" t="s">
        <v>334</v>
      </c>
      <c r="AL8" s="141" t="s">
        <v>167</v>
      </c>
      <c r="AP8" s="83" t="s">
        <v>49</v>
      </c>
      <c r="AR8" s="83" t="s">
        <v>67</v>
      </c>
      <c r="AV8" s="83" t="s">
        <v>82</v>
      </c>
      <c r="AX8" s="24">
        <v>119</v>
      </c>
      <c r="AY8" s="25">
        <v>30</v>
      </c>
      <c r="AZ8" s="25">
        <v>121</v>
      </c>
      <c r="BA8" s="26">
        <v>27</v>
      </c>
    </row>
    <row r="9" spans="1:53" x14ac:dyDescent="0.15">
      <c r="A9" s="80" t="s">
        <v>44</v>
      </c>
      <c r="B9" s="80" t="s">
        <v>190</v>
      </c>
      <c r="C9" s="80">
        <v>2020</v>
      </c>
      <c r="D9" s="138" t="s">
        <v>323</v>
      </c>
      <c r="E9" s="80" t="s">
        <v>324</v>
      </c>
      <c r="F9" s="80" t="s">
        <v>325</v>
      </c>
      <c r="G9" s="80" t="s">
        <v>31</v>
      </c>
      <c r="H9" s="80" t="s">
        <v>167</v>
      </c>
      <c r="I9" s="80" t="s">
        <v>172</v>
      </c>
      <c r="J9" s="80" t="s">
        <v>27</v>
      </c>
      <c r="K9" s="80" t="s">
        <v>112</v>
      </c>
      <c r="L9" s="80">
        <v>2</v>
      </c>
      <c r="M9" s="140"/>
      <c r="N9" s="80">
        <v>1</v>
      </c>
      <c r="O9" s="80">
        <v>0.65</v>
      </c>
      <c r="P9" s="80">
        <v>0.75</v>
      </c>
      <c r="Q9" s="44">
        <f t="shared" si="0"/>
        <v>0.7</v>
      </c>
      <c r="R9" s="80">
        <v>16.5</v>
      </c>
      <c r="S9" s="80">
        <v>121</v>
      </c>
      <c r="T9" s="16">
        <f t="shared" si="1"/>
        <v>27</v>
      </c>
      <c r="U9" s="80">
        <v>159</v>
      </c>
      <c r="V9" s="16">
        <f t="shared" si="2"/>
        <v>4293</v>
      </c>
      <c r="W9" s="80">
        <v>2</v>
      </c>
      <c r="X9" s="80" t="s">
        <v>28</v>
      </c>
      <c r="Y9" s="80" t="s">
        <v>236</v>
      </c>
      <c r="Z9" s="80" t="s">
        <v>74</v>
      </c>
      <c r="AA9" s="80" t="s">
        <v>43</v>
      </c>
      <c r="AB9" s="80" t="s">
        <v>194</v>
      </c>
      <c r="AE9" s="22" t="s">
        <v>213</v>
      </c>
      <c r="AG9" s="83" t="s">
        <v>324</v>
      </c>
      <c r="AH9" s="83" t="s">
        <v>329</v>
      </c>
      <c r="AL9" s="114" t="s">
        <v>216</v>
      </c>
      <c r="AP9" s="83" t="s">
        <v>80</v>
      </c>
      <c r="AR9" s="83" t="s">
        <v>217</v>
      </c>
      <c r="AV9" s="83" t="s">
        <v>86</v>
      </c>
      <c r="AX9" s="24">
        <v>128</v>
      </c>
      <c r="AY9" s="25">
        <v>27</v>
      </c>
      <c r="AZ9" s="25">
        <v>129</v>
      </c>
      <c r="BA9" s="26">
        <v>25</v>
      </c>
    </row>
    <row r="10" spans="1:53" x14ac:dyDescent="0.15">
      <c r="A10" s="80" t="s">
        <v>44</v>
      </c>
      <c r="B10" s="80" t="s">
        <v>190</v>
      </c>
      <c r="C10" s="80">
        <v>2020</v>
      </c>
      <c r="D10" s="138" t="s">
        <v>323</v>
      </c>
      <c r="E10" s="80" t="s">
        <v>324</v>
      </c>
      <c r="F10" s="80" t="s">
        <v>325</v>
      </c>
      <c r="G10" s="80" t="s">
        <v>31</v>
      </c>
      <c r="H10" s="80" t="s">
        <v>167</v>
      </c>
      <c r="I10" s="80" t="s">
        <v>172</v>
      </c>
      <c r="J10" s="80" t="s">
        <v>27</v>
      </c>
      <c r="K10" s="80" t="s">
        <v>112</v>
      </c>
      <c r="L10" s="80">
        <v>3</v>
      </c>
      <c r="M10" s="140"/>
      <c r="N10" s="80">
        <v>1</v>
      </c>
      <c r="O10" s="80">
        <v>0.65</v>
      </c>
      <c r="P10" s="80">
        <v>0.65</v>
      </c>
      <c r="Q10" s="44">
        <f t="shared" si="0"/>
        <v>0.65</v>
      </c>
      <c r="R10" s="80">
        <v>16.100000000000001</v>
      </c>
      <c r="S10" s="80">
        <v>115</v>
      </c>
      <c r="T10" s="16">
        <f t="shared" si="1"/>
        <v>30</v>
      </c>
      <c r="U10" s="80">
        <v>159</v>
      </c>
      <c r="V10" s="16">
        <f t="shared" si="2"/>
        <v>4770</v>
      </c>
      <c r="W10" s="80">
        <v>2</v>
      </c>
      <c r="X10" s="80" t="s">
        <v>28</v>
      </c>
      <c r="Y10" s="80" t="s">
        <v>236</v>
      </c>
      <c r="Z10" s="80" t="s">
        <v>74</v>
      </c>
      <c r="AA10" s="80" t="s">
        <v>43</v>
      </c>
      <c r="AB10" s="80" t="s">
        <v>194</v>
      </c>
      <c r="AE10" s="22" t="s">
        <v>218</v>
      </c>
      <c r="AG10" s="83" t="s">
        <v>316</v>
      </c>
      <c r="AH10" s="139" t="s">
        <v>325</v>
      </c>
      <c r="AL10" s="141"/>
      <c r="AP10" s="83" t="s">
        <v>84</v>
      </c>
      <c r="AR10" s="83" t="s">
        <v>220</v>
      </c>
      <c r="AV10" s="83" t="s">
        <v>90</v>
      </c>
      <c r="AX10" s="24">
        <v>138</v>
      </c>
      <c r="AY10" s="25">
        <v>25</v>
      </c>
      <c r="AZ10" s="25">
        <v>138</v>
      </c>
      <c r="BA10" s="26">
        <v>22</v>
      </c>
    </row>
    <row r="11" spans="1:53" x14ac:dyDescent="0.15">
      <c r="A11" s="80" t="s">
        <v>44</v>
      </c>
      <c r="B11" s="80" t="s">
        <v>190</v>
      </c>
      <c r="C11" s="80">
        <v>2020</v>
      </c>
      <c r="D11" s="138" t="s">
        <v>323</v>
      </c>
      <c r="E11" s="80" t="s">
        <v>328</v>
      </c>
      <c r="F11" s="80" t="s">
        <v>329</v>
      </c>
      <c r="G11" s="80" t="s">
        <v>25</v>
      </c>
      <c r="H11" s="80" t="s">
        <v>113</v>
      </c>
      <c r="I11" s="80" t="s">
        <v>111</v>
      </c>
      <c r="J11" s="80" t="s">
        <v>27</v>
      </c>
      <c r="K11" s="80" t="s">
        <v>112</v>
      </c>
      <c r="L11" s="80">
        <v>1</v>
      </c>
      <c r="M11" s="140"/>
      <c r="N11" s="80">
        <v>1</v>
      </c>
      <c r="O11" s="80">
        <v>0.65</v>
      </c>
      <c r="P11" s="80">
        <v>0.7</v>
      </c>
      <c r="Q11" s="44">
        <f t="shared" si="0"/>
        <v>0.67500000000000004</v>
      </c>
      <c r="R11" s="80">
        <v>16.5</v>
      </c>
      <c r="S11" s="80">
        <v>132</v>
      </c>
      <c r="T11" s="16">
        <f t="shared" si="1"/>
        <v>25</v>
      </c>
      <c r="U11" s="80">
        <v>100</v>
      </c>
      <c r="V11" s="16">
        <f t="shared" si="2"/>
        <v>2500</v>
      </c>
      <c r="W11" s="80">
        <v>3</v>
      </c>
      <c r="X11" s="80" t="s">
        <v>35</v>
      </c>
      <c r="Y11" s="80" t="s">
        <v>236</v>
      </c>
      <c r="Z11" s="80" t="s">
        <v>74</v>
      </c>
      <c r="AA11" s="80" t="s">
        <v>64</v>
      </c>
      <c r="AB11" s="80" t="s">
        <v>194</v>
      </c>
      <c r="AE11" s="22" t="s">
        <v>54</v>
      </c>
      <c r="AG11" s="83" t="s">
        <v>333</v>
      </c>
      <c r="AH11" s="139" t="s">
        <v>325</v>
      </c>
      <c r="AJ11" s="141"/>
      <c r="AP11" s="83" t="s">
        <v>88</v>
      </c>
      <c r="AR11" s="83" t="s">
        <v>223</v>
      </c>
      <c r="AV11" s="83" t="s">
        <v>55</v>
      </c>
    </row>
    <row r="12" spans="1:53" x14ac:dyDescent="0.15">
      <c r="A12" s="80" t="s">
        <v>44</v>
      </c>
      <c r="B12" s="80" t="s">
        <v>190</v>
      </c>
      <c r="C12" s="80">
        <v>2020</v>
      </c>
      <c r="D12" s="138" t="s">
        <v>323</v>
      </c>
      <c r="E12" s="80" t="s">
        <v>328</v>
      </c>
      <c r="F12" s="80" t="s">
        <v>329</v>
      </c>
      <c r="G12" s="80" t="s">
        <v>25</v>
      </c>
      <c r="H12" s="80" t="s">
        <v>113</v>
      </c>
      <c r="I12" s="80" t="s">
        <v>111</v>
      </c>
      <c r="J12" s="80" t="s">
        <v>27</v>
      </c>
      <c r="K12" s="80" t="s">
        <v>112</v>
      </c>
      <c r="L12" s="80">
        <v>2</v>
      </c>
      <c r="M12" s="140"/>
      <c r="N12" s="80">
        <v>1</v>
      </c>
      <c r="O12" s="80">
        <v>0.5</v>
      </c>
      <c r="P12" s="80">
        <v>0.5</v>
      </c>
      <c r="Q12" s="44">
        <f t="shared" si="0"/>
        <v>0.5</v>
      </c>
      <c r="R12" s="80">
        <v>16.7</v>
      </c>
      <c r="S12" s="80">
        <v>143</v>
      </c>
      <c r="T12" s="16">
        <f t="shared" si="1"/>
        <v>22</v>
      </c>
      <c r="U12" s="80">
        <v>100</v>
      </c>
      <c r="V12" s="16">
        <f t="shared" si="2"/>
        <v>2200</v>
      </c>
      <c r="W12" s="80">
        <v>3</v>
      </c>
      <c r="X12" s="80" t="s">
        <v>35</v>
      </c>
      <c r="Y12" s="80" t="s">
        <v>236</v>
      </c>
      <c r="Z12" s="80" t="s">
        <v>74</v>
      </c>
      <c r="AA12" s="80" t="s">
        <v>64</v>
      </c>
      <c r="AB12" s="80" t="s">
        <v>194</v>
      </c>
      <c r="AE12" s="22" t="s">
        <v>224</v>
      </c>
      <c r="AG12" s="83" t="s">
        <v>328</v>
      </c>
      <c r="AH12" s="139" t="s">
        <v>325</v>
      </c>
      <c r="AJ12" s="141"/>
      <c r="AP12" s="83" t="s">
        <v>53</v>
      </c>
      <c r="AR12" s="83" t="s">
        <v>225</v>
      </c>
      <c r="AV12" s="83" t="s">
        <v>58</v>
      </c>
    </row>
    <row r="13" spans="1:53" x14ac:dyDescent="0.15">
      <c r="A13" s="80" t="s">
        <v>44</v>
      </c>
      <c r="B13" s="80" t="s">
        <v>190</v>
      </c>
      <c r="C13" s="80">
        <v>2020</v>
      </c>
      <c r="D13" s="138" t="s">
        <v>323</v>
      </c>
      <c r="E13" s="80" t="s">
        <v>328</v>
      </c>
      <c r="F13" s="80" t="s">
        <v>329</v>
      </c>
      <c r="G13" s="80" t="s">
        <v>25</v>
      </c>
      <c r="H13" s="80" t="s">
        <v>113</v>
      </c>
      <c r="I13" s="80" t="s">
        <v>111</v>
      </c>
      <c r="J13" s="80" t="s">
        <v>27</v>
      </c>
      <c r="K13" s="80" t="s">
        <v>112</v>
      </c>
      <c r="L13" s="80">
        <v>3</v>
      </c>
      <c r="M13" s="140"/>
      <c r="N13" s="80">
        <v>1</v>
      </c>
      <c r="O13" s="80">
        <v>0.55000000000000004</v>
      </c>
      <c r="P13" s="80">
        <v>0.55000000000000004</v>
      </c>
      <c r="Q13" s="44">
        <f t="shared" si="0"/>
        <v>0.55000000000000004</v>
      </c>
      <c r="R13" s="80">
        <v>16.399999999999999</v>
      </c>
      <c r="S13" s="80">
        <v>136</v>
      </c>
      <c r="T13" s="16">
        <f t="shared" si="1"/>
        <v>25</v>
      </c>
      <c r="U13" s="80">
        <v>100</v>
      </c>
      <c r="V13" s="16">
        <f t="shared" si="2"/>
        <v>2500</v>
      </c>
      <c r="W13" s="80">
        <v>3</v>
      </c>
      <c r="X13" s="80" t="s">
        <v>35</v>
      </c>
      <c r="Y13" s="80" t="s">
        <v>236</v>
      </c>
      <c r="Z13" s="80" t="s">
        <v>74</v>
      </c>
      <c r="AA13" s="80" t="s">
        <v>64</v>
      </c>
      <c r="AB13" s="80" t="s">
        <v>194</v>
      </c>
      <c r="AE13" s="22" t="s">
        <v>226</v>
      </c>
      <c r="AP13" s="83" t="s">
        <v>57</v>
      </c>
      <c r="AR13" s="83" t="s">
        <v>218</v>
      </c>
      <c r="AV13" s="83" t="s">
        <v>61</v>
      </c>
    </row>
    <row r="14" spans="1:53" x14ac:dyDescent="0.15">
      <c r="A14" s="80" t="s">
        <v>44</v>
      </c>
      <c r="B14" s="80" t="s">
        <v>190</v>
      </c>
      <c r="C14" s="80">
        <v>2020</v>
      </c>
      <c r="D14" s="138" t="s">
        <v>323</v>
      </c>
      <c r="E14" s="80" t="s">
        <v>328</v>
      </c>
      <c r="F14" s="80" t="s">
        <v>329</v>
      </c>
      <c r="G14" s="80" t="s">
        <v>25</v>
      </c>
      <c r="H14" s="80" t="s">
        <v>113</v>
      </c>
      <c r="I14" s="80" t="s">
        <v>111</v>
      </c>
      <c r="J14" s="80" t="s">
        <v>27</v>
      </c>
      <c r="K14" s="80" t="s">
        <v>112</v>
      </c>
      <c r="L14" s="80">
        <v>1</v>
      </c>
      <c r="M14" s="140"/>
      <c r="N14" s="80">
        <v>6</v>
      </c>
      <c r="O14" s="80">
        <v>0.65</v>
      </c>
      <c r="P14" s="80">
        <v>0.75</v>
      </c>
      <c r="Q14" s="44">
        <f t="shared" si="0"/>
        <v>0.7</v>
      </c>
      <c r="R14" s="80">
        <v>16.399999999999999</v>
      </c>
      <c r="S14" s="80">
        <v>102</v>
      </c>
      <c r="T14" s="16">
        <f t="shared" si="1"/>
        <v>33</v>
      </c>
      <c r="U14" s="80">
        <v>498</v>
      </c>
      <c r="V14" s="16">
        <f t="shared" si="2"/>
        <v>2739</v>
      </c>
      <c r="W14" s="80">
        <v>6</v>
      </c>
      <c r="X14" s="80" t="s">
        <v>35</v>
      </c>
      <c r="Y14" s="80" t="s">
        <v>236</v>
      </c>
      <c r="Z14" s="80" t="s">
        <v>74</v>
      </c>
      <c r="AA14" s="80" t="s">
        <v>64</v>
      </c>
      <c r="AB14" s="80" t="s">
        <v>194</v>
      </c>
      <c r="AE14" s="22" t="s">
        <v>81</v>
      </c>
      <c r="AP14" s="83" t="s">
        <v>60</v>
      </c>
      <c r="AR14" s="83" t="s">
        <v>227</v>
      </c>
      <c r="AV14" s="83" t="s">
        <v>64</v>
      </c>
    </row>
    <row r="15" spans="1:53" x14ac:dyDescent="0.15">
      <c r="A15" s="80" t="s">
        <v>44</v>
      </c>
      <c r="B15" s="80" t="s">
        <v>190</v>
      </c>
      <c r="C15" s="80">
        <v>2020</v>
      </c>
      <c r="D15" s="138" t="s">
        <v>323</v>
      </c>
      <c r="E15" s="80" t="s">
        <v>328</v>
      </c>
      <c r="F15" s="80" t="s">
        <v>329</v>
      </c>
      <c r="G15" s="80" t="s">
        <v>25</v>
      </c>
      <c r="H15" s="80" t="s">
        <v>113</v>
      </c>
      <c r="I15" s="80" t="s">
        <v>111</v>
      </c>
      <c r="J15" s="80" t="s">
        <v>27</v>
      </c>
      <c r="K15" s="80" t="s">
        <v>112</v>
      </c>
      <c r="L15" s="80">
        <v>2</v>
      </c>
      <c r="M15" s="140"/>
      <c r="N15" s="80">
        <v>6</v>
      </c>
      <c r="O15" s="80">
        <v>0.95</v>
      </c>
      <c r="P15" s="80">
        <v>1</v>
      </c>
      <c r="Q15" s="44">
        <f t="shared" si="0"/>
        <v>0.97499999999999998</v>
      </c>
      <c r="R15" s="80">
        <v>17.3</v>
      </c>
      <c r="S15" s="80">
        <v>101</v>
      </c>
      <c r="T15" s="16">
        <f t="shared" si="1"/>
        <v>33</v>
      </c>
      <c r="U15" s="80">
        <v>498</v>
      </c>
      <c r="V15" s="16">
        <f t="shared" si="2"/>
        <v>2739</v>
      </c>
      <c r="W15" s="80">
        <v>6</v>
      </c>
      <c r="X15" s="80" t="s">
        <v>35</v>
      </c>
      <c r="Y15" s="80" t="s">
        <v>236</v>
      </c>
      <c r="Z15" s="80" t="s">
        <v>74</v>
      </c>
      <c r="AA15" s="80" t="s">
        <v>64</v>
      </c>
      <c r="AB15" s="80" t="s">
        <v>194</v>
      </c>
      <c r="AE15" s="22" t="s">
        <v>228</v>
      </c>
      <c r="AP15" s="83" t="s">
        <v>63</v>
      </c>
      <c r="AR15" s="83" t="s">
        <v>66</v>
      </c>
      <c r="AV15" s="83" t="s">
        <v>91</v>
      </c>
    </row>
    <row r="16" spans="1:53" x14ac:dyDescent="0.15">
      <c r="A16" s="80" t="s">
        <v>44</v>
      </c>
      <c r="B16" s="80" t="s">
        <v>190</v>
      </c>
      <c r="C16" s="80">
        <v>2020</v>
      </c>
      <c r="D16" s="138" t="s">
        <v>323</v>
      </c>
      <c r="E16" s="80" t="s">
        <v>328</v>
      </c>
      <c r="F16" s="80" t="s">
        <v>329</v>
      </c>
      <c r="G16" s="80" t="s">
        <v>25</v>
      </c>
      <c r="H16" s="80" t="s">
        <v>113</v>
      </c>
      <c r="I16" s="80" t="s">
        <v>111</v>
      </c>
      <c r="J16" s="80" t="s">
        <v>27</v>
      </c>
      <c r="K16" s="80" t="s">
        <v>112</v>
      </c>
      <c r="L16" s="80">
        <v>3</v>
      </c>
      <c r="M16" s="140"/>
      <c r="N16" s="80">
        <v>6</v>
      </c>
      <c r="O16" s="80">
        <v>0.65</v>
      </c>
      <c r="P16" s="80">
        <v>0.7</v>
      </c>
      <c r="Q16" s="44">
        <f t="shared" si="0"/>
        <v>0.67500000000000004</v>
      </c>
      <c r="R16" s="80">
        <v>16.100000000000001</v>
      </c>
      <c r="S16" s="80">
        <v>103</v>
      </c>
      <c r="T16" s="16">
        <f t="shared" si="1"/>
        <v>33</v>
      </c>
      <c r="U16" s="80">
        <v>498</v>
      </c>
      <c r="V16" s="16">
        <f t="shared" si="2"/>
        <v>2739</v>
      </c>
      <c r="W16" s="80">
        <v>6</v>
      </c>
      <c r="X16" s="80" t="s">
        <v>35</v>
      </c>
      <c r="Y16" s="80" t="s">
        <v>236</v>
      </c>
      <c r="Z16" s="80" t="s">
        <v>74</v>
      </c>
      <c r="AA16" s="80" t="s">
        <v>64</v>
      </c>
      <c r="AB16" s="80" t="s">
        <v>194</v>
      </c>
      <c r="AE16" s="22" t="s">
        <v>229</v>
      </c>
      <c r="AP16" s="83" t="s">
        <v>66</v>
      </c>
      <c r="AR16" s="83" t="s">
        <v>50</v>
      </c>
      <c r="AV16" s="83" t="s">
        <v>70</v>
      </c>
    </row>
    <row r="17" spans="1:48" x14ac:dyDescent="0.15">
      <c r="A17" s="80" t="s">
        <v>44</v>
      </c>
      <c r="B17" s="80" t="s">
        <v>190</v>
      </c>
      <c r="C17" s="80">
        <v>2020</v>
      </c>
      <c r="D17" s="138" t="s">
        <v>323</v>
      </c>
      <c r="E17" s="80" t="s">
        <v>328</v>
      </c>
      <c r="F17" s="80" t="s">
        <v>329</v>
      </c>
      <c r="G17" s="80" t="s">
        <v>25</v>
      </c>
      <c r="H17" s="80" t="s">
        <v>167</v>
      </c>
      <c r="I17" s="80" t="s">
        <v>111</v>
      </c>
      <c r="J17" s="80" t="s">
        <v>27</v>
      </c>
      <c r="K17" s="80" t="s">
        <v>112</v>
      </c>
      <c r="L17" s="80">
        <v>1</v>
      </c>
      <c r="M17" s="140"/>
      <c r="N17" s="80">
        <v>1</v>
      </c>
      <c r="O17" s="80">
        <v>0.5</v>
      </c>
      <c r="P17" s="80">
        <v>0.5</v>
      </c>
      <c r="Q17" s="44">
        <f t="shared" si="0"/>
        <v>0.5</v>
      </c>
      <c r="R17" s="80">
        <v>15.1</v>
      </c>
      <c r="S17" s="80">
        <v>126</v>
      </c>
      <c r="T17" s="16">
        <f t="shared" si="1"/>
        <v>27</v>
      </c>
      <c r="U17" s="80">
        <v>100</v>
      </c>
      <c r="V17" s="16">
        <f t="shared" si="2"/>
        <v>2700</v>
      </c>
      <c r="W17" s="80">
        <v>3</v>
      </c>
      <c r="X17" s="80" t="s">
        <v>35</v>
      </c>
      <c r="Y17" s="80" t="s">
        <v>236</v>
      </c>
      <c r="Z17" s="80" t="s">
        <v>74</v>
      </c>
      <c r="AA17" s="80" t="s">
        <v>64</v>
      </c>
      <c r="AB17" s="80" t="s">
        <v>194</v>
      </c>
      <c r="AE17" s="22" t="s">
        <v>230</v>
      </c>
      <c r="AP17" s="27" t="s">
        <v>231</v>
      </c>
      <c r="AR17" s="83" t="s">
        <v>81</v>
      </c>
      <c r="AV17" s="83" t="s">
        <v>72</v>
      </c>
    </row>
    <row r="18" spans="1:48" x14ac:dyDescent="0.15">
      <c r="A18" s="80" t="s">
        <v>44</v>
      </c>
      <c r="B18" s="80" t="s">
        <v>190</v>
      </c>
      <c r="C18" s="80">
        <v>2020</v>
      </c>
      <c r="D18" s="138" t="s">
        <v>323</v>
      </c>
      <c r="E18" s="80" t="s">
        <v>328</v>
      </c>
      <c r="F18" s="80" t="s">
        <v>329</v>
      </c>
      <c r="G18" s="80" t="s">
        <v>25</v>
      </c>
      <c r="H18" s="80" t="s">
        <v>167</v>
      </c>
      <c r="I18" s="80" t="s">
        <v>111</v>
      </c>
      <c r="J18" s="80" t="s">
        <v>27</v>
      </c>
      <c r="K18" s="80" t="s">
        <v>112</v>
      </c>
      <c r="L18" s="80">
        <v>2</v>
      </c>
      <c r="M18" s="140"/>
      <c r="N18" s="80">
        <v>1</v>
      </c>
      <c r="O18" s="80">
        <v>0.55000000000000004</v>
      </c>
      <c r="P18" s="80">
        <v>0.55000000000000004</v>
      </c>
      <c r="Q18" s="44">
        <f t="shared" si="0"/>
        <v>0.55000000000000004</v>
      </c>
      <c r="R18" s="80">
        <v>16.399999999999999</v>
      </c>
      <c r="S18" s="80">
        <v>128</v>
      </c>
      <c r="T18" s="16">
        <f t="shared" si="1"/>
        <v>27</v>
      </c>
      <c r="U18" s="80">
        <v>100</v>
      </c>
      <c r="V18" s="16">
        <f t="shared" si="2"/>
        <v>2700</v>
      </c>
      <c r="W18" s="80">
        <v>3</v>
      </c>
      <c r="X18" s="80" t="s">
        <v>35</v>
      </c>
      <c r="Y18" s="80" t="s">
        <v>236</v>
      </c>
      <c r="Z18" s="80" t="s">
        <v>74</v>
      </c>
      <c r="AA18" s="80" t="s">
        <v>64</v>
      </c>
      <c r="AB18" s="80" t="s">
        <v>194</v>
      </c>
      <c r="AE18" s="22" t="s">
        <v>223</v>
      </c>
      <c r="AP18" s="27" t="s">
        <v>232</v>
      </c>
      <c r="AR18" s="83" t="s">
        <v>85</v>
      </c>
      <c r="AV18" s="83" t="s">
        <v>74</v>
      </c>
    </row>
    <row r="19" spans="1:48" x14ac:dyDescent="0.15">
      <c r="A19" s="80" t="s">
        <v>44</v>
      </c>
      <c r="B19" s="80" t="s">
        <v>190</v>
      </c>
      <c r="C19" s="80">
        <v>2020</v>
      </c>
      <c r="D19" s="138" t="s">
        <v>323</v>
      </c>
      <c r="E19" s="80" t="s">
        <v>328</v>
      </c>
      <c r="F19" s="80" t="s">
        <v>329</v>
      </c>
      <c r="G19" s="80" t="s">
        <v>25</v>
      </c>
      <c r="H19" s="80" t="s">
        <v>167</v>
      </c>
      <c r="I19" s="80" t="s">
        <v>111</v>
      </c>
      <c r="J19" s="80" t="s">
        <v>27</v>
      </c>
      <c r="K19" s="80" t="s">
        <v>112</v>
      </c>
      <c r="L19" s="80">
        <v>3</v>
      </c>
      <c r="M19" s="140"/>
      <c r="N19" s="80">
        <v>1</v>
      </c>
      <c r="O19" s="80">
        <v>0.5</v>
      </c>
      <c r="P19" s="80">
        <v>0.5</v>
      </c>
      <c r="Q19" s="44">
        <f t="shared" si="0"/>
        <v>0.5</v>
      </c>
      <c r="R19" s="80">
        <v>16.600000000000001</v>
      </c>
      <c r="S19" s="80">
        <v>126</v>
      </c>
      <c r="T19" s="16">
        <f t="shared" si="1"/>
        <v>27</v>
      </c>
      <c r="U19" s="80">
        <v>100</v>
      </c>
      <c r="V19" s="16">
        <f t="shared" si="2"/>
        <v>2700</v>
      </c>
      <c r="W19" s="80">
        <v>3</v>
      </c>
      <c r="X19" s="80" t="s">
        <v>35</v>
      </c>
      <c r="Y19" s="80" t="s">
        <v>236</v>
      </c>
      <c r="Z19" s="80" t="s">
        <v>74</v>
      </c>
      <c r="AA19" s="80" t="s">
        <v>64</v>
      </c>
      <c r="AB19" s="80" t="s">
        <v>194</v>
      </c>
      <c r="AE19" s="35" t="s">
        <v>217</v>
      </c>
      <c r="AP19" s="27" t="s">
        <v>233</v>
      </c>
      <c r="AR19" s="83" t="s">
        <v>234</v>
      </c>
      <c r="AV19" s="83" t="s">
        <v>76</v>
      </c>
    </row>
    <row r="20" spans="1:48" x14ac:dyDescent="0.15">
      <c r="A20" s="80" t="s">
        <v>44</v>
      </c>
      <c r="B20" s="80" t="s">
        <v>190</v>
      </c>
      <c r="C20" s="80">
        <v>2020</v>
      </c>
      <c r="D20" s="138" t="s">
        <v>323</v>
      </c>
      <c r="E20" s="80" t="s">
        <v>328</v>
      </c>
      <c r="F20" s="80" t="s">
        <v>329</v>
      </c>
      <c r="G20" s="80" t="s">
        <v>25</v>
      </c>
      <c r="H20" s="80" t="s">
        <v>167</v>
      </c>
      <c r="I20" s="80" t="s">
        <v>111</v>
      </c>
      <c r="J20" s="80" t="s">
        <v>27</v>
      </c>
      <c r="K20" s="80" t="s">
        <v>112</v>
      </c>
      <c r="L20" s="80">
        <v>1</v>
      </c>
      <c r="M20" s="140"/>
      <c r="N20" s="80">
        <v>5</v>
      </c>
      <c r="O20" s="80">
        <v>0.55000000000000004</v>
      </c>
      <c r="P20" s="80">
        <v>0.55000000000000004</v>
      </c>
      <c r="Q20" s="44">
        <f t="shared" si="0"/>
        <v>0.55000000000000004</v>
      </c>
      <c r="R20" s="80">
        <v>17.3</v>
      </c>
      <c r="S20" s="80">
        <v>90</v>
      </c>
      <c r="T20" s="16">
        <f t="shared" si="1"/>
        <v>36</v>
      </c>
      <c r="U20" s="80">
        <v>480</v>
      </c>
      <c r="V20" s="16">
        <f t="shared" si="2"/>
        <v>3456</v>
      </c>
      <c r="W20" s="80">
        <v>6</v>
      </c>
      <c r="X20" s="80" t="s">
        <v>35</v>
      </c>
      <c r="Y20" s="80" t="s">
        <v>236</v>
      </c>
      <c r="Z20" s="80" t="s">
        <v>74</v>
      </c>
      <c r="AA20" s="80" t="s">
        <v>64</v>
      </c>
      <c r="AB20" s="80" t="s">
        <v>194</v>
      </c>
      <c r="AP20" s="27" t="s">
        <v>235</v>
      </c>
      <c r="AR20" s="83" t="s">
        <v>89</v>
      </c>
      <c r="AV20" s="27" t="s">
        <v>236</v>
      </c>
    </row>
    <row r="21" spans="1:48" x14ac:dyDescent="0.15">
      <c r="A21" s="80" t="s">
        <v>44</v>
      </c>
      <c r="B21" s="80" t="s">
        <v>190</v>
      </c>
      <c r="C21" s="80">
        <v>2020</v>
      </c>
      <c r="D21" s="138" t="s">
        <v>323</v>
      </c>
      <c r="E21" s="80" t="s">
        <v>328</v>
      </c>
      <c r="F21" s="80" t="s">
        <v>329</v>
      </c>
      <c r="G21" s="80" t="s">
        <v>25</v>
      </c>
      <c r="H21" s="80" t="s">
        <v>167</v>
      </c>
      <c r="I21" s="80" t="s">
        <v>111</v>
      </c>
      <c r="J21" s="80" t="s">
        <v>27</v>
      </c>
      <c r="K21" s="80" t="s">
        <v>112</v>
      </c>
      <c r="L21" s="80">
        <v>2</v>
      </c>
      <c r="M21" s="140"/>
      <c r="N21" s="80">
        <v>5</v>
      </c>
      <c r="O21" s="80">
        <v>0.6</v>
      </c>
      <c r="P21" s="80">
        <v>0.6</v>
      </c>
      <c r="Q21" s="44">
        <f t="shared" si="0"/>
        <v>0.6</v>
      </c>
      <c r="R21" s="80">
        <v>17.3</v>
      </c>
      <c r="S21" s="80">
        <v>98</v>
      </c>
      <c r="T21" s="16">
        <f t="shared" si="1"/>
        <v>36</v>
      </c>
      <c r="U21" s="80">
        <v>480</v>
      </c>
      <c r="V21" s="16">
        <f t="shared" si="2"/>
        <v>3456</v>
      </c>
      <c r="W21" s="80">
        <v>6</v>
      </c>
      <c r="X21" s="80" t="s">
        <v>35</v>
      </c>
      <c r="Y21" s="80" t="s">
        <v>236</v>
      </c>
      <c r="Z21" s="80" t="s">
        <v>74</v>
      </c>
      <c r="AA21" s="80" t="s">
        <v>64</v>
      </c>
      <c r="AB21" s="80" t="s">
        <v>194</v>
      </c>
      <c r="AP21" s="27" t="s">
        <v>237</v>
      </c>
      <c r="AR21" s="83" t="s">
        <v>54</v>
      </c>
      <c r="AV21" s="28" t="s">
        <v>238</v>
      </c>
    </row>
    <row r="22" spans="1:48" x14ac:dyDescent="0.15">
      <c r="A22" s="80" t="s">
        <v>44</v>
      </c>
      <c r="B22" s="80" t="s">
        <v>190</v>
      </c>
      <c r="C22" s="80">
        <v>2020</v>
      </c>
      <c r="D22" s="138" t="s">
        <v>323</v>
      </c>
      <c r="E22" s="80" t="s">
        <v>328</v>
      </c>
      <c r="F22" s="80" t="s">
        <v>329</v>
      </c>
      <c r="G22" s="80" t="s">
        <v>25</v>
      </c>
      <c r="H22" s="80" t="s">
        <v>167</v>
      </c>
      <c r="I22" s="80" t="s">
        <v>111</v>
      </c>
      <c r="J22" s="80" t="s">
        <v>27</v>
      </c>
      <c r="K22" s="80" t="s">
        <v>112</v>
      </c>
      <c r="L22" s="80">
        <v>3</v>
      </c>
      <c r="M22" s="140"/>
      <c r="N22" s="80">
        <v>5</v>
      </c>
      <c r="O22" s="80">
        <v>0.6</v>
      </c>
      <c r="P22" s="80">
        <v>0.6</v>
      </c>
      <c r="Q22" s="44">
        <f t="shared" si="0"/>
        <v>0.6</v>
      </c>
      <c r="R22" s="80">
        <v>16.8</v>
      </c>
      <c r="S22" s="80">
        <v>98</v>
      </c>
      <c r="T22" s="16">
        <f t="shared" si="1"/>
        <v>36</v>
      </c>
      <c r="U22" s="80">
        <v>480</v>
      </c>
      <c r="V22" s="16">
        <f t="shared" si="2"/>
        <v>3456</v>
      </c>
      <c r="W22" s="80">
        <v>6</v>
      </c>
      <c r="X22" s="80" t="s">
        <v>35</v>
      </c>
      <c r="Y22" s="80" t="s">
        <v>236</v>
      </c>
      <c r="Z22" s="80" t="s">
        <v>74</v>
      </c>
      <c r="AA22" s="80" t="s">
        <v>64</v>
      </c>
      <c r="AB22" s="80" t="s">
        <v>194</v>
      </c>
      <c r="AP22" s="27" t="s">
        <v>239</v>
      </c>
      <c r="AR22" s="83" t="s">
        <v>69</v>
      </c>
    </row>
    <row r="23" spans="1:48" x14ac:dyDescent="0.15">
      <c r="A23" s="80" t="s">
        <v>44</v>
      </c>
      <c r="B23" s="80" t="s">
        <v>190</v>
      </c>
      <c r="C23" s="80">
        <v>2020</v>
      </c>
      <c r="D23" s="138" t="s">
        <v>323</v>
      </c>
      <c r="E23" s="80" t="s">
        <v>316</v>
      </c>
      <c r="F23" s="80" t="s">
        <v>325</v>
      </c>
      <c r="G23" s="80" t="s">
        <v>25</v>
      </c>
      <c r="H23" s="80" t="s">
        <v>113</v>
      </c>
      <c r="I23" s="80" t="s">
        <v>111</v>
      </c>
      <c r="J23" s="80" t="s">
        <v>27</v>
      </c>
      <c r="K23" s="80" t="s">
        <v>112</v>
      </c>
      <c r="L23" s="80">
        <v>1</v>
      </c>
      <c r="M23" s="140"/>
      <c r="N23" s="80">
        <v>1</v>
      </c>
      <c r="O23" s="80">
        <v>0.85</v>
      </c>
      <c r="P23" s="80">
        <v>0.75</v>
      </c>
      <c r="Q23" s="44">
        <f t="shared" si="0"/>
        <v>0.8</v>
      </c>
      <c r="R23" s="80">
        <v>16.100000000000001</v>
      </c>
      <c r="S23" s="80">
        <v>114</v>
      </c>
      <c r="T23" s="16">
        <f t="shared" si="1"/>
        <v>30</v>
      </c>
      <c r="U23" s="80">
        <v>98</v>
      </c>
      <c r="V23" s="16">
        <f t="shared" si="2"/>
        <v>2940</v>
      </c>
      <c r="W23" s="80">
        <v>2</v>
      </c>
      <c r="X23" s="80" t="s">
        <v>35</v>
      </c>
      <c r="Y23" s="80" t="s">
        <v>64</v>
      </c>
      <c r="Z23" s="80" t="s">
        <v>86</v>
      </c>
      <c r="AA23" s="80" t="s">
        <v>43</v>
      </c>
      <c r="AB23" s="80" t="s">
        <v>194</v>
      </c>
      <c r="AP23" s="27" t="s">
        <v>336</v>
      </c>
      <c r="AR23" s="83" t="s">
        <v>48</v>
      </c>
    </row>
    <row r="24" spans="1:48" x14ac:dyDescent="0.15">
      <c r="A24" s="80" t="s">
        <v>44</v>
      </c>
      <c r="B24" s="80" t="s">
        <v>190</v>
      </c>
      <c r="C24" s="80">
        <v>2020</v>
      </c>
      <c r="D24" s="138" t="s">
        <v>323</v>
      </c>
      <c r="E24" s="80" t="s">
        <v>316</v>
      </c>
      <c r="F24" s="80" t="s">
        <v>325</v>
      </c>
      <c r="G24" s="80" t="s">
        <v>25</v>
      </c>
      <c r="H24" s="80" t="s">
        <v>113</v>
      </c>
      <c r="I24" s="80" t="s">
        <v>111</v>
      </c>
      <c r="J24" s="80" t="s">
        <v>27</v>
      </c>
      <c r="K24" s="80" t="s">
        <v>112</v>
      </c>
      <c r="L24" s="80">
        <v>2</v>
      </c>
      <c r="M24" s="140"/>
      <c r="N24" s="80">
        <v>1</v>
      </c>
      <c r="O24" s="80">
        <v>0.9</v>
      </c>
      <c r="P24" s="80">
        <v>1</v>
      </c>
      <c r="Q24" s="44">
        <f t="shared" si="0"/>
        <v>0.95</v>
      </c>
      <c r="R24" s="80">
        <v>12.6</v>
      </c>
      <c r="S24" s="80">
        <v>110</v>
      </c>
      <c r="T24" s="16">
        <f t="shared" si="1"/>
        <v>33</v>
      </c>
      <c r="U24" s="80">
        <v>98</v>
      </c>
      <c r="V24" s="16">
        <f t="shared" si="2"/>
        <v>3234</v>
      </c>
      <c r="W24" s="80">
        <v>2</v>
      </c>
      <c r="X24" s="80" t="s">
        <v>35</v>
      </c>
      <c r="Y24" s="80" t="s">
        <v>64</v>
      </c>
      <c r="Z24" s="80" t="s">
        <v>86</v>
      </c>
      <c r="AA24" s="80" t="s">
        <v>43</v>
      </c>
      <c r="AB24" s="80" t="s">
        <v>194</v>
      </c>
      <c r="AP24" s="27" t="s">
        <v>337</v>
      </c>
      <c r="AR24" s="83" t="s">
        <v>77</v>
      </c>
    </row>
    <row r="25" spans="1:48" x14ac:dyDescent="0.15">
      <c r="A25" s="80" t="s">
        <v>44</v>
      </c>
      <c r="B25" s="80" t="s">
        <v>190</v>
      </c>
      <c r="C25" s="80">
        <v>2020</v>
      </c>
      <c r="D25" s="138" t="s">
        <v>323</v>
      </c>
      <c r="E25" s="80" t="s">
        <v>316</v>
      </c>
      <c r="F25" s="80" t="s">
        <v>325</v>
      </c>
      <c r="G25" s="80" t="s">
        <v>25</v>
      </c>
      <c r="H25" s="80" t="s">
        <v>113</v>
      </c>
      <c r="I25" s="80" t="s">
        <v>111</v>
      </c>
      <c r="J25" s="80" t="s">
        <v>27</v>
      </c>
      <c r="K25" s="80" t="s">
        <v>112</v>
      </c>
      <c r="L25" s="80">
        <v>3</v>
      </c>
      <c r="M25" s="140"/>
      <c r="N25" s="80">
        <v>1</v>
      </c>
      <c r="O25" s="80">
        <v>0.6</v>
      </c>
      <c r="P25" s="80">
        <v>0.7</v>
      </c>
      <c r="Q25" s="44">
        <f t="shared" si="0"/>
        <v>0.64999999999999991</v>
      </c>
      <c r="R25" s="80">
        <v>15.4</v>
      </c>
      <c r="S25" s="80">
        <v>108</v>
      </c>
      <c r="T25" s="16">
        <f t="shared" si="1"/>
        <v>33</v>
      </c>
      <c r="U25" s="80">
        <v>98</v>
      </c>
      <c r="V25" s="16">
        <f t="shared" si="2"/>
        <v>3234</v>
      </c>
      <c r="W25" s="80">
        <v>2</v>
      </c>
      <c r="X25" s="80" t="s">
        <v>35</v>
      </c>
      <c r="Y25" s="80" t="s">
        <v>64</v>
      </c>
      <c r="Z25" s="80" t="s">
        <v>86</v>
      </c>
      <c r="AA25" s="80" t="s">
        <v>43</v>
      </c>
      <c r="AB25" s="80" t="s">
        <v>194</v>
      </c>
      <c r="AP25" s="27" t="s">
        <v>338</v>
      </c>
      <c r="AR25" s="27" t="s">
        <v>40</v>
      </c>
    </row>
    <row r="26" spans="1:48" x14ac:dyDescent="0.15">
      <c r="A26" s="80" t="s">
        <v>44</v>
      </c>
      <c r="B26" s="80" t="s">
        <v>190</v>
      </c>
      <c r="C26" s="80">
        <v>2020</v>
      </c>
      <c r="D26" s="138" t="s">
        <v>323</v>
      </c>
      <c r="E26" s="80" t="s">
        <v>316</v>
      </c>
      <c r="F26" s="80" t="s">
        <v>325</v>
      </c>
      <c r="G26" s="80" t="s">
        <v>25</v>
      </c>
      <c r="H26" s="80" t="s">
        <v>113</v>
      </c>
      <c r="I26" s="80" t="s">
        <v>111</v>
      </c>
      <c r="J26" s="80" t="s">
        <v>27</v>
      </c>
      <c r="K26" s="80" t="s">
        <v>112</v>
      </c>
      <c r="L26" s="80">
        <v>1</v>
      </c>
      <c r="M26" s="140"/>
      <c r="N26" s="80">
        <v>6</v>
      </c>
      <c r="O26" s="80">
        <v>0.6</v>
      </c>
      <c r="P26" s="80">
        <v>0.6</v>
      </c>
      <c r="Q26" s="44">
        <f t="shared" si="0"/>
        <v>0.6</v>
      </c>
      <c r="R26" s="80">
        <v>13.9</v>
      </c>
      <c r="S26" s="80">
        <v>100</v>
      </c>
      <c r="T26" s="16">
        <f t="shared" si="1"/>
        <v>33</v>
      </c>
      <c r="U26" s="80">
        <v>398</v>
      </c>
      <c r="V26" s="16">
        <f t="shared" si="2"/>
        <v>2189</v>
      </c>
      <c r="W26" s="80">
        <v>2</v>
      </c>
      <c r="X26" s="80" t="s">
        <v>35</v>
      </c>
      <c r="Y26" s="80" t="s">
        <v>64</v>
      </c>
      <c r="Z26" s="80" t="s">
        <v>86</v>
      </c>
      <c r="AA26" s="80" t="s">
        <v>43</v>
      </c>
      <c r="AB26" s="80" t="s">
        <v>194</v>
      </c>
      <c r="AP26" s="27" t="s">
        <v>240</v>
      </c>
      <c r="AR26" s="80" t="s">
        <v>241</v>
      </c>
    </row>
    <row r="27" spans="1:48" x14ac:dyDescent="0.15">
      <c r="A27" s="80" t="s">
        <v>44</v>
      </c>
      <c r="B27" s="80" t="s">
        <v>190</v>
      </c>
      <c r="C27" s="80">
        <v>2020</v>
      </c>
      <c r="D27" s="138" t="s">
        <v>323</v>
      </c>
      <c r="E27" s="80" t="s">
        <v>316</v>
      </c>
      <c r="F27" s="80" t="s">
        <v>325</v>
      </c>
      <c r="G27" s="80" t="s">
        <v>25</v>
      </c>
      <c r="H27" s="80" t="s">
        <v>113</v>
      </c>
      <c r="I27" s="80" t="s">
        <v>111</v>
      </c>
      <c r="J27" s="80" t="s">
        <v>27</v>
      </c>
      <c r="K27" s="80" t="s">
        <v>112</v>
      </c>
      <c r="L27" s="80">
        <v>2</v>
      </c>
      <c r="M27" s="140"/>
      <c r="N27" s="80">
        <v>6</v>
      </c>
      <c r="O27" s="80">
        <v>0.6</v>
      </c>
      <c r="P27" s="80">
        <v>0.6</v>
      </c>
      <c r="Q27" s="44">
        <f t="shared" si="0"/>
        <v>0.6</v>
      </c>
      <c r="R27" s="80">
        <v>13.2</v>
      </c>
      <c r="S27" s="80">
        <v>97</v>
      </c>
      <c r="T27" s="16">
        <f t="shared" si="1"/>
        <v>36</v>
      </c>
      <c r="U27" s="80">
        <v>398</v>
      </c>
      <c r="V27" s="16">
        <f t="shared" si="2"/>
        <v>2388</v>
      </c>
      <c r="W27" s="80">
        <v>2</v>
      </c>
      <c r="X27" s="80" t="s">
        <v>35</v>
      </c>
      <c r="Y27" s="80" t="s">
        <v>64</v>
      </c>
      <c r="Z27" s="80" t="s">
        <v>86</v>
      </c>
      <c r="AA27" s="80" t="s">
        <v>43</v>
      </c>
      <c r="AB27" s="80" t="s">
        <v>194</v>
      </c>
      <c r="AP27" s="27" t="s">
        <v>242</v>
      </c>
    </row>
    <row r="28" spans="1:48" x14ac:dyDescent="0.15">
      <c r="A28" s="80" t="s">
        <v>44</v>
      </c>
      <c r="B28" s="80" t="s">
        <v>190</v>
      </c>
      <c r="C28" s="80">
        <v>2020</v>
      </c>
      <c r="D28" s="138" t="s">
        <v>323</v>
      </c>
      <c r="E28" s="80" t="s">
        <v>316</v>
      </c>
      <c r="F28" s="80" t="s">
        <v>325</v>
      </c>
      <c r="G28" s="80" t="s">
        <v>25</v>
      </c>
      <c r="H28" s="80" t="s">
        <v>113</v>
      </c>
      <c r="I28" s="80" t="s">
        <v>111</v>
      </c>
      <c r="J28" s="80" t="s">
        <v>27</v>
      </c>
      <c r="K28" s="80" t="s">
        <v>112</v>
      </c>
      <c r="L28" s="80">
        <v>3</v>
      </c>
      <c r="M28" s="140"/>
      <c r="N28" s="80">
        <v>6</v>
      </c>
      <c r="O28" s="80">
        <v>0.8</v>
      </c>
      <c r="P28" s="80">
        <v>0.75</v>
      </c>
      <c r="Q28" s="44">
        <f t="shared" si="0"/>
        <v>0.77500000000000002</v>
      </c>
      <c r="R28" s="80">
        <v>13.6</v>
      </c>
      <c r="S28" s="80">
        <v>100</v>
      </c>
      <c r="T28" s="16">
        <f t="shared" si="1"/>
        <v>33</v>
      </c>
      <c r="U28" s="80">
        <v>398</v>
      </c>
      <c r="V28" s="16">
        <f t="shared" si="2"/>
        <v>2189</v>
      </c>
      <c r="W28" s="80">
        <v>2</v>
      </c>
      <c r="X28" s="80" t="s">
        <v>35</v>
      </c>
      <c r="Y28" s="80" t="s">
        <v>64</v>
      </c>
      <c r="Z28" s="80" t="s">
        <v>86</v>
      </c>
      <c r="AA28" s="80" t="s">
        <v>43</v>
      </c>
      <c r="AB28" s="80" t="s">
        <v>194</v>
      </c>
    </row>
    <row r="29" spans="1:48" x14ac:dyDescent="0.15">
      <c r="A29" s="80" t="s">
        <v>44</v>
      </c>
      <c r="B29" s="80" t="s">
        <v>190</v>
      </c>
      <c r="C29" s="80">
        <v>2020</v>
      </c>
      <c r="D29" s="138" t="s">
        <v>323</v>
      </c>
      <c r="E29" s="80" t="s">
        <v>316</v>
      </c>
      <c r="F29" s="80" t="s">
        <v>325</v>
      </c>
      <c r="G29" s="80" t="s">
        <v>25</v>
      </c>
      <c r="H29" s="80" t="s">
        <v>113</v>
      </c>
      <c r="I29" s="80" t="s">
        <v>111</v>
      </c>
      <c r="J29" s="80" t="s">
        <v>27</v>
      </c>
      <c r="K29" s="80" t="s">
        <v>112</v>
      </c>
      <c r="L29" s="80">
        <v>1</v>
      </c>
      <c r="M29" s="140"/>
      <c r="N29" s="80">
        <v>8</v>
      </c>
      <c r="O29" s="80">
        <v>0.75</v>
      </c>
      <c r="P29" s="80">
        <v>0.7</v>
      </c>
      <c r="Q29" s="44">
        <f t="shared" si="0"/>
        <v>0.72499999999999998</v>
      </c>
      <c r="R29" s="80">
        <v>16.100000000000001</v>
      </c>
      <c r="S29" s="80">
        <v>94</v>
      </c>
      <c r="T29" s="16">
        <f t="shared" si="1"/>
        <v>36</v>
      </c>
      <c r="U29" s="80">
        <v>498</v>
      </c>
      <c r="V29" s="16">
        <f t="shared" si="2"/>
        <v>2241</v>
      </c>
      <c r="W29" s="80">
        <v>2</v>
      </c>
      <c r="X29" s="80" t="s">
        <v>35</v>
      </c>
      <c r="Y29" s="80" t="s">
        <v>64</v>
      </c>
      <c r="Z29" s="80" t="s">
        <v>86</v>
      </c>
      <c r="AA29" s="80" t="s">
        <v>43</v>
      </c>
      <c r="AB29" s="80" t="s">
        <v>194</v>
      </c>
    </row>
    <row r="30" spans="1:48" x14ac:dyDescent="0.15">
      <c r="A30" s="80" t="s">
        <v>44</v>
      </c>
      <c r="B30" s="80" t="s">
        <v>190</v>
      </c>
      <c r="C30" s="80">
        <v>2020</v>
      </c>
      <c r="D30" s="138" t="s">
        <v>323</v>
      </c>
      <c r="E30" s="80" t="s">
        <v>316</v>
      </c>
      <c r="F30" s="80" t="s">
        <v>325</v>
      </c>
      <c r="G30" s="80" t="s">
        <v>25</v>
      </c>
      <c r="H30" s="80" t="s">
        <v>113</v>
      </c>
      <c r="I30" s="80" t="s">
        <v>111</v>
      </c>
      <c r="J30" s="80" t="s">
        <v>27</v>
      </c>
      <c r="K30" s="80" t="s">
        <v>112</v>
      </c>
      <c r="L30" s="80">
        <v>2</v>
      </c>
      <c r="M30" s="140"/>
      <c r="N30" s="80">
        <v>8</v>
      </c>
      <c r="O30" s="80">
        <v>0.8</v>
      </c>
      <c r="P30" s="80">
        <v>0.75</v>
      </c>
      <c r="Q30" s="44">
        <f t="shared" si="0"/>
        <v>0.77500000000000002</v>
      </c>
      <c r="R30" s="80">
        <v>15.8</v>
      </c>
      <c r="S30" s="80">
        <v>96</v>
      </c>
      <c r="T30" s="16">
        <f t="shared" si="1"/>
        <v>36</v>
      </c>
      <c r="U30" s="80">
        <v>498</v>
      </c>
      <c r="V30" s="16">
        <f t="shared" si="2"/>
        <v>2241</v>
      </c>
      <c r="W30" s="80">
        <v>2</v>
      </c>
      <c r="X30" s="80" t="s">
        <v>35</v>
      </c>
      <c r="Y30" s="80" t="s">
        <v>64</v>
      </c>
      <c r="Z30" s="80" t="s">
        <v>86</v>
      </c>
      <c r="AA30" s="80" t="s">
        <v>43</v>
      </c>
      <c r="AB30" s="80" t="s">
        <v>194</v>
      </c>
    </row>
    <row r="31" spans="1:48" x14ac:dyDescent="0.15">
      <c r="A31" s="80" t="s">
        <v>44</v>
      </c>
      <c r="B31" s="80" t="s">
        <v>190</v>
      </c>
      <c r="C31" s="80">
        <v>2020</v>
      </c>
      <c r="D31" s="138" t="s">
        <v>323</v>
      </c>
      <c r="E31" s="80" t="s">
        <v>316</v>
      </c>
      <c r="F31" s="80" t="s">
        <v>325</v>
      </c>
      <c r="G31" s="80" t="s">
        <v>25</v>
      </c>
      <c r="H31" s="80" t="s">
        <v>113</v>
      </c>
      <c r="I31" s="80" t="s">
        <v>111</v>
      </c>
      <c r="J31" s="80" t="s">
        <v>27</v>
      </c>
      <c r="K31" s="80" t="s">
        <v>112</v>
      </c>
      <c r="L31" s="80">
        <v>3</v>
      </c>
      <c r="M31" s="140"/>
      <c r="N31" s="80">
        <v>8</v>
      </c>
      <c r="O31" s="80">
        <v>0.7</v>
      </c>
      <c r="P31" s="80">
        <v>0.7</v>
      </c>
      <c r="Q31" s="44">
        <f t="shared" si="0"/>
        <v>0.7</v>
      </c>
      <c r="R31" s="80">
        <v>15.1</v>
      </c>
      <c r="S31" s="80">
        <v>106</v>
      </c>
      <c r="T31" s="16">
        <f t="shared" si="1"/>
        <v>33</v>
      </c>
      <c r="U31" s="80">
        <v>498</v>
      </c>
      <c r="V31" s="16">
        <f t="shared" si="2"/>
        <v>2054.25</v>
      </c>
      <c r="W31" s="80">
        <v>2</v>
      </c>
      <c r="X31" s="80" t="s">
        <v>35</v>
      </c>
      <c r="Y31" s="80" t="s">
        <v>64</v>
      </c>
      <c r="Z31" s="80" t="s">
        <v>86</v>
      </c>
      <c r="AA31" s="80" t="s">
        <v>43</v>
      </c>
      <c r="AB31" s="80" t="s">
        <v>194</v>
      </c>
    </row>
    <row r="32" spans="1:48" x14ac:dyDescent="0.15">
      <c r="A32" s="80" t="s">
        <v>44</v>
      </c>
      <c r="B32" s="80" t="s">
        <v>190</v>
      </c>
      <c r="C32" s="80">
        <v>2020</v>
      </c>
      <c r="D32" s="138" t="s">
        <v>323</v>
      </c>
      <c r="E32" s="80" t="s">
        <v>316</v>
      </c>
      <c r="F32" s="80" t="s">
        <v>325</v>
      </c>
      <c r="G32" s="80" t="s">
        <v>25</v>
      </c>
      <c r="H32" s="80" t="s">
        <v>167</v>
      </c>
      <c r="I32" s="80" t="s">
        <v>111</v>
      </c>
      <c r="J32" s="80" t="s">
        <v>27</v>
      </c>
      <c r="K32" s="80" t="s">
        <v>112</v>
      </c>
      <c r="L32" s="80">
        <v>1</v>
      </c>
      <c r="M32" s="140"/>
      <c r="N32" s="80">
        <v>1</v>
      </c>
      <c r="O32" s="80">
        <v>0.55000000000000004</v>
      </c>
      <c r="P32" s="80">
        <v>0.55000000000000004</v>
      </c>
      <c r="Q32" s="44">
        <f t="shared" si="0"/>
        <v>0.55000000000000004</v>
      </c>
      <c r="R32" s="80">
        <v>16.600000000000001</v>
      </c>
      <c r="S32" s="80">
        <v>108</v>
      </c>
      <c r="T32" s="16">
        <f t="shared" si="1"/>
        <v>33</v>
      </c>
      <c r="U32" s="80">
        <v>98</v>
      </c>
      <c r="V32" s="16">
        <f t="shared" si="2"/>
        <v>3234</v>
      </c>
      <c r="W32" s="80">
        <v>4</v>
      </c>
      <c r="X32" s="80" t="s">
        <v>35</v>
      </c>
      <c r="Y32" s="80" t="s">
        <v>64</v>
      </c>
      <c r="Z32" s="80" t="s">
        <v>86</v>
      </c>
      <c r="AA32" s="80" t="s">
        <v>43</v>
      </c>
      <c r="AB32" s="80" t="s">
        <v>194</v>
      </c>
    </row>
    <row r="33" spans="1:28" x14ac:dyDescent="0.15">
      <c r="A33" s="80" t="s">
        <v>44</v>
      </c>
      <c r="B33" s="80" t="s">
        <v>190</v>
      </c>
      <c r="C33" s="80">
        <v>2020</v>
      </c>
      <c r="D33" s="138" t="s">
        <v>323</v>
      </c>
      <c r="E33" s="80" t="s">
        <v>316</v>
      </c>
      <c r="F33" s="80" t="s">
        <v>325</v>
      </c>
      <c r="G33" s="80" t="s">
        <v>25</v>
      </c>
      <c r="H33" s="80" t="s">
        <v>167</v>
      </c>
      <c r="I33" s="80" t="s">
        <v>111</v>
      </c>
      <c r="J33" s="80" t="s">
        <v>27</v>
      </c>
      <c r="K33" s="80" t="s">
        <v>112</v>
      </c>
      <c r="L33" s="80">
        <v>2</v>
      </c>
      <c r="M33" s="140"/>
      <c r="N33" s="80">
        <v>1</v>
      </c>
      <c r="O33" s="80">
        <v>0.6</v>
      </c>
      <c r="P33" s="80">
        <v>0.6</v>
      </c>
      <c r="Q33" s="44">
        <f t="shared" si="0"/>
        <v>0.6</v>
      </c>
      <c r="R33" s="80">
        <v>15.4</v>
      </c>
      <c r="S33" s="80">
        <v>111</v>
      </c>
      <c r="T33" s="16">
        <f t="shared" si="1"/>
        <v>33</v>
      </c>
      <c r="U33" s="80">
        <v>98</v>
      </c>
      <c r="V33" s="16">
        <f t="shared" si="2"/>
        <v>3234</v>
      </c>
      <c r="W33" s="80">
        <v>4</v>
      </c>
      <c r="X33" s="80" t="s">
        <v>35</v>
      </c>
      <c r="Y33" s="80" t="s">
        <v>64</v>
      </c>
      <c r="Z33" s="80" t="s">
        <v>86</v>
      </c>
      <c r="AA33" s="80" t="s">
        <v>43</v>
      </c>
      <c r="AB33" s="80" t="s">
        <v>194</v>
      </c>
    </row>
    <row r="34" spans="1:28" x14ac:dyDescent="0.15">
      <c r="A34" s="80" t="s">
        <v>44</v>
      </c>
      <c r="B34" s="80" t="s">
        <v>190</v>
      </c>
      <c r="C34" s="80">
        <v>2020</v>
      </c>
      <c r="D34" s="138" t="s">
        <v>323</v>
      </c>
      <c r="E34" s="80" t="s">
        <v>316</v>
      </c>
      <c r="F34" s="80" t="s">
        <v>325</v>
      </c>
      <c r="G34" s="80" t="s">
        <v>25</v>
      </c>
      <c r="H34" s="80" t="s">
        <v>167</v>
      </c>
      <c r="I34" s="80" t="s">
        <v>111</v>
      </c>
      <c r="J34" s="80" t="s">
        <v>27</v>
      </c>
      <c r="K34" s="80" t="s">
        <v>112</v>
      </c>
      <c r="L34" s="80">
        <v>3</v>
      </c>
      <c r="M34" s="140"/>
      <c r="N34" s="80">
        <v>1</v>
      </c>
      <c r="O34" s="80">
        <v>0.55000000000000004</v>
      </c>
      <c r="P34" s="80">
        <v>0.55000000000000004</v>
      </c>
      <c r="Q34" s="44">
        <f t="shared" si="0"/>
        <v>0.55000000000000004</v>
      </c>
      <c r="R34" s="80">
        <v>16.2</v>
      </c>
      <c r="S34" s="80">
        <v>115</v>
      </c>
      <c r="T34" s="16">
        <f t="shared" si="1"/>
        <v>30</v>
      </c>
      <c r="U34" s="80">
        <v>98</v>
      </c>
      <c r="V34" s="16">
        <f t="shared" si="2"/>
        <v>2940</v>
      </c>
      <c r="W34" s="80">
        <v>4</v>
      </c>
      <c r="X34" s="80" t="s">
        <v>35</v>
      </c>
      <c r="Y34" s="80" t="s">
        <v>64</v>
      </c>
      <c r="Z34" s="80" t="s">
        <v>86</v>
      </c>
      <c r="AA34" s="80" t="s">
        <v>43</v>
      </c>
      <c r="AB34" s="80" t="s">
        <v>194</v>
      </c>
    </row>
    <row r="35" spans="1:28" x14ac:dyDescent="0.15">
      <c r="A35" s="80" t="s">
        <v>44</v>
      </c>
      <c r="B35" s="80" t="s">
        <v>190</v>
      </c>
      <c r="C35" s="80">
        <v>2020</v>
      </c>
      <c r="D35" s="138" t="s">
        <v>323</v>
      </c>
      <c r="E35" s="80" t="s">
        <v>316</v>
      </c>
      <c r="F35" s="80" t="s">
        <v>325</v>
      </c>
      <c r="G35" s="80" t="s">
        <v>25</v>
      </c>
      <c r="H35" s="80" t="s">
        <v>167</v>
      </c>
      <c r="I35" s="80" t="s">
        <v>111</v>
      </c>
      <c r="J35" s="80" t="s">
        <v>27</v>
      </c>
      <c r="K35" s="80" t="s">
        <v>112</v>
      </c>
      <c r="L35" s="80">
        <v>1</v>
      </c>
      <c r="M35" s="140"/>
      <c r="N35" s="80">
        <v>4</v>
      </c>
      <c r="O35" s="80">
        <v>0.65</v>
      </c>
      <c r="P35" s="80">
        <v>0.65</v>
      </c>
      <c r="Q35" s="44">
        <f t="shared" si="0"/>
        <v>0.65</v>
      </c>
      <c r="R35" s="80">
        <v>15</v>
      </c>
      <c r="S35" s="80">
        <v>91</v>
      </c>
      <c r="T35" s="16">
        <f t="shared" si="1"/>
        <v>36</v>
      </c>
      <c r="U35" s="80">
        <v>498</v>
      </c>
      <c r="V35" s="16">
        <f t="shared" si="2"/>
        <v>4482</v>
      </c>
      <c r="W35" s="80">
        <v>2</v>
      </c>
      <c r="X35" s="80" t="s">
        <v>35</v>
      </c>
      <c r="Y35" s="80" t="s">
        <v>64</v>
      </c>
      <c r="Z35" s="80" t="s">
        <v>86</v>
      </c>
      <c r="AA35" s="80" t="s">
        <v>43</v>
      </c>
      <c r="AB35" s="80" t="s">
        <v>194</v>
      </c>
    </row>
    <row r="36" spans="1:28" x14ac:dyDescent="0.15">
      <c r="A36" s="80" t="s">
        <v>44</v>
      </c>
      <c r="B36" s="80" t="s">
        <v>190</v>
      </c>
      <c r="C36" s="80">
        <v>2020</v>
      </c>
      <c r="D36" s="138" t="s">
        <v>323</v>
      </c>
      <c r="E36" s="80" t="s">
        <v>316</v>
      </c>
      <c r="F36" s="80" t="s">
        <v>325</v>
      </c>
      <c r="G36" s="80" t="s">
        <v>25</v>
      </c>
      <c r="H36" s="80" t="s">
        <v>167</v>
      </c>
      <c r="I36" s="80" t="s">
        <v>111</v>
      </c>
      <c r="J36" s="80" t="s">
        <v>27</v>
      </c>
      <c r="K36" s="80" t="s">
        <v>112</v>
      </c>
      <c r="L36" s="80">
        <v>2</v>
      </c>
      <c r="M36" s="140"/>
      <c r="N36" s="80">
        <v>4</v>
      </c>
      <c r="O36" s="80">
        <v>0.65</v>
      </c>
      <c r="P36" s="80">
        <v>0.65</v>
      </c>
      <c r="Q36" s="44">
        <f t="shared" si="0"/>
        <v>0.65</v>
      </c>
      <c r="R36" s="80">
        <v>14.7</v>
      </c>
      <c r="S36" s="80">
        <v>90</v>
      </c>
      <c r="T36" s="16">
        <f t="shared" si="1"/>
        <v>36</v>
      </c>
      <c r="U36" s="80">
        <v>498</v>
      </c>
      <c r="V36" s="16">
        <f t="shared" si="2"/>
        <v>4482</v>
      </c>
      <c r="W36" s="80">
        <v>2</v>
      </c>
      <c r="X36" s="80" t="s">
        <v>35</v>
      </c>
      <c r="Y36" s="80" t="s">
        <v>64</v>
      </c>
      <c r="Z36" s="80" t="s">
        <v>86</v>
      </c>
      <c r="AA36" s="80" t="s">
        <v>43</v>
      </c>
      <c r="AB36" s="80" t="s">
        <v>194</v>
      </c>
    </row>
    <row r="37" spans="1:28" x14ac:dyDescent="0.15">
      <c r="A37" s="80" t="s">
        <v>44</v>
      </c>
      <c r="B37" s="80" t="s">
        <v>190</v>
      </c>
      <c r="C37" s="80">
        <v>2020</v>
      </c>
      <c r="D37" s="138" t="s">
        <v>323</v>
      </c>
      <c r="E37" s="80" t="s">
        <v>316</v>
      </c>
      <c r="F37" s="80" t="s">
        <v>325</v>
      </c>
      <c r="G37" s="80" t="s">
        <v>25</v>
      </c>
      <c r="H37" s="80" t="s">
        <v>167</v>
      </c>
      <c r="I37" s="80" t="s">
        <v>111</v>
      </c>
      <c r="J37" s="80" t="s">
        <v>27</v>
      </c>
      <c r="K37" s="80" t="s">
        <v>112</v>
      </c>
      <c r="L37" s="80">
        <v>3</v>
      </c>
      <c r="M37" s="140"/>
      <c r="N37" s="80">
        <v>4</v>
      </c>
      <c r="O37" s="80">
        <v>0.5</v>
      </c>
      <c r="P37" s="80">
        <v>0.5</v>
      </c>
      <c r="Q37" s="44">
        <f t="shared" si="0"/>
        <v>0.5</v>
      </c>
      <c r="R37" s="80">
        <v>11.5</v>
      </c>
      <c r="S37" s="80">
        <v>85</v>
      </c>
      <c r="T37" s="16">
        <f t="shared" si="1"/>
        <v>36</v>
      </c>
      <c r="U37" s="80">
        <v>498</v>
      </c>
      <c r="V37" s="16">
        <f t="shared" si="2"/>
        <v>4482</v>
      </c>
      <c r="W37" s="80">
        <v>2</v>
      </c>
      <c r="X37" s="80" t="s">
        <v>35</v>
      </c>
      <c r="Y37" s="80" t="s">
        <v>64</v>
      </c>
      <c r="Z37" s="80" t="s">
        <v>86</v>
      </c>
      <c r="AA37" s="80" t="s">
        <v>43</v>
      </c>
      <c r="AB37" s="80" t="s">
        <v>194</v>
      </c>
    </row>
    <row r="38" spans="1:28" x14ac:dyDescent="0.15">
      <c r="A38" s="80" t="s">
        <v>44</v>
      </c>
      <c r="B38" s="80" t="s">
        <v>190</v>
      </c>
      <c r="C38" s="80">
        <v>2020</v>
      </c>
      <c r="D38" s="138" t="s">
        <v>323</v>
      </c>
      <c r="E38" s="80" t="s">
        <v>316</v>
      </c>
      <c r="F38" s="80" t="s">
        <v>325</v>
      </c>
      <c r="G38" s="80" t="s">
        <v>25</v>
      </c>
      <c r="H38" s="80" t="s">
        <v>167</v>
      </c>
      <c r="I38" s="80" t="s">
        <v>111</v>
      </c>
      <c r="J38" s="80" t="s">
        <v>27</v>
      </c>
      <c r="K38" s="80" t="s">
        <v>112</v>
      </c>
      <c r="L38" s="80">
        <v>1</v>
      </c>
      <c r="M38" s="140"/>
      <c r="N38" s="80">
        <v>3</v>
      </c>
      <c r="O38" s="80">
        <v>0.5</v>
      </c>
      <c r="P38" s="80">
        <v>0.5</v>
      </c>
      <c r="Q38" s="44">
        <f t="shared" si="0"/>
        <v>0.5</v>
      </c>
      <c r="R38" s="80">
        <v>17.3</v>
      </c>
      <c r="S38" s="80">
        <v>162</v>
      </c>
      <c r="T38" s="16">
        <f t="shared" si="1"/>
        <v>22</v>
      </c>
      <c r="U38" s="80">
        <v>498</v>
      </c>
      <c r="V38" s="16">
        <f t="shared" si="2"/>
        <v>3652</v>
      </c>
      <c r="W38" s="80">
        <v>2</v>
      </c>
      <c r="X38" s="80" t="s">
        <v>35</v>
      </c>
      <c r="Y38" s="80" t="s">
        <v>64</v>
      </c>
      <c r="Z38" s="80" t="s">
        <v>86</v>
      </c>
      <c r="AA38" s="80" t="s">
        <v>43</v>
      </c>
      <c r="AB38" s="80" t="s">
        <v>194</v>
      </c>
    </row>
    <row r="39" spans="1:28" x14ac:dyDescent="0.15">
      <c r="A39" s="80" t="s">
        <v>44</v>
      </c>
      <c r="B39" s="80" t="s">
        <v>190</v>
      </c>
      <c r="C39" s="80">
        <v>2020</v>
      </c>
      <c r="D39" s="138" t="s">
        <v>323</v>
      </c>
      <c r="E39" s="80" t="s">
        <v>316</v>
      </c>
      <c r="F39" s="80" t="s">
        <v>325</v>
      </c>
      <c r="G39" s="80" t="s">
        <v>25</v>
      </c>
      <c r="H39" s="80" t="s">
        <v>167</v>
      </c>
      <c r="I39" s="80" t="s">
        <v>111</v>
      </c>
      <c r="J39" s="80" t="s">
        <v>27</v>
      </c>
      <c r="K39" s="80" t="s">
        <v>112</v>
      </c>
      <c r="L39" s="80">
        <v>2</v>
      </c>
      <c r="M39" s="140"/>
      <c r="N39" s="80">
        <v>3</v>
      </c>
      <c r="O39" s="80">
        <v>0.5</v>
      </c>
      <c r="P39" s="80">
        <v>0.5</v>
      </c>
      <c r="Q39" s="44">
        <f t="shared" si="0"/>
        <v>0.5</v>
      </c>
      <c r="R39" s="80">
        <v>17.7</v>
      </c>
      <c r="S39" s="80">
        <v>147</v>
      </c>
      <c r="T39" s="16">
        <f t="shared" si="1"/>
        <v>22</v>
      </c>
      <c r="U39" s="80">
        <v>498</v>
      </c>
      <c r="V39" s="16">
        <f t="shared" si="2"/>
        <v>3652</v>
      </c>
      <c r="W39" s="80">
        <v>2</v>
      </c>
      <c r="X39" s="80" t="s">
        <v>35</v>
      </c>
      <c r="Y39" s="80" t="s">
        <v>64</v>
      </c>
      <c r="Z39" s="80" t="s">
        <v>86</v>
      </c>
      <c r="AA39" s="80" t="s">
        <v>43</v>
      </c>
      <c r="AB39" s="80" t="s">
        <v>194</v>
      </c>
    </row>
    <row r="40" spans="1:28" x14ac:dyDescent="0.15">
      <c r="A40" s="80" t="s">
        <v>44</v>
      </c>
      <c r="B40" s="80" t="s">
        <v>190</v>
      </c>
      <c r="C40" s="80">
        <v>2020</v>
      </c>
      <c r="D40" s="138" t="s">
        <v>323</v>
      </c>
      <c r="E40" s="80" t="s">
        <v>316</v>
      </c>
      <c r="F40" s="80" t="s">
        <v>325</v>
      </c>
      <c r="G40" s="80" t="s">
        <v>25</v>
      </c>
      <c r="H40" s="80" t="s">
        <v>167</v>
      </c>
      <c r="I40" s="80" t="s">
        <v>111</v>
      </c>
      <c r="J40" s="80" t="s">
        <v>27</v>
      </c>
      <c r="K40" s="80" t="s">
        <v>112</v>
      </c>
      <c r="L40" s="80">
        <v>3</v>
      </c>
      <c r="M40" s="140"/>
      <c r="N40" s="80">
        <v>3</v>
      </c>
      <c r="O40" s="80">
        <v>0.5</v>
      </c>
      <c r="P40" s="80">
        <v>0.5</v>
      </c>
      <c r="Q40" s="44">
        <f t="shared" si="0"/>
        <v>0.5</v>
      </c>
      <c r="R40" s="80">
        <v>15.9</v>
      </c>
      <c r="S40" s="80">
        <v>158</v>
      </c>
      <c r="T40" s="16">
        <f t="shared" si="1"/>
        <v>22</v>
      </c>
      <c r="U40" s="80">
        <v>498</v>
      </c>
      <c r="V40" s="16">
        <f t="shared" si="2"/>
        <v>3652</v>
      </c>
      <c r="W40" s="80">
        <v>2</v>
      </c>
      <c r="X40" s="80" t="s">
        <v>35</v>
      </c>
      <c r="Y40" s="80" t="s">
        <v>64</v>
      </c>
      <c r="Z40" s="80" t="s">
        <v>86</v>
      </c>
      <c r="AA40" s="80" t="s">
        <v>43</v>
      </c>
      <c r="AB40" s="80" t="s">
        <v>194</v>
      </c>
    </row>
    <row r="41" spans="1:28" x14ac:dyDescent="0.15">
      <c r="A41" s="80" t="s">
        <v>44</v>
      </c>
      <c r="B41" s="80" t="s">
        <v>190</v>
      </c>
      <c r="C41" s="80">
        <v>2020</v>
      </c>
      <c r="D41" s="138" t="s">
        <v>323</v>
      </c>
      <c r="E41" s="80" t="s">
        <v>330</v>
      </c>
      <c r="F41" s="80" t="s">
        <v>331</v>
      </c>
      <c r="G41" s="80" t="s">
        <v>25</v>
      </c>
      <c r="H41" s="80" t="s">
        <v>113</v>
      </c>
      <c r="I41" s="80" t="s">
        <v>111</v>
      </c>
      <c r="J41" s="80" t="s">
        <v>27</v>
      </c>
      <c r="K41" s="80" t="s">
        <v>112</v>
      </c>
      <c r="L41" s="80">
        <v>1</v>
      </c>
      <c r="M41" s="140"/>
      <c r="N41" s="80">
        <v>1</v>
      </c>
      <c r="O41" s="80">
        <v>0.55000000000000004</v>
      </c>
      <c r="P41" s="80">
        <v>0.55000000000000004</v>
      </c>
      <c r="Q41" s="44">
        <f t="shared" si="0"/>
        <v>0.55000000000000004</v>
      </c>
      <c r="R41" s="80">
        <v>15.7</v>
      </c>
      <c r="S41" s="80">
        <v>112</v>
      </c>
      <c r="T41" s="16">
        <f t="shared" si="1"/>
        <v>33</v>
      </c>
      <c r="U41" s="80">
        <v>108</v>
      </c>
      <c r="V41" s="16">
        <f t="shared" si="2"/>
        <v>3564</v>
      </c>
      <c r="W41" s="80">
        <v>2</v>
      </c>
      <c r="X41" s="80" t="s">
        <v>35</v>
      </c>
      <c r="Y41" s="80" t="s">
        <v>86</v>
      </c>
      <c r="Z41" s="80" t="s">
        <v>64</v>
      </c>
      <c r="AA41" s="80" t="s">
        <v>43</v>
      </c>
      <c r="AB41" s="80" t="s">
        <v>194</v>
      </c>
    </row>
    <row r="42" spans="1:28" x14ac:dyDescent="0.15">
      <c r="A42" s="80" t="s">
        <v>44</v>
      </c>
      <c r="B42" s="80" t="s">
        <v>190</v>
      </c>
      <c r="C42" s="80">
        <v>2020</v>
      </c>
      <c r="D42" s="138" t="s">
        <v>323</v>
      </c>
      <c r="E42" s="80" t="s">
        <v>330</v>
      </c>
      <c r="F42" s="80" t="s">
        <v>331</v>
      </c>
      <c r="G42" s="80" t="s">
        <v>25</v>
      </c>
      <c r="H42" s="80" t="s">
        <v>113</v>
      </c>
      <c r="I42" s="80" t="s">
        <v>111</v>
      </c>
      <c r="J42" s="80" t="s">
        <v>27</v>
      </c>
      <c r="K42" s="80" t="s">
        <v>112</v>
      </c>
      <c r="L42" s="80">
        <v>2</v>
      </c>
      <c r="M42" s="140"/>
      <c r="N42" s="80">
        <v>1</v>
      </c>
      <c r="O42" s="80">
        <v>0.65</v>
      </c>
      <c r="P42" s="80">
        <v>0.6</v>
      </c>
      <c r="Q42" s="44">
        <f t="shared" si="0"/>
        <v>0.625</v>
      </c>
      <c r="R42" s="80">
        <v>12.8</v>
      </c>
      <c r="S42" s="80">
        <v>119</v>
      </c>
      <c r="T42" s="16">
        <f t="shared" si="1"/>
        <v>30</v>
      </c>
      <c r="U42" s="80">
        <v>108</v>
      </c>
      <c r="V42" s="16">
        <f t="shared" si="2"/>
        <v>3240</v>
      </c>
      <c r="W42" s="80">
        <v>2</v>
      </c>
      <c r="X42" s="80" t="s">
        <v>35</v>
      </c>
      <c r="Y42" s="80" t="s">
        <v>86</v>
      </c>
      <c r="Z42" s="80" t="s">
        <v>64</v>
      </c>
      <c r="AA42" s="80" t="s">
        <v>43</v>
      </c>
      <c r="AB42" s="80" t="s">
        <v>194</v>
      </c>
    </row>
    <row r="43" spans="1:28" x14ac:dyDescent="0.15">
      <c r="A43" s="80" t="s">
        <v>44</v>
      </c>
      <c r="B43" s="80" t="s">
        <v>190</v>
      </c>
      <c r="C43" s="80">
        <v>2020</v>
      </c>
      <c r="D43" s="138" t="s">
        <v>323</v>
      </c>
      <c r="E43" s="80" t="s">
        <v>330</v>
      </c>
      <c r="F43" s="80" t="s">
        <v>331</v>
      </c>
      <c r="G43" s="80" t="s">
        <v>25</v>
      </c>
      <c r="H43" s="80" t="s">
        <v>113</v>
      </c>
      <c r="I43" s="80" t="s">
        <v>111</v>
      </c>
      <c r="J43" s="80" t="s">
        <v>27</v>
      </c>
      <c r="K43" s="80" t="s">
        <v>112</v>
      </c>
      <c r="L43" s="80">
        <v>3</v>
      </c>
      <c r="M43" s="140"/>
      <c r="N43" s="80">
        <v>1</v>
      </c>
      <c r="O43" s="80">
        <v>0.55000000000000004</v>
      </c>
      <c r="P43" s="80">
        <v>0.55000000000000004</v>
      </c>
      <c r="Q43" s="44">
        <f t="shared" si="0"/>
        <v>0.55000000000000004</v>
      </c>
      <c r="R43" s="80">
        <v>16.3</v>
      </c>
      <c r="S43" s="80">
        <v>118</v>
      </c>
      <c r="T43" s="16">
        <f t="shared" si="1"/>
        <v>30</v>
      </c>
      <c r="U43" s="80">
        <v>108</v>
      </c>
      <c r="V43" s="16">
        <f t="shared" si="2"/>
        <v>3240</v>
      </c>
      <c r="W43" s="80">
        <v>2</v>
      </c>
      <c r="X43" s="80" t="s">
        <v>35</v>
      </c>
      <c r="Y43" s="80" t="s">
        <v>86</v>
      </c>
      <c r="Z43" s="80" t="s">
        <v>64</v>
      </c>
      <c r="AA43" s="80" t="s">
        <v>43</v>
      </c>
      <c r="AB43" s="80" t="s">
        <v>194</v>
      </c>
    </row>
    <row r="44" spans="1:28" x14ac:dyDescent="0.15">
      <c r="A44" s="80" t="s">
        <v>44</v>
      </c>
      <c r="B44" s="80" t="s">
        <v>190</v>
      </c>
      <c r="C44" s="80">
        <v>2020</v>
      </c>
      <c r="D44" s="138" t="s">
        <v>323</v>
      </c>
      <c r="E44" s="80" t="s">
        <v>330</v>
      </c>
      <c r="F44" s="80" t="s">
        <v>331</v>
      </c>
      <c r="G44" s="80" t="s">
        <v>25</v>
      </c>
      <c r="H44" s="80" t="s">
        <v>113</v>
      </c>
      <c r="I44" s="80" t="s">
        <v>111</v>
      </c>
      <c r="J44" s="80" t="s">
        <v>27</v>
      </c>
      <c r="K44" s="80" t="s">
        <v>112</v>
      </c>
      <c r="L44" s="80">
        <v>1</v>
      </c>
      <c r="M44" s="140"/>
      <c r="N44" s="80">
        <v>5</v>
      </c>
      <c r="O44" s="80">
        <v>0.75</v>
      </c>
      <c r="P44" s="80">
        <v>0.6</v>
      </c>
      <c r="Q44" s="44">
        <f t="shared" si="0"/>
        <v>0.67500000000000004</v>
      </c>
      <c r="R44" s="80">
        <v>16</v>
      </c>
      <c r="S44" s="80">
        <v>104</v>
      </c>
      <c r="T44" s="16">
        <f t="shared" si="1"/>
        <v>33</v>
      </c>
      <c r="U44" s="80">
        <v>398</v>
      </c>
      <c r="V44" s="16">
        <f t="shared" si="2"/>
        <v>2626.7999999999997</v>
      </c>
      <c r="W44" s="80">
        <v>3</v>
      </c>
      <c r="X44" s="80" t="s">
        <v>35</v>
      </c>
      <c r="Y44" s="80" t="s">
        <v>86</v>
      </c>
      <c r="Z44" s="80" t="s">
        <v>64</v>
      </c>
      <c r="AA44" s="80" t="s">
        <v>43</v>
      </c>
      <c r="AB44" s="80" t="s">
        <v>194</v>
      </c>
    </row>
    <row r="45" spans="1:28" x14ac:dyDescent="0.15">
      <c r="A45" s="80" t="s">
        <v>44</v>
      </c>
      <c r="B45" s="80" t="s">
        <v>190</v>
      </c>
      <c r="C45" s="80">
        <v>2020</v>
      </c>
      <c r="D45" s="138" t="s">
        <v>323</v>
      </c>
      <c r="E45" s="80" t="s">
        <v>330</v>
      </c>
      <c r="F45" s="80" t="s">
        <v>331</v>
      </c>
      <c r="G45" s="80" t="s">
        <v>25</v>
      </c>
      <c r="H45" s="80" t="s">
        <v>113</v>
      </c>
      <c r="I45" s="80" t="s">
        <v>111</v>
      </c>
      <c r="J45" s="80" t="s">
        <v>27</v>
      </c>
      <c r="K45" s="80" t="s">
        <v>112</v>
      </c>
      <c r="L45" s="80">
        <v>2</v>
      </c>
      <c r="M45" s="140"/>
      <c r="N45" s="80">
        <v>5</v>
      </c>
      <c r="O45" s="80">
        <v>0.7</v>
      </c>
      <c r="P45" s="80">
        <v>0.65</v>
      </c>
      <c r="Q45" s="44">
        <f t="shared" si="0"/>
        <v>0.67500000000000004</v>
      </c>
      <c r="R45" s="80">
        <v>15.5</v>
      </c>
      <c r="S45" s="80">
        <v>101</v>
      </c>
      <c r="T45" s="16">
        <f t="shared" si="1"/>
        <v>33</v>
      </c>
      <c r="U45" s="80">
        <v>398</v>
      </c>
      <c r="V45" s="16">
        <f t="shared" si="2"/>
        <v>2626.7999999999997</v>
      </c>
      <c r="W45" s="80">
        <v>3</v>
      </c>
      <c r="X45" s="80" t="s">
        <v>35</v>
      </c>
      <c r="Y45" s="80" t="s">
        <v>86</v>
      </c>
      <c r="Z45" s="80" t="s">
        <v>64</v>
      </c>
      <c r="AA45" s="80" t="s">
        <v>43</v>
      </c>
      <c r="AB45" s="80" t="s">
        <v>194</v>
      </c>
    </row>
    <row r="46" spans="1:28" x14ac:dyDescent="0.15">
      <c r="A46" s="80" t="s">
        <v>44</v>
      </c>
      <c r="B46" s="80" t="s">
        <v>190</v>
      </c>
      <c r="C46" s="80">
        <v>2020</v>
      </c>
      <c r="D46" s="138" t="s">
        <v>323</v>
      </c>
      <c r="E46" s="80" t="s">
        <v>330</v>
      </c>
      <c r="F46" s="80" t="s">
        <v>331</v>
      </c>
      <c r="G46" s="80" t="s">
        <v>25</v>
      </c>
      <c r="H46" s="80" t="s">
        <v>113</v>
      </c>
      <c r="I46" s="80" t="s">
        <v>111</v>
      </c>
      <c r="J46" s="80" t="s">
        <v>27</v>
      </c>
      <c r="K46" s="80" t="s">
        <v>112</v>
      </c>
      <c r="L46" s="80">
        <v>3</v>
      </c>
      <c r="M46" s="140"/>
      <c r="N46" s="80">
        <v>5</v>
      </c>
      <c r="O46" s="80">
        <v>0.85</v>
      </c>
      <c r="P46" s="80">
        <v>0.9</v>
      </c>
      <c r="Q46" s="44">
        <f t="shared" si="0"/>
        <v>0.875</v>
      </c>
      <c r="R46" s="80">
        <v>16</v>
      </c>
      <c r="S46" s="80">
        <v>94</v>
      </c>
      <c r="T46" s="16">
        <f t="shared" si="1"/>
        <v>36</v>
      </c>
      <c r="U46" s="80">
        <v>398</v>
      </c>
      <c r="V46" s="16">
        <f t="shared" si="2"/>
        <v>2865.6</v>
      </c>
      <c r="W46" s="80">
        <v>3</v>
      </c>
      <c r="X46" s="80" t="s">
        <v>35</v>
      </c>
      <c r="Y46" s="80" t="s">
        <v>86</v>
      </c>
      <c r="Z46" s="80" t="s">
        <v>64</v>
      </c>
      <c r="AA46" s="80" t="s">
        <v>43</v>
      </c>
      <c r="AB46" s="80" t="s">
        <v>194</v>
      </c>
    </row>
    <row r="47" spans="1:28" x14ac:dyDescent="0.15">
      <c r="A47" s="80" t="s">
        <v>44</v>
      </c>
      <c r="B47" s="80" t="s">
        <v>190</v>
      </c>
      <c r="C47" s="80">
        <v>2020</v>
      </c>
      <c r="D47" s="138" t="s">
        <v>323</v>
      </c>
      <c r="E47" s="80" t="s">
        <v>330</v>
      </c>
      <c r="F47" s="80" t="s">
        <v>331</v>
      </c>
      <c r="G47" s="80" t="s">
        <v>25</v>
      </c>
      <c r="H47" s="80" t="s">
        <v>167</v>
      </c>
      <c r="I47" s="80" t="s">
        <v>111</v>
      </c>
      <c r="J47" s="80" t="s">
        <v>27</v>
      </c>
      <c r="K47" s="80" t="s">
        <v>112</v>
      </c>
      <c r="L47" s="80">
        <v>1</v>
      </c>
      <c r="M47" s="140"/>
      <c r="N47" s="80">
        <v>1</v>
      </c>
      <c r="O47" s="80">
        <v>0.65</v>
      </c>
      <c r="P47" s="80">
        <v>0.55000000000000004</v>
      </c>
      <c r="Q47" s="44">
        <f t="shared" si="0"/>
        <v>0.60000000000000009</v>
      </c>
      <c r="R47" s="80">
        <v>16.3</v>
      </c>
      <c r="S47" s="80">
        <v>120</v>
      </c>
      <c r="T47" s="16">
        <f t="shared" si="1"/>
        <v>30</v>
      </c>
      <c r="U47" s="80">
        <v>128</v>
      </c>
      <c r="V47" s="16">
        <f t="shared" si="2"/>
        <v>3840</v>
      </c>
      <c r="W47" s="80">
        <v>3</v>
      </c>
      <c r="X47" s="80" t="s">
        <v>35</v>
      </c>
      <c r="Y47" s="80" t="s">
        <v>86</v>
      </c>
      <c r="Z47" s="80" t="s">
        <v>64</v>
      </c>
      <c r="AA47" s="80" t="s">
        <v>43</v>
      </c>
      <c r="AB47" s="80" t="s">
        <v>194</v>
      </c>
    </row>
    <row r="48" spans="1:28" x14ac:dyDescent="0.15">
      <c r="A48" s="80" t="s">
        <v>44</v>
      </c>
      <c r="B48" s="80" t="s">
        <v>190</v>
      </c>
      <c r="C48" s="80">
        <v>2020</v>
      </c>
      <c r="D48" s="138" t="s">
        <v>323</v>
      </c>
      <c r="E48" s="80" t="s">
        <v>330</v>
      </c>
      <c r="F48" s="80" t="s">
        <v>331</v>
      </c>
      <c r="G48" s="80" t="s">
        <v>25</v>
      </c>
      <c r="H48" s="80" t="s">
        <v>167</v>
      </c>
      <c r="I48" s="80" t="s">
        <v>111</v>
      </c>
      <c r="J48" s="80" t="s">
        <v>27</v>
      </c>
      <c r="K48" s="80" t="s">
        <v>112</v>
      </c>
      <c r="L48" s="80">
        <v>2</v>
      </c>
      <c r="M48" s="140"/>
      <c r="N48" s="80">
        <v>1</v>
      </c>
      <c r="O48" s="80">
        <v>0.5</v>
      </c>
      <c r="P48" s="80">
        <v>0.5</v>
      </c>
      <c r="Q48" s="44">
        <f t="shared" si="0"/>
        <v>0.5</v>
      </c>
      <c r="R48" s="80">
        <v>16.8</v>
      </c>
      <c r="S48" s="80">
        <v>121</v>
      </c>
      <c r="T48" s="16">
        <f t="shared" si="1"/>
        <v>27</v>
      </c>
      <c r="U48" s="80">
        <v>128</v>
      </c>
      <c r="V48" s="16">
        <f t="shared" si="2"/>
        <v>3456</v>
      </c>
      <c r="W48" s="80">
        <v>3</v>
      </c>
      <c r="X48" s="80" t="s">
        <v>35</v>
      </c>
      <c r="Y48" s="80" t="s">
        <v>86</v>
      </c>
      <c r="Z48" s="80" t="s">
        <v>64</v>
      </c>
      <c r="AA48" s="80" t="s">
        <v>43</v>
      </c>
      <c r="AB48" s="80" t="s">
        <v>194</v>
      </c>
    </row>
    <row r="49" spans="1:28" x14ac:dyDescent="0.15">
      <c r="A49" s="80" t="s">
        <v>44</v>
      </c>
      <c r="B49" s="80" t="s">
        <v>190</v>
      </c>
      <c r="C49" s="80">
        <v>2020</v>
      </c>
      <c r="D49" s="138" t="s">
        <v>323</v>
      </c>
      <c r="E49" s="80" t="s">
        <v>330</v>
      </c>
      <c r="F49" s="80" t="s">
        <v>331</v>
      </c>
      <c r="G49" s="80" t="s">
        <v>25</v>
      </c>
      <c r="H49" s="80" t="s">
        <v>167</v>
      </c>
      <c r="I49" s="80" t="s">
        <v>111</v>
      </c>
      <c r="J49" s="80" t="s">
        <v>27</v>
      </c>
      <c r="K49" s="80" t="s">
        <v>112</v>
      </c>
      <c r="L49" s="80">
        <v>3</v>
      </c>
      <c r="M49" s="140"/>
      <c r="N49" s="80">
        <v>1</v>
      </c>
      <c r="O49" s="80">
        <v>0.7</v>
      </c>
      <c r="P49" s="80">
        <v>0.65</v>
      </c>
      <c r="Q49" s="44">
        <f t="shared" si="0"/>
        <v>0.67500000000000004</v>
      </c>
      <c r="R49" s="80">
        <v>12.5</v>
      </c>
      <c r="S49" s="80">
        <v>125</v>
      </c>
      <c r="T49" s="16">
        <f t="shared" si="1"/>
        <v>27</v>
      </c>
      <c r="U49" s="80">
        <v>128</v>
      </c>
      <c r="V49" s="16">
        <f t="shared" si="2"/>
        <v>3456</v>
      </c>
      <c r="W49" s="80">
        <v>3</v>
      </c>
      <c r="X49" s="80" t="s">
        <v>35</v>
      </c>
      <c r="Y49" s="80" t="s">
        <v>86</v>
      </c>
      <c r="Z49" s="80" t="s">
        <v>64</v>
      </c>
      <c r="AA49" s="80" t="s">
        <v>43</v>
      </c>
      <c r="AB49" s="80" t="s">
        <v>194</v>
      </c>
    </row>
    <row r="50" spans="1:28" x14ac:dyDescent="0.15">
      <c r="A50" s="80" t="s">
        <v>44</v>
      </c>
      <c r="B50" s="80" t="s">
        <v>190</v>
      </c>
      <c r="C50" s="80">
        <v>2020</v>
      </c>
      <c r="D50" s="138" t="s">
        <v>323</v>
      </c>
      <c r="E50" s="80" t="s">
        <v>330</v>
      </c>
      <c r="F50" s="80" t="s">
        <v>331</v>
      </c>
      <c r="G50" s="80" t="s">
        <v>25</v>
      </c>
      <c r="H50" s="80" t="s">
        <v>167</v>
      </c>
      <c r="I50" s="80" t="s">
        <v>111</v>
      </c>
      <c r="J50" s="80" t="s">
        <v>27</v>
      </c>
      <c r="K50" s="80" t="s">
        <v>112</v>
      </c>
      <c r="L50" s="80">
        <v>1</v>
      </c>
      <c r="M50" s="140"/>
      <c r="N50" s="80">
        <v>5</v>
      </c>
      <c r="O50" s="80">
        <v>0.6</v>
      </c>
      <c r="P50" s="80">
        <v>0.55000000000000004</v>
      </c>
      <c r="Q50" s="44">
        <f t="shared" si="0"/>
        <v>0.57499999999999996</v>
      </c>
      <c r="R50" s="80">
        <v>16.899999999999999</v>
      </c>
      <c r="S50" s="80">
        <v>105</v>
      </c>
      <c r="T50" s="16">
        <f t="shared" si="1"/>
        <v>33</v>
      </c>
      <c r="U50" s="80">
        <v>398</v>
      </c>
      <c r="V50" s="16">
        <f t="shared" si="2"/>
        <v>2626.7999999999997</v>
      </c>
      <c r="W50" s="80">
        <v>3</v>
      </c>
      <c r="X50" s="80" t="s">
        <v>35</v>
      </c>
      <c r="Y50" s="80" t="s">
        <v>86</v>
      </c>
      <c r="Z50" s="80" t="s">
        <v>64</v>
      </c>
      <c r="AA50" s="80" t="s">
        <v>43</v>
      </c>
      <c r="AB50" s="80" t="s">
        <v>194</v>
      </c>
    </row>
    <row r="51" spans="1:28" x14ac:dyDescent="0.15">
      <c r="A51" s="80" t="s">
        <v>44</v>
      </c>
      <c r="B51" s="80" t="s">
        <v>190</v>
      </c>
      <c r="C51" s="80">
        <v>2020</v>
      </c>
      <c r="D51" s="138" t="s">
        <v>323</v>
      </c>
      <c r="E51" s="80" t="s">
        <v>330</v>
      </c>
      <c r="F51" s="80" t="s">
        <v>331</v>
      </c>
      <c r="G51" s="80" t="s">
        <v>25</v>
      </c>
      <c r="H51" s="80" t="s">
        <v>167</v>
      </c>
      <c r="I51" s="80" t="s">
        <v>111</v>
      </c>
      <c r="J51" s="80" t="s">
        <v>27</v>
      </c>
      <c r="K51" s="80" t="s">
        <v>112</v>
      </c>
      <c r="L51" s="80">
        <v>2</v>
      </c>
      <c r="M51" s="140"/>
      <c r="N51" s="80">
        <v>5</v>
      </c>
      <c r="O51" s="80">
        <v>0.5</v>
      </c>
      <c r="P51" s="80">
        <v>0.5</v>
      </c>
      <c r="Q51" s="44">
        <f t="shared" si="0"/>
        <v>0.5</v>
      </c>
      <c r="R51" s="80">
        <v>17.2</v>
      </c>
      <c r="S51" s="80">
        <v>110</v>
      </c>
      <c r="T51" s="16">
        <f t="shared" si="1"/>
        <v>33</v>
      </c>
      <c r="U51" s="80">
        <v>398</v>
      </c>
      <c r="V51" s="16">
        <f t="shared" si="2"/>
        <v>2626.7999999999997</v>
      </c>
      <c r="W51" s="80">
        <v>3</v>
      </c>
      <c r="X51" s="80" t="s">
        <v>35</v>
      </c>
      <c r="Y51" s="80" t="s">
        <v>86</v>
      </c>
      <c r="Z51" s="80" t="s">
        <v>64</v>
      </c>
      <c r="AA51" s="80" t="s">
        <v>43</v>
      </c>
      <c r="AB51" s="80" t="s">
        <v>194</v>
      </c>
    </row>
    <row r="52" spans="1:28" x14ac:dyDescent="0.15">
      <c r="A52" s="80" t="s">
        <v>44</v>
      </c>
      <c r="B52" s="80" t="s">
        <v>190</v>
      </c>
      <c r="C52" s="80">
        <v>2020</v>
      </c>
      <c r="D52" s="138" t="s">
        <v>323</v>
      </c>
      <c r="E52" s="80" t="s">
        <v>330</v>
      </c>
      <c r="F52" s="80" t="s">
        <v>331</v>
      </c>
      <c r="G52" s="80" t="s">
        <v>25</v>
      </c>
      <c r="H52" s="80" t="s">
        <v>167</v>
      </c>
      <c r="I52" s="80" t="s">
        <v>111</v>
      </c>
      <c r="J52" s="80" t="s">
        <v>27</v>
      </c>
      <c r="K52" s="80" t="s">
        <v>112</v>
      </c>
      <c r="L52" s="80">
        <v>3</v>
      </c>
      <c r="M52" s="140"/>
      <c r="N52" s="80">
        <v>5</v>
      </c>
      <c r="O52" s="80">
        <v>0.5</v>
      </c>
      <c r="P52" s="80">
        <v>0.55000000000000004</v>
      </c>
      <c r="Q52" s="44">
        <f t="shared" si="0"/>
        <v>0.52500000000000002</v>
      </c>
      <c r="R52" s="80">
        <v>17</v>
      </c>
      <c r="S52" s="80">
        <v>93</v>
      </c>
      <c r="T52" s="16">
        <f t="shared" si="1"/>
        <v>36</v>
      </c>
      <c r="U52" s="80">
        <v>398</v>
      </c>
      <c r="V52" s="16">
        <f t="shared" si="2"/>
        <v>2865.6</v>
      </c>
      <c r="W52" s="80">
        <v>3</v>
      </c>
      <c r="X52" s="80" t="s">
        <v>35</v>
      </c>
      <c r="Y52" s="80" t="s">
        <v>86</v>
      </c>
      <c r="Z52" s="80" t="s">
        <v>64</v>
      </c>
      <c r="AA52" s="80" t="s">
        <v>43</v>
      </c>
      <c r="AB52" s="80" t="s">
        <v>194</v>
      </c>
    </row>
    <row r="53" spans="1:28" x14ac:dyDescent="0.15">
      <c r="A53" s="80" t="s">
        <v>44</v>
      </c>
      <c r="B53" s="80" t="s">
        <v>190</v>
      </c>
      <c r="C53" s="80">
        <v>2020</v>
      </c>
      <c r="D53" s="138" t="s">
        <v>323</v>
      </c>
      <c r="E53" s="80" t="s">
        <v>332</v>
      </c>
      <c r="F53" s="80" t="s">
        <v>325</v>
      </c>
      <c r="G53" s="80" t="s">
        <v>31</v>
      </c>
      <c r="H53" s="80" t="s">
        <v>113</v>
      </c>
      <c r="I53" s="80" t="s">
        <v>111</v>
      </c>
      <c r="J53" s="80" t="s">
        <v>27</v>
      </c>
      <c r="K53" s="80" t="s">
        <v>112</v>
      </c>
      <c r="L53" s="80">
        <v>1</v>
      </c>
      <c r="M53" s="140"/>
      <c r="N53" s="80">
        <v>8</v>
      </c>
      <c r="O53" s="80">
        <v>0.75</v>
      </c>
      <c r="P53" s="80">
        <v>1.1499999999999999</v>
      </c>
      <c r="Q53" s="16">
        <f t="shared" si="0"/>
        <v>0.95</v>
      </c>
      <c r="R53" s="80">
        <v>15.6</v>
      </c>
      <c r="S53" s="80">
        <v>85</v>
      </c>
      <c r="T53" s="16">
        <f t="shared" si="1"/>
        <v>36</v>
      </c>
      <c r="U53" s="80">
        <v>457</v>
      </c>
      <c r="V53" s="16">
        <f t="shared" si="2"/>
        <v>2056.5</v>
      </c>
      <c r="W53" s="80">
        <v>3</v>
      </c>
      <c r="X53" s="80" t="s">
        <v>28</v>
      </c>
      <c r="Y53" s="80" t="s">
        <v>236</v>
      </c>
      <c r="Z53" s="80" t="s">
        <v>64</v>
      </c>
      <c r="AA53" s="80" t="s">
        <v>86</v>
      </c>
      <c r="AB53" s="80" t="s">
        <v>194</v>
      </c>
    </row>
    <row r="54" spans="1:28" x14ac:dyDescent="0.15">
      <c r="A54" s="80" t="s">
        <v>44</v>
      </c>
      <c r="B54" s="80" t="s">
        <v>190</v>
      </c>
      <c r="C54" s="80">
        <v>2020</v>
      </c>
      <c r="D54" s="138" t="s">
        <v>323</v>
      </c>
      <c r="E54" s="80" t="s">
        <v>332</v>
      </c>
      <c r="F54" s="80" t="s">
        <v>325</v>
      </c>
      <c r="G54" s="80" t="s">
        <v>31</v>
      </c>
      <c r="H54" s="80" t="s">
        <v>113</v>
      </c>
      <c r="I54" s="80" t="s">
        <v>111</v>
      </c>
      <c r="J54" s="80" t="s">
        <v>27</v>
      </c>
      <c r="K54" s="80" t="s">
        <v>112</v>
      </c>
      <c r="L54" s="80">
        <v>2</v>
      </c>
      <c r="M54" s="140"/>
      <c r="N54" s="80">
        <v>8</v>
      </c>
      <c r="O54" s="80">
        <v>1.1000000000000001</v>
      </c>
      <c r="P54" s="80">
        <v>0.95</v>
      </c>
      <c r="Q54" s="16">
        <f t="shared" si="0"/>
        <v>1.0249999999999999</v>
      </c>
      <c r="R54" s="80">
        <v>14.3</v>
      </c>
      <c r="S54" s="80">
        <v>92</v>
      </c>
      <c r="T54" s="16">
        <f t="shared" si="1"/>
        <v>36</v>
      </c>
      <c r="U54" s="80">
        <v>457</v>
      </c>
      <c r="V54" s="16">
        <f t="shared" si="2"/>
        <v>2056.5</v>
      </c>
      <c r="W54" s="80">
        <v>3</v>
      </c>
      <c r="X54" s="80" t="s">
        <v>28</v>
      </c>
      <c r="Y54" s="80" t="s">
        <v>236</v>
      </c>
      <c r="Z54" s="80" t="s">
        <v>64</v>
      </c>
      <c r="AA54" s="80" t="s">
        <v>86</v>
      </c>
      <c r="AB54" s="80" t="s">
        <v>194</v>
      </c>
    </row>
    <row r="55" spans="1:28" x14ac:dyDescent="0.15">
      <c r="A55" s="80" t="s">
        <v>44</v>
      </c>
      <c r="B55" s="80" t="s">
        <v>190</v>
      </c>
      <c r="C55" s="80">
        <v>2020</v>
      </c>
      <c r="D55" s="138" t="s">
        <v>323</v>
      </c>
      <c r="E55" s="80" t="s">
        <v>332</v>
      </c>
      <c r="F55" s="80" t="s">
        <v>325</v>
      </c>
      <c r="G55" s="80" t="s">
        <v>31</v>
      </c>
      <c r="H55" s="80" t="s">
        <v>173</v>
      </c>
      <c r="I55" s="80" t="s">
        <v>111</v>
      </c>
      <c r="J55" s="80" t="s">
        <v>27</v>
      </c>
      <c r="K55" s="80" t="s">
        <v>112</v>
      </c>
      <c r="L55" s="80">
        <v>3</v>
      </c>
      <c r="M55" s="140"/>
      <c r="N55" s="80">
        <v>8</v>
      </c>
      <c r="O55" s="80">
        <v>0.95</v>
      </c>
      <c r="P55" s="80">
        <v>0.5</v>
      </c>
      <c r="Q55" s="16">
        <f t="shared" si="0"/>
        <v>0.72499999999999998</v>
      </c>
      <c r="R55" s="80">
        <v>14.8</v>
      </c>
      <c r="S55" s="80">
        <v>92</v>
      </c>
      <c r="T55" s="16">
        <f t="shared" si="1"/>
        <v>36</v>
      </c>
      <c r="U55" s="80">
        <v>457</v>
      </c>
      <c r="V55" s="16">
        <f t="shared" si="2"/>
        <v>2056.5</v>
      </c>
      <c r="W55" s="80">
        <v>3</v>
      </c>
      <c r="X55" s="80" t="s">
        <v>28</v>
      </c>
      <c r="Y55" s="80" t="s">
        <v>236</v>
      </c>
      <c r="Z55" s="80" t="s">
        <v>64</v>
      </c>
      <c r="AA55" s="80" t="s">
        <v>86</v>
      </c>
      <c r="AB55" s="80" t="s">
        <v>194</v>
      </c>
    </row>
    <row r="56" spans="1:28" x14ac:dyDescent="0.15">
      <c r="A56" s="80" t="s">
        <v>44</v>
      </c>
      <c r="B56" s="80" t="s">
        <v>190</v>
      </c>
      <c r="C56" s="80">
        <v>2020</v>
      </c>
      <c r="D56" s="138" t="s">
        <v>323</v>
      </c>
      <c r="E56" s="80" t="s">
        <v>332</v>
      </c>
      <c r="F56" s="80" t="s">
        <v>325</v>
      </c>
      <c r="G56" s="80" t="s">
        <v>31</v>
      </c>
      <c r="H56" s="80" t="s">
        <v>167</v>
      </c>
      <c r="I56" s="80" t="s">
        <v>111</v>
      </c>
      <c r="J56" s="80" t="s">
        <v>27</v>
      </c>
      <c r="K56" s="80" t="s">
        <v>112</v>
      </c>
      <c r="L56" s="80">
        <v>1</v>
      </c>
      <c r="M56" s="140"/>
      <c r="N56" s="80">
        <v>4</v>
      </c>
      <c r="O56" s="80">
        <v>0.5</v>
      </c>
      <c r="P56" s="80">
        <v>0.5</v>
      </c>
      <c r="Q56" s="16">
        <f t="shared" si="0"/>
        <v>0.5</v>
      </c>
      <c r="R56" s="80">
        <v>17.3</v>
      </c>
      <c r="S56" s="80">
        <v>104</v>
      </c>
      <c r="T56" s="16">
        <f t="shared" si="1"/>
        <v>33</v>
      </c>
      <c r="U56" s="80">
        <v>397</v>
      </c>
      <c r="V56" s="16">
        <f t="shared" si="2"/>
        <v>3275.25</v>
      </c>
      <c r="W56" s="80">
        <v>3</v>
      </c>
      <c r="X56" s="80" t="s">
        <v>28</v>
      </c>
      <c r="Y56" s="80" t="s">
        <v>236</v>
      </c>
      <c r="Z56" s="80" t="s">
        <v>64</v>
      </c>
      <c r="AA56" s="80" t="s">
        <v>86</v>
      </c>
      <c r="AB56" s="80" t="s">
        <v>194</v>
      </c>
    </row>
    <row r="57" spans="1:28" x14ac:dyDescent="0.15">
      <c r="A57" s="80" t="s">
        <v>44</v>
      </c>
      <c r="B57" s="80" t="s">
        <v>190</v>
      </c>
      <c r="C57" s="80">
        <v>2020</v>
      </c>
      <c r="D57" s="138" t="s">
        <v>323</v>
      </c>
      <c r="E57" s="80" t="s">
        <v>332</v>
      </c>
      <c r="F57" s="80" t="s">
        <v>325</v>
      </c>
      <c r="G57" s="80" t="s">
        <v>31</v>
      </c>
      <c r="H57" s="80" t="s">
        <v>167</v>
      </c>
      <c r="I57" s="80" t="s">
        <v>111</v>
      </c>
      <c r="J57" s="80" t="s">
        <v>27</v>
      </c>
      <c r="K57" s="80" t="s">
        <v>112</v>
      </c>
      <c r="L57" s="80">
        <v>2</v>
      </c>
      <c r="M57" s="140"/>
      <c r="N57" s="80">
        <v>4</v>
      </c>
      <c r="O57" s="80">
        <v>0.55000000000000004</v>
      </c>
      <c r="P57" s="80">
        <v>0.5</v>
      </c>
      <c r="Q57" s="16">
        <f t="shared" si="0"/>
        <v>0.52500000000000002</v>
      </c>
      <c r="R57" s="80">
        <v>16.7</v>
      </c>
      <c r="S57" s="80">
        <v>92</v>
      </c>
      <c r="T57" s="16">
        <f t="shared" si="1"/>
        <v>36</v>
      </c>
      <c r="U57" s="80">
        <v>397</v>
      </c>
      <c r="V57" s="16">
        <f t="shared" si="2"/>
        <v>3573</v>
      </c>
      <c r="W57" s="80">
        <v>3</v>
      </c>
      <c r="X57" s="80" t="s">
        <v>28</v>
      </c>
      <c r="Y57" s="80" t="s">
        <v>236</v>
      </c>
      <c r="Z57" s="80" t="s">
        <v>64</v>
      </c>
      <c r="AA57" s="80" t="s">
        <v>86</v>
      </c>
      <c r="AB57" s="80" t="s">
        <v>194</v>
      </c>
    </row>
    <row r="58" spans="1:28" x14ac:dyDescent="0.15">
      <c r="A58" s="80" t="s">
        <v>44</v>
      </c>
      <c r="B58" s="80" t="s">
        <v>190</v>
      </c>
      <c r="C58" s="80">
        <v>2020</v>
      </c>
      <c r="D58" s="138" t="s">
        <v>323</v>
      </c>
      <c r="E58" s="80" t="s">
        <v>332</v>
      </c>
      <c r="F58" s="80" t="s">
        <v>325</v>
      </c>
      <c r="G58" s="80" t="s">
        <v>31</v>
      </c>
      <c r="H58" s="80" t="s">
        <v>167</v>
      </c>
      <c r="I58" s="80" t="s">
        <v>111</v>
      </c>
      <c r="J58" s="80" t="s">
        <v>27</v>
      </c>
      <c r="K58" s="80" t="s">
        <v>112</v>
      </c>
      <c r="L58" s="80">
        <v>3</v>
      </c>
      <c r="M58" s="140"/>
      <c r="N58" s="80">
        <v>4</v>
      </c>
      <c r="O58" s="80">
        <v>0.5</v>
      </c>
      <c r="P58" s="80">
        <v>0.5</v>
      </c>
      <c r="Q58" s="16">
        <f t="shared" si="0"/>
        <v>0.5</v>
      </c>
      <c r="R58" s="80">
        <v>16.7</v>
      </c>
      <c r="S58" s="80">
        <v>102</v>
      </c>
      <c r="T58" s="16">
        <f t="shared" si="1"/>
        <v>33</v>
      </c>
      <c r="U58" s="80">
        <v>397</v>
      </c>
      <c r="V58" s="16">
        <f t="shared" si="2"/>
        <v>3275.25</v>
      </c>
      <c r="W58" s="80">
        <v>3</v>
      </c>
      <c r="X58" s="80" t="s">
        <v>28</v>
      </c>
      <c r="Y58" s="80" t="s">
        <v>236</v>
      </c>
      <c r="Z58" s="80" t="s">
        <v>64</v>
      </c>
      <c r="AA58" s="80" t="s">
        <v>86</v>
      </c>
      <c r="AB58" s="80" t="s">
        <v>194</v>
      </c>
    </row>
    <row r="59" spans="1:28" x14ac:dyDescent="0.15">
      <c r="A59" s="80" t="s">
        <v>44</v>
      </c>
      <c r="B59" s="80" t="s">
        <v>190</v>
      </c>
      <c r="C59" s="80">
        <v>2020</v>
      </c>
      <c r="D59" s="138" t="s">
        <v>323</v>
      </c>
      <c r="E59" s="80" t="s">
        <v>332</v>
      </c>
      <c r="F59" s="80" t="s">
        <v>325</v>
      </c>
      <c r="G59" s="80" t="s">
        <v>31</v>
      </c>
      <c r="H59" s="80" t="s">
        <v>167</v>
      </c>
      <c r="I59" s="80" t="s">
        <v>111</v>
      </c>
      <c r="J59" s="80" t="s">
        <v>27</v>
      </c>
      <c r="K59" s="80" t="s">
        <v>112</v>
      </c>
      <c r="L59" s="80">
        <v>1</v>
      </c>
      <c r="M59" s="140"/>
      <c r="N59" s="80">
        <v>8</v>
      </c>
      <c r="O59" s="80">
        <v>0.5</v>
      </c>
      <c r="P59" s="80">
        <v>0.5</v>
      </c>
      <c r="Q59" s="16">
        <f t="shared" si="0"/>
        <v>0.5</v>
      </c>
      <c r="R59" s="80">
        <v>17.5</v>
      </c>
      <c r="S59" s="80">
        <v>91</v>
      </c>
      <c r="T59" s="16">
        <f t="shared" si="1"/>
        <v>36</v>
      </c>
      <c r="U59" s="80">
        <v>597</v>
      </c>
      <c r="V59" s="16">
        <f t="shared" si="2"/>
        <v>2686.5</v>
      </c>
      <c r="W59" s="80">
        <v>12</v>
      </c>
      <c r="X59" s="80" t="s">
        <v>28</v>
      </c>
      <c r="Y59" s="80" t="s">
        <v>236</v>
      </c>
      <c r="Z59" s="80" t="s">
        <v>64</v>
      </c>
      <c r="AA59" s="80" t="s">
        <v>86</v>
      </c>
      <c r="AB59" s="80" t="s">
        <v>194</v>
      </c>
    </row>
    <row r="60" spans="1:28" x14ac:dyDescent="0.15">
      <c r="A60" s="80" t="s">
        <v>44</v>
      </c>
      <c r="B60" s="80" t="s">
        <v>190</v>
      </c>
      <c r="C60" s="80">
        <v>2020</v>
      </c>
      <c r="D60" s="138" t="s">
        <v>323</v>
      </c>
      <c r="E60" s="80" t="s">
        <v>332</v>
      </c>
      <c r="F60" s="80" t="s">
        <v>325</v>
      </c>
      <c r="G60" s="80" t="s">
        <v>31</v>
      </c>
      <c r="H60" s="80" t="s">
        <v>167</v>
      </c>
      <c r="I60" s="80" t="s">
        <v>111</v>
      </c>
      <c r="J60" s="80" t="s">
        <v>27</v>
      </c>
      <c r="K60" s="80" t="s">
        <v>112</v>
      </c>
      <c r="L60" s="80">
        <v>2</v>
      </c>
      <c r="M60" s="140"/>
      <c r="N60" s="80">
        <v>8</v>
      </c>
      <c r="O60" s="80">
        <v>0.5</v>
      </c>
      <c r="P60" s="80">
        <v>0.55000000000000004</v>
      </c>
      <c r="Q60" s="16">
        <f t="shared" si="0"/>
        <v>0.52500000000000002</v>
      </c>
      <c r="R60" s="80">
        <v>16</v>
      </c>
      <c r="S60" s="80">
        <v>85</v>
      </c>
      <c r="T60" s="16">
        <f t="shared" si="1"/>
        <v>36</v>
      </c>
      <c r="U60" s="80">
        <v>597</v>
      </c>
      <c r="V60" s="16">
        <f t="shared" si="2"/>
        <v>2686.5</v>
      </c>
      <c r="W60" s="80">
        <v>12</v>
      </c>
      <c r="X60" s="80" t="s">
        <v>28</v>
      </c>
      <c r="Y60" s="80" t="s">
        <v>236</v>
      </c>
      <c r="Z60" s="80" t="s">
        <v>64</v>
      </c>
      <c r="AA60" s="80" t="s">
        <v>86</v>
      </c>
      <c r="AB60" s="80" t="s">
        <v>194</v>
      </c>
    </row>
    <row r="61" spans="1:28" x14ac:dyDescent="0.15">
      <c r="A61" s="80" t="s">
        <v>44</v>
      </c>
      <c r="B61" s="80" t="s">
        <v>190</v>
      </c>
      <c r="C61" s="80">
        <v>2020</v>
      </c>
      <c r="D61" s="138" t="s">
        <v>323</v>
      </c>
      <c r="E61" s="80" t="s">
        <v>332</v>
      </c>
      <c r="F61" s="80" t="s">
        <v>325</v>
      </c>
      <c r="G61" s="80" t="s">
        <v>31</v>
      </c>
      <c r="H61" s="80" t="s">
        <v>167</v>
      </c>
      <c r="I61" s="80" t="s">
        <v>111</v>
      </c>
      <c r="J61" s="80" t="s">
        <v>27</v>
      </c>
      <c r="K61" s="80" t="s">
        <v>112</v>
      </c>
      <c r="L61" s="80">
        <v>3</v>
      </c>
      <c r="M61" s="140"/>
      <c r="N61" s="80">
        <v>8</v>
      </c>
      <c r="O61" s="80">
        <v>0.5</v>
      </c>
      <c r="P61" s="80">
        <v>0.5</v>
      </c>
      <c r="Q61" s="16">
        <f t="shared" si="0"/>
        <v>0.5</v>
      </c>
      <c r="R61" s="80">
        <v>16</v>
      </c>
      <c r="S61" s="80">
        <v>85</v>
      </c>
      <c r="T61" s="16">
        <f t="shared" si="1"/>
        <v>36</v>
      </c>
      <c r="U61" s="80">
        <v>597</v>
      </c>
      <c r="V61" s="16">
        <f t="shared" si="2"/>
        <v>2686.5</v>
      </c>
      <c r="W61" s="80">
        <v>12</v>
      </c>
      <c r="X61" s="80" t="s">
        <v>28</v>
      </c>
      <c r="Y61" s="80" t="s">
        <v>236</v>
      </c>
      <c r="Z61" s="80" t="s">
        <v>64</v>
      </c>
      <c r="AA61" s="80" t="s">
        <v>86</v>
      </c>
      <c r="AB61" s="80" t="s">
        <v>194</v>
      </c>
    </row>
    <row r="62" spans="1:28" x14ac:dyDescent="0.15">
      <c r="A62" s="80" t="s">
        <v>44</v>
      </c>
      <c r="B62" s="80" t="s">
        <v>190</v>
      </c>
      <c r="C62" s="80">
        <v>2020</v>
      </c>
      <c r="D62" s="138" t="s">
        <v>323</v>
      </c>
      <c r="E62" s="80" t="s">
        <v>316</v>
      </c>
      <c r="F62" s="80" t="s">
        <v>334</v>
      </c>
      <c r="G62" s="80" t="s">
        <v>25</v>
      </c>
      <c r="H62" s="80" t="s">
        <v>113</v>
      </c>
      <c r="I62" s="80" t="s">
        <v>111</v>
      </c>
      <c r="J62" s="80" t="s">
        <v>27</v>
      </c>
      <c r="K62" s="80" t="s">
        <v>112</v>
      </c>
      <c r="L62" s="80">
        <v>1</v>
      </c>
      <c r="M62" s="140"/>
      <c r="N62" s="80">
        <v>1</v>
      </c>
      <c r="O62" s="80">
        <v>0.75</v>
      </c>
      <c r="P62" s="80">
        <v>0.7</v>
      </c>
      <c r="Q62" s="16">
        <f t="shared" si="0"/>
        <v>0.72499999999999998</v>
      </c>
      <c r="R62" s="80">
        <v>14.3</v>
      </c>
      <c r="S62" s="80">
        <v>106</v>
      </c>
      <c r="T62" s="16">
        <f t="shared" si="1"/>
        <v>33</v>
      </c>
      <c r="U62" s="80">
        <v>98</v>
      </c>
      <c r="V62" s="16">
        <f t="shared" si="2"/>
        <v>3234</v>
      </c>
      <c r="W62" s="80">
        <v>2</v>
      </c>
      <c r="X62" s="80" t="s">
        <v>35</v>
      </c>
      <c r="Y62" s="80" t="s">
        <v>64</v>
      </c>
      <c r="Z62" s="80" t="s">
        <v>74</v>
      </c>
      <c r="AA62" s="80" t="s">
        <v>43</v>
      </c>
      <c r="AB62" s="80" t="s">
        <v>194</v>
      </c>
    </row>
    <row r="63" spans="1:28" x14ac:dyDescent="0.15">
      <c r="A63" s="80" t="s">
        <v>44</v>
      </c>
      <c r="B63" s="80" t="s">
        <v>190</v>
      </c>
      <c r="C63" s="80">
        <v>2020</v>
      </c>
      <c r="D63" s="138" t="s">
        <v>323</v>
      </c>
      <c r="E63" s="80" t="s">
        <v>316</v>
      </c>
      <c r="F63" s="80" t="s">
        <v>334</v>
      </c>
      <c r="G63" s="80" t="s">
        <v>25</v>
      </c>
      <c r="H63" s="80" t="s">
        <v>113</v>
      </c>
      <c r="I63" s="80" t="s">
        <v>111</v>
      </c>
      <c r="J63" s="80" t="s">
        <v>27</v>
      </c>
      <c r="K63" s="80" t="s">
        <v>112</v>
      </c>
      <c r="L63" s="80">
        <v>2</v>
      </c>
      <c r="M63" s="140"/>
      <c r="N63" s="80">
        <v>1</v>
      </c>
      <c r="O63" s="80">
        <v>0.65</v>
      </c>
      <c r="P63" s="80">
        <v>0.6</v>
      </c>
      <c r="Q63" s="16">
        <f t="shared" si="0"/>
        <v>0.625</v>
      </c>
      <c r="R63" s="80">
        <v>15</v>
      </c>
      <c r="S63" s="80">
        <v>109</v>
      </c>
      <c r="T63" s="16">
        <f t="shared" si="1"/>
        <v>33</v>
      </c>
      <c r="U63" s="80">
        <v>98</v>
      </c>
      <c r="V63" s="16">
        <f t="shared" si="2"/>
        <v>3234</v>
      </c>
      <c r="W63" s="80">
        <v>2</v>
      </c>
      <c r="X63" s="80" t="s">
        <v>35</v>
      </c>
      <c r="Y63" s="80" t="s">
        <v>64</v>
      </c>
      <c r="Z63" s="80" t="s">
        <v>74</v>
      </c>
      <c r="AA63" s="80" t="s">
        <v>43</v>
      </c>
      <c r="AB63" s="80" t="s">
        <v>194</v>
      </c>
    </row>
    <row r="64" spans="1:28" x14ac:dyDescent="0.15">
      <c r="A64" s="80" t="s">
        <v>44</v>
      </c>
      <c r="B64" s="80" t="s">
        <v>190</v>
      </c>
      <c r="C64" s="80">
        <v>2020</v>
      </c>
      <c r="D64" s="138" t="s">
        <v>323</v>
      </c>
      <c r="E64" s="80" t="s">
        <v>316</v>
      </c>
      <c r="F64" s="80" t="s">
        <v>334</v>
      </c>
      <c r="G64" s="80" t="s">
        <v>25</v>
      </c>
      <c r="H64" s="80" t="s">
        <v>113</v>
      </c>
      <c r="I64" s="80" t="s">
        <v>111</v>
      </c>
      <c r="J64" s="80" t="s">
        <v>27</v>
      </c>
      <c r="K64" s="80" t="s">
        <v>112</v>
      </c>
      <c r="L64" s="80">
        <v>3</v>
      </c>
      <c r="M64" s="140"/>
      <c r="N64" s="80">
        <v>1</v>
      </c>
      <c r="O64" s="80">
        <v>0.7</v>
      </c>
      <c r="P64" s="80">
        <v>0.75</v>
      </c>
      <c r="Q64" s="16">
        <f t="shared" si="0"/>
        <v>0.72499999999999998</v>
      </c>
      <c r="R64" s="80">
        <v>17.3</v>
      </c>
      <c r="S64" s="80">
        <v>113</v>
      </c>
      <c r="T64" s="16">
        <f t="shared" si="1"/>
        <v>30</v>
      </c>
      <c r="U64" s="80">
        <v>98</v>
      </c>
      <c r="V64" s="16">
        <f t="shared" si="2"/>
        <v>2940</v>
      </c>
      <c r="W64" s="80">
        <v>2</v>
      </c>
      <c r="X64" s="80" t="s">
        <v>35</v>
      </c>
      <c r="Y64" s="80" t="s">
        <v>64</v>
      </c>
      <c r="Z64" s="80" t="s">
        <v>74</v>
      </c>
      <c r="AA64" s="80" t="s">
        <v>43</v>
      </c>
      <c r="AB64" s="80" t="s">
        <v>194</v>
      </c>
    </row>
    <row r="65" spans="1:28" x14ac:dyDescent="0.15">
      <c r="A65" s="80" t="s">
        <v>44</v>
      </c>
      <c r="B65" s="80" t="s">
        <v>190</v>
      </c>
      <c r="C65" s="80">
        <v>2020</v>
      </c>
      <c r="D65" s="138" t="s">
        <v>323</v>
      </c>
      <c r="E65" s="80" t="s">
        <v>316</v>
      </c>
      <c r="F65" s="80" t="s">
        <v>334</v>
      </c>
      <c r="G65" s="80" t="s">
        <v>25</v>
      </c>
      <c r="H65" s="80" t="s">
        <v>113</v>
      </c>
      <c r="I65" s="80" t="s">
        <v>111</v>
      </c>
      <c r="J65" s="80" t="s">
        <v>27</v>
      </c>
      <c r="K65" s="80" t="s">
        <v>112</v>
      </c>
      <c r="L65" s="80">
        <v>1</v>
      </c>
      <c r="M65" s="140"/>
      <c r="N65" s="80">
        <v>5</v>
      </c>
      <c r="O65" s="80">
        <v>0.55000000000000004</v>
      </c>
      <c r="P65" s="80">
        <v>0.55000000000000004</v>
      </c>
      <c r="Q65" s="16">
        <f t="shared" si="0"/>
        <v>0.55000000000000004</v>
      </c>
      <c r="R65" s="80">
        <v>14.8</v>
      </c>
      <c r="S65" s="80">
        <v>95</v>
      </c>
      <c r="T65" s="16">
        <f t="shared" si="1"/>
        <v>36</v>
      </c>
      <c r="U65" s="80">
        <v>398</v>
      </c>
      <c r="V65" s="16">
        <f t="shared" si="2"/>
        <v>2865.6</v>
      </c>
      <c r="W65" s="80">
        <v>2</v>
      </c>
      <c r="X65" s="80" t="s">
        <v>35</v>
      </c>
      <c r="Y65" s="80" t="s">
        <v>64</v>
      </c>
      <c r="Z65" s="80" t="s">
        <v>74</v>
      </c>
      <c r="AA65" s="80" t="s">
        <v>43</v>
      </c>
      <c r="AB65" s="80" t="s">
        <v>194</v>
      </c>
    </row>
    <row r="66" spans="1:28" x14ac:dyDescent="0.15">
      <c r="A66" s="80" t="s">
        <v>44</v>
      </c>
      <c r="B66" s="80" t="s">
        <v>190</v>
      </c>
      <c r="C66" s="80">
        <v>2020</v>
      </c>
      <c r="D66" s="138" t="s">
        <v>323</v>
      </c>
      <c r="E66" s="80" t="s">
        <v>316</v>
      </c>
      <c r="F66" s="80" t="s">
        <v>334</v>
      </c>
      <c r="G66" s="80" t="s">
        <v>25</v>
      </c>
      <c r="H66" s="80" t="s">
        <v>113</v>
      </c>
      <c r="I66" s="80" t="s">
        <v>111</v>
      </c>
      <c r="J66" s="80" t="s">
        <v>27</v>
      </c>
      <c r="K66" s="80" t="s">
        <v>112</v>
      </c>
      <c r="L66" s="80">
        <v>2</v>
      </c>
      <c r="M66" s="140"/>
      <c r="N66" s="80">
        <v>5</v>
      </c>
      <c r="O66" s="80">
        <v>0.75</v>
      </c>
      <c r="P66" s="80">
        <v>0.75</v>
      </c>
      <c r="Q66" s="16">
        <f t="shared" ref="Q66:Q115" si="3">IF(OR(O66="",P66=""),"",AVERAGE(O66,P66))</f>
        <v>0.75</v>
      </c>
      <c r="R66" s="80">
        <v>14.4</v>
      </c>
      <c r="S66" s="80">
        <v>101</v>
      </c>
      <c r="T66" s="16">
        <f t="shared" ref="T66:T115" si="4">IF(H66="","",IF(OR(H66="GREEN",H66="GK"),IF(S66&gt;=$AX$2,VLOOKUP(S66,$AX$2:$AY$10,2,1),""),IF(S66&gt;=$AZ$2,VLOOKUP(S66,$AZ$2:$BA$10,2,1),"")))</f>
        <v>33</v>
      </c>
      <c r="U66" s="80">
        <v>398</v>
      </c>
      <c r="V66" s="16">
        <f t="shared" ref="V66:V115" si="5">IF(OR(N66="",U66="",T66=""),"",U66/N66*T66)</f>
        <v>2626.7999999999997</v>
      </c>
      <c r="W66" s="80">
        <v>2</v>
      </c>
      <c r="X66" s="80" t="s">
        <v>35</v>
      </c>
      <c r="Y66" s="80" t="s">
        <v>64</v>
      </c>
      <c r="Z66" s="80" t="s">
        <v>74</v>
      </c>
      <c r="AA66" s="80" t="s">
        <v>43</v>
      </c>
      <c r="AB66" s="80" t="s">
        <v>194</v>
      </c>
    </row>
    <row r="67" spans="1:28" x14ac:dyDescent="0.15">
      <c r="A67" s="80" t="s">
        <v>44</v>
      </c>
      <c r="B67" s="80" t="s">
        <v>190</v>
      </c>
      <c r="C67" s="80">
        <v>2020</v>
      </c>
      <c r="D67" s="138" t="s">
        <v>323</v>
      </c>
      <c r="E67" s="80" t="s">
        <v>316</v>
      </c>
      <c r="F67" s="80" t="s">
        <v>334</v>
      </c>
      <c r="G67" s="80" t="s">
        <v>25</v>
      </c>
      <c r="H67" s="80" t="s">
        <v>113</v>
      </c>
      <c r="I67" s="80" t="s">
        <v>111</v>
      </c>
      <c r="J67" s="80" t="s">
        <v>27</v>
      </c>
      <c r="K67" s="80" t="s">
        <v>112</v>
      </c>
      <c r="L67" s="80">
        <v>3</v>
      </c>
      <c r="M67" s="140"/>
      <c r="N67" s="80">
        <v>5</v>
      </c>
      <c r="O67" s="80">
        <v>0.75</v>
      </c>
      <c r="P67" s="80">
        <v>0.65</v>
      </c>
      <c r="Q67" s="16">
        <f t="shared" si="3"/>
        <v>0.7</v>
      </c>
      <c r="R67" s="80">
        <v>13.1</v>
      </c>
      <c r="S67" s="80">
        <v>107</v>
      </c>
      <c r="T67" s="16">
        <f t="shared" si="4"/>
        <v>33</v>
      </c>
      <c r="U67" s="80">
        <v>398</v>
      </c>
      <c r="V67" s="16">
        <f t="shared" si="5"/>
        <v>2626.7999999999997</v>
      </c>
      <c r="W67" s="80">
        <v>2</v>
      </c>
      <c r="X67" s="80" t="s">
        <v>35</v>
      </c>
      <c r="Y67" s="80" t="s">
        <v>64</v>
      </c>
      <c r="Z67" s="80" t="s">
        <v>74</v>
      </c>
      <c r="AA67" s="80" t="s">
        <v>43</v>
      </c>
      <c r="AB67" s="80" t="s">
        <v>194</v>
      </c>
    </row>
    <row r="68" spans="1:28" x14ac:dyDescent="0.15">
      <c r="A68" s="80" t="s">
        <v>44</v>
      </c>
      <c r="B68" s="80" t="s">
        <v>190</v>
      </c>
      <c r="C68" s="80">
        <v>2020</v>
      </c>
      <c r="D68" s="138" t="s">
        <v>323</v>
      </c>
      <c r="E68" s="80" t="s">
        <v>316</v>
      </c>
      <c r="F68" s="80" t="s">
        <v>334</v>
      </c>
      <c r="G68" s="80" t="s">
        <v>25</v>
      </c>
      <c r="H68" s="80" t="s">
        <v>167</v>
      </c>
      <c r="I68" s="80" t="s">
        <v>111</v>
      </c>
      <c r="J68" s="80" t="s">
        <v>27</v>
      </c>
      <c r="K68" s="80" t="s">
        <v>112</v>
      </c>
      <c r="L68" s="80">
        <v>1</v>
      </c>
      <c r="M68" s="140"/>
      <c r="N68" s="80">
        <v>4</v>
      </c>
      <c r="O68" s="80">
        <v>0.8</v>
      </c>
      <c r="P68" s="80">
        <v>0.75</v>
      </c>
      <c r="Q68" s="16">
        <f t="shared" si="3"/>
        <v>0.77500000000000002</v>
      </c>
      <c r="R68" s="80">
        <v>15.2</v>
      </c>
      <c r="S68" s="80">
        <v>83</v>
      </c>
      <c r="T68" s="16">
        <f t="shared" si="4"/>
        <v>39</v>
      </c>
      <c r="U68" s="80">
        <v>498</v>
      </c>
      <c r="V68" s="16">
        <f t="shared" si="5"/>
        <v>4855.5</v>
      </c>
      <c r="W68" s="80">
        <v>2</v>
      </c>
      <c r="X68" s="80" t="s">
        <v>35</v>
      </c>
      <c r="Y68" s="80" t="s">
        <v>64</v>
      </c>
      <c r="Z68" s="80" t="s">
        <v>74</v>
      </c>
      <c r="AA68" s="80" t="s">
        <v>43</v>
      </c>
      <c r="AB68" s="80" t="s">
        <v>194</v>
      </c>
    </row>
    <row r="69" spans="1:28" x14ac:dyDescent="0.15">
      <c r="A69" s="80" t="s">
        <v>44</v>
      </c>
      <c r="B69" s="80" t="s">
        <v>190</v>
      </c>
      <c r="C69" s="80">
        <v>2020</v>
      </c>
      <c r="D69" s="138" t="s">
        <v>323</v>
      </c>
      <c r="E69" s="80" t="s">
        <v>316</v>
      </c>
      <c r="F69" s="80" t="s">
        <v>334</v>
      </c>
      <c r="G69" s="80" t="s">
        <v>25</v>
      </c>
      <c r="H69" s="80" t="s">
        <v>167</v>
      </c>
      <c r="I69" s="80" t="s">
        <v>111</v>
      </c>
      <c r="J69" s="80" t="s">
        <v>27</v>
      </c>
      <c r="K69" s="80" t="s">
        <v>112</v>
      </c>
      <c r="L69" s="80">
        <v>2</v>
      </c>
      <c r="M69" s="140"/>
      <c r="N69" s="80">
        <v>4</v>
      </c>
      <c r="O69" s="80">
        <v>0.65</v>
      </c>
      <c r="P69" s="80">
        <v>0.75</v>
      </c>
      <c r="Q69" s="16">
        <f t="shared" si="3"/>
        <v>0.7</v>
      </c>
      <c r="R69" s="80">
        <v>13.8</v>
      </c>
      <c r="S69" s="80">
        <v>83</v>
      </c>
      <c r="T69" s="16">
        <f t="shared" si="4"/>
        <v>39</v>
      </c>
      <c r="U69" s="80">
        <v>498</v>
      </c>
      <c r="V69" s="16">
        <f t="shared" si="5"/>
        <v>4855.5</v>
      </c>
      <c r="W69" s="80">
        <v>2</v>
      </c>
      <c r="X69" s="80" t="s">
        <v>35</v>
      </c>
      <c r="Y69" s="80" t="s">
        <v>64</v>
      </c>
      <c r="Z69" s="80" t="s">
        <v>74</v>
      </c>
      <c r="AA69" s="80" t="s">
        <v>43</v>
      </c>
      <c r="AB69" s="80" t="s">
        <v>194</v>
      </c>
    </row>
    <row r="70" spans="1:28" x14ac:dyDescent="0.15">
      <c r="A70" s="80" t="s">
        <v>44</v>
      </c>
      <c r="B70" s="80" t="s">
        <v>190</v>
      </c>
      <c r="C70" s="80">
        <v>2020</v>
      </c>
      <c r="D70" s="138" t="s">
        <v>323</v>
      </c>
      <c r="E70" s="80" t="s">
        <v>316</v>
      </c>
      <c r="F70" s="80" t="s">
        <v>334</v>
      </c>
      <c r="G70" s="80" t="s">
        <v>25</v>
      </c>
      <c r="H70" s="80" t="s">
        <v>167</v>
      </c>
      <c r="I70" s="80" t="s">
        <v>111</v>
      </c>
      <c r="J70" s="80" t="s">
        <v>27</v>
      </c>
      <c r="K70" s="80" t="s">
        <v>112</v>
      </c>
      <c r="L70" s="80">
        <v>3</v>
      </c>
      <c r="M70" s="140"/>
      <c r="N70" s="80">
        <v>4</v>
      </c>
      <c r="O70" s="80">
        <v>0.75</v>
      </c>
      <c r="P70" s="80">
        <v>0.65</v>
      </c>
      <c r="Q70" s="16">
        <f t="shared" si="3"/>
        <v>0.7</v>
      </c>
      <c r="R70" s="80">
        <v>13.1</v>
      </c>
      <c r="S70" s="80">
        <v>88</v>
      </c>
      <c r="T70" s="16">
        <f t="shared" si="4"/>
        <v>36</v>
      </c>
      <c r="U70" s="80">
        <v>498</v>
      </c>
      <c r="V70" s="16">
        <f t="shared" si="5"/>
        <v>4482</v>
      </c>
      <c r="W70" s="80">
        <v>2</v>
      </c>
      <c r="X70" s="80" t="s">
        <v>35</v>
      </c>
      <c r="Y70" s="80" t="s">
        <v>64</v>
      </c>
      <c r="Z70" s="80" t="s">
        <v>74</v>
      </c>
      <c r="AA70" s="80" t="s">
        <v>43</v>
      </c>
      <c r="AB70" s="80" t="s">
        <v>194</v>
      </c>
    </row>
    <row r="71" spans="1:28" x14ac:dyDescent="0.15">
      <c r="A71" s="80" t="s">
        <v>44</v>
      </c>
      <c r="B71" s="80" t="s">
        <v>190</v>
      </c>
      <c r="C71" s="80">
        <v>2020</v>
      </c>
      <c r="D71" s="138" t="s">
        <v>323</v>
      </c>
      <c r="E71" s="80" t="s">
        <v>335</v>
      </c>
      <c r="F71" s="80" t="s">
        <v>334</v>
      </c>
      <c r="G71" s="80" t="s">
        <v>31</v>
      </c>
      <c r="H71" s="80" t="s">
        <v>113</v>
      </c>
      <c r="I71" s="80" t="s">
        <v>111</v>
      </c>
      <c r="J71" s="80" t="s">
        <v>27</v>
      </c>
      <c r="K71" s="80" t="s">
        <v>112</v>
      </c>
      <c r="L71" s="80">
        <v>1</v>
      </c>
      <c r="M71" s="140"/>
      <c r="N71" s="80">
        <v>1</v>
      </c>
      <c r="O71" s="80">
        <v>0.7</v>
      </c>
      <c r="P71" s="80">
        <v>0.7</v>
      </c>
      <c r="Q71" s="16">
        <f t="shared" si="3"/>
        <v>0.7</v>
      </c>
      <c r="R71" s="80">
        <v>15.3</v>
      </c>
      <c r="S71" s="80">
        <v>121</v>
      </c>
      <c r="T71" s="16">
        <f t="shared" si="4"/>
        <v>27</v>
      </c>
      <c r="U71" s="80">
        <v>146</v>
      </c>
      <c r="V71" s="16">
        <f t="shared" si="5"/>
        <v>3942</v>
      </c>
      <c r="W71" s="80">
        <v>1</v>
      </c>
      <c r="X71" s="80" t="s">
        <v>28</v>
      </c>
      <c r="Y71" s="80" t="s">
        <v>74</v>
      </c>
      <c r="Z71" s="80" t="s">
        <v>64</v>
      </c>
      <c r="AA71" s="80" t="s">
        <v>76</v>
      </c>
      <c r="AB71" s="80" t="s">
        <v>194</v>
      </c>
    </row>
    <row r="72" spans="1:28" x14ac:dyDescent="0.15">
      <c r="A72" s="80" t="s">
        <v>44</v>
      </c>
      <c r="B72" s="80" t="s">
        <v>190</v>
      </c>
      <c r="C72" s="80">
        <v>2020</v>
      </c>
      <c r="D72" s="138" t="s">
        <v>323</v>
      </c>
      <c r="E72" s="80" t="s">
        <v>335</v>
      </c>
      <c r="F72" s="80" t="s">
        <v>334</v>
      </c>
      <c r="G72" s="80" t="s">
        <v>31</v>
      </c>
      <c r="H72" s="80" t="s">
        <v>113</v>
      </c>
      <c r="I72" s="80" t="s">
        <v>111</v>
      </c>
      <c r="J72" s="80" t="s">
        <v>27</v>
      </c>
      <c r="K72" s="80" t="s">
        <v>112</v>
      </c>
      <c r="L72" s="80">
        <v>2</v>
      </c>
      <c r="M72" s="140"/>
      <c r="N72" s="80">
        <v>1</v>
      </c>
      <c r="O72" s="80">
        <v>0.85</v>
      </c>
      <c r="P72" s="80">
        <v>0.75</v>
      </c>
      <c r="Q72" s="16">
        <f t="shared" si="3"/>
        <v>0.8</v>
      </c>
      <c r="R72" s="80">
        <v>16.399999999999999</v>
      </c>
      <c r="S72" s="80">
        <v>127</v>
      </c>
      <c r="T72" s="16">
        <f t="shared" si="4"/>
        <v>27</v>
      </c>
      <c r="U72" s="80">
        <v>146</v>
      </c>
      <c r="V72" s="16">
        <f t="shared" si="5"/>
        <v>3942</v>
      </c>
      <c r="W72" s="80">
        <v>1</v>
      </c>
      <c r="X72" s="80" t="s">
        <v>28</v>
      </c>
      <c r="Y72" s="80" t="s">
        <v>74</v>
      </c>
      <c r="Z72" s="80" t="s">
        <v>64</v>
      </c>
      <c r="AA72" s="80" t="s">
        <v>76</v>
      </c>
      <c r="AB72" s="80" t="s">
        <v>194</v>
      </c>
    </row>
    <row r="73" spans="1:28" x14ac:dyDescent="0.15">
      <c r="A73" s="80" t="s">
        <v>44</v>
      </c>
      <c r="B73" s="80" t="s">
        <v>190</v>
      </c>
      <c r="C73" s="80">
        <v>2020</v>
      </c>
      <c r="D73" s="138" t="s">
        <v>323</v>
      </c>
      <c r="E73" s="80" t="s">
        <v>335</v>
      </c>
      <c r="F73" s="80" t="s">
        <v>334</v>
      </c>
      <c r="G73" s="80" t="s">
        <v>31</v>
      </c>
      <c r="H73" s="80" t="s">
        <v>113</v>
      </c>
      <c r="I73" s="80" t="s">
        <v>111</v>
      </c>
      <c r="J73" s="80" t="s">
        <v>27</v>
      </c>
      <c r="K73" s="80" t="s">
        <v>112</v>
      </c>
      <c r="L73" s="80">
        <v>3</v>
      </c>
      <c r="M73" s="140"/>
      <c r="N73" s="80">
        <v>1</v>
      </c>
      <c r="O73" s="80">
        <v>1.05</v>
      </c>
      <c r="P73" s="80">
        <v>1</v>
      </c>
      <c r="Q73" s="16">
        <f t="shared" si="3"/>
        <v>1.0249999999999999</v>
      </c>
      <c r="R73" s="80">
        <v>16.2</v>
      </c>
      <c r="S73" s="80">
        <v>124</v>
      </c>
      <c r="T73" s="16">
        <f t="shared" si="4"/>
        <v>27</v>
      </c>
      <c r="U73" s="80">
        <v>146</v>
      </c>
      <c r="V73" s="16">
        <f t="shared" si="5"/>
        <v>3942</v>
      </c>
      <c r="W73" s="80">
        <v>1</v>
      </c>
      <c r="X73" s="80" t="s">
        <v>28</v>
      </c>
      <c r="Y73" s="80" t="s">
        <v>74</v>
      </c>
      <c r="Z73" s="80" t="s">
        <v>64</v>
      </c>
      <c r="AA73" s="80" t="s">
        <v>76</v>
      </c>
      <c r="AB73" s="80" t="s">
        <v>194</v>
      </c>
    </row>
    <row r="74" spans="1:28" x14ac:dyDescent="0.15">
      <c r="A74" s="80" t="s">
        <v>44</v>
      </c>
      <c r="B74" s="80" t="s">
        <v>190</v>
      </c>
      <c r="C74" s="80">
        <v>2020</v>
      </c>
      <c r="D74" s="138" t="s">
        <v>323</v>
      </c>
      <c r="E74" s="80" t="s">
        <v>335</v>
      </c>
      <c r="F74" s="80" t="s">
        <v>334</v>
      </c>
      <c r="G74" s="80" t="s">
        <v>31</v>
      </c>
      <c r="H74" s="80" t="s">
        <v>113</v>
      </c>
      <c r="I74" s="80" t="s">
        <v>111</v>
      </c>
      <c r="J74" s="80" t="s">
        <v>27</v>
      </c>
      <c r="K74" s="80" t="s">
        <v>112</v>
      </c>
      <c r="L74" s="80">
        <v>1</v>
      </c>
      <c r="M74" s="140"/>
      <c r="N74" s="80">
        <v>3</v>
      </c>
      <c r="O74" s="80">
        <v>0.75</v>
      </c>
      <c r="P74" s="80">
        <v>0.75</v>
      </c>
      <c r="Q74" s="16">
        <f t="shared" si="3"/>
        <v>0.75</v>
      </c>
      <c r="R74" s="80">
        <v>15.8</v>
      </c>
      <c r="S74" s="80">
        <v>111</v>
      </c>
      <c r="T74" s="16">
        <f t="shared" si="4"/>
        <v>33</v>
      </c>
      <c r="U74" s="80">
        <v>276</v>
      </c>
      <c r="V74" s="16">
        <f t="shared" si="5"/>
        <v>3036</v>
      </c>
      <c r="W74" s="80">
        <v>1</v>
      </c>
      <c r="X74" s="80" t="s">
        <v>28</v>
      </c>
      <c r="Y74" s="80" t="s">
        <v>74</v>
      </c>
      <c r="Z74" s="80" t="s">
        <v>64</v>
      </c>
      <c r="AA74" s="80" t="s">
        <v>76</v>
      </c>
      <c r="AB74" s="80" t="s">
        <v>194</v>
      </c>
    </row>
    <row r="75" spans="1:28" x14ac:dyDescent="0.15">
      <c r="A75" s="80" t="s">
        <v>44</v>
      </c>
      <c r="B75" s="80" t="s">
        <v>190</v>
      </c>
      <c r="C75" s="80">
        <v>2020</v>
      </c>
      <c r="D75" s="138" t="s">
        <v>323</v>
      </c>
      <c r="E75" s="80" t="s">
        <v>335</v>
      </c>
      <c r="F75" s="80" t="s">
        <v>334</v>
      </c>
      <c r="G75" s="80" t="s">
        <v>31</v>
      </c>
      <c r="H75" s="80" t="s">
        <v>113</v>
      </c>
      <c r="I75" s="80" t="s">
        <v>111</v>
      </c>
      <c r="J75" s="80" t="s">
        <v>27</v>
      </c>
      <c r="K75" s="80" t="s">
        <v>112</v>
      </c>
      <c r="L75" s="80">
        <v>2</v>
      </c>
      <c r="M75" s="140"/>
      <c r="N75" s="80">
        <v>3</v>
      </c>
      <c r="O75" s="80">
        <v>0.7</v>
      </c>
      <c r="P75" s="80">
        <v>0.75</v>
      </c>
      <c r="Q75" s="16">
        <f t="shared" si="3"/>
        <v>0.72499999999999998</v>
      </c>
      <c r="R75" s="80">
        <v>13.3</v>
      </c>
      <c r="S75" s="80">
        <v>103</v>
      </c>
      <c r="T75" s="16">
        <f t="shared" si="4"/>
        <v>33</v>
      </c>
      <c r="U75" s="80">
        <v>276</v>
      </c>
      <c r="V75" s="16">
        <f t="shared" si="5"/>
        <v>3036</v>
      </c>
      <c r="W75" s="80">
        <v>1</v>
      </c>
      <c r="X75" s="80" t="s">
        <v>28</v>
      </c>
      <c r="Y75" s="80" t="s">
        <v>74</v>
      </c>
      <c r="Z75" s="80" t="s">
        <v>64</v>
      </c>
      <c r="AA75" s="80" t="s">
        <v>76</v>
      </c>
      <c r="AB75" s="80" t="s">
        <v>194</v>
      </c>
    </row>
    <row r="76" spans="1:28" x14ac:dyDescent="0.15">
      <c r="A76" s="80" t="s">
        <v>44</v>
      </c>
      <c r="B76" s="80" t="s">
        <v>190</v>
      </c>
      <c r="C76" s="80">
        <v>2020</v>
      </c>
      <c r="D76" s="138" t="s">
        <v>323</v>
      </c>
      <c r="E76" s="80" t="s">
        <v>335</v>
      </c>
      <c r="F76" s="80" t="s">
        <v>334</v>
      </c>
      <c r="G76" s="80" t="s">
        <v>31</v>
      </c>
      <c r="H76" s="80" t="s">
        <v>113</v>
      </c>
      <c r="I76" s="80" t="s">
        <v>111</v>
      </c>
      <c r="J76" s="80" t="s">
        <v>27</v>
      </c>
      <c r="K76" s="80" t="s">
        <v>112</v>
      </c>
      <c r="L76" s="80">
        <v>3</v>
      </c>
      <c r="M76" s="140"/>
      <c r="N76" s="80">
        <v>3</v>
      </c>
      <c r="O76" s="80">
        <v>0.7</v>
      </c>
      <c r="P76" s="80">
        <v>0.65</v>
      </c>
      <c r="Q76" s="16">
        <f t="shared" si="3"/>
        <v>0.67500000000000004</v>
      </c>
      <c r="R76" s="80">
        <v>13.1</v>
      </c>
      <c r="S76" s="80">
        <v>104</v>
      </c>
      <c r="T76" s="16">
        <f t="shared" si="4"/>
        <v>33</v>
      </c>
      <c r="U76" s="80">
        <v>276</v>
      </c>
      <c r="V76" s="16">
        <f t="shared" si="5"/>
        <v>3036</v>
      </c>
      <c r="W76" s="80">
        <v>1</v>
      </c>
      <c r="X76" s="80" t="s">
        <v>28</v>
      </c>
      <c r="Y76" s="80" t="s">
        <v>74</v>
      </c>
      <c r="Z76" s="80" t="s">
        <v>64</v>
      </c>
      <c r="AA76" s="80" t="s">
        <v>76</v>
      </c>
      <c r="AB76" s="80" t="s">
        <v>194</v>
      </c>
    </row>
    <row r="77" spans="1:28" x14ac:dyDescent="0.15">
      <c r="A77" s="80" t="s">
        <v>44</v>
      </c>
      <c r="B77" s="80" t="s">
        <v>190</v>
      </c>
      <c r="C77" s="80">
        <v>2020</v>
      </c>
      <c r="D77" s="138" t="s">
        <v>323</v>
      </c>
      <c r="E77" s="80" t="s">
        <v>335</v>
      </c>
      <c r="F77" s="80" t="s">
        <v>334</v>
      </c>
      <c r="G77" s="80" t="s">
        <v>31</v>
      </c>
      <c r="H77" s="80" t="s">
        <v>167</v>
      </c>
      <c r="I77" s="80" t="s">
        <v>111</v>
      </c>
      <c r="J77" s="80" t="s">
        <v>27</v>
      </c>
      <c r="K77" s="80" t="s">
        <v>112</v>
      </c>
      <c r="L77" s="80">
        <v>1</v>
      </c>
      <c r="M77" s="140"/>
      <c r="N77" s="80">
        <v>1</v>
      </c>
      <c r="O77" s="80">
        <v>0.5</v>
      </c>
      <c r="P77" s="80">
        <v>0.55000000000000004</v>
      </c>
      <c r="Q77" s="16">
        <f t="shared" si="3"/>
        <v>0.52500000000000002</v>
      </c>
      <c r="R77" s="80">
        <v>16.399999999999999</v>
      </c>
      <c r="S77" s="80">
        <v>159</v>
      </c>
      <c r="T77" s="16">
        <f t="shared" si="4"/>
        <v>22</v>
      </c>
      <c r="U77" s="80">
        <v>183</v>
      </c>
      <c r="V77" s="16">
        <f t="shared" si="5"/>
        <v>4026</v>
      </c>
      <c r="W77" s="80">
        <v>1</v>
      </c>
      <c r="X77" s="80" t="s">
        <v>28</v>
      </c>
      <c r="Y77" s="80" t="s">
        <v>74</v>
      </c>
      <c r="Z77" s="80" t="s">
        <v>64</v>
      </c>
      <c r="AA77" s="80" t="s">
        <v>76</v>
      </c>
      <c r="AB77" s="80" t="s">
        <v>194</v>
      </c>
    </row>
    <row r="78" spans="1:28" x14ac:dyDescent="0.15">
      <c r="A78" s="80" t="s">
        <v>44</v>
      </c>
      <c r="B78" s="80" t="s">
        <v>190</v>
      </c>
      <c r="C78" s="80">
        <v>2020</v>
      </c>
      <c r="D78" s="138" t="s">
        <v>323</v>
      </c>
      <c r="E78" s="80" t="s">
        <v>335</v>
      </c>
      <c r="F78" s="80" t="s">
        <v>334</v>
      </c>
      <c r="G78" s="80" t="s">
        <v>31</v>
      </c>
      <c r="H78" s="80" t="s">
        <v>167</v>
      </c>
      <c r="I78" s="80" t="s">
        <v>111</v>
      </c>
      <c r="J78" s="80" t="s">
        <v>27</v>
      </c>
      <c r="K78" s="80" t="s">
        <v>112</v>
      </c>
      <c r="L78" s="80">
        <v>2</v>
      </c>
      <c r="M78" s="140"/>
      <c r="N78" s="80">
        <v>1</v>
      </c>
      <c r="O78" s="80">
        <v>0.5</v>
      </c>
      <c r="P78" s="80">
        <v>0.5</v>
      </c>
      <c r="Q78" s="16">
        <f t="shared" si="3"/>
        <v>0.5</v>
      </c>
      <c r="R78" s="80">
        <v>16.5</v>
      </c>
      <c r="S78" s="80">
        <v>163</v>
      </c>
      <c r="T78" s="16">
        <f t="shared" si="4"/>
        <v>22</v>
      </c>
      <c r="U78" s="80">
        <v>183</v>
      </c>
      <c r="V78" s="16">
        <f t="shared" si="5"/>
        <v>4026</v>
      </c>
      <c r="W78" s="80">
        <v>1</v>
      </c>
      <c r="X78" s="80" t="s">
        <v>28</v>
      </c>
      <c r="Y78" s="80" t="s">
        <v>74</v>
      </c>
      <c r="Z78" s="80" t="s">
        <v>64</v>
      </c>
      <c r="AA78" s="80" t="s">
        <v>76</v>
      </c>
      <c r="AB78" s="80" t="s">
        <v>194</v>
      </c>
    </row>
    <row r="79" spans="1:28" x14ac:dyDescent="0.15">
      <c r="A79" s="80" t="s">
        <v>44</v>
      </c>
      <c r="B79" s="80" t="s">
        <v>190</v>
      </c>
      <c r="C79" s="80">
        <v>2020</v>
      </c>
      <c r="D79" s="138" t="s">
        <v>323</v>
      </c>
      <c r="E79" s="80" t="s">
        <v>335</v>
      </c>
      <c r="F79" s="80" t="s">
        <v>334</v>
      </c>
      <c r="G79" s="80" t="s">
        <v>31</v>
      </c>
      <c r="H79" s="80" t="s">
        <v>167</v>
      </c>
      <c r="I79" s="80" t="s">
        <v>111</v>
      </c>
      <c r="J79" s="80" t="s">
        <v>27</v>
      </c>
      <c r="K79" s="80" t="s">
        <v>112</v>
      </c>
      <c r="L79" s="80">
        <v>3</v>
      </c>
      <c r="M79" s="140"/>
      <c r="N79" s="80">
        <v>1</v>
      </c>
      <c r="O79" s="80">
        <v>0.5</v>
      </c>
      <c r="P79" s="80">
        <v>0.5</v>
      </c>
      <c r="Q79" s="16">
        <f t="shared" si="3"/>
        <v>0.5</v>
      </c>
      <c r="R79" s="80">
        <v>16.399999999999999</v>
      </c>
      <c r="S79" s="80">
        <v>158</v>
      </c>
      <c r="T79" s="16">
        <f t="shared" si="4"/>
        <v>22</v>
      </c>
      <c r="U79" s="80">
        <v>183</v>
      </c>
      <c r="V79" s="16">
        <f t="shared" si="5"/>
        <v>4026</v>
      </c>
      <c r="W79" s="80">
        <v>1</v>
      </c>
      <c r="X79" s="80" t="s">
        <v>28</v>
      </c>
      <c r="Y79" s="80" t="s">
        <v>74</v>
      </c>
      <c r="Z79" s="80" t="s">
        <v>64</v>
      </c>
      <c r="AA79" s="80" t="s">
        <v>76</v>
      </c>
      <c r="AB79" s="80" t="s">
        <v>194</v>
      </c>
    </row>
    <row r="80" spans="1:28" x14ac:dyDescent="0.15">
      <c r="A80" s="80" t="s">
        <v>44</v>
      </c>
      <c r="B80" s="80" t="s">
        <v>190</v>
      </c>
      <c r="C80" s="80">
        <v>2020</v>
      </c>
      <c r="D80" s="138" t="s">
        <v>323</v>
      </c>
      <c r="E80" s="80" t="s">
        <v>335</v>
      </c>
      <c r="F80" s="80" t="s">
        <v>334</v>
      </c>
      <c r="G80" s="80" t="s">
        <v>31</v>
      </c>
      <c r="H80" s="80" t="s">
        <v>167</v>
      </c>
      <c r="I80" s="80" t="s">
        <v>111</v>
      </c>
      <c r="J80" s="80" t="s">
        <v>27</v>
      </c>
      <c r="K80" s="80" t="s">
        <v>112</v>
      </c>
      <c r="L80" s="80">
        <v>1</v>
      </c>
      <c r="M80" s="140"/>
      <c r="N80" s="80">
        <v>3</v>
      </c>
      <c r="O80" s="80">
        <v>0.65</v>
      </c>
      <c r="P80" s="80">
        <v>0.55000000000000004</v>
      </c>
      <c r="Q80" s="16">
        <f t="shared" si="3"/>
        <v>0.60000000000000009</v>
      </c>
      <c r="R80" s="80">
        <v>16</v>
      </c>
      <c r="S80" s="80">
        <v>109</v>
      </c>
      <c r="T80" s="16">
        <f t="shared" si="4"/>
        <v>33</v>
      </c>
      <c r="U80" s="80">
        <v>398</v>
      </c>
      <c r="V80" s="16">
        <f t="shared" si="5"/>
        <v>4378</v>
      </c>
      <c r="W80" s="80">
        <v>1</v>
      </c>
      <c r="X80" s="80" t="s">
        <v>28</v>
      </c>
      <c r="Y80" s="80" t="s">
        <v>74</v>
      </c>
      <c r="Z80" s="80" t="s">
        <v>64</v>
      </c>
      <c r="AA80" s="80" t="s">
        <v>76</v>
      </c>
      <c r="AB80" s="80" t="s">
        <v>194</v>
      </c>
    </row>
    <row r="81" spans="1:28" x14ac:dyDescent="0.15">
      <c r="A81" s="80" t="s">
        <v>44</v>
      </c>
      <c r="B81" s="80" t="s">
        <v>190</v>
      </c>
      <c r="C81" s="80">
        <v>2020</v>
      </c>
      <c r="D81" s="138" t="s">
        <v>323</v>
      </c>
      <c r="E81" s="80" t="s">
        <v>335</v>
      </c>
      <c r="F81" s="80" t="s">
        <v>334</v>
      </c>
      <c r="G81" s="80" t="s">
        <v>31</v>
      </c>
      <c r="H81" s="80" t="s">
        <v>167</v>
      </c>
      <c r="I81" s="80" t="s">
        <v>111</v>
      </c>
      <c r="J81" s="80" t="s">
        <v>27</v>
      </c>
      <c r="K81" s="80" t="s">
        <v>112</v>
      </c>
      <c r="L81" s="80">
        <v>2</v>
      </c>
      <c r="M81" s="140"/>
      <c r="N81" s="80">
        <v>3</v>
      </c>
      <c r="O81" s="80">
        <v>0.55000000000000004</v>
      </c>
      <c r="P81" s="80">
        <v>0.5</v>
      </c>
      <c r="Q81" s="16">
        <f t="shared" si="3"/>
        <v>0.52500000000000002</v>
      </c>
      <c r="R81" s="80">
        <v>17.5</v>
      </c>
      <c r="S81" s="80">
        <v>114</v>
      </c>
      <c r="T81" s="16">
        <f t="shared" si="4"/>
        <v>30</v>
      </c>
      <c r="U81" s="80">
        <v>398</v>
      </c>
      <c r="V81" s="16">
        <f t="shared" si="5"/>
        <v>3979.9999999999995</v>
      </c>
      <c r="W81" s="80">
        <v>1</v>
      </c>
      <c r="X81" s="80" t="s">
        <v>28</v>
      </c>
      <c r="Y81" s="80" t="s">
        <v>74</v>
      </c>
      <c r="Z81" s="80" t="s">
        <v>64</v>
      </c>
      <c r="AA81" s="80" t="s">
        <v>76</v>
      </c>
      <c r="AB81" s="80" t="s">
        <v>194</v>
      </c>
    </row>
    <row r="82" spans="1:28" x14ac:dyDescent="0.15">
      <c r="A82" s="80" t="s">
        <v>44</v>
      </c>
      <c r="B82" s="80" t="s">
        <v>190</v>
      </c>
      <c r="C82" s="80">
        <v>2020</v>
      </c>
      <c r="D82" s="138" t="s">
        <v>323</v>
      </c>
      <c r="E82" s="80" t="s">
        <v>335</v>
      </c>
      <c r="F82" s="80" t="s">
        <v>334</v>
      </c>
      <c r="G82" s="80" t="s">
        <v>31</v>
      </c>
      <c r="H82" s="80" t="s">
        <v>167</v>
      </c>
      <c r="I82" s="80" t="s">
        <v>111</v>
      </c>
      <c r="J82" s="80" t="s">
        <v>27</v>
      </c>
      <c r="K82" s="80" t="s">
        <v>112</v>
      </c>
      <c r="L82" s="80">
        <v>3</v>
      </c>
      <c r="M82" s="140"/>
      <c r="N82" s="80">
        <v>3</v>
      </c>
      <c r="O82" s="80">
        <v>0.5</v>
      </c>
      <c r="P82" s="80">
        <v>0.5</v>
      </c>
      <c r="Q82" s="16">
        <f t="shared" si="3"/>
        <v>0.5</v>
      </c>
      <c r="R82" s="80">
        <v>18.399999999999999</v>
      </c>
      <c r="S82" s="80">
        <v>111</v>
      </c>
      <c r="T82" s="16">
        <f t="shared" si="4"/>
        <v>33</v>
      </c>
      <c r="U82" s="80">
        <v>398</v>
      </c>
      <c r="V82" s="16">
        <f t="shared" si="5"/>
        <v>4378</v>
      </c>
      <c r="W82" s="80">
        <v>1</v>
      </c>
      <c r="X82" s="80" t="s">
        <v>28</v>
      </c>
      <c r="Y82" s="80" t="s">
        <v>74</v>
      </c>
      <c r="Z82" s="80" t="s">
        <v>64</v>
      </c>
      <c r="AA82" s="80" t="s">
        <v>76</v>
      </c>
      <c r="AB82" s="80" t="s">
        <v>194</v>
      </c>
    </row>
    <row r="83" spans="1:28" x14ac:dyDescent="0.15">
      <c r="A83" s="80" t="s">
        <v>44</v>
      </c>
      <c r="B83" s="80" t="s">
        <v>190</v>
      </c>
      <c r="C83" s="80">
        <v>2020</v>
      </c>
      <c r="D83" s="138" t="s">
        <v>323</v>
      </c>
      <c r="E83" s="80" t="s">
        <v>326</v>
      </c>
      <c r="F83" s="80" t="s">
        <v>327</v>
      </c>
      <c r="G83" s="80" t="s">
        <v>31</v>
      </c>
      <c r="H83" s="80" t="s">
        <v>113</v>
      </c>
      <c r="I83" s="80" t="s">
        <v>111</v>
      </c>
      <c r="J83" s="80" t="s">
        <v>27</v>
      </c>
      <c r="K83" s="80" t="s">
        <v>112</v>
      </c>
      <c r="L83" s="80">
        <v>1</v>
      </c>
      <c r="M83" s="140"/>
      <c r="N83" s="80">
        <v>8</v>
      </c>
      <c r="O83" s="80">
        <v>0.75</v>
      </c>
      <c r="P83" s="80">
        <v>0.8</v>
      </c>
      <c r="Q83" s="16">
        <f t="shared" si="3"/>
        <v>0.77500000000000002</v>
      </c>
      <c r="R83" s="80">
        <v>15.2</v>
      </c>
      <c r="S83" s="80">
        <v>82</v>
      </c>
      <c r="T83" s="16">
        <f t="shared" si="4"/>
        <v>39</v>
      </c>
      <c r="U83" s="80">
        <v>457</v>
      </c>
      <c r="V83" s="16">
        <f t="shared" si="5"/>
        <v>2227.875</v>
      </c>
      <c r="W83" s="80">
        <v>1</v>
      </c>
      <c r="X83" s="80" t="s">
        <v>28</v>
      </c>
      <c r="Y83" s="80" t="s">
        <v>74</v>
      </c>
      <c r="Z83" s="80" t="s">
        <v>64</v>
      </c>
      <c r="AA83" s="80" t="s">
        <v>43</v>
      </c>
      <c r="AB83" s="80" t="s">
        <v>194</v>
      </c>
    </row>
    <row r="84" spans="1:28" x14ac:dyDescent="0.15">
      <c r="A84" s="80" t="s">
        <v>44</v>
      </c>
      <c r="B84" s="80" t="s">
        <v>190</v>
      </c>
      <c r="C84" s="80">
        <v>2020</v>
      </c>
      <c r="D84" s="138" t="s">
        <v>323</v>
      </c>
      <c r="E84" s="80" t="s">
        <v>326</v>
      </c>
      <c r="F84" s="80" t="s">
        <v>327</v>
      </c>
      <c r="G84" s="80" t="s">
        <v>31</v>
      </c>
      <c r="H84" s="80" t="s">
        <v>113</v>
      </c>
      <c r="I84" s="80" t="s">
        <v>111</v>
      </c>
      <c r="J84" s="80" t="s">
        <v>27</v>
      </c>
      <c r="K84" s="80" t="s">
        <v>112</v>
      </c>
      <c r="L84" s="80">
        <v>2</v>
      </c>
      <c r="M84" s="140"/>
      <c r="N84" s="80">
        <v>8</v>
      </c>
      <c r="O84" s="80">
        <v>0.8</v>
      </c>
      <c r="P84" s="80">
        <v>0.8</v>
      </c>
      <c r="Q84" s="16">
        <f t="shared" si="3"/>
        <v>0.8</v>
      </c>
      <c r="R84" s="80">
        <v>15.2</v>
      </c>
      <c r="S84" s="80">
        <v>83</v>
      </c>
      <c r="T84" s="16">
        <f t="shared" si="4"/>
        <v>39</v>
      </c>
      <c r="U84" s="80">
        <v>457</v>
      </c>
      <c r="V84" s="16">
        <f t="shared" si="5"/>
        <v>2227.875</v>
      </c>
      <c r="W84" s="80">
        <v>1</v>
      </c>
      <c r="X84" s="80" t="s">
        <v>28</v>
      </c>
      <c r="Y84" s="80" t="s">
        <v>74</v>
      </c>
      <c r="Z84" s="80" t="s">
        <v>64</v>
      </c>
      <c r="AA84" s="80" t="s">
        <v>43</v>
      </c>
      <c r="AB84" s="80" t="s">
        <v>194</v>
      </c>
    </row>
    <row r="85" spans="1:28" x14ac:dyDescent="0.15">
      <c r="A85" s="80" t="s">
        <v>44</v>
      </c>
      <c r="B85" s="80" t="s">
        <v>190</v>
      </c>
      <c r="C85" s="80">
        <v>2020</v>
      </c>
      <c r="D85" s="138" t="s">
        <v>323</v>
      </c>
      <c r="E85" s="80" t="s">
        <v>326</v>
      </c>
      <c r="F85" s="80" t="s">
        <v>327</v>
      </c>
      <c r="G85" s="80" t="s">
        <v>31</v>
      </c>
      <c r="H85" s="80" t="s">
        <v>113</v>
      </c>
      <c r="I85" s="80" t="s">
        <v>111</v>
      </c>
      <c r="J85" s="80" t="s">
        <v>27</v>
      </c>
      <c r="K85" s="80" t="s">
        <v>112</v>
      </c>
      <c r="L85" s="80">
        <v>3</v>
      </c>
      <c r="M85" s="140"/>
      <c r="N85" s="80">
        <v>8</v>
      </c>
      <c r="O85" s="80">
        <v>0.9</v>
      </c>
      <c r="P85" s="80">
        <v>0.9</v>
      </c>
      <c r="Q85" s="16">
        <f t="shared" si="3"/>
        <v>0.9</v>
      </c>
      <c r="R85" s="80">
        <v>13.5</v>
      </c>
      <c r="S85" s="80">
        <v>83</v>
      </c>
      <c r="T85" s="16">
        <f t="shared" si="4"/>
        <v>39</v>
      </c>
      <c r="U85" s="80">
        <v>457</v>
      </c>
      <c r="V85" s="16">
        <f t="shared" si="5"/>
        <v>2227.875</v>
      </c>
      <c r="W85" s="80">
        <v>1</v>
      </c>
      <c r="X85" s="80" t="s">
        <v>28</v>
      </c>
      <c r="Y85" s="80" t="s">
        <v>74</v>
      </c>
      <c r="Z85" s="80" t="s">
        <v>64</v>
      </c>
      <c r="AA85" s="80" t="s">
        <v>43</v>
      </c>
      <c r="AB85" s="80" t="s">
        <v>194</v>
      </c>
    </row>
    <row r="86" spans="1:28" x14ac:dyDescent="0.15">
      <c r="A86" s="80" t="s">
        <v>44</v>
      </c>
      <c r="B86" s="80" t="s">
        <v>190</v>
      </c>
      <c r="C86" s="80">
        <v>2020</v>
      </c>
      <c r="D86" s="138" t="s">
        <v>323</v>
      </c>
      <c r="E86" s="80" t="s">
        <v>326</v>
      </c>
      <c r="F86" s="80" t="s">
        <v>327</v>
      </c>
      <c r="G86" s="80" t="s">
        <v>31</v>
      </c>
      <c r="H86" s="80" t="s">
        <v>167</v>
      </c>
      <c r="I86" s="80" t="s">
        <v>111</v>
      </c>
      <c r="J86" s="80" t="s">
        <v>27</v>
      </c>
      <c r="K86" s="80" t="s">
        <v>112</v>
      </c>
      <c r="L86" s="80">
        <v>1</v>
      </c>
      <c r="M86" s="140"/>
      <c r="N86" s="80">
        <v>4</v>
      </c>
      <c r="O86" s="80">
        <v>0.6</v>
      </c>
      <c r="P86" s="80">
        <v>0.6</v>
      </c>
      <c r="Q86" s="16">
        <f t="shared" si="3"/>
        <v>0.6</v>
      </c>
      <c r="R86" s="80">
        <v>15.4</v>
      </c>
      <c r="S86" s="80">
        <v>111</v>
      </c>
      <c r="T86" s="16">
        <f t="shared" si="4"/>
        <v>33</v>
      </c>
      <c r="U86" s="80">
        <v>397</v>
      </c>
      <c r="V86" s="16">
        <f t="shared" si="5"/>
        <v>3275.25</v>
      </c>
      <c r="W86" s="80">
        <v>1</v>
      </c>
      <c r="X86" s="80" t="s">
        <v>28</v>
      </c>
      <c r="Y86" s="80" t="s">
        <v>74</v>
      </c>
      <c r="Z86" s="80" t="s">
        <v>64</v>
      </c>
      <c r="AA86" s="80" t="s">
        <v>43</v>
      </c>
      <c r="AB86" s="80" t="s">
        <v>194</v>
      </c>
    </row>
    <row r="87" spans="1:28" x14ac:dyDescent="0.15">
      <c r="A87" s="80" t="s">
        <v>44</v>
      </c>
      <c r="B87" s="80" t="s">
        <v>190</v>
      </c>
      <c r="C87" s="80">
        <v>2020</v>
      </c>
      <c r="D87" s="138" t="s">
        <v>323</v>
      </c>
      <c r="E87" s="80" t="s">
        <v>326</v>
      </c>
      <c r="F87" s="80" t="s">
        <v>327</v>
      </c>
      <c r="G87" s="80" t="s">
        <v>31</v>
      </c>
      <c r="H87" s="80" t="s">
        <v>167</v>
      </c>
      <c r="I87" s="80" t="s">
        <v>111</v>
      </c>
      <c r="J87" s="80" t="s">
        <v>27</v>
      </c>
      <c r="K87" s="80" t="s">
        <v>112</v>
      </c>
      <c r="L87" s="80">
        <v>2</v>
      </c>
      <c r="M87" s="140"/>
      <c r="N87" s="80">
        <v>4</v>
      </c>
      <c r="O87" s="80">
        <v>0.5</v>
      </c>
      <c r="P87" s="80">
        <v>0.5</v>
      </c>
      <c r="Q87" s="16">
        <f t="shared" si="3"/>
        <v>0.5</v>
      </c>
      <c r="R87" s="80">
        <v>11.8</v>
      </c>
      <c r="S87" s="80">
        <v>107</v>
      </c>
      <c r="T87" s="16">
        <f t="shared" si="4"/>
        <v>33</v>
      </c>
      <c r="U87" s="80">
        <v>397</v>
      </c>
      <c r="V87" s="16">
        <f t="shared" si="5"/>
        <v>3275.25</v>
      </c>
      <c r="W87" s="80">
        <v>1</v>
      </c>
      <c r="X87" s="80" t="s">
        <v>28</v>
      </c>
      <c r="Y87" s="80" t="s">
        <v>74</v>
      </c>
      <c r="Z87" s="80" t="s">
        <v>64</v>
      </c>
      <c r="AA87" s="80" t="s">
        <v>43</v>
      </c>
      <c r="AB87" s="80" t="s">
        <v>194</v>
      </c>
    </row>
    <row r="88" spans="1:28" x14ac:dyDescent="0.15">
      <c r="A88" s="80" t="s">
        <v>44</v>
      </c>
      <c r="B88" s="80" t="s">
        <v>190</v>
      </c>
      <c r="C88" s="80">
        <v>2020</v>
      </c>
      <c r="D88" s="138" t="s">
        <v>323</v>
      </c>
      <c r="E88" s="80" t="s">
        <v>326</v>
      </c>
      <c r="F88" s="80" t="s">
        <v>327</v>
      </c>
      <c r="G88" s="80" t="s">
        <v>31</v>
      </c>
      <c r="H88" s="80" t="s">
        <v>167</v>
      </c>
      <c r="I88" s="80" t="s">
        <v>111</v>
      </c>
      <c r="J88" s="80" t="s">
        <v>27</v>
      </c>
      <c r="K88" s="80" t="s">
        <v>112</v>
      </c>
      <c r="L88" s="80">
        <v>3</v>
      </c>
      <c r="M88" s="140"/>
      <c r="N88" s="80">
        <v>4</v>
      </c>
      <c r="O88" s="80">
        <v>0.55000000000000004</v>
      </c>
      <c r="P88" s="80">
        <v>0.55000000000000004</v>
      </c>
      <c r="Q88" s="16">
        <f t="shared" si="3"/>
        <v>0.55000000000000004</v>
      </c>
      <c r="R88" s="80">
        <v>15.9</v>
      </c>
      <c r="S88" s="80">
        <v>115</v>
      </c>
      <c r="T88" s="16">
        <f t="shared" si="4"/>
        <v>30</v>
      </c>
      <c r="U88" s="80">
        <v>397</v>
      </c>
      <c r="V88" s="16">
        <f t="shared" si="5"/>
        <v>2977.5</v>
      </c>
      <c r="W88" s="80">
        <v>1</v>
      </c>
      <c r="X88" s="80" t="s">
        <v>28</v>
      </c>
      <c r="Y88" s="80" t="s">
        <v>74</v>
      </c>
      <c r="Z88" s="80" t="s">
        <v>64</v>
      </c>
      <c r="AA88" s="80" t="s">
        <v>43</v>
      </c>
      <c r="AB88" s="80" t="s">
        <v>194</v>
      </c>
    </row>
    <row r="89" spans="1:28" x14ac:dyDescent="0.15">
      <c r="A89" s="80" t="s">
        <v>44</v>
      </c>
      <c r="B89" s="80" t="s">
        <v>190</v>
      </c>
      <c r="C89" s="80">
        <v>2020</v>
      </c>
      <c r="D89" s="138" t="s">
        <v>323</v>
      </c>
      <c r="E89" s="80" t="s">
        <v>326</v>
      </c>
      <c r="F89" s="80" t="s">
        <v>327</v>
      </c>
      <c r="G89" s="80" t="s">
        <v>31</v>
      </c>
      <c r="H89" s="80" t="s">
        <v>167</v>
      </c>
      <c r="I89" s="80" t="s">
        <v>111</v>
      </c>
      <c r="J89" s="80" t="s">
        <v>27</v>
      </c>
      <c r="K89" s="80" t="s">
        <v>112</v>
      </c>
      <c r="L89" s="80">
        <v>1</v>
      </c>
      <c r="M89" s="140"/>
      <c r="N89" s="80">
        <v>8</v>
      </c>
      <c r="O89" s="80">
        <v>0.6</v>
      </c>
      <c r="P89" s="80">
        <v>0.6</v>
      </c>
      <c r="Q89" s="16">
        <f t="shared" si="3"/>
        <v>0.6</v>
      </c>
      <c r="R89" s="80">
        <v>15.8</v>
      </c>
      <c r="S89" s="80">
        <v>85</v>
      </c>
      <c r="T89" s="16">
        <f t="shared" si="4"/>
        <v>36</v>
      </c>
      <c r="U89" s="80">
        <v>597</v>
      </c>
      <c r="V89" s="16">
        <f t="shared" si="5"/>
        <v>2686.5</v>
      </c>
      <c r="W89" s="80">
        <v>1</v>
      </c>
      <c r="X89" s="80" t="s">
        <v>28</v>
      </c>
      <c r="Y89" s="80" t="s">
        <v>74</v>
      </c>
      <c r="Z89" s="80" t="s">
        <v>64</v>
      </c>
      <c r="AA89" s="80" t="s">
        <v>43</v>
      </c>
      <c r="AB89" s="80" t="s">
        <v>194</v>
      </c>
    </row>
    <row r="90" spans="1:28" x14ac:dyDescent="0.15">
      <c r="A90" s="80" t="s">
        <v>44</v>
      </c>
      <c r="B90" s="80" t="s">
        <v>190</v>
      </c>
      <c r="C90" s="80">
        <v>2020</v>
      </c>
      <c r="D90" s="138" t="s">
        <v>323</v>
      </c>
      <c r="E90" s="80" t="s">
        <v>326</v>
      </c>
      <c r="F90" s="80" t="s">
        <v>327</v>
      </c>
      <c r="G90" s="80" t="s">
        <v>31</v>
      </c>
      <c r="H90" s="80" t="s">
        <v>167</v>
      </c>
      <c r="I90" s="80" t="s">
        <v>111</v>
      </c>
      <c r="J90" s="80" t="s">
        <v>27</v>
      </c>
      <c r="K90" s="80" t="s">
        <v>112</v>
      </c>
      <c r="L90" s="80">
        <v>2</v>
      </c>
      <c r="M90" s="140"/>
      <c r="N90" s="80">
        <v>8</v>
      </c>
      <c r="O90" s="80">
        <v>0.6</v>
      </c>
      <c r="P90" s="80">
        <v>0.6</v>
      </c>
      <c r="Q90" s="16">
        <f t="shared" si="3"/>
        <v>0.6</v>
      </c>
      <c r="R90" s="80">
        <v>18.100000000000001</v>
      </c>
      <c r="S90" s="80">
        <v>85</v>
      </c>
      <c r="T90" s="16">
        <f t="shared" si="4"/>
        <v>36</v>
      </c>
      <c r="U90" s="80">
        <v>597</v>
      </c>
      <c r="V90" s="16">
        <f t="shared" si="5"/>
        <v>2686.5</v>
      </c>
      <c r="W90" s="80">
        <v>1</v>
      </c>
      <c r="X90" s="80" t="s">
        <v>28</v>
      </c>
      <c r="Y90" s="80" t="s">
        <v>74</v>
      </c>
      <c r="Z90" s="80" t="s">
        <v>64</v>
      </c>
      <c r="AA90" s="80" t="s">
        <v>43</v>
      </c>
      <c r="AB90" s="80" t="s">
        <v>194</v>
      </c>
    </row>
    <row r="91" spans="1:28" x14ac:dyDescent="0.15">
      <c r="A91" s="80" t="s">
        <v>44</v>
      </c>
      <c r="B91" s="80" t="s">
        <v>190</v>
      </c>
      <c r="C91" s="80">
        <v>2020</v>
      </c>
      <c r="D91" s="138" t="s">
        <v>323</v>
      </c>
      <c r="E91" s="80" t="s">
        <v>326</v>
      </c>
      <c r="F91" s="80" t="s">
        <v>327</v>
      </c>
      <c r="G91" s="80" t="s">
        <v>31</v>
      </c>
      <c r="H91" s="80" t="s">
        <v>167</v>
      </c>
      <c r="I91" s="80" t="s">
        <v>111</v>
      </c>
      <c r="J91" s="80" t="s">
        <v>27</v>
      </c>
      <c r="K91" s="80" t="s">
        <v>112</v>
      </c>
      <c r="L91" s="80">
        <v>3</v>
      </c>
      <c r="M91" s="140"/>
      <c r="N91" s="80">
        <v>8</v>
      </c>
      <c r="O91" s="80">
        <v>0.55000000000000004</v>
      </c>
      <c r="P91" s="80">
        <v>0.55000000000000004</v>
      </c>
      <c r="Q91" s="16">
        <f t="shared" si="3"/>
        <v>0.55000000000000004</v>
      </c>
      <c r="R91" s="80">
        <v>17.5</v>
      </c>
      <c r="S91" s="80">
        <v>91</v>
      </c>
      <c r="T91" s="16">
        <f t="shared" si="4"/>
        <v>36</v>
      </c>
      <c r="U91" s="80">
        <v>597</v>
      </c>
      <c r="V91" s="16">
        <f t="shared" si="5"/>
        <v>2686.5</v>
      </c>
      <c r="W91" s="80">
        <v>1</v>
      </c>
      <c r="X91" s="80" t="s">
        <v>28</v>
      </c>
      <c r="Y91" s="80" t="s">
        <v>74</v>
      </c>
      <c r="Z91" s="80" t="s">
        <v>64</v>
      </c>
      <c r="AA91" s="80" t="s">
        <v>43</v>
      </c>
      <c r="AB91" s="80" t="s">
        <v>194</v>
      </c>
    </row>
    <row r="92" spans="1:28" x14ac:dyDescent="0.15">
      <c r="A92" s="80" t="s">
        <v>44</v>
      </c>
      <c r="B92" s="80" t="s">
        <v>190</v>
      </c>
      <c r="C92" s="80">
        <v>2020</v>
      </c>
      <c r="D92" s="138" t="s">
        <v>323</v>
      </c>
      <c r="E92" s="80" t="s">
        <v>328</v>
      </c>
      <c r="F92" s="80" t="s">
        <v>325</v>
      </c>
      <c r="G92" s="80" t="s">
        <v>25</v>
      </c>
      <c r="H92" s="80" t="s">
        <v>113</v>
      </c>
      <c r="I92" s="80" t="s">
        <v>111</v>
      </c>
      <c r="J92" s="80" t="s">
        <v>27</v>
      </c>
      <c r="K92" s="80" t="s">
        <v>112</v>
      </c>
      <c r="L92" s="80">
        <v>1</v>
      </c>
      <c r="M92" s="140"/>
      <c r="N92" s="80">
        <v>1</v>
      </c>
      <c r="O92" s="80">
        <v>0.7</v>
      </c>
      <c r="P92" s="80">
        <v>0.75</v>
      </c>
      <c r="Q92" s="16">
        <f t="shared" si="3"/>
        <v>0.72499999999999998</v>
      </c>
      <c r="R92" s="80">
        <v>16.7</v>
      </c>
      <c r="S92" s="80">
        <v>134</v>
      </c>
      <c r="T92" s="16">
        <f t="shared" si="4"/>
        <v>25</v>
      </c>
      <c r="U92" s="80">
        <v>128</v>
      </c>
      <c r="V92" s="16">
        <f t="shared" si="5"/>
        <v>3200</v>
      </c>
      <c r="W92" s="80">
        <v>2</v>
      </c>
      <c r="X92" s="80" t="s">
        <v>35</v>
      </c>
      <c r="Y92" s="80" t="s">
        <v>86</v>
      </c>
      <c r="Z92" s="80" t="s">
        <v>74</v>
      </c>
      <c r="AA92" s="80" t="s">
        <v>64</v>
      </c>
      <c r="AB92" s="80" t="s">
        <v>194</v>
      </c>
    </row>
    <row r="93" spans="1:28" x14ac:dyDescent="0.15">
      <c r="A93" s="80" t="s">
        <v>44</v>
      </c>
      <c r="B93" s="80" t="s">
        <v>190</v>
      </c>
      <c r="C93" s="80">
        <v>2020</v>
      </c>
      <c r="D93" s="138" t="s">
        <v>323</v>
      </c>
      <c r="E93" s="80" t="s">
        <v>328</v>
      </c>
      <c r="F93" s="80" t="s">
        <v>325</v>
      </c>
      <c r="G93" s="80" t="s">
        <v>25</v>
      </c>
      <c r="H93" s="80" t="s">
        <v>113</v>
      </c>
      <c r="I93" s="80" t="s">
        <v>111</v>
      </c>
      <c r="J93" s="80" t="s">
        <v>27</v>
      </c>
      <c r="K93" s="80" t="s">
        <v>112</v>
      </c>
      <c r="L93" s="80">
        <v>2</v>
      </c>
      <c r="M93" s="140"/>
      <c r="N93" s="80">
        <v>1</v>
      </c>
      <c r="O93" s="80">
        <v>0.5</v>
      </c>
      <c r="P93" s="80">
        <v>0.5</v>
      </c>
      <c r="Q93" s="16">
        <f t="shared" si="3"/>
        <v>0.5</v>
      </c>
      <c r="R93" s="80">
        <v>16.7</v>
      </c>
      <c r="S93" s="80">
        <v>143</v>
      </c>
      <c r="T93" s="16">
        <f t="shared" si="4"/>
        <v>22</v>
      </c>
      <c r="U93" s="80">
        <v>128</v>
      </c>
      <c r="V93" s="16">
        <f t="shared" si="5"/>
        <v>2816</v>
      </c>
      <c r="W93" s="80">
        <v>2</v>
      </c>
      <c r="X93" s="80" t="s">
        <v>35</v>
      </c>
      <c r="Y93" s="80" t="s">
        <v>86</v>
      </c>
      <c r="Z93" s="80" t="s">
        <v>74</v>
      </c>
      <c r="AA93" s="80" t="s">
        <v>64</v>
      </c>
      <c r="AB93" s="80" t="s">
        <v>194</v>
      </c>
    </row>
    <row r="94" spans="1:28" x14ac:dyDescent="0.15">
      <c r="A94" s="80" t="s">
        <v>44</v>
      </c>
      <c r="B94" s="80" t="s">
        <v>190</v>
      </c>
      <c r="C94" s="80">
        <v>2020</v>
      </c>
      <c r="D94" s="138" t="s">
        <v>323</v>
      </c>
      <c r="E94" s="80" t="s">
        <v>328</v>
      </c>
      <c r="F94" s="80" t="s">
        <v>325</v>
      </c>
      <c r="G94" s="80" t="s">
        <v>25</v>
      </c>
      <c r="H94" s="80" t="s">
        <v>113</v>
      </c>
      <c r="I94" s="80" t="s">
        <v>111</v>
      </c>
      <c r="J94" s="80" t="s">
        <v>27</v>
      </c>
      <c r="K94" s="80" t="s">
        <v>112</v>
      </c>
      <c r="L94" s="80">
        <v>3</v>
      </c>
      <c r="M94" s="140"/>
      <c r="N94" s="80">
        <v>1</v>
      </c>
      <c r="O94" s="80">
        <v>0.75</v>
      </c>
      <c r="P94" s="80">
        <v>0.7</v>
      </c>
      <c r="Q94" s="16">
        <f t="shared" si="3"/>
        <v>0.72499999999999998</v>
      </c>
      <c r="R94" s="80">
        <v>15.2</v>
      </c>
      <c r="S94" s="80">
        <v>138</v>
      </c>
      <c r="T94" s="16">
        <f t="shared" si="4"/>
        <v>22</v>
      </c>
      <c r="U94" s="80">
        <v>128</v>
      </c>
      <c r="V94" s="16">
        <f t="shared" si="5"/>
        <v>2816</v>
      </c>
      <c r="W94" s="80">
        <v>2</v>
      </c>
      <c r="X94" s="80" t="s">
        <v>35</v>
      </c>
      <c r="Y94" s="80" t="s">
        <v>86</v>
      </c>
      <c r="Z94" s="80" t="s">
        <v>74</v>
      </c>
      <c r="AA94" s="80" t="s">
        <v>64</v>
      </c>
      <c r="AB94" s="80" t="s">
        <v>194</v>
      </c>
    </row>
    <row r="95" spans="1:28" x14ac:dyDescent="0.15">
      <c r="A95" s="80" t="s">
        <v>44</v>
      </c>
      <c r="B95" s="80" t="s">
        <v>190</v>
      </c>
      <c r="C95" s="80">
        <v>2020</v>
      </c>
      <c r="D95" s="138" t="s">
        <v>323</v>
      </c>
      <c r="E95" s="80" t="s">
        <v>328</v>
      </c>
      <c r="F95" s="80" t="s">
        <v>325</v>
      </c>
      <c r="G95" s="80" t="s">
        <v>25</v>
      </c>
      <c r="H95" s="80" t="s">
        <v>113</v>
      </c>
      <c r="I95" s="80" t="s">
        <v>111</v>
      </c>
      <c r="J95" s="80" t="s">
        <v>27</v>
      </c>
      <c r="K95" s="80" t="s">
        <v>112</v>
      </c>
      <c r="L95" s="80">
        <v>1</v>
      </c>
      <c r="M95" s="140"/>
      <c r="N95" s="80">
        <v>6</v>
      </c>
      <c r="O95" s="80">
        <v>0.9</v>
      </c>
      <c r="P95" s="80">
        <v>0.8</v>
      </c>
      <c r="Q95" s="16">
        <f t="shared" si="3"/>
        <v>0.85000000000000009</v>
      </c>
      <c r="R95" s="80">
        <v>16.8</v>
      </c>
      <c r="S95" s="80">
        <v>103</v>
      </c>
      <c r="T95" s="16">
        <f t="shared" si="4"/>
        <v>33</v>
      </c>
      <c r="U95" s="80">
        <v>398</v>
      </c>
      <c r="V95" s="16">
        <f t="shared" si="5"/>
        <v>2189</v>
      </c>
      <c r="W95" s="80">
        <v>4</v>
      </c>
      <c r="X95" s="80" t="s">
        <v>35</v>
      </c>
      <c r="Y95" s="80" t="s">
        <v>86</v>
      </c>
      <c r="Z95" s="80" t="s">
        <v>74</v>
      </c>
      <c r="AA95" s="80" t="s">
        <v>64</v>
      </c>
      <c r="AB95" s="80" t="s">
        <v>194</v>
      </c>
    </row>
    <row r="96" spans="1:28" x14ac:dyDescent="0.15">
      <c r="A96" s="80" t="s">
        <v>44</v>
      </c>
      <c r="B96" s="80" t="s">
        <v>190</v>
      </c>
      <c r="C96" s="80">
        <v>2020</v>
      </c>
      <c r="D96" s="138" t="s">
        <v>323</v>
      </c>
      <c r="E96" s="80" t="s">
        <v>328</v>
      </c>
      <c r="F96" s="80" t="s">
        <v>325</v>
      </c>
      <c r="G96" s="80" t="s">
        <v>25</v>
      </c>
      <c r="H96" s="80" t="s">
        <v>113</v>
      </c>
      <c r="I96" s="80" t="s">
        <v>111</v>
      </c>
      <c r="J96" s="80" t="s">
        <v>27</v>
      </c>
      <c r="K96" s="80" t="s">
        <v>112</v>
      </c>
      <c r="L96" s="80">
        <v>2</v>
      </c>
      <c r="M96" s="140"/>
      <c r="N96" s="80">
        <v>6</v>
      </c>
      <c r="O96" s="80">
        <v>0.75</v>
      </c>
      <c r="P96" s="80">
        <v>0.65</v>
      </c>
      <c r="Q96" s="16">
        <f t="shared" si="3"/>
        <v>0.7</v>
      </c>
      <c r="R96" s="80">
        <v>17.5</v>
      </c>
      <c r="S96" s="80">
        <v>94</v>
      </c>
      <c r="T96" s="16">
        <f t="shared" si="4"/>
        <v>36</v>
      </c>
      <c r="U96" s="80">
        <v>398</v>
      </c>
      <c r="V96" s="16">
        <f t="shared" si="5"/>
        <v>2388</v>
      </c>
      <c r="W96" s="80">
        <v>4</v>
      </c>
      <c r="X96" s="80" t="s">
        <v>35</v>
      </c>
      <c r="Y96" s="80" t="s">
        <v>86</v>
      </c>
      <c r="Z96" s="80" t="s">
        <v>74</v>
      </c>
      <c r="AA96" s="80" t="s">
        <v>64</v>
      </c>
      <c r="AB96" s="80" t="s">
        <v>194</v>
      </c>
    </row>
    <row r="97" spans="1:28" x14ac:dyDescent="0.15">
      <c r="A97" s="80" t="s">
        <v>44</v>
      </c>
      <c r="B97" s="80" t="s">
        <v>190</v>
      </c>
      <c r="C97" s="80">
        <v>2020</v>
      </c>
      <c r="D97" s="138" t="s">
        <v>323</v>
      </c>
      <c r="E97" s="80" t="s">
        <v>328</v>
      </c>
      <c r="F97" s="80" t="s">
        <v>325</v>
      </c>
      <c r="G97" s="80" t="s">
        <v>25</v>
      </c>
      <c r="H97" s="80" t="s">
        <v>113</v>
      </c>
      <c r="I97" s="80" t="s">
        <v>111</v>
      </c>
      <c r="J97" s="80" t="s">
        <v>27</v>
      </c>
      <c r="K97" s="80" t="s">
        <v>112</v>
      </c>
      <c r="L97" s="80">
        <v>3</v>
      </c>
      <c r="M97" s="140"/>
      <c r="N97" s="80">
        <v>6</v>
      </c>
      <c r="O97" s="80">
        <v>0.7</v>
      </c>
      <c r="P97" s="80">
        <v>0.65</v>
      </c>
      <c r="Q97" s="16">
        <f t="shared" si="3"/>
        <v>0.67500000000000004</v>
      </c>
      <c r="R97" s="80">
        <v>15.7</v>
      </c>
      <c r="S97" s="80">
        <v>96</v>
      </c>
      <c r="T97" s="16">
        <f t="shared" si="4"/>
        <v>36</v>
      </c>
      <c r="U97" s="80">
        <v>398</v>
      </c>
      <c r="V97" s="16">
        <f t="shared" si="5"/>
        <v>2388</v>
      </c>
      <c r="W97" s="80">
        <v>4</v>
      </c>
      <c r="X97" s="80" t="s">
        <v>35</v>
      </c>
      <c r="Y97" s="80" t="s">
        <v>86</v>
      </c>
      <c r="Z97" s="80" t="s">
        <v>74</v>
      </c>
      <c r="AA97" s="80" t="s">
        <v>64</v>
      </c>
      <c r="AB97" s="80" t="s">
        <v>194</v>
      </c>
    </row>
    <row r="98" spans="1:28" x14ac:dyDescent="0.15">
      <c r="A98" s="80" t="s">
        <v>44</v>
      </c>
      <c r="B98" s="80" t="s">
        <v>190</v>
      </c>
      <c r="C98" s="80">
        <v>2020</v>
      </c>
      <c r="D98" s="138" t="s">
        <v>323</v>
      </c>
      <c r="E98" s="80" t="s">
        <v>328</v>
      </c>
      <c r="F98" s="80" t="s">
        <v>325</v>
      </c>
      <c r="G98" s="80" t="s">
        <v>25</v>
      </c>
      <c r="H98" s="80" t="s">
        <v>167</v>
      </c>
      <c r="I98" s="80" t="s">
        <v>422</v>
      </c>
      <c r="J98" s="80" t="s">
        <v>27</v>
      </c>
      <c r="K98" s="80" t="s">
        <v>112</v>
      </c>
      <c r="L98" s="80">
        <v>1</v>
      </c>
      <c r="M98" s="140"/>
      <c r="N98" s="80">
        <v>1</v>
      </c>
      <c r="O98" s="80">
        <v>0.8</v>
      </c>
      <c r="P98" s="80">
        <v>0.75</v>
      </c>
      <c r="Q98" s="16">
        <f t="shared" si="3"/>
        <v>0.77500000000000002</v>
      </c>
      <c r="R98" s="80">
        <v>17.399999999999999</v>
      </c>
      <c r="S98" s="80">
        <v>120</v>
      </c>
      <c r="T98" s="16">
        <f t="shared" si="4"/>
        <v>30</v>
      </c>
      <c r="U98" s="80">
        <v>128</v>
      </c>
      <c r="V98" s="16">
        <f t="shared" si="5"/>
        <v>3840</v>
      </c>
      <c r="W98" s="80">
        <v>4</v>
      </c>
      <c r="X98" s="80" t="s">
        <v>35</v>
      </c>
      <c r="Y98" s="80" t="s">
        <v>86</v>
      </c>
      <c r="Z98" s="80" t="s">
        <v>74</v>
      </c>
      <c r="AA98" s="80" t="s">
        <v>64</v>
      </c>
      <c r="AB98" s="80" t="s">
        <v>194</v>
      </c>
    </row>
    <row r="99" spans="1:28" x14ac:dyDescent="0.15">
      <c r="A99" s="80" t="s">
        <v>44</v>
      </c>
      <c r="B99" s="80" t="s">
        <v>190</v>
      </c>
      <c r="C99" s="80">
        <v>2020</v>
      </c>
      <c r="D99" s="138" t="s">
        <v>323</v>
      </c>
      <c r="E99" s="80" t="s">
        <v>328</v>
      </c>
      <c r="F99" s="80" t="s">
        <v>325</v>
      </c>
      <c r="G99" s="80" t="s">
        <v>25</v>
      </c>
      <c r="H99" s="80" t="s">
        <v>167</v>
      </c>
      <c r="I99" s="80" t="s">
        <v>111</v>
      </c>
      <c r="J99" s="80" t="s">
        <v>27</v>
      </c>
      <c r="K99" s="80" t="s">
        <v>112</v>
      </c>
      <c r="L99" s="80">
        <v>2</v>
      </c>
      <c r="M99" s="140"/>
      <c r="N99" s="80">
        <v>1</v>
      </c>
      <c r="O99" s="80">
        <v>0.6</v>
      </c>
      <c r="P99" s="80">
        <v>0.6</v>
      </c>
      <c r="Q99" s="16">
        <f t="shared" si="3"/>
        <v>0.6</v>
      </c>
      <c r="R99" s="80">
        <v>16.2</v>
      </c>
      <c r="S99" s="80">
        <v>124</v>
      </c>
      <c r="T99" s="16">
        <f t="shared" si="4"/>
        <v>27</v>
      </c>
      <c r="U99" s="80">
        <v>128</v>
      </c>
      <c r="V99" s="16">
        <f t="shared" si="5"/>
        <v>3456</v>
      </c>
      <c r="W99" s="80">
        <v>4</v>
      </c>
      <c r="X99" s="80" t="s">
        <v>35</v>
      </c>
      <c r="Y99" s="80" t="s">
        <v>86</v>
      </c>
      <c r="Z99" s="80" t="s">
        <v>74</v>
      </c>
      <c r="AA99" s="80" t="s">
        <v>64</v>
      </c>
      <c r="AB99" s="80" t="s">
        <v>194</v>
      </c>
    </row>
    <row r="100" spans="1:28" x14ac:dyDescent="0.15">
      <c r="A100" s="80" t="s">
        <v>44</v>
      </c>
      <c r="B100" s="80" t="s">
        <v>190</v>
      </c>
      <c r="C100" s="80">
        <v>2020</v>
      </c>
      <c r="D100" s="138" t="s">
        <v>323</v>
      </c>
      <c r="E100" s="80" t="s">
        <v>328</v>
      </c>
      <c r="F100" s="80" t="s">
        <v>325</v>
      </c>
      <c r="G100" s="80" t="s">
        <v>25</v>
      </c>
      <c r="H100" s="80" t="s">
        <v>167</v>
      </c>
      <c r="I100" s="80" t="s">
        <v>111</v>
      </c>
      <c r="J100" s="80" t="s">
        <v>27</v>
      </c>
      <c r="K100" s="80" t="s">
        <v>112</v>
      </c>
      <c r="L100" s="80">
        <v>3</v>
      </c>
      <c r="M100" s="140"/>
      <c r="N100" s="80">
        <v>1</v>
      </c>
      <c r="O100" s="80">
        <v>0.7</v>
      </c>
      <c r="P100" s="80">
        <v>0.65</v>
      </c>
      <c r="Q100" s="16">
        <f t="shared" si="3"/>
        <v>0.67500000000000004</v>
      </c>
      <c r="R100" s="80">
        <v>15.3</v>
      </c>
      <c r="S100" s="80">
        <v>120</v>
      </c>
      <c r="T100" s="16">
        <f t="shared" si="4"/>
        <v>30</v>
      </c>
      <c r="U100" s="80">
        <v>128</v>
      </c>
      <c r="V100" s="16">
        <f t="shared" si="5"/>
        <v>3840</v>
      </c>
      <c r="W100" s="80">
        <v>4</v>
      </c>
      <c r="X100" s="80" t="s">
        <v>35</v>
      </c>
      <c r="Y100" s="80" t="s">
        <v>86</v>
      </c>
      <c r="Z100" s="80" t="s">
        <v>74</v>
      </c>
      <c r="AA100" s="80" t="s">
        <v>64</v>
      </c>
      <c r="AB100" s="80" t="s">
        <v>194</v>
      </c>
    </row>
    <row r="101" spans="1:28" x14ac:dyDescent="0.15">
      <c r="A101" s="80" t="s">
        <v>44</v>
      </c>
      <c r="B101" s="80" t="s">
        <v>190</v>
      </c>
      <c r="C101" s="80">
        <v>2020</v>
      </c>
      <c r="D101" s="138" t="s">
        <v>323</v>
      </c>
      <c r="E101" s="80" t="s">
        <v>328</v>
      </c>
      <c r="F101" s="80" t="s">
        <v>325</v>
      </c>
      <c r="G101" s="80" t="s">
        <v>25</v>
      </c>
      <c r="H101" s="80" t="s">
        <v>167</v>
      </c>
      <c r="I101" s="80" t="s">
        <v>111</v>
      </c>
      <c r="J101" s="80" t="s">
        <v>27</v>
      </c>
      <c r="K101" s="80" t="s">
        <v>112</v>
      </c>
      <c r="L101" s="80">
        <v>1</v>
      </c>
      <c r="M101" s="140"/>
      <c r="N101" s="80">
        <v>5</v>
      </c>
      <c r="O101" s="80">
        <v>0.6</v>
      </c>
      <c r="P101" s="80">
        <v>0.6</v>
      </c>
      <c r="Q101" s="16">
        <f t="shared" si="3"/>
        <v>0.6</v>
      </c>
      <c r="R101" s="80">
        <v>17.5</v>
      </c>
      <c r="S101" s="80">
        <v>101</v>
      </c>
      <c r="T101" s="16">
        <f t="shared" si="4"/>
        <v>33</v>
      </c>
      <c r="U101" s="80">
        <v>480</v>
      </c>
      <c r="V101" s="16">
        <f t="shared" si="5"/>
        <v>3168</v>
      </c>
      <c r="W101" s="80">
        <v>4</v>
      </c>
      <c r="X101" s="80" t="s">
        <v>35</v>
      </c>
      <c r="Y101" s="80" t="s">
        <v>86</v>
      </c>
      <c r="Z101" s="80" t="s">
        <v>74</v>
      </c>
      <c r="AA101" s="80" t="s">
        <v>64</v>
      </c>
      <c r="AB101" s="80" t="s">
        <v>194</v>
      </c>
    </row>
    <row r="102" spans="1:28" x14ac:dyDescent="0.15">
      <c r="A102" s="80" t="s">
        <v>44</v>
      </c>
      <c r="B102" s="80" t="s">
        <v>190</v>
      </c>
      <c r="C102" s="80">
        <v>2020</v>
      </c>
      <c r="D102" s="138" t="s">
        <v>323</v>
      </c>
      <c r="E102" s="80" t="s">
        <v>328</v>
      </c>
      <c r="F102" s="80" t="s">
        <v>325</v>
      </c>
      <c r="G102" s="80" t="s">
        <v>25</v>
      </c>
      <c r="H102" s="80" t="s">
        <v>167</v>
      </c>
      <c r="I102" s="80" t="s">
        <v>111</v>
      </c>
      <c r="J102" s="80" t="s">
        <v>27</v>
      </c>
      <c r="K102" s="80" t="s">
        <v>112</v>
      </c>
      <c r="L102" s="80">
        <v>2</v>
      </c>
      <c r="M102" s="140"/>
      <c r="N102" s="80">
        <v>5</v>
      </c>
      <c r="O102" s="80">
        <v>0.55000000000000004</v>
      </c>
      <c r="P102" s="80">
        <v>0.6</v>
      </c>
      <c r="Q102" s="16">
        <f t="shared" si="3"/>
        <v>0.57499999999999996</v>
      </c>
      <c r="R102" s="80">
        <v>17.100000000000001</v>
      </c>
      <c r="S102" s="80">
        <v>91</v>
      </c>
      <c r="T102" s="16">
        <f t="shared" si="4"/>
        <v>36</v>
      </c>
      <c r="U102" s="80">
        <v>480</v>
      </c>
      <c r="V102" s="16">
        <f t="shared" si="5"/>
        <v>3456</v>
      </c>
      <c r="W102" s="80">
        <v>4</v>
      </c>
      <c r="X102" s="80" t="s">
        <v>35</v>
      </c>
      <c r="Y102" s="80" t="s">
        <v>86</v>
      </c>
      <c r="Z102" s="80" t="s">
        <v>74</v>
      </c>
      <c r="AA102" s="80" t="s">
        <v>64</v>
      </c>
      <c r="AB102" s="80" t="s">
        <v>194</v>
      </c>
    </row>
    <row r="103" spans="1:28" x14ac:dyDescent="0.15">
      <c r="A103" s="80" t="s">
        <v>44</v>
      </c>
      <c r="B103" s="80" t="s">
        <v>190</v>
      </c>
      <c r="C103" s="80">
        <v>2020</v>
      </c>
      <c r="D103" s="138" t="s">
        <v>323</v>
      </c>
      <c r="E103" s="80" t="s">
        <v>328</v>
      </c>
      <c r="F103" s="80" t="s">
        <v>325</v>
      </c>
      <c r="G103" s="80" t="s">
        <v>25</v>
      </c>
      <c r="H103" s="80" t="s">
        <v>167</v>
      </c>
      <c r="I103" s="80" t="s">
        <v>111</v>
      </c>
      <c r="J103" s="80" t="s">
        <v>27</v>
      </c>
      <c r="K103" s="80" t="s">
        <v>112</v>
      </c>
      <c r="L103" s="80">
        <v>3</v>
      </c>
      <c r="M103" s="140"/>
      <c r="N103" s="80">
        <v>5</v>
      </c>
      <c r="O103" s="80">
        <v>0.65</v>
      </c>
      <c r="P103" s="80">
        <v>0.6</v>
      </c>
      <c r="Q103" s="16">
        <f t="shared" si="3"/>
        <v>0.625</v>
      </c>
      <c r="R103" s="80">
        <v>17.3</v>
      </c>
      <c r="S103" s="80">
        <v>108</v>
      </c>
      <c r="T103" s="16">
        <f t="shared" si="4"/>
        <v>33</v>
      </c>
      <c r="U103" s="80">
        <v>480</v>
      </c>
      <c r="V103" s="16">
        <f t="shared" si="5"/>
        <v>3168</v>
      </c>
      <c r="W103" s="80">
        <v>4</v>
      </c>
      <c r="X103" s="80" t="s">
        <v>35</v>
      </c>
      <c r="Y103" s="80" t="s">
        <v>86</v>
      </c>
      <c r="Z103" s="80" t="s">
        <v>74</v>
      </c>
      <c r="AA103" s="80" t="s">
        <v>64</v>
      </c>
      <c r="AB103" s="80" t="s">
        <v>194</v>
      </c>
    </row>
    <row r="104" spans="1:28" x14ac:dyDescent="0.15">
      <c r="A104" s="80" t="s">
        <v>44</v>
      </c>
      <c r="B104" s="80" t="s">
        <v>190</v>
      </c>
      <c r="C104" s="80">
        <v>2020</v>
      </c>
      <c r="D104" s="138" t="s">
        <v>323</v>
      </c>
      <c r="E104" s="80" t="s">
        <v>333</v>
      </c>
      <c r="F104" s="80" t="s">
        <v>325</v>
      </c>
      <c r="G104" s="80" t="s">
        <v>25</v>
      </c>
      <c r="H104" s="80" t="s">
        <v>113</v>
      </c>
      <c r="I104" s="80" t="s">
        <v>111</v>
      </c>
      <c r="J104" s="80" t="s">
        <v>27</v>
      </c>
      <c r="K104" s="80" t="s">
        <v>112</v>
      </c>
      <c r="L104" s="80">
        <v>1</v>
      </c>
      <c r="M104" s="140"/>
      <c r="N104" s="80">
        <v>1</v>
      </c>
      <c r="O104" s="80">
        <v>0.8</v>
      </c>
      <c r="P104" s="80">
        <v>0.75</v>
      </c>
      <c r="Q104" s="16">
        <f t="shared" si="3"/>
        <v>0.77500000000000002</v>
      </c>
      <c r="R104" s="80">
        <v>15.7</v>
      </c>
      <c r="S104" s="80">
        <v>128</v>
      </c>
      <c r="T104" s="16">
        <f t="shared" si="4"/>
        <v>27</v>
      </c>
      <c r="U104" s="80">
        <v>138</v>
      </c>
      <c r="V104" s="16">
        <f t="shared" si="5"/>
        <v>3726</v>
      </c>
      <c r="W104" s="80">
        <v>1</v>
      </c>
      <c r="X104" s="80" t="s">
        <v>35</v>
      </c>
      <c r="Y104" s="80" t="s">
        <v>86</v>
      </c>
      <c r="Z104" s="80" t="s">
        <v>74</v>
      </c>
      <c r="AA104" s="80" t="s">
        <v>236</v>
      </c>
      <c r="AB104" s="80" t="s">
        <v>194</v>
      </c>
    </row>
    <row r="105" spans="1:28" x14ac:dyDescent="0.15">
      <c r="A105" s="80" t="s">
        <v>44</v>
      </c>
      <c r="B105" s="80" t="s">
        <v>190</v>
      </c>
      <c r="C105" s="80">
        <v>2020</v>
      </c>
      <c r="D105" s="138" t="s">
        <v>323</v>
      </c>
      <c r="E105" s="80" t="s">
        <v>333</v>
      </c>
      <c r="F105" s="80" t="s">
        <v>325</v>
      </c>
      <c r="G105" s="80" t="s">
        <v>25</v>
      </c>
      <c r="H105" s="80" t="s">
        <v>113</v>
      </c>
      <c r="I105" s="80" t="s">
        <v>111</v>
      </c>
      <c r="J105" s="80" t="s">
        <v>27</v>
      </c>
      <c r="K105" s="80" t="s">
        <v>112</v>
      </c>
      <c r="L105" s="80">
        <v>2</v>
      </c>
      <c r="M105" s="140"/>
      <c r="N105" s="80">
        <v>1</v>
      </c>
      <c r="O105" s="80">
        <v>1</v>
      </c>
      <c r="P105" s="80">
        <v>0.95</v>
      </c>
      <c r="Q105" s="16">
        <f t="shared" si="3"/>
        <v>0.97499999999999998</v>
      </c>
      <c r="R105" s="80">
        <v>15.8</v>
      </c>
      <c r="S105" s="80">
        <v>131</v>
      </c>
      <c r="T105" s="16">
        <f t="shared" si="4"/>
        <v>25</v>
      </c>
      <c r="U105" s="80">
        <v>138</v>
      </c>
      <c r="V105" s="16">
        <f t="shared" si="5"/>
        <v>3450</v>
      </c>
      <c r="W105" s="80">
        <v>1</v>
      </c>
      <c r="X105" s="80" t="s">
        <v>35</v>
      </c>
      <c r="Y105" s="80" t="s">
        <v>86</v>
      </c>
      <c r="Z105" s="80" t="s">
        <v>74</v>
      </c>
      <c r="AA105" s="80" t="s">
        <v>236</v>
      </c>
      <c r="AB105" s="80" t="s">
        <v>194</v>
      </c>
    </row>
    <row r="106" spans="1:28" x14ac:dyDescent="0.15">
      <c r="A106" s="80" t="s">
        <v>44</v>
      </c>
      <c r="B106" s="80" t="s">
        <v>190</v>
      </c>
      <c r="C106" s="80">
        <v>2020</v>
      </c>
      <c r="D106" s="138" t="s">
        <v>323</v>
      </c>
      <c r="E106" s="80" t="s">
        <v>333</v>
      </c>
      <c r="F106" s="80" t="s">
        <v>325</v>
      </c>
      <c r="G106" s="80" t="s">
        <v>25</v>
      </c>
      <c r="H106" s="80" t="s">
        <v>173</v>
      </c>
      <c r="I106" s="80" t="s">
        <v>111</v>
      </c>
      <c r="J106" s="80" t="s">
        <v>27</v>
      </c>
      <c r="K106" s="80" t="s">
        <v>112</v>
      </c>
      <c r="L106" s="80">
        <v>3</v>
      </c>
      <c r="M106" s="140"/>
      <c r="N106" s="80">
        <v>1</v>
      </c>
      <c r="O106" s="80">
        <v>0.8</v>
      </c>
      <c r="P106" s="80">
        <v>0.9</v>
      </c>
      <c r="Q106" s="16">
        <f t="shared" si="3"/>
        <v>0.85000000000000009</v>
      </c>
      <c r="R106" s="80">
        <v>17.5</v>
      </c>
      <c r="S106" s="80">
        <v>135</v>
      </c>
      <c r="T106" s="16">
        <f t="shared" si="4"/>
        <v>25</v>
      </c>
      <c r="U106" s="80">
        <v>138</v>
      </c>
      <c r="V106" s="16">
        <f t="shared" si="5"/>
        <v>3450</v>
      </c>
      <c r="W106" s="80">
        <v>1</v>
      </c>
      <c r="X106" s="80" t="s">
        <v>35</v>
      </c>
      <c r="Y106" s="80" t="s">
        <v>86</v>
      </c>
      <c r="Z106" s="80" t="s">
        <v>74</v>
      </c>
      <c r="AA106" s="80" t="s">
        <v>236</v>
      </c>
      <c r="AB106" s="80" t="s">
        <v>194</v>
      </c>
    </row>
    <row r="107" spans="1:28" x14ac:dyDescent="0.15">
      <c r="A107" s="80" t="s">
        <v>44</v>
      </c>
      <c r="B107" s="80" t="s">
        <v>190</v>
      </c>
      <c r="C107" s="80">
        <v>2020</v>
      </c>
      <c r="D107" s="138" t="s">
        <v>323</v>
      </c>
      <c r="E107" s="80" t="s">
        <v>333</v>
      </c>
      <c r="F107" s="80" t="s">
        <v>325</v>
      </c>
      <c r="G107" s="80" t="s">
        <v>25</v>
      </c>
      <c r="H107" s="80" t="s">
        <v>113</v>
      </c>
      <c r="I107" s="80" t="s">
        <v>111</v>
      </c>
      <c r="J107" s="80" t="s">
        <v>27</v>
      </c>
      <c r="K107" s="80" t="s">
        <v>112</v>
      </c>
      <c r="L107" s="80">
        <v>1</v>
      </c>
      <c r="M107" s="140"/>
      <c r="N107" s="80">
        <v>5</v>
      </c>
      <c r="O107" s="80">
        <v>0.65</v>
      </c>
      <c r="P107" s="80">
        <v>0.65</v>
      </c>
      <c r="Q107" s="16">
        <f t="shared" si="3"/>
        <v>0.65</v>
      </c>
      <c r="R107" s="80">
        <v>16.600000000000001</v>
      </c>
      <c r="S107" s="80">
        <v>88</v>
      </c>
      <c r="T107" s="16">
        <f t="shared" si="4"/>
        <v>36</v>
      </c>
      <c r="U107" s="80">
        <v>398</v>
      </c>
      <c r="V107" s="16">
        <f t="shared" si="5"/>
        <v>2865.6</v>
      </c>
      <c r="W107" s="80">
        <v>6</v>
      </c>
      <c r="X107" s="80" t="s">
        <v>35</v>
      </c>
      <c r="Y107" s="80" t="s">
        <v>86</v>
      </c>
      <c r="Z107" s="80" t="s">
        <v>74</v>
      </c>
      <c r="AA107" s="80" t="s">
        <v>236</v>
      </c>
      <c r="AB107" s="80" t="s">
        <v>194</v>
      </c>
    </row>
    <row r="108" spans="1:28" x14ac:dyDescent="0.15">
      <c r="A108" s="80" t="s">
        <v>44</v>
      </c>
      <c r="B108" s="80" t="s">
        <v>190</v>
      </c>
      <c r="C108" s="80">
        <v>2020</v>
      </c>
      <c r="D108" s="138" t="s">
        <v>323</v>
      </c>
      <c r="E108" s="80" t="s">
        <v>333</v>
      </c>
      <c r="F108" s="80" t="s">
        <v>325</v>
      </c>
      <c r="G108" s="80" t="s">
        <v>25</v>
      </c>
      <c r="H108" s="80" t="s">
        <v>113</v>
      </c>
      <c r="I108" s="80" t="s">
        <v>111</v>
      </c>
      <c r="J108" s="80" t="s">
        <v>27</v>
      </c>
      <c r="K108" s="80" t="s">
        <v>112</v>
      </c>
      <c r="L108" s="80">
        <v>2</v>
      </c>
      <c r="M108" s="140"/>
      <c r="N108" s="80">
        <v>5</v>
      </c>
      <c r="O108" s="80">
        <v>0.7</v>
      </c>
      <c r="P108" s="80">
        <v>0.7</v>
      </c>
      <c r="Q108" s="16">
        <f t="shared" si="3"/>
        <v>0.7</v>
      </c>
      <c r="R108" s="80">
        <v>15.7</v>
      </c>
      <c r="S108" s="80">
        <v>97</v>
      </c>
      <c r="T108" s="16">
        <f t="shared" si="4"/>
        <v>36</v>
      </c>
      <c r="U108" s="80">
        <v>398</v>
      </c>
      <c r="V108" s="16">
        <f t="shared" si="5"/>
        <v>2865.6</v>
      </c>
      <c r="W108" s="80">
        <v>6</v>
      </c>
      <c r="X108" s="80" t="s">
        <v>35</v>
      </c>
      <c r="Y108" s="80" t="s">
        <v>86</v>
      </c>
      <c r="Z108" s="80" t="s">
        <v>74</v>
      </c>
      <c r="AA108" s="80" t="s">
        <v>236</v>
      </c>
      <c r="AB108" s="80" t="s">
        <v>194</v>
      </c>
    </row>
    <row r="109" spans="1:28" x14ac:dyDescent="0.15">
      <c r="A109" s="80" t="s">
        <v>44</v>
      </c>
      <c r="B109" s="80" t="s">
        <v>190</v>
      </c>
      <c r="C109" s="80">
        <v>2020</v>
      </c>
      <c r="D109" s="138" t="s">
        <v>323</v>
      </c>
      <c r="E109" s="80" t="s">
        <v>333</v>
      </c>
      <c r="F109" s="80" t="s">
        <v>325</v>
      </c>
      <c r="G109" s="80" t="s">
        <v>25</v>
      </c>
      <c r="H109" s="80" t="s">
        <v>113</v>
      </c>
      <c r="I109" s="80" t="s">
        <v>111</v>
      </c>
      <c r="J109" s="80" t="s">
        <v>27</v>
      </c>
      <c r="K109" s="80" t="s">
        <v>112</v>
      </c>
      <c r="L109" s="80">
        <v>3</v>
      </c>
      <c r="M109" s="140"/>
      <c r="N109" s="80">
        <v>5</v>
      </c>
      <c r="O109" s="80">
        <v>0.75</v>
      </c>
      <c r="P109" s="80">
        <v>0.75</v>
      </c>
      <c r="Q109" s="16">
        <f t="shared" si="3"/>
        <v>0.75</v>
      </c>
      <c r="R109" s="80">
        <v>16.3</v>
      </c>
      <c r="S109" s="80">
        <v>90</v>
      </c>
      <c r="T109" s="16">
        <f t="shared" si="4"/>
        <v>36</v>
      </c>
      <c r="U109" s="80">
        <v>398</v>
      </c>
      <c r="V109" s="16">
        <f t="shared" si="5"/>
        <v>2865.6</v>
      </c>
      <c r="W109" s="80">
        <v>6</v>
      </c>
      <c r="X109" s="80" t="s">
        <v>35</v>
      </c>
      <c r="Y109" s="80" t="s">
        <v>86</v>
      </c>
      <c r="Z109" s="80" t="s">
        <v>74</v>
      </c>
      <c r="AA109" s="80" t="s">
        <v>236</v>
      </c>
      <c r="AB109" s="80" t="s">
        <v>194</v>
      </c>
    </row>
    <row r="110" spans="1:28" x14ac:dyDescent="0.15">
      <c r="A110" s="80" t="s">
        <v>44</v>
      </c>
      <c r="B110" s="80" t="s">
        <v>190</v>
      </c>
      <c r="C110" s="80">
        <v>2020</v>
      </c>
      <c r="D110" s="138" t="s">
        <v>323</v>
      </c>
      <c r="E110" s="80" t="s">
        <v>333</v>
      </c>
      <c r="F110" s="80" t="s">
        <v>325</v>
      </c>
      <c r="G110" s="80" t="s">
        <v>25</v>
      </c>
      <c r="H110" s="80" t="s">
        <v>167</v>
      </c>
      <c r="I110" s="80" t="s">
        <v>111</v>
      </c>
      <c r="J110" s="80" t="s">
        <v>27</v>
      </c>
      <c r="K110" s="80" t="s">
        <v>112</v>
      </c>
      <c r="L110" s="80">
        <v>1</v>
      </c>
      <c r="M110" s="140"/>
      <c r="N110" s="80">
        <v>1</v>
      </c>
      <c r="O110" s="80">
        <v>0.5</v>
      </c>
      <c r="P110" s="80">
        <v>0.65</v>
      </c>
      <c r="Q110" s="16">
        <f t="shared" si="3"/>
        <v>0.57499999999999996</v>
      </c>
      <c r="R110" s="80">
        <v>15.9</v>
      </c>
      <c r="S110" s="80">
        <v>138</v>
      </c>
      <c r="T110" s="16">
        <f t="shared" si="4"/>
        <v>22</v>
      </c>
      <c r="U110" s="80">
        <v>138</v>
      </c>
      <c r="V110" s="16">
        <f t="shared" si="5"/>
        <v>3036</v>
      </c>
      <c r="W110" s="80">
        <v>2</v>
      </c>
      <c r="X110" s="80" t="s">
        <v>35</v>
      </c>
      <c r="Y110" s="80" t="s">
        <v>86</v>
      </c>
      <c r="Z110" s="80" t="s">
        <v>74</v>
      </c>
      <c r="AA110" s="80" t="s">
        <v>236</v>
      </c>
      <c r="AB110" s="80" t="s">
        <v>194</v>
      </c>
    </row>
    <row r="111" spans="1:28" x14ac:dyDescent="0.15">
      <c r="A111" s="80" t="s">
        <v>44</v>
      </c>
      <c r="B111" s="80" t="s">
        <v>190</v>
      </c>
      <c r="C111" s="80">
        <v>2020</v>
      </c>
      <c r="D111" s="138" t="s">
        <v>323</v>
      </c>
      <c r="E111" s="80" t="s">
        <v>333</v>
      </c>
      <c r="F111" s="80" t="s">
        <v>325</v>
      </c>
      <c r="G111" s="80" t="s">
        <v>25</v>
      </c>
      <c r="H111" s="80" t="s">
        <v>167</v>
      </c>
      <c r="I111" s="80" t="s">
        <v>111</v>
      </c>
      <c r="J111" s="80" t="s">
        <v>27</v>
      </c>
      <c r="K111" s="80" t="s">
        <v>112</v>
      </c>
      <c r="L111" s="80">
        <v>2</v>
      </c>
      <c r="M111" s="140"/>
      <c r="N111" s="80">
        <v>1</v>
      </c>
      <c r="O111" s="80">
        <v>1.3</v>
      </c>
      <c r="P111" s="80">
        <v>1</v>
      </c>
      <c r="Q111" s="16">
        <f t="shared" si="3"/>
        <v>1.1499999999999999</v>
      </c>
      <c r="R111" s="80">
        <v>17.399999999999999</v>
      </c>
      <c r="S111" s="80">
        <v>149</v>
      </c>
      <c r="T111" s="16">
        <f t="shared" si="4"/>
        <v>22</v>
      </c>
      <c r="U111" s="80">
        <v>138</v>
      </c>
      <c r="V111" s="16">
        <f t="shared" si="5"/>
        <v>3036</v>
      </c>
      <c r="W111" s="80">
        <v>2</v>
      </c>
      <c r="X111" s="80" t="s">
        <v>35</v>
      </c>
      <c r="Y111" s="80" t="s">
        <v>86</v>
      </c>
      <c r="Z111" s="80" t="s">
        <v>74</v>
      </c>
      <c r="AA111" s="80" t="s">
        <v>236</v>
      </c>
      <c r="AB111" s="80" t="s">
        <v>194</v>
      </c>
    </row>
    <row r="112" spans="1:28" x14ac:dyDescent="0.15">
      <c r="A112" s="80" t="s">
        <v>44</v>
      </c>
      <c r="B112" s="80" t="s">
        <v>190</v>
      </c>
      <c r="C112" s="80">
        <v>2020</v>
      </c>
      <c r="D112" s="138" t="s">
        <v>323</v>
      </c>
      <c r="E112" s="80" t="s">
        <v>333</v>
      </c>
      <c r="F112" s="80" t="s">
        <v>325</v>
      </c>
      <c r="G112" s="80" t="s">
        <v>25</v>
      </c>
      <c r="H112" s="80" t="s">
        <v>167</v>
      </c>
      <c r="I112" s="80" t="s">
        <v>111</v>
      </c>
      <c r="J112" s="80" t="s">
        <v>27</v>
      </c>
      <c r="K112" s="80" t="s">
        <v>112</v>
      </c>
      <c r="L112" s="80">
        <v>3</v>
      </c>
      <c r="M112" s="140"/>
      <c r="N112" s="80">
        <v>1</v>
      </c>
      <c r="O112" s="80">
        <v>0.6</v>
      </c>
      <c r="P112" s="80">
        <v>0.6</v>
      </c>
      <c r="Q112" s="16">
        <f t="shared" si="3"/>
        <v>0.6</v>
      </c>
      <c r="R112" s="80">
        <v>17.399999999999999</v>
      </c>
      <c r="S112" s="80">
        <v>140</v>
      </c>
      <c r="T112" s="16">
        <f t="shared" si="4"/>
        <v>22</v>
      </c>
      <c r="U112" s="80">
        <v>138</v>
      </c>
      <c r="V112" s="16">
        <f t="shared" si="5"/>
        <v>3036</v>
      </c>
      <c r="W112" s="80">
        <v>2</v>
      </c>
      <c r="X112" s="80" t="s">
        <v>35</v>
      </c>
      <c r="Y112" s="80" t="s">
        <v>86</v>
      </c>
      <c r="Z112" s="80" t="s">
        <v>74</v>
      </c>
      <c r="AA112" s="80" t="s">
        <v>236</v>
      </c>
      <c r="AB112" s="80" t="s">
        <v>194</v>
      </c>
    </row>
    <row r="113" spans="1:28" x14ac:dyDescent="0.15">
      <c r="A113" s="80" t="s">
        <v>44</v>
      </c>
      <c r="B113" s="80" t="s">
        <v>190</v>
      </c>
      <c r="C113" s="80">
        <v>2020</v>
      </c>
      <c r="D113" s="138" t="s">
        <v>323</v>
      </c>
      <c r="E113" s="80" t="s">
        <v>333</v>
      </c>
      <c r="F113" s="80" t="s">
        <v>325</v>
      </c>
      <c r="G113" s="80" t="s">
        <v>25</v>
      </c>
      <c r="H113" s="80" t="s">
        <v>167</v>
      </c>
      <c r="I113" s="80" t="s">
        <v>111</v>
      </c>
      <c r="J113" s="80" t="s">
        <v>27</v>
      </c>
      <c r="K113" s="80" t="s">
        <v>112</v>
      </c>
      <c r="L113" s="80">
        <v>1</v>
      </c>
      <c r="M113" s="140"/>
      <c r="N113" s="80">
        <v>5</v>
      </c>
      <c r="O113" s="80">
        <v>0.5</v>
      </c>
      <c r="P113" s="80">
        <v>0.5</v>
      </c>
      <c r="Q113" s="16">
        <f t="shared" si="3"/>
        <v>0.5</v>
      </c>
      <c r="R113" s="80">
        <v>16.600000000000001</v>
      </c>
      <c r="S113" s="80">
        <v>97</v>
      </c>
      <c r="T113" s="16">
        <f t="shared" si="4"/>
        <v>36</v>
      </c>
      <c r="U113" s="80">
        <v>598</v>
      </c>
      <c r="V113" s="16">
        <f t="shared" si="5"/>
        <v>4305.5999999999995</v>
      </c>
      <c r="W113" s="80">
        <v>6</v>
      </c>
      <c r="X113" s="80" t="s">
        <v>35</v>
      </c>
      <c r="Y113" s="80" t="s">
        <v>86</v>
      </c>
      <c r="Z113" s="80" t="s">
        <v>74</v>
      </c>
      <c r="AA113" s="80" t="s">
        <v>236</v>
      </c>
      <c r="AB113" s="80" t="s">
        <v>194</v>
      </c>
    </row>
    <row r="114" spans="1:28" x14ac:dyDescent="0.15">
      <c r="A114" s="80" t="s">
        <v>44</v>
      </c>
      <c r="B114" s="80" t="s">
        <v>190</v>
      </c>
      <c r="C114" s="80">
        <v>2020</v>
      </c>
      <c r="D114" s="138" t="s">
        <v>323</v>
      </c>
      <c r="E114" s="80" t="s">
        <v>333</v>
      </c>
      <c r="F114" s="80" t="s">
        <v>325</v>
      </c>
      <c r="G114" s="80" t="s">
        <v>25</v>
      </c>
      <c r="H114" s="80" t="s">
        <v>167</v>
      </c>
      <c r="I114" s="80" t="s">
        <v>111</v>
      </c>
      <c r="J114" s="80" t="s">
        <v>27</v>
      </c>
      <c r="K114" s="80" t="s">
        <v>112</v>
      </c>
      <c r="L114" s="80">
        <v>2</v>
      </c>
      <c r="M114" s="140"/>
      <c r="N114" s="80">
        <v>5</v>
      </c>
      <c r="O114" s="80">
        <v>0.6</v>
      </c>
      <c r="P114" s="80">
        <v>0.6</v>
      </c>
      <c r="Q114" s="16">
        <f t="shared" si="3"/>
        <v>0.6</v>
      </c>
      <c r="R114" s="80">
        <v>15.9</v>
      </c>
      <c r="S114" s="80">
        <v>117</v>
      </c>
      <c r="T114" s="16">
        <f t="shared" si="4"/>
        <v>30</v>
      </c>
      <c r="U114" s="80">
        <v>598</v>
      </c>
      <c r="V114" s="16">
        <f t="shared" si="5"/>
        <v>3588</v>
      </c>
      <c r="W114" s="80">
        <v>6</v>
      </c>
      <c r="X114" s="80" t="s">
        <v>35</v>
      </c>
      <c r="Y114" s="80" t="s">
        <v>86</v>
      </c>
      <c r="Z114" s="80" t="s">
        <v>74</v>
      </c>
      <c r="AA114" s="80" t="s">
        <v>236</v>
      </c>
      <c r="AB114" s="80" t="s">
        <v>194</v>
      </c>
    </row>
    <row r="115" spans="1:28" x14ac:dyDescent="0.15">
      <c r="A115" s="80" t="s">
        <v>44</v>
      </c>
      <c r="B115" s="80" t="s">
        <v>190</v>
      </c>
      <c r="C115" s="80">
        <v>2020</v>
      </c>
      <c r="D115" s="138" t="s">
        <v>323</v>
      </c>
      <c r="E115" s="80" t="s">
        <v>333</v>
      </c>
      <c r="F115" s="80" t="s">
        <v>325</v>
      </c>
      <c r="G115" s="80" t="s">
        <v>25</v>
      </c>
      <c r="H115" s="80" t="s">
        <v>167</v>
      </c>
      <c r="I115" s="80" t="s">
        <v>111</v>
      </c>
      <c r="J115" s="80" t="s">
        <v>27</v>
      </c>
      <c r="K115" s="80" t="s">
        <v>112</v>
      </c>
      <c r="L115" s="80">
        <v>3</v>
      </c>
      <c r="M115" s="140"/>
      <c r="N115" s="80">
        <v>5</v>
      </c>
      <c r="O115" s="80">
        <v>0.5</v>
      </c>
      <c r="P115" s="80">
        <v>0.55000000000000004</v>
      </c>
      <c r="Q115" s="16">
        <f t="shared" si="3"/>
        <v>0.52500000000000002</v>
      </c>
      <c r="R115" s="80">
        <v>16.7</v>
      </c>
      <c r="S115" s="80">
        <v>93</v>
      </c>
      <c r="T115" s="16">
        <f t="shared" si="4"/>
        <v>36</v>
      </c>
      <c r="U115" s="80">
        <v>598</v>
      </c>
      <c r="V115" s="16">
        <f t="shared" si="5"/>
        <v>4305.5999999999995</v>
      </c>
      <c r="W115" s="80">
        <v>6</v>
      </c>
      <c r="X115" s="80" t="s">
        <v>35</v>
      </c>
      <c r="Y115" s="80" t="s">
        <v>86</v>
      </c>
      <c r="Z115" s="80" t="s">
        <v>74</v>
      </c>
      <c r="AA115" s="80" t="s">
        <v>236</v>
      </c>
      <c r="AB115" s="80" t="s">
        <v>194</v>
      </c>
    </row>
    <row r="116" spans="1:28" x14ac:dyDescent="0.15">
      <c r="D116" s="138"/>
      <c r="M116" s="140"/>
    </row>
    <row r="117" spans="1:28" x14ac:dyDescent="0.15">
      <c r="D117" s="138"/>
      <c r="M117" s="140"/>
    </row>
    <row r="118" spans="1:28" x14ac:dyDescent="0.15">
      <c r="D118" s="138"/>
      <c r="M118" s="140"/>
    </row>
    <row r="119" spans="1:28" x14ac:dyDescent="0.15">
      <c r="D119" s="138"/>
      <c r="M119" s="140"/>
    </row>
    <row r="120" spans="1:28" x14ac:dyDescent="0.15">
      <c r="D120" s="138"/>
      <c r="M120" s="140"/>
    </row>
    <row r="121" spans="1:28" x14ac:dyDescent="0.15">
      <c r="D121" s="138"/>
      <c r="M121" s="140"/>
    </row>
    <row r="122" spans="1:28" x14ac:dyDescent="0.15">
      <c r="D122" s="138"/>
      <c r="M122" s="140"/>
    </row>
    <row r="123" spans="1:28" x14ac:dyDescent="0.15">
      <c r="D123" s="138"/>
      <c r="M123" s="140"/>
    </row>
    <row r="124" spans="1:28" x14ac:dyDescent="0.15">
      <c r="D124" s="138"/>
      <c r="M124" s="140"/>
    </row>
    <row r="125" spans="1:28" x14ac:dyDescent="0.15">
      <c r="D125" s="138"/>
      <c r="M125" s="140"/>
    </row>
    <row r="126" spans="1:28" x14ac:dyDescent="0.15">
      <c r="D126" s="138"/>
      <c r="M126" s="140"/>
    </row>
    <row r="127" spans="1:28" x14ac:dyDescent="0.15">
      <c r="D127" s="138"/>
      <c r="M127" s="140"/>
    </row>
    <row r="128" spans="1:28" x14ac:dyDescent="0.15">
      <c r="D128" s="138"/>
      <c r="M128" s="140"/>
    </row>
    <row r="129" spans="4:13" x14ac:dyDescent="0.15">
      <c r="D129" s="138"/>
      <c r="M129" s="140"/>
    </row>
    <row r="130" spans="4:13" x14ac:dyDescent="0.15">
      <c r="D130" s="138"/>
      <c r="M130" s="140"/>
    </row>
    <row r="131" spans="4:13" x14ac:dyDescent="0.15">
      <c r="D131" s="138"/>
      <c r="M131" s="140"/>
    </row>
    <row r="132" spans="4:13" x14ac:dyDescent="0.15">
      <c r="D132" s="138"/>
      <c r="M132" s="140"/>
    </row>
    <row r="133" spans="4:13" x14ac:dyDescent="0.15">
      <c r="D133" s="138"/>
      <c r="M133" s="140"/>
    </row>
    <row r="134" spans="4:13" x14ac:dyDescent="0.15">
      <c r="D134" s="138"/>
      <c r="M134" s="140"/>
    </row>
    <row r="135" spans="4:13" x14ac:dyDescent="0.15">
      <c r="D135" s="138"/>
      <c r="M135" s="140"/>
    </row>
    <row r="136" spans="4:13" x14ac:dyDescent="0.15">
      <c r="D136" s="138"/>
      <c r="M136" s="140"/>
    </row>
    <row r="137" spans="4:13" x14ac:dyDescent="0.15">
      <c r="D137" s="138"/>
      <c r="M137" s="140"/>
    </row>
    <row r="138" spans="4:13" x14ac:dyDescent="0.15">
      <c r="D138" s="138"/>
      <c r="M138" s="140"/>
    </row>
    <row r="139" spans="4:13" x14ac:dyDescent="0.15">
      <c r="D139" s="138"/>
      <c r="M139" s="140"/>
    </row>
    <row r="140" spans="4:13" x14ac:dyDescent="0.15">
      <c r="D140" s="138"/>
      <c r="M140" s="140"/>
    </row>
    <row r="141" spans="4:13" x14ac:dyDescent="0.15">
      <c r="D141" s="138"/>
      <c r="M141" s="140"/>
    </row>
    <row r="142" spans="4:13" x14ac:dyDescent="0.15">
      <c r="D142" s="138"/>
      <c r="M142" s="140"/>
    </row>
    <row r="143" spans="4:13" x14ac:dyDescent="0.15">
      <c r="M143" s="140"/>
    </row>
    <row r="144" spans="4:13" x14ac:dyDescent="0.15">
      <c r="M144" s="140"/>
    </row>
    <row r="145" spans="13:13" x14ac:dyDescent="0.15">
      <c r="M145" s="140"/>
    </row>
    <row r="146" spans="13:13" x14ac:dyDescent="0.15">
      <c r="M146" s="140"/>
    </row>
    <row r="147" spans="13:13" x14ac:dyDescent="0.15">
      <c r="M147" s="140"/>
    </row>
    <row r="148" spans="13:13" x14ac:dyDescent="0.15">
      <c r="M148" s="140"/>
    </row>
    <row r="149" spans="13:13" x14ac:dyDescent="0.15">
      <c r="M149" s="140"/>
    </row>
    <row r="150" spans="13:13" x14ac:dyDescent="0.15">
      <c r="M150" s="140"/>
    </row>
    <row r="151" spans="13:13" x14ac:dyDescent="0.15">
      <c r="M151" s="140"/>
    </row>
    <row r="152" spans="13:13" x14ac:dyDescent="0.15">
      <c r="M152" s="140"/>
    </row>
    <row r="153" spans="13:13" x14ac:dyDescent="0.15">
      <c r="M153" s="140"/>
    </row>
    <row r="154" spans="13:13" x14ac:dyDescent="0.15">
      <c r="M154" s="140"/>
    </row>
  </sheetData>
  <autoFilter ref="A1:BA145"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F4B7E7E9-A9E4-4F0F-89BC-01848A417E10}">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01D1D1EE-9A73-4782-8057-18D6B6731332}">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3C9E5029-C906-4217-938F-99B6F96B9692}">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3AAC7790-5890-4892-B109-A803D5FA4346}">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6E0100E6-D7DF-48E7-886F-B9EECB4B60FB}">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153022C1-10B3-49E9-A5C9-B8B166BA92B5}">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569EBD27-C63E-42E9-A2CC-B13E846A386A}">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505F97EB-7FE4-4F04-9821-117DE18E132F}">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9B4BEDAA-EEC8-45DA-B159-A2739A3307BA}"/>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FD14F5C2-AA3A-487E-B60C-E79B33A48E14}">
      <formula1>$AE$2:$AE$19</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8E8A0283-BA78-4913-A74C-C908E453C3AC}">
      <formula1>$AP$2:$AP$27</formula1>
    </dataValidation>
    <dataValidation type="list" allowBlank="1" showInputMessage="1" showErrorMessage="1" sqref="K2:K450" xr:uid="{1A333541-4628-45BC-A73C-F3DB6A61256A}">
      <formula1>$AR$2:$AR$26</formula1>
    </dataValidation>
    <dataValidation type="list" allowBlank="1" showInputMessage="1" showErrorMessage="1" sqref="H2:H1254" xr:uid="{9A0FF430-6667-458A-8A02-F78D880DA285}">
      <formula1>$AL$2:$AL$9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27640F06-40E6-4699-93D8-7274581E03DD}">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FE8C90DA-94BE-4A7A-811B-82CA603F81BD}">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08C0A3B7-093E-4E19-A94E-4164072AE44A}">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2C7BC6AE-3251-4C1A-A0E4-6A872B34EFE3}">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6B2D2B5C-C374-4290-8ED2-AFBEAF5C4021}">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92209A23-7CD0-47C2-A001-C0923BFA9C61}">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32B2B-353D-45E9-8788-D2168EBE8ACB}">
  <dimension ref="A1:BA130"/>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126"/>
    <col min="4" max="4" width="10.5" style="126" customWidth="1"/>
    <col min="5" max="9" width="9" style="126"/>
    <col min="10" max="11" width="9" style="80"/>
    <col min="12" max="16" width="9" style="126"/>
    <col min="17" max="17" width="9" style="159"/>
    <col min="18" max="18" width="9" style="126"/>
    <col min="19" max="19" width="9.5" style="126" customWidth="1"/>
    <col min="20" max="20" width="9" style="159"/>
    <col min="21" max="21" width="9" style="126"/>
    <col min="22" max="22" width="9" style="159"/>
    <col min="23" max="23" width="10.5" style="126" customWidth="1"/>
    <col min="24" max="32" width="9" style="126"/>
    <col min="33" max="33" width="19.625" style="126" customWidth="1"/>
    <col min="34" max="34" width="9.375" style="126" customWidth="1"/>
    <col min="35" max="259" width="9" style="126"/>
    <col min="260" max="260" width="10.5" style="126" customWidth="1"/>
    <col min="261" max="274" width="9" style="126"/>
    <col min="275" max="275" width="9.5" style="126" customWidth="1"/>
    <col min="276" max="278" width="9" style="126"/>
    <col min="279" max="279" width="10.5" style="126" customWidth="1"/>
    <col min="280" max="515" width="9" style="126"/>
    <col min="516" max="516" width="10.5" style="126" customWidth="1"/>
    <col min="517" max="530" width="9" style="126"/>
    <col min="531" max="531" width="9.5" style="126" customWidth="1"/>
    <col min="532" max="534" width="9" style="126"/>
    <col min="535" max="535" width="10.5" style="126" customWidth="1"/>
    <col min="536" max="771" width="9" style="126"/>
    <col min="772" max="772" width="10.5" style="126" customWidth="1"/>
    <col min="773" max="786" width="9" style="126"/>
    <col min="787" max="787" width="9.5" style="126" customWidth="1"/>
    <col min="788" max="790" width="9" style="126"/>
    <col min="791" max="791" width="10.5" style="126" customWidth="1"/>
    <col min="792" max="1027" width="9" style="126"/>
    <col min="1028" max="1028" width="10.5" style="126" customWidth="1"/>
    <col min="1029" max="1042" width="9" style="126"/>
    <col min="1043" max="1043" width="9.5" style="126" customWidth="1"/>
    <col min="1044" max="1046" width="9" style="126"/>
    <col min="1047" max="1047" width="10.5" style="126" customWidth="1"/>
    <col min="1048" max="1283" width="9" style="126"/>
    <col min="1284" max="1284" width="10.5" style="126" customWidth="1"/>
    <col min="1285" max="1298" width="9" style="126"/>
    <col min="1299" max="1299" width="9.5" style="126" customWidth="1"/>
    <col min="1300" max="1302" width="9" style="126"/>
    <col min="1303" max="1303" width="10.5" style="126" customWidth="1"/>
    <col min="1304" max="1539" width="9" style="126"/>
    <col min="1540" max="1540" width="10.5" style="126" customWidth="1"/>
    <col min="1541" max="1554" width="9" style="126"/>
    <col min="1555" max="1555" width="9.5" style="126" customWidth="1"/>
    <col min="1556" max="1558" width="9" style="126"/>
    <col min="1559" max="1559" width="10.5" style="126" customWidth="1"/>
    <col min="1560" max="1795" width="9" style="126"/>
    <col min="1796" max="1796" width="10.5" style="126" customWidth="1"/>
    <col min="1797" max="1810" width="9" style="126"/>
    <col min="1811" max="1811" width="9.5" style="126" customWidth="1"/>
    <col min="1812" max="1814" width="9" style="126"/>
    <col min="1815" max="1815" width="10.5" style="126" customWidth="1"/>
    <col min="1816" max="2051" width="9" style="126"/>
    <col min="2052" max="2052" width="10.5" style="126" customWidth="1"/>
    <col min="2053" max="2066" width="9" style="126"/>
    <col min="2067" max="2067" width="9.5" style="126" customWidth="1"/>
    <col min="2068" max="2070" width="9" style="126"/>
    <col min="2071" max="2071" width="10.5" style="126" customWidth="1"/>
    <col min="2072" max="2307" width="9" style="126"/>
    <col min="2308" max="2308" width="10.5" style="126" customWidth="1"/>
    <col min="2309" max="2322" width="9" style="126"/>
    <col min="2323" max="2323" width="9.5" style="126" customWidth="1"/>
    <col min="2324" max="2326" width="9" style="126"/>
    <col min="2327" max="2327" width="10.5" style="126" customWidth="1"/>
    <col min="2328" max="2563" width="9" style="126"/>
    <col min="2564" max="2564" width="10.5" style="126" customWidth="1"/>
    <col min="2565" max="2578" width="9" style="126"/>
    <col min="2579" max="2579" width="9.5" style="126" customWidth="1"/>
    <col min="2580" max="2582" width="9" style="126"/>
    <col min="2583" max="2583" width="10.5" style="126" customWidth="1"/>
    <col min="2584" max="2819" width="9" style="126"/>
    <col min="2820" max="2820" width="10.5" style="126" customWidth="1"/>
    <col min="2821" max="2834" width="9" style="126"/>
    <col min="2835" max="2835" width="9.5" style="126" customWidth="1"/>
    <col min="2836" max="2838" width="9" style="126"/>
    <col min="2839" max="2839" width="10.5" style="126" customWidth="1"/>
    <col min="2840" max="3075" width="9" style="126"/>
    <col min="3076" max="3076" width="10.5" style="126" customWidth="1"/>
    <col min="3077" max="3090" width="9" style="126"/>
    <col min="3091" max="3091" width="9.5" style="126" customWidth="1"/>
    <col min="3092" max="3094" width="9" style="126"/>
    <col min="3095" max="3095" width="10.5" style="126" customWidth="1"/>
    <col min="3096" max="3331" width="9" style="126"/>
    <col min="3332" max="3332" width="10.5" style="126" customWidth="1"/>
    <col min="3333" max="3346" width="9" style="126"/>
    <col min="3347" max="3347" width="9.5" style="126" customWidth="1"/>
    <col min="3348" max="3350" width="9" style="126"/>
    <col min="3351" max="3351" width="10.5" style="126" customWidth="1"/>
    <col min="3352" max="3587" width="9" style="126"/>
    <col min="3588" max="3588" width="10.5" style="126" customWidth="1"/>
    <col min="3589" max="3602" width="9" style="126"/>
    <col min="3603" max="3603" width="9.5" style="126" customWidth="1"/>
    <col min="3604" max="3606" width="9" style="126"/>
    <col min="3607" max="3607" width="10.5" style="126" customWidth="1"/>
    <col min="3608" max="3843" width="9" style="126"/>
    <col min="3844" max="3844" width="10.5" style="126" customWidth="1"/>
    <col min="3845" max="3858" width="9" style="126"/>
    <col min="3859" max="3859" width="9.5" style="126" customWidth="1"/>
    <col min="3860" max="3862" width="9" style="126"/>
    <col min="3863" max="3863" width="10.5" style="126" customWidth="1"/>
    <col min="3864" max="4099" width="9" style="126"/>
    <col min="4100" max="4100" width="10.5" style="126" customWidth="1"/>
    <col min="4101" max="4114" width="9" style="126"/>
    <col min="4115" max="4115" width="9.5" style="126" customWidth="1"/>
    <col min="4116" max="4118" width="9" style="126"/>
    <col min="4119" max="4119" width="10.5" style="126" customWidth="1"/>
    <col min="4120" max="4355" width="9" style="126"/>
    <col min="4356" max="4356" width="10.5" style="126" customWidth="1"/>
    <col min="4357" max="4370" width="9" style="126"/>
    <col min="4371" max="4371" width="9.5" style="126" customWidth="1"/>
    <col min="4372" max="4374" width="9" style="126"/>
    <col min="4375" max="4375" width="10.5" style="126" customWidth="1"/>
    <col min="4376" max="4611" width="9" style="126"/>
    <col min="4612" max="4612" width="10.5" style="126" customWidth="1"/>
    <col min="4613" max="4626" width="9" style="126"/>
    <col min="4627" max="4627" width="9.5" style="126" customWidth="1"/>
    <col min="4628" max="4630" width="9" style="126"/>
    <col min="4631" max="4631" width="10.5" style="126" customWidth="1"/>
    <col min="4632" max="4867" width="9" style="126"/>
    <col min="4868" max="4868" width="10.5" style="126" customWidth="1"/>
    <col min="4869" max="4882" width="9" style="126"/>
    <col min="4883" max="4883" width="9.5" style="126" customWidth="1"/>
    <col min="4884" max="4886" width="9" style="126"/>
    <col min="4887" max="4887" width="10.5" style="126" customWidth="1"/>
    <col min="4888" max="5123" width="9" style="126"/>
    <col min="5124" max="5124" width="10.5" style="126" customWidth="1"/>
    <col min="5125" max="5138" width="9" style="126"/>
    <col min="5139" max="5139" width="9.5" style="126" customWidth="1"/>
    <col min="5140" max="5142" width="9" style="126"/>
    <col min="5143" max="5143" width="10.5" style="126" customWidth="1"/>
    <col min="5144" max="5379" width="9" style="126"/>
    <col min="5380" max="5380" width="10.5" style="126" customWidth="1"/>
    <col min="5381" max="5394" width="9" style="126"/>
    <col min="5395" max="5395" width="9.5" style="126" customWidth="1"/>
    <col min="5396" max="5398" width="9" style="126"/>
    <col min="5399" max="5399" width="10.5" style="126" customWidth="1"/>
    <col min="5400" max="5635" width="9" style="126"/>
    <col min="5636" max="5636" width="10.5" style="126" customWidth="1"/>
    <col min="5637" max="5650" width="9" style="126"/>
    <col min="5651" max="5651" width="9.5" style="126" customWidth="1"/>
    <col min="5652" max="5654" width="9" style="126"/>
    <col min="5655" max="5655" width="10.5" style="126" customWidth="1"/>
    <col min="5656" max="5891" width="9" style="126"/>
    <col min="5892" max="5892" width="10.5" style="126" customWidth="1"/>
    <col min="5893" max="5906" width="9" style="126"/>
    <col min="5907" max="5907" width="9.5" style="126" customWidth="1"/>
    <col min="5908" max="5910" width="9" style="126"/>
    <col min="5911" max="5911" width="10.5" style="126" customWidth="1"/>
    <col min="5912" max="6147" width="9" style="126"/>
    <col min="6148" max="6148" width="10.5" style="126" customWidth="1"/>
    <col min="6149" max="6162" width="9" style="126"/>
    <col min="6163" max="6163" width="9.5" style="126" customWidth="1"/>
    <col min="6164" max="6166" width="9" style="126"/>
    <col min="6167" max="6167" width="10.5" style="126" customWidth="1"/>
    <col min="6168" max="6403" width="9" style="126"/>
    <col min="6404" max="6404" width="10.5" style="126" customWidth="1"/>
    <col min="6405" max="6418" width="9" style="126"/>
    <col min="6419" max="6419" width="9.5" style="126" customWidth="1"/>
    <col min="6420" max="6422" width="9" style="126"/>
    <col min="6423" max="6423" width="10.5" style="126" customWidth="1"/>
    <col min="6424" max="6659" width="9" style="126"/>
    <col min="6660" max="6660" width="10.5" style="126" customWidth="1"/>
    <col min="6661" max="6674" width="9" style="126"/>
    <col min="6675" max="6675" width="9.5" style="126" customWidth="1"/>
    <col min="6676" max="6678" width="9" style="126"/>
    <col min="6679" max="6679" width="10.5" style="126" customWidth="1"/>
    <col min="6680" max="6915" width="9" style="126"/>
    <col min="6916" max="6916" width="10.5" style="126" customWidth="1"/>
    <col min="6917" max="6930" width="9" style="126"/>
    <col min="6931" max="6931" width="9.5" style="126" customWidth="1"/>
    <col min="6932" max="6934" width="9" style="126"/>
    <col min="6935" max="6935" width="10.5" style="126" customWidth="1"/>
    <col min="6936" max="7171" width="9" style="126"/>
    <col min="7172" max="7172" width="10.5" style="126" customWidth="1"/>
    <col min="7173" max="7186" width="9" style="126"/>
    <col min="7187" max="7187" width="9.5" style="126" customWidth="1"/>
    <col min="7188" max="7190" width="9" style="126"/>
    <col min="7191" max="7191" width="10.5" style="126" customWidth="1"/>
    <col min="7192" max="7427" width="9" style="126"/>
    <col min="7428" max="7428" width="10.5" style="126" customWidth="1"/>
    <col min="7429" max="7442" width="9" style="126"/>
    <col min="7443" max="7443" width="9.5" style="126" customWidth="1"/>
    <col min="7444" max="7446" width="9" style="126"/>
    <col min="7447" max="7447" width="10.5" style="126" customWidth="1"/>
    <col min="7448" max="7683" width="9" style="126"/>
    <col min="7684" max="7684" width="10.5" style="126" customWidth="1"/>
    <col min="7685" max="7698" width="9" style="126"/>
    <col min="7699" max="7699" width="9.5" style="126" customWidth="1"/>
    <col min="7700" max="7702" width="9" style="126"/>
    <col min="7703" max="7703" width="10.5" style="126" customWidth="1"/>
    <col min="7704" max="7939" width="9" style="126"/>
    <col min="7940" max="7940" width="10.5" style="126" customWidth="1"/>
    <col min="7941" max="7954" width="9" style="126"/>
    <col min="7955" max="7955" width="9.5" style="126" customWidth="1"/>
    <col min="7956" max="7958" width="9" style="126"/>
    <col min="7959" max="7959" width="10.5" style="126" customWidth="1"/>
    <col min="7960" max="8195" width="9" style="126"/>
    <col min="8196" max="8196" width="10.5" style="126" customWidth="1"/>
    <col min="8197" max="8210" width="9" style="126"/>
    <col min="8211" max="8211" width="9.5" style="126" customWidth="1"/>
    <col min="8212" max="8214" width="9" style="126"/>
    <col min="8215" max="8215" width="10.5" style="126" customWidth="1"/>
    <col min="8216" max="8451" width="9" style="126"/>
    <col min="8452" max="8452" width="10.5" style="126" customWidth="1"/>
    <col min="8453" max="8466" width="9" style="126"/>
    <col min="8467" max="8467" width="9.5" style="126" customWidth="1"/>
    <col min="8468" max="8470" width="9" style="126"/>
    <col min="8471" max="8471" width="10.5" style="126" customWidth="1"/>
    <col min="8472" max="8707" width="9" style="126"/>
    <col min="8708" max="8708" width="10.5" style="126" customWidth="1"/>
    <col min="8709" max="8722" width="9" style="126"/>
    <col min="8723" max="8723" width="9.5" style="126" customWidth="1"/>
    <col min="8724" max="8726" width="9" style="126"/>
    <col min="8727" max="8727" width="10.5" style="126" customWidth="1"/>
    <col min="8728" max="8963" width="9" style="126"/>
    <col min="8964" max="8964" width="10.5" style="126" customWidth="1"/>
    <col min="8965" max="8978" width="9" style="126"/>
    <col min="8979" max="8979" width="9.5" style="126" customWidth="1"/>
    <col min="8980" max="8982" width="9" style="126"/>
    <col min="8983" max="8983" width="10.5" style="126" customWidth="1"/>
    <col min="8984" max="9219" width="9" style="126"/>
    <col min="9220" max="9220" width="10.5" style="126" customWidth="1"/>
    <col min="9221" max="9234" width="9" style="126"/>
    <col min="9235" max="9235" width="9.5" style="126" customWidth="1"/>
    <col min="9236" max="9238" width="9" style="126"/>
    <col min="9239" max="9239" width="10.5" style="126" customWidth="1"/>
    <col min="9240" max="9475" width="9" style="126"/>
    <col min="9476" max="9476" width="10.5" style="126" customWidth="1"/>
    <col min="9477" max="9490" width="9" style="126"/>
    <col min="9491" max="9491" width="9.5" style="126" customWidth="1"/>
    <col min="9492" max="9494" width="9" style="126"/>
    <col min="9495" max="9495" width="10.5" style="126" customWidth="1"/>
    <col min="9496" max="9731" width="9" style="126"/>
    <col min="9732" max="9732" width="10.5" style="126" customWidth="1"/>
    <col min="9733" max="9746" width="9" style="126"/>
    <col min="9747" max="9747" width="9.5" style="126" customWidth="1"/>
    <col min="9748" max="9750" width="9" style="126"/>
    <col min="9751" max="9751" width="10.5" style="126" customWidth="1"/>
    <col min="9752" max="9987" width="9" style="126"/>
    <col min="9988" max="9988" width="10.5" style="126" customWidth="1"/>
    <col min="9989" max="10002" width="9" style="126"/>
    <col min="10003" max="10003" width="9.5" style="126" customWidth="1"/>
    <col min="10004" max="10006" width="9" style="126"/>
    <col min="10007" max="10007" width="10.5" style="126" customWidth="1"/>
    <col min="10008" max="10243" width="9" style="126"/>
    <col min="10244" max="10244" width="10.5" style="126" customWidth="1"/>
    <col min="10245" max="10258" width="9" style="126"/>
    <col min="10259" max="10259" width="9.5" style="126" customWidth="1"/>
    <col min="10260" max="10262" width="9" style="126"/>
    <col min="10263" max="10263" width="10.5" style="126" customWidth="1"/>
    <col min="10264" max="10499" width="9" style="126"/>
    <col min="10500" max="10500" width="10.5" style="126" customWidth="1"/>
    <col min="10501" max="10514" width="9" style="126"/>
    <col min="10515" max="10515" width="9.5" style="126" customWidth="1"/>
    <col min="10516" max="10518" width="9" style="126"/>
    <col min="10519" max="10519" width="10.5" style="126" customWidth="1"/>
    <col min="10520" max="10755" width="9" style="126"/>
    <col min="10756" max="10756" width="10.5" style="126" customWidth="1"/>
    <col min="10757" max="10770" width="9" style="126"/>
    <col min="10771" max="10771" width="9.5" style="126" customWidth="1"/>
    <col min="10772" max="10774" width="9" style="126"/>
    <col min="10775" max="10775" width="10.5" style="126" customWidth="1"/>
    <col min="10776" max="11011" width="9" style="126"/>
    <col min="11012" max="11012" width="10.5" style="126" customWidth="1"/>
    <col min="11013" max="11026" width="9" style="126"/>
    <col min="11027" max="11027" width="9.5" style="126" customWidth="1"/>
    <col min="11028" max="11030" width="9" style="126"/>
    <col min="11031" max="11031" width="10.5" style="126" customWidth="1"/>
    <col min="11032" max="11267" width="9" style="126"/>
    <col min="11268" max="11268" width="10.5" style="126" customWidth="1"/>
    <col min="11269" max="11282" width="9" style="126"/>
    <col min="11283" max="11283" width="9.5" style="126" customWidth="1"/>
    <col min="11284" max="11286" width="9" style="126"/>
    <col min="11287" max="11287" width="10.5" style="126" customWidth="1"/>
    <col min="11288" max="11523" width="9" style="126"/>
    <col min="11524" max="11524" width="10.5" style="126" customWidth="1"/>
    <col min="11525" max="11538" width="9" style="126"/>
    <col min="11539" max="11539" width="9.5" style="126" customWidth="1"/>
    <col min="11540" max="11542" width="9" style="126"/>
    <col min="11543" max="11543" width="10.5" style="126" customWidth="1"/>
    <col min="11544" max="11779" width="9" style="126"/>
    <col min="11780" max="11780" width="10.5" style="126" customWidth="1"/>
    <col min="11781" max="11794" width="9" style="126"/>
    <col min="11795" max="11795" width="9.5" style="126" customWidth="1"/>
    <col min="11796" max="11798" width="9" style="126"/>
    <col min="11799" max="11799" width="10.5" style="126" customWidth="1"/>
    <col min="11800" max="12035" width="9" style="126"/>
    <col min="12036" max="12036" width="10.5" style="126" customWidth="1"/>
    <col min="12037" max="12050" width="9" style="126"/>
    <col min="12051" max="12051" width="9.5" style="126" customWidth="1"/>
    <col min="12052" max="12054" width="9" style="126"/>
    <col min="12055" max="12055" width="10.5" style="126" customWidth="1"/>
    <col min="12056" max="12291" width="9" style="126"/>
    <col min="12292" max="12292" width="10.5" style="126" customWidth="1"/>
    <col min="12293" max="12306" width="9" style="126"/>
    <col min="12307" max="12307" width="9.5" style="126" customWidth="1"/>
    <col min="12308" max="12310" width="9" style="126"/>
    <col min="12311" max="12311" width="10.5" style="126" customWidth="1"/>
    <col min="12312" max="12547" width="9" style="126"/>
    <col min="12548" max="12548" width="10.5" style="126" customWidth="1"/>
    <col min="12549" max="12562" width="9" style="126"/>
    <col min="12563" max="12563" width="9.5" style="126" customWidth="1"/>
    <col min="12564" max="12566" width="9" style="126"/>
    <col min="12567" max="12567" width="10.5" style="126" customWidth="1"/>
    <col min="12568" max="12803" width="9" style="126"/>
    <col min="12804" max="12804" width="10.5" style="126" customWidth="1"/>
    <col min="12805" max="12818" width="9" style="126"/>
    <col min="12819" max="12819" width="9.5" style="126" customWidth="1"/>
    <col min="12820" max="12822" width="9" style="126"/>
    <col min="12823" max="12823" width="10.5" style="126" customWidth="1"/>
    <col min="12824" max="13059" width="9" style="126"/>
    <col min="13060" max="13060" width="10.5" style="126" customWidth="1"/>
    <col min="13061" max="13074" width="9" style="126"/>
    <col min="13075" max="13075" width="9.5" style="126" customWidth="1"/>
    <col min="13076" max="13078" width="9" style="126"/>
    <col min="13079" max="13079" width="10.5" style="126" customWidth="1"/>
    <col min="13080" max="13315" width="9" style="126"/>
    <col min="13316" max="13316" width="10.5" style="126" customWidth="1"/>
    <col min="13317" max="13330" width="9" style="126"/>
    <col min="13331" max="13331" width="9.5" style="126" customWidth="1"/>
    <col min="13332" max="13334" width="9" style="126"/>
    <col min="13335" max="13335" width="10.5" style="126" customWidth="1"/>
    <col min="13336" max="13571" width="9" style="126"/>
    <col min="13572" max="13572" width="10.5" style="126" customWidth="1"/>
    <col min="13573" max="13586" width="9" style="126"/>
    <col min="13587" max="13587" width="9.5" style="126" customWidth="1"/>
    <col min="13588" max="13590" width="9" style="126"/>
    <col min="13591" max="13591" width="10.5" style="126" customWidth="1"/>
    <col min="13592" max="13827" width="9" style="126"/>
    <col min="13828" max="13828" width="10.5" style="126" customWidth="1"/>
    <col min="13829" max="13842" width="9" style="126"/>
    <col min="13843" max="13843" width="9.5" style="126" customWidth="1"/>
    <col min="13844" max="13846" width="9" style="126"/>
    <col min="13847" max="13847" width="10.5" style="126" customWidth="1"/>
    <col min="13848" max="14083" width="9" style="126"/>
    <col min="14084" max="14084" width="10.5" style="126" customWidth="1"/>
    <col min="14085" max="14098" width="9" style="126"/>
    <col min="14099" max="14099" width="9.5" style="126" customWidth="1"/>
    <col min="14100" max="14102" width="9" style="126"/>
    <col min="14103" max="14103" width="10.5" style="126" customWidth="1"/>
    <col min="14104" max="14339" width="9" style="126"/>
    <col min="14340" max="14340" width="10.5" style="126" customWidth="1"/>
    <col min="14341" max="14354" width="9" style="126"/>
    <col min="14355" max="14355" width="9.5" style="126" customWidth="1"/>
    <col min="14356" max="14358" width="9" style="126"/>
    <col min="14359" max="14359" width="10.5" style="126" customWidth="1"/>
    <col min="14360" max="14595" width="9" style="126"/>
    <col min="14596" max="14596" width="10.5" style="126" customWidth="1"/>
    <col min="14597" max="14610" width="9" style="126"/>
    <col min="14611" max="14611" width="9.5" style="126" customWidth="1"/>
    <col min="14612" max="14614" width="9" style="126"/>
    <col min="14615" max="14615" width="10.5" style="126" customWidth="1"/>
    <col min="14616" max="14851" width="9" style="126"/>
    <col min="14852" max="14852" width="10.5" style="126" customWidth="1"/>
    <col min="14853" max="14866" width="9" style="126"/>
    <col min="14867" max="14867" width="9.5" style="126" customWidth="1"/>
    <col min="14868" max="14870" width="9" style="126"/>
    <col min="14871" max="14871" width="10.5" style="126" customWidth="1"/>
    <col min="14872" max="15107" width="9" style="126"/>
    <col min="15108" max="15108" width="10.5" style="126" customWidth="1"/>
    <col min="15109" max="15122" width="9" style="126"/>
    <col min="15123" max="15123" width="9.5" style="126" customWidth="1"/>
    <col min="15124" max="15126" width="9" style="126"/>
    <col min="15127" max="15127" width="10.5" style="126" customWidth="1"/>
    <col min="15128" max="15363" width="9" style="126"/>
    <col min="15364" max="15364" width="10.5" style="126" customWidth="1"/>
    <col min="15365" max="15378" width="9" style="126"/>
    <col min="15379" max="15379" width="9.5" style="126" customWidth="1"/>
    <col min="15380" max="15382" width="9" style="126"/>
    <col min="15383" max="15383" width="10.5" style="126" customWidth="1"/>
    <col min="15384" max="15619" width="9" style="126"/>
    <col min="15620" max="15620" width="10.5" style="126" customWidth="1"/>
    <col min="15621" max="15634" width="9" style="126"/>
    <col min="15635" max="15635" width="9.5" style="126" customWidth="1"/>
    <col min="15636" max="15638" width="9" style="126"/>
    <col min="15639" max="15639" width="10.5" style="126" customWidth="1"/>
    <col min="15640" max="15875" width="9" style="126"/>
    <col min="15876" max="15876" width="10.5" style="126" customWidth="1"/>
    <col min="15877" max="15890" width="9" style="126"/>
    <col min="15891" max="15891" width="9.5" style="126" customWidth="1"/>
    <col min="15892" max="15894" width="9" style="126"/>
    <col min="15895" max="15895" width="10.5" style="126" customWidth="1"/>
    <col min="15896" max="16131" width="9" style="126"/>
    <col min="16132" max="16132" width="10.5" style="126" customWidth="1"/>
    <col min="16133" max="16146" width="9" style="126"/>
    <col min="16147" max="16147" width="9.5" style="126" customWidth="1"/>
    <col min="16148" max="16150" width="9" style="126"/>
    <col min="16151" max="16151" width="10.5" style="126" customWidth="1"/>
    <col min="16152" max="16384" width="9" style="126"/>
  </cols>
  <sheetData>
    <row r="1" spans="1:53" ht="45" x14ac:dyDescent="0.15">
      <c r="A1" s="142" t="s">
        <v>0</v>
      </c>
      <c r="B1" s="143" t="s">
        <v>174</v>
      </c>
      <c r="C1" s="143" t="s">
        <v>175</v>
      </c>
      <c r="D1" s="144" t="s">
        <v>2</v>
      </c>
      <c r="E1" s="145" t="s">
        <v>3</v>
      </c>
      <c r="F1" s="145" t="s">
        <v>4</v>
      </c>
      <c r="G1" s="145" t="s">
        <v>5</v>
      </c>
      <c r="H1" s="145" t="s">
        <v>6</v>
      </c>
      <c r="I1" s="145" t="s">
        <v>7</v>
      </c>
      <c r="J1" s="86" t="s">
        <v>8</v>
      </c>
      <c r="K1" s="86" t="s">
        <v>9</v>
      </c>
      <c r="L1" s="144" t="s">
        <v>176</v>
      </c>
      <c r="M1" s="144" t="s">
        <v>177</v>
      </c>
      <c r="N1" s="144" t="s">
        <v>11</v>
      </c>
      <c r="O1" s="144" t="s">
        <v>178</v>
      </c>
      <c r="P1" s="144" t="s">
        <v>179</v>
      </c>
      <c r="Q1" s="146" t="s">
        <v>180</v>
      </c>
      <c r="R1" s="144" t="s">
        <v>181</v>
      </c>
      <c r="S1" s="144" t="s">
        <v>182</v>
      </c>
      <c r="T1" s="146" t="s">
        <v>13</v>
      </c>
      <c r="U1" s="147" t="s">
        <v>92</v>
      </c>
      <c r="V1" s="148" t="s">
        <v>14</v>
      </c>
      <c r="W1" s="144" t="s">
        <v>183</v>
      </c>
      <c r="X1" s="145" t="s">
        <v>16</v>
      </c>
      <c r="Y1" s="145" t="s">
        <v>17</v>
      </c>
      <c r="Z1" s="145" t="s">
        <v>18</v>
      </c>
      <c r="AA1" s="149" t="s">
        <v>19</v>
      </c>
      <c r="AB1" s="150" t="s">
        <v>184</v>
      </c>
      <c r="AE1" s="151" t="s">
        <v>0</v>
      </c>
      <c r="AF1" s="152"/>
      <c r="AG1" s="151" t="s">
        <v>3</v>
      </c>
      <c r="AH1" s="151" t="s">
        <v>4</v>
      </c>
      <c r="AI1" s="152"/>
      <c r="AJ1" s="151" t="s">
        <v>5</v>
      </c>
      <c r="AK1" s="152"/>
      <c r="AL1" s="153" t="s">
        <v>6</v>
      </c>
      <c r="AM1" s="152"/>
      <c r="AN1" s="153" t="s">
        <v>7</v>
      </c>
      <c r="AO1" s="152"/>
      <c r="AP1" s="153" t="s">
        <v>20</v>
      </c>
      <c r="AQ1" s="152"/>
      <c r="AR1" s="153" t="s">
        <v>9</v>
      </c>
      <c r="AS1" s="152"/>
      <c r="AT1" s="154" t="s">
        <v>185</v>
      </c>
      <c r="AU1" s="152"/>
      <c r="AV1" s="153" t="s">
        <v>22</v>
      </c>
      <c r="AX1" s="155" t="s">
        <v>321</v>
      </c>
      <c r="AY1" s="156" t="s">
        <v>187</v>
      </c>
      <c r="AZ1" s="156" t="s">
        <v>322</v>
      </c>
      <c r="BA1" s="157" t="s">
        <v>189</v>
      </c>
    </row>
    <row r="2" spans="1:53" x14ac:dyDescent="0.15">
      <c r="A2" s="126" t="s">
        <v>40</v>
      </c>
      <c r="B2" s="126" t="s">
        <v>190</v>
      </c>
      <c r="C2" s="126">
        <v>2020</v>
      </c>
      <c r="D2" s="127" t="s">
        <v>339</v>
      </c>
      <c r="E2" s="126" t="s">
        <v>340</v>
      </c>
      <c r="F2" s="126" t="s">
        <v>341</v>
      </c>
      <c r="G2" s="126" t="s">
        <v>31</v>
      </c>
      <c r="H2" s="126" t="s">
        <v>113</v>
      </c>
      <c r="I2" s="126" t="s">
        <v>111</v>
      </c>
      <c r="J2" s="80" t="s">
        <v>27</v>
      </c>
      <c r="K2" s="80" t="s">
        <v>112</v>
      </c>
      <c r="L2" s="126">
        <v>1</v>
      </c>
      <c r="N2" s="126">
        <v>1</v>
      </c>
      <c r="O2" s="126">
        <v>0.6</v>
      </c>
      <c r="P2" s="126">
        <v>0.75</v>
      </c>
      <c r="Q2" s="158">
        <f t="shared" ref="Q2:Q65" si="0">IF(OR(O2="",P2=""),"",AVERAGE(O2,P2))</f>
        <v>0.67500000000000004</v>
      </c>
      <c r="R2" s="126">
        <v>16.899999999999999</v>
      </c>
      <c r="S2" s="126">
        <v>122</v>
      </c>
      <c r="T2" s="159">
        <f t="shared" ref="T2:T65" si="1">IF(H2="","",IF(OR(H2="GREEN",H2="GK"),IF(S2&gt;=$AX$2,VLOOKUP(S2,$AX$2:$AY$12,2,1),""),IF(S2&gt;=$AZ$2,VLOOKUP(S2,$AZ$2:$BA$12,2,1),"")))</f>
        <v>27</v>
      </c>
      <c r="U2" s="126">
        <v>158</v>
      </c>
      <c r="V2" s="160">
        <f t="shared" ref="V2:V65" si="2">IF(OR(N2="",U2="",T2=""),"",U2/N2*T2)</f>
        <v>4266</v>
      </c>
      <c r="W2" s="126">
        <v>14</v>
      </c>
      <c r="X2" s="126" t="s">
        <v>28</v>
      </c>
      <c r="Y2" s="126" t="s">
        <v>55</v>
      </c>
      <c r="Z2" s="126" t="s">
        <v>43</v>
      </c>
      <c r="AA2" s="126" t="s">
        <v>86</v>
      </c>
      <c r="AB2" s="126" t="s">
        <v>194</v>
      </c>
      <c r="AE2" s="161" t="s">
        <v>24</v>
      </c>
      <c r="AG2" s="162" t="s">
        <v>221</v>
      </c>
      <c r="AH2" s="162" t="s">
        <v>342</v>
      </c>
      <c r="AJ2" s="162" t="s">
        <v>25</v>
      </c>
      <c r="AL2" s="163" t="s">
        <v>195</v>
      </c>
      <c r="AN2" s="162" t="s">
        <v>26</v>
      </c>
      <c r="AP2" s="162" t="s">
        <v>27</v>
      </c>
      <c r="AR2" s="162" t="s">
        <v>112</v>
      </c>
      <c r="AT2" s="162" t="s">
        <v>28</v>
      </c>
      <c r="AV2" s="162" t="s">
        <v>29</v>
      </c>
      <c r="AX2" s="164">
        <v>1</v>
      </c>
      <c r="AY2" s="165">
        <v>50</v>
      </c>
      <c r="AZ2" s="165">
        <v>1</v>
      </c>
      <c r="BA2" s="166">
        <v>50</v>
      </c>
    </row>
    <row r="3" spans="1:53" x14ac:dyDescent="0.15">
      <c r="A3" s="126" t="s">
        <v>40</v>
      </c>
      <c r="B3" s="126" t="s">
        <v>190</v>
      </c>
      <c r="C3" s="126">
        <v>2020</v>
      </c>
      <c r="D3" s="127" t="s">
        <v>339</v>
      </c>
      <c r="E3" s="126" t="s">
        <v>340</v>
      </c>
      <c r="F3" s="126" t="s">
        <v>341</v>
      </c>
      <c r="G3" s="126" t="s">
        <v>31</v>
      </c>
      <c r="H3" s="126" t="s">
        <v>113</v>
      </c>
      <c r="I3" s="126" t="s">
        <v>111</v>
      </c>
      <c r="J3" s="80" t="s">
        <v>27</v>
      </c>
      <c r="K3" s="80" t="s">
        <v>112</v>
      </c>
      <c r="L3" s="126">
        <v>2</v>
      </c>
      <c r="N3" s="126">
        <v>1</v>
      </c>
      <c r="O3" s="126">
        <v>0.7</v>
      </c>
      <c r="P3" s="126">
        <v>0.7</v>
      </c>
      <c r="Q3" s="158">
        <f t="shared" si="0"/>
        <v>0.7</v>
      </c>
      <c r="R3" s="126">
        <v>17.2</v>
      </c>
      <c r="S3" s="126">
        <v>124</v>
      </c>
      <c r="T3" s="159">
        <f t="shared" si="1"/>
        <v>27</v>
      </c>
      <c r="U3" s="126">
        <v>158</v>
      </c>
      <c r="V3" s="160">
        <f t="shared" si="2"/>
        <v>4266</v>
      </c>
      <c r="W3" s="126">
        <v>14</v>
      </c>
      <c r="X3" s="126" t="s">
        <v>28</v>
      </c>
      <c r="Y3" s="126" t="s">
        <v>55</v>
      </c>
      <c r="Z3" s="126" t="s">
        <v>43</v>
      </c>
      <c r="AA3" s="126" t="s">
        <v>86</v>
      </c>
      <c r="AB3" s="126" t="s">
        <v>194</v>
      </c>
      <c r="AE3" s="167" t="s">
        <v>30</v>
      </c>
      <c r="AG3" s="162" t="s">
        <v>343</v>
      </c>
      <c r="AH3" s="162" t="s">
        <v>344</v>
      </c>
      <c r="AJ3" s="168" t="s">
        <v>31</v>
      </c>
      <c r="AL3" s="168" t="s">
        <v>197</v>
      </c>
      <c r="AN3" s="168" t="s">
        <v>32</v>
      </c>
      <c r="AP3" s="168" t="s">
        <v>33</v>
      </c>
      <c r="AR3" s="168" t="s">
        <v>34</v>
      </c>
      <c r="AT3" s="168" t="s">
        <v>35</v>
      </c>
      <c r="AV3" s="168" t="s">
        <v>36</v>
      </c>
      <c r="AX3" s="169">
        <v>72</v>
      </c>
      <c r="AY3" s="170">
        <v>46</v>
      </c>
      <c r="AZ3" s="170">
        <v>71</v>
      </c>
      <c r="BA3" s="171">
        <v>42</v>
      </c>
    </row>
    <row r="4" spans="1:53" x14ac:dyDescent="0.15">
      <c r="A4" s="126" t="s">
        <v>40</v>
      </c>
      <c r="B4" s="126" t="s">
        <v>190</v>
      </c>
      <c r="C4" s="126">
        <v>2020</v>
      </c>
      <c r="D4" s="127" t="s">
        <v>339</v>
      </c>
      <c r="E4" s="126" t="s">
        <v>340</v>
      </c>
      <c r="F4" s="126" t="s">
        <v>341</v>
      </c>
      <c r="G4" s="126" t="s">
        <v>31</v>
      </c>
      <c r="H4" s="126" t="s">
        <v>113</v>
      </c>
      <c r="I4" s="126" t="s">
        <v>111</v>
      </c>
      <c r="J4" s="80" t="s">
        <v>27</v>
      </c>
      <c r="K4" s="80" t="s">
        <v>112</v>
      </c>
      <c r="L4" s="126">
        <v>3</v>
      </c>
      <c r="N4" s="126">
        <v>1</v>
      </c>
      <c r="O4" s="126">
        <v>0.8</v>
      </c>
      <c r="P4" s="126">
        <v>0.65</v>
      </c>
      <c r="Q4" s="158">
        <f t="shared" si="0"/>
        <v>0.72500000000000009</v>
      </c>
      <c r="R4" s="126">
        <v>17.5</v>
      </c>
      <c r="S4" s="126">
        <v>122</v>
      </c>
      <c r="T4" s="159">
        <f t="shared" si="1"/>
        <v>27</v>
      </c>
      <c r="U4" s="126">
        <v>158</v>
      </c>
      <c r="V4" s="160">
        <f t="shared" si="2"/>
        <v>4266</v>
      </c>
      <c r="W4" s="126">
        <v>14</v>
      </c>
      <c r="X4" s="126" t="s">
        <v>28</v>
      </c>
      <c r="Y4" s="126" t="s">
        <v>55</v>
      </c>
      <c r="Z4" s="126" t="s">
        <v>43</v>
      </c>
      <c r="AA4" s="126" t="s">
        <v>86</v>
      </c>
      <c r="AB4" s="126" t="s">
        <v>194</v>
      </c>
      <c r="AE4" s="167" t="s">
        <v>23</v>
      </c>
      <c r="AG4" s="162" t="s">
        <v>345</v>
      </c>
      <c r="AH4" s="162" t="s">
        <v>346</v>
      </c>
      <c r="AJ4" s="172" t="s">
        <v>37</v>
      </c>
      <c r="AL4" s="168" t="s">
        <v>199</v>
      </c>
      <c r="AN4" s="173" t="s">
        <v>200</v>
      </c>
      <c r="AP4" s="168" t="s">
        <v>201</v>
      </c>
      <c r="AR4" s="168" t="s">
        <v>202</v>
      </c>
      <c r="AT4" s="173"/>
      <c r="AV4" s="168" t="s">
        <v>39</v>
      </c>
      <c r="AX4" s="169">
        <v>75</v>
      </c>
      <c r="AY4" s="170">
        <v>42</v>
      </c>
      <c r="AZ4" s="170">
        <v>76</v>
      </c>
      <c r="BA4" s="171">
        <v>39</v>
      </c>
    </row>
    <row r="5" spans="1:53" x14ac:dyDescent="0.15">
      <c r="A5" s="126" t="s">
        <v>40</v>
      </c>
      <c r="B5" s="126" t="s">
        <v>190</v>
      </c>
      <c r="C5" s="126">
        <v>2020</v>
      </c>
      <c r="D5" s="127" t="s">
        <v>339</v>
      </c>
      <c r="E5" s="126" t="s">
        <v>340</v>
      </c>
      <c r="F5" s="126" t="s">
        <v>341</v>
      </c>
      <c r="G5" s="126" t="s">
        <v>31</v>
      </c>
      <c r="H5" s="126" t="s">
        <v>113</v>
      </c>
      <c r="I5" s="126" t="s">
        <v>111</v>
      </c>
      <c r="J5" s="80" t="s">
        <v>27</v>
      </c>
      <c r="K5" s="80" t="s">
        <v>112</v>
      </c>
      <c r="L5" s="126">
        <v>1</v>
      </c>
      <c r="N5" s="126">
        <v>2</v>
      </c>
      <c r="O5" s="126">
        <v>0.75</v>
      </c>
      <c r="P5" s="126">
        <v>0.8</v>
      </c>
      <c r="Q5" s="158">
        <f t="shared" si="0"/>
        <v>0.77500000000000002</v>
      </c>
      <c r="R5" s="126">
        <v>17.7</v>
      </c>
      <c r="S5" s="126">
        <v>148</v>
      </c>
      <c r="T5" s="159">
        <f t="shared" si="1"/>
        <v>22</v>
      </c>
      <c r="U5" s="126">
        <v>398</v>
      </c>
      <c r="V5" s="160">
        <f t="shared" si="2"/>
        <v>4378</v>
      </c>
      <c r="W5" s="126">
        <v>14</v>
      </c>
      <c r="X5" s="126" t="s">
        <v>28</v>
      </c>
      <c r="Y5" s="126" t="s">
        <v>55</v>
      </c>
      <c r="Z5" s="126" t="s">
        <v>43</v>
      </c>
      <c r="AA5" s="126" t="s">
        <v>86</v>
      </c>
      <c r="AB5" s="126" t="s">
        <v>194</v>
      </c>
      <c r="AE5" s="167" t="s">
        <v>40</v>
      </c>
      <c r="AG5" s="162" t="s">
        <v>169</v>
      </c>
      <c r="AH5" s="162" t="s">
        <v>347</v>
      </c>
      <c r="AJ5" s="173"/>
      <c r="AL5" s="168" t="s">
        <v>113</v>
      </c>
      <c r="AN5" s="174" t="s">
        <v>111</v>
      </c>
      <c r="AP5" s="168" t="s">
        <v>205</v>
      </c>
      <c r="AR5" s="168" t="s">
        <v>42</v>
      </c>
      <c r="AV5" s="168" t="s">
        <v>43</v>
      </c>
      <c r="AX5" s="169">
        <v>84</v>
      </c>
      <c r="AY5" s="170">
        <v>39</v>
      </c>
      <c r="AZ5" s="170">
        <v>84</v>
      </c>
      <c r="BA5" s="171">
        <v>36</v>
      </c>
    </row>
    <row r="6" spans="1:53" x14ac:dyDescent="0.15">
      <c r="A6" s="126" t="s">
        <v>40</v>
      </c>
      <c r="B6" s="126" t="s">
        <v>190</v>
      </c>
      <c r="C6" s="126">
        <v>2020</v>
      </c>
      <c r="D6" s="127" t="s">
        <v>339</v>
      </c>
      <c r="E6" s="126" t="s">
        <v>340</v>
      </c>
      <c r="F6" s="126" t="s">
        <v>341</v>
      </c>
      <c r="G6" s="126" t="s">
        <v>31</v>
      </c>
      <c r="H6" s="126" t="s">
        <v>113</v>
      </c>
      <c r="I6" s="126" t="s">
        <v>111</v>
      </c>
      <c r="J6" s="80" t="s">
        <v>27</v>
      </c>
      <c r="K6" s="80" t="s">
        <v>112</v>
      </c>
      <c r="L6" s="126">
        <v>2</v>
      </c>
      <c r="N6" s="126">
        <v>2</v>
      </c>
      <c r="O6" s="126">
        <v>0.8</v>
      </c>
      <c r="P6" s="126">
        <v>0.8</v>
      </c>
      <c r="Q6" s="158">
        <f t="shared" si="0"/>
        <v>0.8</v>
      </c>
      <c r="R6" s="126">
        <v>17.3</v>
      </c>
      <c r="S6" s="126">
        <v>158</v>
      </c>
      <c r="T6" s="159">
        <f t="shared" si="1"/>
        <v>18</v>
      </c>
      <c r="U6" s="126">
        <v>398</v>
      </c>
      <c r="V6" s="160">
        <f t="shared" si="2"/>
        <v>3582</v>
      </c>
      <c r="W6" s="126">
        <v>14</v>
      </c>
      <c r="X6" s="126" t="s">
        <v>28</v>
      </c>
      <c r="Y6" s="126" t="s">
        <v>55</v>
      </c>
      <c r="Z6" s="126" t="s">
        <v>43</v>
      </c>
      <c r="AA6" s="126" t="s">
        <v>86</v>
      </c>
      <c r="AB6" s="126" t="s">
        <v>194</v>
      </c>
      <c r="AE6" s="167" t="s">
        <v>44</v>
      </c>
      <c r="AG6" s="162" t="s">
        <v>348</v>
      </c>
      <c r="AH6" s="162" t="s">
        <v>349</v>
      </c>
      <c r="AL6" s="168" t="s">
        <v>207</v>
      </c>
      <c r="AN6" s="174" t="s">
        <v>172</v>
      </c>
      <c r="AP6" s="168" t="s">
        <v>41</v>
      </c>
      <c r="AR6" s="168" t="s">
        <v>46</v>
      </c>
      <c r="AV6" s="168" t="s">
        <v>47</v>
      </c>
      <c r="AX6" s="169">
        <v>97</v>
      </c>
      <c r="AY6" s="170">
        <v>36</v>
      </c>
      <c r="AZ6" s="170">
        <v>99</v>
      </c>
      <c r="BA6" s="171">
        <v>33</v>
      </c>
    </row>
    <row r="7" spans="1:53" x14ac:dyDescent="0.15">
      <c r="A7" s="126" t="s">
        <v>40</v>
      </c>
      <c r="B7" s="126" t="s">
        <v>190</v>
      </c>
      <c r="C7" s="126">
        <v>2020</v>
      </c>
      <c r="D7" s="127" t="s">
        <v>339</v>
      </c>
      <c r="E7" s="126" t="s">
        <v>340</v>
      </c>
      <c r="F7" s="126" t="s">
        <v>341</v>
      </c>
      <c r="G7" s="126" t="s">
        <v>31</v>
      </c>
      <c r="H7" s="126" t="s">
        <v>113</v>
      </c>
      <c r="I7" s="126" t="s">
        <v>111</v>
      </c>
      <c r="J7" s="80" t="s">
        <v>27</v>
      </c>
      <c r="K7" s="80" t="s">
        <v>112</v>
      </c>
      <c r="L7" s="126">
        <v>3</v>
      </c>
      <c r="N7" s="126">
        <v>2</v>
      </c>
      <c r="O7" s="126">
        <v>0.7</v>
      </c>
      <c r="P7" s="126">
        <v>0.75</v>
      </c>
      <c r="Q7" s="158">
        <f t="shared" si="0"/>
        <v>0.72499999999999998</v>
      </c>
      <c r="R7" s="126">
        <v>18.399999999999999</v>
      </c>
      <c r="S7" s="126">
        <v>134</v>
      </c>
      <c r="T7" s="159">
        <f t="shared" si="1"/>
        <v>25</v>
      </c>
      <c r="U7" s="126">
        <v>398</v>
      </c>
      <c r="V7" s="160">
        <f t="shared" si="2"/>
        <v>4975</v>
      </c>
      <c r="W7" s="126">
        <v>14</v>
      </c>
      <c r="X7" s="126" t="s">
        <v>28</v>
      </c>
      <c r="Y7" s="126" t="s">
        <v>55</v>
      </c>
      <c r="Z7" s="126" t="s">
        <v>43</v>
      </c>
      <c r="AA7" s="126" t="s">
        <v>86</v>
      </c>
      <c r="AB7" s="126" t="s">
        <v>194</v>
      </c>
      <c r="AE7" s="167" t="s">
        <v>48</v>
      </c>
      <c r="AG7" s="162" t="s">
        <v>350</v>
      </c>
      <c r="AH7" s="162" t="s">
        <v>342</v>
      </c>
      <c r="AL7" s="168" t="s">
        <v>209</v>
      </c>
      <c r="AP7" s="168" t="s">
        <v>45</v>
      </c>
      <c r="AR7" s="168" t="s">
        <v>210</v>
      </c>
      <c r="AV7" s="168" t="s">
        <v>51</v>
      </c>
      <c r="AX7" s="169">
        <v>109</v>
      </c>
      <c r="AY7" s="170">
        <v>33</v>
      </c>
      <c r="AZ7" s="170">
        <v>113</v>
      </c>
      <c r="BA7" s="171">
        <v>30</v>
      </c>
    </row>
    <row r="8" spans="1:53" x14ac:dyDescent="0.15">
      <c r="A8" s="126" t="s">
        <v>40</v>
      </c>
      <c r="B8" s="126" t="s">
        <v>190</v>
      </c>
      <c r="C8" s="126">
        <v>2020</v>
      </c>
      <c r="D8" s="127" t="s">
        <v>339</v>
      </c>
      <c r="E8" s="126" t="s">
        <v>340</v>
      </c>
      <c r="F8" s="126" t="s">
        <v>341</v>
      </c>
      <c r="G8" s="126" t="s">
        <v>31</v>
      </c>
      <c r="H8" s="126" t="s">
        <v>167</v>
      </c>
      <c r="I8" s="126" t="s">
        <v>111</v>
      </c>
      <c r="J8" s="80" t="s">
        <v>27</v>
      </c>
      <c r="K8" s="80" t="s">
        <v>112</v>
      </c>
      <c r="L8" s="126">
        <v>1</v>
      </c>
      <c r="N8" s="126">
        <v>1</v>
      </c>
      <c r="O8" s="126">
        <v>0.7</v>
      </c>
      <c r="P8" s="126">
        <v>0.7</v>
      </c>
      <c r="Q8" s="158">
        <f t="shared" si="0"/>
        <v>0.7</v>
      </c>
      <c r="R8" s="126">
        <v>16.600000000000001</v>
      </c>
      <c r="S8" s="126">
        <v>168</v>
      </c>
      <c r="T8" s="159">
        <f t="shared" si="1"/>
        <v>18</v>
      </c>
      <c r="U8" s="126">
        <v>158</v>
      </c>
      <c r="V8" s="160">
        <f t="shared" si="2"/>
        <v>2844</v>
      </c>
      <c r="W8" s="126">
        <v>14</v>
      </c>
      <c r="X8" s="126" t="s">
        <v>28</v>
      </c>
      <c r="Y8" s="126" t="s">
        <v>55</v>
      </c>
      <c r="Z8" s="126" t="s">
        <v>43</v>
      </c>
      <c r="AA8" s="126" t="s">
        <v>86</v>
      </c>
      <c r="AB8" s="126" t="s">
        <v>194</v>
      </c>
      <c r="AE8" s="167" t="s">
        <v>46</v>
      </c>
      <c r="AG8" s="162" t="s">
        <v>351</v>
      </c>
      <c r="AH8" s="162" t="s">
        <v>352</v>
      </c>
      <c r="AL8" s="168" t="s">
        <v>167</v>
      </c>
      <c r="AP8" s="168" t="s">
        <v>49</v>
      </c>
      <c r="AR8" s="168" t="s">
        <v>67</v>
      </c>
      <c r="AV8" s="168" t="s">
        <v>82</v>
      </c>
      <c r="AX8" s="169">
        <v>119</v>
      </c>
      <c r="AY8" s="170">
        <v>30</v>
      </c>
      <c r="AZ8" s="170">
        <v>121</v>
      </c>
      <c r="BA8" s="171">
        <v>27</v>
      </c>
    </row>
    <row r="9" spans="1:53" x14ac:dyDescent="0.15">
      <c r="A9" s="126" t="s">
        <v>40</v>
      </c>
      <c r="B9" s="126" t="s">
        <v>190</v>
      </c>
      <c r="C9" s="126">
        <v>2020</v>
      </c>
      <c r="D9" s="127" t="s">
        <v>339</v>
      </c>
      <c r="E9" s="126" t="s">
        <v>340</v>
      </c>
      <c r="F9" s="126" t="s">
        <v>341</v>
      </c>
      <c r="G9" s="126" t="s">
        <v>31</v>
      </c>
      <c r="H9" s="126" t="s">
        <v>167</v>
      </c>
      <c r="I9" s="126" t="s">
        <v>111</v>
      </c>
      <c r="J9" s="80" t="s">
        <v>27</v>
      </c>
      <c r="K9" s="80" t="s">
        <v>112</v>
      </c>
      <c r="L9" s="126">
        <v>2</v>
      </c>
      <c r="N9" s="126">
        <v>1</v>
      </c>
      <c r="O9" s="126">
        <v>0.65</v>
      </c>
      <c r="P9" s="126">
        <v>0.7</v>
      </c>
      <c r="Q9" s="158">
        <f t="shared" si="0"/>
        <v>0.67500000000000004</v>
      </c>
      <c r="R9" s="126">
        <v>17.100000000000001</v>
      </c>
      <c r="S9" s="126">
        <v>162</v>
      </c>
      <c r="T9" s="159">
        <f t="shared" si="1"/>
        <v>18</v>
      </c>
      <c r="U9" s="126">
        <v>158</v>
      </c>
      <c r="V9" s="160">
        <f t="shared" si="2"/>
        <v>2844</v>
      </c>
      <c r="W9" s="126">
        <v>14</v>
      </c>
      <c r="X9" s="126" t="s">
        <v>28</v>
      </c>
      <c r="Y9" s="126" t="s">
        <v>55</v>
      </c>
      <c r="Z9" s="126" t="s">
        <v>43</v>
      </c>
      <c r="AA9" s="126" t="s">
        <v>86</v>
      </c>
      <c r="AB9" s="126" t="s">
        <v>194</v>
      </c>
      <c r="AE9" s="167" t="s">
        <v>213</v>
      </c>
      <c r="AG9" s="162" t="s">
        <v>353</v>
      </c>
      <c r="AH9" s="162" t="s">
        <v>341</v>
      </c>
      <c r="AL9" s="83" t="s">
        <v>216</v>
      </c>
      <c r="AP9" s="168" t="s">
        <v>80</v>
      </c>
      <c r="AR9" s="168" t="s">
        <v>217</v>
      </c>
      <c r="AV9" s="168" t="s">
        <v>86</v>
      </c>
      <c r="AX9" s="169">
        <v>128</v>
      </c>
      <c r="AY9" s="170">
        <v>27</v>
      </c>
      <c r="AZ9" s="170">
        <v>129</v>
      </c>
      <c r="BA9" s="171">
        <v>25</v>
      </c>
    </row>
    <row r="10" spans="1:53" x14ac:dyDescent="0.15">
      <c r="A10" s="126" t="s">
        <v>40</v>
      </c>
      <c r="B10" s="126" t="s">
        <v>190</v>
      </c>
      <c r="C10" s="126">
        <v>2020</v>
      </c>
      <c r="D10" s="127" t="s">
        <v>339</v>
      </c>
      <c r="E10" s="126" t="s">
        <v>340</v>
      </c>
      <c r="F10" s="126" t="s">
        <v>341</v>
      </c>
      <c r="G10" s="126" t="s">
        <v>31</v>
      </c>
      <c r="H10" s="126" t="s">
        <v>167</v>
      </c>
      <c r="I10" s="126" t="s">
        <v>111</v>
      </c>
      <c r="J10" s="80" t="s">
        <v>27</v>
      </c>
      <c r="K10" s="80" t="s">
        <v>112</v>
      </c>
      <c r="L10" s="126">
        <v>3</v>
      </c>
      <c r="N10" s="126">
        <v>1</v>
      </c>
      <c r="O10" s="126">
        <v>0.7</v>
      </c>
      <c r="P10" s="126">
        <v>0.75</v>
      </c>
      <c r="Q10" s="158">
        <f t="shared" si="0"/>
        <v>0.72499999999999998</v>
      </c>
      <c r="R10" s="126">
        <v>17.5</v>
      </c>
      <c r="S10" s="126">
        <v>164</v>
      </c>
      <c r="T10" s="159">
        <f t="shared" si="1"/>
        <v>18</v>
      </c>
      <c r="U10" s="126">
        <v>158</v>
      </c>
      <c r="V10" s="160">
        <f t="shared" si="2"/>
        <v>2844</v>
      </c>
      <c r="W10" s="126">
        <v>14</v>
      </c>
      <c r="X10" s="126" t="s">
        <v>28</v>
      </c>
      <c r="Y10" s="126" t="s">
        <v>55</v>
      </c>
      <c r="Z10" s="126" t="s">
        <v>43</v>
      </c>
      <c r="AA10" s="126" t="s">
        <v>86</v>
      </c>
      <c r="AB10" s="126" t="s">
        <v>194</v>
      </c>
      <c r="AE10" s="167" t="s">
        <v>218</v>
      </c>
      <c r="AG10" s="162" t="s">
        <v>340</v>
      </c>
      <c r="AH10" s="168" t="s">
        <v>341</v>
      </c>
      <c r="AP10" s="168" t="s">
        <v>84</v>
      </c>
      <c r="AR10" s="168" t="s">
        <v>220</v>
      </c>
      <c r="AV10" s="168" t="s">
        <v>90</v>
      </c>
      <c r="AX10" s="169">
        <v>138</v>
      </c>
      <c r="AY10" s="170">
        <v>25</v>
      </c>
      <c r="AZ10" s="170">
        <v>138</v>
      </c>
      <c r="BA10" s="171">
        <v>22</v>
      </c>
    </row>
    <row r="11" spans="1:53" x14ac:dyDescent="0.15">
      <c r="A11" s="126" t="s">
        <v>40</v>
      </c>
      <c r="B11" s="126" t="s">
        <v>190</v>
      </c>
      <c r="C11" s="126">
        <v>2020</v>
      </c>
      <c r="D11" s="127" t="s">
        <v>339</v>
      </c>
      <c r="E11" s="126" t="s">
        <v>340</v>
      </c>
      <c r="F11" s="126" t="s">
        <v>341</v>
      </c>
      <c r="G11" s="126" t="s">
        <v>31</v>
      </c>
      <c r="H11" s="126" t="s">
        <v>167</v>
      </c>
      <c r="I11" s="126" t="s">
        <v>111</v>
      </c>
      <c r="J11" s="80" t="s">
        <v>27</v>
      </c>
      <c r="K11" s="80" t="s">
        <v>112</v>
      </c>
      <c r="L11" s="126">
        <v>1</v>
      </c>
      <c r="N11" s="126">
        <v>4</v>
      </c>
      <c r="O11" s="126">
        <v>0.6</v>
      </c>
      <c r="P11" s="126">
        <v>0.65</v>
      </c>
      <c r="Q11" s="158">
        <f t="shared" si="0"/>
        <v>0.625</v>
      </c>
      <c r="R11" s="126">
        <v>18.399999999999999</v>
      </c>
      <c r="S11" s="126">
        <v>102</v>
      </c>
      <c r="T11" s="159">
        <f t="shared" si="1"/>
        <v>33</v>
      </c>
      <c r="U11" s="126">
        <v>498</v>
      </c>
      <c r="V11" s="160">
        <f t="shared" si="2"/>
        <v>4108.5</v>
      </c>
      <c r="W11" s="126">
        <v>14</v>
      </c>
      <c r="X11" s="126" t="s">
        <v>28</v>
      </c>
      <c r="Y11" s="126" t="s">
        <v>55</v>
      </c>
      <c r="Z11" s="126" t="s">
        <v>43</v>
      </c>
      <c r="AA11" s="126" t="s">
        <v>86</v>
      </c>
      <c r="AB11" s="126" t="s">
        <v>194</v>
      </c>
      <c r="AE11" s="167" t="s">
        <v>54</v>
      </c>
      <c r="AG11" s="162" t="s">
        <v>354</v>
      </c>
      <c r="AH11" s="168" t="s">
        <v>355</v>
      </c>
      <c r="AP11" s="168" t="s">
        <v>88</v>
      </c>
      <c r="AR11" s="168" t="s">
        <v>223</v>
      </c>
      <c r="AV11" s="168" t="s">
        <v>55</v>
      </c>
      <c r="AX11" s="169">
        <v>151</v>
      </c>
      <c r="AY11" s="170">
        <v>22</v>
      </c>
      <c r="AZ11" s="170">
        <v>152</v>
      </c>
      <c r="BA11" s="171">
        <v>18</v>
      </c>
    </row>
    <row r="12" spans="1:53" x14ac:dyDescent="0.15">
      <c r="A12" s="126" t="s">
        <v>40</v>
      </c>
      <c r="B12" s="126" t="s">
        <v>190</v>
      </c>
      <c r="C12" s="126">
        <v>2020</v>
      </c>
      <c r="D12" s="127" t="s">
        <v>339</v>
      </c>
      <c r="E12" s="126" t="s">
        <v>340</v>
      </c>
      <c r="F12" s="126" t="s">
        <v>341</v>
      </c>
      <c r="G12" s="126" t="s">
        <v>31</v>
      </c>
      <c r="H12" s="126" t="s">
        <v>167</v>
      </c>
      <c r="I12" s="126" t="s">
        <v>111</v>
      </c>
      <c r="J12" s="80" t="s">
        <v>27</v>
      </c>
      <c r="K12" s="80" t="s">
        <v>112</v>
      </c>
      <c r="L12" s="126">
        <v>2</v>
      </c>
      <c r="N12" s="126">
        <v>4</v>
      </c>
      <c r="O12" s="126">
        <v>0.55000000000000004</v>
      </c>
      <c r="P12" s="126">
        <v>0.55000000000000004</v>
      </c>
      <c r="Q12" s="158">
        <f t="shared" si="0"/>
        <v>0.55000000000000004</v>
      </c>
      <c r="R12" s="126">
        <v>17.7</v>
      </c>
      <c r="S12" s="126">
        <v>91</v>
      </c>
      <c r="T12" s="159">
        <f t="shared" si="1"/>
        <v>36</v>
      </c>
      <c r="U12" s="126">
        <v>498</v>
      </c>
      <c r="V12" s="160">
        <f t="shared" si="2"/>
        <v>4482</v>
      </c>
      <c r="W12" s="126">
        <v>14</v>
      </c>
      <c r="X12" s="126" t="s">
        <v>28</v>
      </c>
      <c r="Y12" s="126" t="s">
        <v>55</v>
      </c>
      <c r="Z12" s="126" t="s">
        <v>43</v>
      </c>
      <c r="AA12" s="126" t="s">
        <v>86</v>
      </c>
      <c r="AB12" s="126" t="s">
        <v>194</v>
      </c>
      <c r="AE12" s="167" t="s">
        <v>224</v>
      </c>
      <c r="AG12" s="168"/>
      <c r="AH12" s="168"/>
      <c r="AP12" s="168" t="s">
        <v>53</v>
      </c>
      <c r="AR12" s="168" t="s">
        <v>225</v>
      </c>
      <c r="AV12" s="168" t="s">
        <v>58</v>
      </c>
      <c r="AX12" s="175">
        <v>180</v>
      </c>
      <c r="AY12" s="176">
        <v>18</v>
      </c>
      <c r="AZ12" s="176">
        <v>181</v>
      </c>
      <c r="BA12" s="177">
        <v>16</v>
      </c>
    </row>
    <row r="13" spans="1:53" x14ac:dyDescent="0.15">
      <c r="A13" s="126" t="s">
        <v>40</v>
      </c>
      <c r="B13" s="126" t="s">
        <v>190</v>
      </c>
      <c r="C13" s="126">
        <v>2020</v>
      </c>
      <c r="D13" s="127" t="s">
        <v>339</v>
      </c>
      <c r="E13" s="126" t="s">
        <v>340</v>
      </c>
      <c r="F13" s="126" t="s">
        <v>341</v>
      </c>
      <c r="G13" s="126" t="s">
        <v>31</v>
      </c>
      <c r="H13" s="126" t="s">
        <v>167</v>
      </c>
      <c r="I13" s="126" t="s">
        <v>111</v>
      </c>
      <c r="J13" s="80" t="s">
        <v>27</v>
      </c>
      <c r="K13" s="80" t="s">
        <v>112</v>
      </c>
      <c r="L13" s="126">
        <v>3</v>
      </c>
      <c r="N13" s="126">
        <v>4</v>
      </c>
      <c r="O13" s="126">
        <v>0.6</v>
      </c>
      <c r="P13" s="126">
        <v>0.6</v>
      </c>
      <c r="Q13" s="158">
        <f t="shared" si="0"/>
        <v>0.6</v>
      </c>
      <c r="R13" s="126">
        <v>17.899999999999999</v>
      </c>
      <c r="S13" s="126">
        <v>99</v>
      </c>
      <c r="T13" s="159">
        <f t="shared" si="1"/>
        <v>33</v>
      </c>
      <c r="U13" s="126">
        <v>498</v>
      </c>
      <c r="V13" s="160">
        <f t="shared" si="2"/>
        <v>4108.5</v>
      </c>
      <c r="W13" s="126">
        <v>14</v>
      </c>
      <c r="X13" s="126" t="s">
        <v>28</v>
      </c>
      <c r="Y13" s="126" t="s">
        <v>55</v>
      </c>
      <c r="Z13" s="126" t="s">
        <v>43</v>
      </c>
      <c r="AA13" s="126" t="s">
        <v>86</v>
      </c>
      <c r="AB13" s="126" t="s">
        <v>194</v>
      </c>
      <c r="AE13" s="167" t="s">
        <v>226</v>
      </c>
      <c r="AG13" s="168"/>
      <c r="AH13" s="168"/>
      <c r="AP13" s="168" t="s">
        <v>57</v>
      </c>
      <c r="AR13" s="168" t="s">
        <v>218</v>
      </c>
      <c r="AV13" s="168" t="s">
        <v>61</v>
      </c>
    </row>
    <row r="14" spans="1:53" x14ac:dyDescent="0.15">
      <c r="A14" s="126" t="s">
        <v>40</v>
      </c>
      <c r="B14" s="126" t="s">
        <v>190</v>
      </c>
      <c r="C14" s="126">
        <v>2020</v>
      </c>
      <c r="D14" s="127" t="s">
        <v>339</v>
      </c>
      <c r="E14" s="126" t="s">
        <v>343</v>
      </c>
      <c r="F14" s="126" t="s">
        <v>344</v>
      </c>
      <c r="G14" s="126" t="s">
        <v>25</v>
      </c>
      <c r="H14" s="126" t="s">
        <v>113</v>
      </c>
      <c r="I14" s="126" t="s">
        <v>111</v>
      </c>
      <c r="J14" s="80" t="s">
        <v>27</v>
      </c>
      <c r="K14" s="80" t="s">
        <v>112</v>
      </c>
      <c r="L14" s="126">
        <v>1</v>
      </c>
      <c r="N14" s="126">
        <v>1</v>
      </c>
      <c r="O14" s="126">
        <v>0.9</v>
      </c>
      <c r="P14" s="126">
        <v>0.9</v>
      </c>
      <c r="Q14" s="158">
        <f t="shared" si="0"/>
        <v>0.9</v>
      </c>
      <c r="R14" s="126">
        <v>16.2</v>
      </c>
      <c r="S14" s="126">
        <v>132</v>
      </c>
      <c r="T14" s="159">
        <f t="shared" si="1"/>
        <v>25</v>
      </c>
      <c r="U14" s="126">
        <v>128</v>
      </c>
      <c r="V14" s="160">
        <f t="shared" si="2"/>
        <v>3200</v>
      </c>
      <c r="W14" s="126">
        <v>8</v>
      </c>
      <c r="X14" s="126" t="s">
        <v>35</v>
      </c>
      <c r="Y14" s="126" t="s">
        <v>64</v>
      </c>
      <c r="Z14" s="126" t="s">
        <v>55</v>
      </c>
      <c r="AA14" s="126" t="s">
        <v>43</v>
      </c>
      <c r="AB14" s="126" t="s">
        <v>194</v>
      </c>
      <c r="AE14" s="167" t="s">
        <v>81</v>
      </c>
      <c r="AG14" s="168"/>
      <c r="AH14" s="168"/>
      <c r="AP14" s="168" t="s">
        <v>60</v>
      </c>
      <c r="AR14" s="168" t="s">
        <v>227</v>
      </c>
      <c r="AV14" s="168" t="s">
        <v>64</v>
      </c>
    </row>
    <row r="15" spans="1:53" x14ac:dyDescent="0.15">
      <c r="A15" s="126" t="s">
        <v>40</v>
      </c>
      <c r="B15" s="126" t="s">
        <v>190</v>
      </c>
      <c r="C15" s="126">
        <v>2020</v>
      </c>
      <c r="D15" s="127" t="s">
        <v>339</v>
      </c>
      <c r="E15" s="126" t="s">
        <v>343</v>
      </c>
      <c r="F15" s="126" t="s">
        <v>344</v>
      </c>
      <c r="G15" s="126" t="s">
        <v>25</v>
      </c>
      <c r="H15" s="126" t="s">
        <v>113</v>
      </c>
      <c r="I15" s="126" t="s">
        <v>111</v>
      </c>
      <c r="J15" s="80" t="s">
        <v>27</v>
      </c>
      <c r="K15" s="80" t="s">
        <v>112</v>
      </c>
      <c r="L15" s="126">
        <v>2</v>
      </c>
      <c r="N15" s="126">
        <v>1</v>
      </c>
      <c r="O15" s="126">
        <v>0.95</v>
      </c>
      <c r="P15" s="126">
        <v>1</v>
      </c>
      <c r="Q15" s="158">
        <f t="shared" si="0"/>
        <v>0.97499999999999998</v>
      </c>
      <c r="R15" s="126">
        <v>15.3</v>
      </c>
      <c r="S15" s="126">
        <v>128</v>
      </c>
      <c r="T15" s="159">
        <f t="shared" si="1"/>
        <v>27</v>
      </c>
      <c r="U15" s="126">
        <v>128</v>
      </c>
      <c r="V15" s="160">
        <f t="shared" si="2"/>
        <v>3456</v>
      </c>
      <c r="W15" s="126">
        <v>8</v>
      </c>
      <c r="X15" s="126" t="s">
        <v>35</v>
      </c>
      <c r="Y15" s="126" t="s">
        <v>64</v>
      </c>
      <c r="Z15" s="126" t="s">
        <v>55</v>
      </c>
      <c r="AA15" s="126" t="s">
        <v>43</v>
      </c>
      <c r="AB15" s="126" t="s">
        <v>194</v>
      </c>
      <c r="AE15" s="167" t="s">
        <v>228</v>
      </c>
      <c r="AG15" s="168"/>
      <c r="AH15" s="168"/>
      <c r="AP15" s="168" t="s">
        <v>63</v>
      </c>
      <c r="AR15" s="168" t="s">
        <v>66</v>
      </c>
      <c r="AV15" s="168" t="s">
        <v>91</v>
      </c>
    </row>
    <row r="16" spans="1:53" x14ac:dyDescent="0.15">
      <c r="A16" s="126" t="s">
        <v>40</v>
      </c>
      <c r="B16" s="126" t="s">
        <v>190</v>
      </c>
      <c r="C16" s="126">
        <v>2020</v>
      </c>
      <c r="D16" s="127" t="s">
        <v>339</v>
      </c>
      <c r="E16" s="126" t="s">
        <v>343</v>
      </c>
      <c r="F16" s="126" t="s">
        <v>344</v>
      </c>
      <c r="G16" s="126" t="s">
        <v>25</v>
      </c>
      <c r="H16" s="126" t="s">
        <v>113</v>
      </c>
      <c r="I16" s="126" t="s">
        <v>111</v>
      </c>
      <c r="J16" s="80" t="s">
        <v>27</v>
      </c>
      <c r="K16" s="80" t="s">
        <v>112</v>
      </c>
      <c r="L16" s="126">
        <v>3</v>
      </c>
      <c r="N16" s="126">
        <v>1</v>
      </c>
      <c r="O16" s="126">
        <v>0.85</v>
      </c>
      <c r="P16" s="126">
        <v>0.85</v>
      </c>
      <c r="Q16" s="158">
        <f t="shared" si="0"/>
        <v>0.85</v>
      </c>
      <c r="R16" s="126">
        <v>15.6</v>
      </c>
      <c r="S16" s="126">
        <v>128</v>
      </c>
      <c r="T16" s="159">
        <f t="shared" si="1"/>
        <v>27</v>
      </c>
      <c r="U16" s="126">
        <v>128</v>
      </c>
      <c r="V16" s="160">
        <f t="shared" si="2"/>
        <v>3456</v>
      </c>
      <c r="W16" s="126">
        <v>8</v>
      </c>
      <c r="X16" s="126" t="s">
        <v>35</v>
      </c>
      <c r="Y16" s="126" t="s">
        <v>64</v>
      </c>
      <c r="Z16" s="126" t="s">
        <v>55</v>
      </c>
      <c r="AA16" s="126" t="s">
        <v>43</v>
      </c>
      <c r="AB16" s="126" t="s">
        <v>194</v>
      </c>
      <c r="AE16" s="167" t="s">
        <v>229</v>
      </c>
      <c r="AG16" s="173"/>
      <c r="AH16" s="173"/>
      <c r="AP16" s="168" t="s">
        <v>66</v>
      </c>
      <c r="AR16" s="168" t="s">
        <v>50</v>
      </c>
      <c r="AV16" s="168" t="s">
        <v>70</v>
      </c>
    </row>
    <row r="17" spans="1:48" x14ac:dyDescent="0.15">
      <c r="A17" s="126" t="s">
        <v>40</v>
      </c>
      <c r="B17" s="126" t="s">
        <v>190</v>
      </c>
      <c r="C17" s="126">
        <v>2020</v>
      </c>
      <c r="D17" s="127" t="s">
        <v>339</v>
      </c>
      <c r="E17" s="126" t="s">
        <v>343</v>
      </c>
      <c r="F17" s="126" t="s">
        <v>344</v>
      </c>
      <c r="G17" s="126" t="s">
        <v>25</v>
      </c>
      <c r="H17" s="126" t="s">
        <v>113</v>
      </c>
      <c r="I17" s="126" t="s">
        <v>111</v>
      </c>
      <c r="J17" s="80" t="s">
        <v>27</v>
      </c>
      <c r="K17" s="80" t="s">
        <v>112</v>
      </c>
      <c r="L17" s="126">
        <v>1</v>
      </c>
      <c r="N17" s="126">
        <v>4</v>
      </c>
      <c r="O17" s="126">
        <v>0.75</v>
      </c>
      <c r="P17" s="126">
        <v>0.75</v>
      </c>
      <c r="Q17" s="158">
        <f t="shared" si="0"/>
        <v>0.75</v>
      </c>
      <c r="R17" s="126">
        <v>18.100000000000001</v>
      </c>
      <c r="S17" s="126">
        <v>118</v>
      </c>
      <c r="T17" s="159">
        <f t="shared" si="1"/>
        <v>30</v>
      </c>
      <c r="U17" s="126">
        <v>358</v>
      </c>
      <c r="V17" s="160">
        <f t="shared" si="2"/>
        <v>2685</v>
      </c>
      <c r="W17" s="126">
        <v>8</v>
      </c>
      <c r="X17" s="126" t="s">
        <v>35</v>
      </c>
      <c r="Y17" s="126" t="s">
        <v>64</v>
      </c>
      <c r="Z17" s="126" t="s">
        <v>55</v>
      </c>
      <c r="AA17" s="126" t="s">
        <v>43</v>
      </c>
      <c r="AB17" s="126" t="s">
        <v>194</v>
      </c>
      <c r="AE17" s="167" t="s">
        <v>230</v>
      </c>
      <c r="AP17" s="172" t="s">
        <v>231</v>
      </c>
      <c r="AR17" s="168" t="s">
        <v>81</v>
      </c>
      <c r="AV17" s="168" t="s">
        <v>72</v>
      </c>
    </row>
    <row r="18" spans="1:48" x14ac:dyDescent="0.15">
      <c r="A18" s="126" t="s">
        <v>40</v>
      </c>
      <c r="B18" s="126" t="s">
        <v>190</v>
      </c>
      <c r="C18" s="126">
        <v>2020</v>
      </c>
      <c r="D18" s="127" t="s">
        <v>339</v>
      </c>
      <c r="E18" s="126" t="s">
        <v>343</v>
      </c>
      <c r="F18" s="126" t="s">
        <v>344</v>
      </c>
      <c r="G18" s="126" t="s">
        <v>25</v>
      </c>
      <c r="H18" s="126" t="s">
        <v>113</v>
      </c>
      <c r="I18" s="126" t="s">
        <v>111</v>
      </c>
      <c r="J18" s="80" t="s">
        <v>27</v>
      </c>
      <c r="K18" s="80" t="s">
        <v>112</v>
      </c>
      <c r="L18" s="126">
        <v>2</v>
      </c>
      <c r="N18" s="126">
        <v>4</v>
      </c>
      <c r="O18" s="126">
        <v>0.8</v>
      </c>
      <c r="P18" s="126">
        <v>0.7</v>
      </c>
      <c r="Q18" s="158">
        <f t="shared" si="0"/>
        <v>0.75</v>
      </c>
      <c r="R18" s="126">
        <v>18.399999999999999</v>
      </c>
      <c r="S18" s="126">
        <v>120</v>
      </c>
      <c r="T18" s="159">
        <f t="shared" si="1"/>
        <v>30</v>
      </c>
      <c r="U18" s="126">
        <v>358</v>
      </c>
      <c r="V18" s="160">
        <f t="shared" si="2"/>
        <v>2685</v>
      </c>
      <c r="W18" s="126">
        <v>8</v>
      </c>
      <c r="X18" s="126" t="s">
        <v>35</v>
      </c>
      <c r="Y18" s="126" t="s">
        <v>64</v>
      </c>
      <c r="Z18" s="126" t="s">
        <v>55</v>
      </c>
      <c r="AA18" s="126" t="s">
        <v>43</v>
      </c>
      <c r="AB18" s="126" t="s">
        <v>194</v>
      </c>
      <c r="AE18" s="167" t="s">
        <v>223</v>
      </c>
      <c r="AP18" s="172" t="s">
        <v>232</v>
      </c>
      <c r="AR18" s="168" t="s">
        <v>85</v>
      </c>
      <c r="AV18" s="168" t="s">
        <v>74</v>
      </c>
    </row>
    <row r="19" spans="1:48" x14ac:dyDescent="0.15">
      <c r="A19" s="126" t="s">
        <v>40</v>
      </c>
      <c r="B19" s="126" t="s">
        <v>190</v>
      </c>
      <c r="C19" s="126">
        <v>2020</v>
      </c>
      <c r="D19" s="127" t="s">
        <v>339</v>
      </c>
      <c r="E19" s="126" t="s">
        <v>343</v>
      </c>
      <c r="F19" s="126" t="s">
        <v>344</v>
      </c>
      <c r="G19" s="126" t="s">
        <v>25</v>
      </c>
      <c r="H19" s="126" t="s">
        <v>113</v>
      </c>
      <c r="I19" s="126" t="s">
        <v>111</v>
      </c>
      <c r="J19" s="80" t="s">
        <v>27</v>
      </c>
      <c r="K19" s="80" t="s">
        <v>112</v>
      </c>
      <c r="L19" s="126">
        <v>3</v>
      </c>
      <c r="N19" s="126">
        <v>4</v>
      </c>
      <c r="O19" s="126">
        <v>0.7</v>
      </c>
      <c r="P19" s="126">
        <v>0.75</v>
      </c>
      <c r="Q19" s="158">
        <f t="shared" si="0"/>
        <v>0.72499999999999998</v>
      </c>
      <c r="R19" s="126">
        <v>17.899999999999999</v>
      </c>
      <c r="S19" s="126">
        <v>118</v>
      </c>
      <c r="T19" s="159">
        <f t="shared" si="1"/>
        <v>30</v>
      </c>
      <c r="U19" s="126">
        <v>358</v>
      </c>
      <c r="V19" s="160">
        <f t="shared" si="2"/>
        <v>2685</v>
      </c>
      <c r="W19" s="126">
        <v>8</v>
      </c>
      <c r="X19" s="126" t="s">
        <v>35</v>
      </c>
      <c r="Y19" s="126" t="s">
        <v>64</v>
      </c>
      <c r="Z19" s="126" t="s">
        <v>55</v>
      </c>
      <c r="AA19" s="126" t="s">
        <v>43</v>
      </c>
      <c r="AB19" s="126" t="s">
        <v>194</v>
      </c>
      <c r="AE19" s="178" t="s">
        <v>217</v>
      </c>
      <c r="AP19" s="172" t="s">
        <v>233</v>
      </c>
      <c r="AR19" s="168" t="s">
        <v>234</v>
      </c>
      <c r="AV19" s="168" t="s">
        <v>76</v>
      </c>
    </row>
    <row r="20" spans="1:48" x14ac:dyDescent="0.15">
      <c r="A20" s="126" t="s">
        <v>40</v>
      </c>
      <c r="B20" s="126" t="s">
        <v>190</v>
      </c>
      <c r="C20" s="126">
        <v>2020</v>
      </c>
      <c r="D20" s="127" t="s">
        <v>339</v>
      </c>
      <c r="E20" s="126" t="s">
        <v>343</v>
      </c>
      <c r="F20" s="126" t="s">
        <v>344</v>
      </c>
      <c r="G20" s="126" t="s">
        <v>25</v>
      </c>
      <c r="H20" s="126" t="s">
        <v>167</v>
      </c>
      <c r="I20" s="126" t="s">
        <v>111</v>
      </c>
      <c r="J20" s="80" t="s">
        <v>27</v>
      </c>
      <c r="K20" s="80" t="s">
        <v>112</v>
      </c>
      <c r="L20" s="126">
        <v>1</v>
      </c>
      <c r="N20" s="126">
        <v>1</v>
      </c>
      <c r="O20" s="126">
        <v>0.95</v>
      </c>
      <c r="P20" s="126">
        <v>0.95</v>
      </c>
      <c r="Q20" s="158">
        <f t="shared" si="0"/>
        <v>0.95</v>
      </c>
      <c r="R20" s="126">
        <v>17</v>
      </c>
      <c r="S20" s="126">
        <v>148</v>
      </c>
      <c r="T20" s="159">
        <f t="shared" si="1"/>
        <v>22</v>
      </c>
      <c r="U20" s="126">
        <v>128</v>
      </c>
      <c r="V20" s="160">
        <f t="shared" si="2"/>
        <v>2816</v>
      </c>
      <c r="W20" s="126">
        <v>8</v>
      </c>
      <c r="X20" s="126" t="s">
        <v>35</v>
      </c>
      <c r="Y20" s="126" t="s">
        <v>64</v>
      </c>
      <c r="Z20" s="126" t="s">
        <v>55</v>
      </c>
      <c r="AA20" s="126" t="s">
        <v>43</v>
      </c>
      <c r="AB20" s="126" t="s">
        <v>194</v>
      </c>
      <c r="AE20" s="178"/>
      <c r="AP20" s="172" t="s">
        <v>235</v>
      </c>
      <c r="AR20" s="168" t="s">
        <v>89</v>
      </c>
      <c r="AV20" s="172" t="s">
        <v>236</v>
      </c>
    </row>
    <row r="21" spans="1:48" x14ac:dyDescent="0.15">
      <c r="A21" s="126" t="s">
        <v>40</v>
      </c>
      <c r="B21" s="126" t="s">
        <v>190</v>
      </c>
      <c r="C21" s="126">
        <v>2020</v>
      </c>
      <c r="D21" s="127" t="s">
        <v>339</v>
      </c>
      <c r="E21" s="126" t="s">
        <v>343</v>
      </c>
      <c r="F21" s="126" t="s">
        <v>344</v>
      </c>
      <c r="G21" s="126" t="s">
        <v>25</v>
      </c>
      <c r="H21" s="126" t="s">
        <v>167</v>
      </c>
      <c r="I21" s="126" t="s">
        <v>111</v>
      </c>
      <c r="J21" s="80" t="s">
        <v>27</v>
      </c>
      <c r="K21" s="80" t="s">
        <v>112</v>
      </c>
      <c r="L21" s="126">
        <v>2</v>
      </c>
      <c r="N21" s="126">
        <v>1</v>
      </c>
      <c r="O21" s="126">
        <v>0.85</v>
      </c>
      <c r="P21" s="126">
        <v>0.75</v>
      </c>
      <c r="Q21" s="158">
        <f t="shared" si="0"/>
        <v>0.8</v>
      </c>
      <c r="R21" s="126">
        <v>17.3</v>
      </c>
      <c r="S21" s="126">
        <v>144</v>
      </c>
      <c r="T21" s="159">
        <f t="shared" si="1"/>
        <v>22</v>
      </c>
      <c r="U21" s="126">
        <v>128</v>
      </c>
      <c r="V21" s="160">
        <f t="shared" si="2"/>
        <v>2816</v>
      </c>
      <c r="W21" s="126">
        <v>8</v>
      </c>
      <c r="X21" s="126" t="s">
        <v>35</v>
      </c>
      <c r="Y21" s="126" t="s">
        <v>64</v>
      </c>
      <c r="Z21" s="126" t="s">
        <v>55</v>
      </c>
      <c r="AA21" s="126" t="s">
        <v>43</v>
      </c>
      <c r="AB21" s="126" t="s">
        <v>194</v>
      </c>
      <c r="AE21" s="173"/>
      <c r="AP21" s="172" t="s">
        <v>237</v>
      </c>
      <c r="AR21" s="168" t="s">
        <v>54</v>
      </c>
      <c r="AV21" s="172" t="s">
        <v>238</v>
      </c>
    </row>
    <row r="22" spans="1:48" x14ac:dyDescent="0.15">
      <c r="A22" s="126" t="s">
        <v>40</v>
      </c>
      <c r="B22" s="126" t="s">
        <v>190</v>
      </c>
      <c r="C22" s="126">
        <v>2020</v>
      </c>
      <c r="D22" s="127" t="s">
        <v>339</v>
      </c>
      <c r="E22" s="126" t="s">
        <v>343</v>
      </c>
      <c r="F22" s="126" t="s">
        <v>344</v>
      </c>
      <c r="G22" s="126" t="s">
        <v>25</v>
      </c>
      <c r="H22" s="126" t="s">
        <v>167</v>
      </c>
      <c r="I22" s="126" t="s">
        <v>111</v>
      </c>
      <c r="J22" s="80" t="s">
        <v>27</v>
      </c>
      <c r="K22" s="80" t="s">
        <v>112</v>
      </c>
      <c r="L22" s="126">
        <v>3</v>
      </c>
      <c r="N22" s="126">
        <v>1</v>
      </c>
      <c r="O22" s="126">
        <v>0.8</v>
      </c>
      <c r="P22" s="126">
        <v>0.8</v>
      </c>
      <c r="Q22" s="158">
        <f>IF(OR(O22="",P22=""),"",AVERAGE(O22,P22))</f>
        <v>0.8</v>
      </c>
      <c r="R22" s="126">
        <v>16.8</v>
      </c>
      <c r="S22" s="126">
        <v>142</v>
      </c>
      <c r="T22" s="159">
        <f t="shared" si="1"/>
        <v>22</v>
      </c>
      <c r="U22" s="126">
        <v>128</v>
      </c>
      <c r="V22" s="160">
        <f t="shared" si="2"/>
        <v>2816</v>
      </c>
      <c r="W22" s="126">
        <v>8</v>
      </c>
      <c r="X22" s="126" t="s">
        <v>35</v>
      </c>
      <c r="Y22" s="126" t="s">
        <v>64</v>
      </c>
      <c r="Z22" s="126" t="s">
        <v>55</v>
      </c>
      <c r="AA22" s="126" t="s">
        <v>43</v>
      </c>
      <c r="AB22" s="126" t="s">
        <v>194</v>
      </c>
      <c r="AP22" s="172" t="s">
        <v>239</v>
      </c>
      <c r="AR22" s="168" t="s">
        <v>69</v>
      </c>
      <c r="AV22" s="172"/>
    </row>
    <row r="23" spans="1:48" x14ac:dyDescent="0.15">
      <c r="A23" s="126" t="s">
        <v>40</v>
      </c>
      <c r="B23" s="126" t="s">
        <v>190</v>
      </c>
      <c r="C23" s="126">
        <v>2020</v>
      </c>
      <c r="D23" s="127" t="s">
        <v>339</v>
      </c>
      <c r="E23" s="126" t="s">
        <v>343</v>
      </c>
      <c r="F23" s="126" t="s">
        <v>344</v>
      </c>
      <c r="G23" s="126" t="s">
        <v>25</v>
      </c>
      <c r="H23" s="126" t="s">
        <v>167</v>
      </c>
      <c r="I23" s="126" t="s">
        <v>111</v>
      </c>
      <c r="J23" s="80" t="s">
        <v>27</v>
      </c>
      <c r="K23" s="80" t="s">
        <v>112</v>
      </c>
      <c r="L23" s="126">
        <v>1</v>
      </c>
      <c r="N23" s="126">
        <v>4</v>
      </c>
      <c r="O23" s="126">
        <v>0.6</v>
      </c>
      <c r="P23" s="126">
        <v>0.6</v>
      </c>
      <c r="Q23" s="158">
        <f t="shared" si="0"/>
        <v>0.6</v>
      </c>
      <c r="R23" s="126">
        <v>18.2</v>
      </c>
      <c r="S23" s="126">
        <v>113</v>
      </c>
      <c r="T23" s="159">
        <f t="shared" si="1"/>
        <v>30</v>
      </c>
      <c r="U23" s="126">
        <v>498</v>
      </c>
      <c r="V23" s="160">
        <f t="shared" si="2"/>
        <v>3735</v>
      </c>
      <c r="W23" s="126">
        <v>8</v>
      </c>
      <c r="X23" s="126" t="s">
        <v>35</v>
      </c>
      <c r="Y23" s="126" t="s">
        <v>64</v>
      </c>
      <c r="Z23" s="126" t="s">
        <v>55</v>
      </c>
      <c r="AA23" s="126" t="s">
        <v>43</v>
      </c>
      <c r="AB23" s="126" t="s">
        <v>194</v>
      </c>
      <c r="AP23" s="172" t="s">
        <v>336</v>
      </c>
      <c r="AR23" s="168" t="s">
        <v>48</v>
      </c>
    </row>
    <row r="24" spans="1:48" x14ac:dyDescent="0.15">
      <c r="A24" s="126" t="s">
        <v>40</v>
      </c>
      <c r="B24" s="126" t="s">
        <v>190</v>
      </c>
      <c r="C24" s="126">
        <v>2020</v>
      </c>
      <c r="D24" s="127" t="s">
        <v>339</v>
      </c>
      <c r="E24" s="126" t="s">
        <v>343</v>
      </c>
      <c r="F24" s="126" t="s">
        <v>344</v>
      </c>
      <c r="G24" s="126" t="s">
        <v>25</v>
      </c>
      <c r="H24" s="126" t="s">
        <v>167</v>
      </c>
      <c r="I24" s="126" t="s">
        <v>111</v>
      </c>
      <c r="J24" s="80" t="s">
        <v>27</v>
      </c>
      <c r="K24" s="80" t="s">
        <v>112</v>
      </c>
      <c r="L24" s="126">
        <v>2</v>
      </c>
      <c r="N24" s="126">
        <v>4</v>
      </c>
      <c r="O24" s="126">
        <v>0.65</v>
      </c>
      <c r="P24" s="126">
        <v>0.55000000000000004</v>
      </c>
      <c r="Q24" s="158">
        <f t="shared" si="0"/>
        <v>0.60000000000000009</v>
      </c>
      <c r="R24" s="126">
        <v>18.8</v>
      </c>
      <c r="S24" s="126">
        <v>113</v>
      </c>
      <c r="T24" s="159">
        <f t="shared" si="1"/>
        <v>30</v>
      </c>
      <c r="U24" s="126">
        <v>498</v>
      </c>
      <c r="V24" s="160">
        <f t="shared" si="2"/>
        <v>3735</v>
      </c>
      <c r="W24" s="126">
        <v>8</v>
      </c>
      <c r="X24" s="126" t="s">
        <v>35</v>
      </c>
      <c r="Y24" s="126" t="s">
        <v>64</v>
      </c>
      <c r="Z24" s="126" t="s">
        <v>55</v>
      </c>
      <c r="AA24" s="126" t="s">
        <v>43</v>
      </c>
      <c r="AB24" s="126" t="s">
        <v>194</v>
      </c>
      <c r="AP24" s="172" t="s">
        <v>337</v>
      </c>
      <c r="AR24" s="168" t="s">
        <v>77</v>
      </c>
    </row>
    <row r="25" spans="1:48" x14ac:dyDescent="0.15">
      <c r="A25" s="126" t="s">
        <v>40</v>
      </c>
      <c r="B25" s="126" t="s">
        <v>190</v>
      </c>
      <c r="C25" s="126">
        <v>2020</v>
      </c>
      <c r="D25" s="127" t="s">
        <v>339</v>
      </c>
      <c r="E25" s="126" t="s">
        <v>343</v>
      </c>
      <c r="F25" s="126" t="s">
        <v>344</v>
      </c>
      <c r="G25" s="126" t="s">
        <v>25</v>
      </c>
      <c r="H25" s="126" t="s">
        <v>167</v>
      </c>
      <c r="I25" s="126" t="s">
        <v>111</v>
      </c>
      <c r="J25" s="80" t="s">
        <v>27</v>
      </c>
      <c r="K25" s="80" t="s">
        <v>112</v>
      </c>
      <c r="L25" s="126">
        <v>3</v>
      </c>
      <c r="N25" s="126">
        <v>4</v>
      </c>
      <c r="O25" s="126">
        <v>0.65</v>
      </c>
      <c r="P25" s="126">
        <v>0.55000000000000004</v>
      </c>
      <c r="Q25" s="158">
        <f t="shared" si="0"/>
        <v>0.60000000000000009</v>
      </c>
      <c r="R25" s="126">
        <v>19.3</v>
      </c>
      <c r="S25" s="126">
        <v>116</v>
      </c>
      <c r="T25" s="159">
        <f t="shared" si="1"/>
        <v>30</v>
      </c>
      <c r="U25" s="126">
        <v>498</v>
      </c>
      <c r="V25" s="160">
        <f t="shared" si="2"/>
        <v>3735</v>
      </c>
      <c r="W25" s="126">
        <v>8</v>
      </c>
      <c r="X25" s="126" t="s">
        <v>35</v>
      </c>
      <c r="Y25" s="126" t="s">
        <v>64</v>
      </c>
      <c r="Z25" s="126" t="s">
        <v>55</v>
      </c>
      <c r="AA25" s="126" t="s">
        <v>43</v>
      </c>
      <c r="AB25" s="126" t="s">
        <v>194</v>
      </c>
      <c r="AP25" s="172" t="s">
        <v>338</v>
      </c>
      <c r="AR25" s="172" t="s">
        <v>40</v>
      </c>
    </row>
    <row r="26" spans="1:48" x14ac:dyDescent="0.15">
      <c r="A26" s="126" t="s">
        <v>40</v>
      </c>
      <c r="B26" s="126" t="s">
        <v>190</v>
      </c>
      <c r="C26" s="126">
        <v>2020</v>
      </c>
      <c r="D26" s="127" t="s">
        <v>339</v>
      </c>
      <c r="E26" s="126" t="s">
        <v>354</v>
      </c>
      <c r="F26" s="126" t="s">
        <v>355</v>
      </c>
      <c r="G26" s="126" t="s">
        <v>25</v>
      </c>
      <c r="H26" s="126" t="s">
        <v>113</v>
      </c>
      <c r="I26" s="126" t="s">
        <v>111</v>
      </c>
      <c r="J26" s="80" t="s">
        <v>27</v>
      </c>
      <c r="K26" s="80" t="s">
        <v>112</v>
      </c>
      <c r="L26" s="126">
        <v>1</v>
      </c>
      <c r="N26" s="126">
        <v>1</v>
      </c>
      <c r="O26" s="126">
        <v>0.9</v>
      </c>
      <c r="P26" s="126">
        <v>0.9</v>
      </c>
      <c r="Q26" s="158">
        <f t="shared" si="0"/>
        <v>0.9</v>
      </c>
      <c r="R26" s="126">
        <v>17.2</v>
      </c>
      <c r="S26" s="126">
        <v>118</v>
      </c>
      <c r="T26" s="159">
        <f t="shared" si="1"/>
        <v>30</v>
      </c>
      <c r="U26" s="126">
        <v>98</v>
      </c>
      <c r="V26" s="160">
        <f t="shared" si="2"/>
        <v>2940</v>
      </c>
      <c r="W26" s="126">
        <v>12</v>
      </c>
      <c r="X26" s="126" t="s">
        <v>35</v>
      </c>
      <c r="Y26" s="126" t="s">
        <v>64</v>
      </c>
      <c r="Z26" s="126" t="s">
        <v>86</v>
      </c>
      <c r="AA26" s="126" t="s">
        <v>43</v>
      </c>
      <c r="AB26" s="126" t="s">
        <v>194</v>
      </c>
      <c r="AP26" s="172" t="s">
        <v>240</v>
      </c>
      <c r="AR26" s="126" t="s">
        <v>241</v>
      </c>
    </row>
    <row r="27" spans="1:48" x14ac:dyDescent="0.15">
      <c r="A27" s="126" t="s">
        <v>40</v>
      </c>
      <c r="B27" s="126" t="s">
        <v>190</v>
      </c>
      <c r="C27" s="126">
        <v>2020</v>
      </c>
      <c r="D27" s="127" t="s">
        <v>339</v>
      </c>
      <c r="E27" s="126" t="s">
        <v>354</v>
      </c>
      <c r="F27" s="126" t="s">
        <v>355</v>
      </c>
      <c r="G27" s="126" t="s">
        <v>25</v>
      </c>
      <c r="H27" s="126" t="s">
        <v>113</v>
      </c>
      <c r="I27" s="126" t="s">
        <v>111</v>
      </c>
      <c r="J27" s="80" t="s">
        <v>27</v>
      </c>
      <c r="K27" s="80" t="s">
        <v>112</v>
      </c>
      <c r="L27" s="126">
        <v>2</v>
      </c>
      <c r="N27" s="126">
        <v>1</v>
      </c>
      <c r="O27" s="126">
        <v>0.95</v>
      </c>
      <c r="P27" s="126">
        <v>0.95</v>
      </c>
      <c r="Q27" s="158">
        <f t="shared" si="0"/>
        <v>0.95</v>
      </c>
      <c r="R27" s="126">
        <v>17</v>
      </c>
      <c r="S27" s="126">
        <v>114</v>
      </c>
      <c r="T27" s="159">
        <f t="shared" si="1"/>
        <v>30</v>
      </c>
      <c r="U27" s="126">
        <v>98</v>
      </c>
      <c r="V27" s="160">
        <f t="shared" si="2"/>
        <v>2940</v>
      </c>
      <c r="W27" s="126">
        <v>12</v>
      </c>
      <c r="X27" s="126" t="s">
        <v>35</v>
      </c>
      <c r="Y27" s="126" t="s">
        <v>64</v>
      </c>
      <c r="Z27" s="126" t="s">
        <v>86</v>
      </c>
      <c r="AA27" s="126" t="s">
        <v>43</v>
      </c>
      <c r="AB27" s="126" t="s">
        <v>194</v>
      </c>
      <c r="AP27" s="27" t="s">
        <v>242</v>
      </c>
      <c r="AQ27" s="80"/>
      <c r="AR27" s="83" t="s">
        <v>356</v>
      </c>
    </row>
    <row r="28" spans="1:48" x14ac:dyDescent="0.15">
      <c r="A28" s="126" t="s">
        <v>40</v>
      </c>
      <c r="B28" s="126" t="s">
        <v>190</v>
      </c>
      <c r="C28" s="126">
        <v>2020</v>
      </c>
      <c r="D28" s="127" t="s">
        <v>339</v>
      </c>
      <c r="E28" s="126" t="s">
        <v>354</v>
      </c>
      <c r="F28" s="126" t="s">
        <v>355</v>
      </c>
      <c r="G28" s="126" t="s">
        <v>25</v>
      </c>
      <c r="H28" s="126" t="s">
        <v>113</v>
      </c>
      <c r="I28" s="126" t="s">
        <v>111</v>
      </c>
      <c r="J28" s="80" t="s">
        <v>27</v>
      </c>
      <c r="K28" s="80" t="s">
        <v>112</v>
      </c>
      <c r="L28" s="126">
        <v>3</v>
      </c>
      <c r="N28" s="126">
        <v>1</v>
      </c>
      <c r="O28" s="126">
        <v>0.85</v>
      </c>
      <c r="P28" s="126">
        <v>0.8</v>
      </c>
      <c r="Q28" s="158">
        <f t="shared" si="0"/>
        <v>0.82499999999999996</v>
      </c>
      <c r="R28" s="126">
        <v>17.5</v>
      </c>
      <c r="S28" s="126">
        <v>114</v>
      </c>
      <c r="T28" s="159">
        <f t="shared" si="1"/>
        <v>30</v>
      </c>
      <c r="U28" s="126">
        <v>98</v>
      </c>
      <c r="V28" s="160">
        <f t="shared" si="2"/>
        <v>2940</v>
      </c>
      <c r="W28" s="126">
        <v>12</v>
      </c>
      <c r="X28" s="126" t="s">
        <v>35</v>
      </c>
      <c r="Y28" s="126" t="s">
        <v>64</v>
      </c>
      <c r="Z28" s="126" t="s">
        <v>86</v>
      </c>
      <c r="AA28" s="126" t="s">
        <v>43</v>
      </c>
      <c r="AB28" s="126" t="s">
        <v>194</v>
      </c>
      <c r="AP28" s="27" t="s">
        <v>357</v>
      </c>
      <c r="AQ28" s="80"/>
      <c r="AR28" s="83" t="s">
        <v>358</v>
      </c>
    </row>
    <row r="29" spans="1:48" x14ac:dyDescent="0.15">
      <c r="A29" s="126" t="s">
        <v>40</v>
      </c>
      <c r="B29" s="126" t="s">
        <v>190</v>
      </c>
      <c r="C29" s="126">
        <v>2020</v>
      </c>
      <c r="D29" s="127" t="s">
        <v>339</v>
      </c>
      <c r="E29" s="126" t="s">
        <v>354</v>
      </c>
      <c r="F29" s="126" t="s">
        <v>355</v>
      </c>
      <c r="G29" s="126" t="s">
        <v>25</v>
      </c>
      <c r="H29" s="126" t="s">
        <v>113</v>
      </c>
      <c r="I29" s="126" t="s">
        <v>111</v>
      </c>
      <c r="J29" s="80" t="s">
        <v>27</v>
      </c>
      <c r="K29" s="80" t="s">
        <v>112</v>
      </c>
      <c r="L29" s="126">
        <v>1</v>
      </c>
      <c r="N29" s="126">
        <v>8</v>
      </c>
      <c r="O29" s="126">
        <v>0.65</v>
      </c>
      <c r="P29" s="126">
        <v>0.65</v>
      </c>
      <c r="Q29" s="158">
        <f t="shared" si="0"/>
        <v>0.65</v>
      </c>
      <c r="R29" s="126">
        <v>17.3</v>
      </c>
      <c r="S29" s="126">
        <v>79</v>
      </c>
      <c r="T29" s="159">
        <f t="shared" si="1"/>
        <v>39</v>
      </c>
      <c r="U29" s="126">
        <v>598</v>
      </c>
      <c r="V29" s="160">
        <f t="shared" si="2"/>
        <v>2915.25</v>
      </c>
      <c r="W29" s="126">
        <v>12</v>
      </c>
      <c r="X29" s="126" t="s">
        <v>35</v>
      </c>
      <c r="Y29" s="126" t="s">
        <v>64</v>
      </c>
      <c r="Z29" s="126" t="s">
        <v>86</v>
      </c>
      <c r="AA29" s="126" t="s">
        <v>43</v>
      </c>
      <c r="AB29" s="126" t="s">
        <v>194</v>
      </c>
      <c r="AP29" s="27" t="s">
        <v>359</v>
      </c>
      <c r="AQ29" s="80"/>
      <c r="AR29" s="28"/>
    </row>
    <row r="30" spans="1:48" x14ac:dyDescent="0.15">
      <c r="A30" s="126" t="s">
        <v>40</v>
      </c>
      <c r="B30" s="126" t="s">
        <v>190</v>
      </c>
      <c r="C30" s="126">
        <v>2020</v>
      </c>
      <c r="D30" s="127" t="s">
        <v>339</v>
      </c>
      <c r="E30" s="126" t="s">
        <v>354</v>
      </c>
      <c r="F30" s="126" t="s">
        <v>355</v>
      </c>
      <c r="G30" s="126" t="s">
        <v>25</v>
      </c>
      <c r="H30" s="126" t="s">
        <v>113</v>
      </c>
      <c r="I30" s="126" t="s">
        <v>111</v>
      </c>
      <c r="J30" s="80" t="s">
        <v>27</v>
      </c>
      <c r="K30" s="80" t="s">
        <v>112</v>
      </c>
      <c r="L30" s="126">
        <v>2</v>
      </c>
      <c r="N30" s="126">
        <v>8</v>
      </c>
      <c r="O30" s="126">
        <v>0.65</v>
      </c>
      <c r="P30" s="126">
        <v>0.75</v>
      </c>
      <c r="Q30" s="158">
        <f t="shared" si="0"/>
        <v>0.7</v>
      </c>
      <c r="R30" s="126">
        <v>17.5</v>
      </c>
      <c r="S30" s="126">
        <v>81</v>
      </c>
      <c r="T30" s="159">
        <f t="shared" si="1"/>
        <v>39</v>
      </c>
      <c r="U30" s="126">
        <v>598</v>
      </c>
      <c r="V30" s="160">
        <f t="shared" si="2"/>
        <v>2915.25</v>
      </c>
      <c r="W30" s="126">
        <v>12</v>
      </c>
      <c r="X30" s="126" t="s">
        <v>35</v>
      </c>
      <c r="Y30" s="126" t="s">
        <v>64</v>
      </c>
      <c r="Z30" s="126" t="s">
        <v>86</v>
      </c>
      <c r="AA30" s="126" t="s">
        <v>43</v>
      </c>
      <c r="AB30" s="126" t="s">
        <v>194</v>
      </c>
    </row>
    <row r="31" spans="1:48" x14ac:dyDescent="0.15">
      <c r="A31" s="126" t="s">
        <v>40</v>
      </c>
      <c r="B31" s="126" t="s">
        <v>190</v>
      </c>
      <c r="C31" s="126">
        <v>2020</v>
      </c>
      <c r="D31" s="127" t="s">
        <v>339</v>
      </c>
      <c r="E31" s="126" t="s">
        <v>354</v>
      </c>
      <c r="F31" s="126" t="s">
        <v>355</v>
      </c>
      <c r="G31" s="126" t="s">
        <v>25</v>
      </c>
      <c r="H31" s="126" t="s">
        <v>113</v>
      </c>
      <c r="I31" s="126" t="s">
        <v>111</v>
      </c>
      <c r="J31" s="80" t="s">
        <v>27</v>
      </c>
      <c r="K31" s="80" t="s">
        <v>112</v>
      </c>
      <c r="L31" s="126">
        <v>3</v>
      </c>
      <c r="N31" s="126">
        <v>8</v>
      </c>
      <c r="O31" s="126">
        <v>0.7</v>
      </c>
      <c r="P31" s="126">
        <v>0.6</v>
      </c>
      <c r="Q31" s="158">
        <f t="shared" si="0"/>
        <v>0.64999999999999991</v>
      </c>
      <c r="R31" s="126">
        <v>16.8</v>
      </c>
      <c r="S31" s="126">
        <v>76</v>
      </c>
      <c r="T31" s="159">
        <f t="shared" si="1"/>
        <v>39</v>
      </c>
      <c r="U31" s="126">
        <v>598</v>
      </c>
      <c r="V31" s="160">
        <f t="shared" si="2"/>
        <v>2915.25</v>
      </c>
      <c r="W31" s="126">
        <v>12</v>
      </c>
      <c r="X31" s="126" t="s">
        <v>35</v>
      </c>
      <c r="Y31" s="126" t="s">
        <v>64</v>
      </c>
      <c r="Z31" s="126" t="s">
        <v>86</v>
      </c>
      <c r="AA31" s="126" t="s">
        <v>43</v>
      </c>
      <c r="AB31" s="126" t="s">
        <v>194</v>
      </c>
    </row>
    <row r="32" spans="1:48" x14ac:dyDescent="0.15">
      <c r="A32" s="126" t="s">
        <v>40</v>
      </c>
      <c r="B32" s="126" t="s">
        <v>190</v>
      </c>
      <c r="C32" s="126">
        <v>2020</v>
      </c>
      <c r="D32" s="127" t="s">
        <v>339</v>
      </c>
      <c r="E32" s="126" t="s">
        <v>354</v>
      </c>
      <c r="F32" s="126" t="s">
        <v>355</v>
      </c>
      <c r="G32" s="126" t="s">
        <v>25</v>
      </c>
      <c r="H32" s="126" t="s">
        <v>167</v>
      </c>
      <c r="I32" s="126" t="s">
        <v>111</v>
      </c>
      <c r="J32" s="80" t="s">
        <v>27</v>
      </c>
      <c r="K32" s="80" t="s">
        <v>112</v>
      </c>
      <c r="L32" s="126">
        <v>1</v>
      </c>
      <c r="N32" s="126">
        <v>1</v>
      </c>
      <c r="O32" s="126">
        <v>0.65</v>
      </c>
      <c r="P32" s="126">
        <v>0.65</v>
      </c>
      <c r="Q32" s="158">
        <f t="shared" si="0"/>
        <v>0.65</v>
      </c>
      <c r="R32" s="126">
        <v>16.600000000000001</v>
      </c>
      <c r="S32" s="126">
        <v>136</v>
      </c>
      <c r="T32" s="159">
        <f t="shared" si="1"/>
        <v>25</v>
      </c>
      <c r="U32" s="126">
        <v>138</v>
      </c>
      <c r="V32" s="160">
        <f t="shared" si="2"/>
        <v>3450</v>
      </c>
      <c r="W32" s="126">
        <v>12</v>
      </c>
      <c r="X32" s="126" t="s">
        <v>35</v>
      </c>
      <c r="Y32" s="126" t="s">
        <v>64</v>
      </c>
      <c r="Z32" s="126" t="s">
        <v>86</v>
      </c>
      <c r="AA32" s="126" t="s">
        <v>43</v>
      </c>
      <c r="AB32" s="126" t="s">
        <v>194</v>
      </c>
    </row>
    <row r="33" spans="1:28" x14ac:dyDescent="0.15">
      <c r="A33" s="126" t="s">
        <v>40</v>
      </c>
      <c r="B33" s="126" t="s">
        <v>190</v>
      </c>
      <c r="C33" s="126">
        <v>2020</v>
      </c>
      <c r="D33" s="127" t="s">
        <v>339</v>
      </c>
      <c r="E33" s="126" t="s">
        <v>354</v>
      </c>
      <c r="F33" s="126" t="s">
        <v>355</v>
      </c>
      <c r="G33" s="126" t="s">
        <v>25</v>
      </c>
      <c r="H33" s="126" t="s">
        <v>167</v>
      </c>
      <c r="I33" s="126" t="s">
        <v>111</v>
      </c>
      <c r="J33" s="80" t="s">
        <v>27</v>
      </c>
      <c r="K33" s="80" t="s">
        <v>112</v>
      </c>
      <c r="L33" s="126">
        <v>2</v>
      </c>
      <c r="N33" s="126">
        <v>1</v>
      </c>
      <c r="O33" s="126">
        <v>0.65</v>
      </c>
      <c r="P33" s="126">
        <v>0.6</v>
      </c>
      <c r="Q33" s="158">
        <f t="shared" si="0"/>
        <v>0.625</v>
      </c>
      <c r="R33" s="126">
        <v>16.3</v>
      </c>
      <c r="S33" s="126">
        <v>136</v>
      </c>
      <c r="T33" s="159">
        <f t="shared" si="1"/>
        <v>25</v>
      </c>
      <c r="U33" s="126">
        <v>138</v>
      </c>
      <c r="V33" s="160">
        <f t="shared" si="2"/>
        <v>3450</v>
      </c>
      <c r="W33" s="126">
        <v>12</v>
      </c>
      <c r="X33" s="126" t="s">
        <v>35</v>
      </c>
      <c r="Y33" s="126" t="s">
        <v>64</v>
      </c>
      <c r="Z33" s="126" t="s">
        <v>86</v>
      </c>
      <c r="AA33" s="126" t="s">
        <v>43</v>
      </c>
      <c r="AB33" s="126" t="s">
        <v>194</v>
      </c>
    </row>
    <row r="34" spans="1:28" x14ac:dyDescent="0.15">
      <c r="A34" s="126" t="s">
        <v>40</v>
      </c>
      <c r="B34" s="126" t="s">
        <v>190</v>
      </c>
      <c r="C34" s="126">
        <v>2020</v>
      </c>
      <c r="D34" s="127" t="s">
        <v>339</v>
      </c>
      <c r="E34" s="126" t="s">
        <v>354</v>
      </c>
      <c r="F34" s="126" t="s">
        <v>355</v>
      </c>
      <c r="G34" s="126" t="s">
        <v>25</v>
      </c>
      <c r="H34" s="126" t="s">
        <v>167</v>
      </c>
      <c r="I34" s="126" t="s">
        <v>111</v>
      </c>
      <c r="J34" s="80" t="s">
        <v>27</v>
      </c>
      <c r="K34" s="80" t="s">
        <v>112</v>
      </c>
      <c r="L34" s="126">
        <v>3</v>
      </c>
      <c r="N34" s="126">
        <v>1</v>
      </c>
      <c r="O34" s="126">
        <v>0.5</v>
      </c>
      <c r="P34" s="126">
        <v>0.6</v>
      </c>
      <c r="Q34" s="158">
        <f t="shared" si="0"/>
        <v>0.55000000000000004</v>
      </c>
      <c r="R34" s="126">
        <v>15.7</v>
      </c>
      <c r="S34" s="126">
        <v>134</v>
      </c>
      <c r="T34" s="159">
        <f t="shared" si="1"/>
        <v>25</v>
      </c>
      <c r="U34" s="126">
        <v>138</v>
      </c>
      <c r="V34" s="160">
        <f t="shared" si="2"/>
        <v>3450</v>
      </c>
      <c r="W34" s="126">
        <v>12</v>
      </c>
      <c r="X34" s="126" t="s">
        <v>35</v>
      </c>
      <c r="Y34" s="126" t="s">
        <v>64</v>
      </c>
      <c r="Z34" s="126" t="s">
        <v>86</v>
      </c>
      <c r="AA34" s="126" t="s">
        <v>43</v>
      </c>
      <c r="AB34" s="126" t="s">
        <v>194</v>
      </c>
    </row>
    <row r="35" spans="1:28" x14ac:dyDescent="0.15">
      <c r="A35" s="126" t="s">
        <v>40</v>
      </c>
      <c r="B35" s="126" t="s">
        <v>190</v>
      </c>
      <c r="C35" s="126">
        <v>2020</v>
      </c>
      <c r="D35" s="127" t="s">
        <v>339</v>
      </c>
      <c r="E35" s="126" t="s">
        <v>354</v>
      </c>
      <c r="F35" s="126" t="s">
        <v>355</v>
      </c>
      <c r="G35" s="126" t="s">
        <v>25</v>
      </c>
      <c r="H35" s="126" t="s">
        <v>167</v>
      </c>
      <c r="I35" s="126" t="s">
        <v>111</v>
      </c>
      <c r="J35" s="80" t="s">
        <v>27</v>
      </c>
      <c r="K35" s="80" t="s">
        <v>112</v>
      </c>
      <c r="L35" s="126">
        <v>1</v>
      </c>
      <c r="N35" s="126">
        <v>2</v>
      </c>
      <c r="O35" s="126">
        <v>0.25</v>
      </c>
      <c r="P35" s="126">
        <v>0.25</v>
      </c>
      <c r="Q35" s="158">
        <f t="shared" si="0"/>
        <v>0.25</v>
      </c>
      <c r="R35" s="126">
        <v>17.8</v>
      </c>
      <c r="S35" s="126">
        <v>170</v>
      </c>
      <c r="T35" s="159">
        <f t="shared" si="1"/>
        <v>18</v>
      </c>
      <c r="U35" s="126">
        <v>398</v>
      </c>
      <c r="V35" s="160">
        <f t="shared" si="2"/>
        <v>3582</v>
      </c>
      <c r="W35" s="126">
        <v>12</v>
      </c>
      <c r="X35" s="126" t="s">
        <v>35</v>
      </c>
      <c r="Y35" s="126" t="s">
        <v>64</v>
      </c>
      <c r="Z35" s="126" t="s">
        <v>86</v>
      </c>
      <c r="AA35" s="126" t="s">
        <v>43</v>
      </c>
      <c r="AB35" s="126" t="s">
        <v>194</v>
      </c>
    </row>
    <row r="36" spans="1:28" x14ac:dyDescent="0.15">
      <c r="A36" s="126" t="s">
        <v>40</v>
      </c>
      <c r="B36" s="126" t="s">
        <v>190</v>
      </c>
      <c r="C36" s="126">
        <v>2020</v>
      </c>
      <c r="D36" s="127" t="s">
        <v>339</v>
      </c>
      <c r="E36" s="126" t="s">
        <v>354</v>
      </c>
      <c r="F36" s="126" t="s">
        <v>355</v>
      </c>
      <c r="G36" s="126" t="s">
        <v>25</v>
      </c>
      <c r="H36" s="126" t="s">
        <v>167</v>
      </c>
      <c r="I36" s="126" t="s">
        <v>111</v>
      </c>
      <c r="J36" s="80" t="s">
        <v>27</v>
      </c>
      <c r="K36" s="80" t="s">
        <v>112</v>
      </c>
      <c r="L36" s="126">
        <v>2</v>
      </c>
      <c r="N36" s="126">
        <v>2</v>
      </c>
      <c r="O36" s="126">
        <v>0.6</v>
      </c>
      <c r="P36" s="126">
        <v>0.55000000000000004</v>
      </c>
      <c r="Q36" s="158">
        <f t="shared" si="0"/>
        <v>0.57499999999999996</v>
      </c>
      <c r="R36" s="126">
        <v>17.5</v>
      </c>
      <c r="S36" s="126">
        <v>154</v>
      </c>
      <c r="T36" s="159">
        <f t="shared" si="1"/>
        <v>18</v>
      </c>
      <c r="U36" s="126">
        <v>398</v>
      </c>
      <c r="V36" s="160">
        <f t="shared" si="2"/>
        <v>3582</v>
      </c>
      <c r="W36" s="126">
        <v>12</v>
      </c>
      <c r="X36" s="126" t="s">
        <v>35</v>
      </c>
      <c r="Y36" s="126" t="s">
        <v>64</v>
      </c>
      <c r="Z36" s="126" t="s">
        <v>86</v>
      </c>
      <c r="AA36" s="126" t="s">
        <v>43</v>
      </c>
      <c r="AB36" s="126" t="s">
        <v>194</v>
      </c>
    </row>
    <row r="37" spans="1:28" x14ac:dyDescent="0.15">
      <c r="A37" s="126" t="s">
        <v>40</v>
      </c>
      <c r="B37" s="126" t="s">
        <v>190</v>
      </c>
      <c r="C37" s="126">
        <v>2020</v>
      </c>
      <c r="D37" s="127" t="s">
        <v>339</v>
      </c>
      <c r="E37" s="126" t="s">
        <v>354</v>
      </c>
      <c r="F37" s="126" t="s">
        <v>355</v>
      </c>
      <c r="G37" s="126" t="s">
        <v>25</v>
      </c>
      <c r="H37" s="126" t="s">
        <v>167</v>
      </c>
      <c r="I37" s="126" t="s">
        <v>111</v>
      </c>
      <c r="J37" s="80" t="s">
        <v>27</v>
      </c>
      <c r="K37" s="80" t="s">
        <v>112</v>
      </c>
      <c r="L37" s="126">
        <v>3</v>
      </c>
      <c r="N37" s="126">
        <v>2</v>
      </c>
      <c r="O37" s="126">
        <v>0.25</v>
      </c>
      <c r="P37" s="126">
        <v>0.55000000000000004</v>
      </c>
      <c r="Q37" s="158">
        <f t="shared" si="0"/>
        <v>0.4</v>
      </c>
      <c r="R37" s="126">
        <v>18.100000000000001</v>
      </c>
      <c r="S37" s="126">
        <v>174</v>
      </c>
      <c r="T37" s="159">
        <f t="shared" si="1"/>
        <v>18</v>
      </c>
      <c r="U37" s="126">
        <v>398</v>
      </c>
      <c r="V37" s="160">
        <f t="shared" si="2"/>
        <v>3582</v>
      </c>
      <c r="W37" s="126">
        <v>12</v>
      </c>
      <c r="X37" s="126" t="s">
        <v>35</v>
      </c>
      <c r="Y37" s="126" t="s">
        <v>64</v>
      </c>
      <c r="Z37" s="126" t="s">
        <v>86</v>
      </c>
      <c r="AA37" s="126" t="s">
        <v>43</v>
      </c>
      <c r="AB37" s="126" t="s">
        <v>194</v>
      </c>
    </row>
    <row r="38" spans="1:28" x14ac:dyDescent="0.15">
      <c r="A38" s="126" t="s">
        <v>40</v>
      </c>
      <c r="B38" s="126" t="s">
        <v>190</v>
      </c>
      <c r="C38" s="126">
        <v>2020</v>
      </c>
      <c r="D38" s="127" t="s">
        <v>339</v>
      </c>
      <c r="E38" s="126" t="s">
        <v>354</v>
      </c>
      <c r="F38" s="126" t="s">
        <v>355</v>
      </c>
      <c r="G38" s="126" t="s">
        <v>25</v>
      </c>
      <c r="H38" s="126" t="s">
        <v>167</v>
      </c>
      <c r="I38" s="126" t="s">
        <v>111</v>
      </c>
      <c r="J38" s="80" t="s">
        <v>27</v>
      </c>
      <c r="K38" s="80" t="s">
        <v>112</v>
      </c>
      <c r="L38" s="126">
        <v>1</v>
      </c>
      <c r="N38" s="126">
        <v>6</v>
      </c>
      <c r="O38" s="126">
        <v>0.65</v>
      </c>
      <c r="P38" s="126">
        <v>0.65</v>
      </c>
      <c r="Q38" s="158">
        <f t="shared" si="0"/>
        <v>0.65</v>
      </c>
      <c r="R38" s="126">
        <v>17.899999999999999</v>
      </c>
      <c r="S38" s="126">
        <v>150</v>
      </c>
      <c r="T38" s="159">
        <f t="shared" si="1"/>
        <v>22</v>
      </c>
      <c r="U38" s="126">
        <v>980</v>
      </c>
      <c r="V38" s="160">
        <f t="shared" si="2"/>
        <v>3593.3333333333335</v>
      </c>
      <c r="W38" s="126">
        <v>12</v>
      </c>
      <c r="X38" s="126" t="s">
        <v>35</v>
      </c>
      <c r="Y38" s="126" t="s">
        <v>64</v>
      </c>
      <c r="Z38" s="126" t="s">
        <v>86</v>
      </c>
      <c r="AA38" s="126" t="s">
        <v>43</v>
      </c>
      <c r="AB38" s="126" t="s">
        <v>194</v>
      </c>
    </row>
    <row r="39" spans="1:28" x14ac:dyDescent="0.15">
      <c r="A39" s="126" t="s">
        <v>40</v>
      </c>
      <c r="B39" s="126" t="s">
        <v>190</v>
      </c>
      <c r="C39" s="126">
        <v>2020</v>
      </c>
      <c r="D39" s="127" t="s">
        <v>339</v>
      </c>
      <c r="E39" s="126" t="s">
        <v>354</v>
      </c>
      <c r="F39" s="126" t="s">
        <v>355</v>
      </c>
      <c r="G39" s="126" t="s">
        <v>25</v>
      </c>
      <c r="H39" s="126" t="s">
        <v>167</v>
      </c>
      <c r="I39" s="126" t="s">
        <v>111</v>
      </c>
      <c r="J39" s="80" t="s">
        <v>27</v>
      </c>
      <c r="K39" s="80" t="s">
        <v>112</v>
      </c>
      <c r="L39" s="126">
        <v>2</v>
      </c>
      <c r="N39" s="126">
        <v>6</v>
      </c>
      <c r="O39" s="126">
        <v>0.7</v>
      </c>
      <c r="P39" s="126">
        <v>0.65</v>
      </c>
      <c r="Q39" s="158">
        <f t="shared" si="0"/>
        <v>0.67500000000000004</v>
      </c>
      <c r="R39" s="126">
        <v>18.2</v>
      </c>
      <c r="S39" s="126">
        <v>158</v>
      </c>
      <c r="T39" s="159">
        <f t="shared" si="1"/>
        <v>18</v>
      </c>
      <c r="U39" s="126">
        <v>980</v>
      </c>
      <c r="V39" s="160">
        <f t="shared" si="2"/>
        <v>2940</v>
      </c>
      <c r="W39" s="126">
        <v>12</v>
      </c>
      <c r="X39" s="126" t="s">
        <v>35</v>
      </c>
      <c r="Y39" s="126" t="s">
        <v>64</v>
      </c>
      <c r="Z39" s="126" t="s">
        <v>86</v>
      </c>
      <c r="AA39" s="126" t="s">
        <v>43</v>
      </c>
      <c r="AB39" s="126" t="s">
        <v>194</v>
      </c>
    </row>
    <row r="40" spans="1:28" x14ac:dyDescent="0.15">
      <c r="A40" s="126" t="s">
        <v>40</v>
      </c>
      <c r="B40" s="126" t="s">
        <v>190</v>
      </c>
      <c r="C40" s="126">
        <v>2020</v>
      </c>
      <c r="D40" s="127" t="s">
        <v>339</v>
      </c>
      <c r="E40" s="126" t="s">
        <v>354</v>
      </c>
      <c r="F40" s="126" t="s">
        <v>355</v>
      </c>
      <c r="G40" s="126" t="s">
        <v>25</v>
      </c>
      <c r="H40" s="126" t="s">
        <v>167</v>
      </c>
      <c r="I40" s="126" t="s">
        <v>111</v>
      </c>
      <c r="J40" s="80" t="s">
        <v>27</v>
      </c>
      <c r="K40" s="80" t="s">
        <v>112</v>
      </c>
      <c r="L40" s="126">
        <v>3</v>
      </c>
      <c r="N40" s="126">
        <v>6</v>
      </c>
      <c r="O40" s="126">
        <v>0.6</v>
      </c>
      <c r="P40" s="126">
        <v>0.7</v>
      </c>
      <c r="Q40" s="158">
        <f t="shared" si="0"/>
        <v>0.64999999999999991</v>
      </c>
      <c r="R40" s="126">
        <v>17.5</v>
      </c>
      <c r="S40" s="126">
        <v>146</v>
      </c>
      <c r="T40" s="159">
        <f t="shared" si="1"/>
        <v>22</v>
      </c>
      <c r="U40" s="126">
        <v>980</v>
      </c>
      <c r="V40" s="160">
        <f t="shared" si="2"/>
        <v>3593.3333333333335</v>
      </c>
      <c r="W40" s="126">
        <v>12</v>
      </c>
      <c r="X40" s="126" t="s">
        <v>35</v>
      </c>
      <c r="Y40" s="126" t="s">
        <v>64</v>
      </c>
      <c r="Z40" s="126" t="s">
        <v>86</v>
      </c>
      <c r="AA40" s="126" t="s">
        <v>43</v>
      </c>
      <c r="AB40" s="126" t="s">
        <v>194</v>
      </c>
    </row>
    <row r="41" spans="1:28" x14ac:dyDescent="0.15">
      <c r="A41" s="126" t="s">
        <v>40</v>
      </c>
      <c r="B41" s="126" t="s">
        <v>190</v>
      </c>
      <c r="C41" s="126">
        <v>2020</v>
      </c>
      <c r="D41" s="127" t="s">
        <v>339</v>
      </c>
      <c r="E41" s="126" t="s">
        <v>169</v>
      </c>
      <c r="F41" s="126" t="s">
        <v>347</v>
      </c>
      <c r="G41" s="126" t="s">
        <v>25</v>
      </c>
      <c r="H41" s="126" t="s">
        <v>113</v>
      </c>
      <c r="I41" s="126" t="s">
        <v>111</v>
      </c>
      <c r="J41" s="80" t="s">
        <v>27</v>
      </c>
      <c r="K41" s="80" t="s">
        <v>112</v>
      </c>
      <c r="L41" s="126">
        <v>1</v>
      </c>
      <c r="N41" s="126">
        <v>1</v>
      </c>
      <c r="O41" s="126">
        <v>0.8</v>
      </c>
      <c r="P41" s="126">
        <v>0.85</v>
      </c>
      <c r="Q41" s="158">
        <f t="shared" si="0"/>
        <v>0.82499999999999996</v>
      </c>
      <c r="R41" s="126">
        <v>16.399999999999999</v>
      </c>
      <c r="S41" s="126">
        <v>128</v>
      </c>
      <c r="T41" s="159">
        <f t="shared" si="1"/>
        <v>27</v>
      </c>
      <c r="U41" s="126">
        <v>138</v>
      </c>
      <c r="V41" s="160">
        <f t="shared" si="2"/>
        <v>3726</v>
      </c>
      <c r="W41" s="126">
        <v>9</v>
      </c>
      <c r="X41" s="126" t="s">
        <v>35</v>
      </c>
      <c r="Y41" s="126" t="s">
        <v>64</v>
      </c>
      <c r="Z41" s="126" t="s">
        <v>86</v>
      </c>
      <c r="AA41" s="126" t="s">
        <v>55</v>
      </c>
      <c r="AB41" s="126" t="s">
        <v>194</v>
      </c>
    </row>
    <row r="42" spans="1:28" x14ac:dyDescent="0.15">
      <c r="A42" s="126" t="s">
        <v>40</v>
      </c>
      <c r="B42" s="126" t="s">
        <v>190</v>
      </c>
      <c r="C42" s="126">
        <v>2020</v>
      </c>
      <c r="D42" s="127" t="s">
        <v>339</v>
      </c>
      <c r="E42" s="126" t="s">
        <v>169</v>
      </c>
      <c r="F42" s="126" t="s">
        <v>347</v>
      </c>
      <c r="G42" s="126" t="s">
        <v>25</v>
      </c>
      <c r="H42" s="126" t="s">
        <v>113</v>
      </c>
      <c r="I42" s="126" t="s">
        <v>111</v>
      </c>
      <c r="J42" s="80" t="s">
        <v>27</v>
      </c>
      <c r="K42" s="80" t="s">
        <v>112</v>
      </c>
      <c r="L42" s="126">
        <v>2</v>
      </c>
      <c r="N42" s="126">
        <v>1</v>
      </c>
      <c r="O42" s="126">
        <v>0.8</v>
      </c>
      <c r="P42" s="126">
        <v>0.8</v>
      </c>
      <c r="Q42" s="158">
        <f t="shared" si="0"/>
        <v>0.8</v>
      </c>
      <c r="R42" s="126">
        <v>16.600000000000001</v>
      </c>
      <c r="S42" s="126">
        <v>130</v>
      </c>
      <c r="T42" s="159">
        <f t="shared" si="1"/>
        <v>25</v>
      </c>
      <c r="U42" s="126">
        <v>138</v>
      </c>
      <c r="V42" s="160">
        <f t="shared" si="2"/>
        <v>3450</v>
      </c>
      <c r="W42" s="126">
        <v>9</v>
      </c>
      <c r="X42" s="126" t="s">
        <v>35</v>
      </c>
      <c r="Y42" s="126" t="s">
        <v>64</v>
      </c>
      <c r="Z42" s="126" t="s">
        <v>86</v>
      </c>
      <c r="AA42" s="126" t="s">
        <v>55</v>
      </c>
      <c r="AB42" s="126" t="s">
        <v>194</v>
      </c>
    </row>
    <row r="43" spans="1:28" x14ac:dyDescent="0.15">
      <c r="A43" s="126" t="s">
        <v>40</v>
      </c>
      <c r="B43" s="126" t="s">
        <v>190</v>
      </c>
      <c r="C43" s="126">
        <v>2020</v>
      </c>
      <c r="D43" s="127" t="s">
        <v>339</v>
      </c>
      <c r="E43" s="126" t="s">
        <v>169</v>
      </c>
      <c r="F43" s="126" t="s">
        <v>347</v>
      </c>
      <c r="G43" s="126" t="s">
        <v>25</v>
      </c>
      <c r="H43" s="126" t="s">
        <v>113</v>
      </c>
      <c r="I43" s="126" t="s">
        <v>111</v>
      </c>
      <c r="J43" s="80" t="s">
        <v>27</v>
      </c>
      <c r="K43" s="80" t="s">
        <v>112</v>
      </c>
      <c r="L43" s="126">
        <v>3</v>
      </c>
      <c r="N43" s="126">
        <v>1</v>
      </c>
      <c r="O43" s="126">
        <v>0.75</v>
      </c>
      <c r="P43" s="126">
        <v>0.7</v>
      </c>
      <c r="Q43" s="158">
        <f t="shared" si="0"/>
        <v>0.72499999999999998</v>
      </c>
      <c r="R43" s="126">
        <v>17.3</v>
      </c>
      <c r="S43" s="126">
        <v>138</v>
      </c>
      <c r="T43" s="159">
        <f t="shared" si="1"/>
        <v>22</v>
      </c>
      <c r="U43" s="126">
        <v>138</v>
      </c>
      <c r="V43" s="160">
        <f t="shared" si="2"/>
        <v>3036</v>
      </c>
      <c r="W43" s="126">
        <v>9</v>
      </c>
      <c r="X43" s="126" t="s">
        <v>35</v>
      </c>
      <c r="Y43" s="126" t="s">
        <v>64</v>
      </c>
      <c r="Z43" s="126" t="s">
        <v>86</v>
      </c>
      <c r="AA43" s="126" t="s">
        <v>55</v>
      </c>
      <c r="AB43" s="126" t="s">
        <v>194</v>
      </c>
    </row>
    <row r="44" spans="1:28" x14ac:dyDescent="0.15">
      <c r="A44" s="126" t="s">
        <v>40</v>
      </c>
      <c r="B44" s="126" t="s">
        <v>190</v>
      </c>
      <c r="C44" s="126">
        <v>2020</v>
      </c>
      <c r="D44" s="127" t="s">
        <v>339</v>
      </c>
      <c r="E44" s="126" t="s">
        <v>169</v>
      </c>
      <c r="F44" s="126" t="s">
        <v>347</v>
      </c>
      <c r="G44" s="126" t="s">
        <v>25</v>
      </c>
      <c r="H44" s="126" t="s">
        <v>113</v>
      </c>
      <c r="I44" s="126" t="s">
        <v>111</v>
      </c>
      <c r="J44" s="80" t="s">
        <v>27</v>
      </c>
      <c r="K44" s="80" t="s">
        <v>112</v>
      </c>
      <c r="L44" s="126">
        <v>1</v>
      </c>
      <c r="N44" s="126">
        <v>5</v>
      </c>
      <c r="O44" s="126">
        <v>0.7</v>
      </c>
      <c r="P44" s="126">
        <v>0.7</v>
      </c>
      <c r="Q44" s="158">
        <f t="shared" si="0"/>
        <v>0.7</v>
      </c>
      <c r="R44" s="126">
        <v>15.2</v>
      </c>
      <c r="S44" s="126">
        <v>89</v>
      </c>
      <c r="T44" s="159">
        <f t="shared" si="1"/>
        <v>36</v>
      </c>
      <c r="U44" s="126">
        <v>398</v>
      </c>
      <c r="V44" s="160">
        <f t="shared" si="2"/>
        <v>2865.6</v>
      </c>
      <c r="W44" s="126">
        <v>9</v>
      </c>
      <c r="X44" s="126" t="s">
        <v>35</v>
      </c>
      <c r="Y44" s="126" t="s">
        <v>64</v>
      </c>
      <c r="Z44" s="126" t="s">
        <v>86</v>
      </c>
      <c r="AA44" s="126" t="s">
        <v>55</v>
      </c>
      <c r="AB44" s="126" t="s">
        <v>194</v>
      </c>
    </row>
    <row r="45" spans="1:28" x14ac:dyDescent="0.15">
      <c r="A45" s="126" t="s">
        <v>40</v>
      </c>
      <c r="B45" s="126" t="s">
        <v>190</v>
      </c>
      <c r="C45" s="126">
        <v>2020</v>
      </c>
      <c r="D45" s="127" t="s">
        <v>339</v>
      </c>
      <c r="E45" s="126" t="s">
        <v>169</v>
      </c>
      <c r="F45" s="126" t="s">
        <v>347</v>
      </c>
      <c r="G45" s="126" t="s">
        <v>25</v>
      </c>
      <c r="H45" s="126" t="s">
        <v>113</v>
      </c>
      <c r="I45" s="126" t="s">
        <v>111</v>
      </c>
      <c r="J45" s="80" t="s">
        <v>27</v>
      </c>
      <c r="K45" s="80" t="s">
        <v>112</v>
      </c>
      <c r="L45" s="126">
        <v>2</v>
      </c>
      <c r="N45" s="126">
        <v>5</v>
      </c>
      <c r="O45" s="126">
        <v>0.75</v>
      </c>
      <c r="P45" s="126">
        <v>0.65</v>
      </c>
      <c r="Q45" s="158">
        <f t="shared" si="0"/>
        <v>0.7</v>
      </c>
      <c r="R45" s="126">
        <v>15.7</v>
      </c>
      <c r="S45" s="126">
        <v>92</v>
      </c>
      <c r="T45" s="159">
        <f t="shared" si="1"/>
        <v>36</v>
      </c>
      <c r="U45" s="126">
        <v>398</v>
      </c>
      <c r="V45" s="160">
        <f t="shared" si="2"/>
        <v>2865.6</v>
      </c>
      <c r="W45" s="126">
        <v>9</v>
      </c>
      <c r="X45" s="126" t="s">
        <v>35</v>
      </c>
      <c r="Y45" s="126" t="s">
        <v>64</v>
      </c>
      <c r="Z45" s="126" t="s">
        <v>86</v>
      </c>
      <c r="AA45" s="126" t="s">
        <v>55</v>
      </c>
      <c r="AB45" s="126" t="s">
        <v>194</v>
      </c>
    </row>
    <row r="46" spans="1:28" x14ac:dyDescent="0.15">
      <c r="A46" s="126" t="s">
        <v>40</v>
      </c>
      <c r="B46" s="126" t="s">
        <v>190</v>
      </c>
      <c r="C46" s="126">
        <v>2020</v>
      </c>
      <c r="D46" s="127" t="s">
        <v>339</v>
      </c>
      <c r="E46" s="126" t="s">
        <v>169</v>
      </c>
      <c r="F46" s="126" t="s">
        <v>347</v>
      </c>
      <c r="G46" s="126" t="s">
        <v>25</v>
      </c>
      <c r="H46" s="126" t="s">
        <v>113</v>
      </c>
      <c r="I46" s="126" t="s">
        <v>111</v>
      </c>
      <c r="J46" s="80" t="s">
        <v>27</v>
      </c>
      <c r="K46" s="80" t="s">
        <v>112</v>
      </c>
      <c r="L46" s="126">
        <v>3</v>
      </c>
      <c r="N46" s="126">
        <v>5</v>
      </c>
      <c r="O46" s="126">
        <v>0.75</v>
      </c>
      <c r="P46" s="126">
        <v>0.75</v>
      </c>
      <c r="Q46" s="158">
        <f t="shared" si="0"/>
        <v>0.75</v>
      </c>
      <c r="R46" s="126">
        <v>14.3</v>
      </c>
      <c r="S46" s="126">
        <v>84</v>
      </c>
      <c r="T46" s="159">
        <f t="shared" si="1"/>
        <v>36</v>
      </c>
      <c r="U46" s="126">
        <v>398</v>
      </c>
      <c r="V46" s="160">
        <f t="shared" si="2"/>
        <v>2865.6</v>
      </c>
      <c r="W46" s="126">
        <v>9</v>
      </c>
      <c r="X46" s="126" t="s">
        <v>35</v>
      </c>
      <c r="Y46" s="126" t="s">
        <v>64</v>
      </c>
      <c r="Z46" s="126" t="s">
        <v>86</v>
      </c>
      <c r="AA46" s="126" t="s">
        <v>55</v>
      </c>
      <c r="AB46" s="126" t="s">
        <v>194</v>
      </c>
    </row>
    <row r="47" spans="1:28" x14ac:dyDescent="0.15">
      <c r="A47" s="126" t="s">
        <v>40</v>
      </c>
      <c r="B47" s="126" t="s">
        <v>190</v>
      </c>
      <c r="C47" s="126">
        <v>2020</v>
      </c>
      <c r="D47" s="127" t="s">
        <v>339</v>
      </c>
      <c r="E47" s="126" t="s">
        <v>169</v>
      </c>
      <c r="F47" s="126" t="s">
        <v>347</v>
      </c>
      <c r="G47" s="126" t="s">
        <v>25</v>
      </c>
      <c r="H47" s="126" t="s">
        <v>113</v>
      </c>
      <c r="I47" s="126" t="s">
        <v>172</v>
      </c>
      <c r="J47" s="80" t="s">
        <v>27</v>
      </c>
      <c r="K47" s="80" t="s">
        <v>112</v>
      </c>
      <c r="L47" s="126">
        <v>1</v>
      </c>
      <c r="N47" s="126">
        <v>2</v>
      </c>
      <c r="O47" s="126">
        <v>0.25</v>
      </c>
      <c r="P47" s="126">
        <v>0.25</v>
      </c>
      <c r="Q47" s="158">
        <f t="shared" si="0"/>
        <v>0.25</v>
      </c>
      <c r="R47" s="126">
        <v>13.8</v>
      </c>
      <c r="S47" s="126">
        <v>122</v>
      </c>
      <c r="T47" s="159">
        <f t="shared" si="1"/>
        <v>27</v>
      </c>
      <c r="U47" s="126">
        <v>298</v>
      </c>
      <c r="V47" s="160">
        <f t="shared" si="2"/>
        <v>4023</v>
      </c>
      <c r="W47" s="126">
        <v>9</v>
      </c>
      <c r="X47" s="126" t="s">
        <v>35</v>
      </c>
      <c r="Y47" s="126" t="s">
        <v>64</v>
      </c>
      <c r="Z47" s="126" t="s">
        <v>86</v>
      </c>
      <c r="AA47" s="126" t="s">
        <v>55</v>
      </c>
      <c r="AB47" s="126" t="s">
        <v>194</v>
      </c>
    </row>
    <row r="48" spans="1:28" x14ac:dyDescent="0.15">
      <c r="A48" s="126" t="s">
        <v>40</v>
      </c>
      <c r="B48" s="126" t="s">
        <v>190</v>
      </c>
      <c r="C48" s="126">
        <v>2020</v>
      </c>
      <c r="D48" s="127" t="s">
        <v>339</v>
      </c>
      <c r="E48" s="126" t="s">
        <v>169</v>
      </c>
      <c r="F48" s="126" t="s">
        <v>347</v>
      </c>
      <c r="G48" s="126" t="s">
        <v>25</v>
      </c>
      <c r="H48" s="126" t="s">
        <v>113</v>
      </c>
      <c r="I48" s="126" t="s">
        <v>172</v>
      </c>
      <c r="J48" s="80" t="s">
        <v>27</v>
      </c>
      <c r="K48" s="80" t="s">
        <v>112</v>
      </c>
      <c r="L48" s="126">
        <v>2</v>
      </c>
      <c r="N48" s="126">
        <v>2</v>
      </c>
      <c r="O48" s="126">
        <v>0.25</v>
      </c>
      <c r="P48" s="126">
        <v>0.25</v>
      </c>
      <c r="Q48" s="158">
        <f t="shared" si="0"/>
        <v>0.25</v>
      </c>
      <c r="R48" s="126">
        <v>14.4</v>
      </c>
      <c r="S48" s="126">
        <v>122</v>
      </c>
      <c r="T48" s="159">
        <f t="shared" si="1"/>
        <v>27</v>
      </c>
      <c r="U48" s="126">
        <v>298</v>
      </c>
      <c r="V48" s="160">
        <f t="shared" si="2"/>
        <v>4023</v>
      </c>
      <c r="W48" s="126">
        <v>9</v>
      </c>
      <c r="X48" s="126" t="s">
        <v>35</v>
      </c>
      <c r="Y48" s="126" t="s">
        <v>64</v>
      </c>
      <c r="Z48" s="126" t="s">
        <v>86</v>
      </c>
      <c r="AA48" s="126" t="s">
        <v>55</v>
      </c>
      <c r="AB48" s="126" t="s">
        <v>194</v>
      </c>
    </row>
    <row r="49" spans="1:28" x14ac:dyDescent="0.15">
      <c r="A49" s="126" t="s">
        <v>40</v>
      </c>
      <c r="B49" s="126" t="s">
        <v>190</v>
      </c>
      <c r="C49" s="126">
        <v>2020</v>
      </c>
      <c r="D49" s="127" t="s">
        <v>339</v>
      </c>
      <c r="E49" s="126" t="s">
        <v>169</v>
      </c>
      <c r="F49" s="126" t="s">
        <v>347</v>
      </c>
      <c r="G49" s="126" t="s">
        <v>25</v>
      </c>
      <c r="H49" s="126" t="s">
        <v>113</v>
      </c>
      <c r="I49" s="126" t="s">
        <v>172</v>
      </c>
      <c r="J49" s="80" t="s">
        <v>27</v>
      </c>
      <c r="K49" s="80" t="s">
        <v>112</v>
      </c>
      <c r="L49" s="126">
        <v>3</v>
      </c>
      <c r="N49" s="126">
        <v>2</v>
      </c>
      <c r="O49" s="126">
        <v>0.25</v>
      </c>
      <c r="P49" s="126">
        <v>0.25</v>
      </c>
      <c r="Q49" s="158">
        <f t="shared" si="0"/>
        <v>0.25</v>
      </c>
      <c r="R49" s="126">
        <v>14.6</v>
      </c>
      <c r="S49" s="126">
        <v>120</v>
      </c>
      <c r="T49" s="159">
        <f t="shared" si="1"/>
        <v>30</v>
      </c>
      <c r="U49" s="126">
        <v>298</v>
      </c>
      <c r="V49" s="160">
        <f t="shared" si="2"/>
        <v>4470</v>
      </c>
      <c r="W49" s="126">
        <v>9</v>
      </c>
      <c r="X49" s="126" t="s">
        <v>35</v>
      </c>
      <c r="Y49" s="126" t="s">
        <v>64</v>
      </c>
      <c r="Z49" s="126" t="s">
        <v>86</v>
      </c>
      <c r="AA49" s="126" t="s">
        <v>55</v>
      </c>
      <c r="AB49" s="126" t="s">
        <v>194</v>
      </c>
    </row>
    <row r="50" spans="1:28" x14ac:dyDescent="0.15">
      <c r="A50" s="126" t="s">
        <v>40</v>
      </c>
      <c r="B50" s="126" t="s">
        <v>190</v>
      </c>
      <c r="C50" s="126">
        <v>2020</v>
      </c>
      <c r="D50" s="127" t="s">
        <v>339</v>
      </c>
      <c r="E50" s="126" t="s">
        <v>169</v>
      </c>
      <c r="F50" s="126" t="s">
        <v>347</v>
      </c>
      <c r="G50" s="126" t="s">
        <v>25</v>
      </c>
      <c r="H50" s="126" t="s">
        <v>167</v>
      </c>
      <c r="I50" s="126" t="s">
        <v>111</v>
      </c>
      <c r="J50" s="80" t="s">
        <v>27</v>
      </c>
      <c r="K50" s="80" t="s">
        <v>112</v>
      </c>
      <c r="L50" s="126">
        <v>1</v>
      </c>
      <c r="N50" s="126">
        <v>1</v>
      </c>
      <c r="O50" s="126">
        <v>0.75</v>
      </c>
      <c r="P50" s="126">
        <v>0.8</v>
      </c>
      <c r="Q50" s="158">
        <f t="shared" si="0"/>
        <v>0.77500000000000002</v>
      </c>
      <c r="R50" s="126">
        <v>17.5</v>
      </c>
      <c r="S50" s="126">
        <v>124</v>
      </c>
      <c r="T50" s="159">
        <f t="shared" si="1"/>
        <v>27</v>
      </c>
      <c r="U50" s="126">
        <v>138</v>
      </c>
      <c r="V50" s="160">
        <f t="shared" si="2"/>
        <v>3726</v>
      </c>
      <c r="W50" s="126">
        <v>9</v>
      </c>
      <c r="X50" s="126" t="s">
        <v>35</v>
      </c>
      <c r="Y50" s="126" t="s">
        <v>64</v>
      </c>
      <c r="Z50" s="126" t="s">
        <v>86</v>
      </c>
      <c r="AA50" s="126" t="s">
        <v>55</v>
      </c>
      <c r="AB50" s="126" t="s">
        <v>194</v>
      </c>
    </row>
    <row r="51" spans="1:28" x14ac:dyDescent="0.15">
      <c r="A51" s="126" t="s">
        <v>40</v>
      </c>
      <c r="B51" s="126" t="s">
        <v>190</v>
      </c>
      <c r="C51" s="126">
        <v>2020</v>
      </c>
      <c r="D51" s="127" t="s">
        <v>339</v>
      </c>
      <c r="E51" s="126" t="s">
        <v>169</v>
      </c>
      <c r="F51" s="126" t="s">
        <v>347</v>
      </c>
      <c r="G51" s="126" t="s">
        <v>25</v>
      </c>
      <c r="H51" s="126" t="s">
        <v>167</v>
      </c>
      <c r="I51" s="126" t="s">
        <v>111</v>
      </c>
      <c r="J51" s="80" t="s">
        <v>27</v>
      </c>
      <c r="K51" s="80" t="s">
        <v>112</v>
      </c>
      <c r="L51" s="126">
        <v>2</v>
      </c>
      <c r="N51" s="126">
        <v>1</v>
      </c>
      <c r="O51" s="126">
        <v>0.7</v>
      </c>
      <c r="P51" s="126">
        <v>0.7</v>
      </c>
      <c r="Q51" s="158">
        <f t="shared" si="0"/>
        <v>0.7</v>
      </c>
      <c r="R51" s="126">
        <v>17.8</v>
      </c>
      <c r="S51" s="126">
        <v>126</v>
      </c>
      <c r="T51" s="159">
        <f t="shared" si="1"/>
        <v>27</v>
      </c>
      <c r="U51" s="126">
        <v>138</v>
      </c>
      <c r="V51" s="160">
        <f t="shared" si="2"/>
        <v>3726</v>
      </c>
      <c r="W51" s="126">
        <v>9</v>
      </c>
      <c r="X51" s="126" t="s">
        <v>35</v>
      </c>
      <c r="Y51" s="126" t="s">
        <v>64</v>
      </c>
      <c r="Z51" s="126" t="s">
        <v>86</v>
      </c>
      <c r="AA51" s="126" t="s">
        <v>55</v>
      </c>
      <c r="AB51" s="126" t="s">
        <v>194</v>
      </c>
    </row>
    <row r="52" spans="1:28" x14ac:dyDescent="0.15">
      <c r="A52" s="126" t="s">
        <v>40</v>
      </c>
      <c r="B52" s="126" t="s">
        <v>190</v>
      </c>
      <c r="C52" s="126">
        <v>2020</v>
      </c>
      <c r="D52" s="127" t="s">
        <v>339</v>
      </c>
      <c r="E52" s="126" t="s">
        <v>169</v>
      </c>
      <c r="F52" s="126" t="s">
        <v>347</v>
      </c>
      <c r="G52" s="126" t="s">
        <v>25</v>
      </c>
      <c r="H52" s="126" t="s">
        <v>167</v>
      </c>
      <c r="I52" s="126" t="s">
        <v>111</v>
      </c>
      <c r="J52" s="80" t="s">
        <v>27</v>
      </c>
      <c r="K52" s="80" t="s">
        <v>112</v>
      </c>
      <c r="L52" s="126">
        <v>3</v>
      </c>
      <c r="N52" s="126">
        <v>1</v>
      </c>
      <c r="O52" s="126">
        <v>0.65</v>
      </c>
      <c r="P52" s="126">
        <v>0.75</v>
      </c>
      <c r="Q52" s="158">
        <f t="shared" si="0"/>
        <v>0.7</v>
      </c>
      <c r="R52" s="126">
        <v>18</v>
      </c>
      <c r="S52" s="126">
        <v>126</v>
      </c>
      <c r="T52" s="159">
        <f t="shared" si="1"/>
        <v>27</v>
      </c>
      <c r="U52" s="126">
        <v>138</v>
      </c>
      <c r="V52" s="160">
        <f t="shared" si="2"/>
        <v>3726</v>
      </c>
      <c r="W52" s="126">
        <v>9</v>
      </c>
      <c r="X52" s="126" t="s">
        <v>35</v>
      </c>
      <c r="Y52" s="126" t="s">
        <v>64</v>
      </c>
      <c r="Z52" s="126" t="s">
        <v>86</v>
      </c>
      <c r="AA52" s="126" t="s">
        <v>55</v>
      </c>
      <c r="AB52" s="126" t="s">
        <v>194</v>
      </c>
    </row>
    <row r="53" spans="1:28" x14ac:dyDescent="0.15">
      <c r="A53" s="126" t="s">
        <v>40</v>
      </c>
      <c r="B53" s="126" t="s">
        <v>190</v>
      </c>
      <c r="C53" s="126">
        <v>2020</v>
      </c>
      <c r="D53" s="127" t="s">
        <v>339</v>
      </c>
      <c r="E53" s="126" t="s">
        <v>169</v>
      </c>
      <c r="F53" s="126" t="s">
        <v>347</v>
      </c>
      <c r="G53" s="126" t="s">
        <v>25</v>
      </c>
      <c r="H53" s="126" t="s">
        <v>167</v>
      </c>
      <c r="I53" s="126" t="s">
        <v>111</v>
      </c>
      <c r="J53" s="80" t="s">
        <v>27</v>
      </c>
      <c r="K53" s="80" t="s">
        <v>112</v>
      </c>
      <c r="L53" s="126">
        <v>1</v>
      </c>
      <c r="N53" s="126">
        <v>4</v>
      </c>
      <c r="O53" s="126">
        <v>0.6</v>
      </c>
      <c r="P53" s="126">
        <v>0.55000000000000004</v>
      </c>
      <c r="Q53" s="158">
        <f t="shared" si="0"/>
        <v>0.57499999999999996</v>
      </c>
      <c r="R53" s="126">
        <v>17.399999999999999</v>
      </c>
      <c r="S53" s="126">
        <v>97</v>
      </c>
      <c r="T53" s="159">
        <f t="shared" si="1"/>
        <v>36</v>
      </c>
      <c r="U53" s="126">
        <v>498</v>
      </c>
      <c r="V53" s="160">
        <f t="shared" si="2"/>
        <v>4482</v>
      </c>
      <c r="W53" s="126">
        <v>9</v>
      </c>
      <c r="X53" s="126" t="s">
        <v>35</v>
      </c>
      <c r="Y53" s="126" t="s">
        <v>64</v>
      </c>
      <c r="Z53" s="126" t="s">
        <v>86</v>
      </c>
      <c r="AA53" s="126" t="s">
        <v>55</v>
      </c>
      <c r="AB53" s="126" t="s">
        <v>194</v>
      </c>
    </row>
    <row r="54" spans="1:28" x14ac:dyDescent="0.15">
      <c r="A54" s="126" t="s">
        <v>40</v>
      </c>
      <c r="B54" s="126" t="s">
        <v>190</v>
      </c>
      <c r="C54" s="126">
        <v>2020</v>
      </c>
      <c r="D54" s="127" t="s">
        <v>339</v>
      </c>
      <c r="E54" s="126" t="s">
        <v>169</v>
      </c>
      <c r="F54" s="126" t="s">
        <v>347</v>
      </c>
      <c r="G54" s="126" t="s">
        <v>25</v>
      </c>
      <c r="H54" s="126" t="s">
        <v>167</v>
      </c>
      <c r="I54" s="126" t="s">
        <v>111</v>
      </c>
      <c r="J54" s="80" t="s">
        <v>27</v>
      </c>
      <c r="K54" s="80" t="s">
        <v>112</v>
      </c>
      <c r="L54" s="126">
        <v>2</v>
      </c>
      <c r="N54" s="126">
        <v>4</v>
      </c>
      <c r="O54" s="126">
        <v>0.65</v>
      </c>
      <c r="P54" s="126">
        <v>0.65</v>
      </c>
      <c r="Q54" s="158">
        <f t="shared" si="0"/>
        <v>0.65</v>
      </c>
      <c r="R54" s="126">
        <v>16.899999999999999</v>
      </c>
      <c r="S54" s="126">
        <v>100</v>
      </c>
      <c r="T54" s="159">
        <f t="shared" si="1"/>
        <v>33</v>
      </c>
      <c r="U54" s="126">
        <v>498</v>
      </c>
      <c r="V54" s="160">
        <f t="shared" si="2"/>
        <v>4108.5</v>
      </c>
      <c r="W54" s="126">
        <v>9</v>
      </c>
      <c r="X54" s="126" t="s">
        <v>35</v>
      </c>
      <c r="Y54" s="126" t="s">
        <v>64</v>
      </c>
      <c r="Z54" s="126" t="s">
        <v>86</v>
      </c>
      <c r="AA54" s="126" t="s">
        <v>55</v>
      </c>
      <c r="AB54" s="126" t="s">
        <v>194</v>
      </c>
    </row>
    <row r="55" spans="1:28" x14ac:dyDescent="0.15">
      <c r="A55" s="126" t="s">
        <v>40</v>
      </c>
      <c r="B55" s="126" t="s">
        <v>190</v>
      </c>
      <c r="C55" s="126">
        <v>2020</v>
      </c>
      <c r="D55" s="127" t="s">
        <v>339</v>
      </c>
      <c r="E55" s="126" t="s">
        <v>169</v>
      </c>
      <c r="F55" s="126" t="s">
        <v>347</v>
      </c>
      <c r="G55" s="126" t="s">
        <v>25</v>
      </c>
      <c r="H55" s="126" t="s">
        <v>167</v>
      </c>
      <c r="I55" s="126" t="s">
        <v>111</v>
      </c>
      <c r="J55" s="80" t="s">
        <v>27</v>
      </c>
      <c r="K55" s="80" t="s">
        <v>112</v>
      </c>
      <c r="L55" s="126">
        <v>3</v>
      </c>
      <c r="N55" s="126">
        <v>4</v>
      </c>
      <c r="O55" s="126">
        <v>0.65</v>
      </c>
      <c r="P55" s="126">
        <v>0.7</v>
      </c>
      <c r="Q55" s="158">
        <f t="shared" si="0"/>
        <v>0.67500000000000004</v>
      </c>
      <c r="R55" s="126">
        <v>17.7</v>
      </c>
      <c r="S55" s="126">
        <v>102</v>
      </c>
      <c r="T55" s="159">
        <f t="shared" si="1"/>
        <v>33</v>
      </c>
      <c r="U55" s="126">
        <v>498</v>
      </c>
      <c r="V55" s="160">
        <f t="shared" si="2"/>
        <v>4108.5</v>
      </c>
      <c r="W55" s="126">
        <v>9</v>
      </c>
      <c r="X55" s="126" t="s">
        <v>35</v>
      </c>
      <c r="Y55" s="126" t="s">
        <v>64</v>
      </c>
      <c r="Z55" s="126" t="s">
        <v>86</v>
      </c>
      <c r="AA55" s="126" t="s">
        <v>55</v>
      </c>
      <c r="AB55" s="126" t="s">
        <v>194</v>
      </c>
    </row>
    <row r="56" spans="1:28" x14ac:dyDescent="0.15">
      <c r="A56" s="126" t="s">
        <v>40</v>
      </c>
      <c r="B56" s="126" t="s">
        <v>190</v>
      </c>
      <c r="C56" s="126">
        <v>2020</v>
      </c>
      <c r="D56" s="127" t="s">
        <v>339</v>
      </c>
      <c r="E56" s="126" t="s">
        <v>169</v>
      </c>
      <c r="F56" s="126" t="s">
        <v>347</v>
      </c>
      <c r="G56" s="126" t="s">
        <v>25</v>
      </c>
      <c r="H56" s="126" t="s">
        <v>167</v>
      </c>
      <c r="I56" s="126" t="s">
        <v>172</v>
      </c>
      <c r="J56" s="80" t="s">
        <v>27</v>
      </c>
      <c r="K56" s="80" t="s">
        <v>112</v>
      </c>
      <c r="L56" s="126">
        <v>1</v>
      </c>
      <c r="N56" s="126">
        <v>2</v>
      </c>
      <c r="O56" s="126">
        <v>0.7</v>
      </c>
      <c r="P56" s="126">
        <v>0.65</v>
      </c>
      <c r="Q56" s="158">
        <f t="shared" si="0"/>
        <v>0.67500000000000004</v>
      </c>
      <c r="R56" s="126">
        <v>17.5</v>
      </c>
      <c r="S56" s="126">
        <v>140</v>
      </c>
      <c r="T56" s="159">
        <f t="shared" si="1"/>
        <v>22</v>
      </c>
      <c r="U56" s="126">
        <v>398</v>
      </c>
      <c r="V56" s="160">
        <f t="shared" si="2"/>
        <v>4378</v>
      </c>
      <c r="W56" s="126">
        <v>9</v>
      </c>
      <c r="X56" s="126" t="s">
        <v>35</v>
      </c>
      <c r="Y56" s="126" t="s">
        <v>64</v>
      </c>
      <c r="Z56" s="126" t="s">
        <v>86</v>
      </c>
      <c r="AA56" s="126" t="s">
        <v>55</v>
      </c>
      <c r="AB56" s="126" t="s">
        <v>194</v>
      </c>
    </row>
    <row r="57" spans="1:28" x14ac:dyDescent="0.15">
      <c r="A57" s="126" t="s">
        <v>40</v>
      </c>
      <c r="B57" s="126" t="s">
        <v>190</v>
      </c>
      <c r="C57" s="126">
        <v>2020</v>
      </c>
      <c r="D57" s="127" t="s">
        <v>339</v>
      </c>
      <c r="E57" s="126" t="s">
        <v>169</v>
      </c>
      <c r="F57" s="126" t="s">
        <v>347</v>
      </c>
      <c r="G57" s="126" t="s">
        <v>25</v>
      </c>
      <c r="H57" s="126" t="s">
        <v>167</v>
      </c>
      <c r="I57" s="126" t="s">
        <v>172</v>
      </c>
      <c r="J57" s="80" t="s">
        <v>27</v>
      </c>
      <c r="K57" s="80" t="s">
        <v>112</v>
      </c>
      <c r="L57" s="126">
        <v>2</v>
      </c>
      <c r="N57" s="126">
        <v>2</v>
      </c>
      <c r="O57" s="126">
        <v>0.6</v>
      </c>
      <c r="P57" s="126">
        <v>0.7</v>
      </c>
      <c r="Q57" s="158">
        <f t="shared" si="0"/>
        <v>0.64999999999999991</v>
      </c>
      <c r="R57" s="126">
        <v>18</v>
      </c>
      <c r="S57" s="126">
        <v>132</v>
      </c>
      <c r="T57" s="159">
        <f t="shared" si="1"/>
        <v>25</v>
      </c>
      <c r="U57" s="126">
        <v>398</v>
      </c>
      <c r="V57" s="160">
        <f t="shared" si="2"/>
        <v>4975</v>
      </c>
      <c r="W57" s="126">
        <v>9</v>
      </c>
      <c r="X57" s="126" t="s">
        <v>35</v>
      </c>
      <c r="Y57" s="126" t="s">
        <v>64</v>
      </c>
      <c r="Z57" s="126" t="s">
        <v>86</v>
      </c>
      <c r="AA57" s="126" t="s">
        <v>55</v>
      </c>
      <c r="AB57" s="126" t="s">
        <v>194</v>
      </c>
    </row>
    <row r="58" spans="1:28" x14ac:dyDescent="0.15">
      <c r="A58" s="126" t="s">
        <v>40</v>
      </c>
      <c r="B58" s="126" t="s">
        <v>190</v>
      </c>
      <c r="C58" s="126">
        <v>2020</v>
      </c>
      <c r="D58" s="127" t="s">
        <v>339</v>
      </c>
      <c r="E58" s="126" t="s">
        <v>169</v>
      </c>
      <c r="F58" s="126" t="s">
        <v>347</v>
      </c>
      <c r="G58" s="126" t="s">
        <v>25</v>
      </c>
      <c r="H58" s="126" t="s">
        <v>113</v>
      </c>
      <c r="I58" s="126" t="s">
        <v>172</v>
      </c>
      <c r="J58" s="80" t="s">
        <v>27</v>
      </c>
      <c r="K58" s="80" t="s">
        <v>112</v>
      </c>
      <c r="L58" s="126">
        <v>3</v>
      </c>
      <c r="N58" s="126">
        <v>2</v>
      </c>
      <c r="O58" s="126">
        <v>0.65</v>
      </c>
      <c r="P58" s="126">
        <v>0.75</v>
      </c>
      <c r="Q58" s="158">
        <f t="shared" si="0"/>
        <v>0.7</v>
      </c>
      <c r="R58" s="126">
        <v>18.3</v>
      </c>
      <c r="S58" s="126">
        <v>140</v>
      </c>
      <c r="T58" s="159">
        <f t="shared" si="1"/>
        <v>22</v>
      </c>
      <c r="U58" s="126">
        <v>398</v>
      </c>
      <c r="V58" s="160">
        <f t="shared" si="2"/>
        <v>4378</v>
      </c>
      <c r="W58" s="126">
        <v>9</v>
      </c>
      <c r="X58" s="126" t="s">
        <v>35</v>
      </c>
      <c r="Y58" s="126" t="s">
        <v>64</v>
      </c>
      <c r="Z58" s="126" t="s">
        <v>86</v>
      </c>
      <c r="AA58" s="126" t="s">
        <v>55</v>
      </c>
      <c r="AB58" s="126" t="s">
        <v>194</v>
      </c>
    </row>
    <row r="59" spans="1:28" x14ac:dyDescent="0.15">
      <c r="A59" s="126" t="s">
        <v>40</v>
      </c>
      <c r="B59" s="126" t="s">
        <v>190</v>
      </c>
      <c r="C59" s="126">
        <v>2020</v>
      </c>
      <c r="D59" s="127" t="s">
        <v>339</v>
      </c>
      <c r="E59" s="126" t="s">
        <v>348</v>
      </c>
      <c r="F59" s="126" t="s">
        <v>349</v>
      </c>
      <c r="G59" s="126" t="s">
        <v>25</v>
      </c>
      <c r="H59" s="126" t="s">
        <v>113</v>
      </c>
      <c r="I59" s="126" t="s">
        <v>111</v>
      </c>
      <c r="J59" s="80" t="s">
        <v>27</v>
      </c>
      <c r="K59" s="80" t="s">
        <v>112</v>
      </c>
      <c r="L59" s="126">
        <v>1</v>
      </c>
      <c r="N59" s="126">
        <v>1</v>
      </c>
      <c r="O59" s="126">
        <v>0.75</v>
      </c>
      <c r="P59" s="126">
        <v>0.75</v>
      </c>
      <c r="Q59" s="158">
        <f t="shared" si="0"/>
        <v>0.75</v>
      </c>
      <c r="R59" s="126">
        <v>17</v>
      </c>
      <c r="S59" s="126">
        <v>138</v>
      </c>
      <c r="T59" s="159">
        <f t="shared" si="1"/>
        <v>22</v>
      </c>
      <c r="U59" s="126">
        <v>98</v>
      </c>
      <c r="V59" s="160">
        <f t="shared" si="2"/>
        <v>2156</v>
      </c>
      <c r="W59" s="126">
        <v>8</v>
      </c>
      <c r="X59" s="126" t="s">
        <v>35</v>
      </c>
      <c r="Y59" s="126" t="s">
        <v>64</v>
      </c>
      <c r="Z59" s="126" t="s">
        <v>86</v>
      </c>
      <c r="AA59" s="126" t="s">
        <v>74</v>
      </c>
      <c r="AB59" s="126" t="s">
        <v>194</v>
      </c>
    </row>
    <row r="60" spans="1:28" x14ac:dyDescent="0.15">
      <c r="A60" s="126" t="s">
        <v>40</v>
      </c>
      <c r="B60" s="126" t="s">
        <v>190</v>
      </c>
      <c r="C60" s="126">
        <v>2020</v>
      </c>
      <c r="D60" s="127" t="s">
        <v>339</v>
      </c>
      <c r="E60" s="126" t="s">
        <v>348</v>
      </c>
      <c r="F60" s="126" t="s">
        <v>349</v>
      </c>
      <c r="G60" s="126" t="s">
        <v>25</v>
      </c>
      <c r="H60" s="126" t="s">
        <v>113</v>
      </c>
      <c r="I60" s="126" t="s">
        <v>111</v>
      </c>
      <c r="J60" s="80" t="s">
        <v>27</v>
      </c>
      <c r="K60" s="80" t="s">
        <v>112</v>
      </c>
      <c r="L60" s="126">
        <v>2</v>
      </c>
      <c r="N60" s="126">
        <v>1</v>
      </c>
      <c r="O60" s="126">
        <v>0.8</v>
      </c>
      <c r="P60" s="126">
        <v>0.7</v>
      </c>
      <c r="Q60" s="158">
        <f t="shared" si="0"/>
        <v>0.75</v>
      </c>
      <c r="R60" s="126">
        <v>16.8</v>
      </c>
      <c r="S60" s="126">
        <v>132</v>
      </c>
      <c r="T60" s="159">
        <f t="shared" si="1"/>
        <v>25</v>
      </c>
      <c r="U60" s="126">
        <v>98</v>
      </c>
      <c r="V60" s="160">
        <f t="shared" si="2"/>
        <v>2450</v>
      </c>
      <c r="W60" s="126">
        <v>8</v>
      </c>
      <c r="X60" s="126" t="s">
        <v>35</v>
      </c>
      <c r="Y60" s="126" t="s">
        <v>64</v>
      </c>
      <c r="Z60" s="126" t="s">
        <v>86</v>
      </c>
      <c r="AA60" s="126" t="s">
        <v>74</v>
      </c>
      <c r="AB60" s="126" t="s">
        <v>194</v>
      </c>
    </row>
    <row r="61" spans="1:28" x14ac:dyDescent="0.15">
      <c r="A61" s="126" t="s">
        <v>40</v>
      </c>
      <c r="B61" s="126" t="s">
        <v>190</v>
      </c>
      <c r="C61" s="126">
        <v>2020</v>
      </c>
      <c r="D61" s="127" t="s">
        <v>339</v>
      </c>
      <c r="E61" s="126" t="s">
        <v>348</v>
      </c>
      <c r="F61" s="126" t="s">
        <v>349</v>
      </c>
      <c r="G61" s="126" t="s">
        <v>25</v>
      </c>
      <c r="H61" s="126" t="s">
        <v>113</v>
      </c>
      <c r="I61" s="126" t="s">
        <v>111</v>
      </c>
      <c r="J61" s="80" t="s">
        <v>27</v>
      </c>
      <c r="K61" s="80" t="s">
        <v>112</v>
      </c>
      <c r="L61" s="126">
        <v>3</v>
      </c>
      <c r="N61" s="126">
        <v>1</v>
      </c>
      <c r="O61" s="126">
        <v>0.75</v>
      </c>
      <c r="P61" s="126">
        <v>0.8</v>
      </c>
      <c r="Q61" s="158">
        <f t="shared" si="0"/>
        <v>0.77500000000000002</v>
      </c>
      <c r="R61" s="126">
        <v>16.399999999999999</v>
      </c>
      <c r="S61" s="126">
        <v>130</v>
      </c>
      <c r="T61" s="159">
        <f t="shared" si="1"/>
        <v>25</v>
      </c>
      <c r="U61" s="126">
        <v>98</v>
      </c>
      <c r="V61" s="160">
        <f t="shared" si="2"/>
        <v>2450</v>
      </c>
      <c r="W61" s="126">
        <v>8</v>
      </c>
      <c r="X61" s="126" t="s">
        <v>35</v>
      </c>
      <c r="Y61" s="126" t="s">
        <v>64</v>
      </c>
      <c r="Z61" s="126" t="s">
        <v>86</v>
      </c>
      <c r="AA61" s="126" t="s">
        <v>74</v>
      </c>
      <c r="AB61" s="126" t="s">
        <v>194</v>
      </c>
    </row>
    <row r="62" spans="1:28" x14ac:dyDescent="0.15">
      <c r="A62" s="126" t="s">
        <v>40</v>
      </c>
      <c r="B62" s="126" t="s">
        <v>190</v>
      </c>
      <c r="C62" s="126">
        <v>2020</v>
      </c>
      <c r="D62" s="127" t="s">
        <v>339</v>
      </c>
      <c r="E62" s="126" t="s">
        <v>348</v>
      </c>
      <c r="F62" s="126" t="s">
        <v>349</v>
      </c>
      <c r="G62" s="126" t="s">
        <v>25</v>
      </c>
      <c r="H62" s="126" t="s">
        <v>113</v>
      </c>
      <c r="I62" s="126" t="s">
        <v>111</v>
      </c>
      <c r="J62" s="80" t="s">
        <v>27</v>
      </c>
      <c r="K62" s="80" t="s">
        <v>112</v>
      </c>
      <c r="L62" s="126">
        <v>1</v>
      </c>
      <c r="N62" s="126">
        <v>4</v>
      </c>
      <c r="O62" s="126">
        <v>0.8</v>
      </c>
      <c r="P62" s="126">
        <v>0.8</v>
      </c>
      <c r="Q62" s="158">
        <f t="shared" si="0"/>
        <v>0.8</v>
      </c>
      <c r="R62" s="126">
        <v>16.8</v>
      </c>
      <c r="S62" s="126">
        <v>92</v>
      </c>
      <c r="T62" s="159">
        <f t="shared" si="1"/>
        <v>36</v>
      </c>
      <c r="U62" s="126">
        <v>398</v>
      </c>
      <c r="V62" s="160">
        <f t="shared" si="2"/>
        <v>3582</v>
      </c>
      <c r="W62" s="126">
        <v>8</v>
      </c>
      <c r="X62" s="126" t="s">
        <v>35</v>
      </c>
      <c r="Y62" s="126" t="s">
        <v>64</v>
      </c>
      <c r="Z62" s="126" t="s">
        <v>86</v>
      </c>
      <c r="AA62" s="126" t="s">
        <v>74</v>
      </c>
      <c r="AB62" s="126" t="s">
        <v>194</v>
      </c>
    </row>
    <row r="63" spans="1:28" x14ac:dyDescent="0.15">
      <c r="A63" s="126" t="s">
        <v>40</v>
      </c>
      <c r="B63" s="126" t="s">
        <v>190</v>
      </c>
      <c r="C63" s="126">
        <v>2020</v>
      </c>
      <c r="D63" s="127" t="s">
        <v>339</v>
      </c>
      <c r="E63" s="126" t="s">
        <v>348</v>
      </c>
      <c r="F63" s="126" t="s">
        <v>349</v>
      </c>
      <c r="G63" s="126" t="s">
        <v>25</v>
      </c>
      <c r="H63" s="126" t="s">
        <v>113</v>
      </c>
      <c r="I63" s="126" t="s">
        <v>111</v>
      </c>
      <c r="J63" s="80" t="s">
        <v>27</v>
      </c>
      <c r="K63" s="80" t="s">
        <v>112</v>
      </c>
      <c r="L63" s="126">
        <v>2</v>
      </c>
      <c r="N63" s="126">
        <v>4</v>
      </c>
      <c r="O63" s="126">
        <v>0.75</v>
      </c>
      <c r="P63" s="126">
        <v>0.75</v>
      </c>
      <c r="Q63" s="158">
        <f t="shared" si="0"/>
        <v>0.75</v>
      </c>
      <c r="R63" s="126">
        <v>16.600000000000001</v>
      </c>
      <c r="S63" s="126">
        <v>86</v>
      </c>
      <c r="T63" s="159">
        <f t="shared" si="1"/>
        <v>36</v>
      </c>
      <c r="U63" s="126">
        <v>398</v>
      </c>
      <c r="V63" s="160">
        <f t="shared" si="2"/>
        <v>3582</v>
      </c>
      <c r="W63" s="126">
        <v>8</v>
      </c>
      <c r="X63" s="126" t="s">
        <v>35</v>
      </c>
      <c r="Y63" s="126" t="s">
        <v>64</v>
      </c>
      <c r="Z63" s="126" t="s">
        <v>86</v>
      </c>
      <c r="AA63" s="126" t="s">
        <v>74</v>
      </c>
      <c r="AB63" s="126" t="s">
        <v>194</v>
      </c>
    </row>
    <row r="64" spans="1:28" x14ac:dyDescent="0.15">
      <c r="A64" s="126" t="s">
        <v>40</v>
      </c>
      <c r="B64" s="126" t="s">
        <v>190</v>
      </c>
      <c r="C64" s="126">
        <v>2020</v>
      </c>
      <c r="D64" s="127" t="s">
        <v>339</v>
      </c>
      <c r="E64" s="126" t="s">
        <v>348</v>
      </c>
      <c r="F64" s="126" t="s">
        <v>349</v>
      </c>
      <c r="G64" s="126" t="s">
        <v>25</v>
      </c>
      <c r="H64" s="126" t="s">
        <v>113</v>
      </c>
      <c r="I64" s="126" t="s">
        <v>111</v>
      </c>
      <c r="J64" s="80" t="s">
        <v>27</v>
      </c>
      <c r="K64" s="80" t="s">
        <v>112</v>
      </c>
      <c r="L64" s="126">
        <v>3</v>
      </c>
      <c r="N64" s="126">
        <v>4</v>
      </c>
      <c r="O64" s="126">
        <v>0.65</v>
      </c>
      <c r="P64" s="126">
        <v>0.65</v>
      </c>
      <c r="Q64" s="158">
        <f t="shared" si="0"/>
        <v>0.65</v>
      </c>
      <c r="R64" s="126">
        <v>17.399999999999999</v>
      </c>
      <c r="S64" s="126">
        <v>104</v>
      </c>
      <c r="T64" s="159">
        <f t="shared" si="1"/>
        <v>33</v>
      </c>
      <c r="U64" s="126">
        <v>398</v>
      </c>
      <c r="V64" s="160">
        <f t="shared" si="2"/>
        <v>3283.5</v>
      </c>
      <c r="W64" s="126">
        <v>8</v>
      </c>
      <c r="X64" s="126" t="s">
        <v>35</v>
      </c>
      <c r="Y64" s="126" t="s">
        <v>64</v>
      </c>
      <c r="Z64" s="126" t="s">
        <v>86</v>
      </c>
      <c r="AA64" s="126" t="s">
        <v>74</v>
      </c>
      <c r="AB64" s="126" t="s">
        <v>194</v>
      </c>
    </row>
    <row r="65" spans="1:28" x14ac:dyDescent="0.15">
      <c r="A65" s="126" t="s">
        <v>40</v>
      </c>
      <c r="B65" s="126" t="s">
        <v>190</v>
      </c>
      <c r="C65" s="126">
        <v>2020</v>
      </c>
      <c r="D65" s="127" t="s">
        <v>339</v>
      </c>
      <c r="E65" s="126" t="s">
        <v>348</v>
      </c>
      <c r="F65" s="126" t="s">
        <v>349</v>
      </c>
      <c r="G65" s="126" t="s">
        <v>25</v>
      </c>
      <c r="H65" s="126" t="s">
        <v>167</v>
      </c>
      <c r="I65" s="126" t="s">
        <v>111</v>
      </c>
      <c r="J65" s="80" t="s">
        <v>27</v>
      </c>
      <c r="K65" s="80" t="s">
        <v>112</v>
      </c>
      <c r="L65" s="126">
        <v>1</v>
      </c>
      <c r="N65" s="126">
        <v>1</v>
      </c>
      <c r="O65" s="126">
        <v>0.7</v>
      </c>
      <c r="P65" s="126">
        <v>0.7</v>
      </c>
      <c r="Q65" s="158">
        <f t="shared" si="0"/>
        <v>0.7</v>
      </c>
      <c r="R65" s="126">
        <v>17.8</v>
      </c>
      <c r="S65" s="126">
        <v>132</v>
      </c>
      <c r="T65" s="159">
        <f t="shared" si="1"/>
        <v>25</v>
      </c>
      <c r="U65" s="126">
        <v>128</v>
      </c>
      <c r="V65" s="160">
        <f t="shared" si="2"/>
        <v>3200</v>
      </c>
      <c r="W65" s="126">
        <v>8</v>
      </c>
      <c r="X65" s="126" t="s">
        <v>35</v>
      </c>
      <c r="Y65" s="126" t="s">
        <v>64</v>
      </c>
      <c r="Z65" s="126" t="s">
        <v>86</v>
      </c>
      <c r="AA65" s="126" t="s">
        <v>74</v>
      </c>
      <c r="AB65" s="126" t="s">
        <v>194</v>
      </c>
    </row>
    <row r="66" spans="1:28" x14ac:dyDescent="0.15">
      <c r="A66" s="126" t="s">
        <v>40</v>
      </c>
      <c r="B66" s="126" t="s">
        <v>190</v>
      </c>
      <c r="C66" s="126">
        <v>2020</v>
      </c>
      <c r="D66" s="127" t="s">
        <v>339</v>
      </c>
      <c r="E66" s="126" t="s">
        <v>348</v>
      </c>
      <c r="F66" s="126" t="s">
        <v>349</v>
      </c>
      <c r="G66" s="126" t="s">
        <v>25</v>
      </c>
      <c r="H66" s="126" t="s">
        <v>167</v>
      </c>
      <c r="I66" s="126" t="s">
        <v>111</v>
      </c>
      <c r="J66" s="80" t="s">
        <v>27</v>
      </c>
      <c r="K66" s="80" t="s">
        <v>112</v>
      </c>
      <c r="L66" s="126">
        <v>2</v>
      </c>
      <c r="N66" s="126">
        <v>1</v>
      </c>
      <c r="O66" s="126">
        <v>0.6</v>
      </c>
      <c r="P66" s="126">
        <v>0.75</v>
      </c>
      <c r="Q66" s="158">
        <f t="shared" ref="Q66:Q129" si="3">IF(OR(O66="",P66=""),"",AVERAGE(O66,P66))</f>
        <v>0.67500000000000004</v>
      </c>
      <c r="R66" s="126">
        <v>18.600000000000001</v>
      </c>
      <c r="S66" s="126">
        <v>130</v>
      </c>
      <c r="T66" s="159">
        <f t="shared" ref="T66:T129" si="4">IF(H66="","",IF(OR(H66="GREEN",H66="GK"),IF(S66&gt;=$AX$2,VLOOKUP(S66,$AX$2:$AY$12,2,1),""),IF(S66&gt;=$AZ$2,VLOOKUP(S66,$AZ$2:$BA$12,2,1),"")))</f>
        <v>25</v>
      </c>
      <c r="U66" s="126">
        <v>128</v>
      </c>
      <c r="V66" s="160">
        <f t="shared" ref="V66:V129" si="5">IF(OR(N66="",U66="",T66=""),"",U66/N66*T66)</f>
        <v>3200</v>
      </c>
      <c r="W66" s="126">
        <v>8</v>
      </c>
      <c r="X66" s="126" t="s">
        <v>35</v>
      </c>
      <c r="Y66" s="126" t="s">
        <v>64</v>
      </c>
      <c r="Z66" s="126" t="s">
        <v>86</v>
      </c>
      <c r="AA66" s="126" t="s">
        <v>74</v>
      </c>
      <c r="AB66" s="126" t="s">
        <v>194</v>
      </c>
    </row>
    <row r="67" spans="1:28" x14ac:dyDescent="0.15">
      <c r="A67" s="126" t="s">
        <v>40</v>
      </c>
      <c r="B67" s="126" t="s">
        <v>190</v>
      </c>
      <c r="C67" s="126">
        <v>2020</v>
      </c>
      <c r="D67" s="127" t="s">
        <v>339</v>
      </c>
      <c r="E67" s="126" t="s">
        <v>348</v>
      </c>
      <c r="F67" s="126" t="s">
        <v>349</v>
      </c>
      <c r="G67" s="126" t="s">
        <v>25</v>
      </c>
      <c r="H67" s="126" t="s">
        <v>167</v>
      </c>
      <c r="I67" s="126" t="s">
        <v>111</v>
      </c>
      <c r="J67" s="80" t="s">
        <v>27</v>
      </c>
      <c r="K67" s="80" t="s">
        <v>112</v>
      </c>
      <c r="L67" s="126">
        <v>3</v>
      </c>
      <c r="N67" s="126">
        <v>1</v>
      </c>
      <c r="O67" s="126">
        <v>0.65</v>
      </c>
      <c r="P67" s="126">
        <v>0.7</v>
      </c>
      <c r="Q67" s="158">
        <f t="shared" si="3"/>
        <v>0.67500000000000004</v>
      </c>
      <c r="R67" s="126">
        <v>18.3</v>
      </c>
      <c r="S67" s="126">
        <v>134</v>
      </c>
      <c r="T67" s="159">
        <f t="shared" si="4"/>
        <v>25</v>
      </c>
      <c r="U67" s="126">
        <v>128</v>
      </c>
      <c r="V67" s="160">
        <f t="shared" si="5"/>
        <v>3200</v>
      </c>
      <c r="W67" s="126">
        <v>8</v>
      </c>
      <c r="X67" s="126" t="s">
        <v>35</v>
      </c>
      <c r="Y67" s="126" t="s">
        <v>64</v>
      </c>
      <c r="Z67" s="126" t="s">
        <v>86</v>
      </c>
      <c r="AA67" s="126" t="s">
        <v>74</v>
      </c>
      <c r="AB67" s="126" t="s">
        <v>194</v>
      </c>
    </row>
    <row r="68" spans="1:28" x14ac:dyDescent="0.15">
      <c r="A68" s="126" t="s">
        <v>40</v>
      </c>
      <c r="B68" s="126" t="s">
        <v>190</v>
      </c>
      <c r="C68" s="126">
        <v>2020</v>
      </c>
      <c r="D68" s="127" t="s">
        <v>339</v>
      </c>
      <c r="E68" s="126" t="s">
        <v>348</v>
      </c>
      <c r="F68" s="126" t="s">
        <v>349</v>
      </c>
      <c r="G68" s="126" t="s">
        <v>25</v>
      </c>
      <c r="H68" s="126" t="s">
        <v>167</v>
      </c>
      <c r="I68" s="126" t="s">
        <v>111</v>
      </c>
      <c r="J68" s="80" t="s">
        <v>27</v>
      </c>
      <c r="K68" s="80" t="s">
        <v>112</v>
      </c>
      <c r="L68" s="126">
        <v>1</v>
      </c>
      <c r="N68" s="126">
        <v>4</v>
      </c>
      <c r="O68" s="126">
        <v>0.75</v>
      </c>
      <c r="P68" s="126">
        <v>0.75</v>
      </c>
      <c r="Q68" s="159">
        <f t="shared" si="3"/>
        <v>0.75</v>
      </c>
      <c r="R68" s="126">
        <v>16.5</v>
      </c>
      <c r="S68" s="126">
        <v>100</v>
      </c>
      <c r="T68" s="159">
        <f t="shared" si="4"/>
        <v>33</v>
      </c>
      <c r="U68" s="126">
        <v>498</v>
      </c>
      <c r="V68" s="159">
        <f t="shared" si="5"/>
        <v>4108.5</v>
      </c>
      <c r="W68" s="126">
        <v>8</v>
      </c>
      <c r="X68" s="126" t="s">
        <v>35</v>
      </c>
      <c r="Y68" s="126" t="s">
        <v>64</v>
      </c>
      <c r="Z68" s="126" t="s">
        <v>86</v>
      </c>
      <c r="AA68" s="126" t="s">
        <v>74</v>
      </c>
      <c r="AB68" s="126" t="s">
        <v>194</v>
      </c>
    </row>
    <row r="69" spans="1:28" x14ac:dyDescent="0.15">
      <c r="A69" s="126" t="s">
        <v>40</v>
      </c>
      <c r="B69" s="126" t="s">
        <v>190</v>
      </c>
      <c r="C69" s="126">
        <v>2020</v>
      </c>
      <c r="D69" s="127" t="s">
        <v>339</v>
      </c>
      <c r="E69" s="126" t="s">
        <v>348</v>
      </c>
      <c r="F69" s="126" t="s">
        <v>349</v>
      </c>
      <c r="G69" s="126" t="s">
        <v>25</v>
      </c>
      <c r="H69" s="126" t="s">
        <v>167</v>
      </c>
      <c r="I69" s="126" t="s">
        <v>111</v>
      </c>
      <c r="J69" s="80" t="s">
        <v>27</v>
      </c>
      <c r="K69" s="80" t="s">
        <v>112</v>
      </c>
      <c r="L69" s="126">
        <v>2</v>
      </c>
      <c r="N69" s="126">
        <v>4</v>
      </c>
      <c r="O69" s="126">
        <v>0.7</v>
      </c>
      <c r="P69" s="126">
        <v>0.7</v>
      </c>
      <c r="Q69" s="159">
        <f t="shared" si="3"/>
        <v>0.7</v>
      </c>
      <c r="R69" s="126">
        <v>15.6</v>
      </c>
      <c r="S69" s="126">
        <v>102</v>
      </c>
      <c r="T69" s="159">
        <f t="shared" si="4"/>
        <v>33</v>
      </c>
      <c r="U69" s="126">
        <v>498</v>
      </c>
      <c r="V69" s="159">
        <f t="shared" si="5"/>
        <v>4108.5</v>
      </c>
      <c r="W69" s="126">
        <v>8</v>
      </c>
      <c r="X69" s="126" t="s">
        <v>35</v>
      </c>
      <c r="Y69" s="126" t="s">
        <v>64</v>
      </c>
      <c r="Z69" s="126" t="s">
        <v>86</v>
      </c>
      <c r="AA69" s="126" t="s">
        <v>74</v>
      </c>
      <c r="AB69" s="126" t="s">
        <v>194</v>
      </c>
    </row>
    <row r="70" spans="1:28" x14ac:dyDescent="0.15">
      <c r="A70" s="126" t="s">
        <v>40</v>
      </c>
      <c r="B70" s="126" t="s">
        <v>190</v>
      </c>
      <c r="C70" s="126">
        <v>2020</v>
      </c>
      <c r="D70" s="127" t="s">
        <v>339</v>
      </c>
      <c r="E70" s="126" t="s">
        <v>348</v>
      </c>
      <c r="F70" s="126" t="s">
        <v>349</v>
      </c>
      <c r="G70" s="126" t="s">
        <v>25</v>
      </c>
      <c r="H70" s="126" t="s">
        <v>167</v>
      </c>
      <c r="I70" s="126" t="s">
        <v>111</v>
      </c>
      <c r="J70" s="80" t="s">
        <v>27</v>
      </c>
      <c r="K70" s="80" t="s">
        <v>112</v>
      </c>
      <c r="L70" s="126">
        <v>3</v>
      </c>
      <c r="N70" s="126">
        <v>4</v>
      </c>
      <c r="O70" s="126">
        <v>0.65</v>
      </c>
      <c r="P70" s="126">
        <v>0.85</v>
      </c>
      <c r="Q70" s="159">
        <f t="shared" si="3"/>
        <v>0.75</v>
      </c>
      <c r="R70" s="126">
        <v>15.3</v>
      </c>
      <c r="S70" s="126">
        <v>88</v>
      </c>
      <c r="T70" s="159">
        <f t="shared" si="4"/>
        <v>36</v>
      </c>
      <c r="U70" s="126">
        <v>498</v>
      </c>
      <c r="V70" s="159">
        <f t="shared" si="5"/>
        <v>4482</v>
      </c>
      <c r="W70" s="126">
        <v>8</v>
      </c>
      <c r="X70" s="126" t="s">
        <v>35</v>
      </c>
      <c r="Y70" s="126" t="s">
        <v>64</v>
      </c>
      <c r="Z70" s="126" t="s">
        <v>86</v>
      </c>
      <c r="AA70" s="126" t="s">
        <v>74</v>
      </c>
      <c r="AB70" s="126" t="s">
        <v>194</v>
      </c>
    </row>
    <row r="71" spans="1:28" x14ac:dyDescent="0.15">
      <c r="A71" s="126" t="s">
        <v>40</v>
      </c>
      <c r="B71" s="126" t="s">
        <v>190</v>
      </c>
      <c r="C71" s="126">
        <v>2020</v>
      </c>
      <c r="D71" s="127" t="s">
        <v>339</v>
      </c>
      <c r="E71" s="126" t="s">
        <v>221</v>
      </c>
      <c r="F71" s="126" t="s">
        <v>342</v>
      </c>
      <c r="G71" s="126" t="s">
        <v>25</v>
      </c>
      <c r="H71" s="126" t="s">
        <v>113</v>
      </c>
      <c r="I71" s="126" t="s">
        <v>111</v>
      </c>
      <c r="J71" s="80" t="s">
        <v>27</v>
      </c>
      <c r="K71" s="80" t="s">
        <v>112</v>
      </c>
      <c r="L71" s="126">
        <v>1</v>
      </c>
      <c r="N71" s="126">
        <v>1</v>
      </c>
      <c r="O71" s="126">
        <v>0.95</v>
      </c>
      <c r="P71" s="126">
        <v>1</v>
      </c>
      <c r="Q71" s="159">
        <f t="shared" si="3"/>
        <v>0.97499999999999998</v>
      </c>
      <c r="R71" s="126">
        <v>16.2</v>
      </c>
      <c r="S71" s="126">
        <v>126</v>
      </c>
      <c r="T71" s="159">
        <f t="shared" si="4"/>
        <v>27</v>
      </c>
      <c r="U71" s="126">
        <v>99</v>
      </c>
      <c r="V71" s="159">
        <f t="shared" si="5"/>
        <v>2673</v>
      </c>
      <c r="W71" s="126">
        <v>15</v>
      </c>
      <c r="X71" s="126" t="s">
        <v>35</v>
      </c>
      <c r="Y71" s="126" t="s">
        <v>74</v>
      </c>
      <c r="Z71" s="126" t="s">
        <v>43</v>
      </c>
      <c r="AA71" s="126" t="s">
        <v>55</v>
      </c>
      <c r="AB71" s="126" t="s">
        <v>194</v>
      </c>
    </row>
    <row r="72" spans="1:28" x14ac:dyDescent="0.15">
      <c r="A72" s="126" t="s">
        <v>40</v>
      </c>
      <c r="B72" s="126" t="s">
        <v>190</v>
      </c>
      <c r="C72" s="126">
        <v>2020</v>
      </c>
      <c r="D72" s="127" t="s">
        <v>339</v>
      </c>
      <c r="E72" s="126" t="s">
        <v>221</v>
      </c>
      <c r="F72" s="126" t="s">
        <v>342</v>
      </c>
      <c r="G72" s="126" t="s">
        <v>25</v>
      </c>
      <c r="H72" s="126" t="s">
        <v>113</v>
      </c>
      <c r="I72" s="126" t="s">
        <v>111</v>
      </c>
      <c r="J72" s="80" t="s">
        <v>27</v>
      </c>
      <c r="K72" s="80" t="s">
        <v>112</v>
      </c>
      <c r="L72" s="126">
        <v>2</v>
      </c>
      <c r="N72" s="126">
        <v>1</v>
      </c>
      <c r="O72" s="126">
        <v>0.8</v>
      </c>
      <c r="P72" s="126">
        <v>0.95</v>
      </c>
      <c r="Q72" s="159">
        <f t="shared" si="3"/>
        <v>0.875</v>
      </c>
      <c r="R72" s="126">
        <v>15.7</v>
      </c>
      <c r="S72" s="126">
        <v>114</v>
      </c>
      <c r="T72" s="159">
        <f t="shared" si="4"/>
        <v>30</v>
      </c>
      <c r="U72" s="126">
        <v>99</v>
      </c>
      <c r="V72" s="159">
        <f t="shared" si="5"/>
        <v>2970</v>
      </c>
      <c r="W72" s="126">
        <v>15</v>
      </c>
      <c r="X72" s="126" t="s">
        <v>35</v>
      </c>
      <c r="Y72" s="126" t="s">
        <v>74</v>
      </c>
      <c r="Z72" s="126" t="s">
        <v>43</v>
      </c>
      <c r="AA72" s="126" t="s">
        <v>55</v>
      </c>
      <c r="AB72" s="126" t="s">
        <v>194</v>
      </c>
    </row>
    <row r="73" spans="1:28" x14ac:dyDescent="0.15">
      <c r="A73" s="126" t="s">
        <v>40</v>
      </c>
      <c r="B73" s="126" t="s">
        <v>190</v>
      </c>
      <c r="C73" s="126">
        <v>2020</v>
      </c>
      <c r="D73" s="127" t="s">
        <v>339</v>
      </c>
      <c r="E73" s="126" t="s">
        <v>221</v>
      </c>
      <c r="F73" s="126" t="s">
        <v>342</v>
      </c>
      <c r="G73" s="126" t="s">
        <v>25</v>
      </c>
      <c r="H73" s="126" t="s">
        <v>113</v>
      </c>
      <c r="I73" s="126" t="s">
        <v>111</v>
      </c>
      <c r="J73" s="80" t="s">
        <v>27</v>
      </c>
      <c r="K73" s="80" t="s">
        <v>112</v>
      </c>
      <c r="L73" s="126">
        <v>3</v>
      </c>
      <c r="N73" s="126">
        <v>1</v>
      </c>
      <c r="O73" s="126">
        <v>0.9</v>
      </c>
      <c r="P73" s="126">
        <v>0.9</v>
      </c>
      <c r="Q73" s="159">
        <f t="shared" si="3"/>
        <v>0.9</v>
      </c>
      <c r="R73" s="126">
        <v>16</v>
      </c>
      <c r="S73" s="126">
        <v>122</v>
      </c>
      <c r="T73" s="159">
        <f t="shared" si="4"/>
        <v>27</v>
      </c>
      <c r="U73" s="126">
        <v>99</v>
      </c>
      <c r="V73" s="159">
        <f t="shared" si="5"/>
        <v>2673</v>
      </c>
      <c r="W73" s="126">
        <v>15</v>
      </c>
      <c r="X73" s="126" t="s">
        <v>35</v>
      </c>
      <c r="Y73" s="126" t="s">
        <v>74</v>
      </c>
      <c r="Z73" s="126" t="s">
        <v>43</v>
      </c>
      <c r="AA73" s="126" t="s">
        <v>55</v>
      </c>
      <c r="AB73" s="126" t="s">
        <v>194</v>
      </c>
    </row>
    <row r="74" spans="1:28" x14ac:dyDescent="0.15">
      <c r="A74" s="126" t="s">
        <v>40</v>
      </c>
      <c r="B74" s="126" t="s">
        <v>190</v>
      </c>
      <c r="C74" s="126">
        <v>2020</v>
      </c>
      <c r="D74" s="127" t="s">
        <v>339</v>
      </c>
      <c r="E74" s="126" t="s">
        <v>221</v>
      </c>
      <c r="F74" s="126" t="s">
        <v>342</v>
      </c>
      <c r="G74" s="126" t="s">
        <v>25</v>
      </c>
      <c r="H74" s="126" t="s">
        <v>113</v>
      </c>
      <c r="I74" s="126" t="s">
        <v>111</v>
      </c>
      <c r="J74" s="80" t="s">
        <v>27</v>
      </c>
      <c r="K74" s="80" t="s">
        <v>112</v>
      </c>
      <c r="L74" s="126">
        <v>1</v>
      </c>
      <c r="N74" s="126">
        <v>5</v>
      </c>
      <c r="O74" s="126">
        <v>1</v>
      </c>
      <c r="P74" s="126">
        <v>1.05</v>
      </c>
      <c r="Q74" s="159">
        <f t="shared" si="3"/>
        <v>1.0249999999999999</v>
      </c>
      <c r="R74" s="126">
        <v>15.8</v>
      </c>
      <c r="S74" s="126">
        <v>81</v>
      </c>
      <c r="T74" s="159">
        <f t="shared" si="4"/>
        <v>39</v>
      </c>
      <c r="U74" s="126">
        <v>377</v>
      </c>
      <c r="V74" s="159">
        <f t="shared" si="5"/>
        <v>2940.6000000000004</v>
      </c>
      <c r="W74" s="126">
        <v>15</v>
      </c>
      <c r="X74" s="126" t="s">
        <v>35</v>
      </c>
      <c r="Y74" s="126" t="s">
        <v>74</v>
      </c>
      <c r="Z74" s="126" t="s">
        <v>43</v>
      </c>
      <c r="AA74" s="126" t="s">
        <v>55</v>
      </c>
      <c r="AB74" s="126" t="s">
        <v>194</v>
      </c>
    </row>
    <row r="75" spans="1:28" x14ac:dyDescent="0.15">
      <c r="A75" s="126" t="s">
        <v>40</v>
      </c>
      <c r="B75" s="126" t="s">
        <v>190</v>
      </c>
      <c r="C75" s="126">
        <v>2020</v>
      </c>
      <c r="D75" s="127" t="s">
        <v>339</v>
      </c>
      <c r="E75" s="126" t="s">
        <v>221</v>
      </c>
      <c r="F75" s="126" t="s">
        <v>342</v>
      </c>
      <c r="G75" s="126" t="s">
        <v>25</v>
      </c>
      <c r="H75" s="126" t="s">
        <v>113</v>
      </c>
      <c r="I75" s="126" t="s">
        <v>111</v>
      </c>
      <c r="J75" s="80" t="s">
        <v>27</v>
      </c>
      <c r="K75" s="80" t="s">
        <v>112</v>
      </c>
      <c r="L75" s="126">
        <v>2</v>
      </c>
      <c r="N75" s="126">
        <v>5</v>
      </c>
      <c r="O75" s="126">
        <v>0.9</v>
      </c>
      <c r="P75" s="126">
        <v>1.1000000000000001</v>
      </c>
      <c r="Q75" s="159">
        <f t="shared" si="3"/>
        <v>1</v>
      </c>
      <c r="R75" s="126">
        <v>15.6</v>
      </c>
      <c r="S75" s="126">
        <v>78</v>
      </c>
      <c r="T75" s="159">
        <f t="shared" si="4"/>
        <v>39</v>
      </c>
      <c r="U75" s="126">
        <v>377</v>
      </c>
      <c r="V75" s="159">
        <f t="shared" si="5"/>
        <v>2940.6000000000004</v>
      </c>
      <c r="W75" s="126">
        <v>15</v>
      </c>
      <c r="X75" s="126" t="s">
        <v>35</v>
      </c>
      <c r="Y75" s="126" t="s">
        <v>74</v>
      </c>
      <c r="Z75" s="126" t="s">
        <v>43</v>
      </c>
      <c r="AA75" s="126" t="s">
        <v>55</v>
      </c>
      <c r="AB75" s="126" t="s">
        <v>194</v>
      </c>
    </row>
    <row r="76" spans="1:28" x14ac:dyDescent="0.15">
      <c r="A76" s="126" t="s">
        <v>40</v>
      </c>
      <c r="B76" s="126" t="s">
        <v>190</v>
      </c>
      <c r="C76" s="126">
        <v>2020</v>
      </c>
      <c r="D76" s="127" t="s">
        <v>339</v>
      </c>
      <c r="E76" s="126" t="s">
        <v>221</v>
      </c>
      <c r="F76" s="126" t="s">
        <v>342</v>
      </c>
      <c r="G76" s="126" t="s">
        <v>25</v>
      </c>
      <c r="H76" s="126" t="s">
        <v>113</v>
      </c>
      <c r="I76" s="126" t="s">
        <v>111</v>
      </c>
      <c r="J76" s="80" t="s">
        <v>27</v>
      </c>
      <c r="K76" s="80" t="s">
        <v>112</v>
      </c>
      <c r="L76" s="126">
        <v>3</v>
      </c>
      <c r="N76" s="126">
        <v>5</v>
      </c>
      <c r="O76" s="126">
        <v>0.95</v>
      </c>
      <c r="P76" s="126">
        <v>0.95</v>
      </c>
      <c r="Q76" s="159">
        <f t="shared" si="3"/>
        <v>0.95</v>
      </c>
      <c r="R76" s="126">
        <v>16.100000000000001</v>
      </c>
      <c r="S76" s="126">
        <v>86</v>
      </c>
      <c r="T76" s="159">
        <f t="shared" si="4"/>
        <v>36</v>
      </c>
      <c r="U76" s="126">
        <v>377</v>
      </c>
      <c r="V76" s="159">
        <f t="shared" si="5"/>
        <v>2714.4</v>
      </c>
      <c r="W76" s="126">
        <v>15</v>
      </c>
      <c r="X76" s="126" t="s">
        <v>35</v>
      </c>
      <c r="Y76" s="126" t="s">
        <v>74</v>
      </c>
      <c r="Z76" s="126" t="s">
        <v>43</v>
      </c>
      <c r="AA76" s="126" t="s">
        <v>55</v>
      </c>
      <c r="AB76" s="126" t="s">
        <v>194</v>
      </c>
    </row>
    <row r="77" spans="1:28" x14ac:dyDescent="0.15">
      <c r="A77" s="126" t="s">
        <v>40</v>
      </c>
      <c r="B77" s="126" t="s">
        <v>190</v>
      </c>
      <c r="C77" s="126">
        <v>2020</v>
      </c>
      <c r="D77" s="127" t="s">
        <v>339</v>
      </c>
      <c r="E77" s="126" t="s">
        <v>221</v>
      </c>
      <c r="F77" s="126" t="s">
        <v>342</v>
      </c>
      <c r="G77" s="126" t="s">
        <v>25</v>
      </c>
      <c r="H77" s="126" t="s">
        <v>167</v>
      </c>
      <c r="I77" s="126" t="s">
        <v>111</v>
      </c>
      <c r="J77" s="80" t="s">
        <v>27</v>
      </c>
      <c r="K77" s="80" t="s">
        <v>112</v>
      </c>
      <c r="L77" s="126">
        <v>1</v>
      </c>
      <c r="N77" s="126">
        <v>1</v>
      </c>
      <c r="O77" s="126">
        <v>0.8</v>
      </c>
      <c r="P77" s="126">
        <v>0.7</v>
      </c>
      <c r="Q77" s="159">
        <f t="shared" si="3"/>
        <v>0.75</v>
      </c>
      <c r="R77" s="126">
        <v>16.8</v>
      </c>
      <c r="S77" s="126">
        <v>136</v>
      </c>
      <c r="T77" s="159">
        <f t="shared" si="4"/>
        <v>25</v>
      </c>
      <c r="U77" s="126">
        <v>99</v>
      </c>
      <c r="V77" s="159">
        <f t="shared" si="5"/>
        <v>2475</v>
      </c>
      <c r="W77" s="126">
        <v>15</v>
      </c>
      <c r="X77" s="126" t="s">
        <v>35</v>
      </c>
      <c r="Y77" s="126" t="s">
        <v>74</v>
      </c>
      <c r="Z77" s="126" t="s">
        <v>43</v>
      </c>
      <c r="AA77" s="126" t="s">
        <v>55</v>
      </c>
      <c r="AB77" s="126" t="s">
        <v>194</v>
      </c>
    </row>
    <row r="78" spans="1:28" x14ac:dyDescent="0.15">
      <c r="A78" s="126" t="s">
        <v>40</v>
      </c>
      <c r="B78" s="126" t="s">
        <v>190</v>
      </c>
      <c r="C78" s="126">
        <v>2020</v>
      </c>
      <c r="D78" s="127" t="s">
        <v>339</v>
      </c>
      <c r="E78" s="126" t="s">
        <v>221</v>
      </c>
      <c r="F78" s="126" t="s">
        <v>342</v>
      </c>
      <c r="G78" s="126" t="s">
        <v>25</v>
      </c>
      <c r="H78" s="126" t="s">
        <v>167</v>
      </c>
      <c r="I78" s="126" t="s">
        <v>111</v>
      </c>
      <c r="J78" s="80" t="s">
        <v>27</v>
      </c>
      <c r="K78" s="80" t="s">
        <v>112</v>
      </c>
      <c r="L78" s="126">
        <v>2</v>
      </c>
      <c r="N78" s="126">
        <v>1</v>
      </c>
      <c r="O78" s="126">
        <v>0.7</v>
      </c>
      <c r="P78" s="126">
        <v>0.75</v>
      </c>
      <c r="Q78" s="159">
        <f t="shared" si="3"/>
        <v>0.72499999999999998</v>
      </c>
      <c r="R78" s="126">
        <v>17.100000000000001</v>
      </c>
      <c r="S78" s="126">
        <v>132</v>
      </c>
      <c r="T78" s="159">
        <f t="shared" si="4"/>
        <v>25</v>
      </c>
      <c r="U78" s="126">
        <v>99</v>
      </c>
      <c r="V78" s="159">
        <f t="shared" si="5"/>
        <v>2475</v>
      </c>
      <c r="W78" s="126">
        <v>15</v>
      </c>
      <c r="X78" s="126" t="s">
        <v>35</v>
      </c>
      <c r="Y78" s="126" t="s">
        <v>74</v>
      </c>
      <c r="Z78" s="126" t="s">
        <v>43</v>
      </c>
      <c r="AA78" s="126" t="s">
        <v>55</v>
      </c>
      <c r="AB78" s="126" t="s">
        <v>194</v>
      </c>
    </row>
    <row r="79" spans="1:28" x14ac:dyDescent="0.15">
      <c r="A79" s="126" t="s">
        <v>40</v>
      </c>
      <c r="B79" s="126" t="s">
        <v>190</v>
      </c>
      <c r="C79" s="126">
        <v>2020</v>
      </c>
      <c r="D79" s="127" t="s">
        <v>339</v>
      </c>
      <c r="E79" s="126" t="s">
        <v>221</v>
      </c>
      <c r="F79" s="126" t="s">
        <v>342</v>
      </c>
      <c r="G79" s="126" t="s">
        <v>25</v>
      </c>
      <c r="H79" s="126" t="s">
        <v>167</v>
      </c>
      <c r="I79" s="126" t="s">
        <v>111</v>
      </c>
      <c r="J79" s="80" t="s">
        <v>27</v>
      </c>
      <c r="K79" s="80" t="s">
        <v>112</v>
      </c>
      <c r="L79" s="126">
        <v>3</v>
      </c>
      <c r="N79" s="126">
        <v>1</v>
      </c>
      <c r="O79" s="126">
        <v>0.75</v>
      </c>
      <c r="P79" s="126">
        <v>0.8</v>
      </c>
      <c r="Q79" s="159">
        <f t="shared" si="3"/>
        <v>0.77500000000000002</v>
      </c>
      <c r="R79" s="126">
        <v>16.5</v>
      </c>
      <c r="S79" s="126">
        <v>134</v>
      </c>
      <c r="T79" s="159">
        <f t="shared" si="4"/>
        <v>25</v>
      </c>
      <c r="U79" s="126">
        <v>99</v>
      </c>
      <c r="V79" s="159">
        <f t="shared" si="5"/>
        <v>2475</v>
      </c>
      <c r="W79" s="126">
        <v>15</v>
      </c>
      <c r="X79" s="126" t="s">
        <v>35</v>
      </c>
      <c r="Y79" s="126" t="s">
        <v>74</v>
      </c>
      <c r="Z79" s="126" t="s">
        <v>43</v>
      </c>
      <c r="AA79" s="126" t="s">
        <v>55</v>
      </c>
      <c r="AB79" s="126" t="s">
        <v>194</v>
      </c>
    </row>
    <row r="80" spans="1:28" x14ac:dyDescent="0.15">
      <c r="A80" s="126" t="s">
        <v>40</v>
      </c>
      <c r="B80" s="126" t="s">
        <v>190</v>
      </c>
      <c r="C80" s="126">
        <v>2020</v>
      </c>
      <c r="D80" s="127" t="s">
        <v>339</v>
      </c>
      <c r="E80" s="126" t="s">
        <v>221</v>
      </c>
      <c r="F80" s="126" t="s">
        <v>342</v>
      </c>
      <c r="G80" s="126" t="s">
        <v>25</v>
      </c>
      <c r="H80" s="126" t="s">
        <v>167</v>
      </c>
      <c r="I80" s="126" t="s">
        <v>111</v>
      </c>
      <c r="J80" s="80" t="s">
        <v>27</v>
      </c>
      <c r="K80" s="80" t="s">
        <v>112</v>
      </c>
      <c r="L80" s="126">
        <v>1</v>
      </c>
      <c r="N80" s="126">
        <v>4</v>
      </c>
      <c r="O80" s="126">
        <v>0.5</v>
      </c>
      <c r="P80" s="126">
        <v>0.5</v>
      </c>
      <c r="Q80" s="159">
        <f t="shared" si="3"/>
        <v>0.5</v>
      </c>
      <c r="R80" s="126">
        <v>16.5</v>
      </c>
      <c r="S80" s="126">
        <v>84</v>
      </c>
      <c r="T80" s="159">
        <f t="shared" si="4"/>
        <v>36</v>
      </c>
      <c r="U80" s="126">
        <v>377</v>
      </c>
      <c r="V80" s="159">
        <f t="shared" si="5"/>
        <v>3393</v>
      </c>
      <c r="W80" s="126">
        <v>15</v>
      </c>
      <c r="X80" s="126" t="s">
        <v>35</v>
      </c>
      <c r="Y80" s="126" t="s">
        <v>74</v>
      </c>
      <c r="Z80" s="126" t="s">
        <v>43</v>
      </c>
      <c r="AA80" s="126" t="s">
        <v>55</v>
      </c>
      <c r="AB80" s="126" t="s">
        <v>194</v>
      </c>
    </row>
    <row r="81" spans="1:28" x14ac:dyDescent="0.15">
      <c r="A81" s="126" t="s">
        <v>40</v>
      </c>
      <c r="B81" s="126" t="s">
        <v>190</v>
      </c>
      <c r="C81" s="126">
        <v>2020</v>
      </c>
      <c r="D81" s="127" t="s">
        <v>339</v>
      </c>
      <c r="E81" s="126" t="s">
        <v>221</v>
      </c>
      <c r="F81" s="126" t="s">
        <v>342</v>
      </c>
      <c r="G81" s="126" t="s">
        <v>25</v>
      </c>
      <c r="H81" s="126" t="s">
        <v>167</v>
      </c>
      <c r="I81" s="126" t="s">
        <v>111</v>
      </c>
      <c r="J81" s="80" t="s">
        <v>27</v>
      </c>
      <c r="K81" s="80" t="s">
        <v>112</v>
      </c>
      <c r="L81" s="126">
        <v>2</v>
      </c>
      <c r="N81" s="126">
        <v>4</v>
      </c>
      <c r="O81" s="126">
        <v>0.55000000000000004</v>
      </c>
      <c r="P81" s="126">
        <v>0.5</v>
      </c>
      <c r="Q81" s="159">
        <f t="shared" si="3"/>
        <v>0.52500000000000002</v>
      </c>
      <c r="R81" s="126">
        <v>16.8</v>
      </c>
      <c r="S81" s="126">
        <v>89</v>
      </c>
      <c r="T81" s="159">
        <f t="shared" si="4"/>
        <v>36</v>
      </c>
      <c r="U81" s="126">
        <v>377</v>
      </c>
      <c r="V81" s="159">
        <f t="shared" si="5"/>
        <v>3393</v>
      </c>
      <c r="W81" s="126">
        <v>15</v>
      </c>
      <c r="X81" s="126" t="s">
        <v>35</v>
      </c>
      <c r="Y81" s="126" t="s">
        <v>74</v>
      </c>
      <c r="Z81" s="126" t="s">
        <v>43</v>
      </c>
      <c r="AA81" s="126" t="s">
        <v>55</v>
      </c>
      <c r="AB81" s="126" t="s">
        <v>194</v>
      </c>
    </row>
    <row r="82" spans="1:28" x14ac:dyDescent="0.15">
      <c r="A82" s="126" t="s">
        <v>40</v>
      </c>
      <c r="B82" s="126" t="s">
        <v>190</v>
      </c>
      <c r="C82" s="126">
        <v>2020</v>
      </c>
      <c r="D82" s="127" t="s">
        <v>339</v>
      </c>
      <c r="E82" s="126" t="s">
        <v>221</v>
      </c>
      <c r="F82" s="126" t="s">
        <v>342</v>
      </c>
      <c r="G82" s="126" t="s">
        <v>25</v>
      </c>
      <c r="H82" s="126" t="s">
        <v>167</v>
      </c>
      <c r="I82" s="126" t="s">
        <v>111</v>
      </c>
      <c r="J82" s="80" t="s">
        <v>27</v>
      </c>
      <c r="K82" s="80" t="s">
        <v>112</v>
      </c>
      <c r="L82" s="126">
        <v>3</v>
      </c>
      <c r="N82" s="126">
        <v>4</v>
      </c>
      <c r="O82" s="126">
        <v>0.25</v>
      </c>
      <c r="P82" s="126">
        <v>0.5</v>
      </c>
      <c r="Q82" s="159">
        <f t="shared" si="3"/>
        <v>0.375</v>
      </c>
      <c r="R82" s="126">
        <v>17</v>
      </c>
      <c r="S82" s="126">
        <v>96</v>
      </c>
      <c r="T82" s="159">
        <f t="shared" si="4"/>
        <v>36</v>
      </c>
      <c r="U82" s="126">
        <v>377</v>
      </c>
      <c r="V82" s="159">
        <f t="shared" si="5"/>
        <v>3393</v>
      </c>
      <c r="W82" s="126">
        <v>15</v>
      </c>
      <c r="X82" s="126" t="s">
        <v>35</v>
      </c>
      <c r="Y82" s="126" t="s">
        <v>74</v>
      </c>
      <c r="Z82" s="126" t="s">
        <v>43</v>
      </c>
      <c r="AA82" s="126" t="s">
        <v>55</v>
      </c>
      <c r="AB82" s="126" t="s">
        <v>194</v>
      </c>
    </row>
    <row r="83" spans="1:28" x14ac:dyDescent="0.15">
      <c r="A83" s="126" t="s">
        <v>40</v>
      </c>
      <c r="B83" s="126" t="s">
        <v>190</v>
      </c>
      <c r="C83" s="126">
        <v>2020</v>
      </c>
      <c r="D83" s="127" t="s">
        <v>339</v>
      </c>
      <c r="E83" s="126" t="s">
        <v>350</v>
      </c>
      <c r="F83" s="126" t="s">
        <v>342</v>
      </c>
      <c r="G83" s="126" t="s">
        <v>25</v>
      </c>
      <c r="H83" s="126" t="s">
        <v>113</v>
      </c>
      <c r="I83" s="126" t="s">
        <v>111</v>
      </c>
      <c r="J83" s="80" t="s">
        <v>27</v>
      </c>
      <c r="K83" s="80" t="s">
        <v>112</v>
      </c>
      <c r="L83" s="126">
        <v>1</v>
      </c>
      <c r="N83" s="126">
        <v>1</v>
      </c>
      <c r="O83" s="126">
        <v>0.8</v>
      </c>
      <c r="P83" s="126">
        <v>0.9</v>
      </c>
      <c r="Q83" s="159">
        <f t="shared" si="3"/>
        <v>0.85000000000000009</v>
      </c>
      <c r="R83" s="126">
        <v>16.7</v>
      </c>
      <c r="S83" s="126">
        <v>158</v>
      </c>
      <c r="T83" s="159">
        <f t="shared" si="4"/>
        <v>18</v>
      </c>
      <c r="U83" s="126">
        <v>128</v>
      </c>
      <c r="V83" s="159">
        <f t="shared" si="5"/>
        <v>2304</v>
      </c>
      <c r="W83" s="126">
        <v>11</v>
      </c>
      <c r="X83" s="126" t="s">
        <v>35</v>
      </c>
      <c r="Y83" s="126" t="s">
        <v>64</v>
      </c>
      <c r="Z83" s="126" t="s">
        <v>55</v>
      </c>
      <c r="AA83" s="126" t="s">
        <v>82</v>
      </c>
      <c r="AB83" s="126" t="s">
        <v>194</v>
      </c>
    </row>
    <row r="84" spans="1:28" x14ac:dyDescent="0.15">
      <c r="A84" s="126" t="s">
        <v>40</v>
      </c>
      <c r="B84" s="126" t="s">
        <v>190</v>
      </c>
      <c r="C84" s="126">
        <v>2020</v>
      </c>
      <c r="D84" s="127" t="s">
        <v>339</v>
      </c>
      <c r="E84" s="126" t="s">
        <v>350</v>
      </c>
      <c r="F84" s="126" t="s">
        <v>342</v>
      </c>
      <c r="G84" s="126" t="s">
        <v>25</v>
      </c>
      <c r="H84" s="126" t="s">
        <v>113</v>
      </c>
      <c r="I84" s="126" t="s">
        <v>111</v>
      </c>
      <c r="J84" s="80" t="s">
        <v>27</v>
      </c>
      <c r="K84" s="80" t="s">
        <v>112</v>
      </c>
      <c r="L84" s="126">
        <v>2</v>
      </c>
      <c r="N84" s="126">
        <v>1</v>
      </c>
      <c r="O84" s="126">
        <v>0.85</v>
      </c>
      <c r="P84" s="126">
        <v>0.8</v>
      </c>
      <c r="Q84" s="159">
        <f t="shared" si="3"/>
        <v>0.82499999999999996</v>
      </c>
      <c r="R84" s="126">
        <v>16.899999999999999</v>
      </c>
      <c r="S84" s="126">
        <v>152</v>
      </c>
      <c r="T84" s="159">
        <f t="shared" si="4"/>
        <v>18</v>
      </c>
      <c r="U84" s="126">
        <v>128</v>
      </c>
      <c r="V84" s="159">
        <f t="shared" si="5"/>
        <v>2304</v>
      </c>
      <c r="W84" s="126">
        <v>11</v>
      </c>
      <c r="X84" s="126" t="s">
        <v>35</v>
      </c>
      <c r="Y84" s="126" t="s">
        <v>64</v>
      </c>
      <c r="Z84" s="126" t="s">
        <v>55</v>
      </c>
      <c r="AA84" s="126" t="s">
        <v>82</v>
      </c>
      <c r="AB84" s="126" t="s">
        <v>194</v>
      </c>
    </row>
    <row r="85" spans="1:28" x14ac:dyDescent="0.15">
      <c r="A85" s="126" t="s">
        <v>40</v>
      </c>
      <c r="B85" s="126" t="s">
        <v>190</v>
      </c>
      <c r="C85" s="126">
        <v>2020</v>
      </c>
      <c r="D85" s="127" t="s">
        <v>339</v>
      </c>
      <c r="E85" s="126" t="s">
        <v>350</v>
      </c>
      <c r="F85" s="126" t="s">
        <v>342</v>
      </c>
      <c r="G85" s="126" t="s">
        <v>25</v>
      </c>
      <c r="H85" s="126" t="s">
        <v>113</v>
      </c>
      <c r="I85" s="126" t="s">
        <v>111</v>
      </c>
      <c r="J85" s="80" t="s">
        <v>27</v>
      </c>
      <c r="K85" s="80" t="s">
        <v>112</v>
      </c>
      <c r="L85" s="126">
        <v>3</v>
      </c>
      <c r="N85" s="126">
        <v>1</v>
      </c>
      <c r="O85" s="126">
        <v>0.75</v>
      </c>
      <c r="P85" s="126">
        <v>0.75</v>
      </c>
      <c r="Q85" s="159">
        <f t="shared" si="3"/>
        <v>0.75</v>
      </c>
      <c r="R85" s="126">
        <v>17.2</v>
      </c>
      <c r="S85" s="126">
        <v>152</v>
      </c>
      <c r="T85" s="159">
        <f t="shared" si="4"/>
        <v>18</v>
      </c>
      <c r="U85" s="126">
        <v>128</v>
      </c>
      <c r="V85" s="159">
        <f t="shared" si="5"/>
        <v>2304</v>
      </c>
      <c r="W85" s="126">
        <v>11</v>
      </c>
      <c r="X85" s="126" t="s">
        <v>35</v>
      </c>
      <c r="Y85" s="126" t="s">
        <v>64</v>
      </c>
      <c r="Z85" s="126" t="s">
        <v>55</v>
      </c>
      <c r="AA85" s="126" t="s">
        <v>82</v>
      </c>
      <c r="AB85" s="126" t="s">
        <v>194</v>
      </c>
    </row>
    <row r="86" spans="1:28" x14ac:dyDescent="0.15">
      <c r="A86" s="126" t="s">
        <v>40</v>
      </c>
      <c r="B86" s="126" t="s">
        <v>190</v>
      </c>
      <c r="C86" s="126">
        <v>2020</v>
      </c>
      <c r="D86" s="127" t="s">
        <v>339</v>
      </c>
      <c r="E86" s="126" t="s">
        <v>350</v>
      </c>
      <c r="F86" s="126" t="s">
        <v>342</v>
      </c>
      <c r="G86" s="126" t="s">
        <v>25</v>
      </c>
      <c r="H86" s="126" t="s">
        <v>113</v>
      </c>
      <c r="I86" s="126" t="s">
        <v>111</v>
      </c>
      <c r="J86" s="80" t="s">
        <v>27</v>
      </c>
      <c r="K86" s="80" t="s">
        <v>112</v>
      </c>
      <c r="L86" s="126">
        <v>1</v>
      </c>
      <c r="N86" s="126">
        <v>4</v>
      </c>
      <c r="O86" s="126">
        <v>0.65</v>
      </c>
      <c r="P86" s="126">
        <v>0.5</v>
      </c>
      <c r="Q86" s="159">
        <f t="shared" si="3"/>
        <v>0.57499999999999996</v>
      </c>
      <c r="R86" s="126">
        <v>16.399999999999999</v>
      </c>
      <c r="S86" s="126">
        <v>102</v>
      </c>
      <c r="T86" s="159">
        <f t="shared" si="4"/>
        <v>33</v>
      </c>
      <c r="U86" s="126">
        <v>398</v>
      </c>
      <c r="V86" s="159">
        <f t="shared" si="5"/>
        <v>3283.5</v>
      </c>
      <c r="W86" s="126">
        <v>11</v>
      </c>
      <c r="X86" s="126" t="s">
        <v>35</v>
      </c>
      <c r="Y86" s="126" t="s">
        <v>64</v>
      </c>
      <c r="Z86" s="126" t="s">
        <v>55</v>
      </c>
      <c r="AA86" s="126" t="s">
        <v>82</v>
      </c>
      <c r="AB86" s="126" t="s">
        <v>194</v>
      </c>
    </row>
    <row r="87" spans="1:28" x14ac:dyDescent="0.15">
      <c r="A87" s="126" t="s">
        <v>40</v>
      </c>
      <c r="B87" s="126" t="s">
        <v>190</v>
      </c>
      <c r="C87" s="126">
        <v>2020</v>
      </c>
      <c r="D87" s="127" t="s">
        <v>339</v>
      </c>
      <c r="E87" s="126" t="s">
        <v>350</v>
      </c>
      <c r="F87" s="126" t="s">
        <v>342</v>
      </c>
      <c r="G87" s="126" t="s">
        <v>25</v>
      </c>
      <c r="H87" s="126" t="s">
        <v>113</v>
      </c>
      <c r="I87" s="126" t="s">
        <v>111</v>
      </c>
      <c r="J87" s="80" t="s">
        <v>27</v>
      </c>
      <c r="K87" s="80" t="s">
        <v>112</v>
      </c>
      <c r="L87" s="126">
        <v>2</v>
      </c>
      <c r="N87" s="126">
        <v>4</v>
      </c>
      <c r="O87" s="126">
        <v>0.6</v>
      </c>
      <c r="P87" s="126">
        <v>0.6</v>
      </c>
      <c r="Q87" s="159">
        <f t="shared" si="3"/>
        <v>0.6</v>
      </c>
      <c r="R87" s="126">
        <v>15.8</v>
      </c>
      <c r="S87" s="126">
        <v>97</v>
      </c>
      <c r="T87" s="159">
        <f t="shared" si="4"/>
        <v>36</v>
      </c>
      <c r="U87" s="126">
        <v>398</v>
      </c>
      <c r="V87" s="159">
        <f t="shared" si="5"/>
        <v>3582</v>
      </c>
      <c r="W87" s="126">
        <v>11</v>
      </c>
      <c r="X87" s="126" t="s">
        <v>35</v>
      </c>
      <c r="Y87" s="126" t="s">
        <v>64</v>
      </c>
      <c r="Z87" s="126" t="s">
        <v>55</v>
      </c>
      <c r="AA87" s="126" t="s">
        <v>82</v>
      </c>
      <c r="AB87" s="126" t="s">
        <v>194</v>
      </c>
    </row>
    <row r="88" spans="1:28" x14ac:dyDescent="0.15">
      <c r="A88" s="126" t="s">
        <v>40</v>
      </c>
      <c r="B88" s="126" t="s">
        <v>190</v>
      </c>
      <c r="C88" s="126">
        <v>2020</v>
      </c>
      <c r="D88" s="127" t="s">
        <v>339</v>
      </c>
      <c r="E88" s="126" t="s">
        <v>350</v>
      </c>
      <c r="F88" s="126" t="s">
        <v>342</v>
      </c>
      <c r="G88" s="126" t="s">
        <v>25</v>
      </c>
      <c r="H88" s="126" t="s">
        <v>113</v>
      </c>
      <c r="I88" s="126" t="s">
        <v>111</v>
      </c>
      <c r="J88" s="80" t="s">
        <v>27</v>
      </c>
      <c r="K88" s="80" t="s">
        <v>112</v>
      </c>
      <c r="L88" s="126">
        <v>3</v>
      </c>
      <c r="N88" s="126">
        <v>4</v>
      </c>
      <c r="O88" s="126">
        <v>0.55000000000000004</v>
      </c>
      <c r="P88" s="126">
        <v>0.6</v>
      </c>
      <c r="Q88" s="159">
        <f t="shared" si="3"/>
        <v>0.57499999999999996</v>
      </c>
      <c r="R88" s="126">
        <v>15.5</v>
      </c>
      <c r="S88" s="126">
        <v>95</v>
      </c>
      <c r="T88" s="159">
        <f t="shared" si="4"/>
        <v>36</v>
      </c>
      <c r="U88" s="126">
        <v>398</v>
      </c>
      <c r="V88" s="159">
        <f t="shared" si="5"/>
        <v>3582</v>
      </c>
      <c r="W88" s="126">
        <v>11</v>
      </c>
      <c r="X88" s="126" t="s">
        <v>35</v>
      </c>
      <c r="Y88" s="126" t="s">
        <v>64</v>
      </c>
      <c r="Z88" s="126" t="s">
        <v>55</v>
      </c>
      <c r="AA88" s="126" t="s">
        <v>82</v>
      </c>
      <c r="AB88" s="126" t="s">
        <v>194</v>
      </c>
    </row>
    <row r="89" spans="1:28" x14ac:dyDescent="0.15">
      <c r="A89" s="126" t="s">
        <v>40</v>
      </c>
      <c r="B89" s="126" t="s">
        <v>190</v>
      </c>
      <c r="C89" s="126">
        <v>2020</v>
      </c>
      <c r="D89" s="127" t="s">
        <v>339</v>
      </c>
      <c r="E89" s="126" t="s">
        <v>350</v>
      </c>
      <c r="F89" s="126" t="s">
        <v>342</v>
      </c>
      <c r="G89" s="126" t="s">
        <v>25</v>
      </c>
      <c r="H89" s="126" t="s">
        <v>113</v>
      </c>
      <c r="I89" s="126" t="s">
        <v>111</v>
      </c>
      <c r="J89" s="80" t="s">
        <v>27</v>
      </c>
      <c r="K89" s="80" t="s">
        <v>112</v>
      </c>
      <c r="L89" s="126">
        <v>1</v>
      </c>
      <c r="N89" s="126">
        <v>6</v>
      </c>
      <c r="O89" s="126">
        <v>0.5</v>
      </c>
      <c r="P89" s="126">
        <v>0.6</v>
      </c>
      <c r="Q89" s="159">
        <f t="shared" si="3"/>
        <v>0.55000000000000004</v>
      </c>
      <c r="R89" s="126">
        <v>15.5</v>
      </c>
      <c r="S89" s="126">
        <v>150</v>
      </c>
      <c r="T89" s="159">
        <f t="shared" si="4"/>
        <v>22</v>
      </c>
      <c r="U89" s="126">
        <v>780</v>
      </c>
      <c r="V89" s="159">
        <f t="shared" si="5"/>
        <v>2860</v>
      </c>
      <c r="W89" s="126">
        <v>11</v>
      </c>
      <c r="X89" s="126" t="s">
        <v>35</v>
      </c>
      <c r="Y89" s="126" t="s">
        <v>64</v>
      </c>
      <c r="Z89" s="126" t="s">
        <v>55</v>
      </c>
      <c r="AA89" s="126" t="s">
        <v>82</v>
      </c>
      <c r="AB89" s="126" t="s">
        <v>194</v>
      </c>
    </row>
    <row r="90" spans="1:28" x14ac:dyDescent="0.15">
      <c r="A90" s="126" t="s">
        <v>40</v>
      </c>
      <c r="B90" s="126" t="s">
        <v>190</v>
      </c>
      <c r="C90" s="126">
        <v>2020</v>
      </c>
      <c r="D90" s="127" t="s">
        <v>339</v>
      </c>
      <c r="E90" s="126" t="s">
        <v>350</v>
      </c>
      <c r="F90" s="126" t="s">
        <v>342</v>
      </c>
      <c r="G90" s="126" t="s">
        <v>25</v>
      </c>
      <c r="H90" s="126" t="s">
        <v>113</v>
      </c>
      <c r="I90" s="126" t="s">
        <v>111</v>
      </c>
      <c r="J90" s="80" t="s">
        <v>27</v>
      </c>
      <c r="K90" s="80" t="s">
        <v>112</v>
      </c>
      <c r="L90" s="126">
        <v>2</v>
      </c>
      <c r="N90" s="126">
        <v>6</v>
      </c>
      <c r="O90" s="126">
        <v>0.6</v>
      </c>
      <c r="P90" s="126">
        <v>0.6</v>
      </c>
      <c r="Q90" s="159">
        <f t="shared" si="3"/>
        <v>0.6</v>
      </c>
      <c r="R90" s="126">
        <v>16.600000000000001</v>
      </c>
      <c r="S90" s="126">
        <v>168</v>
      </c>
      <c r="T90" s="159">
        <f t="shared" si="4"/>
        <v>18</v>
      </c>
      <c r="U90" s="126">
        <v>780</v>
      </c>
      <c r="V90" s="159">
        <f t="shared" si="5"/>
        <v>2340</v>
      </c>
      <c r="W90" s="126">
        <v>11</v>
      </c>
      <c r="X90" s="126" t="s">
        <v>35</v>
      </c>
      <c r="Y90" s="126" t="s">
        <v>64</v>
      </c>
      <c r="Z90" s="126" t="s">
        <v>55</v>
      </c>
      <c r="AA90" s="126" t="s">
        <v>82</v>
      </c>
      <c r="AB90" s="126" t="s">
        <v>194</v>
      </c>
    </row>
    <row r="91" spans="1:28" x14ac:dyDescent="0.15">
      <c r="A91" s="126" t="s">
        <v>40</v>
      </c>
      <c r="B91" s="126" t="s">
        <v>190</v>
      </c>
      <c r="C91" s="126">
        <v>2020</v>
      </c>
      <c r="D91" s="127" t="s">
        <v>339</v>
      </c>
      <c r="E91" s="126" t="s">
        <v>350</v>
      </c>
      <c r="F91" s="126" t="s">
        <v>342</v>
      </c>
      <c r="G91" s="126" t="s">
        <v>25</v>
      </c>
      <c r="H91" s="126" t="s">
        <v>113</v>
      </c>
      <c r="I91" s="126" t="s">
        <v>111</v>
      </c>
      <c r="J91" s="80" t="s">
        <v>27</v>
      </c>
      <c r="K91" s="80" t="s">
        <v>112</v>
      </c>
      <c r="L91" s="126">
        <v>3</v>
      </c>
      <c r="N91" s="126">
        <v>6</v>
      </c>
      <c r="O91" s="126">
        <v>0.55000000000000004</v>
      </c>
      <c r="P91" s="126">
        <v>0.65</v>
      </c>
      <c r="Q91" s="159">
        <f t="shared" si="3"/>
        <v>0.60000000000000009</v>
      </c>
      <c r="R91" s="126">
        <v>16.3</v>
      </c>
      <c r="S91" s="126">
        <v>156</v>
      </c>
      <c r="T91" s="159">
        <f t="shared" si="4"/>
        <v>18</v>
      </c>
      <c r="U91" s="126">
        <v>780</v>
      </c>
      <c r="V91" s="159">
        <f t="shared" si="5"/>
        <v>2340</v>
      </c>
      <c r="W91" s="126">
        <v>11</v>
      </c>
      <c r="X91" s="126" t="s">
        <v>35</v>
      </c>
      <c r="Y91" s="126" t="s">
        <v>64</v>
      </c>
      <c r="Z91" s="126" t="s">
        <v>55</v>
      </c>
      <c r="AA91" s="126" t="s">
        <v>82</v>
      </c>
      <c r="AB91" s="126" t="s">
        <v>194</v>
      </c>
    </row>
    <row r="92" spans="1:28" x14ac:dyDescent="0.15">
      <c r="A92" s="126" t="s">
        <v>40</v>
      </c>
      <c r="B92" s="126" t="s">
        <v>190</v>
      </c>
      <c r="C92" s="126">
        <v>2020</v>
      </c>
      <c r="D92" s="127" t="s">
        <v>339</v>
      </c>
      <c r="E92" s="126" t="s">
        <v>350</v>
      </c>
      <c r="F92" s="126" t="s">
        <v>342</v>
      </c>
      <c r="G92" s="126" t="s">
        <v>25</v>
      </c>
      <c r="H92" s="126" t="s">
        <v>167</v>
      </c>
      <c r="I92" s="126" t="s">
        <v>111</v>
      </c>
      <c r="J92" s="80" t="s">
        <v>27</v>
      </c>
      <c r="K92" s="80" t="s">
        <v>112</v>
      </c>
      <c r="L92" s="126">
        <v>1</v>
      </c>
      <c r="N92" s="126">
        <v>1</v>
      </c>
      <c r="O92" s="126">
        <v>0.55000000000000004</v>
      </c>
      <c r="P92" s="126">
        <v>0.55000000000000004</v>
      </c>
      <c r="Q92" s="159">
        <f t="shared" si="3"/>
        <v>0.55000000000000004</v>
      </c>
      <c r="R92" s="126">
        <v>17.8</v>
      </c>
      <c r="S92" s="126">
        <v>146</v>
      </c>
      <c r="T92" s="159">
        <f t="shared" si="4"/>
        <v>22</v>
      </c>
      <c r="U92" s="126">
        <v>158</v>
      </c>
      <c r="V92" s="159">
        <f t="shared" si="5"/>
        <v>3476</v>
      </c>
      <c r="W92" s="126">
        <v>11</v>
      </c>
      <c r="X92" s="126" t="s">
        <v>35</v>
      </c>
      <c r="Y92" s="126" t="s">
        <v>64</v>
      </c>
      <c r="Z92" s="126" t="s">
        <v>55</v>
      </c>
      <c r="AA92" s="126" t="s">
        <v>82</v>
      </c>
      <c r="AB92" s="126" t="s">
        <v>194</v>
      </c>
    </row>
    <row r="93" spans="1:28" x14ac:dyDescent="0.15">
      <c r="A93" s="126" t="s">
        <v>40</v>
      </c>
      <c r="B93" s="126" t="s">
        <v>190</v>
      </c>
      <c r="C93" s="126">
        <v>2020</v>
      </c>
      <c r="D93" s="127" t="s">
        <v>339</v>
      </c>
      <c r="E93" s="126" t="s">
        <v>350</v>
      </c>
      <c r="F93" s="126" t="s">
        <v>342</v>
      </c>
      <c r="G93" s="126" t="s">
        <v>25</v>
      </c>
      <c r="H93" s="126" t="s">
        <v>167</v>
      </c>
      <c r="I93" s="126" t="s">
        <v>111</v>
      </c>
      <c r="J93" s="80" t="s">
        <v>27</v>
      </c>
      <c r="K93" s="80" t="s">
        <v>112</v>
      </c>
      <c r="L93" s="126">
        <v>2</v>
      </c>
      <c r="N93" s="126">
        <v>1</v>
      </c>
      <c r="O93" s="126">
        <v>0.6</v>
      </c>
      <c r="P93" s="126">
        <v>0.65</v>
      </c>
      <c r="Q93" s="159">
        <f t="shared" si="3"/>
        <v>0.625</v>
      </c>
      <c r="R93" s="126">
        <v>18.2</v>
      </c>
      <c r="S93" s="126">
        <v>146</v>
      </c>
      <c r="T93" s="159">
        <f t="shared" si="4"/>
        <v>22</v>
      </c>
      <c r="U93" s="126">
        <v>158</v>
      </c>
      <c r="V93" s="159">
        <f t="shared" si="5"/>
        <v>3476</v>
      </c>
      <c r="W93" s="126">
        <v>11</v>
      </c>
      <c r="X93" s="126" t="s">
        <v>35</v>
      </c>
      <c r="Y93" s="126" t="s">
        <v>64</v>
      </c>
      <c r="Z93" s="126" t="s">
        <v>55</v>
      </c>
      <c r="AA93" s="126" t="s">
        <v>82</v>
      </c>
      <c r="AB93" s="126" t="s">
        <v>194</v>
      </c>
    </row>
    <row r="94" spans="1:28" x14ac:dyDescent="0.15">
      <c r="A94" s="126" t="s">
        <v>40</v>
      </c>
      <c r="B94" s="126" t="s">
        <v>190</v>
      </c>
      <c r="C94" s="126">
        <v>2020</v>
      </c>
      <c r="D94" s="127" t="s">
        <v>339</v>
      </c>
      <c r="E94" s="126" t="s">
        <v>350</v>
      </c>
      <c r="F94" s="126" t="s">
        <v>342</v>
      </c>
      <c r="G94" s="126" t="s">
        <v>25</v>
      </c>
      <c r="H94" s="126" t="s">
        <v>167</v>
      </c>
      <c r="I94" s="126" t="s">
        <v>111</v>
      </c>
      <c r="J94" s="80" t="s">
        <v>27</v>
      </c>
      <c r="K94" s="80" t="s">
        <v>112</v>
      </c>
      <c r="L94" s="126">
        <v>3</v>
      </c>
      <c r="N94" s="126">
        <v>1</v>
      </c>
      <c r="O94" s="126">
        <v>0.7</v>
      </c>
      <c r="P94" s="126">
        <v>0.6</v>
      </c>
      <c r="Q94" s="159">
        <f t="shared" si="3"/>
        <v>0.64999999999999991</v>
      </c>
      <c r="R94" s="126">
        <v>17.5</v>
      </c>
      <c r="S94" s="126">
        <v>150</v>
      </c>
      <c r="T94" s="159">
        <f t="shared" si="4"/>
        <v>22</v>
      </c>
      <c r="U94" s="126">
        <v>158</v>
      </c>
      <c r="V94" s="159">
        <f t="shared" si="5"/>
        <v>3476</v>
      </c>
      <c r="W94" s="126">
        <v>11</v>
      </c>
      <c r="X94" s="126" t="s">
        <v>35</v>
      </c>
      <c r="Y94" s="126" t="s">
        <v>64</v>
      </c>
      <c r="Z94" s="126" t="s">
        <v>55</v>
      </c>
      <c r="AA94" s="126" t="s">
        <v>82</v>
      </c>
      <c r="AB94" s="126" t="s">
        <v>194</v>
      </c>
    </row>
    <row r="95" spans="1:28" x14ac:dyDescent="0.15">
      <c r="A95" s="126" t="s">
        <v>40</v>
      </c>
      <c r="B95" s="126" t="s">
        <v>190</v>
      </c>
      <c r="C95" s="126">
        <v>2020</v>
      </c>
      <c r="D95" s="127" t="s">
        <v>339</v>
      </c>
      <c r="E95" s="126" t="s">
        <v>350</v>
      </c>
      <c r="F95" s="126" t="s">
        <v>342</v>
      </c>
      <c r="G95" s="126" t="s">
        <v>25</v>
      </c>
      <c r="H95" s="126" t="s">
        <v>167</v>
      </c>
      <c r="I95" s="126" t="s">
        <v>111</v>
      </c>
      <c r="J95" s="80" t="s">
        <v>27</v>
      </c>
      <c r="K95" s="80" t="s">
        <v>112</v>
      </c>
      <c r="L95" s="126">
        <v>1</v>
      </c>
      <c r="N95" s="126">
        <v>4</v>
      </c>
      <c r="O95" s="126">
        <v>0.65</v>
      </c>
      <c r="P95" s="126">
        <v>0.65</v>
      </c>
      <c r="Q95" s="159">
        <f t="shared" si="3"/>
        <v>0.65</v>
      </c>
      <c r="R95" s="126">
        <v>14.5</v>
      </c>
      <c r="S95" s="126">
        <v>96</v>
      </c>
      <c r="T95" s="159">
        <f t="shared" si="4"/>
        <v>36</v>
      </c>
      <c r="U95" s="126">
        <v>498</v>
      </c>
      <c r="V95" s="159">
        <f t="shared" si="5"/>
        <v>4482</v>
      </c>
      <c r="W95" s="126">
        <v>11</v>
      </c>
      <c r="X95" s="126" t="s">
        <v>35</v>
      </c>
      <c r="Y95" s="126" t="s">
        <v>64</v>
      </c>
      <c r="Z95" s="126" t="s">
        <v>55</v>
      </c>
      <c r="AA95" s="126" t="s">
        <v>82</v>
      </c>
      <c r="AB95" s="126" t="s">
        <v>194</v>
      </c>
    </row>
    <row r="96" spans="1:28" x14ac:dyDescent="0.15">
      <c r="A96" s="126" t="s">
        <v>40</v>
      </c>
      <c r="B96" s="126" t="s">
        <v>190</v>
      </c>
      <c r="C96" s="126">
        <v>2020</v>
      </c>
      <c r="D96" s="127" t="s">
        <v>339</v>
      </c>
      <c r="E96" s="126" t="s">
        <v>350</v>
      </c>
      <c r="F96" s="126" t="s">
        <v>342</v>
      </c>
      <c r="G96" s="126" t="s">
        <v>25</v>
      </c>
      <c r="H96" s="126" t="s">
        <v>167</v>
      </c>
      <c r="I96" s="126" t="s">
        <v>111</v>
      </c>
      <c r="J96" s="80" t="s">
        <v>27</v>
      </c>
      <c r="K96" s="80" t="s">
        <v>112</v>
      </c>
      <c r="L96" s="126">
        <v>2</v>
      </c>
      <c r="N96" s="126">
        <v>4</v>
      </c>
      <c r="O96" s="126">
        <v>0.7</v>
      </c>
      <c r="P96" s="126">
        <v>0.6</v>
      </c>
      <c r="Q96" s="159">
        <f t="shared" si="3"/>
        <v>0.64999999999999991</v>
      </c>
      <c r="R96" s="126">
        <v>15.6</v>
      </c>
      <c r="S96" s="126">
        <v>98</v>
      </c>
      <c r="T96" s="159">
        <f t="shared" si="4"/>
        <v>36</v>
      </c>
      <c r="U96" s="126">
        <v>498</v>
      </c>
      <c r="V96" s="159">
        <f t="shared" si="5"/>
        <v>4482</v>
      </c>
      <c r="W96" s="126">
        <v>11</v>
      </c>
      <c r="X96" s="126" t="s">
        <v>35</v>
      </c>
      <c r="Y96" s="126" t="s">
        <v>64</v>
      </c>
      <c r="Z96" s="126" t="s">
        <v>55</v>
      </c>
      <c r="AA96" s="126" t="s">
        <v>82</v>
      </c>
      <c r="AB96" s="126" t="s">
        <v>194</v>
      </c>
    </row>
    <row r="97" spans="1:28" x14ac:dyDescent="0.15">
      <c r="A97" s="126" t="s">
        <v>40</v>
      </c>
      <c r="B97" s="126" t="s">
        <v>190</v>
      </c>
      <c r="C97" s="126">
        <v>2020</v>
      </c>
      <c r="D97" s="127" t="s">
        <v>339</v>
      </c>
      <c r="E97" s="126" t="s">
        <v>350</v>
      </c>
      <c r="F97" s="126" t="s">
        <v>342</v>
      </c>
      <c r="G97" s="126" t="s">
        <v>25</v>
      </c>
      <c r="H97" s="126" t="s">
        <v>167</v>
      </c>
      <c r="I97" s="126" t="s">
        <v>111</v>
      </c>
      <c r="J97" s="80" t="s">
        <v>27</v>
      </c>
      <c r="K97" s="80" t="s">
        <v>112</v>
      </c>
      <c r="L97" s="126">
        <v>3</v>
      </c>
      <c r="N97" s="126">
        <v>4</v>
      </c>
      <c r="O97" s="126">
        <v>0.7</v>
      </c>
      <c r="P97" s="126">
        <v>0.55000000000000004</v>
      </c>
      <c r="Q97" s="159">
        <f t="shared" si="3"/>
        <v>0.625</v>
      </c>
      <c r="R97" s="126">
        <v>16.399999999999999</v>
      </c>
      <c r="S97" s="126">
        <v>106</v>
      </c>
      <c r="T97" s="159">
        <f t="shared" si="4"/>
        <v>33</v>
      </c>
      <c r="U97" s="126">
        <v>498</v>
      </c>
      <c r="V97" s="159">
        <f t="shared" si="5"/>
        <v>4108.5</v>
      </c>
      <c r="W97" s="126">
        <v>11</v>
      </c>
      <c r="X97" s="126" t="s">
        <v>35</v>
      </c>
      <c r="Y97" s="126" t="s">
        <v>64</v>
      </c>
      <c r="Z97" s="126" t="s">
        <v>55</v>
      </c>
      <c r="AA97" s="126" t="s">
        <v>82</v>
      </c>
      <c r="AB97" s="126" t="s">
        <v>194</v>
      </c>
    </row>
    <row r="98" spans="1:28" x14ac:dyDescent="0.15">
      <c r="A98" s="126" t="s">
        <v>40</v>
      </c>
      <c r="B98" s="126" t="s">
        <v>190</v>
      </c>
      <c r="C98" s="126">
        <v>2020</v>
      </c>
      <c r="D98" s="127" t="s">
        <v>339</v>
      </c>
      <c r="E98" s="126" t="s">
        <v>350</v>
      </c>
      <c r="F98" s="126" t="s">
        <v>342</v>
      </c>
      <c r="G98" s="126" t="s">
        <v>25</v>
      </c>
      <c r="H98" s="126" t="s">
        <v>167</v>
      </c>
      <c r="I98" s="126" t="s">
        <v>111</v>
      </c>
      <c r="J98" s="80" t="s">
        <v>27</v>
      </c>
      <c r="K98" s="80" t="s">
        <v>112</v>
      </c>
      <c r="L98" s="126">
        <v>1</v>
      </c>
      <c r="N98" s="126">
        <v>6</v>
      </c>
      <c r="O98" s="126">
        <v>0.25</v>
      </c>
      <c r="P98" s="126">
        <v>0.25</v>
      </c>
      <c r="Q98" s="159">
        <f t="shared" si="3"/>
        <v>0.25</v>
      </c>
      <c r="R98" s="126">
        <v>17.2</v>
      </c>
      <c r="S98" s="126">
        <v>158</v>
      </c>
      <c r="T98" s="159">
        <f t="shared" si="4"/>
        <v>18</v>
      </c>
      <c r="U98" s="126">
        <v>880</v>
      </c>
      <c r="V98" s="159">
        <f t="shared" si="5"/>
        <v>2640</v>
      </c>
      <c r="W98" s="126">
        <v>11</v>
      </c>
      <c r="X98" s="126" t="s">
        <v>35</v>
      </c>
      <c r="Y98" s="126" t="s">
        <v>64</v>
      </c>
      <c r="Z98" s="126" t="s">
        <v>55</v>
      </c>
      <c r="AA98" s="126" t="s">
        <v>82</v>
      </c>
      <c r="AB98" s="126" t="s">
        <v>194</v>
      </c>
    </row>
    <row r="99" spans="1:28" x14ac:dyDescent="0.15">
      <c r="A99" s="126" t="s">
        <v>40</v>
      </c>
      <c r="B99" s="126" t="s">
        <v>190</v>
      </c>
      <c r="C99" s="126">
        <v>2020</v>
      </c>
      <c r="D99" s="127" t="s">
        <v>339</v>
      </c>
      <c r="E99" s="126" t="s">
        <v>350</v>
      </c>
      <c r="F99" s="126" t="s">
        <v>342</v>
      </c>
      <c r="G99" s="126" t="s">
        <v>25</v>
      </c>
      <c r="H99" s="126" t="s">
        <v>167</v>
      </c>
      <c r="I99" s="126" t="s">
        <v>111</v>
      </c>
      <c r="J99" s="80" t="s">
        <v>27</v>
      </c>
      <c r="K99" s="80" t="s">
        <v>112</v>
      </c>
      <c r="L99" s="126">
        <v>2</v>
      </c>
      <c r="N99" s="126">
        <v>6</v>
      </c>
      <c r="O99" s="126">
        <v>0.25</v>
      </c>
      <c r="P99" s="126">
        <v>0.25</v>
      </c>
      <c r="Q99" s="159">
        <f t="shared" si="3"/>
        <v>0.25</v>
      </c>
      <c r="R99" s="126">
        <v>15.1</v>
      </c>
      <c r="S99" s="126">
        <v>162</v>
      </c>
      <c r="T99" s="159">
        <f t="shared" si="4"/>
        <v>18</v>
      </c>
      <c r="U99" s="126">
        <v>880</v>
      </c>
      <c r="V99" s="159">
        <f t="shared" si="5"/>
        <v>2640</v>
      </c>
      <c r="W99" s="126">
        <v>11</v>
      </c>
      <c r="X99" s="126" t="s">
        <v>35</v>
      </c>
      <c r="Y99" s="126" t="s">
        <v>64</v>
      </c>
      <c r="Z99" s="126" t="s">
        <v>55</v>
      </c>
      <c r="AA99" s="126" t="s">
        <v>82</v>
      </c>
      <c r="AB99" s="126" t="s">
        <v>194</v>
      </c>
    </row>
    <row r="100" spans="1:28" x14ac:dyDescent="0.15">
      <c r="A100" s="126" t="s">
        <v>40</v>
      </c>
      <c r="B100" s="126" t="s">
        <v>190</v>
      </c>
      <c r="C100" s="126">
        <v>2020</v>
      </c>
      <c r="D100" s="127" t="s">
        <v>339</v>
      </c>
      <c r="E100" s="126" t="s">
        <v>350</v>
      </c>
      <c r="F100" s="126" t="s">
        <v>342</v>
      </c>
      <c r="G100" s="126" t="s">
        <v>25</v>
      </c>
      <c r="H100" s="126" t="s">
        <v>167</v>
      </c>
      <c r="I100" s="126" t="s">
        <v>111</v>
      </c>
      <c r="J100" s="80" t="s">
        <v>27</v>
      </c>
      <c r="K100" s="80" t="s">
        <v>112</v>
      </c>
      <c r="L100" s="126">
        <v>3</v>
      </c>
      <c r="N100" s="126">
        <v>6</v>
      </c>
      <c r="O100" s="126">
        <v>0.25</v>
      </c>
      <c r="P100" s="126">
        <v>0.7</v>
      </c>
      <c r="Q100" s="159">
        <f t="shared" si="3"/>
        <v>0.47499999999999998</v>
      </c>
      <c r="R100" s="126">
        <v>16.399999999999999</v>
      </c>
      <c r="S100" s="126">
        <v>164</v>
      </c>
      <c r="T100" s="159">
        <f t="shared" si="4"/>
        <v>18</v>
      </c>
      <c r="U100" s="126">
        <v>880</v>
      </c>
      <c r="V100" s="159">
        <f t="shared" si="5"/>
        <v>2640</v>
      </c>
      <c r="W100" s="126">
        <v>11</v>
      </c>
      <c r="X100" s="126" t="s">
        <v>35</v>
      </c>
      <c r="Y100" s="126" t="s">
        <v>64</v>
      </c>
      <c r="Z100" s="126" t="s">
        <v>55</v>
      </c>
      <c r="AA100" s="126" t="s">
        <v>82</v>
      </c>
      <c r="AB100" s="126" t="s">
        <v>194</v>
      </c>
    </row>
    <row r="101" spans="1:28" x14ac:dyDescent="0.15">
      <c r="A101" s="126" t="s">
        <v>40</v>
      </c>
      <c r="B101" s="126" t="s">
        <v>190</v>
      </c>
      <c r="C101" s="126">
        <v>2020</v>
      </c>
      <c r="D101" s="127" t="s">
        <v>339</v>
      </c>
      <c r="E101" s="126" t="s">
        <v>345</v>
      </c>
      <c r="F101" s="126" t="s">
        <v>346</v>
      </c>
      <c r="G101" s="126" t="s">
        <v>31</v>
      </c>
      <c r="H101" s="126" t="s">
        <v>113</v>
      </c>
      <c r="I101" s="126" t="s">
        <v>111</v>
      </c>
      <c r="J101" s="80" t="s">
        <v>27</v>
      </c>
      <c r="K101" s="80" t="s">
        <v>112</v>
      </c>
      <c r="L101" s="126">
        <v>1</v>
      </c>
      <c r="N101" s="126">
        <v>1</v>
      </c>
      <c r="O101" s="126">
        <v>0.8</v>
      </c>
      <c r="P101" s="126">
        <v>0.7</v>
      </c>
      <c r="Q101" s="159">
        <f t="shared" si="3"/>
        <v>0.75</v>
      </c>
      <c r="R101" s="126">
        <v>17.600000000000001</v>
      </c>
      <c r="S101" s="126">
        <v>134</v>
      </c>
      <c r="T101" s="159">
        <f t="shared" si="4"/>
        <v>25</v>
      </c>
      <c r="U101" s="126">
        <v>98</v>
      </c>
      <c r="V101" s="159">
        <f t="shared" si="5"/>
        <v>2450</v>
      </c>
      <c r="W101" s="126">
        <v>4</v>
      </c>
      <c r="X101" s="126" t="s">
        <v>35</v>
      </c>
      <c r="Y101" s="126" t="s">
        <v>55</v>
      </c>
      <c r="Z101" s="126" t="s">
        <v>86</v>
      </c>
      <c r="AA101" s="126" t="s">
        <v>76</v>
      </c>
      <c r="AB101" s="126" t="s">
        <v>194</v>
      </c>
    </row>
    <row r="102" spans="1:28" x14ac:dyDescent="0.15">
      <c r="A102" s="126" t="s">
        <v>40</v>
      </c>
      <c r="B102" s="126" t="s">
        <v>190</v>
      </c>
      <c r="C102" s="126">
        <v>2020</v>
      </c>
      <c r="D102" s="127" t="s">
        <v>339</v>
      </c>
      <c r="E102" s="126" t="s">
        <v>345</v>
      </c>
      <c r="F102" s="126" t="s">
        <v>346</v>
      </c>
      <c r="G102" s="126" t="s">
        <v>31</v>
      </c>
      <c r="H102" s="126" t="s">
        <v>113</v>
      </c>
      <c r="I102" s="126" t="s">
        <v>111</v>
      </c>
      <c r="J102" s="80" t="s">
        <v>27</v>
      </c>
      <c r="K102" s="80" t="s">
        <v>112</v>
      </c>
      <c r="L102" s="126">
        <v>2</v>
      </c>
      <c r="N102" s="126">
        <v>1</v>
      </c>
      <c r="O102" s="126">
        <v>0.85</v>
      </c>
      <c r="P102" s="126">
        <v>0.85</v>
      </c>
      <c r="Q102" s="159">
        <f t="shared" si="3"/>
        <v>0.85</v>
      </c>
      <c r="R102" s="126">
        <v>16.899999999999999</v>
      </c>
      <c r="S102" s="126">
        <v>134</v>
      </c>
      <c r="T102" s="159">
        <f t="shared" si="4"/>
        <v>25</v>
      </c>
      <c r="U102" s="126">
        <v>98</v>
      </c>
      <c r="V102" s="159">
        <f t="shared" si="5"/>
        <v>2450</v>
      </c>
      <c r="W102" s="126">
        <v>4</v>
      </c>
      <c r="X102" s="126" t="s">
        <v>35</v>
      </c>
      <c r="Y102" s="126" t="s">
        <v>55</v>
      </c>
      <c r="Z102" s="126" t="s">
        <v>86</v>
      </c>
      <c r="AA102" s="126" t="s">
        <v>76</v>
      </c>
      <c r="AB102" s="126" t="s">
        <v>194</v>
      </c>
    </row>
    <row r="103" spans="1:28" x14ac:dyDescent="0.15">
      <c r="A103" s="126" t="s">
        <v>40</v>
      </c>
      <c r="B103" s="126" t="s">
        <v>190</v>
      </c>
      <c r="C103" s="126">
        <v>2020</v>
      </c>
      <c r="D103" s="127" t="s">
        <v>339</v>
      </c>
      <c r="E103" s="126" t="s">
        <v>345</v>
      </c>
      <c r="F103" s="126" t="s">
        <v>346</v>
      </c>
      <c r="G103" s="126" t="s">
        <v>31</v>
      </c>
      <c r="H103" s="126" t="s">
        <v>113</v>
      </c>
      <c r="I103" s="126" t="s">
        <v>111</v>
      </c>
      <c r="J103" s="80" t="s">
        <v>27</v>
      </c>
      <c r="K103" s="80" t="s">
        <v>112</v>
      </c>
      <c r="L103" s="126">
        <v>3</v>
      </c>
      <c r="N103" s="126">
        <v>1</v>
      </c>
      <c r="O103" s="126">
        <v>0.9</v>
      </c>
      <c r="P103" s="126">
        <v>0.75</v>
      </c>
      <c r="Q103" s="159">
        <f t="shared" si="3"/>
        <v>0.82499999999999996</v>
      </c>
      <c r="R103" s="126">
        <v>18</v>
      </c>
      <c r="S103" s="126">
        <v>132</v>
      </c>
      <c r="T103" s="159">
        <f t="shared" si="4"/>
        <v>25</v>
      </c>
      <c r="U103" s="126">
        <v>98</v>
      </c>
      <c r="V103" s="159">
        <f t="shared" si="5"/>
        <v>2450</v>
      </c>
      <c r="W103" s="126">
        <v>4</v>
      </c>
      <c r="X103" s="126" t="s">
        <v>35</v>
      </c>
      <c r="Y103" s="126" t="s">
        <v>55</v>
      </c>
      <c r="Z103" s="126" t="s">
        <v>86</v>
      </c>
      <c r="AA103" s="126" t="s">
        <v>76</v>
      </c>
      <c r="AB103" s="126" t="s">
        <v>194</v>
      </c>
    </row>
    <row r="104" spans="1:28" x14ac:dyDescent="0.15">
      <c r="A104" s="126" t="s">
        <v>40</v>
      </c>
      <c r="B104" s="126" t="s">
        <v>190</v>
      </c>
      <c r="C104" s="126">
        <v>2020</v>
      </c>
      <c r="D104" s="127" t="s">
        <v>339</v>
      </c>
      <c r="E104" s="126" t="s">
        <v>345</v>
      </c>
      <c r="F104" s="126" t="s">
        <v>346</v>
      </c>
      <c r="G104" s="126" t="s">
        <v>31</v>
      </c>
      <c r="H104" s="126" t="s">
        <v>167</v>
      </c>
      <c r="I104" s="126" t="s">
        <v>111</v>
      </c>
      <c r="J104" s="80" t="s">
        <v>27</v>
      </c>
      <c r="K104" s="80" t="s">
        <v>112</v>
      </c>
      <c r="L104" s="126">
        <v>1</v>
      </c>
      <c r="N104" s="126">
        <v>1</v>
      </c>
      <c r="O104" s="126">
        <v>0.75</v>
      </c>
      <c r="P104" s="126">
        <v>0.85</v>
      </c>
      <c r="Q104" s="159">
        <f t="shared" si="3"/>
        <v>0.8</v>
      </c>
      <c r="R104" s="126">
        <v>15.4</v>
      </c>
      <c r="S104" s="126">
        <v>132</v>
      </c>
      <c r="T104" s="159">
        <f t="shared" si="4"/>
        <v>25</v>
      </c>
      <c r="U104" s="126">
        <v>98</v>
      </c>
      <c r="V104" s="159">
        <f t="shared" si="5"/>
        <v>2450</v>
      </c>
      <c r="W104" s="126">
        <v>4</v>
      </c>
      <c r="X104" s="126" t="s">
        <v>35</v>
      </c>
      <c r="Y104" s="126" t="s">
        <v>55</v>
      </c>
      <c r="Z104" s="126" t="s">
        <v>86</v>
      </c>
      <c r="AA104" s="126" t="s">
        <v>76</v>
      </c>
      <c r="AB104" s="126" t="s">
        <v>194</v>
      </c>
    </row>
    <row r="105" spans="1:28" x14ac:dyDescent="0.15">
      <c r="A105" s="126" t="s">
        <v>40</v>
      </c>
      <c r="B105" s="126" t="s">
        <v>190</v>
      </c>
      <c r="C105" s="126">
        <v>2020</v>
      </c>
      <c r="D105" s="127" t="s">
        <v>339</v>
      </c>
      <c r="E105" s="126" t="s">
        <v>345</v>
      </c>
      <c r="F105" s="126" t="s">
        <v>346</v>
      </c>
      <c r="G105" s="126" t="s">
        <v>31</v>
      </c>
      <c r="H105" s="126" t="s">
        <v>167</v>
      </c>
      <c r="I105" s="126" t="s">
        <v>111</v>
      </c>
      <c r="J105" s="80" t="s">
        <v>27</v>
      </c>
      <c r="K105" s="80" t="s">
        <v>112</v>
      </c>
      <c r="L105" s="126">
        <v>2</v>
      </c>
      <c r="N105" s="126">
        <v>1</v>
      </c>
      <c r="O105" s="126">
        <v>0.8</v>
      </c>
      <c r="P105" s="126">
        <v>0.8</v>
      </c>
      <c r="Q105" s="159">
        <f t="shared" si="3"/>
        <v>0.8</v>
      </c>
      <c r="R105" s="126">
        <v>15.7</v>
      </c>
      <c r="S105" s="126">
        <v>132</v>
      </c>
      <c r="T105" s="159">
        <f t="shared" si="4"/>
        <v>25</v>
      </c>
      <c r="U105" s="126">
        <v>98</v>
      </c>
      <c r="V105" s="159">
        <f t="shared" si="5"/>
        <v>2450</v>
      </c>
      <c r="W105" s="126">
        <v>4</v>
      </c>
      <c r="X105" s="126" t="s">
        <v>35</v>
      </c>
      <c r="Y105" s="126" t="s">
        <v>55</v>
      </c>
      <c r="Z105" s="126" t="s">
        <v>86</v>
      </c>
      <c r="AA105" s="126" t="s">
        <v>76</v>
      </c>
      <c r="AB105" s="126" t="s">
        <v>194</v>
      </c>
    </row>
    <row r="106" spans="1:28" x14ac:dyDescent="0.15">
      <c r="A106" s="126" t="s">
        <v>40</v>
      </c>
      <c r="B106" s="126" t="s">
        <v>190</v>
      </c>
      <c r="C106" s="126">
        <v>2020</v>
      </c>
      <c r="D106" s="127" t="s">
        <v>339</v>
      </c>
      <c r="E106" s="126" t="s">
        <v>345</v>
      </c>
      <c r="F106" s="126" t="s">
        <v>346</v>
      </c>
      <c r="G106" s="126" t="s">
        <v>31</v>
      </c>
      <c r="H106" s="126" t="s">
        <v>167</v>
      </c>
      <c r="I106" s="126" t="s">
        <v>111</v>
      </c>
      <c r="J106" s="80" t="s">
        <v>27</v>
      </c>
      <c r="K106" s="80" t="s">
        <v>112</v>
      </c>
      <c r="L106" s="126">
        <v>3</v>
      </c>
      <c r="N106" s="126">
        <v>1</v>
      </c>
      <c r="O106" s="126">
        <v>0.85</v>
      </c>
      <c r="P106" s="126">
        <v>0.75</v>
      </c>
      <c r="Q106" s="159">
        <f t="shared" si="3"/>
        <v>0.8</v>
      </c>
      <c r="R106" s="126">
        <v>16.100000000000001</v>
      </c>
      <c r="S106" s="126">
        <v>134</v>
      </c>
      <c r="T106" s="159">
        <f t="shared" si="4"/>
        <v>25</v>
      </c>
      <c r="U106" s="126">
        <v>98</v>
      </c>
      <c r="V106" s="159">
        <f t="shared" si="5"/>
        <v>2450</v>
      </c>
      <c r="W106" s="126">
        <v>4</v>
      </c>
      <c r="X106" s="126" t="s">
        <v>35</v>
      </c>
      <c r="Y106" s="126" t="s">
        <v>55</v>
      </c>
      <c r="Z106" s="126" t="s">
        <v>86</v>
      </c>
      <c r="AA106" s="126" t="s">
        <v>76</v>
      </c>
      <c r="AB106" s="126" t="s">
        <v>194</v>
      </c>
    </row>
    <row r="107" spans="1:28" x14ac:dyDescent="0.15">
      <c r="A107" s="126" t="s">
        <v>40</v>
      </c>
      <c r="B107" s="126" t="s">
        <v>190</v>
      </c>
      <c r="C107" s="126">
        <v>2020</v>
      </c>
      <c r="D107" s="127" t="s">
        <v>339</v>
      </c>
      <c r="E107" s="126" t="s">
        <v>351</v>
      </c>
      <c r="F107" s="126" t="s">
        <v>352</v>
      </c>
      <c r="G107" s="126" t="s">
        <v>25</v>
      </c>
      <c r="H107" s="126" t="s">
        <v>113</v>
      </c>
      <c r="I107" s="126" t="s">
        <v>111</v>
      </c>
      <c r="J107" s="80" t="s">
        <v>27</v>
      </c>
      <c r="K107" s="80" t="s">
        <v>112</v>
      </c>
      <c r="L107" s="126">
        <v>1</v>
      </c>
      <c r="N107" s="126">
        <v>1</v>
      </c>
      <c r="O107" s="126">
        <v>0.85</v>
      </c>
      <c r="P107" s="126">
        <v>0.9</v>
      </c>
      <c r="Q107" s="159">
        <f t="shared" si="3"/>
        <v>0.875</v>
      </c>
      <c r="R107" s="126">
        <v>16.5</v>
      </c>
      <c r="S107" s="126">
        <v>140</v>
      </c>
      <c r="T107" s="159">
        <f t="shared" si="4"/>
        <v>22</v>
      </c>
      <c r="U107" s="126">
        <v>98</v>
      </c>
      <c r="V107" s="159">
        <f t="shared" si="5"/>
        <v>2156</v>
      </c>
      <c r="W107" s="126">
        <v>8</v>
      </c>
      <c r="X107" s="126" t="s">
        <v>35</v>
      </c>
      <c r="Y107" s="126" t="s">
        <v>86</v>
      </c>
      <c r="Z107" s="126" t="s">
        <v>64</v>
      </c>
      <c r="AA107" s="126" t="s">
        <v>55</v>
      </c>
      <c r="AB107" s="126" t="s">
        <v>194</v>
      </c>
    </row>
    <row r="108" spans="1:28" x14ac:dyDescent="0.15">
      <c r="A108" s="126" t="s">
        <v>40</v>
      </c>
      <c r="B108" s="126" t="s">
        <v>190</v>
      </c>
      <c r="C108" s="126">
        <v>2020</v>
      </c>
      <c r="D108" s="127" t="s">
        <v>339</v>
      </c>
      <c r="E108" s="126" t="s">
        <v>351</v>
      </c>
      <c r="F108" s="126" t="s">
        <v>352</v>
      </c>
      <c r="G108" s="126" t="s">
        <v>25</v>
      </c>
      <c r="H108" s="126" t="s">
        <v>113</v>
      </c>
      <c r="I108" s="126" t="s">
        <v>111</v>
      </c>
      <c r="J108" s="80" t="s">
        <v>27</v>
      </c>
      <c r="K108" s="80" t="s">
        <v>112</v>
      </c>
      <c r="L108" s="126">
        <v>2</v>
      </c>
      <c r="N108" s="126">
        <v>1</v>
      </c>
      <c r="O108" s="126">
        <v>0.9</v>
      </c>
      <c r="P108" s="126">
        <v>1</v>
      </c>
      <c r="Q108" s="159">
        <f t="shared" si="3"/>
        <v>0.95</v>
      </c>
      <c r="R108" s="126">
        <v>16.3</v>
      </c>
      <c r="S108" s="126">
        <v>134</v>
      </c>
      <c r="T108" s="159">
        <f t="shared" si="4"/>
        <v>25</v>
      </c>
      <c r="U108" s="126">
        <v>98</v>
      </c>
      <c r="V108" s="159">
        <f t="shared" si="5"/>
        <v>2450</v>
      </c>
      <c r="W108" s="126">
        <v>8</v>
      </c>
      <c r="X108" s="126" t="s">
        <v>35</v>
      </c>
      <c r="Y108" s="126" t="s">
        <v>86</v>
      </c>
      <c r="Z108" s="126" t="s">
        <v>64</v>
      </c>
      <c r="AA108" s="126" t="s">
        <v>55</v>
      </c>
      <c r="AB108" s="126" t="s">
        <v>194</v>
      </c>
    </row>
    <row r="109" spans="1:28" x14ac:dyDescent="0.15">
      <c r="A109" s="126" t="s">
        <v>40</v>
      </c>
      <c r="B109" s="126" t="s">
        <v>190</v>
      </c>
      <c r="C109" s="126">
        <v>2020</v>
      </c>
      <c r="D109" s="127" t="s">
        <v>339</v>
      </c>
      <c r="E109" s="126" t="s">
        <v>351</v>
      </c>
      <c r="F109" s="126" t="s">
        <v>352</v>
      </c>
      <c r="G109" s="126" t="s">
        <v>25</v>
      </c>
      <c r="H109" s="126" t="s">
        <v>113</v>
      </c>
      <c r="I109" s="126" t="s">
        <v>111</v>
      </c>
      <c r="J109" s="80" t="s">
        <v>27</v>
      </c>
      <c r="K109" s="80" t="s">
        <v>112</v>
      </c>
      <c r="L109" s="126">
        <v>3</v>
      </c>
      <c r="N109" s="126">
        <v>1</v>
      </c>
      <c r="O109" s="126">
        <v>0.95</v>
      </c>
      <c r="P109" s="126">
        <v>0.95</v>
      </c>
      <c r="Q109" s="159">
        <f t="shared" si="3"/>
        <v>0.95</v>
      </c>
      <c r="R109" s="126">
        <v>15.1</v>
      </c>
      <c r="S109" s="126">
        <v>126</v>
      </c>
      <c r="T109" s="159">
        <f t="shared" si="4"/>
        <v>27</v>
      </c>
      <c r="U109" s="126">
        <v>98</v>
      </c>
      <c r="V109" s="159">
        <f t="shared" si="5"/>
        <v>2646</v>
      </c>
      <c r="W109" s="126">
        <v>8</v>
      </c>
      <c r="X109" s="126" t="s">
        <v>35</v>
      </c>
      <c r="Y109" s="126" t="s">
        <v>86</v>
      </c>
      <c r="Z109" s="126" t="s">
        <v>64</v>
      </c>
      <c r="AA109" s="126" t="s">
        <v>55</v>
      </c>
      <c r="AB109" s="126" t="s">
        <v>194</v>
      </c>
    </row>
    <row r="110" spans="1:28" x14ac:dyDescent="0.15">
      <c r="A110" s="126" t="s">
        <v>40</v>
      </c>
      <c r="B110" s="126" t="s">
        <v>190</v>
      </c>
      <c r="C110" s="126">
        <v>2020</v>
      </c>
      <c r="D110" s="127" t="s">
        <v>339</v>
      </c>
      <c r="E110" s="126" t="s">
        <v>351</v>
      </c>
      <c r="F110" s="126" t="s">
        <v>352</v>
      </c>
      <c r="G110" s="126" t="s">
        <v>25</v>
      </c>
      <c r="H110" s="126" t="s">
        <v>113</v>
      </c>
      <c r="I110" s="126" t="s">
        <v>111</v>
      </c>
      <c r="J110" s="80" t="s">
        <v>27</v>
      </c>
      <c r="K110" s="80" t="s">
        <v>112</v>
      </c>
      <c r="L110" s="126">
        <v>1</v>
      </c>
      <c r="N110" s="126">
        <v>4</v>
      </c>
      <c r="O110" s="126">
        <v>0.85</v>
      </c>
      <c r="P110" s="126">
        <v>0.95</v>
      </c>
      <c r="Q110" s="159">
        <f t="shared" si="3"/>
        <v>0.89999999999999991</v>
      </c>
      <c r="R110" s="126">
        <v>15.5</v>
      </c>
      <c r="S110" s="126">
        <v>118</v>
      </c>
      <c r="T110" s="159">
        <f t="shared" si="4"/>
        <v>30</v>
      </c>
      <c r="U110" s="126">
        <v>398</v>
      </c>
      <c r="V110" s="159">
        <f t="shared" si="5"/>
        <v>2985</v>
      </c>
      <c r="W110" s="126">
        <v>8</v>
      </c>
      <c r="X110" s="126" t="s">
        <v>35</v>
      </c>
      <c r="Y110" s="126" t="s">
        <v>86</v>
      </c>
      <c r="Z110" s="126" t="s">
        <v>64</v>
      </c>
      <c r="AA110" s="126" t="s">
        <v>55</v>
      </c>
      <c r="AB110" s="126" t="s">
        <v>194</v>
      </c>
    </row>
    <row r="111" spans="1:28" x14ac:dyDescent="0.15">
      <c r="A111" s="126" t="s">
        <v>40</v>
      </c>
      <c r="B111" s="126" t="s">
        <v>190</v>
      </c>
      <c r="C111" s="126">
        <v>2020</v>
      </c>
      <c r="D111" s="127" t="s">
        <v>339</v>
      </c>
      <c r="E111" s="126" t="s">
        <v>351</v>
      </c>
      <c r="F111" s="126" t="s">
        <v>352</v>
      </c>
      <c r="G111" s="126" t="s">
        <v>25</v>
      </c>
      <c r="H111" s="126" t="s">
        <v>113</v>
      </c>
      <c r="I111" s="126" t="s">
        <v>111</v>
      </c>
      <c r="J111" s="80" t="s">
        <v>27</v>
      </c>
      <c r="K111" s="80" t="s">
        <v>112</v>
      </c>
      <c r="L111" s="126">
        <v>2</v>
      </c>
      <c r="N111" s="126">
        <v>4</v>
      </c>
      <c r="O111" s="126">
        <v>0.9</v>
      </c>
      <c r="P111" s="126">
        <v>0.75</v>
      </c>
      <c r="Q111" s="159">
        <f t="shared" si="3"/>
        <v>0.82499999999999996</v>
      </c>
      <c r="R111" s="126">
        <v>15.8</v>
      </c>
      <c r="S111" s="126">
        <v>120</v>
      </c>
      <c r="T111" s="159">
        <f t="shared" si="4"/>
        <v>30</v>
      </c>
      <c r="U111" s="126">
        <v>398</v>
      </c>
      <c r="V111" s="159">
        <f t="shared" si="5"/>
        <v>2985</v>
      </c>
      <c r="W111" s="126">
        <v>8</v>
      </c>
      <c r="X111" s="126" t="s">
        <v>35</v>
      </c>
      <c r="Y111" s="126" t="s">
        <v>86</v>
      </c>
      <c r="Z111" s="126" t="s">
        <v>64</v>
      </c>
      <c r="AA111" s="126" t="s">
        <v>55</v>
      </c>
      <c r="AB111" s="126" t="s">
        <v>194</v>
      </c>
    </row>
    <row r="112" spans="1:28" x14ac:dyDescent="0.15">
      <c r="A112" s="126" t="s">
        <v>40</v>
      </c>
      <c r="B112" s="126" t="s">
        <v>190</v>
      </c>
      <c r="C112" s="126">
        <v>2020</v>
      </c>
      <c r="D112" s="127" t="s">
        <v>339</v>
      </c>
      <c r="E112" s="126" t="s">
        <v>351</v>
      </c>
      <c r="F112" s="126" t="s">
        <v>352</v>
      </c>
      <c r="G112" s="126" t="s">
        <v>25</v>
      </c>
      <c r="H112" s="126" t="s">
        <v>113</v>
      </c>
      <c r="I112" s="126" t="s">
        <v>111</v>
      </c>
      <c r="J112" s="80" t="s">
        <v>27</v>
      </c>
      <c r="K112" s="80" t="s">
        <v>112</v>
      </c>
      <c r="L112" s="126">
        <v>3</v>
      </c>
      <c r="N112" s="126">
        <v>4</v>
      </c>
      <c r="O112" s="126">
        <v>0.8</v>
      </c>
      <c r="P112" s="126">
        <v>0.8</v>
      </c>
      <c r="Q112" s="159">
        <f t="shared" si="3"/>
        <v>0.8</v>
      </c>
      <c r="R112" s="126">
        <v>16.100000000000001</v>
      </c>
      <c r="S112" s="126">
        <v>122</v>
      </c>
      <c r="T112" s="159">
        <f t="shared" si="4"/>
        <v>27</v>
      </c>
      <c r="U112" s="126">
        <v>398</v>
      </c>
      <c r="V112" s="159">
        <f t="shared" si="5"/>
        <v>2686.5</v>
      </c>
      <c r="W112" s="126">
        <v>8</v>
      </c>
      <c r="X112" s="126" t="s">
        <v>35</v>
      </c>
      <c r="Y112" s="126" t="s">
        <v>86</v>
      </c>
      <c r="Z112" s="126" t="s">
        <v>64</v>
      </c>
      <c r="AA112" s="126" t="s">
        <v>55</v>
      </c>
      <c r="AB112" s="126" t="s">
        <v>194</v>
      </c>
    </row>
    <row r="113" spans="1:28" x14ac:dyDescent="0.15">
      <c r="A113" s="126" t="s">
        <v>40</v>
      </c>
      <c r="B113" s="126" t="s">
        <v>190</v>
      </c>
      <c r="C113" s="126">
        <v>2020</v>
      </c>
      <c r="D113" s="127" t="s">
        <v>339</v>
      </c>
      <c r="E113" s="126" t="s">
        <v>351</v>
      </c>
      <c r="F113" s="126" t="s">
        <v>352</v>
      </c>
      <c r="G113" s="126" t="s">
        <v>25</v>
      </c>
      <c r="H113" s="126" t="s">
        <v>167</v>
      </c>
      <c r="I113" s="126" t="s">
        <v>111</v>
      </c>
      <c r="J113" s="80" t="s">
        <v>27</v>
      </c>
      <c r="K113" s="80" t="s">
        <v>112</v>
      </c>
      <c r="L113" s="126">
        <v>1</v>
      </c>
      <c r="N113" s="126">
        <v>1</v>
      </c>
      <c r="O113" s="126">
        <v>0.65</v>
      </c>
      <c r="P113" s="126">
        <v>0.65</v>
      </c>
      <c r="Q113" s="159">
        <f t="shared" si="3"/>
        <v>0.65</v>
      </c>
      <c r="R113" s="126">
        <v>17.2</v>
      </c>
      <c r="S113" s="126">
        <v>136</v>
      </c>
      <c r="T113" s="159">
        <f t="shared" si="4"/>
        <v>25</v>
      </c>
      <c r="U113" s="126">
        <v>98</v>
      </c>
      <c r="V113" s="159">
        <f t="shared" si="5"/>
        <v>2450</v>
      </c>
      <c r="W113" s="126">
        <v>8</v>
      </c>
      <c r="X113" s="126" t="s">
        <v>35</v>
      </c>
      <c r="Y113" s="126" t="s">
        <v>86</v>
      </c>
      <c r="Z113" s="126" t="s">
        <v>64</v>
      </c>
      <c r="AA113" s="126" t="s">
        <v>55</v>
      </c>
      <c r="AB113" s="126" t="s">
        <v>194</v>
      </c>
    </row>
    <row r="114" spans="1:28" x14ac:dyDescent="0.15">
      <c r="A114" s="126" t="s">
        <v>40</v>
      </c>
      <c r="B114" s="126" t="s">
        <v>190</v>
      </c>
      <c r="C114" s="126">
        <v>2020</v>
      </c>
      <c r="D114" s="127" t="s">
        <v>339</v>
      </c>
      <c r="E114" s="126" t="s">
        <v>351</v>
      </c>
      <c r="F114" s="126" t="s">
        <v>352</v>
      </c>
      <c r="G114" s="126" t="s">
        <v>25</v>
      </c>
      <c r="H114" s="126" t="s">
        <v>167</v>
      </c>
      <c r="I114" s="126" t="s">
        <v>111</v>
      </c>
      <c r="J114" s="80" t="s">
        <v>27</v>
      </c>
      <c r="K114" s="80" t="s">
        <v>112</v>
      </c>
      <c r="L114" s="126">
        <v>2</v>
      </c>
      <c r="N114" s="126">
        <v>1</v>
      </c>
      <c r="O114" s="126">
        <v>0.75</v>
      </c>
      <c r="P114" s="126">
        <v>0.55000000000000004</v>
      </c>
      <c r="Q114" s="159">
        <f t="shared" si="3"/>
        <v>0.65</v>
      </c>
      <c r="R114" s="126">
        <v>16.399999999999999</v>
      </c>
      <c r="S114" s="126">
        <v>96</v>
      </c>
      <c r="T114" s="159">
        <f t="shared" si="4"/>
        <v>36</v>
      </c>
      <c r="U114" s="126">
        <v>98</v>
      </c>
      <c r="V114" s="159">
        <f t="shared" si="5"/>
        <v>3528</v>
      </c>
      <c r="W114" s="126">
        <v>8</v>
      </c>
      <c r="X114" s="126" t="s">
        <v>35</v>
      </c>
      <c r="Y114" s="126" t="s">
        <v>86</v>
      </c>
      <c r="Z114" s="126" t="s">
        <v>64</v>
      </c>
      <c r="AA114" s="126" t="s">
        <v>55</v>
      </c>
      <c r="AB114" s="126" t="s">
        <v>194</v>
      </c>
    </row>
    <row r="115" spans="1:28" x14ac:dyDescent="0.15">
      <c r="A115" s="126" t="s">
        <v>40</v>
      </c>
      <c r="B115" s="126" t="s">
        <v>190</v>
      </c>
      <c r="C115" s="126">
        <v>2020</v>
      </c>
      <c r="D115" s="127" t="s">
        <v>339</v>
      </c>
      <c r="E115" s="126" t="s">
        <v>351</v>
      </c>
      <c r="F115" s="126" t="s">
        <v>352</v>
      </c>
      <c r="G115" s="126" t="s">
        <v>25</v>
      </c>
      <c r="H115" s="126" t="s">
        <v>167</v>
      </c>
      <c r="I115" s="126" t="s">
        <v>111</v>
      </c>
      <c r="J115" s="80" t="s">
        <v>27</v>
      </c>
      <c r="K115" s="80" t="s">
        <v>112</v>
      </c>
      <c r="L115" s="126">
        <v>3</v>
      </c>
      <c r="N115" s="126">
        <v>1</v>
      </c>
      <c r="O115" s="126">
        <v>0.65</v>
      </c>
      <c r="P115" s="126">
        <v>0.7</v>
      </c>
      <c r="Q115" s="159">
        <f t="shared" si="3"/>
        <v>0.67500000000000004</v>
      </c>
      <c r="R115" s="126">
        <v>16.5</v>
      </c>
      <c r="S115" s="126">
        <v>97</v>
      </c>
      <c r="T115" s="159">
        <f t="shared" si="4"/>
        <v>36</v>
      </c>
      <c r="U115" s="126">
        <v>98</v>
      </c>
      <c r="V115" s="159">
        <f t="shared" si="5"/>
        <v>3528</v>
      </c>
      <c r="W115" s="126">
        <v>8</v>
      </c>
      <c r="X115" s="126" t="s">
        <v>35</v>
      </c>
      <c r="Y115" s="126" t="s">
        <v>86</v>
      </c>
      <c r="Z115" s="126" t="s">
        <v>64</v>
      </c>
      <c r="AA115" s="126" t="s">
        <v>55</v>
      </c>
      <c r="AB115" s="126" t="s">
        <v>194</v>
      </c>
    </row>
    <row r="116" spans="1:28" x14ac:dyDescent="0.15">
      <c r="A116" s="126" t="s">
        <v>40</v>
      </c>
      <c r="B116" s="126" t="s">
        <v>190</v>
      </c>
      <c r="C116" s="126">
        <v>2020</v>
      </c>
      <c r="D116" s="127" t="s">
        <v>339</v>
      </c>
      <c r="E116" s="126" t="s">
        <v>351</v>
      </c>
      <c r="F116" s="126" t="s">
        <v>352</v>
      </c>
      <c r="G116" s="126" t="s">
        <v>25</v>
      </c>
      <c r="H116" s="126" t="s">
        <v>167</v>
      </c>
      <c r="I116" s="126" t="s">
        <v>111</v>
      </c>
      <c r="J116" s="80" t="s">
        <v>27</v>
      </c>
      <c r="K116" s="80" t="s">
        <v>112</v>
      </c>
      <c r="L116" s="126">
        <v>1</v>
      </c>
      <c r="N116" s="126">
        <v>4</v>
      </c>
      <c r="O116" s="126">
        <v>0.65</v>
      </c>
      <c r="P116" s="126">
        <v>0.7</v>
      </c>
      <c r="Q116" s="159">
        <f t="shared" si="3"/>
        <v>0.67500000000000004</v>
      </c>
      <c r="R116" s="126">
        <v>18.399999999999999</v>
      </c>
      <c r="S116" s="126">
        <v>112</v>
      </c>
      <c r="T116" s="159">
        <f t="shared" si="4"/>
        <v>33</v>
      </c>
      <c r="U116" s="126">
        <v>480</v>
      </c>
      <c r="V116" s="159">
        <f t="shared" si="5"/>
        <v>3960</v>
      </c>
      <c r="W116" s="126">
        <v>8</v>
      </c>
      <c r="X116" s="126" t="s">
        <v>35</v>
      </c>
      <c r="Y116" s="126" t="s">
        <v>86</v>
      </c>
      <c r="Z116" s="126" t="s">
        <v>64</v>
      </c>
      <c r="AA116" s="126" t="s">
        <v>55</v>
      </c>
      <c r="AB116" s="126" t="s">
        <v>194</v>
      </c>
    </row>
    <row r="117" spans="1:28" x14ac:dyDescent="0.15">
      <c r="A117" s="126" t="s">
        <v>40</v>
      </c>
      <c r="B117" s="126" t="s">
        <v>190</v>
      </c>
      <c r="C117" s="126">
        <v>2020</v>
      </c>
      <c r="D117" s="127" t="s">
        <v>339</v>
      </c>
      <c r="E117" s="126" t="s">
        <v>351</v>
      </c>
      <c r="F117" s="126" t="s">
        <v>352</v>
      </c>
      <c r="G117" s="126" t="s">
        <v>25</v>
      </c>
      <c r="H117" s="126" t="s">
        <v>167</v>
      </c>
      <c r="I117" s="126" t="s">
        <v>111</v>
      </c>
      <c r="J117" s="80" t="s">
        <v>27</v>
      </c>
      <c r="K117" s="80" t="s">
        <v>112</v>
      </c>
      <c r="L117" s="126">
        <v>2</v>
      </c>
      <c r="N117" s="126">
        <v>4</v>
      </c>
      <c r="O117" s="126">
        <v>0.7</v>
      </c>
      <c r="P117" s="126">
        <v>0.6</v>
      </c>
      <c r="Q117" s="159">
        <f t="shared" si="3"/>
        <v>0.64999999999999991</v>
      </c>
      <c r="R117" s="126">
        <v>17.899999999999999</v>
      </c>
      <c r="S117" s="126">
        <v>112</v>
      </c>
      <c r="T117" s="159">
        <f t="shared" si="4"/>
        <v>33</v>
      </c>
      <c r="U117" s="126">
        <v>480</v>
      </c>
      <c r="V117" s="159">
        <f t="shared" si="5"/>
        <v>3960</v>
      </c>
      <c r="W117" s="126">
        <v>8</v>
      </c>
      <c r="X117" s="126" t="s">
        <v>35</v>
      </c>
      <c r="Y117" s="126" t="s">
        <v>86</v>
      </c>
      <c r="Z117" s="126" t="s">
        <v>64</v>
      </c>
      <c r="AA117" s="126" t="s">
        <v>55</v>
      </c>
      <c r="AB117" s="126" t="s">
        <v>194</v>
      </c>
    </row>
    <row r="118" spans="1:28" x14ac:dyDescent="0.15">
      <c r="A118" s="126" t="s">
        <v>40</v>
      </c>
      <c r="B118" s="126" t="s">
        <v>190</v>
      </c>
      <c r="C118" s="126">
        <v>2020</v>
      </c>
      <c r="D118" s="127" t="s">
        <v>339</v>
      </c>
      <c r="E118" s="126" t="s">
        <v>351</v>
      </c>
      <c r="F118" s="126" t="s">
        <v>352</v>
      </c>
      <c r="G118" s="126" t="s">
        <v>25</v>
      </c>
      <c r="H118" s="126" t="s">
        <v>167</v>
      </c>
      <c r="I118" s="126" t="s">
        <v>111</v>
      </c>
      <c r="J118" s="80" t="s">
        <v>27</v>
      </c>
      <c r="K118" s="80" t="s">
        <v>112</v>
      </c>
      <c r="L118" s="126">
        <v>3</v>
      </c>
      <c r="N118" s="126">
        <v>4</v>
      </c>
      <c r="O118" s="126">
        <v>0.7</v>
      </c>
      <c r="P118" s="126">
        <v>0.7</v>
      </c>
      <c r="Q118" s="159">
        <f t="shared" si="3"/>
        <v>0.7</v>
      </c>
      <c r="R118" s="126">
        <v>17.600000000000001</v>
      </c>
      <c r="S118" s="126">
        <v>108</v>
      </c>
      <c r="T118" s="159">
        <f t="shared" si="4"/>
        <v>33</v>
      </c>
      <c r="U118" s="126">
        <v>480</v>
      </c>
      <c r="V118" s="159">
        <f t="shared" si="5"/>
        <v>3960</v>
      </c>
      <c r="W118" s="126">
        <v>8</v>
      </c>
      <c r="X118" s="126" t="s">
        <v>35</v>
      </c>
      <c r="Y118" s="126" t="s">
        <v>86</v>
      </c>
      <c r="Z118" s="126" t="s">
        <v>64</v>
      </c>
      <c r="AA118" s="126" t="s">
        <v>55</v>
      </c>
      <c r="AB118" s="126" t="s">
        <v>194</v>
      </c>
    </row>
    <row r="119" spans="1:28" x14ac:dyDescent="0.15">
      <c r="A119" s="126" t="s">
        <v>40</v>
      </c>
      <c r="B119" s="126" t="s">
        <v>190</v>
      </c>
      <c r="C119" s="126">
        <v>2020</v>
      </c>
      <c r="D119" s="127" t="s">
        <v>339</v>
      </c>
      <c r="E119" s="126" t="s">
        <v>353</v>
      </c>
      <c r="F119" s="126" t="s">
        <v>341</v>
      </c>
      <c r="G119" s="126" t="s">
        <v>25</v>
      </c>
      <c r="H119" s="126" t="s">
        <v>113</v>
      </c>
      <c r="I119" s="126" t="s">
        <v>111</v>
      </c>
      <c r="J119" s="80" t="s">
        <v>27</v>
      </c>
      <c r="K119" s="80" t="s">
        <v>112</v>
      </c>
      <c r="L119" s="126">
        <v>1</v>
      </c>
      <c r="N119" s="126">
        <v>1</v>
      </c>
      <c r="O119" s="126">
        <v>0.95</v>
      </c>
      <c r="P119" s="126">
        <v>0.9</v>
      </c>
      <c r="Q119" s="159">
        <f t="shared" si="3"/>
        <v>0.92500000000000004</v>
      </c>
      <c r="R119" s="126">
        <v>17.7</v>
      </c>
      <c r="S119" s="126">
        <v>116</v>
      </c>
      <c r="T119" s="159">
        <f t="shared" si="4"/>
        <v>30</v>
      </c>
      <c r="U119" s="126">
        <v>98</v>
      </c>
      <c r="V119" s="159">
        <f t="shared" si="5"/>
        <v>2940</v>
      </c>
      <c r="W119" s="126">
        <v>6</v>
      </c>
      <c r="X119" s="126" t="s">
        <v>35</v>
      </c>
      <c r="Y119" s="126" t="s">
        <v>55</v>
      </c>
      <c r="Z119" s="126" t="s">
        <v>86</v>
      </c>
      <c r="AA119" s="126" t="s">
        <v>64</v>
      </c>
      <c r="AB119" s="126" t="s">
        <v>194</v>
      </c>
    </row>
    <row r="120" spans="1:28" x14ac:dyDescent="0.15">
      <c r="A120" s="126" t="s">
        <v>40</v>
      </c>
      <c r="B120" s="126" t="s">
        <v>190</v>
      </c>
      <c r="C120" s="126">
        <v>2020</v>
      </c>
      <c r="D120" s="127" t="s">
        <v>339</v>
      </c>
      <c r="E120" s="126" t="s">
        <v>353</v>
      </c>
      <c r="F120" s="126" t="s">
        <v>341</v>
      </c>
      <c r="G120" s="126" t="s">
        <v>25</v>
      </c>
      <c r="H120" s="126" t="s">
        <v>113</v>
      </c>
      <c r="I120" s="126" t="s">
        <v>111</v>
      </c>
      <c r="J120" s="80" t="s">
        <v>27</v>
      </c>
      <c r="K120" s="80" t="s">
        <v>112</v>
      </c>
      <c r="L120" s="126">
        <v>2</v>
      </c>
      <c r="N120" s="126">
        <v>1</v>
      </c>
      <c r="O120" s="126">
        <v>0.9</v>
      </c>
      <c r="P120" s="126">
        <v>0.95</v>
      </c>
      <c r="Q120" s="159">
        <f t="shared" si="3"/>
        <v>0.92500000000000004</v>
      </c>
      <c r="R120" s="126">
        <v>17.3</v>
      </c>
      <c r="S120" s="126">
        <v>116</v>
      </c>
      <c r="T120" s="159">
        <f t="shared" si="4"/>
        <v>30</v>
      </c>
      <c r="U120" s="126">
        <v>98</v>
      </c>
      <c r="V120" s="159">
        <f t="shared" si="5"/>
        <v>2940</v>
      </c>
      <c r="W120" s="126">
        <v>6</v>
      </c>
      <c r="X120" s="126" t="s">
        <v>35</v>
      </c>
      <c r="Y120" s="126" t="s">
        <v>55</v>
      </c>
      <c r="Z120" s="126" t="s">
        <v>86</v>
      </c>
      <c r="AA120" s="126" t="s">
        <v>64</v>
      </c>
      <c r="AB120" s="126" t="s">
        <v>194</v>
      </c>
    </row>
    <row r="121" spans="1:28" x14ac:dyDescent="0.15">
      <c r="A121" s="126" t="s">
        <v>40</v>
      </c>
      <c r="B121" s="126" t="s">
        <v>190</v>
      </c>
      <c r="C121" s="126">
        <v>2020</v>
      </c>
      <c r="D121" s="127" t="s">
        <v>339</v>
      </c>
      <c r="E121" s="126" t="s">
        <v>353</v>
      </c>
      <c r="F121" s="126" t="s">
        <v>341</v>
      </c>
      <c r="G121" s="126" t="s">
        <v>25</v>
      </c>
      <c r="H121" s="126" t="s">
        <v>113</v>
      </c>
      <c r="I121" s="126" t="s">
        <v>111</v>
      </c>
      <c r="J121" s="80" t="s">
        <v>27</v>
      </c>
      <c r="K121" s="80" t="s">
        <v>112</v>
      </c>
      <c r="L121" s="126">
        <v>3</v>
      </c>
      <c r="N121" s="126">
        <v>1</v>
      </c>
      <c r="O121" s="126">
        <v>1</v>
      </c>
      <c r="P121" s="126">
        <v>0.95</v>
      </c>
      <c r="Q121" s="159">
        <f t="shared" si="3"/>
        <v>0.97499999999999998</v>
      </c>
      <c r="R121" s="126">
        <v>18.100000000000001</v>
      </c>
      <c r="S121" s="126">
        <v>112</v>
      </c>
      <c r="T121" s="159">
        <f t="shared" si="4"/>
        <v>33</v>
      </c>
      <c r="U121" s="126">
        <v>98</v>
      </c>
      <c r="V121" s="159">
        <f t="shared" si="5"/>
        <v>3234</v>
      </c>
      <c r="W121" s="126">
        <v>6</v>
      </c>
      <c r="X121" s="126" t="s">
        <v>35</v>
      </c>
      <c r="Y121" s="126" t="s">
        <v>55</v>
      </c>
      <c r="Z121" s="126" t="s">
        <v>86</v>
      </c>
      <c r="AA121" s="126" t="s">
        <v>64</v>
      </c>
      <c r="AB121" s="126" t="s">
        <v>194</v>
      </c>
    </row>
    <row r="122" spans="1:28" x14ac:dyDescent="0.15">
      <c r="A122" s="126" t="s">
        <v>40</v>
      </c>
      <c r="B122" s="126" t="s">
        <v>190</v>
      </c>
      <c r="C122" s="126">
        <v>2020</v>
      </c>
      <c r="D122" s="127" t="s">
        <v>339</v>
      </c>
      <c r="E122" s="126" t="s">
        <v>353</v>
      </c>
      <c r="F122" s="126" t="s">
        <v>341</v>
      </c>
      <c r="G122" s="126" t="s">
        <v>25</v>
      </c>
      <c r="H122" s="126" t="s">
        <v>113</v>
      </c>
      <c r="I122" s="126" t="s">
        <v>111</v>
      </c>
      <c r="J122" s="80" t="s">
        <v>27</v>
      </c>
      <c r="K122" s="80" t="s">
        <v>112</v>
      </c>
      <c r="L122" s="126">
        <v>1</v>
      </c>
      <c r="N122" s="126">
        <v>8</v>
      </c>
      <c r="O122" s="126">
        <v>0.6</v>
      </c>
      <c r="P122" s="126">
        <v>0.5</v>
      </c>
      <c r="Q122" s="159">
        <f t="shared" si="3"/>
        <v>0.55000000000000004</v>
      </c>
      <c r="R122" s="126">
        <v>16.899999999999999</v>
      </c>
      <c r="S122" s="126">
        <v>91</v>
      </c>
      <c r="T122" s="159">
        <f t="shared" si="4"/>
        <v>36</v>
      </c>
      <c r="U122" s="126">
        <v>598</v>
      </c>
      <c r="V122" s="159">
        <f t="shared" si="5"/>
        <v>2691</v>
      </c>
      <c r="W122" s="126">
        <v>6</v>
      </c>
      <c r="X122" s="126" t="s">
        <v>35</v>
      </c>
      <c r="Y122" s="126" t="s">
        <v>55</v>
      </c>
      <c r="Z122" s="126" t="s">
        <v>86</v>
      </c>
      <c r="AA122" s="126" t="s">
        <v>64</v>
      </c>
      <c r="AB122" s="126" t="s">
        <v>194</v>
      </c>
    </row>
    <row r="123" spans="1:28" x14ac:dyDescent="0.15">
      <c r="A123" s="126" t="s">
        <v>40</v>
      </c>
      <c r="B123" s="126" t="s">
        <v>190</v>
      </c>
      <c r="C123" s="126">
        <v>2020</v>
      </c>
      <c r="D123" s="127" t="s">
        <v>339</v>
      </c>
      <c r="E123" s="126" t="s">
        <v>353</v>
      </c>
      <c r="F123" s="126" t="s">
        <v>341</v>
      </c>
      <c r="G123" s="126" t="s">
        <v>25</v>
      </c>
      <c r="H123" s="126" t="s">
        <v>113</v>
      </c>
      <c r="I123" s="126" t="s">
        <v>111</v>
      </c>
      <c r="J123" s="80" t="s">
        <v>27</v>
      </c>
      <c r="K123" s="80" t="s">
        <v>112</v>
      </c>
      <c r="L123" s="126">
        <v>2</v>
      </c>
      <c r="N123" s="126">
        <v>8</v>
      </c>
      <c r="O123" s="126">
        <v>0.65</v>
      </c>
      <c r="P123" s="126">
        <v>0.65</v>
      </c>
      <c r="Q123" s="159">
        <f t="shared" si="3"/>
        <v>0.65</v>
      </c>
      <c r="R123" s="126">
        <v>15.8</v>
      </c>
      <c r="S123" s="126">
        <v>93</v>
      </c>
      <c r="T123" s="159">
        <f t="shared" si="4"/>
        <v>36</v>
      </c>
      <c r="U123" s="126">
        <v>598</v>
      </c>
      <c r="V123" s="159">
        <f t="shared" si="5"/>
        <v>2691</v>
      </c>
      <c r="W123" s="126">
        <v>6</v>
      </c>
      <c r="X123" s="126" t="s">
        <v>35</v>
      </c>
      <c r="Y123" s="126" t="s">
        <v>55</v>
      </c>
      <c r="Z123" s="126" t="s">
        <v>86</v>
      </c>
      <c r="AA123" s="126" t="s">
        <v>64</v>
      </c>
      <c r="AB123" s="126" t="s">
        <v>194</v>
      </c>
    </row>
    <row r="124" spans="1:28" x14ac:dyDescent="0.15">
      <c r="A124" s="126" t="s">
        <v>40</v>
      </c>
      <c r="B124" s="126" t="s">
        <v>190</v>
      </c>
      <c r="C124" s="126">
        <v>2020</v>
      </c>
      <c r="D124" s="127" t="s">
        <v>339</v>
      </c>
      <c r="E124" s="126" t="s">
        <v>353</v>
      </c>
      <c r="F124" s="126" t="s">
        <v>341</v>
      </c>
      <c r="G124" s="126" t="s">
        <v>25</v>
      </c>
      <c r="H124" s="126" t="s">
        <v>113</v>
      </c>
      <c r="I124" s="126" t="s">
        <v>111</v>
      </c>
      <c r="J124" s="80" t="s">
        <v>27</v>
      </c>
      <c r="K124" s="80" t="s">
        <v>112</v>
      </c>
      <c r="L124" s="126">
        <v>3</v>
      </c>
      <c r="N124" s="126">
        <v>8</v>
      </c>
      <c r="O124" s="126">
        <v>0.5</v>
      </c>
      <c r="P124" s="126">
        <v>0.55000000000000004</v>
      </c>
      <c r="Q124" s="159">
        <f t="shared" si="3"/>
        <v>0.52500000000000002</v>
      </c>
      <c r="R124" s="126">
        <v>16.7</v>
      </c>
      <c r="S124" s="126">
        <v>90</v>
      </c>
      <c r="T124" s="159">
        <f t="shared" si="4"/>
        <v>36</v>
      </c>
      <c r="U124" s="126">
        <v>598</v>
      </c>
      <c r="V124" s="159">
        <f t="shared" si="5"/>
        <v>2691</v>
      </c>
      <c r="W124" s="126">
        <v>6</v>
      </c>
      <c r="X124" s="126" t="s">
        <v>35</v>
      </c>
      <c r="Y124" s="126" t="s">
        <v>55</v>
      </c>
      <c r="Z124" s="126" t="s">
        <v>86</v>
      </c>
      <c r="AA124" s="126" t="s">
        <v>64</v>
      </c>
      <c r="AB124" s="126" t="s">
        <v>194</v>
      </c>
    </row>
    <row r="125" spans="1:28" x14ac:dyDescent="0.15">
      <c r="A125" s="126" t="s">
        <v>40</v>
      </c>
      <c r="B125" s="126" t="s">
        <v>190</v>
      </c>
      <c r="C125" s="126">
        <v>2020</v>
      </c>
      <c r="D125" s="127" t="s">
        <v>339</v>
      </c>
      <c r="E125" s="126" t="s">
        <v>353</v>
      </c>
      <c r="F125" s="126" t="s">
        <v>341</v>
      </c>
      <c r="G125" s="126" t="s">
        <v>25</v>
      </c>
      <c r="H125" s="126" t="s">
        <v>167</v>
      </c>
      <c r="I125" s="126" t="s">
        <v>111</v>
      </c>
      <c r="J125" s="80" t="s">
        <v>27</v>
      </c>
      <c r="K125" s="80" t="s">
        <v>112</v>
      </c>
      <c r="L125" s="126">
        <v>1</v>
      </c>
      <c r="N125" s="126">
        <v>1</v>
      </c>
      <c r="O125" s="126">
        <v>0.7</v>
      </c>
      <c r="P125" s="126">
        <v>0.7</v>
      </c>
      <c r="Q125" s="159">
        <f t="shared" si="3"/>
        <v>0.7</v>
      </c>
      <c r="R125" s="126">
        <v>17.600000000000001</v>
      </c>
      <c r="S125" s="126">
        <v>120</v>
      </c>
      <c r="T125" s="159">
        <f t="shared" si="4"/>
        <v>30</v>
      </c>
      <c r="U125" s="126">
        <v>128</v>
      </c>
      <c r="V125" s="159">
        <f t="shared" si="5"/>
        <v>3840</v>
      </c>
      <c r="W125" s="126">
        <v>6</v>
      </c>
      <c r="X125" s="126" t="s">
        <v>35</v>
      </c>
      <c r="Y125" s="126" t="s">
        <v>55</v>
      </c>
      <c r="Z125" s="126" t="s">
        <v>86</v>
      </c>
      <c r="AA125" s="126" t="s">
        <v>64</v>
      </c>
      <c r="AB125" s="126" t="s">
        <v>194</v>
      </c>
    </row>
    <row r="126" spans="1:28" x14ac:dyDescent="0.15">
      <c r="A126" s="126" t="s">
        <v>40</v>
      </c>
      <c r="B126" s="126" t="s">
        <v>190</v>
      </c>
      <c r="C126" s="126">
        <v>2020</v>
      </c>
      <c r="D126" s="127" t="s">
        <v>339</v>
      </c>
      <c r="E126" s="126" t="s">
        <v>353</v>
      </c>
      <c r="F126" s="126" t="s">
        <v>341</v>
      </c>
      <c r="G126" s="126" t="s">
        <v>25</v>
      </c>
      <c r="H126" s="126" t="s">
        <v>167</v>
      </c>
      <c r="I126" s="126" t="s">
        <v>111</v>
      </c>
      <c r="J126" s="80" t="s">
        <v>27</v>
      </c>
      <c r="K126" s="80" t="s">
        <v>112</v>
      </c>
      <c r="L126" s="126">
        <v>2</v>
      </c>
      <c r="N126" s="126">
        <v>1</v>
      </c>
      <c r="O126" s="126">
        <v>0.65</v>
      </c>
      <c r="P126" s="126">
        <v>0.65</v>
      </c>
      <c r="Q126" s="159">
        <f t="shared" si="3"/>
        <v>0.65</v>
      </c>
      <c r="R126" s="126">
        <v>17.100000000000001</v>
      </c>
      <c r="S126" s="126">
        <v>118</v>
      </c>
      <c r="T126" s="159">
        <f t="shared" si="4"/>
        <v>30</v>
      </c>
      <c r="U126" s="126">
        <v>128</v>
      </c>
      <c r="V126" s="159">
        <f t="shared" si="5"/>
        <v>3840</v>
      </c>
      <c r="W126" s="126">
        <v>6</v>
      </c>
      <c r="X126" s="126" t="s">
        <v>35</v>
      </c>
      <c r="Y126" s="126" t="s">
        <v>55</v>
      </c>
      <c r="Z126" s="126" t="s">
        <v>86</v>
      </c>
      <c r="AA126" s="126" t="s">
        <v>64</v>
      </c>
      <c r="AB126" s="126" t="s">
        <v>194</v>
      </c>
    </row>
    <row r="127" spans="1:28" x14ac:dyDescent="0.15">
      <c r="A127" s="126" t="s">
        <v>40</v>
      </c>
      <c r="B127" s="126" t="s">
        <v>190</v>
      </c>
      <c r="C127" s="126">
        <v>2020</v>
      </c>
      <c r="D127" s="127" t="s">
        <v>339</v>
      </c>
      <c r="E127" s="126" t="s">
        <v>353</v>
      </c>
      <c r="F127" s="126" t="s">
        <v>341</v>
      </c>
      <c r="G127" s="126" t="s">
        <v>25</v>
      </c>
      <c r="H127" s="126" t="s">
        <v>167</v>
      </c>
      <c r="I127" s="126" t="s">
        <v>111</v>
      </c>
      <c r="J127" s="80" t="s">
        <v>27</v>
      </c>
      <c r="K127" s="80" t="s">
        <v>112</v>
      </c>
      <c r="L127" s="126">
        <v>3</v>
      </c>
      <c r="N127" s="126">
        <v>1</v>
      </c>
      <c r="O127" s="126">
        <v>0.75</v>
      </c>
      <c r="P127" s="126">
        <v>0.55000000000000004</v>
      </c>
      <c r="Q127" s="159">
        <f t="shared" si="3"/>
        <v>0.65</v>
      </c>
      <c r="R127" s="126">
        <v>18.2</v>
      </c>
      <c r="S127" s="126">
        <v>122</v>
      </c>
      <c r="T127" s="159">
        <f t="shared" si="4"/>
        <v>27</v>
      </c>
      <c r="U127" s="126">
        <v>128</v>
      </c>
      <c r="V127" s="159">
        <f t="shared" si="5"/>
        <v>3456</v>
      </c>
      <c r="W127" s="126">
        <v>6</v>
      </c>
      <c r="X127" s="126" t="s">
        <v>35</v>
      </c>
      <c r="Y127" s="126" t="s">
        <v>55</v>
      </c>
      <c r="Z127" s="126" t="s">
        <v>86</v>
      </c>
      <c r="AA127" s="126" t="s">
        <v>64</v>
      </c>
      <c r="AB127" s="126" t="s">
        <v>194</v>
      </c>
    </row>
    <row r="128" spans="1:28" x14ac:dyDescent="0.15">
      <c r="A128" s="126" t="s">
        <v>40</v>
      </c>
      <c r="B128" s="126" t="s">
        <v>190</v>
      </c>
      <c r="C128" s="126">
        <v>2020</v>
      </c>
      <c r="D128" s="127" t="s">
        <v>339</v>
      </c>
      <c r="E128" s="126" t="s">
        <v>353</v>
      </c>
      <c r="F128" s="126" t="s">
        <v>341</v>
      </c>
      <c r="G128" s="126" t="s">
        <v>25</v>
      </c>
      <c r="H128" s="126" t="s">
        <v>167</v>
      </c>
      <c r="I128" s="126" t="s">
        <v>111</v>
      </c>
      <c r="J128" s="80" t="s">
        <v>27</v>
      </c>
      <c r="K128" s="80" t="s">
        <v>112</v>
      </c>
      <c r="L128" s="126">
        <v>1</v>
      </c>
      <c r="N128" s="126">
        <v>8</v>
      </c>
      <c r="O128" s="126">
        <v>0.9</v>
      </c>
      <c r="P128" s="126">
        <v>0.85</v>
      </c>
      <c r="Q128" s="159">
        <f t="shared" si="3"/>
        <v>0.875</v>
      </c>
      <c r="R128" s="126">
        <v>15.3</v>
      </c>
      <c r="S128" s="126">
        <v>95</v>
      </c>
      <c r="T128" s="159">
        <f t="shared" si="4"/>
        <v>36</v>
      </c>
      <c r="U128" s="126">
        <v>780</v>
      </c>
      <c r="V128" s="159">
        <f t="shared" si="5"/>
        <v>3510</v>
      </c>
      <c r="W128" s="126">
        <v>6</v>
      </c>
      <c r="X128" s="126" t="s">
        <v>35</v>
      </c>
      <c r="Y128" s="126" t="s">
        <v>55</v>
      </c>
      <c r="Z128" s="126" t="s">
        <v>86</v>
      </c>
      <c r="AA128" s="126" t="s">
        <v>64</v>
      </c>
      <c r="AB128" s="126" t="s">
        <v>194</v>
      </c>
    </row>
    <row r="129" spans="1:28" x14ac:dyDescent="0.15">
      <c r="A129" s="126" t="s">
        <v>40</v>
      </c>
      <c r="B129" s="126" t="s">
        <v>190</v>
      </c>
      <c r="C129" s="126">
        <v>2020</v>
      </c>
      <c r="D129" s="127" t="s">
        <v>339</v>
      </c>
      <c r="E129" s="126" t="s">
        <v>353</v>
      </c>
      <c r="F129" s="126" t="s">
        <v>341</v>
      </c>
      <c r="G129" s="126" t="s">
        <v>25</v>
      </c>
      <c r="H129" s="126" t="s">
        <v>167</v>
      </c>
      <c r="I129" s="126" t="s">
        <v>111</v>
      </c>
      <c r="J129" s="80" t="s">
        <v>27</v>
      </c>
      <c r="K129" s="80" t="s">
        <v>112</v>
      </c>
      <c r="L129" s="126">
        <v>2</v>
      </c>
      <c r="N129" s="126">
        <v>8</v>
      </c>
      <c r="O129" s="126">
        <v>0.8</v>
      </c>
      <c r="P129" s="126">
        <v>1</v>
      </c>
      <c r="Q129" s="159">
        <f t="shared" si="3"/>
        <v>0.9</v>
      </c>
      <c r="R129" s="126">
        <v>14.9</v>
      </c>
      <c r="S129" s="126">
        <v>83</v>
      </c>
      <c r="T129" s="159">
        <f t="shared" si="4"/>
        <v>39</v>
      </c>
      <c r="U129" s="126">
        <v>780</v>
      </c>
      <c r="V129" s="159">
        <f t="shared" si="5"/>
        <v>3802.5</v>
      </c>
      <c r="W129" s="126">
        <v>6</v>
      </c>
      <c r="X129" s="126" t="s">
        <v>35</v>
      </c>
      <c r="Y129" s="126" t="s">
        <v>55</v>
      </c>
      <c r="Z129" s="126" t="s">
        <v>86</v>
      </c>
      <c r="AA129" s="126" t="s">
        <v>64</v>
      </c>
      <c r="AB129" s="126" t="s">
        <v>194</v>
      </c>
    </row>
    <row r="130" spans="1:28" x14ac:dyDescent="0.15">
      <c r="A130" s="126" t="s">
        <v>40</v>
      </c>
      <c r="B130" s="126" t="s">
        <v>190</v>
      </c>
      <c r="C130" s="126">
        <v>2020</v>
      </c>
      <c r="D130" s="127" t="s">
        <v>339</v>
      </c>
      <c r="E130" s="126" t="s">
        <v>353</v>
      </c>
      <c r="F130" s="126" t="s">
        <v>341</v>
      </c>
      <c r="G130" s="126" t="s">
        <v>25</v>
      </c>
      <c r="H130" s="126" t="s">
        <v>167</v>
      </c>
      <c r="I130" s="126" t="s">
        <v>111</v>
      </c>
      <c r="J130" s="80" t="s">
        <v>27</v>
      </c>
      <c r="K130" s="80" t="s">
        <v>112</v>
      </c>
      <c r="L130" s="126">
        <v>3</v>
      </c>
      <c r="N130" s="126">
        <v>8</v>
      </c>
      <c r="O130" s="126">
        <v>0.75</v>
      </c>
      <c r="P130" s="126">
        <v>0.95</v>
      </c>
      <c r="Q130" s="159">
        <f t="shared" ref="Q130" si="6">IF(OR(O130="",P130=""),"",AVERAGE(O130,P130))</f>
        <v>0.85</v>
      </c>
      <c r="R130" s="126">
        <v>15.5</v>
      </c>
      <c r="S130" s="126">
        <v>87</v>
      </c>
      <c r="T130" s="159">
        <f t="shared" ref="T130" si="7">IF(H130="","",IF(OR(H130="GREEN",H130="GK"),IF(S130&gt;=$AX$2,VLOOKUP(S130,$AX$2:$AY$12,2,1),""),IF(S130&gt;=$AZ$2,VLOOKUP(S130,$AZ$2:$BA$12,2,1),"")))</f>
        <v>36</v>
      </c>
      <c r="U130" s="126">
        <v>780</v>
      </c>
      <c r="V130" s="159">
        <f t="shared" ref="V130" si="8">IF(OR(N130="",U130="",T130=""),"",U130/N130*T130)</f>
        <v>3510</v>
      </c>
      <c r="W130" s="126">
        <v>6</v>
      </c>
      <c r="X130" s="126" t="s">
        <v>35</v>
      </c>
      <c r="Y130" s="126" t="s">
        <v>55</v>
      </c>
      <c r="Z130" s="126" t="s">
        <v>86</v>
      </c>
      <c r="AA130" s="126" t="s">
        <v>64</v>
      </c>
      <c r="AB130" s="126" t="s">
        <v>194</v>
      </c>
    </row>
  </sheetData>
  <autoFilter ref="A1:BA139" xr:uid="{00000000-0009-0000-0000-000000000000}"/>
  <phoneticPr fontId="3"/>
  <dataValidations count="18">
    <dataValidation type="decimal" allowBlank="1" showInputMessage="1" showErrorMessage="1" error="硬度を正しく入力して下さい。" sqref="O2:P503" xr:uid="{9B74C3B8-0FA6-42DB-85D5-257FF5ACC62E}">
      <formula1>0</formula1>
      <formula2>7</formula2>
    </dataValidation>
    <dataValidation type="list" allowBlank="1" showInputMessage="1" showErrorMessage="1" sqref="Y983045:AA983122 ADM983045:ADO983122 BHA983045:BHC983122 CKO983045:CKQ983122 DOC983045:DOE983122 ERQ983045:ERS983122 FVE983045:FVG983122 GYS983045:GYU983122 ICG983045:ICI983122 JFU983045:JFW983122 KJI983045:KJK983122 LMW983045:LMY983122 MQK983045:MQM983122 NTY983045:NUA983122 OXM983045:OXO983122 QBA983045:QBC983122 REO983045:REQ983122 SIC983045:SIE983122 TLQ983045:TLS983122 UPE983045:UPG983122 VSS983045:VSU983122 WWG983045:WWI983122 JU2:JW82 ANI2:ANK82 BQW2:BQY82 CUK2:CUM82 DXY2:DYA82 FBM2:FBO82 GFA2:GFC82 HIO2:HIQ82 IMC2:IME82 JPQ2:JPS82 KTE2:KTG82 LWS2:LWU82 NAG2:NAI82 ODU2:ODW82 PHI2:PHK82 QKW2:QKY82 ROK2:ROM82 SRY2:SSA82 TVM2:TVO82 UZA2:UZC82 WCO2:WCQ82 TQ2:TS82 AXE2:AXG82 CAS2:CAU82 DEG2:DEI82 EHU2:EHW82 FLI2:FLK82 GOW2:GOY82 HSK2:HSM82 IVY2:IWA82 JZM2:JZO82 LDA2:LDC82 MGO2:MGQ82 NKC2:NKE82 ONQ2:ONS82 PRE2:PRG82 QUS2:QUU82 RYG2:RYI82 TBU2:TBW82 UFI2:UFK82 VIW2:VIY82 WMK2:WMM82 ADM2:ADO82 BHA2:BHC82 CKO2:CKQ82 DOC2:DOE82 ERQ2:ERS82 FVE2:FVG82 GYS2:GYU82 ICG2:ICI82 JFU2:JFW82 KJI2:KJK82 LMW2:LMY82 MQK2:MQM82 NTY2:NUA82 OXM2:OXO82 QBA2:QBC82 REO2:REQ82 SIC2:SIE82 TLQ2:TLS82 UPE2:UPG82 VSS2:VSU82 WWG2:WWI82 Y65541:AA65618 ADM65541:ADO65618 BHA65541:BHC65618 CKO65541:CKQ65618 DOC65541:DOE65618 ERQ65541:ERS65618 FVE65541:FVG65618 GYS65541:GYU65618 ICG65541:ICI65618 JFU65541:JFW65618 KJI65541:KJK65618 LMW65541:LMY65618 MQK65541:MQM65618 NTY65541:NUA65618 OXM65541:OXO65618 QBA65541:QBC65618 REO65541:REQ65618 SIC65541:SIE65618 TLQ65541:TLS65618 UPE65541:UPG65618 VSS65541:VSU65618 WWG65541:WWI65618 JU65541:JW65618 ANI65541:ANK65618 BQW65541:BQY65618 CUK65541:CUM65618 DXY65541:DYA65618 FBM65541:FBO65618 GFA65541:GFC65618 HIO65541:HIQ65618 IMC65541:IME65618 JPQ65541:JPS65618 KTE65541:KTG65618 LWS65541:LWU65618 NAG65541:NAI65618 ODU65541:ODW65618 PHI65541:PHK65618 QKW65541:QKY65618 ROK65541:ROM65618 SRY65541:SSA65618 TVM65541:TVO65618 UZA65541:UZC65618 WCO65541:WCQ65618 TQ65541:TS65618 AXE65541:AXG65618 CAS65541:CAU65618 DEG65541:DEI65618 EHU65541:EHW65618 FLI65541:FLK65618 GOW65541:GOY65618 HSK65541:HSM65618 IVY65541:IWA65618 JZM65541:JZO65618 LDA65541:LDC65618 MGO65541:MGQ65618 NKC65541:NKE65618 ONQ65541:ONS65618 PRE65541:PRG65618 QUS65541:QUU65618 RYG65541:RYI65618 TBU65541:TBW65618 UFI65541:UFK65618 VIW65541:VIY65618 WMK65541:WMM65618 Y131077:AA131154 ADM131077:ADO131154 BHA131077:BHC131154 CKO131077:CKQ131154 DOC131077:DOE131154 ERQ131077:ERS131154 FVE131077:FVG131154 GYS131077:GYU131154 ICG131077:ICI131154 JFU131077:JFW131154 KJI131077:KJK131154 LMW131077:LMY131154 MQK131077:MQM131154 NTY131077:NUA131154 OXM131077:OXO131154 QBA131077:QBC131154 REO131077:REQ131154 SIC131077:SIE131154 TLQ131077:TLS131154 UPE131077:UPG131154 VSS131077:VSU131154 WWG131077:WWI131154 JU131077:JW131154 ANI131077:ANK131154 BQW131077:BQY131154 CUK131077:CUM131154 DXY131077:DYA131154 FBM131077:FBO131154 GFA131077:GFC131154 HIO131077:HIQ131154 IMC131077:IME131154 JPQ131077:JPS131154 KTE131077:KTG131154 LWS131077:LWU131154 NAG131077:NAI131154 ODU131077:ODW131154 PHI131077:PHK131154 QKW131077:QKY131154 ROK131077:ROM131154 SRY131077:SSA131154 TVM131077:TVO131154 UZA131077:UZC131154 WCO131077:WCQ131154 TQ131077:TS131154 AXE131077:AXG131154 CAS131077:CAU131154 DEG131077:DEI131154 EHU131077:EHW131154 FLI131077:FLK131154 GOW131077:GOY131154 HSK131077:HSM131154 IVY131077:IWA131154 JZM131077:JZO131154 LDA131077:LDC131154 MGO131077:MGQ131154 NKC131077:NKE131154 ONQ131077:ONS131154 PRE131077:PRG131154 QUS131077:QUU131154 RYG131077:RYI131154 TBU131077:TBW131154 UFI131077:UFK131154 VIW131077:VIY131154 WMK131077:WMM131154 Y196613:AA196690 ADM196613:ADO196690 BHA196613:BHC196690 CKO196613:CKQ196690 DOC196613:DOE196690 ERQ196613:ERS196690 FVE196613:FVG196690 GYS196613:GYU196690 ICG196613:ICI196690 JFU196613:JFW196690 KJI196613:KJK196690 LMW196613:LMY196690 MQK196613:MQM196690 NTY196613:NUA196690 OXM196613:OXO196690 QBA196613:QBC196690 REO196613:REQ196690 SIC196613:SIE196690 TLQ196613:TLS196690 UPE196613:UPG196690 VSS196613:VSU196690 WWG196613:WWI196690 JU196613:JW196690 ANI196613:ANK196690 BQW196613:BQY196690 CUK196613:CUM196690 DXY196613:DYA196690 FBM196613:FBO196690 GFA196613:GFC196690 HIO196613:HIQ196690 IMC196613:IME196690 JPQ196613:JPS196690 KTE196613:KTG196690 LWS196613:LWU196690 NAG196613:NAI196690 ODU196613:ODW196690 PHI196613:PHK196690 QKW196613:QKY196690 ROK196613:ROM196690 SRY196613:SSA196690 TVM196613:TVO196690 UZA196613:UZC196690 WCO196613:WCQ196690 TQ196613:TS196690 AXE196613:AXG196690 CAS196613:CAU196690 DEG196613:DEI196690 EHU196613:EHW196690 FLI196613:FLK196690 GOW196613:GOY196690 HSK196613:HSM196690 IVY196613:IWA196690 JZM196613:JZO196690 LDA196613:LDC196690 MGO196613:MGQ196690 NKC196613:NKE196690 ONQ196613:ONS196690 PRE196613:PRG196690 QUS196613:QUU196690 RYG196613:RYI196690 TBU196613:TBW196690 UFI196613:UFK196690 VIW196613:VIY196690 WMK196613:WMM196690 Y262149:AA262226 ADM262149:ADO262226 BHA262149:BHC262226 CKO262149:CKQ262226 DOC262149:DOE262226 ERQ262149:ERS262226 FVE262149:FVG262226 GYS262149:GYU262226 ICG262149:ICI262226 JFU262149:JFW262226 KJI262149:KJK262226 LMW262149:LMY262226 MQK262149:MQM262226 NTY262149:NUA262226 OXM262149:OXO262226 QBA262149:QBC262226 REO262149:REQ262226 SIC262149:SIE262226 TLQ262149:TLS262226 UPE262149:UPG262226 VSS262149:VSU262226 WWG262149:WWI262226 JU262149:JW262226 ANI262149:ANK262226 BQW262149:BQY262226 CUK262149:CUM262226 DXY262149:DYA262226 FBM262149:FBO262226 GFA262149:GFC262226 HIO262149:HIQ262226 IMC262149:IME262226 JPQ262149:JPS262226 KTE262149:KTG262226 LWS262149:LWU262226 NAG262149:NAI262226 ODU262149:ODW262226 PHI262149:PHK262226 QKW262149:QKY262226 ROK262149:ROM262226 SRY262149:SSA262226 TVM262149:TVO262226 UZA262149:UZC262226 WCO262149:WCQ262226 TQ262149:TS262226 AXE262149:AXG262226 CAS262149:CAU262226 DEG262149:DEI262226 EHU262149:EHW262226 FLI262149:FLK262226 GOW262149:GOY262226 HSK262149:HSM262226 IVY262149:IWA262226 JZM262149:JZO262226 LDA262149:LDC262226 MGO262149:MGQ262226 NKC262149:NKE262226 ONQ262149:ONS262226 PRE262149:PRG262226 QUS262149:QUU262226 RYG262149:RYI262226 TBU262149:TBW262226 UFI262149:UFK262226 VIW262149:VIY262226 WMK262149:WMM262226 Y327685:AA327762 ADM327685:ADO327762 BHA327685:BHC327762 CKO327685:CKQ327762 DOC327685:DOE327762 ERQ327685:ERS327762 FVE327685:FVG327762 GYS327685:GYU327762 ICG327685:ICI327762 JFU327685:JFW327762 KJI327685:KJK327762 LMW327685:LMY327762 MQK327685:MQM327762 NTY327685:NUA327762 OXM327685:OXO327762 QBA327685:QBC327762 REO327685:REQ327762 SIC327685:SIE327762 TLQ327685:TLS327762 UPE327685:UPG327762 VSS327685:VSU327762 WWG327685:WWI327762 JU327685:JW327762 ANI327685:ANK327762 BQW327685:BQY327762 CUK327685:CUM327762 DXY327685:DYA327762 FBM327685:FBO327762 GFA327685:GFC327762 HIO327685:HIQ327762 IMC327685:IME327762 JPQ327685:JPS327762 KTE327685:KTG327762 LWS327685:LWU327762 NAG327685:NAI327762 ODU327685:ODW327762 PHI327685:PHK327762 QKW327685:QKY327762 ROK327685:ROM327762 SRY327685:SSA327762 TVM327685:TVO327762 UZA327685:UZC327762 WCO327685:WCQ327762 TQ327685:TS327762 AXE327685:AXG327762 CAS327685:CAU327762 DEG327685:DEI327762 EHU327685:EHW327762 FLI327685:FLK327762 GOW327685:GOY327762 HSK327685:HSM327762 IVY327685:IWA327762 JZM327685:JZO327762 LDA327685:LDC327762 MGO327685:MGQ327762 NKC327685:NKE327762 ONQ327685:ONS327762 PRE327685:PRG327762 QUS327685:QUU327762 RYG327685:RYI327762 TBU327685:TBW327762 UFI327685:UFK327762 VIW327685:VIY327762 WMK327685:WMM327762 Y393221:AA393298 ADM393221:ADO393298 BHA393221:BHC393298 CKO393221:CKQ393298 DOC393221:DOE393298 ERQ393221:ERS393298 FVE393221:FVG393298 GYS393221:GYU393298 ICG393221:ICI393298 JFU393221:JFW393298 KJI393221:KJK393298 LMW393221:LMY393298 MQK393221:MQM393298 NTY393221:NUA393298 OXM393221:OXO393298 QBA393221:QBC393298 REO393221:REQ393298 SIC393221:SIE393298 TLQ393221:TLS393298 UPE393221:UPG393298 VSS393221:VSU393298 WWG393221:WWI393298 JU393221:JW393298 ANI393221:ANK393298 BQW393221:BQY393298 CUK393221:CUM393298 DXY393221:DYA393298 FBM393221:FBO393298 GFA393221:GFC393298 HIO393221:HIQ393298 IMC393221:IME393298 JPQ393221:JPS393298 KTE393221:KTG393298 LWS393221:LWU393298 NAG393221:NAI393298 ODU393221:ODW393298 PHI393221:PHK393298 QKW393221:QKY393298 ROK393221:ROM393298 SRY393221:SSA393298 TVM393221:TVO393298 UZA393221:UZC393298 WCO393221:WCQ393298 TQ393221:TS393298 AXE393221:AXG393298 CAS393221:CAU393298 DEG393221:DEI393298 EHU393221:EHW393298 FLI393221:FLK393298 GOW393221:GOY393298 HSK393221:HSM393298 IVY393221:IWA393298 JZM393221:JZO393298 LDA393221:LDC393298 MGO393221:MGQ393298 NKC393221:NKE393298 ONQ393221:ONS393298 PRE393221:PRG393298 QUS393221:QUU393298 RYG393221:RYI393298 TBU393221:TBW393298 UFI393221:UFK393298 VIW393221:VIY393298 WMK393221:WMM393298 Y458757:AA458834 ADM458757:ADO458834 BHA458757:BHC458834 CKO458757:CKQ458834 DOC458757:DOE458834 ERQ458757:ERS458834 FVE458757:FVG458834 GYS458757:GYU458834 ICG458757:ICI458834 JFU458757:JFW458834 KJI458757:KJK458834 LMW458757:LMY458834 MQK458757:MQM458834 NTY458757:NUA458834 OXM458757:OXO458834 QBA458757:QBC458834 REO458757:REQ458834 SIC458757:SIE458834 TLQ458757:TLS458834 UPE458757:UPG458834 VSS458757:VSU458834 WWG458757:WWI458834 JU458757:JW458834 ANI458757:ANK458834 BQW458757:BQY458834 CUK458757:CUM458834 DXY458757:DYA458834 FBM458757:FBO458834 GFA458757:GFC458834 HIO458757:HIQ458834 IMC458757:IME458834 JPQ458757:JPS458834 KTE458757:KTG458834 LWS458757:LWU458834 NAG458757:NAI458834 ODU458757:ODW458834 PHI458757:PHK458834 QKW458757:QKY458834 ROK458757:ROM458834 SRY458757:SSA458834 TVM458757:TVO458834 UZA458757:UZC458834 WCO458757:WCQ458834 TQ458757:TS458834 AXE458757:AXG458834 CAS458757:CAU458834 DEG458757:DEI458834 EHU458757:EHW458834 FLI458757:FLK458834 GOW458757:GOY458834 HSK458757:HSM458834 IVY458757:IWA458834 JZM458757:JZO458834 LDA458757:LDC458834 MGO458757:MGQ458834 NKC458757:NKE458834 ONQ458757:ONS458834 PRE458757:PRG458834 QUS458757:QUU458834 RYG458757:RYI458834 TBU458757:TBW458834 UFI458757:UFK458834 VIW458757:VIY458834 WMK458757:WMM458834 Y524293:AA524370 ADM524293:ADO524370 BHA524293:BHC524370 CKO524293:CKQ524370 DOC524293:DOE524370 ERQ524293:ERS524370 FVE524293:FVG524370 GYS524293:GYU524370 ICG524293:ICI524370 JFU524293:JFW524370 KJI524293:KJK524370 LMW524293:LMY524370 MQK524293:MQM524370 NTY524293:NUA524370 OXM524293:OXO524370 QBA524293:QBC524370 REO524293:REQ524370 SIC524293:SIE524370 TLQ524293:TLS524370 UPE524293:UPG524370 VSS524293:VSU524370 WWG524293:WWI524370 JU524293:JW524370 ANI524293:ANK524370 BQW524293:BQY524370 CUK524293:CUM524370 DXY524293:DYA524370 FBM524293:FBO524370 GFA524293:GFC524370 HIO524293:HIQ524370 IMC524293:IME524370 JPQ524293:JPS524370 KTE524293:KTG524370 LWS524293:LWU524370 NAG524293:NAI524370 ODU524293:ODW524370 PHI524293:PHK524370 QKW524293:QKY524370 ROK524293:ROM524370 SRY524293:SSA524370 TVM524293:TVO524370 UZA524293:UZC524370 WCO524293:WCQ524370 TQ524293:TS524370 AXE524293:AXG524370 CAS524293:CAU524370 DEG524293:DEI524370 EHU524293:EHW524370 FLI524293:FLK524370 GOW524293:GOY524370 HSK524293:HSM524370 IVY524293:IWA524370 JZM524293:JZO524370 LDA524293:LDC524370 MGO524293:MGQ524370 NKC524293:NKE524370 ONQ524293:ONS524370 PRE524293:PRG524370 QUS524293:QUU524370 RYG524293:RYI524370 TBU524293:TBW524370 UFI524293:UFK524370 VIW524293:VIY524370 WMK524293:WMM524370 Y589829:AA589906 ADM589829:ADO589906 BHA589829:BHC589906 CKO589829:CKQ589906 DOC589829:DOE589906 ERQ589829:ERS589906 FVE589829:FVG589906 GYS589829:GYU589906 ICG589829:ICI589906 JFU589829:JFW589906 KJI589829:KJK589906 LMW589829:LMY589906 MQK589829:MQM589906 NTY589829:NUA589906 OXM589829:OXO589906 QBA589829:QBC589906 REO589829:REQ589906 SIC589829:SIE589906 TLQ589829:TLS589906 UPE589829:UPG589906 VSS589829:VSU589906 WWG589829:WWI589906 JU589829:JW589906 ANI589829:ANK589906 BQW589829:BQY589906 CUK589829:CUM589906 DXY589829:DYA589906 FBM589829:FBO589906 GFA589829:GFC589906 HIO589829:HIQ589906 IMC589829:IME589906 JPQ589829:JPS589906 KTE589829:KTG589906 LWS589829:LWU589906 NAG589829:NAI589906 ODU589829:ODW589906 PHI589829:PHK589906 QKW589829:QKY589906 ROK589829:ROM589906 SRY589829:SSA589906 TVM589829:TVO589906 UZA589829:UZC589906 WCO589829:WCQ589906 TQ589829:TS589906 AXE589829:AXG589906 CAS589829:CAU589906 DEG589829:DEI589906 EHU589829:EHW589906 FLI589829:FLK589906 GOW589829:GOY589906 HSK589829:HSM589906 IVY589829:IWA589906 JZM589829:JZO589906 LDA589829:LDC589906 MGO589829:MGQ589906 NKC589829:NKE589906 ONQ589829:ONS589906 PRE589829:PRG589906 QUS589829:QUU589906 RYG589829:RYI589906 TBU589829:TBW589906 UFI589829:UFK589906 VIW589829:VIY589906 WMK589829:WMM589906 Y655365:AA655442 ADM655365:ADO655442 BHA655365:BHC655442 CKO655365:CKQ655442 DOC655365:DOE655442 ERQ655365:ERS655442 FVE655365:FVG655442 GYS655365:GYU655442 ICG655365:ICI655442 JFU655365:JFW655442 KJI655365:KJK655442 LMW655365:LMY655442 MQK655365:MQM655442 NTY655365:NUA655442 OXM655365:OXO655442 QBA655365:QBC655442 REO655365:REQ655442 SIC655365:SIE655442 TLQ655365:TLS655442 UPE655365:UPG655442 VSS655365:VSU655442 WWG655365:WWI655442 JU655365:JW655442 ANI655365:ANK655442 BQW655365:BQY655442 CUK655365:CUM655442 DXY655365:DYA655442 FBM655365:FBO655442 GFA655365:GFC655442 HIO655365:HIQ655442 IMC655365:IME655442 JPQ655365:JPS655442 KTE655365:KTG655442 LWS655365:LWU655442 NAG655365:NAI655442 ODU655365:ODW655442 PHI655365:PHK655442 QKW655365:QKY655442 ROK655365:ROM655442 SRY655365:SSA655442 TVM655365:TVO655442 UZA655365:UZC655442 WCO655365:WCQ655442 TQ655365:TS655442 AXE655365:AXG655442 CAS655365:CAU655442 DEG655365:DEI655442 EHU655365:EHW655442 FLI655365:FLK655442 GOW655365:GOY655442 HSK655365:HSM655442 IVY655365:IWA655442 JZM655365:JZO655442 LDA655365:LDC655442 MGO655365:MGQ655442 NKC655365:NKE655442 ONQ655365:ONS655442 PRE655365:PRG655442 QUS655365:QUU655442 RYG655365:RYI655442 TBU655365:TBW655442 UFI655365:UFK655442 VIW655365:VIY655442 WMK655365:WMM655442 Y720901:AA720978 ADM720901:ADO720978 BHA720901:BHC720978 CKO720901:CKQ720978 DOC720901:DOE720978 ERQ720901:ERS720978 FVE720901:FVG720978 GYS720901:GYU720978 ICG720901:ICI720978 JFU720901:JFW720978 KJI720901:KJK720978 LMW720901:LMY720978 MQK720901:MQM720978 NTY720901:NUA720978 OXM720901:OXO720978 QBA720901:QBC720978 REO720901:REQ720978 SIC720901:SIE720978 TLQ720901:TLS720978 UPE720901:UPG720978 VSS720901:VSU720978 WWG720901:WWI720978 JU720901:JW720978 ANI720901:ANK720978 BQW720901:BQY720978 CUK720901:CUM720978 DXY720901:DYA720978 FBM720901:FBO720978 GFA720901:GFC720978 HIO720901:HIQ720978 IMC720901:IME720978 JPQ720901:JPS720978 KTE720901:KTG720978 LWS720901:LWU720978 NAG720901:NAI720978 ODU720901:ODW720978 PHI720901:PHK720978 QKW720901:QKY720978 ROK720901:ROM720978 SRY720901:SSA720978 TVM720901:TVO720978 UZA720901:UZC720978 WCO720901:WCQ720978 TQ720901:TS720978 AXE720901:AXG720978 CAS720901:CAU720978 DEG720901:DEI720978 EHU720901:EHW720978 FLI720901:FLK720978 GOW720901:GOY720978 HSK720901:HSM720978 IVY720901:IWA720978 JZM720901:JZO720978 LDA720901:LDC720978 MGO720901:MGQ720978 NKC720901:NKE720978 ONQ720901:ONS720978 PRE720901:PRG720978 QUS720901:QUU720978 RYG720901:RYI720978 TBU720901:TBW720978 UFI720901:UFK720978 VIW720901:VIY720978 WMK720901:WMM720978 Y786437:AA786514 ADM786437:ADO786514 BHA786437:BHC786514 CKO786437:CKQ786514 DOC786437:DOE786514 ERQ786437:ERS786514 FVE786437:FVG786514 GYS786437:GYU786514 ICG786437:ICI786514 JFU786437:JFW786514 KJI786437:KJK786514 LMW786437:LMY786514 MQK786437:MQM786514 NTY786437:NUA786514 OXM786437:OXO786514 QBA786437:QBC786514 REO786437:REQ786514 SIC786437:SIE786514 TLQ786437:TLS786514 UPE786437:UPG786514 VSS786437:VSU786514 WWG786437:WWI786514 JU786437:JW786514 ANI786437:ANK786514 BQW786437:BQY786514 CUK786437:CUM786514 DXY786437:DYA786514 FBM786437:FBO786514 GFA786437:GFC786514 HIO786437:HIQ786514 IMC786437:IME786514 JPQ786437:JPS786514 KTE786437:KTG786514 LWS786437:LWU786514 NAG786437:NAI786514 ODU786437:ODW786514 PHI786437:PHK786514 QKW786437:QKY786514 ROK786437:ROM786514 SRY786437:SSA786514 TVM786437:TVO786514 UZA786437:UZC786514 WCO786437:WCQ786514 TQ786437:TS786514 AXE786437:AXG786514 CAS786437:CAU786514 DEG786437:DEI786514 EHU786437:EHW786514 FLI786437:FLK786514 GOW786437:GOY786514 HSK786437:HSM786514 IVY786437:IWA786514 JZM786437:JZO786514 LDA786437:LDC786514 MGO786437:MGQ786514 NKC786437:NKE786514 ONQ786437:ONS786514 PRE786437:PRG786514 QUS786437:QUU786514 RYG786437:RYI786514 TBU786437:TBW786514 UFI786437:UFK786514 VIW786437:VIY786514 WMK786437:WMM786514 Y851973:AA852050 ADM851973:ADO852050 BHA851973:BHC852050 CKO851973:CKQ852050 DOC851973:DOE852050 ERQ851973:ERS852050 FVE851973:FVG852050 GYS851973:GYU852050 ICG851973:ICI852050 JFU851973:JFW852050 KJI851973:KJK852050 LMW851973:LMY852050 MQK851973:MQM852050 NTY851973:NUA852050 OXM851973:OXO852050 QBA851973:QBC852050 REO851973:REQ852050 SIC851973:SIE852050 TLQ851973:TLS852050 UPE851973:UPG852050 VSS851973:VSU852050 WWG851973:WWI852050 JU851973:JW852050 ANI851973:ANK852050 BQW851973:BQY852050 CUK851973:CUM852050 DXY851973:DYA852050 FBM851973:FBO852050 GFA851973:GFC852050 HIO851973:HIQ852050 IMC851973:IME852050 JPQ851973:JPS852050 KTE851973:KTG852050 LWS851973:LWU852050 NAG851973:NAI852050 ODU851973:ODW852050 PHI851973:PHK852050 QKW851973:QKY852050 ROK851973:ROM852050 SRY851973:SSA852050 TVM851973:TVO852050 UZA851973:UZC852050 WCO851973:WCQ852050 TQ851973:TS852050 AXE851973:AXG852050 CAS851973:CAU852050 DEG851973:DEI852050 EHU851973:EHW852050 FLI851973:FLK852050 GOW851973:GOY852050 HSK851973:HSM852050 IVY851973:IWA852050 JZM851973:JZO852050 LDA851973:LDC852050 MGO851973:MGQ852050 NKC851973:NKE852050 ONQ851973:ONS852050 PRE851973:PRG852050 QUS851973:QUU852050 RYG851973:RYI852050 TBU851973:TBW852050 UFI851973:UFK852050 VIW851973:VIY852050 WMK851973:WMM852050 Y917509:AA917586 ADM917509:ADO917586 BHA917509:BHC917586 CKO917509:CKQ917586 DOC917509:DOE917586 ERQ917509:ERS917586 FVE917509:FVG917586 GYS917509:GYU917586 ICG917509:ICI917586 JFU917509:JFW917586 KJI917509:KJK917586 LMW917509:LMY917586 MQK917509:MQM917586 NTY917509:NUA917586 OXM917509:OXO917586 QBA917509:QBC917586 REO917509:REQ917586 SIC917509:SIE917586 TLQ917509:TLS917586 UPE917509:UPG917586 VSS917509:VSU917586 WWG917509:WWI917586 JU917509:JW917586 ANI917509:ANK917586 BQW917509:BQY917586 CUK917509:CUM917586 DXY917509:DYA917586 FBM917509:FBO917586 GFA917509:GFC917586 HIO917509:HIQ917586 IMC917509:IME917586 JPQ917509:JPS917586 KTE917509:KTG917586 LWS917509:LWU917586 NAG917509:NAI917586 ODU917509:ODW917586 PHI917509:PHK917586 QKW917509:QKY917586 ROK917509:ROM917586 SRY917509:SSA917586 TVM917509:TVO917586 UZA917509:UZC917586 WCO917509:WCQ917586 TQ917509:TS917586 AXE917509:AXG917586 CAS917509:CAU917586 DEG917509:DEI917586 EHU917509:EHW917586 FLI917509:FLK917586 GOW917509:GOY917586 HSK917509:HSM917586 IVY917509:IWA917586 JZM917509:JZO917586 LDA917509:LDC917586 MGO917509:MGQ917586 NKC917509:NKE917586 ONQ917509:ONS917586 PRE917509:PRG917586 QUS917509:QUU917586 RYG917509:RYI917586 TBU917509:TBW917586 UFI917509:UFK917586 VIW917509:VIY917586 WMK917509:WMM917586 JU983045:JW983122 ANI983045:ANK983122 BQW983045:BQY983122 CUK983045:CUM983122 DXY983045:DYA983122 FBM983045:FBO983122 GFA983045:GFC983122 HIO983045:HIQ983122 IMC983045:IME983122 JPQ983045:JPS983122 KTE983045:KTG983122 LWS983045:LWU983122 NAG983045:NAI983122 ODU983045:ODW983122 PHI983045:PHK983122 QKW983045:QKY983122 ROK983045:ROM983122 SRY983045:SSA983122 TVM983045:TVO983122 UZA983045:UZC983122 WCO983045:WCQ983122 TQ983045:TS983122 AXE983045:AXG983122 CAS983045:CAU983122 DEG983045:DEI983122 EHU983045:EHW983122 FLI983045:FLK983122 GOW983045:GOY983122 HSK983045:HSM983122 IVY983045:IWA983122 JZM983045:JZO983122 LDA983045:LDC983122 MGO983045:MGQ983122 NKC983045:NKE983122 ONQ983045:ONS983122 PRE983045:PRG983122 QUS983045:QUU983122 RYG983045:RYI983122 TBU983045:TBW983122 UFI983045:UFK983122 VIW983045:VIY983122 WMK983045:WMM983122" xr:uid="{5B39028B-6A03-4973-BBD9-73B8A838A1F1}">
      <formula1>$AV$2:$AV$20</formula1>
    </dataValidation>
    <dataValidation type="list" allowBlank="1" showInputMessage="1" showErrorMessage="1" sqref="JG2:JG82 JG65541:JG65618 JG131077:JG131154 JG196613:JG196690 JG262149:JG262226 JG327685:JG327762 JG393221:JG393298 JG458757:JG458834 JG524293:JG524370 JG589829:JG589906 JG655365:JG655442 JG720901:JG720978 JG786437:JG786514 JG851973:JG852050 JG917509:JG917586 JG983045:JG983122 TC2:TC82 TC65541:TC65618 TC131077:TC131154 TC196613:TC196690 TC262149:TC262226 TC327685:TC327762 TC393221:TC393298 TC458757:TC458834 TC524293:TC524370 TC589829:TC589906 TC655365:TC655442 TC720901:TC720978 TC786437:TC786514 TC851973:TC852050 TC917509:TC917586 TC983045:TC983122 ACY2:ACY82 ACY65541:ACY65618 ACY131077:ACY131154 ACY196613:ACY196690 ACY262149:ACY262226 ACY327685:ACY327762 ACY393221:ACY393298 ACY458757:ACY458834 ACY524293:ACY524370 ACY589829:ACY589906 ACY655365:ACY655442 ACY720901:ACY720978 ACY786437:ACY786514 ACY851973:ACY852050 ACY917509:ACY917586 ACY983045:ACY983122 AMU2:AMU82 AMU65541:AMU65618 AMU131077:AMU131154 AMU196613:AMU196690 AMU262149:AMU262226 AMU327685:AMU327762 AMU393221:AMU393298 AMU458757:AMU458834 AMU524293:AMU524370 AMU589829:AMU589906 AMU655365:AMU655442 AMU720901:AMU720978 AMU786437:AMU786514 AMU851973:AMU852050 AMU917509:AMU917586 AMU983045:AMU983122 AWQ2:AWQ82 AWQ65541:AWQ65618 AWQ131077:AWQ131154 AWQ196613:AWQ196690 AWQ262149:AWQ262226 AWQ327685:AWQ327762 AWQ393221:AWQ393298 AWQ458757:AWQ458834 AWQ524293:AWQ524370 AWQ589829:AWQ589906 AWQ655365:AWQ655442 AWQ720901:AWQ720978 AWQ786437:AWQ786514 AWQ851973:AWQ852050 AWQ917509:AWQ917586 AWQ983045:AWQ983122 BGM2:BGM82 BGM65541:BGM65618 BGM131077:BGM131154 BGM196613:BGM196690 BGM262149:BGM262226 BGM327685:BGM327762 BGM393221:BGM393298 BGM458757:BGM458834 BGM524293:BGM524370 BGM589829:BGM589906 BGM655365:BGM655442 BGM720901:BGM720978 BGM786437:BGM786514 BGM851973:BGM852050 BGM917509:BGM917586 BGM983045:BGM983122 BQI2:BQI82 BQI65541:BQI65618 BQI131077:BQI131154 BQI196613:BQI196690 BQI262149:BQI262226 BQI327685:BQI327762 BQI393221:BQI393298 BQI458757:BQI458834 BQI524293:BQI524370 BQI589829:BQI589906 BQI655365:BQI655442 BQI720901:BQI720978 BQI786437:BQI786514 BQI851973:BQI852050 BQI917509:BQI917586 BQI983045:BQI983122 CAE2:CAE82 CAE65541:CAE65618 CAE131077:CAE131154 CAE196613:CAE196690 CAE262149:CAE262226 CAE327685:CAE327762 CAE393221:CAE393298 CAE458757:CAE458834 CAE524293:CAE524370 CAE589829:CAE589906 CAE655365:CAE655442 CAE720901:CAE720978 CAE786437:CAE786514 CAE851973:CAE852050 CAE917509:CAE917586 CAE983045:CAE983122 CKA2:CKA82 CKA65541:CKA65618 CKA131077:CKA131154 CKA196613:CKA196690 CKA262149:CKA262226 CKA327685:CKA327762 CKA393221:CKA393298 CKA458757:CKA458834 CKA524293:CKA524370 CKA589829:CKA589906 CKA655365:CKA655442 CKA720901:CKA720978 CKA786437:CKA786514 CKA851973:CKA852050 CKA917509:CKA917586 CKA983045:CKA983122 CTW2:CTW82 CTW65541:CTW65618 CTW131077:CTW131154 CTW196613:CTW196690 CTW262149:CTW262226 CTW327685:CTW327762 CTW393221:CTW393298 CTW458757:CTW458834 CTW524293:CTW524370 CTW589829:CTW589906 CTW655365:CTW655442 CTW720901:CTW720978 CTW786437:CTW786514 CTW851973:CTW852050 CTW917509:CTW917586 CTW983045:CTW983122 DDS2:DDS82 DDS65541:DDS65618 DDS131077:DDS131154 DDS196613:DDS196690 DDS262149:DDS262226 DDS327685:DDS327762 DDS393221:DDS393298 DDS458757:DDS458834 DDS524293:DDS524370 DDS589829:DDS589906 DDS655365:DDS655442 DDS720901:DDS720978 DDS786437:DDS786514 DDS851973:DDS852050 DDS917509:DDS917586 DDS983045:DDS983122 DNO2:DNO82 DNO65541:DNO65618 DNO131077:DNO131154 DNO196613:DNO196690 DNO262149:DNO262226 DNO327685:DNO327762 DNO393221:DNO393298 DNO458757:DNO458834 DNO524293:DNO524370 DNO589829:DNO589906 DNO655365:DNO655442 DNO720901:DNO720978 DNO786437:DNO786514 DNO851973:DNO852050 DNO917509:DNO917586 DNO983045:DNO983122 DXK2:DXK82 DXK65541:DXK65618 DXK131077:DXK131154 DXK196613:DXK196690 DXK262149:DXK262226 DXK327685:DXK327762 DXK393221:DXK393298 DXK458757:DXK458834 DXK524293:DXK524370 DXK589829:DXK589906 DXK655365:DXK655442 DXK720901:DXK720978 DXK786437:DXK786514 DXK851973:DXK852050 DXK917509:DXK917586 DXK983045:DXK983122 EHG2:EHG82 EHG65541:EHG65618 EHG131077:EHG131154 EHG196613:EHG196690 EHG262149:EHG262226 EHG327685:EHG327762 EHG393221:EHG393298 EHG458757:EHG458834 EHG524293:EHG524370 EHG589829:EHG589906 EHG655365:EHG655442 EHG720901:EHG720978 EHG786437:EHG786514 EHG851973:EHG852050 EHG917509:EHG917586 EHG983045:EHG983122 ERC2:ERC82 ERC65541:ERC65618 ERC131077:ERC131154 ERC196613:ERC196690 ERC262149:ERC262226 ERC327685:ERC327762 ERC393221:ERC393298 ERC458757:ERC458834 ERC524293:ERC524370 ERC589829:ERC589906 ERC655365:ERC655442 ERC720901:ERC720978 ERC786437:ERC786514 ERC851973:ERC852050 ERC917509:ERC917586 ERC983045:ERC983122 FAY2:FAY82 FAY65541:FAY65618 FAY131077:FAY131154 FAY196613:FAY196690 FAY262149:FAY262226 FAY327685:FAY327762 FAY393221:FAY393298 FAY458757:FAY458834 FAY524293:FAY524370 FAY589829:FAY589906 FAY655365:FAY655442 FAY720901:FAY720978 FAY786437:FAY786514 FAY851973:FAY852050 FAY917509:FAY917586 FAY983045:FAY983122 FKU2:FKU82 FKU65541:FKU65618 FKU131077:FKU131154 FKU196613:FKU196690 FKU262149:FKU262226 FKU327685:FKU327762 FKU393221:FKU393298 FKU458757:FKU458834 FKU524293:FKU524370 FKU589829:FKU589906 FKU655365:FKU655442 FKU720901:FKU720978 FKU786437:FKU786514 FKU851973:FKU852050 FKU917509:FKU917586 FKU983045:FKU983122 FUQ2:FUQ82 FUQ65541:FUQ65618 FUQ131077:FUQ131154 FUQ196613:FUQ196690 FUQ262149:FUQ262226 FUQ327685:FUQ327762 FUQ393221:FUQ393298 FUQ458757:FUQ458834 FUQ524293:FUQ524370 FUQ589829:FUQ589906 FUQ655365:FUQ655442 FUQ720901:FUQ720978 FUQ786437:FUQ786514 FUQ851973:FUQ852050 FUQ917509:FUQ917586 FUQ983045:FUQ983122 GEM2:GEM82 GEM65541:GEM65618 GEM131077:GEM131154 GEM196613:GEM196690 GEM262149:GEM262226 GEM327685:GEM327762 GEM393221:GEM393298 GEM458757:GEM458834 GEM524293:GEM524370 GEM589829:GEM589906 GEM655365:GEM655442 GEM720901:GEM720978 GEM786437:GEM786514 GEM851973:GEM852050 GEM917509:GEM917586 GEM983045:GEM983122 GOI2:GOI82 GOI65541:GOI65618 GOI131077:GOI131154 GOI196613:GOI196690 GOI262149:GOI262226 GOI327685:GOI327762 GOI393221:GOI393298 GOI458757:GOI458834 GOI524293:GOI524370 GOI589829:GOI589906 GOI655365:GOI655442 GOI720901:GOI720978 GOI786437:GOI786514 GOI851973:GOI852050 GOI917509:GOI917586 GOI983045:GOI983122 GYE2:GYE82 GYE65541:GYE65618 GYE131077:GYE131154 GYE196613:GYE196690 GYE262149:GYE262226 GYE327685:GYE327762 GYE393221:GYE393298 GYE458757:GYE458834 GYE524293:GYE524370 GYE589829:GYE589906 GYE655365:GYE655442 GYE720901:GYE720978 GYE786437:GYE786514 GYE851973:GYE852050 GYE917509:GYE917586 GYE983045:GYE983122 HIA2:HIA82 HIA65541:HIA65618 HIA131077:HIA131154 HIA196613:HIA196690 HIA262149:HIA262226 HIA327685:HIA327762 HIA393221:HIA393298 HIA458757:HIA458834 HIA524293:HIA524370 HIA589829:HIA589906 HIA655365:HIA655442 HIA720901:HIA720978 HIA786437:HIA786514 HIA851973:HIA852050 HIA917509:HIA917586 HIA983045:HIA983122 HRW2:HRW82 HRW65541:HRW65618 HRW131077:HRW131154 HRW196613:HRW196690 HRW262149:HRW262226 HRW327685:HRW327762 HRW393221:HRW393298 HRW458757:HRW458834 HRW524293:HRW524370 HRW589829:HRW589906 HRW655365:HRW655442 HRW720901:HRW720978 HRW786437:HRW786514 HRW851973:HRW852050 HRW917509:HRW917586 HRW983045:HRW983122 IBS2:IBS82 IBS65541:IBS65618 IBS131077:IBS131154 IBS196613:IBS196690 IBS262149:IBS262226 IBS327685:IBS327762 IBS393221:IBS393298 IBS458757:IBS458834 IBS524293:IBS524370 IBS589829:IBS589906 IBS655365:IBS655442 IBS720901:IBS720978 IBS786437:IBS786514 IBS851973:IBS852050 IBS917509:IBS917586 IBS983045:IBS983122 ILO2:ILO82 ILO65541:ILO65618 ILO131077:ILO131154 ILO196613:ILO196690 ILO262149:ILO262226 ILO327685:ILO327762 ILO393221:ILO393298 ILO458757:ILO458834 ILO524293:ILO524370 ILO589829:ILO589906 ILO655365:ILO655442 ILO720901:ILO720978 ILO786437:ILO786514 ILO851973:ILO852050 ILO917509:ILO917586 ILO983045:ILO983122 IVK2:IVK82 IVK65541:IVK65618 IVK131077:IVK131154 IVK196613:IVK196690 IVK262149:IVK262226 IVK327685:IVK327762 IVK393221:IVK393298 IVK458757:IVK458834 IVK524293:IVK524370 IVK589829:IVK589906 IVK655365:IVK655442 IVK720901:IVK720978 IVK786437:IVK786514 IVK851973:IVK852050 IVK917509:IVK917586 IVK983045:IVK983122 JFG2:JFG82 JFG65541:JFG65618 JFG131077:JFG131154 JFG196613:JFG196690 JFG262149:JFG262226 JFG327685:JFG327762 JFG393221:JFG393298 JFG458757:JFG458834 JFG524293:JFG524370 JFG589829:JFG589906 JFG655365:JFG655442 JFG720901:JFG720978 JFG786437:JFG786514 JFG851973:JFG852050 JFG917509:JFG917586 JFG983045:JFG983122 JPC2:JPC82 JPC65541:JPC65618 JPC131077:JPC131154 JPC196613:JPC196690 JPC262149:JPC262226 JPC327685:JPC327762 JPC393221:JPC393298 JPC458757:JPC458834 JPC524293:JPC524370 JPC589829:JPC589906 JPC655365:JPC655442 JPC720901:JPC720978 JPC786437:JPC786514 JPC851973:JPC852050 JPC917509:JPC917586 JPC983045:JPC983122 JYY2:JYY82 JYY65541:JYY65618 JYY131077:JYY131154 JYY196613:JYY196690 JYY262149:JYY262226 JYY327685:JYY327762 JYY393221:JYY393298 JYY458757:JYY458834 JYY524293:JYY524370 JYY589829:JYY589906 JYY655365:JYY655442 JYY720901:JYY720978 JYY786437:JYY786514 JYY851973:JYY852050 JYY917509:JYY917586 JYY983045:JYY983122 KIU2:KIU82 KIU65541:KIU65618 KIU131077:KIU131154 KIU196613:KIU196690 KIU262149:KIU262226 KIU327685:KIU327762 KIU393221:KIU393298 KIU458757:KIU458834 KIU524293:KIU524370 KIU589829:KIU589906 KIU655365:KIU655442 KIU720901:KIU720978 KIU786437:KIU786514 KIU851973:KIU852050 KIU917509:KIU917586 KIU983045:KIU983122 KSQ2:KSQ82 KSQ65541:KSQ65618 KSQ131077:KSQ131154 KSQ196613:KSQ196690 KSQ262149:KSQ262226 KSQ327685:KSQ327762 KSQ393221:KSQ393298 KSQ458757:KSQ458834 KSQ524293:KSQ524370 KSQ589829:KSQ589906 KSQ655365:KSQ655442 KSQ720901:KSQ720978 KSQ786437:KSQ786514 KSQ851973:KSQ852050 KSQ917509:KSQ917586 KSQ983045:KSQ983122 LCM2:LCM82 LCM65541:LCM65618 LCM131077:LCM131154 LCM196613:LCM196690 LCM262149:LCM262226 LCM327685:LCM327762 LCM393221:LCM393298 LCM458757:LCM458834 LCM524293:LCM524370 LCM589829:LCM589906 LCM655365:LCM655442 LCM720901:LCM720978 LCM786437:LCM786514 LCM851973:LCM852050 LCM917509:LCM917586 LCM983045:LCM983122 LMI2:LMI82 LMI65541:LMI65618 LMI131077:LMI131154 LMI196613:LMI196690 LMI262149:LMI262226 LMI327685:LMI327762 LMI393221:LMI393298 LMI458757:LMI458834 LMI524293:LMI524370 LMI589829:LMI589906 LMI655365:LMI655442 LMI720901:LMI720978 LMI786437:LMI786514 LMI851973:LMI852050 LMI917509:LMI917586 LMI983045:LMI983122 LWE2:LWE82 LWE65541:LWE65618 LWE131077:LWE131154 LWE196613:LWE196690 LWE262149:LWE262226 LWE327685:LWE327762 LWE393221:LWE393298 LWE458757:LWE458834 LWE524293:LWE524370 LWE589829:LWE589906 LWE655365:LWE655442 LWE720901:LWE720978 LWE786437:LWE786514 LWE851973:LWE852050 LWE917509:LWE917586 LWE983045:LWE983122 MGA2:MGA82 MGA65541:MGA65618 MGA131077:MGA131154 MGA196613:MGA196690 MGA262149:MGA262226 MGA327685:MGA327762 MGA393221:MGA393298 MGA458757:MGA458834 MGA524293:MGA524370 MGA589829:MGA589906 MGA655365:MGA655442 MGA720901:MGA720978 MGA786437:MGA786514 MGA851973:MGA852050 MGA917509:MGA917586 MGA983045:MGA983122 MPW2:MPW82 MPW65541:MPW65618 MPW131077:MPW131154 MPW196613:MPW196690 MPW262149:MPW262226 MPW327685:MPW327762 MPW393221:MPW393298 MPW458757:MPW458834 MPW524293:MPW524370 MPW589829:MPW589906 MPW655365:MPW655442 MPW720901:MPW720978 MPW786437:MPW786514 MPW851973:MPW852050 MPW917509:MPW917586 MPW983045:MPW983122 MZS2:MZS82 MZS65541:MZS65618 MZS131077:MZS131154 MZS196613:MZS196690 MZS262149:MZS262226 MZS327685:MZS327762 MZS393221:MZS393298 MZS458757:MZS458834 MZS524293:MZS524370 MZS589829:MZS589906 MZS655365:MZS655442 MZS720901:MZS720978 MZS786437:MZS786514 MZS851973:MZS852050 MZS917509:MZS917586 MZS983045:MZS983122 NJO2:NJO82 NJO65541:NJO65618 NJO131077:NJO131154 NJO196613:NJO196690 NJO262149:NJO262226 NJO327685:NJO327762 NJO393221:NJO393298 NJO458757:NJO458834 NJO524293:NJO524370 NJO589829:NJO589906 NJO655365:NJO655442 NJO720901:NJO720978 NJO786437:NJO786514 NJO851973:NJO852050 NJO917509:NJO917586 NJO983045:NJO983122 NTK2:NTK82 NTK65541:NTK65618 NTK131077:NTK131154 NTK196613:NTK196690 NTK262149:NTK262226 NTK327685:NTK327762 NTK393221:NTK393298 NTK458757:NTK458834 NTK524293:NTK524370 NTK589829:NTK589906 NTK655365:NTK655442 NTK720901:NTK720978 NTK786437:NTK786514 NTK851973:NTK852050 NTK917509:NTK917586 NTK983045:NTK983122 ODG2:ODG82 ODG65541:ODG65618 ODG131077:ODG131154 ODG196613:ODG196690 ODG262149:ODG262226 ODG327685:ODG327762 ODG393221:ODG393298 ODG458757:ODG458834 ODG524293:ODG524370 ODG589829:ODG589906 ODG655365:ODG655442 ODG720901:ODG720978 ODG786437:ODG786514 ODG851973:ODG852050 ODG917509:ODG917586 ODG983045:ODG983122 ONC2:ONC82 ONC65541:ONC65618 ONC131077:ONC131154 ONC196613:ONC196690 ONC262149:ONC262226 ONC327685:ONC327762 ONC393221:ONC393298 ONC458757:ONC458834 ONC524293:ONC524370 ONC589829:ONC589906 ONC655365:ONC655442 ONC720901:ONC720978 ONC786437:ONC786514 ONC851973:ONC852050 ONC917509:ONC917586 ONC983045:ONC983122 OWY2:OWY82 OWY65541:OWY65618 OWY131077:OWY131154 OWY196613:OWY196690 OWY262149:OWY262226 OWY327685:OWY327762 OWY393221:OWY393298 OWY458757:OWY458834 OWY524293:OWY524370 OWY589829:OWY589906 OWY655365:OWY655442 OWY720901:OWY720978 OWY786437:OWY786514 OWY851973:OWY852050 OWY917509:OWY917586 OWY983045:OWY983122 PGU2:PGU82 PGU65541:PGU65618 PGU131077:PGU131154 PGU196613:PGU196690 PGU262149:PGU262226 PGU327685:PGU327762 PGU393221:PGU393298 PGU458757:PGU458834 PGU524293:PGU524370 PGU589829:PGU589906 PGU655365:PGU655442 PGU720901:PGU720978 PGU786437:PGU786514 PGU851973:PGU852050 PGU917509:PGU917586 PGU983045:PGU983122 PQQ2:PQQ82 PQQ65541:PQQ65618 PQQ131077:PQQ131154 PQQ196613:PQQ196690 PQQ262149:PQQ262226 PQQ327685:PQQ327762 PQQ393221:PQQ393298 PQQ458757:PQQ458834 PQQ524293:PQQ524370 PQQ589829:PQQ589906 PQQ655365:PQQ655442 PQQ720901:PQQ720978 PQQ786437:PQQ786514 PQQ851973:PQQ852050 PQQ917509:PQQ917586 PQQ983045:PQQ983122 QAM2:QAM82 QAM65541:QAM65618 QAM131077:QAM131154 QAM196613:QAM196690 QAM262149:QAM262226 QAM327685:QAM327762 QAM393221:QAM393298 QAM458757:QAM458834 QAM524293:QAM524370 QAM589829:QAM589906 QAM655365:QAM655442 QAM720901:QAM720978 QAM786437:QAM786514 QAM851973:QAM852050 QAM917509:QAM917586 QAM983045:QAM983122 QKI2:QKI82 QKI65541:QKI65618 QKI131077:QKI131154 QKI196613:QKI196690 QKI262149:QKI262226 QKI327685:QKI327762 QKI393221:QKI393298 QKI458757:QKI458834 QKI524293:QKI524370 QKI589829:QKI589906 QKI655365:QKI655442 QKI720901:QKI720978 QKI786437:QKI786514 QKI851973:QKI852050 QKI917509:QKI917586 QKI983045:QKI983122 QUE2:QUE82 QUE65541:QUE65618 QUE131077:QUE131154 QUE196613:QUE196690 QUE262149:QUE262226 QUE327685:QUE327762 QUE393221:QUE393298 QUE458757:QUE458834 QUE524293:QUE524370 QUE589829:QUE589906 QUE655365:QUE655442 QUE720901:QUE720978 QUE786437:QUE786514 QUE851973:QUE852050 QUE917509:QUE917586 QUE983045:QUE983122 REA2:REA82 REA65541:REA65618 REA131077:REA131154 REA196613:REA196690 REA262149:REA262226 REA327685:REA327762 REA393221:REA393298 REA458757:REA458834 REA524293:REA524370 REA589829:REA589906 REA655365:REA655442 REA720901:REA720978 REA786437:REA786514 REA851973:REA852050 REA917509:REA917586 REA983045:REA983122 RNW2:RNW82 RNW65541:RNW65618 RNW131077:RNW131154 RNW196613:RNW196690 RNW262149:RNW262226 RNW327685:RNW327762 RNW393221:RNW393298 RNW458757:RNW458834 RNW524293:RNW524370 RNW589829:RNW589906 RNW655365:RNW655442 RNW720901:RNW720978 RNW786437:RNW786514 RNW851973:RNW852050 RNW917509:RNW917586 RNW983045:RNW983122 RXS2:RXS82 RXS65541:RXS65618 RXS131077:RXS131154 RXS196613:RXS196690 RXS262149:RXS262226 RXS327685:RXS327762 RXS393221:RXS393298 RXS458757:RXS458834 RXS524293:RXS524370 RXS589829:RXS589906 RXS655365:RXS655442 RXS720901:RXS720978 RXS786437:RXS786514 RXS851973:RXS852050 RXS917509:RXS917586 RXS983045:RXS983122 SHO2:SHO82 SHO65541:SHO65618 SHO131077:SHO131154 SHO196613:SHO196690 SHO262149:SHO262226 SHO327685:SHO327762 SHO393221:SHO393298 SHO458757:SHO458834 SHO524293:SHO524370 SHO589829:SHO589906 SHO655365:SHO655442 SHO720901:SHO720978 SHO786437:SHO786514 SHO851973:SHO852050 SHO917509:SHO917586 SHO983045:SHO983122 SRK2:SRK82 SRK65541:SRK65618 SRK131077:SRK131154 SRK196613:SRK196690 SRK262149:SRK262226 SRK327685:SRK327762 SRK393221:SRK393298 SRK458757:SRK458834 SRK524293:SRK524370 SRK589829:SRK589906 SRK655365:SRK655442 SRK720901:SRK720978 SRK786437:SRK786514 SRK851973:SRK852050 SRK917509:SRK917586 SRK983045:SRK983122 TBG2:TBG82 TBG65541:TBG65618 TBG131077:TBG131154 TBG196613:TBG196690 TBG262149:TBG262226 TBG327685:TBG327762 TBG393221:TBG393298 TBG458757:TBG458834 TBG524293:TBG524370 TBG589829:TBG589906 TBG655365:TBG655442 TBG720901:TBG720978 TBG786437:TBG786514 TBG851973:TBG852050 TBG917509:TBG917586 TBG983045:TBG983122 TLC2:TLC82 TLC65541:TLC65618 TLC131077:TLC131154 TLC196613:TLC196690 TLC262149:TLC262226 TLC327685:TLC327762 TLC393221:TLC393298 TLC458757:TLC458834 TLC524293:TLC524370 TLC589829:TLC589906 TLC655365:TLC655442 TLC720901:TLC720978 TLC786437:TLC786514 TLC851973:TLC852050 TLC917509:TLC917586 TLC983045:TLC983122 TUY2:TUY82 TUY65541:TUY65618 TUY131077:TUY131154 TUY196613:TUY196690 TUY262149:TUY262226 TUY327685:TUY327762 TUY393221:TUY393298 TUY458757:TUY458834 TUY524293:TUY524370 TUY589829:TUY589906 TUY655365:TUY655442 TUY720901:TUY720978 TUY786437:TUY786514 TUY851973:TUY852050 TUY917509:TUY917586 TUY983045:TUY983122 UEU2:UEU82 UEU65541:UEU65618 UEU131077:UEU131154 UEU196613:UEU196690 UEU262149:UEU262226 UEU327685:UEU327762 UEU393221:UEU393298 UEU458757:UEU458834 UEU524293:UEU524370 UEU589829:UEU589906 UEU655365:UEU655442 UEU720901:UEU720978 UEU786437:UEU786514 UEU851973:UEU852050 UEU917509:UEU917586 UEU983045:UEU983122 UOQ2:UOQ82 UOQ65541:UOQ65618 UOQ131077:UOQ131154 UOQ196613:UOQ196690 UOQ262149:UOQ262226 UOQ327685:UOQ327762 UOQ393221:UOQ393298 UOQ458757:UOQ458834 UOQ524293:UOQ524370 UOQ589829:UOQ589906 UOQ655365:UOQ655442 UOQ720901:UOQ720978 UOQ786437:UOQ786514 UOQ851973:UOQ852050 UOQ917509:UOQ917586 UOQ983045:UOQ983122 UYM2:UYM82 UYM65541:UYM65618 UYM131077:UYM131154 UYM196613:UYM196690 UYM262149:UYM262226 UYM327685:UYM327762 UYM393221:UYM393298 UYM458757:UYM458834 UYM524293:UYM524370 UYM589829:UYM589906 UYM655365:UYM655442 UYM720901:UYM720978 UYM786437:UYM786514 UYM851973:UYM852050 UYM917509:UYM917586 UYM983045:UYM983122 VII2:VII82 VII65541:VII65618 VII131077:VII131154 VII196613:VII196690 VII262149:VII262226 VII327685:VII327762 VII393221:VII393298 VII458757:VII458834 VII524293:VII524370 VII589829:VII589906 VII655365:VII655442 VII720901:VII720978 VII786437:VII786514 VII851973:VII852050 VII917509:VII917586 VII983045:VII983122 VSE2:VSE82 VSE65541:VSE65618 VSE131077:VSE131154 VSE196613:VSE196690 VSE262149:VSE262226 VSE327685:VSE327762 VSE393221:VSE393298 VSE458757:VSE458834 VSE524293:VSE524370 VSE589829:VSE589906 VSE655365:VSE655442 VSE720901:VSE720978 VSE786437:VSE786514 VSE851973:VSE852050 VSE917509:VSE917586 VSE983045:VSE983122 WCA2:WCA82 WCA65541:WCA65618 WCA131077:WCA131154 WCA196613:WCA196690 WCA262149:WCA262226 WCA327685:WCA327762 WCA393221:WCA393298 WCA458757:WCA458834 WCA524293:WCA524370 WCA589829:WCA589906 WCA655365:WCA655442 WCA720901:WCA720978 WCA786437:WCA786514 WCA851973:WCA852050 WCA917509:WCA917586 WCA983045:WCA983122 WLW2:WLW82 WLW65541:WLW65618 WLW131077:WLW131154 WLW196613:WLW196690 WLW262149:WLW262226 WLW327685:WLW327762 WLW393221:WLW393298 WLW458757:WLW458834 WLW524293:WLW524370 WLW589829:WLW589906 WLW655365:WLW655442 WLW720901:WLW720978 WLW786437:WLW786514 WLW851973:WLW852050 WLW917509:WLW917586 WLW983045:WLW983122 WVS2:WVS82 WVS65541:WVS65618 WVS131077:WVS131154 WVS196613:WVS196690 WVS262149:WVS262226 WVS327685:WVS327762 WVS393221:WVS393298 WVS458757:WVS458834 WVS524293:WVS524370 WVS589829:WVS589906 WVS655365:WVS655442 WVS720901:WVS720978 WVS786437:WVS786514 WVS851973:WVS852050 WVS917509:WVS917586 WVS983045:WVS983122" xr:uid="{B6D773DA-B13C-4F93-A641-F7F3A6C8EBB5}">
      <formula1>$AR$2:$AR$25</formula1>
    </dataValidation>
    <dataValidation type="list" allowBlank="1" showInputMessage="1" showErrorMessage="1" sqref="JF2:JF82 JF65541:JF65618 JF131077:JF131154 JF196613:JF196690 JF262149:JF262226 JF327685:JF327762 JF393221:JF393298 JF458757:JF458834 JF524293:JF524370 JF589829:JF589906 JF655365:JF655442 JF720901:JF720978 JF786437:JF786514 JF851973:JF852050 JF917509:JF917586 JF983045:JF983122 TB2:TB82 TB65541:TB65618 TB131077:TB131154 TB196613:TB196690 TB262149:TB262226 TB327685:TB327762 TB393221:TB393298 TB458757:TB458834 TB524293:TB524370 TB589829:TB589906 TB655365:TB655442 TB720901:TB720978 TB786437:TB786514 TB851973:TB852050 TB917509:TB917586 TB983045:TB983122 ACX2:ACX82 ACX65541:ACX65618 ACX131077:ACX131154 ACX196613:ACX196690 ACX262149:ACX262226 ACX327685:ACX327762 ACX393221:ACX393298 ACX458757:ACX458834 ACX524293:ACX524370 ACX589829:ACX589906 ACX655365:ACX655442 ACX720901:ACX720978 ACX786437:ACX786514 ACX851973:ACX852050 ACX917509:ACX917586 ACX983045:ACX983122 AMT2:AMT82 AMT65541:AMT65618 AMT131077:AMT131154 AMT196613:AMT196690 AMT262149:AMT262226 AMT327685:AMT327762 AMT393221:AMT393298 AMT458757:AMT458834 AMT524293:AMT524370 AMT589829:AMT589906 AMT655365:AMT655442 AMT720901:AMT720978 AMT786437:AMT786514 AMT851973:AMT852050 AMT917509:AMT917586 AMT983045:AMT983122 AWP2:AWP82 AWP65541:AWP65618 AWP131077:AWP131154 AWP196613:AWP196690 AWP262149:AWP262226 AWP327685:AWP327762 AWP393221:AWP393298 AWP458757:AWP458834 AWP524293:AWP524370 AWP589829:AWP589906 AWP655365:AWP655442 AWP720901:AWP720978 AWP786437:AWP786514 AWP851973:AWP852050 AWP917509:AWP917586 AWP983045:AWP983122 BGL2:BGL82 BGL65541:BGL65618 BGL131077:BGL131154 BGL196613:BGL196690 BGL262149:BGL262226 BGL327685:BGL327762 BGL393221:BGL393298 BGL458757:BGL458834 BGL524293:BGL524370 BGL589829:BGL589906 BGL655365:BGL655442 BGL720901:BGL720978 BGL786437:BGL786514 BGL851973:BGL852050 BGL917509:BGL917586 BGL983045:BGL983122 BQH2:BQH82 BQH65541:BQH65618 BQH131077:BQH131154 BQH196613:BQH196690 BQH262149:BQH262226 BQH327685:BQH327762 BQH393221:BQH393298 BQH458757:BQH458834 BQH524293:BQH524370 BQH589829:BQH589906 BQH655365:BQH655442 BQH720901:BQH720978 BQH786437:BQH786514 BQH851973:BQH852050 BQH917509:BQH917586 BQH983045:BQH983122 CAD2:CAD82 CAD65541:CAD65618 CAD131077:CAD131154 CAD196613:CAD196690 CAD262149:CAD262226 CAD327685:CAD327762 CAD393221:CAD393298 CAD458757:CAD458834 CAD524293:CAD524370 CAD589829:CAD589906 CAD655365:CAD655442 CAD720901:CAD720978 CAD786437:CAD786514 CAD851973:CAD852050 CAD917509:CAD917586 CAD983045:CAD983122 CJZ2:CJZ82 CJZ65541:CJZ65618 CJZ131077:CJZ131154 CJZ196613:CJZ196690 CJZ262149:CJZ262226 CJZ327685:CJZ327762 CJZ393221:CJZ393298 CJZ458757:CJZ458834 CJZ524293:CJZ524370 CJZ589829:CJZ589906 CJZ655365:CJZ655442 CJZ720901:CJZ720978 CJZ786437:CJZ786514 CJZ851973:CJZ852050 CJZ917509:CJZ917586 CJZ983045:CJZ983122 CTV2:CTV82 CTV65541:CTV65618 CTV131077:CTV131154 CTV196613:CTV196690 CTV262149:CTV262226 CTV327685:CTV327762 CTV393221:CTV393298 CTV458757:CTV458834 CTV524293:CTV524370 CTV589829:CTV589906 CTV655365:CTV655442 CTV720901:CTV720978 CTV786437:CTV786514 CTV851973:CTV852050 CTV917509:CTV917586 CTV983045:CTV983122 DDR2:DDR82 DDR65541:DDR65618 DDR131077:DDR131154 DDR196613:DDR196690 DDR262149:DDR262226 DDR327685:DDR327762 DDR393221:DDR393298 DDR458757:DDR458834 DDR524293:DDR524370 DDR589829:DDR589906 DDR655365:DDR655442 DDR720901:DDR720978 DDR786437:DDR786514 DDR851973:DDR852050 DDR917509:DDR917586 DDR983045:DDR983122 DNN2:DNN82 DNN65541:DNN65618 DNN131077:DNN131154 DNN196613:DNN196690 DNN262149:DNN262226 DNN327685:DNN327762 DNN393221:DNN393298 DNN458757:DNN458834 DNN524293:DNN524370 DNN589829:DNN589906 DNN655365:DNN655442 DNN720901:DNN720978 DNN786437:DNN786514 DNN851973:DNN852050 DNN917509:DNN917586 DNN983045:DNN983122 DXJ2:DXJ82 DXJ65541:DXJ65618 DXJ131077:DXJ131154 DXJ196613:DXJ196690 DXJ262149:DXJ262226 DXJ327685:DXJ327762 DXJ393221:DXJ393298 DXJ458757:DXJ458834 DXJ524293:DXJ524370 DXJ589829:DXJ589906 DXJ655365:DXJ655442 DXJ720901:DXJ720978 DXJ786437:DXJ786514 DXJ851973:DXJ852050 DXJ917509:DXJ917586 DXJ983045:DXJ983122 EHF2:EHF82 EHF65541:EHF65618 EHF131077:EHF131154 EHF196613:EHF196690 EHF262149:EHF262226 EHF327685:EHF327762 EHF393221:EHF393298 EHF458757:EHF458834 EHF524293:EHF524370 EHF589829:EHF589906 EHF655365:EHF655442 EHF720901:EHF720978 EHF786437:EHF786514 EHF851973:EHF852050 EHF917509:EHF917586 EHF983045:EHF983122 ERB2:ERB82 ERB65541:ERB65618 ERB131077:ERB131154 ERB196613:ERB196690 ERB262149:ERB262226 ERB327685:ERB327762 ERB393221:ERB393298 ERB458757:ERB458834 ERB524293:ERB524370 ERB589829:ERB589906 ERB655365:ERB655442 ERB720901:ERB720978 ERB786437:ERB786514 ERB851973:ERB852050 ERB917509:ERB917586 ERB983045:ERB983122 FAX2:FAX82 FAX65541:FAX65618 FAX131077:FAX131154 FAX196613:FAX196690 FAX262149:FAX262226 FAX327685:FAX327762 FAX393221:FAX393298 FAX458757:FAX458834 FAX524293:FAX524370 FAX589829:FAX589906 FAX655365:FAX655442 FAX720901:FAX720978 FAX786437:FAX786514 FAX851973:FAX852050 FAX917509:FAX917586 FAX983045:FAX983122 FKT2:FKT82 FKT65541:FKT65618 FKT131077:FKT131154 FKT196613:FKT196690 FKT262149:FKT262226 FKT327685:FKT327762 FKT393221:FKT393298 FKT458757:FKT458834 FKT524293:FKT524370 FKT589829:FKT589906 FKT655365:FKT655442 FKT720901:FKT720978 FKT786437:FKT786514 FKT851973:FKT852050 FKT917509:FKT917586 FKT983045:FKT983122 FUP2:FUP82 FUP65541:FUP65618 FUP131077:FUP131154 FUP196613:FUP196690 FUP262149:FUP262226 FUP327685:FUP327762 FUP393221:FUP393298 FUP458757:FUP458834 FUP524293:FUP524370 FUP589829:FUP589906 FUP655365:FUP655442 FUP720901:FUP720978 FUP786437:FUP786514 FUP851973:FUP852050 FUP917509:FUP917586 FUP983045:FUP983122 GEL2:GEL82 GEL65541:GEL65618 GEL131077:GEL131154 GEL196613:GEL196690 GEL262149:GEL262226 GEL327685:GEL327762 GEL393221:GEL393298 GEL458757:GEL458834 GEL524293:GEL524370 GEL589829:GEL589906 GEL655365:GEL655442 GEL720901:GEL720978 GEL786437:GEL786514 GEL851973:GEL852050 GEL917509:GEL917586 GEL983045:GEL983122 GOH2:GOH82 GOH65541:GOH65618 GOH131077:GOH131154 GOH196613:GOH196690 GOH262149:GOH262226 GOH327685:GOH327762 GOH393221:GOH393298 GOH458757:GOH458834 GOH524293:GOH524370 GOH589829:GOH589906 GOH655365:GOH655442 GOH720901:GOH720978 GOH786437:GOH786514 GOH851973:GOH852050 GOH917509:GOH917586 GOH983045:GOH983122 GYD2:GYD82 GYD65541:GYD65618 GYD131077:GYD131154 GYD196613:GYD196690 GYD262149:GYD262226 GYD327685:GYD327762 GYD393221:GYD393298 GYD458757:GYD458834 GYD524293:GYD524370 GYD589829:GYD589906 GYD655365:GYD655442 GYD720901:GYD720978 GYD786437:GYD786514 GYD851973:GYD852050 GYD917509:GYD917586 GYD983045:GYD983122 HHZ2:HHZ82 HHZ65541:HHZ65618 HHZ131077:HHZ131154 HHZ196613:HHZ196690 HHZ262149:HHZ262226 HHZ327685:HHZ327762 HHZ393221:HHZ393298 HHZ458757:HHZ458834 HHZ524293:HHZ524370 HHZ589829:HHZ589906 HHZ655365:HHZ655442 HHZ720901:HHZ720978 HHZ786437:HHZ786514 HHZ851973:HHZ852050 HHZ917509:HHZ917586 HHZ983045:HHZ983122 HRV2:HRV82 HRV65541:HRV65618 HRV131077:HRV131154 HRV196613:HRV196690 HRV262149:HRV262226 HRV327685:HRV327762 HRV393221:HRV393298 HRV458757:HRV458834 HRV524293:HRV524370 HRV589829:HRV589906 HRV655365:HRV655442 HRV720901:HRV720978 HRV786437:HRV786514 HRV851973:HRV852050 HRV917509:HRV917586 HRV983045:HRV983122 IBR2:IBR82 IBR65541:IBR65618 IBR131077:IBR131154 IBR196613:IBR196690 IBR262149:IBR262226 IBR327685:IBR327762 IBR393221:IBR393298 IBR458757:IBR458834 IBR524293:IBR524370 IBR589829:IBR589906 IBR655365:IBR655442 IBR720901:IBR720978 IBR786437:IBR786514 IBR851973:IBR852050 IBR917509:IBR917586 IBR983045:IBR983122 ILN2:ILN82 ILN65541:ILN65618 ILN131077:ILN131154 ILN196613:ILN196690 ILN262149:ILN262226 ILN327685:ILN327762 ILN393221:ILN393298 ILN458757:ILN458834 ILN524293:ILN524370 ILN589829:ILN589906 ILN655365:ILN655442 ILN720901:ILN720978 ILN786437:ILN786514 ILN851973:ILN852050 ILN917509:ILN917586 ILN983045:ILN983122 IVJ2:IVJ82 IVJ65541:IVJ65618 IVJ131077:IVJ131154 IVJ196613:IVJ196690 IVJ262149:IVJ262226 IVJ327685:IVJ327762 IVJ393221:IVJ393298 IVJ458757:IVJ458834 IVJ524293:IVJ524370 IVJ589829:IVJ589906 IVJ655365:IVJ655442 IVJ720901:IVJ720978 IVJ786437:IVJ786514 IVJ851973:IVJ852050 IVJ917509:IVJ917586 IVJ983045:IVJ983122 JFF2:JFF82 JFF65541:JFF65618 JFF131077:JFF131154 JFF196613:JFF196690 JFF262149:JFF262226 JFF327685:JFF327762 JFF393221:JFF393298 JFF458757:JFF458834 JFF524293:JFF524370 JFF589829:JFF589906 JFF655365:JFF655442 JFF720901:JFF720978 JFF786437:JFF786514 JFF851973:JFF852050 JFF917509:JFF917586 JFF983045:JFF983122 JPB2:JPB82 JPB65541:JPB65618 JPB131077:JPB131154 JPB196613:JPB196690 JPB262149:JPB262226 JPB327685:JPB327762 JPB393221:JPB393298 JPB458757:JPB458834 JPB524293:JPB524370 JPB589829:JPB589906 JPB655365:JPB655442 JPB720901:JPB720978 JPB786437:JPB786514 JPB851973:JPB852050 JPB917509:JPB917586 JPB983045:JPB983122 JYX2:JYX82 JYX65541:JYX65618 JYX131077:JYX131154 JYX196613:JYX196690 JYX262149:JYX262226 JYX327685:JYX327762 JYX393221:JYX393298 JYX458757:JYX458834 JYX524293:JYX524370 JYX589829:JYX589906 JYX655365:JYX655442 JYX720901:JYX720978 JYX786437:JYX786514 JYX851973:JYX852050 JYX917509:JYX917586 JYX983045:JYX983122 KIT2:KIT82 KIT65541:KIT65618 KIT131077:KIT131154 KIT196613:KIT196690 KIT262149:KIT262226 KIT327685:KIT327762 KIT393221:KIT393298 KIT458757:KIT458834 KIT524293:KIT524370 KIT589829:KIT589906 KIT655365:KIT655442 KIT720901:KIT720978 KIT786437:KIT786514 KIT851973:KIT852050 KIT917509:KIT917586 KIT983045:KIT983122 KSP2:KSP82 KSP65541:KSP65618 KSP131077:KSP131154 KSP196613:KSP196690 KSP262149:KSP262226 KSP327685:KSP327762 KSP393221:KSP393298 KSP458757:KSP458834 KSP524293:KSP524370 KSP589829:KSP589906 KSP655365:KSP655442 KSP720901:KSP720978 KSP786437:KSP786514 KSP851973:KSP852050 KSP917509:KSP917586 KSP983045:KSP983122 LCL2:LCL82 LCL65541:LCL65618 LCL131077:LCL131154 LCL196613:LCL196690 LCL262149:LCL262226 LCL327685:LCL327762 LCL393221:LCL393298 LCL458757:LCL458834 LCL524293:LCL524370 LCL589829:LCL589906 LCL655365:LCL655442 LCL720901:LCL720978 LCL786437:LCL786514 LCL851973:LCL852050 LCL917509:LCL917586 LCL983045:LCL983122 LMH2:LMH82 LMH65541:LMH65618 LMH131077:LMH131154 LMH196613:LMH196690 LMH262149:LMH262226 LMH327685:LMH327762 LMH393221:LMH393298 LMH458757:LMH458834 LMH524293:LMH524370 LMH589829:LMH589906 LMH655365:LMH655442 LMH720901:LMH720978 LMH786437:LMH786514 LMH851973:LMH852050 LMH917509:LMH917586 LMH983045:LMH983122 LWD2:LWD82 LWD65541:LWD65618 LWD131077:LWD131154 LWD196613:LWD196690 LWD262149:LWD262226 LWD327685:LWD327762 LWD393221:LWD393298 LWD458757:LWD458834 LWD524293:LWD524370 LWD589829:LWD589906 LWD655365:LWD655442 LWD720901:LWD720978 LWD786437:LWD786514 LWD851973:LWD852050 LWD917509:LWD917586 LWD983045:LWD983122 MFZ2:MFZ82 MFZ65541:MFZ65618 MFZ131077:MFZ131154 MFZ196613:MFZ196690 MFZ262149:MFZ262226 MFZ327685:MFZ327762 MFZ393221:MFZ393298 MFZ458757:MFZ458834 MFZ524293:MFZ524370 MFZ589829:MFZ589906 MFZ655365:MFZ655442 MFZ720901:MFZ720978 MFZ786437:MFZ786514 MFZ851973:MFZ852050 MFZ917509:MFZ917586 MFZ983045:MFZ983122 MPV2:MPV82 MPV65541:MPV65618 MPV131077:MPV131154 MPV196613:MPV196690 MPV262149:MPV262226 MPV327685:MPV327762 MPV393221:MPV393298 MPV458757:MPV458834 MPV524293:MPV524370 MPV589829:MPV589906 MPV655365:MPV655442 MPV720901:MPV720978 MPV786437:MPV786514 MPV851973:MPV852050 MPV917509:MPV917586 MPV983045:MPV983122 MZR2:MZR82 MZR65541:MZR65618 MZR131077:MZR131154 MZR196613:MZR196690 MZR262149:MZR262226 MZR327685:MZR327762 MZR393221:MZR393298 MZR458757:MZR458834 MZR524293:MZR524370 MZR589829:MZR589906 MZR655365:MZR655442 MZR720901:MZR720978 MZR786437:MZR786514 MZR851973:MZR852050 MZR917509:MZR917586 MZR983045:MZR983122 NJN2:NJN82 NJN65541:NJN65618 NJN131077:NJN131154 NJN196613:NJN196690 NJN262149:NJN262226 NJN327685:NJN327762 NJN393221:NJN393298 NJN458757:NJN458834 NJN524293:NJN524370 NJN589829:NJN589906 NJN655365:NJN655442 NJN720901:NJN720978 NJN786437:NJN786514 NJN851973:NJN852050 NJN917509:NJN917586 NJN983045:NJN983122 NTJ2:NTJ82 NTJ65541:NTJ65618 NTJ131077:NTJ131154 NTJ196613:NTJ196690 NTJ262149:NTJ262226 NTJ327685:NTJ327762 NTJ393221:NTJ393298 NTJ458757:NTJ458834 NTJ524293:NTJ524370 NTJ589829:NTJ589906 NTJ655365:NTJ655442 NTJ720901:NTJ720978 NTJ786437:NTJ786514 NTJ851973:NTJ852050 NTJ917509:NTJ917586 NTJ983045:NTJ983122 ODF2:ODF82 ODF65541:ODF65618 ODF131077:ODF131154 ODF196613:ODF196690 ODF262149:ODF262226 ODF327685:ODF327762 ODF393221:ODF393298 ODF458757:ODF458834 ODF524293:ODF524370 ODF589829:ODF589906 ODF655365:ODF655442 ODF720901:ODF720978 ODF786437:ODF786514 ODF851973:ODF852050 ODF917509:ODF917586 ODF983045:ODF983122 ONB2:ONB82 ONB65541:ONB65618 ONB131077:ONB131154 ONB196613:ONB196690 ONB262149:ONB262226 ONB327685:ONB327762 ONB393221:ONB393298 ONB458757:ONB458834 ONB524293:ONB524370 ONB589829:ONB589906 ONB655365:ONB655442 ONB720901:ONB720978 ONB786437:ONB786514 ONB851973:ONB852050 ONB917509:ONB917586 ONB983045:ONB983122 OWX2:OWX82 OWX65541:OWX65618 OWX131077:OWX131154 OWX196613:OWX196690 OWX262149:OWX262226 OWX327685:OWX327762 OWX393221:OWX393298 OWX458757:OWX458834 OWX524293:OWX524370 OWX589829:OWX589906 OWX655365:OWX655442 OWX720901:OWX720978 OWX786437:OWX786514 OWX851973:OWX852050 OWX917509:OWX917586 OWX983045:OWX983122 PGT2:PGT82 PGT65541:PGT65618 PGT131077:PGT131154 PGT196613:PGT196690 PGT262149:PGT262226 PGT327685:PGT327762 PGT393221:PGT393298 PGT458757:PGT458834 PGT524293:PGT524370 PGT589829:PGT589906 PGT655365:PGT655442 PGT720901:PGT720978 PGT786437:PGT786514 PGT851973:PGT852050 PGT917509:PGT917586 PGT983045:PGT983122 PQP2:PQP82 PQP65541:PQP65618 PQP131077:PQP131154 PQP196613:PQP196690 PQP262149:PQP262226 PQP327685:PQP327762 PQP393221:PQP393298 PQP458757:PQP458834 PQP524293:PQP524370 PQP589829:PQP589906 PQP655365:PQP655442 PQP720901:PQP720978 PQP786437:PQP786514 PQP851973:PQP852050 PQP917509:PQP917586 PQP983045:PQP983122 QAL2:QAL82 QAL65541:QAL65618 QAL131077:QAL131154 QAL196613:QAL196690 QAL262149:QAL262226 QAL327685:QAL327762 QAL393221:QAL393298 QAL458757:QAL458834 QAL524293:QAL524370 QAL589829:QAL589906 QAL655365:QAL655442 QAL720901:QAL720978 QAL786437:QAL786514 QAL851973:QAL852050 QAL917509:QAL917586 QAL983045:QAL983122 QKH2:QKH82 QKH65541:QKH65618 QKH131077:QKH131154 QKH196613:QKH196690 QKH262149:QKH262226 QKH327685:QKH327762 QKH393221:QKH393298 QKH458757:QKH458834 QKH524293:QKH524370 QKH589829:QKH589906 QKH655365:QKH655442 QKH720901:QKH720978 QKH786437:QKH786514 QKH851973:QKH852050 QKH917509:QKH917586 QKH983045:QKH983122 QUD2:QUD82 QUD65541:QUD65618 QUD131077:QUD131154 QUD196613:QUD196690 QUD262149:QUD262226 QUD327685:QUD327762 QUD393221:QUD393298 QUD458757:QUD458834 QUD524293:QUD524370 QUD589829:QUD589906 QUD655365:QUD655442 QUD720901:QUD720978 QUD786437:QUD786514 QUD851973:QUD852050 QUD917509:QUD917586 QUD983045:QUD983122 RDZ2:RDZ82 RDZ65541:RDZ65618 RDZ131077:RDZ131154 RDZ196613:RDZ196690 RDZ262149:RDZ262226 RDZ327685:RDZ327762 RDZ393221:RDZ393298 RDZ458757:RDZ458834 RDZ524293:RDZ524370 RDZ589829:RDZ589906 RDZ655365:RDZ655442 RDZ720901:RDZ720978 RDZ786437:RDZ786514 RDZ851973:RDZ852050 RDZ917509:RDZ917586 RDZ983045:RDZ983122 RNV2:RNV82 RNV65541:RNV65618 RNV131077:RNV131154 RNV196613:RNV196690 RNV262149:RNV262226 RNV327685:RNV327762 RNV393221:RNV393298 RNV458757:RNV458834 RNV524293:RNV524370 RNV589829:RNV589906 RNV655365:RNV655442 RNV720901:RNV720978 RNV786437:RNV786514 RNV851973:RNV852050 RNV917509:RNV917586 RNV983045:RNV983122 RXR2:RXR82 RXR65541:RXR65618 RXR131077:RXR131154 RXR196613:RXR196690 RXR262149:RXR262226 RXR327685:RXR327762 RXR393221:RXR393298 RXR458757:RXR458834 RXR524293:RXR524370 RXR589829:RXR589906 RXR655365:RXR655442 RXR720901:RXR720978 RXR786437:RXR786514 RXR851973:RXR852050 RXR917509:RXR917586 RXR983045:RXR983122 SHN2:SHN82 SHN65541:SHN65618 SHN131077:SHN131154 SHN196613:SHN196690 SHN262149:SHN262226 SHN327685:SHN327762 SHN393221:SHN393298 SHN458757:SHN458834 SHN524293:SHN524370 SHN589829:SHN589906 SHN655365:SHN655442 SHN720901:SHN720978 SHN786437:SHN786514 SHN851973:SHN852050 SHN917509:SHN917586 SHN983045:SHN983122 SRJ2:SRJ82 SRJ65541:SRJ65618 SRJ131077:SRJ131154 SRJ196613:SRJ196690 SRJ262149:SRJ262226 SRJ327685:SRJ327762 SRJ393221:SRJ393298 SRJ458757:SRJ458834 SRJ524293:SRJ524370 SRJ589829:SRJ589906 SRJ655365:SRJ655442 SRJ720901:SRJ720978 SRJ786437:SRJ786514 SRJ851973:SRJ852050 SRJ917509:SRJ917586 SRJ983045:SRJ983122 TBF2:TBF82 TBF65541:TBF65618 TBF131077:TBF131154 TBF196613:TBF196690 TBF262149:TBF262226 TBF327685:TBF327762 TBF393221:TBF393298 TBF458757:TBF458834 TBF524293:TBF524370 TBF589829:TBF589906 TBF655365:TBF655442 TBF720901:TBF720978 TBF786437:TBF786514 TBF851973:TBF852050 TBF917509:TBF917586 TBF983045:TBF983122 TLB2:TLB82 TLB65541:TLB65618 TLB131077:TLB131154 TLB196613:TLB196690 TLB262149:TLB262226 TLB327685:TLB327762 TLB393221:TLB393298 TLB458757:TLB458834 TLB524293:TLB524370 TLB589829:TLB589906 TLB655365:TLB655442 TLB720901:TLB720978 TLB786437:TLB786514 TLB851973:TLB852050 TLB917509:TLB917586 TLB983045:TLB983122 TUX2:TUX82 TUX65541:TUX65618 TUX131077:TUX131154 TUX196613:TUX196690 TUX262149:TUX262226 TUX327685:TUX327762 TUX393221:TUX393298 TUX458757:TUX458834 TUX524293:TUX524370 TUX589829:TUX589906 TUX655365:TUX655442 TUX720901:TUX720978 TUX786437:TUX786514 TUX851973:TUX852050 TUX917509:TUX917586 TUX983045:TUX983122 UET2:UET82 UET65541:UET65618 UET131077:UET131154 UET196613:UET196690 UET262149:UET262226 UET327685:UET327762 UET393221:UET393298 UET458757:UET458834 UET524293:UET524370 UET589829:UET589906 UET655365:UET655442 UET720901:UET720978 UET786437:UET786514 UET851973:UET852050 UET917509:UET917586 UET983045:UET983122 UOP2:UOP82 UOP65541:UOP65618 UOP131077:UOP131154 UOP196613:UOP196690 UOP262149:UOP262226 UOP327685:UOP327762 UOP393221:UOP393298 UOP458757:UOP458834 UOP524293:UOP524370 UOP589829:UOP589906 UOP655365:UOP655442 UOP720901:UOP720978 UOP786437:UOP786514 UOP851973:UOP852050 UOP917509:UOP917586 UOP983045:UOP983122 UYL2:UYL82 UYL65541:UYL65618 UYL131077:UYL131154 UYL196613:UYL196690 UYL262149:UYL262226 UYL327685:UYL327762 UYL393221:UYL393298 UYL458757:UYL458834 UYL524293:UYL524370 UYL589829:UYL589906 UYL655365:UYL655442 UYL720901:UYL720978 UYL786437:UYL786514 UYL851973:UYL852050 UYL917509:UYL917586 UYL983045:UYL983122 VIH2:VIH82 VIH65541:VIH65618 VIH131077:VIH131154 VIH196613:VIH196690 VIH262149:VIH262226 VIH327685:VIH327762 VIH393221:VIH393298 VIH458757:VIH458834 VIH524293:VIH524370 VIH589829:VIH589906 VIH655365:VIH655442 VIH720901:VIH720978 VIH786437:VIH786514 VIH851973:VIH852050 VIH917509:VIH917586 VIH983045:VIH983122 VSD2:VSD82 VSD65541:VSD65618 VSD131077:VSD131154 VSD196613:VSD196690 VSD262149:VSD262226 VSD327685:VSD327762 VSD393221:VSD393298 VSD458757:VSD458834 VSD524293:VSD524370 VSD589829:VSD589906 VSD655365:VSD655442 VSD720901:VSD720978 VSD786437:VSD786514 VSD851973:VSD852050 VSD917509:VSD917586 VSD983045:VSD983122 WBZ2:WBZ82 WBZ65541:WBZ65618 WBZ131077:WBZ131154 WBZ196613:WBZ196690 WBZ262149:WBZ262226 WBZ327685:WBZ327762 WBZ393221:WBZ393298 WBZ458757:WBZ458834 WBZ524293:WBZ524370 WBZ589829:WBZ589906 WBZ655365:WBZ655442 WBZ720901:WBZ720978 WBZ786437:WBZ786514 WBZ851973:WBZ852050 WBZ917509:WBZ917586 WBZ983045:WBZ983122 WLV2:WLV82 WLV65541:WLV65618 WLV131077:WLV131154 WLV196613:WLV196690 WLV262149:WLV262226 WLV327685:WLV327762 WLV393221:WLV393298 WLV458757:WLV458834 WLV524293:WLV524370 WLV589829:WLV589906 WLV655365:WLV655442 WLV720901:WLV720978 WLV786437:WLV786514 WLV851973:WLV852050 WLV917509:WLV917586 WLV983045:WLV983122 WVR2:WVR82 WVR65541:WVR65618 WVR131077:WVR131154 WVR196613:WVR196690 WVR262149:WVR262226 WVR327685:WVR327762 WVR393221:WVR393298 WVR458757:WVR458834 WVR524293:WVR524370 WVR589829:WVR589906 WVR655365:WVR655442 WVR720901:WVR720978 WVR786437:WVR786514 WVR851973:WVR852050 WVR917509:WVR917586 WVR983045:WVR983122" xr:uid="{D5C8AB0D-DBCC-4B8E-8681-B7C3EDF909FF}">
      <formula1>$AP$2:$AP$27</formula1>
    </dataValidation>
    <dataValidation type="list" allowBlank="1" showInputMessage="1" showErrorMessage="1" sqref="K65538:K65616 K131074:K131152 K196610:K196688 K262146:K262224 K327682:K327760 K393218:K393296 K458754:K458832 K524290:K524368 K589826:K589904 K655362:K655440 K720898:K720976 K786434:K786512 K851970:K852048 K917506:K917584 K983042:K983120" xr:uid="{AF726F97-F0B2-4CE3-A572-1FF36EBACEF2}">
      <formula1>$AR$2:$AR$30</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267A1363-23A1-40EA-8076-6E2991E5B0BE}">
      <formula1>$AP$2:$AP$15</formula1>
    </dataValidation>
    <dataValidation type="list" allowBlank="1" showInputMessage="1" showErrorMessage="1" sqref="H65541:H65618 H131077:H131154 H196613:H196690 H262149:H262226 H327685:H327762 H393221:H393298 H458757:H458834 H524293:H524370 H589829:H589906 H655365:H655442 H720901:H720978 H786437:H786514 H851973:H852050 H917509:H917586 H983045:H983122 JD2:JD82 JD65541:JD65618 JD131077:JD131154 JD196613:JD196690 JD262149:JD262226 JD327685:JD327762 JD393221:JD393298 JD458757:JD458834 JD524293:JD524370 JD589829:JD589906 JD655365:JD655442 JD720901:JD720978 JD786437:JD786514 JD851973:JD852050 JD917509:JD917586 JD983045:JD983122 SZ2:SZ82 SZ65541:SZ65618 SZ131077:SZ131154 SZ196613:SZ196690 SZ262149:SZ262226 SZ327685:SZ327762 SZ393221:SZ393298 SZ458757:SZ458834 SZ524293:SZ524370 SZ589829:SZ589906 SZ655365:SZ655442 SZ720901:SZ720978 SZ786437:SZ786514 SZ851973:SZ852050 SZ917509:SZ917586 SZ983045:SZ983122 ACV2:ACV82 ACV65541:ACV65618 ACV131077:ACV131154 ACV196613:ACV196690 ACV262149:ACV262226 ACV327685:ACV327762 ACV393221:ACV393298 ACV458757:ACV458834 ACV524293:ACV524370 ACV589829:ACV589906 ACV655365:ACV655442 ACV720901:ACV720978 ACV786437:ACV786514 ACV851973:ACV852050 ACV917509:ACV917586 ACV983045:ACV983122 AMR2:AMR82 AMR65541:AMR65618 AMR131077:AMR131154 AMR196613:AMR196690 AMR262149:AMR262226 AMR327685:AMR327762 AMR393221:AMR393298 AMR458757:AMR458834 AMR524293:AMR524370 AMR589829:AMR589906 AMR655365:AMR655442 AMR720901:AMR720978 AMR786437:AMR786514 AMR851973:AMR852050 AMR917509:AMR917586 AMR983045:AMR983122 AWN2:AWN82 AWN65541:AWN65618 AWN131077:AWN131154 AWN196613:AWN196690 AWN262149:AWN262226 AWN327685:AWN327762 AWN393221:AWN393298 AWN458757:AWN458834 AWN524293:AWN524370 AWN589829:AWN589906 AWN655365:AWN655442 AWN720901:AWN720978 AWN786437:AWN786514 AWN851973:AWN852050 AWN917509:AWN917586 AWN983045:AWN983122 BGJ2:BGJ82 BGJ65541:BGJ65618 BGJ131077:BGJ131154 BGJ196613:BGJ196690 BGJ262149:BGJ262226 BGJ327685:BGJ327762 BGJ393221:BGJ393298 BGJ458757:BGJ458834 BGJ524293:BGJ524370 BGJ589829:BGJ589906 BGJ655365:BGJ655442 BGJ720901:BGJ720978 BGJ786437:BGJ786514 BGJ851973:BGJ852050 BGJ917509:BGJ917586 BGJ983045:BGJ983122 BQF2:BQF82 BQF65541:BQF65618 BQF131077:BQF131154 BQF196613:BQF196690 BQF262149:BQF262226 BQF327685:BQF327762 BQF393221:BQF393298 BQF458757:BQF458834 BQF524293:BQF524370 BQF589829:BQF589906 BQF655365:BQF655442 BQF720901:BQF720978 BQF786437:BQF786514 BQF851973:BQF852050 BQF917509:BQF917586 BQF983045:BQF983122 CAB2:CAB82 CAB65541:CAB65618 CAB131077:CAB131154 CAB196613:CAB196690 CAB262149:CAB262226 CAB327685:CAB327762 CAB393221:CAB393298 CAB458757:CAB458834 CAB524293:CAB524370 CAB589829:CAB589906 CAB655365:CAB655442 CAB720901:CAB720978 CAB786437:CAB786514 CAB851973:CAB852050 CAB917509:CAB917586 CAB983045:CAB983122 CJX2:CJX82 CJX65541:CJX65618 CJX131077:CJX131154 CJX196613:CJX196690 CJX262149:CJX262226 CJX327685:CJX327762 CJX393221:CJX393298 CJX458757:CJX458834 CJX524293:CJX524370 CJX589829:CJX589906 CJX655365:CJX655442 CJX720901:CJX720978 CJX786437:CJX786514 CJX851973:CJX852050 CJX917509:CJX917586 CJX983045:CJX983122 CTT2:CTT82 CTT65541:CTT65618 CTT131077:CTT131154 CTT196613:CTT196690 CTT262149:CTT262226 CTT327685:CTT327762 CTT393221:CTT393298 CTT458757:CTT458834 CTT524293:CTT524370 CTT589829:CTT589906 CTT655365:CTT655442 CTT720901:CTT720978 CTT786437:CTT786514 CTT851973:CTT852050 CTT917509:CTT917586 CTT983045:CTT983122 DDP2:DDP82 DDP65541:DDP65618 DDP131077:DDP131154 DDP196613:DDP196690 DDP262149:DDP262226 DDP327685:DDP327762 DDP393221:DDP393298 DDP458757:DDP458834 DDP524293:DDP524370 DDP589829:DDP589906 DDP655365:DDP655442 DDP720901:DDP720978 DDP786437:DDP786514 DDP851973:DDP852050 DDP917509:DDP917586 DDP983045:DDP983122 DNL2:DNL82 DNL65541:DNL65618 DNL131077:DNL131154 DNL196613:DNL196690 DNL262149:DNL262226 DNL327685:DNL327762 DNL393221:DNL393298 DNL458757:DNL458834 DNL524293:DNL524370 DNL589829:DNL589906 DNL655365:DNL655442 DNL720901:DNL720978 DNL786437:DNL786514 DNL851973:DNL852050 DNL917509:DNL917586 DNL983045:DNL983122 DXH2:DXH82 DXH65541:DXH65618 DXH131077:DXH131154 DXH196613:DXH196690 DXH262149:DXH262226 DXH327685:DXH327762 DXH393221:DXH393298 DXH458757:DXH458834 DXH524293:DXH524370 DXH589829:DXH589906 DXH655365:DXH655442 DXH720901:DXH720978 DXH786437:DXH786514 DXH851973:DXH852050 DXH917509:DXH917586 DXH983045:DXH983122 EHD2:EHD82 EHD65541:EHD65618 EHD131077:EHD131154 EHD196613:EHD196690 EHD262149:EHD262226 EHD327685:EHD327762 EHD393221:EHD393298 EHD458757:EHD458834 EHD524293:EHD524370 EHD589829:EHD589906 EHD655365:EHD655442 EHD720901:EHD720978 EHD786437:EHD786514 EHD851973:EHD852050 EHD917509:EHD917586 EHD983045:EHD983122 EQZ2:EQZ82 EQZ65541:EQZ65618 EQZ131077:EQZ131154 EQZ196613:EQZ196690 EQZ262149:EQZ262226 EQZ327685:EQZ327762 EQZ393221:EQZ393298 EQZ458757:EQZ458834 EQZ524293:EQZ524370 EQZ589829:EQZ589906 EQZ655365:EQZ655442 EQZ720901:EQZ720978 EQZ786437:EQZ786514 EQZ851973:EQZ852050 EQZ917509:EQZ917586 EQZ983045:EQZ983122 FAV2:FAV82 FAV65541:FAV65618 FAV131077:FAV131154 FAV196613:FAV196690 FAV262149:FAV262226 FAV327685:FAV327762 FAV393221:FAV393298 FAV458757:FAV458834 FAV524293:FAV524370 FAV589829:FAV589906 FAV655365:FAV655442 FAV720901:FAV720978 FAV786437:FAV786514 FAV851973:FAV852050 FAV917509:FAV917586 FAV983045:FAV983122 FKR2:FKR82 FKR65541:FKR65618 FKR131077:FKR131154 FKR196613:FKR196690 FKR262149:FKR262226 FKR327685:FKR327762 FKR393221:FKR393298 FKR458757:FKR458834 FKR524293:FKR524370 FKR589829:FKR589906 FKR655365:FKR655442 FKR720901:FKR720978 FKR786437:FKR786514 FKR851973:FKR852050 FKR917509:FKR917586 FKR983045:FKR983122 FUN2:FUN82 FUN65541:FUN65618 FUN131077:FUN131154 FUN196613:FUN196690 FUN262149:FUN262226 FUN327685:FUN327762 FUN393221:FUN393298 FUN458757:FUN458834 FUN524293:FUN524370 FUN589829:FUN589906 FUN655365:FUN655442 FUN720901:FUN720978 FUN786437:FUN786514 FUN851973:FUN852050 FUN917509:FUN917586 FUN983045:FUN983122 GEJ2:GEJ82 GEJ65541:GEJ65618 GEJ131077:GEJ131154 GEJ196613:GEJ196690 GEJ262149:GEJ262226 GEJ327685:GEJ327762 GEJ393221:GEJ393298 GEJ458757:GEJ458834 GEJ524293:GEJ524370 GEJ589829:GEJ589906 GEJ655365:GEJ655442 GEJ720901:GEJ720978 GEJ786437:GEJ786514 GEJ851973:GEJ852050 GEJ917509:GEJ917586 GEJ983045:GEJ983122 GOF2:GOF82 GOF65541:GOF65618 GOF131077:GOF131154 GOF196613:GOF196690 GOF262149:GOF262226 GOF327685:GOF327762 GOF393221:GOF393298 GOF458757:GOF458834 GOF524293:GOF524370 GOF589829:GOF589906 GOF655365:GOF655442 GOF720901:GOF720978 GOF786437:GOF786514 GOF851973:GOF852050 GOF917509:GOF917586 GOF983045:GOF983122 GYB2:GYB82 GYB65541:GYB65618 GYB131077:GYB131154 GYB196613:GYB196690 GYB262149:GYB262226 GYB327685:GYB327762 GYB393221:GYB393298 GYB458757:GYB458834 GYB524293:GYB524370 GYB589829:GYB589906 GYB655365:GYB655442 GYB720901:GYB720978 GYB786437:GYB786514 GYB851973:GYB852050 GYB917509:GYB917586 GYB983045:GYB983122 HHX2:HHX82 HHX65541:HHX65618 HHX131077:HHX131154 HHX196613:HHX196690 HHX262149:HHX262226 HHX327685:HHX327762 HHX393221:HHX393298 HHX458757:HHX458834 HHX524293:HHX524370 HHX589829:HHX589906 HHX655365:HHX655442 HHX720901:HHX720978 HHX786437:HHX786514 HHX851973:HHX852050 HHX917509:HHX917586 HHX983045:HHX983122 HRT2:HRT82 HRT65541:HRT65618 HRT131077:HRT131154 HRT196613:HRT196690 HRT262149:HRT262226 HRT327685:HRT327762 HRT393221:HRT393298 HRT458757:HRT458834 HRT524293:HRT524370 HRT589829:HRT589906 HRT655365:HRT655442 HRT720901:HRT720978 HRT786437:HRT786514 HRT851973:HRT852050 HRT917509:HRT917586 HRT983045:HRT983122 IBP2:IBP82 IBP65541:IBP65618 IBP131077:IBP131154 IBP196613:IBP196690 IBP262149:IBP262226 IBP327685:IBP327762 IBP393221:IBP393298 IBP458757:IBP458834 IBP524293:IBP524370 IBP589829:IBP589906 IBP655365:IBP655442 IBP720901:IBP720978 IBP786437:IBP786514 IBP851973:IBP852050 IBP917509:IBP917586 IBP983045:IBP983122 ILL2:ILL82 ILL65541:ILL65618 ILL131077:ILL131154 ILL196613:ILL196690 ILL262149:ILL262226 ILL327685:ILL327762 ILL393221:ILL393298 ILL458757:ILL458834 ILL524293:ILL524370 ILL589829:ILL589906 ILL655365:ILL655442 ILL720901:ILL720978 ILL786437:ILL786514 ILL851973:ILL852050 ILL917509:ILL917586 ILL983045:ILL983122 IVH2:IVH82 IVH65541:IVH65618 IVH131077:IVH131154 IVH196613:IVH196690 IVH262149:IVH262226 IVH327685:IVH327762 IVH393221:IVH393298 IVH458757:IVH458834 IVH524293:IVH524370 IVH589829:IVH589906 IVH655365:IVH655442 IVH720901:IVH720978 IVH786437:IVH786514 IVH851973:IVH852050 IVH917509:IVH917586 IVH983045:IVH983122 JFD2:JFD82 JFD65541:JFD65618 JFD131077:JFD131154 JFD196613:JFD196690 JFD262149:JFD262226 JFD327685:JFD327762 JFD393221:JFD393298 JFD458757:JFD458834 JFD524293:JFD524370 JFD589829:JFD589906 JFD655365:JFD655442 JFD720901:JFD720978 JFD786437:JFD786514 JFD851973:JFD852050 JFD917509:JFD917586 JFD983045:JFD983122 JOZ2:JOZ82 JOZ65541:JOZ65618 JOZ131077:JOZ131154 JOZ196613:JOZ196690 JOZ262149:JOZ262226 JOZ327685:JOZ327762 JOZ393221:JOZ393298 JOZ458757:JOZ458834 JOZ524293:JOZ524370 JOZ589829:JOZ589906 JOZ655365:JOZ655442 JOZ720901:JOZ720978 JOZ786437:JOZ786514 JOZ851973:JOZ852050 JOZ917509:JOZ917586 JOZ983045:JOZ983122 JYV2:JYV82 JYV65541:JYV65618 JYV131077:JYV131154 JYV196613:JYV196690 JYV262149:JYV262226 JYV327685:JYV327762 JYV393221:JYV393298 JYV458757:JYV458834 JYV524293:JYV524370 JYV589829:JYV589906 JYV655365:JYV655442 JYV720901:JYV720978 JYV786437:JYV786514 JYV851973:JYV852050 JYV917509:JYV917586 JYV983045:JYV983122 KIR2:KIR82 KIR65541:KIR65618 KIR131077:KIR131154 KIR196613:KIR196690 KIR262149:KIR262226 KIR327685:KIR327762 KIR393221:KIR393298 KIR458757:KIR458834 KIR524293:KIR524370 KIR589829:KIR589906 KIR655365:KIR655442 KIR720901:KIR720978 KIR786437:KIR786514 KIR851973:KIR852050 KIR917509:KIR917586 KIR983045:KIR983122 KSN2:KSN82 KSN65541:KSN65618 KSN131077:KSN131154 KSN196613:KSN196690 KSN262149:KSN262226 KSN327685:KSN327762 KSN393221:KSN393298 KSN458757:KSN458834 KSN524293:KSN524370 KSN589829:KSN589906 KSN655365:KSN655442 KSN720901:KSN720978 KSN786437:KSN786514 KSN851973:KSN852050 KSN917509:KSN917586 KSN983045:KSN983122 LCJ2:LCJ82 LCJ65541:LCJ65618 LCJ131077:LCJ131154 LCJ196613:LCJ196690 LCJ262149:LCJ262226 LCJ327685:LCJ327762 LCJ393221:LCJ393298 LCJ458757:LCJ458834 LCJ524293:LCJ524370 LCJ589829:LCJ589906 LCJ655365:LCJ655442 LCJ720901:LCJ720978 LCJ786437:LCJ786514 LCJ851973:LCJ852050 LCJ917509:LCJ917586 LCJ983045:LCJ983122 LMF2:LMF82 LMF65541:LMF65618 LMF131077:LMF131154 LMF196613:LMF196690 LMF262149:LMF262226 LMF327685:LMF327762 LMF393221:LMF393298 LMF458757:LMF458834 LMF524293:LMF524370 LMF589829:LMF589906 LMF655365:LMF655442 LMF720901:LMF720978 LMF786437:LMF786514 LMF851973:LMF852050 LMF917509:LMF917586 LMF983045:LMF983122 LWB2:LWB82 LWB65541:LWB65618 LWB131077:LWB131154 LWB196613:LWB196690 LWB262149:LWB262226 LWB327685:LWB327762 LWB393221:LWB393298 LWB458757:LWB458834 LWB524293:LWB524370 LWB589829:LWB589906 LWB655365:LWB655442 LWB720901:LWB720978 LWB786437:LWB786514 LWB851973:LWB852050 LWB917509:LWB917586 LWB983045:LWB983122 MFX2:MFX82 MFX65541:MFX65618 MFX131077:MFX131154 MFX196613:MFX196690 MFX262149:MFX262226 MFX327685:MFX327762 MFX393221:MFX393298 MFX458757:MFX458834 MFX524293:MFX524370 MFX589829:MFX589906 MFX655365:MFX655442 MFX720901:MFX720978 MFX786437:MFX786514 MFX851973:MFX852050 MFX917509:MFX917586 MFX983045:MFX983122 MPT2:MPT82 MPT65541:MPT65618 MPT131077:MPT131154 MPT196613:MPT196690 MPT262149:MPT262226 MPT327685:MPT327762 MPT393221:MPT393298 MPT458757:MPT458834 MPT524293:MPT524370 MPT589829:MPT589906 MPT655365:MPT655442 MPT720901:MPT720978 MPT786437:MPT786514 MPT851973:MPT852050 MPT917509:MPT917586 MPT983045:MPT983122 MZP2:MZP82 MZP65541:MZP65618 MZP131077:MZP131154 MZP196613:MZP196690 MZP262149:MZP262226 MZP327685:MZP327762 MZP393221:MZP393298 MZP458757:MZP458834 MZP524293:MZP524370 MZP589829:MZP589906 MZP655365:MZP655442 MZP720901:MZP720978 MZP786437:MZP786514 MZP851973:MZP852050 MZP917509:MZP917586 MZP983045:MZP983122 NJL2:NJL82 NJL65541:NJL65618 NJL131077:NJL131154 NJL196613:NJL196690 NJL262149:NJL262226 NJL327685:NJL327762 NJL393221:NJL393298 NJL458757:NJL458834 NJL524293:NJL524370 NJL589829:NJL589906 NJL655365:NJL655442 NJL720901:NJL720978 NJL786437:NJL786514 NJL851973:NJL852050 NJL917509:NJL917586 NJL983045:NJL983122 NTH2:NTH82 NTH65541:NTH65618 NTH131077:NTH131154 NTH196613:NTH196690 NTH262149:NTH262226 NTH327685:NTH327762 NTH393221:NTH393298 NTH458757:NTH458834 NTH524293:NTH524370 NTH589829:NTH589906 NTH655365:NTH655442 NTH720901:NTH720978 NTH786437:NTH786514 NTH851973:NTH852050 NTH917509:NTH917586 NTH983045:NTH983122 ODD2:ODD82 ODD65541:ODD65618 ODD131077:ODD131154 ODD196613:ODD196690 ODD262149:ODD262226 ODD327685:ODD327762 ODD393221:ODD393298 ODD458757:ODD458834 ODD524293:ODD524370 ODD589829:ODD589906 ODD655365:ODD655442 ODD720901:ODD720978 ODD786437:ODD786514 ODD851973:ODD852050 ODD917509:ODD917586 ODD983045:ODD983122 OMZ2:OMZ82 OMZ65541:OMZ65618 OMZ131077:OMZ131154 OMZ196613:OMZ196690 OMZ262149:OMZ262226 OMZ327685:OMZ327762 OMZ393221:OMZ393298 OMZ458757:OMZ458834 OMZ524293:OMZ524370 OMZ589829:OMZ589906 OMZ655365:OMZ655442 OMZ720901:OMZ720978 OMZ786437:OMZ786514 OMZ851973:OMZ852050 OMZ917509:OMZ917586 OMZ983045:OMZ983122 OWV2:OWV82 OWV65541:OWV65618 OWV131077:OWV131154 OWV196613:OWV196690 OWV262149:OWV262226 OWV327685:OWV327762 OWV393221:OWV393298 OWV458757:OWV458834 OWV524293:OWV524370 OWV589829:OWV589906 OWV655365:OWV655442 OWV720901:OWV720978 OWV786437:OWV786514 OWV851973:OWV852050 OWV917509:OWV917586 OWV983045:OWV983122 PGR2:PGR82 PGR65541:PGR65618 PGR131077:PGR131154 PGR196613:PGR196690 PGR262149:PGR262226 PGR327685:PGR327762 PGR393221:PGR393298 PGR458757:PGR458834 PGR524293:PGR524370 PGR589829:PGR589906 PGR655365:PGR655442 PGR720901:PGR720978 PGR786437:PGR786514 PGR851973:PGR852050 PGR917509:PGR917586 PGR983045:PGR983122 PQN2:PQN82 PQN65541:PQN65618 PQN131077:PQN131154 PQN196613:PQN196690 PQN262149:PQN262226 PQN327685:PQN327762 PQN393221:PQN393298 PQN458757:PQN458834 PQN524293:PQN524370 PQN589829:PQN589906 PQN655365:PQN655442 PQN720901:PQN720978 PQN786437:PQN786514 PQN851973:PQN852050 PQN917509:PQN917586 PQN983045:PQN983122 QAJ2:QAJ82 QAJ65541:QAJ65618 QAJ131077:QAJ131154 QAJ196613:QAJ196690 QAJ262149:QAJ262226 QAJ327685:QAJ327762 QAJ393221:QAJ393298 QAJ458757:QAJ458834 QAJ524293:QAJ524370 QAJ589829:QAJ589906 QAJ655365:QAJ655442 QAJ720901:QAJ720978 QAJ786437:QAJ786514 QAJ851973:QAJ852050 QAJ917509:QAJ917586 QAJ983045:QAJ983122 QKF2:QKF82 QKF65541:QKF65618 QKF131077:QKF131154 QKF196613:QKF196690 QKF262149:QKF262226 QKF327685:QKF327762 QKF393221:QKF393298 QKF458757:QKF458834 QKF524293:QKF524370 QKF589829:QKF589906 QKF655365:QKF655442 QKF720901:QKF720978 QKF786437:QKF786514 QKF851973:QKF852050 QKF917509:QKF917586 QKF983045:QKF983122 QUB2:QUB82 QUB65541:QUB65618 QUB131077:QUB131154 QUB196613:QUB196690 QUB262149:QUB262226 QUB327685:QUB327762 QUB393221:QUB393298 QUB458757:QUB458834 QUB524293:QUB524370 QUB589829:QUB589906 QUB655365:QUB655442 QUB720901:QUB720978 QUB786437:QUB786514 QUB851973:QUB852050 QUB917509:QUB917586 QUB983045:QUB983122 RDX2:RDX82 RDX65541:RDX65618 RDX131077:RDX131154 RDX196613:RDX196690 RDX262149:RDX262226 RDX327685:RDX327762 RDX393221:RDX393298 RDX458757:RDX458834 RDX524293:RDX524370 RDX589829:RDX589906 RDX655365:RDX655442 RDX720901:RDX720978 RDX786437:RDX786514 RDX851973:RDX852050 RDX917509:RDX917586 RDX983045:RDX983122 RNT2:RNT82 RNT65541:RNT65618 RNT131077:RNT131154 RNT196613:RNT196690 RNT262149:RNT262226 RNT327685:RNT327762 RNT393221:RNT393298 RNT458757:RNT458834 RNT524293:RNT524370 RNT589829:RNT589906 RNT655365:RNT655442 RNT720901:RNT720978 RNT786437:RNT786514 RNT851973:RNT852050 RNT917509:RNT917586 RNT983045:RNT983122 RXP2:RXP82 RXP65541:RXP65618 RXP131077:RXP131154 RXP196613:RXP196690 RXP262149:RXP262226 RXP327685:RXP327762 RXP393221:RXP393298 RXP458757:RXP458834 RXP524293:RXP524370 RXP589829:RXP589906 RXP655365:RXP655442 RXP720901:RXP720978 RXP786437:RXP786514 RXP851973:RXP852050 RXP917509:RXP917586 RXP983045:RXP983122 SHL2:SHL82 SHL65541:SHL65618 SHL131077:SHL131154 SHL196613:SHL196690 SHL262149:SHL262226 SHL327685:SHL327762 SHL393221:SHL393298 SHL458757:SHL458834 SHL524293:SHL524370 SHL589829:SHL589906 SHL655365:SHL655442 SHL720901:SHL720978 SHL786437:SHL786514 SHL851973:SHL852050 SHL917509:SHL917586 SHL983045:SHL983122 SRH2:SRH82 SRH65541:SRH65618 SRH131077:SRH131154 SRH196613:SRH196690 SRH262149:SRH262226 SRH327685:SRH327762 SRH393221:SRH393298 SRH458757:SRH458834 SRH524293:SRH524370 SRH589829:SRH589906 SRH655365:SRH655442 SRH720901:SRH720978 SRH786437:SRH786514 SRH851973:SRH852050 SRH917509:SRH917586 SRH983045:SRH983122 TBD2:TBD82 TBD65541:TBD65618 TBD131077:TBD131154 TBD196613:TBD196690 TBD262149:TBD262226 TBD327685:TBD327762 TBD393221:TBD393298 TBD458757:TBD458834 TBD524293:TBD524370 TBD589829:TBD589906 TBD655365:TBD655442 TBD720901:TBD720978 TBD786437:TBD786514 TBD851973:TBD852050 TBD917509:TBD917586 TBD983045:TBD983122 TKZ2:TKZ82 TKZ65541:TKZ65618 TKZ131077:TKZ131154 TKZ196613:TKZ196690 TKZ262149:TKZ262226 TKZ327685:TKZ327762 TKZ393221:TKZ393298 TKZ458757:TKZ458834 TKZ524293:TKZ524370 TKZ589829:TKZ589906 TKZ655365:TKZ655442 TKZ720901:TKZ720978 TKZ786437:TKZ786514 TKZ851973:TKZ852050 TKZ917509:TKZ917586 TKZ983045:TKZ983122 TUV2:TUV82 TUV65541:TUV65618 TUV131077:TUV131154 TUV196613:TUV196690 TUV262149:TUV262226 TUV327685:TUV327762 TUV393221:TUV393298 TUV458757:TUV458834 TUV524293:TUV524370 TUV589829:TUV589906 TUV655365:TUV655442 TUV720901:TUV720978 TUV786437:TUV786514 TUV851973:TUV852050 TUV917509:TUV917586 TUV983045:TUV983122 UER2:UER82 UER65541:UER65618 UER131077:UER131154 UER196613:UER196690 UER262149:UER262226 UER327685:UER327762 UER393221:UER393298 UER458757:UER458834 UER524293:UER524370 UER589829:UER589906 UER655365:UER655442 UER720901:UER720978 UER786437:UER786514 UER851973:UER852050 UER917509:UER917586 UER983045:UER983122 UON2:UON82 UON65541:UON65618 UON131077:UON131154 UON196613:UON196690 UON262149:UON262226 UON327685:UON327762 UON393221:UON393298 UON458757:UON458834 UON524293:UON524370 UON589829:UON589906 UON655365:UON655442 UON720901:UON720978 UON786437:UON786514 UON851973:UON852050 UON917509:UON917586 UON983045:UON983122 UYJ2:UYJ82 UYJ65541:UYJ65618 UYJ131077:UYJ131154 UYJ196613:UYJ196690 UYJ262149:UYJ262226 UYJ327685:UYJ327762 UYJ393221:UYJ393298 UYJ458757:UYJ458834 UYJ524293:UYJ524370 UYJ589829:UYJ589906 UYJ655365:UYJ655442 UYJ720901:UYJ720978 UYJ786437:UYJ786514 UYJ851973:UYJ852050 UYJ917509:UYJ917586 UYJ983045:UYJ983122 VIF2:VIF82 VIF65541:VIF65618 VIF131077:VIF131154 VIF196613:VIF196690 VIF262149:VIF262226 VIF327685:VIF327762 VIF393221:VIF393298 VIF458757:VIF458834 VIF524293:VIF524370 VIF589829:VIF589906 VIF655365:VIF655442 VIF720901:VIF720978 VIF786437:VIF786514 VIF851973:VIF852050 VIF917509:VIF917586 VIF983045:VIF983122 VSB2:VSB82 VSB65541:VSB65618 VSB131077:VSB131154 VSB196613:VSB196690 VSB262149:VSB262226 VSB327685:VSB327762 VSB393221:VSB393298 VSB458757:VSB458834 VSB524293:VSB524370 VSB589829:VSB589906 VSB655365:VSB655442 VSB720901:VSB720978 VSB786437:VSB786514 VSB851973:VSB852050 VSB917509:VSB917586 VSB983045:VSB983122 WBX2:WBX82 WBX65541:WBX65618 WBX131077:WBX131154 WBX196613:WBX196690 WBX262149:WBX262226 WBX327685:WBX327762 WBX393221:WBX393298 WBX458757:WBX458834 WBX524293:WBX524370 WBX589829:WBX589906 WBX655365:WBX655442 WBX720901:WBX720978 WBX786437:WBX786514 WBX851973:WBX852050 WBX917509:WBX917586 WBX983045:WBX983122 WLT2:WLT82 WLT65541:WLT65618 WLT131077:WLT131154 WLT196613:WLT196690 WLT262149:WLT262226 WLT327685:WLT327762 WLT393221:WLT393298 WLT458757:WLT458834 WLT524293:WLT524370 WLT589829:WLT589906 WLT655365:WLT655442 WLT720901:WLT720978 WLT786437:WLT786514 WLT851973:WLT852050 WLT917509:WLT917586 WLT983045:WLT983122 WVP2:WVP82 WVP65541:WVP65618 WVP131077:WVP131154 WVP196613:WVP196690 WVP262149:WVP262226 WVP327685:WVP327762 WVP393221:WVP393298 WVP458757:WVP458834 WVP524293:WVP524370 WVP589829:WVP589906 WVP655365:WVP655442 WVP720901:WVP720978 WVP786437:WVP786514 WVP851973:WVP852050 WVP917509:WVP917586 WVP983045:WVP983122" xr:uid="{F0177D31-BC3A-48F8-AC10-7CCDE804BC9B}">
      <formula1>$AL$4:$AL$12</formula1>
    </dataValidation>
    <dataValidation type="list" allowBlank="1" showInputMessage="1" showErrorMessage="1" sqref="G2:G503 G65541:G65618 G131077:G131154 G196613:G196690 G262149:G262226 G327685:G327762 G393221:G393298 G458757:G458834 G524293:G524370 G589829:G589906 G655365:G655442 G720901:G720978 G786437:G786514 G851973:G852050 G917509:G917586 G983045:G983122 JC2:JC82 JC65541:JC65618 JC131077:JC131154 JC196613:JC196690 JC262149:JC262226 JC327685:JC327762 JC393221:JC393298 JC458757:JC458834 JC524293:JC524370 JC589829:JC589906 JC655365:JC655442 JC720901:JC720978 JC786437:JC786514 JC851973:JC852050 JC917509:JC917586 JC983045:JC983122 SY2:SY82 SY65541:SY65618 SY131077:SY131154 SY196613:SY196690 SY262149:SY262226 SY327685:SY327762 SY393221:SY393298 SY458757:SY458834 SY524293:SY524370 SY589829:SY589906 SY655365:SY655442 SY720901:SY720978 SY786437:SY786514 SY851973:SY852050 SY917509:SY917586 SY983045:SY983122 ACU2:ACU82 ACU65541:ACU65618 ACU131077:ACU131154 ACU196613:ACU196690 ACU262149:ACU262226 ACU327685:ACU327762 ACU393221:ACU393298 ACU458757:ACU458834 ACU524293:ACU524370 ACU589829:ACU589906 ACU655365:ACU655442 ACU720901:ACU720978 ACU786437:ACU786514 ACU851973:ACU852050 ACU917509:ACU917586 ACU983045:ACU983122 AMQ2:AMQ82 AMQ65541:AMQ65618 AMQ131077:AMQ131154 AMQ196613:AMQ196690 AMQ262149:AMQ262226 AMQ327685:AMQ327762 AMQ393221:AMQ393298 AMQ458757:AMQ458834 AMQ524293:AMQ524370 AMQ589829:AMQ589906 AMQ655365:AMQ655442 AMQ720901:AMQ720978 AMQ786437:AMQ786514 AMQ851973:AMQ852050 AMQ917509:AMQ917586 AMQ983045:AMQ983122 AWM2:AWM82 AWM65541:AWM65618 AWM131077:AWM131154 AWM196613:AWM196690 AWM262149:AWM262226 AWM327685:AWM327762 AWM393221:AWM393298 AWM458757:AWM458834 AWM524293:AWM524370 AWM589829:AWM589906 AWM655365:AWM655442 AWM720901:AWM720978 AWM786437:AWM786514 AWM851973:AWM852050 AWM917509:AWM917586 AWM983045:AWM983122 BGI2:BGI82 BGI65541:BGI65618 BGI131077:BGI131154 BGI196613:BGI196690 BGI262149:BGI262226 BGI327685:BGI327762 BGI393221:BGI393298 BGI458757:BGI458834 BGI524293:BGI524370 BGI589829:BGI589906 BGI655365:BGI655442 BGI720901:BGI720978 BGI786437:BGI786514 BGI851973:BGI852050 BGI917509:BGI917586 BGI983045:BGI983122 BQE2:BQE82 BQE65541:BQE65618 BQE131077:BQE131154 BQE196613:BQE196690 BQE262149:BQE262226 BQE327685:BQE327762 BQE393221:BQE393298 BQE458757:BQE458834 BQE524293:BQE524370 BQE589829:BQE589906 BQE655365:BQE655442 BQE720901:BQE720978 BQE786437:BQE786514 BQE851973:BQE852050 BQE917509:BQE917586 BQE983045:BQE983122 CAA2:CAA82 CAA65541:CAA65618 CAA131077:CAA131154 CAA196613:CAA196690 CAA262149:CAA262226 CAA327685:CAA327762 CAA393221:CAA393298 CAA458757:CAA458834 CAA524293:CAA524370 CAA589829:CAA589906 CAA655365:CAA655442 CAA720901:CAA720978 CAA786437:CAA786514 CAA851973:CAA852050 CAA917509:CAA917586 CAA983045:CAA983122 CJW2:CJW82 CJW65541:CJW65618 CJW131077:CJW131154 CJW196613:CJW196690 CJW262149:CJW262226 CJW327685:CJW327762 CJW393221:CJW393298 CJW458757:CJW458834 CJW524293:CJW524370 CJW589829:CJW589906 CJW655365:CJW655442 CJW720901:CJW720978 CJW786437:CJW786514 CJW851973:CJW852050 CJW917509:CJW917586 CJW983045:CJW983122 CTS2:CTS82 CTS65541:CTS65618 CTS131077:CTS131154 CTS196613:CTS196690 CTS262149:CTS262226 CTS327685:CTS327762 CTS393221:CTS393298 CTS458757:CTS458834 CTS524293:CTS524370 CTS589829:CTS589906 CTS655365:CTS655442 CTS720901:CTS720978 CTS786437:CTS786514 CTS851973:CTS852050 CTS917509:CTS917586 CTS983045:CTS983122 DDO2:DDO82 DDO65541:DDO65618 DDO131077:DDO131154 DDO196613:DDO196690 DDO262149:DDO262226 DDO327685:DDO327762 DDO393221:DDO393298 DDO458757:DDO458834 DDO524293:DDO524370 DDO589829:DDO589906 DDO655365:DDO655442 DDO720901:DDO720978 DDO786437:DDO786514 DDO851973:DDO852050 DDO917509:DDO917586 DDO983045:DDO983122 DNK2:DNK82 DNK65541:DNK65618 DNK131077:DNK131154 DNK196613:DNK196690 DNK262149:DNK262226 DNK327685:DNK327762 DNK393221:DNK393298 DNK458757:DNK458834 DNK524293:DNK524370 DNK589829:DNK589906 DNK655365:DNK655442 DNK720901:DNK720978 DNK786437:DNK786514 DNK851973:DNK852050 DNK917509:DNK917586 DNK983045:DNK983122 DXG2:DXG82 DXG65541:DXG65618 DXG131077:DXG131154 DXG196613:DXG196690 DXG262149:DXG262226 DXG327685:DXG327762 DXG393221:DXG393298 DXG458757:DXG458834 DXG524293:DXG524370 DXG589829:DXG589906 DXG655365:DXG655442 DXG720901:DXG720978 DXG786437:DXG786514 DXG851973:DXG852050 DXG917509:DXG917586 DXG983045:DXG983122 EHC2:EHC82 EHC65541:EHC65618 EHC131077:EHC131154 EHC196613:EHC196690 EHC262149:EHC262226 EHC327685:EHC327762 EHC393221:EHC393298 EHC458757:EHC458834 EHC524293:EHC524370 EHC589829:EHC589906 EHC655365:EHC655442 EHC720901:EHC720978 EHC786437:EHC786514 EHC851973:EHC852050 EHC917509:EHC917586 EHC983045:EHC983122 EQY2:EQY82 EQY65541:EQY65618 EQY131077:EQY131154 EQY196613:EQY196690 EQY262149:EQY262226 EQY327685:EQY327762 EQY393221:EQY393298 EQY458757:EQY458834 EQY524293:EQY524370 EQY589829:EQY589906 EQY655365:EQY655442 EQY720901:EQY720978 EQY786437:EQY786514 EQY851973:EQY852050 EQY917509:EQY917586 EQY983045:EQY983122 FAU2:FAU82 FAU65541:FAU65618 FAU131077:FAU131154 FAU196613:FAU196690 FAU262149:FAU262226 FAU327685:FAU327762 FAU393221:FAU393298 FAU458757:FAU458834 FAU524293:FAU524370 FAU589829:FAU589906 FAU655365:FAU655442 FAU720901:FAU720978 FAU786437:FAU786514 FAU851973:FAU852050 FAU917509:FAU917586 FAU983045:FAU983122 FKQ2:FKQ82 FKQ65541:FKQ65618 FKQ131077:FKQ131154 FKQ196613:FKQ196690 FKQ262149:FKQ262226 FKQ327685:FKQ327762 FKQ393221:FKQ393298 FKQ458757:FKQ458834 FKQ524293:FKQ524370 FKQ589829:FKQ589906 FKQ655365:FKQ655442 FKQ720901:FKQ720978 FKQ786437:FKQ786514 FKQ851973:FKQ852050 FKQ917509:FKQ917586 FKQ983045:FKQ983122 FUM2:FUM82 FUM65541:FUM65618 FUM131077:FUM131154 FUM196613:FUM196690 FUM262149:FUM262226 FUM327685:FUM327762 FUM393221:FUM393298 FUM458757:FUM458834 FUM524293:FUM524370 FUM589829:FUM589906 FUM655365:FUM655442 FUM720901:FUM720978 FUM786437:FUM786514 FUM851973:FUM852050 FUM917509:FUM917586 FUM983045:FUM983122 GEI2:GEI82 GEI65541:GEI65618 GEI131077:GEI131154 GEI196613:GEI196690 GEI262149:GEI262226 GEI327685:GEI327762 GEI393221:GEI393298 GEI458757:GEI458834 GEI524293:GEI524370 GEI589829:GEI589906 GEI655365:GEI655442 GEI720901:GEI720978 GEI786437:GEI786514 GEI851973:GEI852050 GEI917509:GEI917586 GEI983045:GEI983122 GOE2:GOE82 GOE65541:GOE65618 GOE131077:GOE131154 GOE196613:GOE196690 GOE262149:GOE262226 GOE327685:GOE327762 GOE393221:GOE393298 GOE458757:GOE458834 GOE524293:GOE524370 GOE589829:GOE589906 GOE655365:GOE655442 GOE720901:GOE720978 GOE786437:GOE786514 GOE851973:GOE852050 GOE917509:GOE917586 GOE983045:GOE983122 GYA2:GYA82 GYA65541:GYA65618 GYA131077:GYA131154 GYA196613:GYA196690 GYA262149:GYA262226 GYA327685:GYA327762 GYA393221:GYA393298 GYA458757:GYA458834 GYA524293:GYA524370 GYA589829:GYA589906 GYA655365:GYA655442 GYA720901:GYA720978 GYA786437:GYA786514 GYA851973:GYA852050 GYA917509:GYA917586 GYA983045:GYA983122 HHW2:HHW82 HHW65541:HHW65618 HHW131077:HHW131154 HHW196613:HHW196690 HHW262149:HHW262226 HHW327685:HHW327762 HHW393221:HHW393298 HHW458757:HHW458834 HHW524293:HHW524370 HHW589829:HHW589906 HHW655365:HHW655442 HHW720901:HHW720978 HHW786437:HHW786514 HHW851973:HHW852050 HHW917509:HHW917586 HHW983045:HHW983122 HRS2:HRS82 HRS65541:HRS65618 HRS131077:HRS131154 HRS196613:HRS196690 HRS262149:HRS262226 HRS327685:HRS327762 HRS393221:HRS393298 HRS458757:HRS458834 HRS524293:HRS524370 HRS589829:HRS589906 HRS655365:HRS655442 HRS720901:HRS720978 HRS786437:HRS786514 HRS851973:HRS852050 HRS917509:HRS917586 HRS983045:HRS983122 IBO2:IBO82 IBO65541:IBO65618 IBO131077:IBO131154 IBO196613:IBO196690 IBO262149:IBO262226 IBO327685:IBO327762 IBO393221:IBO393298 IBO458757:IBO458834 IBO524293:IBO524370 IBO589829:IBO589906 IBO655365:IBO655442 IBO720901:IBO720978 IBO786437:IBO786514 IBO851973:IBO852050 IBO917509:IBO917586 IBO983045:IBO983122 ILK2:ILK82 ILK65541:ILK65618 ILK131077:ILK131154 ILK196613:ILK196690 ILK262149:ILK262226 ILK327685:ILK327762 ILK393221:ILK393298 ILK458757:ILK458834 ILK524293:ILK524370 ILK589829:ILK589906 ILK655365:ILK655442 ILK720901:ILK720978 ILK786437:ILK786514 ILK851973:ILK852050 ILK917509:ILK917586 ILK983045:ILK983122 IVG2:IVG82 IVG65541:IVG65618 IVG131077:IVG131154 IVG196613:IVG196690 IVG262149:IVG262226 IVG327685:IVG327762 IVG393221:IVG393298 IVG458757:IVG458834 IVG524293:IVG524370 IVG589829:IVG589906 IVG655365:IVG655442 IVG720901:IVG720978 IVG786437:IVG786514 IVG851973:IVG852050 IVG917509:IVG917586 IVG983045:IVG983122 JFC2:JFC82 JFC65541:JFC65618 JFC131077:JFC131154 JFC196613:JFC196690 JFC262149:JFC262226 JFC327685:JFC327762 JFC393221:JFC393298 JFC458757:JFC458834 JFC524293:JFC524370 JFC589829:JFC589906 JFC655365:JFC655442 JFC720901:JFC720978 JFC786437:JFC786514 JFC851973:JFC852050 JFC917509:JFC917586 JFC983045:JFC983122 JOY2:JOY82 JOY65541:JOY65618 JOY131077:JOY131154 JOY196613:JOY196690 JOY262149:JOY262226 JOY327685:JOY327762 JOY393221:JOY393298 JOY458757:JOY458834 JOY524293:JOY524370 JOY589829:JOY589906 JOY655365:JOY655442 JOY720901:JOY720978 JOY786437:JOY786514 JOY851973:JOY852050 JOY917509:JOY917586 JOY983045:JOY983122 JYU2:JYU82 JYU65541:JYU65618 JYU131077:JYU131154 JYU196613:JYU196690 JYU262149:JYU262226 JYU327685:JYU327762 JYU393221:JYU393298 JYU458757:JYU458834 JYU524293:JYU524370 JYU589829:JYU589906 JYU655365:JYU655442 JYU720901:JYU720978 JYU786437:JYU786514 JYU851973:JYU852050 JYU917509:JYU917586 JYU983045:JYU983122 KIQ2:KIQ82 KIQ65541:KIQ65618 KIQ131077:KIQ131154 KIQ196613:KIQ196690 KIQ262149:KIQ262226 KIQ327685:KIQ327762 KIQ393221:KIQ393298 KIQ458757:KIQ458834 KIQ524293:KIQ524370 KIQ589829:KIQ589906 KIQ655365:KIQ655442 KIQ720901:KIQ720978 KIQ786437:KIQ786514 KIQ851973:KIQ852050 KIQ917509:KIQ917586 KIQ983045:KIQ983122 KSM2:KSM82 KSM65541:KSM65618 KSM131077:KSM131154 KSM196613:KSM196690 KSM262149:KSM262226 KSM327685:KSM327762 KSM393221:KSM393298 KSM458757:KSM458834 KSM524293:KSM524370 KSM589829:KSM589906 KSM655365:KSM655442 KSM720901:KSM720978 KSM786437:KSM786514 KSM851973:KSM852050 KSM917509:KSM917586 KSM983045:KSM983122 LCI2:LCI82 LCI65541:LCI65618 LCI131077:LCI131154 LCI196613:LCI196690 LCI262149:LCI262226 LCI327685:LCI327762 LCI393221:LCI393298 LCI458757:LCI458834 LCI524293:LCI524370 LCI589829:LCI589906 LCI655365:LCI655442 LCI720901:LCI720978 LCI786437:LCI786514 LCI851973:LCI852050 LCI917509:LCI917586 LCI983045:LCI983122 LME2:LME82 LME65541:LME65618 LME131077:LME131154 LME196613:LME196690 LME262149:LME262226 LME327685:LME327762 LME393221:LME393298 LME458757:LME458834 LME524293:LME524370 LME589829:LME589906 LME655365:LME655442 LME720901:LME720978 LME786437:LME786514 LME851973:LME852050 LME917509:LME917586 LME983045:LME983122 LWA2:LWA82 LWA65541:LWA65618 LWA131077:LWA131154 LWA196613:LWA196690 LWA262149:LWA262226 LWA327685:LWA327762 LWA393221:LWA393298 LWA458757:LWA458834 LWA524293:LWA524370 LWA589829:LWA589906 LWA655365:LWA655442 LWA720901:LWA720978 LWA786437:LWA786514 LWA851973:LWA852050 LWA917509:LWA917586 LWA983045:LWA983122 MFW2:MFW82 MFW65541:MFW65618 MFW131077:MFW131154 MFW196613:MFW196690 MFW262149:MFW262226 MFW327685:MFW327762 MFW393221:MFW393298 MFW458757:MFW458834 MFW524293:MFW524370 MFW589829:MFW589906 MFW655365:MFW655442 MFW720901:MFW720978 MFW786437:MFW786514 MFW851973:MFW852050 MFW917509:MFW917586 MFW983045:MFW983122 MPS2:MPS82 MPS65541:MPS65618 MPS131077:MPS131154 MPS196613:MPS196690 MPS262149:MPS262226 MPS327685:MPS327762 MPS393221:MPS393298 MPS458757:MPS458834 MPS524293:MPS524370 MPS589829:MPS589906 MPS655365:MPS655442 MPS720901:MPS720978 MPS786437:MPS786514 MPS851973:MPS852050 MPS917509:MPS917586 MPS983045:MPS983122 MZO2:MZO82 MZO65541:MZO65618 MZO131077:MZO131154 MZO196613:MZO196690 MZO262149:MZO262226 MZO327685:MZO327762 MZO393221:MZO393298 MZO458757:MZO458834 MZO524293:MZO524370 MZO589829:MZO589906 MZO655365:MZO655442 MZO720901:MZO720978 MZO786437:MZO786514 MZO851973:MZO852050 MZO917509:MZO917586 MZO983045:MZO983122 NJK2:NJK82 NJK65541:NJK65618 NJK131077:NJK131154 NJK196613:NJK196690 NJK262149:NJK262226 NJK327685:NJK327762 NJK393221:NJK393298 NJK458757:NJK458834 NJK524293:NJK524370 NJK589829:NJK589906 NJK655365:NJK655442 NJK720901:NJK720978 NJK786437:NJK786514 NJK851973:NJK852050 NJK917509:NJK917586 NJK983045:NJK983122 NTG2:NTG82 NTG65541:NTG65618 NTG131077:NTG131154 NTG196613:NTG196690 NTG262149:NTG262226 NTG327685:NTG327762 NTG393221:NTG393298 NTG458757:NTG458834 NTG524293:NTG524370 NTG589829:NTG589906 NTG655365:NTG655442 NTG720901:NTG720978 NTG786437:NTG786514 NTG851973:NTG852050 NTG917509:NTG917586 NTG983045:NTG983122 ODC2:ODC82 ODC65541:ODC65618 ODC131077:ODC131154 ODC196613:ODC196690 ODC262149:ODC262226 ODC327685:ODC327762 ODC393221:ODC393298 ODC458757:ODC458834 ODC524293:ODC524370 ODC589829:ODC589906 ODC655365:ODC655442 ODC720901:ODC720978 ODC786437:ODC786514 ODC851973:ODC852050 ODC917509:ODC917586 ODC983045:ODC983122 OMY2:OMY82 OMY65541:OMY65618 OMY131077:OMY131154 OMY196613:OMY196690 OMY262149:OMY262226 OMY327685:OMY327762 OMY393221:OMY393298 OMY458757:OMY458834 OMY524293:OMY524370 OMY589829:OMY589906 OMY655365:OMY655442 OMY720901:OMY720978 OMY786437:OMY786514 OMY851973:OMY852050 OMY917509:OMY917586 OMY983045:OMY983122 OWU2:OWU82 OWU65541:OWU65618 OWU131077:OWU131154 OWU196613:OWU196690 OWU262149:OWU262226 OWU327685:OWU327762 OWU393221:OWU393298 OWU458757:OWU458834 OWU524293:OWU524370 OWU589829:OWU589906 OWU655365:OWU655442 OWU720901:OWU720978 OWU786437:OWU786514 OWU851973:OWU852050 OWU917509:OWU917586 OWU983045:OWU983122 PGQ2:PGQ82 PGQ65541:PGQ65618 PGQ131077:PGQ131154 PGQ196613:PGQ196690 PGQ262149:PGQ262226 PGQ327685:PGQ327762 PGQ393221:PGQ393298 PGQ458757:PGQ458834 PGQ524293:PGQ524370 PGQ589829:PGQ589906 PGQ655365:PGQ655442 PGQ720901:PGQ720978 PGQ786437:PGQ786514 PGQ851973:PGQ852050 PGQ917509:PGQ917586 PGQ983045:PGQ983122 PQM2:PQM82 PQM65541:PQM65618 PQM131077:PQM131154 PQM196613:PQM196690 PQM262149:PQM262226 PQM327685:PQM327762 PQM393221:PQM393298 PQM458757:PQM458834 PQM524293:PQM524370 PQM589829:PQM589906 PQM655365:PQM655442 PQM720901:PQM720978 PQM786437:PQM786514 PQM851973:PQM852050 PQM917509:PQM917586 PQM983045:PQM983122 QAI2:QAI82 QAI65541:QAI65618 QAI131077:QAI131154 QAI196613:QAI196690 QAI262149:QAI262226 QAI327685:QAI327762 QAI393221:QAI393298 QAI458757:QAI458834 QAI524293:QAI524370 QAI589829:QAI589906 QAI655365:QAI655442 QAI720901:QAI720978 QAI786437:QAI786514 QAI851973:QAI852050 QAI917509:QAI917586 QAI983045:QAI983122 QKE2:QKE82 QKE65541:QKE65618 QKE131077:QKE131154 QKE196613:QKE196690 QKE262149:QKE262226 QKE327685:QKE327762 QKE393221:QKE393298 QKE458757:QKE458834 QKE524293:QKE524370 QKE589829:QKE589906 QKE655365:QKE655442 QKE720901:QKE720978 QKE786437:QKE786514 QKE851973:QKE852050 QKE917509:QKE917586 QKE983045:QKE983122 QUA2:QUA82 QUA65541:QUA65618 QUA131077:QUA131154 QUA196613:QUA196690 QUA262149:QUA262226 QUA327685:QUA327762 QUA393221:QUA393298 QUA458757:QUA458834 QUA524293:QUA524370 QUA589829:QUA589906 QUA655365:QUA655442 QUA720901:QUA720978 QUA786437:QUA786514 QUA851973:QUA852050 QUA917509:QUA917586 QUA983045:QUA983122 RDW2:RDW82 RDW65541:RDW65618 RDW131077:RDW131154 RDW196613:RDW196690 RDW262149:RDW262226 RDW327685:RDW327762 RDW393221:RDW393298 RDW458757:RDW458834 RDW524293:RDW524370 RDW589829:RDW589906 RDW655365:RDW655442 RDW720901:RDW720978 RDW786437:RDW786514 RDW851973:RDW852050 RDW917509:RDW917586 RDW983045:RDW983122 RNS2:RNS82 RNS65541:RNS65618 RNS131077:RNS131154 RNS196613:RNS196690 RNS262149:RNS262226 RNS327685:RNS327762 RNS393221:RNS393298 RNS458757:RNS458834 RNS524293:RNS524370 RNS589829:RNS589906 RNS655365:RNS655442 RNS720901:RNS720978 RNS786437:RNS786514 RNS851973:RNS852050 RNS917509:RNS917586 RNS983045:RNS983122 RXO2:RXO82 RXO65541:RXO65618 RXO131077:RXO131154 RXO196613:RXO196690 RXO262149:RXO262226 RXO327685:RXO327762 RXO393221:RXO393298 RXO458757:RXO458834 RXO524293:RXO524370 RXO589829:RXO589906 RXO655365:RXO655442 RXO720901:RXO720978 RXO786437:RXO786514 RXO851973:RXO852050 RXO917509:RXO917586 RXO983045:RXO983122 SHK2:SHK82 SHK65541:SHK65618 SHK131077:SHK131154 SHK196613:SHK196690 SHK262149:SHK262226 SHK327685:SHK327762 SHK393221:SHK393298 SHK458757:SHK458834 SHK524293:SHK524370 SHK589829:SHK589906 SHK655365:SHK655442 SHK720901:SHK720978 SHK786437:SHK786514 SHK851973:SHK852050 SHK917509:SHK917586 SHK983045:SHK983122 SRG2:SRG82 SRG65541:SRG65618 SRG131077:SRG131154 SRG196613:SRG196690 SRG262149:SRG262226 SRG327685:SRG327762 SRG393221:SRG393298 SRG458757:SRG458834 SRG524293:SRG524370 SRG589829:SRG589906 SRG655365:SRG655442 SRG720901:SRG720978 SRG786437:SRG786514 SRG851973:SRG852050 SRG917509:SRG917586 SRG983045:SRG983122 TBC2:TBC82 TBC65541:TBC65618 TBC131077:TBC131154 TBC196613:TBC196690 TBC262149:TBC262226 TBC327685:TBC327762 TBC393221:TBC393298 TBC458757:TBC458834 TBC524293:TBC524370 TBC589829:TBC589906 TBC655365:TBC655442 TBC720901:TBC720978 TBC786437:TBC786514 TBC851973:TBC852050 TBC917509:TBC917586 TBC983045:TBC983122 TKY2:TKY82 TKY65541:TKY65618 TKY131077:TKY131154 TKY196613:TKY196690 TKY262149:TKY262226 TKY327685:TKY327762 TKY393221:TKY393298 TKY458757:TKY458834 TKY524293:TKY524370 TKY589829:TKY589906 TKY655365:TKY655442 TKY720901:TKY720978 TKY786437:TKY786514 TKY851973:TKY852050 TKY917509:TKY917586 TKY983045:TKY983122 TUU2:TUU82 TUU65541:TUU65618 TUU131077:TUU131154 TUU196613:TUU196690 TUU262149:TUU262226 TUU327685:TUU327762 TUU393221:TUU393298 TUU458757:TUU458834 TUU524293:TUU524370 TUU589829:TUU589906 TUU655365:TUU655442 TUU720901:TUU720978 TUU786437:TUU786514 TUU851973:TUU852050 TUU917509:TUU917586 TUU983045:TUU983122 UEQ2:UEQ82 UEQ65541:UEQ65618 UEQ131077:UEQ131154 UEQ196613:UEQ196690 UEQ262149:UEQ262226 UEQ327685:UEQ327762 UEQ393221:UEQ393298 UEQ458757:UEQ458834 UEQ524293:UEQ524370 UEQ589829:UEQ589906 UEQ655365:UEQ655442 UEQ720901:UEQ720978 UEQ786437:UEQ786514 UEQ851973:UEQ852050 UEQ917509:UEQ917586 UEQ983045:UEQ983122 UOM2:UOM82 UOM65541:UOM65618 UOM131077:UOM131154 UOM196613:UOM196690 UOM262149:UOM262226 UOM327685:UOM327762 UOM393221:UOM393298 UOM458757:UOM458834 UOM524293:UOM524370 UOM589829:UOM589906 UOM655365:UOM655442 UOM720901:UOM720978 UOM786437:UOM786514 UOM851973:UOM852050 UOM917509:UOM917586 UOM983045:UOM983122 UYI2:UYI82 UYI65541:UYI65618 UYI131077:UYI131154 UYI196613:UYI196690 UYI262149:UYI262226 UYI327685:UYI327762 UYI393221:UYI393298 UYI458757:UYI458834 UYI524293:UYI524370 UYI589829:UYI589906 UYI655365:UYI655442 UYI720901:UYI720978 UYI786437:UYI786514 UYI851973:UYI852050 UYI917509:UYI917586 UYI983045:UYI983122 VIE2:VIE82 VIE65541:VIE65618 VIE131077:VIE131154 VIE196613:VIE196690 VIE262149:VIE262226 VIE327685:VIE327762 VIE393221:VIE393298 VIE458757:VIE458834 VIE524293:VIE524370 VIE589829:VIE589906 VIE655365:VIE655442 VIE720901:VIE720978 VIE786437:VIE786514 VIE851973:VIE852050 VIE917509:VIE917586 VIE983045:VIE983122 VSA2:VSA82 VSA65541:VSA65618 VSA131077:VSA131154 VSA196613:VSA196690 VSA262149:VSA262226 VSA327685:VSA327762 VSA393221:VSA393298 VSA458757:VSA458834 VSA524293:VSA524370 VSA589829:VSA589906 VSA655365:VSA655442 VSA720901:VSA720978 VSA786437:VSA786514 VSA851973:VSA852050 VSA917509:VSA917586 VSA983045:VSA983122 WBW2:WBW82 WBW65541:WBW65618 WBW131077:WBW131154 WBW196613:WBW196690 WBW262149:WBW262226 WBW327685:WBW327762 WBW393221:WBW393298 WBW458757:WBW458834 WBW524293:WBW524370 WBW589829:WBW589906 WBW655365:WBW655442 WBW720901:WBW720978 WBW786437:WBW786514 WBW851973:WBW852050 WBW917509:WBW917586 WBW983045:WBW983122 WLS2:WLS82 WLS65541:WLS65618 WLS131077:WLS131154 WLS196613:WLS196690 WLS262149:WLS262226 WLS327685:WLS327762 WLS393221:WLS393298 WLS458757:WLS458834 WLS524293:WLS524370 WLS589829:WLS589906 WLS655365:WLS655442 WLS720901:WLS720978 WLS786437:WLS786514 WLS851973:WLS852050 WLS917509:WLS917586 WLS983045:WLS983122 WVO2:WVO82 WVO65541:WVO65618 WVO131077:WVO131154 WVO196613:WVO196690 WVO262149:WVO262226 WVO327685:WVO327762 WVO393221:WVO393298 WVO458757:WVO458834 WVO524293:WVO524370 WVO589829:WVO589906 WVO655365:WVO655442 WVO720901:WVO720978 WVO786437:WVO786514 WVO851973:WVO852050 WVO917509:WVO917586 WVO983045:WVO983122" xr:uid="{1CA387E0-96FB-46FE-9EBE-4F015B848980}">
      <formula1>$AJ$2:$AJ$4</formula1>
    </dataValidation>
    <dataValidation type="list" allowBlank="1" showInputMessage="1" showErrorMessage="1" sqref="F2:F734 F65541:F65618 F131077:F131154 F196613:F196690 F262149:F262226 F327685:F327762 F393221:F393298 F458757:F458834 F524293:F524370 F589829:F589906 F655365:F655442 F720901:F720978 F786437:F786514 F851973:F852050 F917509:F917586 F983045:F983122 JB2:JB82 JB65541:JB65618 JB131077:JB131154 JB196613:JB196690 JB262149:JB262226 JB327685:JB327762 JB393221:JB393298 JB458757:JB458834 JB524293:JB524370 JB589829:JB589906 JB655365:JB655442 JB720901:JB720978 JB786437:JB786514 JB851973:JB852050 JB917509:JB917586 JB983045:JB983122 SX2:SX82 SX65541:SX65618 SX131077:SX131154 SX196613:SX196690 SX262149:SX262226 SX327685:SX327762 SX393221:SX393298 SX458757:SX458834 SX524293:SX524370 SX589829:SX589906 SX655365:SX655442 SX720901:SX720978 SX786437:SX786514 SX851973:SX852050 SX917509:SX917586 SX983045:SX983122 ACT2:ACT82 ACT65541:ACT65618 ACT131077:ACT131154 ACT196613:ACT196690 ACT262149:ACT262226 ACT327685:ACT327762 ACT393221:ACT393298 ACT458757:ACT458834 ACT524293:ACT524370 ACT589829:ACT589906 ACT655365:ACT655442 ACT720901:ACT720978 ACT786437:ACT786514 ACT851973:ACT852050 ACT917509:ACT917586 ACT983045:ACT983122 AMP2:AMP82 AMP65541:AMP65618 AMP131077:AMP131154 AMP196613:AMP196690 AMP262149:AMP262226 AMP327685:AMP327762 AMP393221:AMP393298 AMP458757:AMP458834 AMP524293:AMP524370 AMP589829:AMP589906 AMP655365:AMP655442 AMP720901:AMP720978 AMP786437:AMP786514 AMP851973:AMP852050 AMP917509:AMP917586 AMP983045:AMP983122 AWL2:AWL82 AWL65541:AWL65618 AWL131077:AWL131154 AWL196613:AWL196690 AWL262149:AWL262226 AWL327685:AWL327762 AWL393221:AWL393298 AWL458757:AWL458834 AWL524293:AWL524370 AWL589829:AWL589906 AWL655365:AWL655442 AWL720901:AWL720978 AWL786437:AWL786514 AWL851973:AWL852050 AWL917509:AWL917586 AWL983045:AWL983122 BGH2:BGH82 BGH65541:BGH65618 BGH131077:BGH131154 BGH196613:BGH196690 BGH262149:BGH262226 BGH327685:BGH327762 BGH393221:BGH393298 BGH458757:BGH458834 BGH524293:BGH524370 BGH589829:BGH589906 BGH655365:BGH655442 BGH720901:BGH720978 BGH786437:BGH786514 BGH851973:BGH852050 BGH917509:BGH917586 BGH983045:BGH983122 BQD2:BQD82 BQD65541:BQD65618 BQD131077:BQD131154 BQD196613:BQD196690 BQD262149:BQD262226 BQD327685:BQD327762 BQD393221:BQD393298 BQD458757:BQD458834 BQD524293:BQD524370 BQD589829:BQD589906 BQD655365:BQD655442 BQD720901:BQD720978 BQD786437:BQD786514 BQD851973:BQD852050 BQD917509:BQD917586 BQD983045:BQD983122 BZZ2:BZZ82 BZZ65541:BZZ65618 BZZ131077:BZZ131154 BZZ196613:BZZ196690 BZZ262149:BZZ262226 BZZ327685:BZZ327762 BZZ393221:BZZ393298 BZZ458757:BZZ458834 BZZ524293:BZZ524370 BZZ589829:BZZ589906 BZZ655365:BZZ655442 BZZ720901:BZZ720978 BZZ786437:BZZ786514 BZZ851973:BZZ852050 BZZ917509:BZZ917586 BZZ983045:BZZ983122 CJV2:CJV82 CJV65541:CJV65618 CJV131077:CJV131154 CJV196613:CJV196690 CJV262149:CJV262226 CJV327685:CJV327762 CJV393221:CJV393298 CJV458757:CJV458834 CJV524293:CJV524370 CJV589829:CJV589906 CJV655365:CJV655442 CJV720901:CJV720978 CJV786437:CJV786514 CJV851973:CJV852050 CJV917509:CJV917586 CJV983045:CJV983122 CTR2:CTR82 CTR65541:CTR65618 CTR131077:CTR131154 CTR196613:CTR196690 CTR262149:CTR262226 CTR327685:CTR327762 CTR393221:CTR393298 CTR458757:CTR458834 CTR524293:CTR524370 CTR589829:CTR589906 CTR655365:CTR655442 CTR720901:CTR720978 CTR786437:CTR786514 CTR851973:CTR852050 CTR917509:CTR917586 CTR983045:CTR983122 DDN2:DDN82 DDN65541:DDN65618 DDN131077:DDN131154 DDN196613:DDN196690 DDN262149:DDN262226 DDN327685:DDN327762 DDN393221:DDN393298 DDN458757:DDN458834 DDN524293:DDN524370 DDN589829:DDN589906 DDN655365:DDN655442 DDN720901:DDN720978 DDN786437:DDN786514 DDN851973:DDN852050 DDN917509:DDN917586 DDN983045:DDN983122 DNJ2:DNJ82 DNJ65541:DNJ65618 DNJ131077:DNJ131154 DNJ196613:DNJ196690 DNJ262149:DNJ262226 DNJ327685:DNJ327762 DNJ393221:DNJ393298 DNJ458757:DNJ458834 DNJ524293:DNJ524370 DNJ589829:DNJ589906 DNJ655365:DNJ655442 DNJ720901:DNJ720978 DNJ786437:DNJ786514 DNJ851973:DNJ852050 DNJ917509:DNJ917586 DNJ983045:DNJ983122 DXF2:DXF82 DXF65541:DXF65618 DXF131077:DXF131154 DXF196613:DXF196690 DXF262149:DXF262226 DXF327685:DXF327762 DXF393221:DXF393298 DXF458757:DXF458834 DXF524293:DXF524370 DXF589829:DXF589906 DXF655365:DXF655442 DXF720901:DXF720978 DXF786437:DXF786514 DXF851973:DXF852050 DXF917509:DXF917586 DXF983045:DXF983122 EHB2:EHB82 EHB65541:EHB65618 EHB131077:EHB131154 EHB196613:EHB196690 EHB262149:EHB262226 EHB327685:EHB327762 EHB393221:EHB393298 EHB458757:EHB458834 EHB524293:EHB524370 EHB589829:EHB589906 EHB655365:EHB655442 EHB720901:EHB720978 EHB786437:EHB786514 EHB851973:EHB852050 EHB917509:EHB917586 EHB983045:EHB983122 EQX2:EQX82 EQX65541:EQX65618 EQX131077:EQX131154 EQX196613:EQX196690 EQX262149:EQX262226 EQX327685:EQX327762 EQX393221:EQX393298 EQX458757:EQX458834 EQX524293:EQX524370 EQX589829:EQX589906 EQX655365:EQX655442 EQX720901:EQX720978 EQX786437:EQX786514 EQX851973:EQX852050 EQX917509:EQX917586 EQX983045:EQX983122 FAT2:FAT82 FAT65541:FAT65618 FAT131077:FAT131154 FAT196613:FAT196690 FAT262149:FAT262226 FAT327685:FAT327762 FAT393221:FAT393298 FAT458757:FAT458834 FAT524293:FAT524370 FAT589829:FAT589906 FAT655365:FAT655442 FAT720901:FAT720978 FAT786437:FAT786514 FAT851973:FAT852050 FAT917509:FAT917586 FAT983045:FAT983122 FKP2:FKP82 FKP65541:FKP65618 FKP131077:FKP131154 FKP196613:FKP196690 FKP262149:FKP262226 FKP327685:FKP327762 FKP393221:FKP393298 FKP458757:FKP458834 FKP524293:FKP524370 FKP589829:FKP589906 FKP655365:FKP655442 FKP720901:FKP720978 FKP786437:FKP786514 FKP851973:FKP852050 FKP917509:FKP917586 FKP983045:FKP983122 FUL2:FUL82 FUL65541:FUL65618 FUL131077:FUL131154 FUL196613:FUL196690 FUL262149:FUL262226 FUL327685:FUL327762 FUL393221:FUL393298 FUL458757:FUL458834 FUL524293:FUL524370 FUL589829:FUL589906 FUL655365:FUL655442 FUL720901:FUL720978 FUL786437:FUL786514 FUL851973:FUL852050 FUL917509:FUL917586 FUL983045:FUL983122 GEH2:GEH82 GEH65541:GEH65618 GEH131077:GEH131154 GEH196613:GEH196690 GEH262149:GEH262226 GEH327685:GEH327762 GEH393221:GEH393298 GEH458757:GEH458834 GEH524293:GEH524370 GEH589829:GEH589906 GEH655365:GEH655442 GEH720901:GEH720978 GEH786437:GEH786514 GEH851973:GEH852050 GEH917509:GEH917586 GEH983045:GEH983122 GOD2:GOD82 GOD65541:GOD65618 GOD131077:GOD131154 GOD196613:GOD196690 GOD262149:GOD262226 GOD327685:GOD327762 GOD393221:GOD393298 GOD458757:GOD458834 GOD524293:GOD524370 GOD589829:GOD589906 GOD655365:GOD655442 GOD720901:GOD720978 GOD786437:GOD786514 GOD851973:GOD852050 GOD917509:GOD917586 GOD983045:GOD983122 GXZ2:GXZ82 GXZ65541:GXZ65618 GXZ131077:GXZ131154 GXZ196613:GXZ196690 GXZ262149:GXZ262226 GXZ327685:GXZ327762 GXZ393221:GXZ393298 GXZ458757:GXZ458834 GXZ524293:GXZ524370 GXZ589829:GXZ589906 GXZ655365:GXZ655442 GXZ720901:GXZ720978 GXZ786437:GXZ786514 GXZ851973:GXZ852050 GXZ917509:GXZ917586 GXZ983045:GXZ983122 HHV2:HHV82 HHV65541:HHV65618 HHV131077:HHV131154 HHV196613:HHV196690 HHV262149:HHV262226 HHV327685:HHV327762 HHV393221:HHV393298 HHV458757:HHV458834 HHV524293:HHV524370 HHV589829:HHV589906 HHV655365:HHV655442 HHV720901:HHV720978 HHV786437:HHV786514 HHV851973:HHV852050 HHV917509:HHV917586 HHV983045:HHV983122 HRR2:HRR82 HRR65541:HRR65618 HRR131077:HRR131154 HRR196613:HRR196690 HRR262149:HRR262226 HRR327685:HRR327762 HRR393221:HRR393298 HRR458757:HRR458834 HRR524293:HRR524370 HRR589829:HRR589906 HRR655365:HRR655442 HRR720901:HRR720978 HRR786437:HRR786514 HRR851973:HRR852050 HRR917509:HRR917586 HRR983045:HRR983122 IBN2:IBN82 IBN65541:IBN65618 IBN131077:IBN131154 IBN196613:IBN196690 IBN262149:IBN262226 IBN327685:IBN327762 IBN393221:IBN393298 IBN458757:IBN458834 IBN524293:IBN524370 IBN589829:IBN589906 IBN655365:IBN655442 IBN720901:IBN720978 IBN786437:IBN786514 IBN851973:IBN852050 IBN917509:IBN917586 IBN983045:IBN983122 ILJ2:ILJ82 ILJ65541:ILJ65618 ILJ131077:ILJ131154 ILJ196613:ILJ196690 ILJ262149:ILJ262226 ILJ327685:ILJ327762 ILJ393221:ILJ393298 ILJ458757:ILJ458834 ILJ524293:ILJ524370 ILJ589829:ILJ589906 ILJ655365:ILJ655442 ILJ720901:ILJ720978 ILJ786437:ILJ786514 ILJ851973:ILJ852050 ILJ917509:ILJ917586 ILJ983045:ILJ983122 IVF2:IVF82 IVF65541:IVF65618 IVF131077:IVF131154 IVF196613:IVF196690 IVF262149:IVF262226 IVF327685:IVF327762 IVF393221:IVF393298 IVF458757:IVF458834 IVF524293:IVF524370 IVF589829:IVF589906 IVF655365:IVF655442 IVF720901:IVF720978 IVF786437:IVF786514 IVF851973:IVF852050 IVF917509:IVF917586 IVF983045:IVF983122 JFB2:JFB82 JFB65541:JFB65618 JFB131077:JFB131154 JFB196613:JFB196690 JFB262149:JFB262226 JFB327685:JFB327762 JFB393221:JFB393298 JFB458757:JFB458834 JFB524293:JFB524370 JFB589829:JFB589906 JFB655365:JFB655442 JFB720901:JFB720978 JFB786437:JFB786514 JFB851973:JFB852050 JFB917509:JFB917586 JFB983045:JFB983122 JOX2:JOX82 JOX65541:JOX65618 JOX131077:JOX131154 JOX196613:JOX196690 JOX262149:JOX262226 JOX327685:JOX327762 JOX393221:JOX393298 JOX458757:JOX458834 JOX524293:JOX524370 JOX589829:JOX589906 JOX655365:JOX655442 JOX720901:JOX720978 JOX786437:JOX786514 JOX851973:JOX852050 JOX917509:JOX917586 JOX983045:JOX983122 JYT2:JYT82 JYT65541:JYT65618 JYT131077:JYT131154 JYT196613:JYT196690 JYT262149:JYT262226 JYT327685:JYT327762 JYT393221:JYT393298 JYT458757:JYT458834 JYT524293:JYT524370 JYT589829:JYT589906 JYT655365:JYT655442 JYT720901:JYT720978 JYT786437:JYT786514 JYT851973:JYT852050 JYT917509:JYT917586 JYT983045:JYT983122 KIP2:KIP82 KIP65541:KIP65618 KIP131077:KIP131154 KIP196613:KIP196690 KIP262149:KIP262226 KIP327685:KIP327762 KIP393221:KIP393298 KIP458757:KIP458834 KIP524293:KIP524370 KIP589829:KIP589906 KIP655365:KIP655442 KIP720901:KIP720978 KIP786437:KIP786514 KIP851973:KIP852050 KIP917509:KIP917586 KIP983045:KIP983122 KSL2:KSL82 KSL65541:KSL65618 KSL131077:KSL131154 KSL196613:KSL196690 KSL262149:KSL262226 KSL327685:KSL327762 KSL393221:KSL393298 KSL458757:KSL458834 KSL524293:KSL524370 KSL589829:KSL589906 KSL655365:KSL655442 KSL720901:KSL720978 KSL786437:KSL786514 KSL851973:KSL852050 KSL917509:KSL917586 KSL983045:KSL983122 LCH2:LCH82 LCH65541:LCH65618 LCH131077:LCH131154 LCH196613:LCH196690 LCH262149:LCH262226 LCH327685:LCH327762 LCH393221:LCH393298 LCH458757:LCH458834 LCH524293:LCH524370 LCH589829:LCH589906 LCH655365:LCH655442 LCH720901:LCH720978 LCH786437:LCH786514 LCH851973:LCH852050 LCH917509:LCH917586 LCH983045:LCH983122 LMD2:LMD82 LMD65541:LMD65618 LMD131077:LMD131154 LMD196613:LMD196690 LMD262149:LMD262226 LMD327685:LMD327762 LMD393221:LMD393298 LMD458757:LMD458834 LMD524293:LMD524370 LMD589829:LMD589906 LMD655365:LMD655442 LMD720901:LMD720978 LMD786437:LMD786514 LMD851973:LMD852050 LMD917509:LMD917586 LMD983045:LMD983122 LVZ2:LVZ82 LVZ65541:LVZ65618 LVZ131077:LVZ131154 LVZ196613:LVZ196690 LVZ262149:LVZ262226 LVZ327685:LVZ327762 LVZ393221:LVZ393298 LVZ458757:LVZ458834 LVZ524293:LVZ524370 LVZ589829:LVZ589906 LVZ655365:LVZ655442 LVZ720901:LVZ720978 LVZ786437:LVZ786514 LVZ851973:LVZ852050 LVZ917509:LVZ917586 LVZ983045:LVZ983122 MFV2:MFV82 MFV65541:MFV65618 MFV131077:MFV131154 MFV196613:MFV196690 MFV262149:MFV262226 MFV327685:MFV327762 MFV393221:MFV393298 MFV458757:MFV458834 MFV524293:MFV524370 MFV589829:MFV589906 MFV655365:MFV655442 MFV720901:MFV720978 MFV786437:MFV786514 MFV851973:MFV852050 MFV917509:MFV917586 MFV983045:MFV983122 MPR2:MPR82 MPR65541:MPR65618 MPR131077:MPR131154 MPR196613:MPR196690 MPR262149:MPR262226 MPR327685:MPR327762 MPR393221:MPR393298 MPR458757:MPR458834 MPR524293:MPR524370 MPR589829:MPR589906 MPR655365:MPR655442 MPR720901:MPR720978 MPR786437:MPR786514 MPR851973:MPR852050 MPR917509:MPR917586 MPR983045:MPR983122 MZN2:MZN82 MZN65541:MZN65618 MZN131077:MZN131154 MZN196613:MZN196690 MZN262149:MZN262226 MZN327685:MZN327762 MZN393221:MZN393298 MZN458757:MZN458834 MZN524293:MZN524370 MZN589829:MZN589906 MZN655365:MZN655442 MZN720901:MZN720978 MZN786437:MZN786514 MZN851973:MZN852050 MZN917509:MZN917586 MZN983045:MZN983122 NJJ2:NJJ82 NJJ65541:NJJ65618 NJJ131077:NJJ131154 NJJ196613:NJJ196690 NJJ262149:NJJ262226 NJJ327685:NJJ327762 NJJ393221:NJJ393298 NJJ458757:NJJ458834 NJJ524293:NJJ524370 NJJ589829:NJJ589906 NJJ655365:NJJ655442 NJJ720901:NJJ720978 NJJ786437:NJJ786514 NJJ851973:NJJ852050 NJJ917509:NJJ917586 NJJ983045:NJJ983122 NTF2:NTF82 NTF65541:NTF65618 NTF131077:NTF131154 NTF196613:NTF196690 NTF262149:NTF262226 NTF327685:NTF327762 NTF393221:NTF393298 NTF458757:NTF458834 NTF524293:NTF524370 NTF589829:NTF589906 NTF655365:NTF655442 NTF720901:NTF720978 NTF786437:NTF786514 NTF851973:NTF852050 NTF917509:NTF917586 NTF983045:NTF983122 ODB2:ODB82 ODB65541:ODB65618 ODB131077:ODB131154 ODB196613:ODB196690 ODB262149:ODB262226 ODB327685:ODB327762 ODB393221:ODB393298 ODB458757:ODB458834 ODB524293:ODB524370 ODB589829:ODB589906 ODB655365:ODB655442 ODB720901:ODB720978 ODB786437:ODB786514 ODB851973:ODB852050 ODB917509:ODB917586 ODB983045:ODB983122 OMX2:OMX82 OMX65541:OMX65618 OMX131077:OMX131154 OMX196613:OMX196690 OMX262149:OMX262226 OMX327685:OMX327762 OMX393221:OMX393298 OMX458757:OMX458834 OMX524293:OMX524370 OMX589829:OMX589906 OMX655365:OMX655442 OMX720901:OMX720978 OMX786437:OMX786514 OMX851973:OMX852050 OMX917509:OMX917586 OMX983045:OMX983122 OWT2:OWT82 OWT65541:OWT65618 OWT131077:OWT131154 OWT196613:OWT196690 OWT262149:OWT262226 OWT327685:OWT327762 OWT393221:OWT393298 OWT458757:OWT458834 OWT524293:OWT524370 OWT589829:OWT589906 OWT655365:OWT655442 OWT720901:OWT720978 OWT786437:OWT786514 OWT851973:OWT852050 OWT917509:OWT917586 OWT983045:OWT983122 PGP2:PGP82 PGP65541:PGP65618 PGP131077:PGP131154 PGP196613:PGP196690 PGP262149:PGP262226 PGP327685:PGP327762 PGP393221:PGP393298 PGP458757:PGP458834 PGP524293:PGP524370 PGP589829:PGP589906 PGP655365:PGP655442 PGP720901:PGP720978 PGP786437:PGP786514 PGP851973:PGP852050 PGP917509:PGP917586 PGP983045:PGP983122 PQL2:PQL82 PQL65541:PQL65618 PQL131077:PQL131154 PQL196613:PQL196690 PQL262149:PQL262226 PQL327685:PQL327762 PQL393221:PQL393298 PQL458757:PQL458834 PQL524293:PQL524370 PQL589829:PQL589906 PQL655365:PQL655442 PQL720901:PQL720978 PQL786437:PQL786514 PQL851973:PQL852050 PQL917509:PQL917586 PQL983045:PQL983122 QAH2:QAH82 QAH65541:QAH65618 QAH131077:QAH131154 QAH196613:QAH196690 QAH262149:QAH262226 QAH327685:QAH327762 QAH393221:QAH393298 QAH458757:QAH458834 QAH524293:QAH524370 QAH589829:QAH589906 QAH655365:QAH655442 QAH720901:QAH720978 QAH786437:QAH786514 QAH851973:QAH852050 QAH917509:QAH917586 QAH983045:QAH983122 QKD2:QKD82 QKD65541:QKD65618 QKD131077:QKD131154 QKD196613:QKD196690 QKD262149:QKD262226 QKD327685:QKD327762 QKD393221:QKD393298 QKD458757:QKD458834 QKD524293:QKD524370 QKD589829:QKD589906 QKD655365:QKD655442 QKD720901:QKD720978 QKD786437:QKD786514 QKD851973:QKD852050 QKD917509:QKD917586 QKD983045:QKD983122 QTZ2:QTZ82 QTZ65541:QTZ65618 QTZ131077:QTZ131154 QTZ196613:QTZ196690 QTZ262149:QTZ262226 QTZ327685:QTZ327762 QTZ393221:QTZ393298 QTZ458757:QTZ458834 QTZ524293:QTZ524370 QTZ589829:QTZ589906 QTZ655365:QTZ655442 QTZ720901:QTZ720978 QTZ786437:QTZ786514 QTZ851973:QTZ852050 QTZ917509:QTZ917586 QTZ983045:QTZ983122 RDV2:RDV82 RDV65541:RDV65618 RDV131077:RDV131154 RDV196613:RDV196690 RDV262149:RDV262226 RDV327685:RDV327762 RDV393221:RDV393298 RDV458757:RDV458834 RDV524293:RDV524370 RDV589829:RDV589906 RDV655365:RDV655442 RDV720901:RDV720978 RDV786437:RDV786514 RDV851973:RDV852050 RDV917509:RDV917586 RDV983045:RDV983122 RNR2:RNR82 RNR65541:RNR65618 RNR131077:RNR131154 RNR196613:RNR196690 RNR262149:RNR262226 RNR327685:RNR327762 RNR393221:RNR393298 RNR458757:RNR458834 RNR524293:RNR524370 RNR589829:RNR589906 RNR655365:RNR655442 RNR720901:RNR720978 RNR786437:RNR786514 RNR851973:RNR852050 RNR917509:RNR917586 RNR983045:RNR983122 RXN2:RXN82 RXN65541:RXN65618 RXN131077:RXN131154 RXN196613:RXN196690 RXN262149:RXN262226 RXN327685:RXN327762 RXN393221:RXN393298 RXN458757:RXN458834 RXN524293:RXN524370 RXN589829:RXN589906 RXN655365:RXN655442 RXN720901:RXN720978 RXN786437:RXN786514 RXN851973:RXN852050 RXN917509:RXN917586 RXN983045:RXN983122 SHJ2:SHJ82 SHJ65541:SHJ65618 SHJ131077:SHJ131154 SHJ196613:SHJ196690 SHJ262149:SHJ262226 SHJ327685:SHJ327762 SHJ393221:SHJ393298 SHJ458757:SHJ458834 SHJ524293:SHJ524370 SHJ589829:SHJ589906 SHJ655365:SHJ655442 SHJ720901:SHJ720978 SHJ786437:SHJ786514 SHJ851973:SHJ852050 SHJ917509:SHJ917586 SHJ983045:SHJ983122 SRF2:SRF82 SRF65541:SRF65618 SRF131077:SRF131154 SRF196613:SRF196690 SRF262149:SRF262226 SRF327685:SRF327762 SRF393221:SRF393298 SRF458757:SRF458834 SRF524293:SRF524370 SRF589829:SRF589906 SRF655365:SRF655442 SRF720901:SRF720978 SRF786437:SRF786514 SRF851973:SRF852050 SRF917509:SRF917586 SRF983045:SRF983122 TBB2:TBB82 TBB65541:TBB65618 TBB131077:TBB131154 TBB196613:TBB196690 TBB262149:TBB262226 TBB327685:TBB327762 TBB393221:TBB393298 TBB458757:TBB458834 TBB524293:TBB524370 TBB589829:TBB589906 TBB655365:TBB655442 TBB720901:TBB720978 TBB786437:TBB786514 TBB851973:TBB852050 TBB917509:TBB917586 TBB983045:TBB983122 TKX2:TKX82 TKX65541:TKX65618 TKX131077:TKX131154 TKX196613:TKX196690 TKX262149:TKX262226 TKX327685:TKX327762 TKX393221:TKX393298 TKX458757:TKX458834 TKX524293:TKX524370 TKX589829:TKX589906 TKX655365:TKX655442 TKX720901:TKX720978 TKX786437:TKX786514 TKX851973:TKX852050 TKX917509:TKX917586 TKX983045:TKX983122 TUT2:TUT82 TUT65541:TUT65618 TUT131077:TUT131154 TUT196613:TUT196690 TUT262149:TUT262226 TUT327685:TUT327762 TUT393221:TUT393298 TUT458757:TUT458834 TUT524293:TUT524370 TUT589829:TUT589906 TUT655365:TUT655442 TUT720901:TUT720978 TUT786437:TUT786514 TUT851973:TUT852050 TUT917509:TUT917586 TUT983045:TUT983122 UEP2:UEP82 UEP65541:UEP65618 UEP131077:UEP131154 UEP196613:UEP196690 UEP262149:UEP262226 UEP327685:UEP327762 UEP393221:UEP393298 UEP458757:UEP458834 UEP524293:UEP524370 UEP589829:UEP589906 UEP655365:UEP655442 UEP720901:UEP720978 UEP786437:UEP786514 UEP851973:UEP852050 UEP917509:UEP917586 UEP983045:UEP983122 UOL2:UOL82 UOL65541:UOL65618 UOL131077:UOL131154 UOL196613:UOL196690 UOL262149:UOL262226 UOL327685:UOL327762 UOL393221:UOL393298 UOL458757:UOL458834 UOL524293:UOL524370 UOL589829:UOL589906 UOL655365:UOL655442 UOL720901:UOL720978 UOL786437:UOL786514 UOL851973:UOL852050 UOL917509:UOL917586 UOL983045:UOL983122 UYH2:UYH82 UYH65541:UYH65618 UYH131077:UYH131154 UYH196613:UYH196690 UYH262149:UYH262226 UYH327685:UYH327762 UYH393221:UYH393298 UYH458757:UYH458834 UYH524293:UYH524370 UYH589829:UYH589906 UYH655365:UYH655442 UYH720901:UYH720978 UYH786437:UYH786514 UYH851973:UYH852050 UYH917509:UYH917586 UYH983045:UYH983122 VID2:VID82 VID65541:VID65618 VID131077:VID131154 VID196613:VID196690 VID262149:VID262226 VID327685:VID327762 VID393221:VID393298 VID458757:VID458834 VID524293:VID524370 VID589829:VID589906 VID655365:VID655442 VID720901:VID720978 VID786437:VID786514 VID851973:VID852050 VID917509:VID917586 VID983045:VID983122 VRZ2:VRZ82 VRZ65541:VRZ65618 VRZ131077:VRZ131154 VRZ196613:VRZ196690 VRZ262149:VRZ262226 VRZ327685:VRZ327762 VRZ393221:VRZ393298 VRZ458757:VRZ458834 VRZ524293:VRZ524370 VRZ589829:VRZ589906 VRZ655365:VRZ655442 VRZ720901:VRZ720978 VRZ786437:VRZ786514 VRZ851973:VRZ852050 VRZ917509:VRZ917586 VRZ983045:VRZ983122 WBV2:WBV82 WBV65541:WBV65618 WBV131077:WBV131154 WBV196613:WBV196690 WBV262149:WBV262226 WBV327685:WBV327762 WBV393221:WBV393298 WBV458757:WBV458834 WBV524293:WBV524370 WBV589829:WBV589906 WBV655365:WBV655442 WBV720901:WBV720978 WBV786437:WBV786514 WBV851973:WBV852050 WBV917509:WBV917586 WBV983045:WBV983122 WLR2:WLR82 WLR65541:WLR65618 WLR131077:WLR131154 WLR196613:WLR196690 WLR262149:WLR262226 WLR327685:WLR327762 WLR393221:WLR393298 WLR458757:WLR458834 WLR524293:WLR524370 WLR589829:WLR589906 WLR655365:WLR655442 WLR720901:WLR720978 WLR786437:WLR786514 WLR851973:WLR852050 WLR917509:WLR917586 WLR983045:WLR983122 WVN2:WVN82 WVN65541:WVN65618 WVN131077:WVN131154 WVN196613:WVN196690 WVN262149:WVN262226 WVN327685:WVN327762 WVN393221:WVN393298 WVN458757:WVN458834 WVN524293:WVN524370 WVN589829:WVN589906 WVN655365:WVN655442 WVN720901:WVN720978 WVN786437:WVN786514 WVN851973:WVN852050 WVN917509:WVN917586 WVN983045:WVN983122" xr:uid="{E8E25D3F-E51F-4865-B7C0-1CD3984B1846}">
      <formula1>$AH$2:$AH$11</formula1>
    </dataValidation>
    <dataValidation type="list" allowBlank="1" showInputMessage="1" showErrorMessage="1" sqref="Y2:AA503" xr:uid="{7525FC9B-BF76-4C4B-A95B-D5D5A03A2F57}">
      <formula1>$AV$2:$AV$21</formula1>
    </dataValidation>
    <dataValidation type="list" allowBlank="1" showInputMessage="1" showErrorMessage="1" sqref="X2:X503 X65541:X65618 X131077:X131154 X196613:X196690 X262149:X262226 X327685:X327762 X393221:X393298 X458757:X458834 X524293:X524370 X589829:X589906 X655365:X655442 X720901:X720978 X786437:X786514 X851973:X852050 X917509:X917586 X983045:X983122 JT2:JT82 JT65541:JT65618 JT131077:JT131154 JT196613:JT196690 JT262149:JT262226 JT327685:JT327762 JT393221:JT393298 JT458757:JT458834 JT524293:JT524370 JT589829:JT589906 JT655365:JT655442 JT720901:JT720978 JT786437:JT786514 JT851973:JT852050 JT917509:JT917586 JT983045:JT983122 TP2:TP82 TP65541:TP65618 TP131077:TP131154 TP196613:TP196690 TP262149:TP262226 TP327685:TP327762 TP393221:TP393298 TP458757:TP458834 TP524293:TP524370 TP589829:TP589906 TP655365:TP655442 TP720901:TP720978 TP786437:TP786514 TP851973:TP852050 TP917509:TP917586 TP983045:TP983122 ADL2:ADL82 ADL65541:ADL65618 ADL131077:ADL131154 ADL196613:ADL196690 ADL262149:ADL262226 ADL327685:ADL327762 ADL393221:ADL393298 ADL458757:ADL458834 ADL524293:ADL524370 ADL589829:ADL589906 ADL655365:ADL655442 ADL720901:ADL720978 ADL786437:ADL786514 ADL851973:ADL852050 ADL917509:ADL917586 ADL983045:ADL983122 ANH2:ANH82 ANH65541:ANH65618 ANH131077:ANH131154 ANH196613:ANH196690 ANH262149:ANH262226 ANH327685:ANH327762 ANH393221:ANH393298 ANH458757:ANH458834 ANH524293:ANH524370 ANH589829:ANH589906 ANH655365:ANH655442 ANH720901:ANH720978 ANH786437:ANH786514 ANH851973:ANH852050 ANH917509:ANH917586 ANH983045:ANH983122 AXD2:AXD82 AXD65541:AXD65618 AXD131077:AXD131154 AXD196613:AXD196690 AXD262149:AXD262226 AXD327685:AXD327762 AXD393221:AXD393298 AXD458757:AXD458834 AXD524293:AXD524370 AXD589829:AXD589906 AXD655365:AXD655442 AXD720901:AXD720978 AXD786437:AXD786514 AXD851973:AXD852050 AXD917509:AXD917586 AXD983045:AXD983122 BGZ2:BGZ82 BGZ65541:BGZ65618 BGZ131077:BGZ131154 BGZ196613:BGZ196690 BGZ262149:BGZ262226 BGZ327685:BGZ327762 BGZ393221:BGZ393298 BGZ458757:BGZ458834 BGZ524293:BGZ524370 BGZ589829:BGZ589906 BGZ655365:BGZ655442 BGZ720901:BGZ720978 BGZ786437:BGZ786514 BGZ851973:BGZ852050 BGZ917509:BGZ917586 BGZ983045:BGZ983122 BQV2:BQV82 BQV65541:BQV65618 BQV131077:BQV131154 BQV196613:BQV196690 BQV262149:BQV262226 BQV327685:BQV327762 BQV393221:BQV393298 BQV458757:BQV458834 BQV524293:BQV524370 BQV589829:BQV589906 BQV655365:BQV655442 BQV720901:BQV720978 BQV786437:BQV786514 BQV851973:BQV852050 BQV917509:BQV917586 BQV983045:BQV983122 CAR2:CAR82 CAR65541:CAR65618 CAR131077:CAR131154 CAR196613:CAR196690 CAR262149:CAR262226 CAR327685:CAR327762 CAR393221:CAR393298 CAR458757:CAR458834 CAR524293:CAR524370 CAR589829:CAR589906 CAR655365:CAR655442 CAR720901:CAR720978 CAR786437:CAR786514 CAR851973:CAR852050 CAR917509:CAR917586 CAR983045:CAR983122 CKN2:CKN82 CKN65541:CKN65618 CKN131077:CKN131154 CKN196613:CKN196690 CKN262149:CKN262226 CKN327685:CKN327762 CKN393221:CKN393298 CKN458757:CKN458834 CKN524293:CKN524370 CKN589829:CKN589906 CKN655365:CKN655442 CKN720901:CKN720978 CKN786437:CKN786514 CKN851973:CKN852050 CKN917509:CKN917586 CKN983045:CKN983122 CUJ2:CUJ82 CUJ65541:CUJ65618 CUJ131077:CUJ131154 CUJ196613:CUJ196690 CUJ262149:CUJ262226 CUJ327685:CUJ327762 CUJ393221:CUJ393298 CUJ458757:CUJ458834 CUJ524293:CUJ524370 CUJ589829:CUJ589906 CUJ655365:CUJ655442 CUJ720901:CUJ720978 CUJ786437:CUJ786514 CUJ851973:CUJ852050 CUJ917509:CUJ917586 CUJ983045:CUJ983122 DEF2:DEF82 DEF65541:DEF65618 DEF131077:DEF131154 DEF196613:DEF196690 DEF262149:DEF262226 DEF327685:DEF327762 DEF393221:DEF393298 DEF458757:DEF458834 DEF524293:DEF524370 DEF589829:DEF589906 DEF655365:DEF655442 DEF720901:DEF720978 DEF786437:DEF786514 DEF851973:DEF852050 DEF917509:DEF917586 DEF983045:DEF983122 DOB2:DOB82 DOB65541:DOB65618 DOB131077:DOB131154 DOB196613:DOB196690 DOB262149:DOB262226 DOB327685:DOB327762 DOB393221:DOB393298 DOB458757:DOB458834 DOB524293:DOB524370 DOB589829:DOB589906 DOB655365:DOB655442 DOB720901:DOB720978 DOB786437:DOB786514 DOB851973:DOB852050 DOB917509:DOB917586 DOB983045:DOB983122 DXX2:DXX82 DXX65541:DXX65618 DXX131077:DXX131154 DXX196613:DXX196690 DXX262149:DXX262226 DXX327685:DXX327762 DXX393221:DXX393298 DXX458757:DXX458834 DXX524293:DXX524370 DXX589829:DXX589906 DXX655365:DXX655442 DXX720901:DXX720978 DXX786437:DXX786514 DXX851973:DXX852050 DXX917509:DXX917586 DXX983045:DXX983122 EHT2:EHT82 EHT65541:EHT65618 EHT131077:EHT131154 EHT196613:EHT196690 EHT262149:EHT262226 EHT327685:EHT327762 EHT393221:EHT393298 EHT458757:EHT458834 EHT524293:EHT524370 EHT589829:EHT589906 EHT655365:EHT655442 EHT720901:EHT720978 EHT786437:EHT786514 EHT851973:EHT852050 EHT917509:EHT917586 EHT983045:EHT983122 ERP2:ERP82 ERP65541:ERP65618 ERP131077:ERP131154 ERP196613:ERP196690 ERP262149:ERP262226 ERP327685:ERP327762 ERP393221:ERP393298 ERP458757:ERP458834 ERP524293:ERP524370 ERP589829:ERP589906 ERP655365:ERP655442 ERP720901:ERP720978 ERP786437:ERP786514 ERP851973:ERP852050 ERP917509:ERP917586 ERP983045:ERP983122 FBL2:FBL82 FBL65541:FBL65618 FBL131077:FBL131154 FBL196613:FBL196690 FBL262149:FBL262226 FBL327685:FBL327762 FBL393221:FBL393298 FBL458757:FBL458834 FBL524293:FBL524370 FBL589829:FBL589906 FBL655365:FBL655442 FBL720901:FBL720978 FBL786437:FBL786514 FBL851973:FBL852050 FBL917509:FBL917586 FBL983045:FBL983122 FLH2:FLH82 FLH65541:FLH65618 FLH131077:FLH131154 FLH196613:FLH196690 FLH262149:FLH262226 FLH327685:FLH327762 FLH393221:FLH393298 FLH458757:FLH458834 FLH524293:FLH524370 FLH589829:FLH589906 FLH655365:FLH655442 FLH720901:FLH720978 FLH786437:FLH786514 FLH851973:FLH852050 FLH917509:FLH917586 FLH983045:FLH983122 FVD2:FVD82 FVD65541:FVD65618 FVD131077:FVD131154 FVD196613:FVD196690 FVD262149:FVD262226 FVD327685:FVD327762 FVD393221:FVD393298 FVD458757:FVD458834 FVD524293:FVD524370 FVD589829:FVD589906 FVD655365:FVD655442 FVD720901:FVD720978 FVD786437:FVD786514 FVD851973:FVD852050 FVD917509:FVD917586 FVD983045:FVD983122 GEZ2:GEZ82 GEZ65541:GEZ65618 GEZ131077:GEZ131154 GEZ196613:GEZ196690 GEZ262149:GEZ262226 GEZ327685:GEZ327762 GEZ393221:GEZ393298 GEZ458757:GEZ458834 GEZ524293:GEZ524370 GEZ589829:GEZ589906 GEZ655365:GEZ655442 GEZ720901:GEZ720978 GEZ786437:GEZ786514 GEZ851973:GEZ852050 GEZ917509:GEZ917586 GEZ983045:GEZ983122 GOV2:GOV82 GOV65541:GOV65618 GOV131077:GOV131154 GOV196613:GOV196690 GOV262149:GOV262226 GOV327685:GOV327762 GOV393221:GOV393298 GOV458757:GOV458834 GOV524293:GOV524370 GOV589829:GOV589906 GOV655365:GOV655442 GOV720901:GOV720978 GOV786437:GOV786514 GOV851973:GOV852050 GOV917509:GOV917586 GOV983045:GOV983122 GYR2:GYR82 GYR65541:GYR65618 GYR131077:GYR131154 GYR196613:GYR196690 GYR262149:GYR262226 GYR327685:GYR327762 GYR393221:GYR393298 GYR458757:GYR458834 GYR524293:GYR524370 GYR589829:GYR589906 GYR655365:GYR655442 GYR720901:GYR720978 GYR786437:GYR786514 GYR851973:GYR852050 GYR917509:GYR917586 GYR983045:GYR983122 HIN2:HIN82 HIN65541:HIN65618 HIN131077:HIN131154 HIN196613:HIN196690 HIN262149:HIN262226 HIN327685:HIN327762 HIN393221:HIN393298 HIN458757:HIN458834 HIN524293:HIN524370 HIN589829:HIN589906 HIN655365:HIN655442 HIN720901:HIN720978 HIN786437:HIN786514 HIN851973:HIN852050 HIN917509:HIN917586 HIN983045:HIN983122 HSJ2:HSJ82 HSJ65541:HSJ65618 HSJ131077:HSJ131154 HSJ196613:HSJ196690 HSJ262149:HSJ262226 HSJ327685:HSJ327762 HSJ393221:HSJ393298 HSJ458757:HSJ458834 HSJ524293:HSJ524370 HSJ589829:HSJ589906 HSJ655365:HSJ655442 HSJ720901:HSJ720978 HSJ786437:HSJ786514 HSJ851973:HSJ852050 HSJ917509:HSJ917586 HSJ983045:HSJ983122 ICF2:ICF82 ICF65541:ICF65618 ICF131077:ICF131154 ICF196613:ICF196690 ICF262149:ICF262226 ICF327685:ICF327762 ICF393221:ICF393298 ICF458757:ICF458834 ICF524293:ICF524370 ICF589829:ICF589906 ICF655365:ICF655442 ICF720901:ICF720978 ICF786437:ICF786514 ICF851973:ICF852050 ICF917509:ICF917586 ICF983045:ICF983122 IMB2:IMB82 IMB65541:IMB65618 IMB131077:IMB131154 IMB196613:IMB196690 IMB262149:IMB262226 IMB327685:IMB327762 IMB393221:IMB393298 IMB458757:IMB458834 IMB524293:IMB524370 IMB589829:IMB589906 IMB655365:IMB655442 IMB720901:IMB720978 IMB786437:IMB786514 IMB851973:IMB852050 IMB917509:IMB917586 IMB983045:IMB983122 IVX2:IVX82 IVX65541:IVX65618 IVX131077:IVX131154 IVX196613:IVX196690 IVX262149:IVX262226 IVX327685:IVX327762 IVX393221:IVX393298 IVX458757:IVX458834 IVX524293:IVX524370 IVX589829:IVX589906 IVX655365:IVX655442 IVX720901:IVX720978 IVX786437:IVX786514 IVX851973:IVX852050 IVX917509:IVX917586 IVX983045:IVX983122 JFT2:JFT82 JFT65541:JFT65618 JFT131077:JFT131154 JFT196613:JFT196690 JFT262149:JFT262226 JFT327685:JFT327762 JFT393221:JFT393298 JFT458757:JFT458834 JFT524293:JFT524370 JFT589829:JFT589906 JFT655365:JFT655442 JFT720901:JFT720978 JFT786437:JFT786514 JFT851973:JFT852050 JFT917509:JFT917586 JFT983045:JFT983122 JPP2:JPP82 JPP65541:JPP65618 JPP131077:JPP131154 JPP196613:JPP196690 JPP262149:JPP262226 JPP327685:JPP327762 JPP393221:JPP393298 JPP458757:JPP458834 JPP524293:JPP524370 JPP589829:JPP589906 JPP655365:JPP655442 JPP720901:JPP720978 JPP786437:JPP786514 JPP851973:JPP852050 JPP917509:JPP917586 JPP983045:JPP983122 JZL2:JZL82 JZL65541:JZL65618 JZL131077:JZL131154 JZL196613:JZL196690 JZL262149:JZL262226 JZL327685:JZL327762 JZL393221:JZL393298 JZL458757:JZL458834 JZL524293:JZL524370 JZL589829:JZL589906 JZL655365:JZL655442 JZL720901:JZL720978 JZL786437:JZL786514 JZL851973:JZL852050 JZL917509:JZL917586 JZL983045:JZL983122 KJH2:KJH82 KJH65541:KJH65618 KJH131077:KJH131154 KJH196613:KJH196690 KJH262149:KJH262226 KJH327685:KJH327762 KJH393221:KJH393298 KJH458757:KJH458834 KJH524293:KJH524370 KJH589829:KJH589906 KJH655365:KJH655442 KJH720901:KJH720978 KJH786437:KJH786514 KJH851973:KJH852050 KJH917509:KJH917586 KJH983045:KJH983122 KTD2:KTD82 KTD65541:KTD65618 KTD131077:KTD131154 KTD196613:KTD196690 KTD262149:KTD262226 KTD327685:KTD327762 KTD393221:KTD393298 KTD458757:KTD458834 KTD524293:KTD524370 KTD589829:KTD589906 KTD655365:KTD655442 KTD720901:KTD720978 KTD786437:KTD786514 KTD851973:KTD852050 KTD917509:KTD917586 KTD983045:KTD983122 LCZ2:LCZ82 LCZ65541:LCZ65618 LCZ131077:LCZ131154 LCZ196613:LCZ196690 LCZ262149:LCZ262226 LCZ327685:LCZ327762 LCZ393221:LCZ393298 LCZ458757:LCZ458834 LCZ524293:LCZ524370 LCZ589829:LCZ589906 LCZ655365:LCZ655442 LCZ720901:LCZ720978 LCZ786437:LCZ786514 LCZ851973:LCZ852050 LCZ917509:LCZ917586 LCZ983045:LCZ983122 LMV2:LMV82 LMV65541:LMV65618 LMV131077:LMV131154 LMV196613:LMV196690 LMV262149:LMV262226 LMV327685:LMV327762 LMV393221:LMV393298 LMV458757:LMV458834 LMV524293:LMV524370 LMV589829:LMV589906 LMV655365:LMV655442 LMV720901:LMV720978 LMV786437:LMV786514 LMV851973:LMV852050 LMV917509:LMV917586 LMV983045:LMV983122 LWR2:LWR82 LWR65541:LWR65618 LWR131077:LWR131154 LWR196613:LWR196690 LWR262149:LWR262226 LWR327685:LWR327762 LWR393221:LWR393298 LWR458757:LWR458834 LWR524293:LWR524370 LWR589829:LWR589906 LWR655365:LWR655442 LWR720901:LWR720978 LWR786437:LWR786514 LWR851973:LWR852050 LWR917509:LWR917586 LWR983045:LWR983122 MGN2:MGN82 MGN65541:MGN65618 MGN131077:MGN131154 MGN196613:MGN196690 MGN262149:MGN262226 MGN327685:MGN327762 MGN393221:MGN393298 MGN458757:MGN458834 MGN524293:MGN524370 MGN589829:MGN589906 MGN655365:MGN655442 MGN720901:MGN720978 MGN786437:MGN786514 MGN851973:MGN852050 MGN917509:MGN917586 MGN983045:MGN983122 MQJ2:MQJ82 MQJ65541:MQJ65618 MQJ131077:MQJ131154 MQJ196613:MQJ196690 MQJ262149:MQJ262226 MQJ327685:MQJ327762 MQJ393221:MQJ393298 MQJ458757:MQJ458834 MQJ524293:MQJ524370 MQJ589829:MQJ589906 MQJ655365:MQJ655442 MQJ720901:MQJ720978 MQJ786437:MQJ786514 MQJ851973:MQJ852050 MQJ917509:MQJ917586 MQJ983045:MQJ983122 NAF2:NAF82 NAF65541:NAF65618 NAF131077:NAF131154 NAF196613:NAF196690 NAF262149:NAF262226 NAF327685:NAF327762 NAF393221:NAF393298 NAF458757:NAF458834 NAF524293:NAF524370 NAF589829:NAF589906 NAF655365:NAF655442 NAF720901:NAF720978 NAF786437:NAF786514 NAF851973:NAF852050 NAF917509:NAF917586 NAF983045:NAF983122 NKB2:NKB82 NKB65541:NKB65618 NKB131077:NKB131154 NKB196613:NKB196690 NKB262149:NKB262226 NKB327685:NKB327762 NKB393221:NKB393298 NKB458757:NKB458834 NKB524293:NKB524370 NKB589829:NKB589906 NKB655365:NKB655442 NKB720901:NKB720978 NKB786437:NKB786514 NKB851973:NKB852050 NKB917509:NKB917586 NKB983045:NKB983122 NTX2:NTX82 NTX65541:NTX65618 NTX131077:NTX131154 NTX196613:NTX196690 NTX262149:NTX262226 NTX327685:NTX327762 NTX393221:NTX393298 NTX458757:NTX458834 NTX524293:NTX524370 NTX589829:NTX589906 NTX655365:NTX655442 NTX720901:NTX720978 NTX786437:NTX786514 NTX851973:NTX852050 NTX917509:NTX917586 NTX983045:NTX983122 ODT2:ODT82 ODT65541:ODT65618 ODT131077:ODT131154 ODT196613:ODT196690 ODT262149:ODT262226 ODT327685:ODT327762 ODT393221:ODT393298 ODT458757:ODT458834 ODT524293:ODT524370 ODT589829:ODT589906 ODT655365:ODT655442 ODT720901:ODT720978 ODT786437:ODT786514 ODT851973:ODT852050 ODT917509:ODT917586 ODT983045:ODT983122 ONP2:ONP82 ONP65541:ONP65618 ONP131077:ONP131154 ONP196613:ONP196690 ONP262149:ONP262226 ONP327685:ONP327762 ONP393221:ONP393298 ONP458757:ONP458834 ONP524293:ONP524370 ONP589829:ONP589906 ONP655365:ONP655442 ONP720901:ONP720978 ONP786437:ONP786514 ONP851973:ONP852050 ONP917509:ONP917586 ONP983045:ONP983122 OXL2:OXL82 OXL65541:OXL65618 OXL131077:OXL131154 OXL196613:OXL196690 OXL262149:OXL262226 OXL327685:OXL327762 OXL393221:OXL393298 OXL458757:OXL458834 OXL524293:OXL524370 OXL589829:OXL589906 OXL655365:OXL655442 OXL720901:OXL720978 OXL786437:OXL786514 OXL851973:OXL852050 OXL917509:OXL917586 OXL983045:OXL983122 PHH2:PHH82 PHH65541:PHH65618 PHH131077:PHH131154 PHH196613:PHH196690 PHH262149:PHH262226 PHH327685:PHH327762 PHH393221:PHH393298 PHH458757:PHH458834 PHH524293:PHH524370 PHH589829:PHH589906 PHH655365:PHH655442 PHH720901:PHH720978 PHH786437:PHH786514 PHH851973:PHH852050 PHH917509:PHH917586 PHH983045:PHH983122 PRD2:PRD82 PRD65541:PRD65618 PRD131077:PRD131154 PRD196613:PRD196690 PRD262149:PRD262226 PRD327685:PRD327762 PRD393221:PRD393298 PRD458757:PRD458834 PRD524293:PRD524370 PRD589829:PRD589906 PRD655365:PRD655442 PRD720901:PRD720978 PRD786437:PRD786514 PRD851973:PRD852050 PRD917509:PRD917586 PRD983045:PRD983122 QAZ2:QAZ82 QAZ65541:QAZ65618 QAZ131077:QAZ131154 QAZ196613:QAZ196690 QAZ262149:QAZ262226 QAZ327685:QAZ327762 QAZ393221:QAZ393298 QAZ458757:QAZ458834 QAZ524293:QAZ524370 QAZ589829:QAZ589906 QAZ655365:QAZ655442 QAZ720901:QAZ720978 QAZ786437:QAZ786514 QAZ851973:QAZ852050 QAZ917509:QAZ917586 QAZ983045:QAZ983122 QKV2:QKV82 QKV65541:QKV65618 QKV131077:QKV131154 QKV196613:QKV196690 QKV262149:QKV262226 QKV327685:QKV327762 QKV393221:QKV393298 QKV458757:QKV458834 QKV524293:QKV524370 QKV589829:QKV589906 QKV655365:QKV655442 QKV720901:QKV720978 QKV786437:QKV786514 QKV851973:QKV852050 QKV917509:QKV917586 QKV983045:QKV983122 QUR2:QUR82 QUR65541:QUR65618 QUR131077:QUR131154 QUR196613:QUR196690 QUR262149:QUR262226 QUR327685:QUR327762 QUR393221:QUR393298 QUR458757:QUR458834 QUR524293:QUR524370 QUR589829:QUR589906 QUR655365:QUR655442 QUR720901:QUR720978 QUR786437:QUR786514 QUR851973:QUR852050 QUR917509:QUR917586 QUR983045:QUR983122 REN2:REN82 REN65541:REN65618 REN131077:REN131154 REN196613:REN196690 REN262149:REN262226 REN327685:REN327762 REN393221:REN393298 REN458757:REN458834 REN524293:REN524370 REN589829:REN589906 REN655365:REN655442 REN720901:REN720978 REN786437:REN786514 REN851973:REN852050 REN917509:REN917586 REN983045:REN983122 ROJ2:ROJ82 ROJ65541:ROJ65618 ROJ131077:ROJ131154 ROJ196613:ROJ196690 ROJ262149:ROJ262226 ROJ327685:ROJ327762 ROJ393221:ROJ393298 ROJ458757:ROJ458834 ROJ524293:ROJ524370 ROJ589829:ROJ589906 ROJ655365:ROJ655442 ROJ720901:ROJ720978 ROJ786437:ROJ786514 ROJ851973:ROJ852050 ROJ917509:ROJ917586 ROJ983045:ROJ983122 RYF2:RYF82 RYF65541:RYF65618 RYF131077:RYF131154 RYF196613:RYF196690 RYF262149:RYF262226 RYF327685:RYF327762 RYF393221:RYF393298 RYF458757:RYF458834 RYF524293:RYF524370 RYF589829:RYF589906 RYF655365:RYF655442 RYF720901:RYF720978 RYF786437:RYF786514 RYF851973:RYF852050 RYF917509:RYF917586 RYF983045:RYF983122 SIB2:SIB82 SIB65541:SIB65618 SIB131077:SIB131154 SIB196613:SIB196690 SIB262149:SIB262226 SIB327685:SIB327762 SIB393221:SIB393298 SIB458757:SIB458834 SIB524293:SIB524370 SIB589829:SIB589906 SIB655365:SIB655442 SIB720901:SIB720978 SIB786437:SIB786514 SIB851973:SIB852050 SIB917509:SIB917586 SIB983045:SIB983122 SRX2:SRX82 SRX65541:SRX65618 SRX131077:SRX131154 SRX196613:SRX196690 SRX262149:SRX262226 SRX327685:SRX327762 SRX393221:SRX393298 SRX458757:SRX458834 SRX524293:SRX524370 SRX589829:SRX589906 SRX655365:SRX655442 SRX720901:SRX720978 SRX786437:SRX786514 SRX851973:SRX852050 SRX917509:SRX917586 SRX983045:SRX983122 TBT2:TBT82 TBT65541:TBT65618 TBT131077:TBT131154 TBT196613:TBT196690 TBT262149:TBT262226 TBT327685:TBT327762 TBT393221:TBT393298 TBT458757:TBT458834 TBT524293:TBT524370 TBT589829:TBT589906 TBT655365:TBT655442 TBT720901:TBT720978 TBT786437:TBT786514 TBT851973:TBT852050 TBT917509:TBT917586 TBT983045:TBT983122 TLP2:TLP82 TLP65541:TLP65618 TLP131077:TLP131154 TLP196613:TLP196690 TLP262149:TLP262226 TLP327685:TLP327762 TLP393221:TLP393298 TLP458757:TLP458834 TLP524293:TLP524370 TLP589829:TLP589906 TLP655365:TLP655442 TLP720901:TLP720978 TLP786437:TLP786514 TLP851973:TLP852050 TLP917509:TLP917586 TLP983045:TLP983122 TVL2:TVL82 TVL65541:TVL65618 TVL131077:TVL131154 TVL196613:TVL196690 TVL262149:TVL262226 TVL327685:TVL327762 TVL393221:TVL393298 TVL458757:TVL458834 TVL524293:TVL524370 TVL589829:TVL589906 TVL655365:TVL655442 TVL720901:TVL720978 TVL786437:TVL786514 TVL851973:TVL852050 TVL917509:TVL917586 TVL983045:TVL983122 UFH2:UFH82 UFH65541:UFH65618 UFH131077:UFH131154 UFH196613:UFH196690 UFH262149:UFH262226 UFH327685:UFH327762 UFH393221:UFH393298 UFH458757:UFH458834 UFH524293:UFH524370 UFH589829:UFH589906 UFH655365:UFH655442 UFH720901:UFH720978 UFH786437:UFH786514 UFH851973:UFH852050 UFH917509:UFH917586 UFH983045:UFH983122 UPD2:UPD82 UPD65541:UPD65618 UPD131077:UPD131154 UPD196613:UPD196690 UPD262149:UPD262226 UPD327685:UPD327762 UPD393221:UPD393298 UPD458757:UPD458834 UPD524293:UPD524370 UPD589829:UPD589906 UPD655365:UPD655442 UPD720901:UPD720978 UPD786437:UPD786514 UPD851973:UPD852050 UPD917509:UPD917586 UPD983045:UPD983122 UYZ2:UYZ82 UYZ65541:UYZ65618 UYZ131077:UYZ131154 UYZ196613:UYZ196690 UYZ262149:UYZ262226 UYZ327685:UYZ327762 UYZ393221:UYZ393298 UYZ458757:UYZ458834 UYZ524293:UYZ524370 UYZ589829:UYZ589906 UYZ655365:UYZ655442 UYZ720901:UYZ720978 UYZ786437:UYZ786514 UYZ851973:UYZ852050 UYZ917509:UYZ917586 UYZ983045:UYZ983122 VIV2:VIV82 VIV65541:VIV65618 VIV131077:VIV131154 VIV196613:VIV196690 VIV262149:VIV262226 VIV327685:VIV327762 VIV393221:VIV393298 VIV458757:VIV458834 VIV524293:VIV524370 VIV589829:VIV589906 VIV655365:VIV655442 VIV720901:VIV720978 VIV786437:VIV786514 VIV851973:VIV852050 VIV917509:VIV917586 VIV983045:VIV983122 VSR2:VSR82 VSR65541:VSR65618 VSR131077:VSR131154 VSR196613:VSR196690 VSR262149:VSR262226 VSR327685:VSR327762 VSR393221:VSR393298 VSR458757:VSR458834 VSR524293:VSR524370 VSR589829:VSR589906 VSR655365:VSR655442 VSR720901:VSR720978 VSR786437:VSR786514 VSR851973:VSR852050 VSR917509:VSR917586 VSR983045:VSR983122 WCN2:WCN82 WCN65541:WCN65618 WCN131077:WCN131154 WCN196613:WCN196690 WCN262149:WCN262226 WCN327685:WCN327762 WCN393221:WCN393298 WCN458757:WCN458834 WCN524293:WCN524370 WCN589829:WCN589906 WCN655365:WCN655442 WCN720901:WCN720978 WCN786437:WCN786514 WCN851973:WCN852050 WCN917509:WCN917586 WCN983045:WCN983122 WMJ2:WMJ82 WMJ65541:WMJ65618 WMJ131077:WMJ131154 WMJ196613:WMJ196690 WMJ262149:WMJ262226 WMJ327685:WMJ327762 WMJ393221:WMJ393298 WMJ458757:WMJ458834 WMJ524293:WMJ524370 WMJ589829:WMJ589906 WMJ655365:WMJ655442 WMJ720901:WMJ720978 WMJ786437:WMJ786514 WMJ851973:WMJ852050 WMJ917509:WMJ917586 WMJ983045:WMJ983122 WWF2:WWF82 WWF65541:WWF65618 WWF131077:WWF131154 WWF196613:WWF196690 WWF262149:WWF262226 WWF327685:WWF327762 WWF393221:WWF393298 WWF458757:WWF458834 WWF524293:WWF524370 WWF589829:WWF589906 WWF655365:WWF655442 WWF720901:WWF720978 WWF786437:WWF786514 WWF851973:WWF852050 WWF917509:WWF917586 WWF983045:WWF983122" xr:uid="{FA58B90B-B0EC-4D90-B7D7-188C1DE76A1E}">
      <formula1>$AT$2:$AT$3</formula1>
    </dataValidation>
    <dataValidation type="list" allowBlank="1" showInputMessage="1" showErrorMessage="1" sqref="K2:K1003" xr:uid="{A435F855-4A4F-44D9-9F94-2E21229F7AC8}">
      <formula1>$AR$2:$AR$28</formula1>
    </dataValidation>
    <dataValidation type="list" allowBlank="1" showInputMessage="1" showErrorMessage="1" sqref="J2:J1003" xr:uid="{E29FC3DD-0FCB-4208-9EE9-BEA7614E92EF}">
      <formula1>$AP$2:$AP$29</formula1>
    </dataValidation>
    <dataValidation allowBlank="1" showInputMessage="1" showErrorMessage="1" sqref="B2:B130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xr:uid="{CF1840FB-2F74-4486-8FA2-B997DB38317B}"/>
    <dataValidation type="list" allowBlank="1" showInputMessage="1" showErrorMessage="1" sqref="E2:E735 E65541:E65618 E131077:E131154 E196613:E196690 E262149:E262226 E327685:E327762 E393221:E393298 E458757:E458834 E524293:E524370 E589829:E589906 E655365:E655442 E720901:E720978 E786437:E786514 E851973:E852050 E917509:E917586 E983045:E983122 JA2:JA82 JA65541:JA65618 JA131077:JA131154 JA196613:JA196690 JA262149:JA262226 JA327685:JA327762 JA393221:JA393298 JA458757:JA458834 JA524293:JA524370 JA589829:JA589906 JA655365:JA655442 JA720901:JA720978 JA786437:JA786514 JA851973:JA852050 JA917509:JA917586 JA983045:JA983122 SW2:SW82 SW65541:SW65618 SW131077:SW131154 SW196613:SW196690 SW262149:SW262226 SW327685:SW327762 SW393221:SW393298 SW458757:SW458834 SW524293:SW524370 SW589829:SW589906 SW655365:SW655442 SW720901:SW720978 SW786437:SW786514 SW851973:SW852050 SW917509:SW917586 SW983045:SW983122 ACS2:ACS82 ACS65541:ACS65618 ACS131077:ACS131154 ACS196613:ACS196690 ACS262149:ACS262226 ACS327685:ACS327762 ACS393221:ACS393298 ACS458757:ACS458834 ACS524293:ACS524370 ACS589829:ACS589906 ACS655365:ACS655442 ACS720901:ACS720978 ACS786437:ACS786514 ACS851973:ACS852050 ACS917509:ACS917586 ACS983045:ACS983122 AMO2:AMO82 AMO65541:AMO65618 AMO131077:AMO131154 AMO196613:AMO196690 AMO262149:AMO262226 AMO327685:AMO327762 AMO393221:AMO393298 AMO458757:AMO458834 AMO524293:AMO524370 AMO589829:AMO589906 AMO655365:AMO655442 AMO720901:AMO720978 AMO786437:AMO786514 AMO851973:AMO852050 AMO917509:AMO917586 AMO983045:AMO983122 AWK2:AWK82 AWK65541:AWK65618 AWK131077:AWK131154 AWK196613:AWK196690 AWK262149:AWK262226 AWK327685:AWK327762 AWK393221:AWK393298 AWK458757:AWK458834 AWK524293:AWK524370 AWK589829:AWK589906 AWK655365:AWK655442 AWK720901:AWK720978 AWK786437:AWK786514 AWK851973:AWK852050 AWK917509:AWK917586 AWK983045:AWK983122 BGG2:BGG82 BGG65541:BGG65618 BGG131077:BGG131154 BGG196613:BGG196690 BGG262149:BGG262226 BGG327685:BGG327762 BGG393221:BGG393298 BGG458757:BGG458834 BGG524293:BGG524370 BGG589829:BGG589906 BGG655365:BGG655442 BGG720901:BGG720978 BGG786437:BGG786514 BGG851973:BGG852050 BGG917509:BGG917586 BGG983045:BGG983122 BQC2:BQC82 BQC65541:BQC65618 BQC131077:BQC131154 BQC196613:BQC196690 BQC262149:BQC262226 BQC327685:BQC327762 BQC393221:BQC393298 BQC458757:BQC458834 BQC524293:BQC524370 BQC589829:BQC589906 BQC655365:BQC655442 BQC720901:BQC720978 BQC786437:BQC786514 BQC851973:BQC852050 BQC917509:BQC917586 BQC983045:BQC983122 BZY2:BZY82 BZY65541:BZY65618 BZY131077:BZY131154 BZY196613:BZY196690 BZY262149:BZY262226 BZY327685:BZY327762 BZY393221:BZY393298 BZY458757:BZY458834 BZY524293:BZY524370 BZY589829:BZY589906 BZY655365:BZY655442 BZY720901:BZY720978 BZY786437:BZY786514 BZY851973:BZY852050 BZY917509:BZY917586 BZY983045:BZY983122 CJU2:CJU82 CJU65541:CJU65618 CJU131077:CJU131154 CJU196613:CJU196690 CJU262149:CJU262226 CJU327685:CJU327762 CJU393221:CJU393298 CJU458757:CJU458834 CJU524293:CJU524370 CJU589829:CJU589906 CJU655365:CJU655442 CJU720901:CJU720978 CJU786437:CJU786514 CJU851973:CJU852050 CJU917509:CJU917586 CJU983045:CJU983122 CTQ2:CTQ82 CTQ65541:CTQ65618 CTQ131077:CTQ131154 CTQ196613:CTQ196690 CTQ262149:CTQ262226 CTQ327685:CTQ327762 CTQ393221:CTQ393298 CTQ458757:CTQ458834 CTQ524293:CTQ524370 CTQ589829:CTQ589906 CTQ655365:CTQ655442 CTQ720901:CTQ720978 CTQ786437:CTQ786514 CTQ851973:CTQ852050 CTQ917509:CTQ917586 CTQ983045:CTQ983122 DDM2:DDM82 DDM65541:DDM65618 DDM131077:DDM131154 DDM196613:DDM196690 DDM262149:DDM262226 DDM327685:DDM327762 DDM393221:DDM393298 DDM458757:DDM458834 DDM524293:DDM524370 DDM589829:DDM589906 DDM655365:DDM655442 DDM720901:DDM720978 DDM786437:DDM786514 DDM851973:DDM852050 DDM917509:DDM917586 DDM983045:DDM983122 DNI2:DNI82 DNI65541:DNI65618 DNI131077:DNI131154 DNI196613:DNI196690 DNI262149:DNI262226 DNI327685:DNI327762 DNI393221:DNI393298 DNI458757:DNI458834 DNI524293:DNI524370 DNI589829:DNI589906 DNI655365:DNI655442 DNI720901:DNI720978 DNI786437:DNI786514 DNI851973:DNI852050 DNI917509:DNI917586 DNI983045:DNI983122 DXE2:DXE82 DXE65541:DXE65618 DXE131077:DXE131154 DXE196613:DXE196690 DXE262149:DXE262226 DXE327685:DXE327762 DXE393221:DXE393298 DXE458757:DXE458834 DXE524293:DXE524370 DXE589829:DXE589906 DXE655365:DXE655442 DXE720901:DXE720978 DXE786437:DXE786514 DXE851973:DXE852050 DXE917509:DXE917586 DXE983045:DXE983122 EHA2:EHA82 EHA65541:EHA65618 EHA131077:EHA131154 EHA196613:EHA196690 EHA262149:EHA262226 EHA327685:EHA327762 EHA393221:EHA393298 EHA458757:EHA458834 EHA524293:EHA524370 EHA589829:EHA589906 EHA655365:EHA655442 EHA720901:EHA720978 EHA786437:EHA786514 EHA851973:EHA852050 EHA917509:EHA917586 EHA983045:EHA983122 EQW2:EQW82 EQW65541:EQW65618 EQW131077:EQW131154 EQW196613:EQW196690 EQW262149:EQW262226 EQW327685:EQW327762 EQW393221:EQW393298 EQW458757:EQW458834 EQW524293:EQW524370 EQW589829:EQW589906 EQW655365:EQW655442 EQW720901:EQW720978 EQW786437:EQW786514 EQW851973:EQW852050 EQW917509:EQW917586 EQW983045:EQW983122 FAS2:FAS82 FAS65541:FAS65618 FAS131077:FAS131154 FAS196613:FAS196690 FAS262149:FAS262226 FAS327685:FAS327762 FAS393221:FAS393298 FAS458757:FAS458834 FAS524293:FAS524370 FAS589829:FAS589906 FAS655365:FAS655442 FAS720901:FAS720978 FAS786437:FAS786514 FAS851973:FAS852050 FAS917509:FAS917586 FAS983045:FAS983122 FKO2:FKO82 FKO65541:FKO65618 FKO131077:FKO131154 FKO196613:FKO196690 FKO262149:FKO262226 FKO327685:FKO327762 FKO393221:FKO393298 FKO458757:FKO458834 FKO524293:FKO524370 FKO589829:FKO589906 FKO655365:FKO655442 FKO720901:FKO720978 FKO786437:FKO786514 FKO851973:FKO852050 FKO917509:FKO917586 FKO983045:FKO983122 FUK2:FUK82 FUK65541:FUK65618 FUK131077:FUK131154 FUK196613:FUK196690 FUK262149:FUK262226 FUK327685:FUK327762 FUK393221:FUK393298 FUK458757:FUK458834 FUK524293:FUK524370 FUK589829:FUK589906 FUK655365:FUK655442 FUK720901:FUK720978 FUK786437:FUK786514 FUK851973:FUK852050 FUK917509:FUK917586 FUK983045:FUK983122 GEG2:GEG82 GEG65541:GEG65618 GEG131077:GEG131154 GEG196613:GEG196690 GEG262149:GEG262226 GEG327685:GEG327762 GEG393221:GEG393298 GEG458757:GEG458834 GEG524293:GEG524370 GEG589829:GEG589906 GEG655365:GEG655442 GEG720901:GEG720978 GEG786437:GEG786514 GEG851973:GEG852050 GEG917509:GEG917586 GEG983045:GEG983122 GOC2:GOC82 GOC65541:GOC65618 GOC131077:GOC131154 GOC196613:GOC196690 GOC262149:GOC262226 GOC327685:GOC327762 GOC393221:GOC393298 GOC458757:GOC458834 GOC524293:GOC524370 GOC589829:GOC589906 GOC655365:GOC655442 GOC720901:GOC720978 GOC786437:GOC786514 GOC851973:GOC852050 GOC917509:GOC917586 GOC983045:GOC983122 GXY2:GXY82 GXY65541:GXY65618 GXY131077:GXY131154 GXY196613:GXY196690 GXY262149:GXY262226 GXY327685:GXY327762 GXY393221:GXY393298 GXY458757:GXY458834 GXY524293:GXY524370 GXY589829:GXY589906 GXY655365:GXY655442 GXY720901:GXY720978 GXY786437:GXY786514 GXY851973:GXY852050 GXY917509:GXY917586 GXY983045:GXY983122 HHU2:HHU82 HHU65541:HHU65618 HHU131077:HHU131154 HHU196613:HHU196690 HHU262149:HHU262226 HHU327685:HHU327762 HHU393221:HHU393298 HHU458757:HHU458834 HHU524293:HHU524370 HHU589829:HHU589906 HHU655365:HHU655442 HHU720901:HHU720978 HHU786437:HHU786514 HHU851973:HHU852050 HHU917509:HHU917586 HHU983045:HHU983122 HRQ2:HRQ82 HRQ65541:HRQ65618 HRQ131077:HRQ131154 HRQ196613:HRQ196690 HRQ262149:HRQ262226 HRQ327685:HRQ327762 HRQ393221:HRQ393298 HRQ458757:HRQ458834 HRQ524293:HRQ524370 HRQ589829:HRQ589906 HRQ655365:HRQ655442 HRQ720901:HRQ720978 HRQ786437:HRQ786514 HRQ851973:HRQ852050 HRQ917509:HRQ917586 HRQ983045:HRQ983122 IBM2:IBM82 IBM65541:IBM65618 IBM131077:IBM131154 IBM196613:IBM196690 IBM262149:IBM262226 IBM327685:IBM327762 IBM393221:IBM393298 IBM458757:IBM458834 IBM524293:IBM524370 IBM589829:IBM589906 IBM655365:IBM655442 IBM720901:IBM720978 IBM786437:IBM786514 IBM851973:IBM852050 IBM917509:IBM917586 IBM983045:IBM983122 ILI2:ILI82 ILI65541:ILI65618 ILI131077:ILI131154 ILI196613:ILI196690 ILI262149:ILI262226 ILI327685:ILI327762 ILI393221:ILI393298 ILI458757:ILI458834 ILI524293:ILI524370 ILI589829:ILI589906 ILI655365:ILI655442 ILI720901:ILI720978 ILI786437:ILI786514 ILI851973:ILI852050 ILI917509:ILI917586 ILI983045:ILI983122 IVE2:IVE82 IVE65541:IVE65618 IVE131077:IVE131154 IVE196613:IVE196690 IVE262149:IVE262226 IVE327685:IVE327762 IVE393221:IVE393298 IVE458757:IVE458834 IVE524293:IVE524370 IVE589829:IVE589906 IVE655365:IVE655442 IVE720901:IVE720978 IVE786437:IVE786514 IVE851973:IVE852050 IVE917509:IVE917586 IVE983045:IVE983122 JFA2:JFA82 JFA65541:JFA65618 JFA131077:JFA131154 JFA196613:JFA196690 JFA262149:JFA262226 JFA327685:JFA327762 JFA393221:JFA393298 JFA458757:JFA458834 JFA524293:JFA524370 JFA589829:JFA589906 JFA655365:JFA655442 JFA720901:JFA720978 JFA786437:JFA786514 JFA851973:JFA852050 JFA917509:JFA917586 JFA983045:JFA983122 JOW2:JOW82 JOW65541:JOW65618 JOW131077:JOW131154 JOW196613:JOW196690 JOW262149:JOW262226 JOW327685:JOW327762 JOW393221:JOW393298 JOW458757:JOW458834 JOW524293:JOW524370 JOW589829:JOW589906 JOW655365:JOW655442 JOW720901:JOW720978 JOW786437:JOW786514 JOW851973:JOW852050 JOW917509:JOW917586 JOW983045:JOW983122 JYS2:JYS82 JYS65541:JYS65618 JYS131077:JYS131154 JYS196613:JYS196690 JYS262149:JYS262226 JYS327685:JYS327762 JYS393221:JYS393298 JYS458757:JYS458834 JYS524293:JYS524370 JYS589829:JYS589906 JYS655365:JYS655442 JYS720901:JYS720978 JYS786437:JYS786514 JYS851973:JYS852050 JYS917509:JYS917586 JYS983045:JYS983122 KIO2:KIO82 KIO65541:KIO65618 KIO131077:KIO131154 KIO196613:KIO196690 KIO262149:KIO262226 KIO327685:KIO327762 KIO393221:KIO393298 KIO458757:KIO458834 KIO524293:KIO524370 KIO589829:KIO589906 KIO655365:KIO655442 KIO720901:KIO720978 KIO786437:KIO786514 KIO851973:KIO852050 KIO917509:KIO917586 KIO983045:KIO983122 KSK2:KSK82 KSK65541:KSK65618 KSK131077:KSK131154 KSK196613:KSK196690 KSK262149:KSK262226 KSK327685:KSK327762 KSK393221:KSK393298 KSK458757:KSK458834 KSK524293:KSK524370 KSK589829:KSK589906 KSK655365:KSK655442 KSK720901:KSK720978 KSK786437:KSK786514 KSK851973:KSK852050 KSK917509:KSK917586 KSK983045:KSK983122 LCG2:LCG82 LCG65541:LCG65618 LCG131077:LCG131154 LCG196613:LCG196690 LCG262149:LCG262226 LCG327685:LCG327762 LCG393221:LCG393298 LCG458757:LCG458834 LCG524293:LCG524370 LCG589829:LCG589906 LCG655365:LCG655442 LCG720901:LCG720978 LCG786437:LCG786514 LCG851973:LCG852050 LCG917509:LCG917586 LCG983045:LCG983122 LMC2:LMC82 LMC65541:LMC65618 LMC131077:LMC131154 LMC196613:LMC196690 LMC262149:LMC262226 LMC327685:LMC327762 LMC393221:LMC393298 LMC458757:LMC458834 LMC524293:LMC524370 LMC589829:LMC589906 LMC655365:LMC655442 LMC720901:LMC720978 LMC786437:LMC786514 LMC851973:LMC852050 LMC917509:LMC917586 LMC983045:LMC983122 LVY2:LVY82 LVY65541:LVY65618 LVY131077:LVY131154 LVY196613:LVY196690 LVY262149:LVY262226 LVY327685:LVY327762 LVY393221:LVY393298 LVY458757:LVY458834 LVY524293:LVY524370 LVY589829:LVY589906 LVY655365:LVY655442 LVY720901:LVY720978 LVY786437:LVY786514 LVY851973:LVY852050 LVY917509:LVY917586 LVY983045:LVY983122 MFU2:MFU82 MFU65541:MFU65618 MFU131077:MFU131154 MFU196613:MFU196690 MFU262149:MFU262226 MFU327685:MFU327762 MFU393221:MFU393298 MFU458757:MFU458834 MFU524293:MFU524370 MFU589829:MFU589906 MFU655365:MFU655442 MFU720901:MFU720978 MFU786437:MFU786514 MFU851973:MFU852050 MFU917509:MFU917586 MFU983045:MFU983122 MPQ2:MPQ82 MPQ65541:MPQ65618 MPQ131077:MPQ131154 MPQ196613:MPQ196690 MPQ262149:MPQ262226 MPQ327685:MPQ327762 MPQ393221:MPQ393298 MPQ458757:MPQ458834 MPQ524293:MPQ524370 MPQ589829:MPQ589906 MPQ655365:MPQ655442 MPQ720901:MPQ720978 MPQ786437:MPQ786514 MPQ851973:MPQ852050 MPQ917509:MPQ917586 MPQ983045:MPQ983122 MZM2:MZM82 MZM65541:MZM65618 MZM131077:MZM131154 MZM196613:MZM196690 MZM262149:MZM262226 MZM327685:MZM327762 MZM393221:MZM393298 MZM458757:MZM458834 MZM524293:MZM524370 MZM589829:MZM589906 MZM655365:MZM655442 MZM720901:MZM720978 MZM786437:MZM786514 MZM851973:MZM852050 MZM917509:MZM917586 MZM983045:MZM983122 NJI2:NJI82 NJI65541:NJI65618 NJI131077:NJI131154 NJI196613:NJI196690 NJI262149:NJI262226 NJI327685:NJI327762 NJI393221:NJI393298 NJI458757:NJI458834 NJI524293:NJI524370 NJI589829:NJI589906 NJI655365:NJI655442 NJI720901:NJI720978 NJI786437:NJI786514 NJI851973:NJI852050 NJI917509:NJI917586 NJI983045:NJI983122 NTE2:NTE82 NTE65541:NTE65618 NTE131077:NTE131154 NTE196613:NTE196690 NTE262149:NTE262226 NTE327685:NTE327762 NTE393221:NTE393298 NTE458757:NTE458834 NTE524293:NTE524370 NTE589829:NTE589906 NTE655365:NTE655442 NTE720901:NTE720978 NTE786437:NTE786514 NTE851973:NTE852050 NTE917509:NTE917586 NTE983045:NTE983122 ODA2:ODA82 ODA65541:ODA65618 ODA131077:ODA131154 ODA196613:ODA196690 ODA262149:ODA262226 ODA327685:ODA327762 ODA393221:ODA393298 ODA458757:ODA458834 ODA524293:ODA524370 ODA589829:ODA589906 ODA655365:ODA655442 ODA720901:ODA720978 ODA786437:ODA786514 ODA851973:ODA852050 ODA917509:ODA917586 ODA983045:ODA983122 OMW2:OMW82 OMW65541:OMW65618 OMW131077:OMW131154 OMW196613:OMW196690 OMW262149:OMW262226 OMW327685:OMW327762 OMW393221:OMW393298 OMW458757:OMW458834 OMW524293:OMW524370 OMW589829:OMW589906 OMW655365:OMW655442 OMW720901:OMW720978 OMW786437:OMW786514 OMW851973:OMW852050 OMW917509:OMW917586 OMW983045:OMW983122 OWS2:OWS82 OWS65541:OWS65618 OWS131077:OWS131154 OWS196613:OWS196690 OWS262149:OWS262226 OWS327685:OWS327762 OWS393221:OWS393298 OWS458757:OWS458834 OWS524293:OWS524370 OWS589829:OWS589906 OWS655365:OWS655442 OWS720901:OWS720978 OWS786437:OWS786514 OWS851973:OWS852050 OWS917509:OWS917586 OWS983045:OWS983122 PGO2:PGO82 PGO65541:PGO65618 PGO131077:PGO131154 PGO196613:PGO196690 PGO262149:PGO262226 PGO327685:PGO327762 PGO393221:PGO393298 PGO458757:PGO458834 PGO524293:PGO524370 PGO589829:PGO589906 PGO655365:PGO655442 PGO720901:PGO720978 PGO786437:PGO786514 PGO851973:PGO852050 PGO917509:PGO917586 PGO983045:PGO983122 PQK2:PQK82 PQK65541:PQK65618 PQK131077:PQK131154 PQK196613:PQK196690 PQK262149:PQK262226 PQK327685:PQK327762 PQK393221:PQK393298 PQK458757:PQK458834 PQK524293:PQK524370 PQK589829:PQK589906 PQK655365:PQK655442 PQK720901:PQK720978 PQK786437:PQK786514 PQK851973:PQK852050 PQK917509:PQK917586 PQK983045:PQK983122 QAG2:QAG82 QAG65541:QAG65618 QAG131077:QAG131154 QAG196613:QAG196690 QAG262149:QAG262226 QAG327685:QAG327762 QAG393221:QAG393298 QAG458757:QAG458834 QAG524293:QAG524370 QAG589829:QAG589906 QAG655365:QAG655442 QAG720901:QAG720978 QAG786437:QAG786514 QAG851973:QAG852050 QAG917509:QAG917586 QAG983045:QAG983122 QKC2:QKC82 QKC65541:QKC65618 QKC131077:QKC131154 QKC196613:QKC196690 QKC262149:QKC262226 QKC327685:QKC327762 QKC393221:QKC393298 QKC458757:QKC458834 QKC524293:QKC524370 QKC589829:QKC589906 QKC655365:QKC655442 QKC720901:QKC720978 QKC786437:QKC786514 QKC851973:QKC852050 QKC917509:QKC917586 QKC983045:QKC983122 QTY2:QTY82 QTY65541:QTY65618 QTY131077:QTY131154 QTY196613:QTY196690 QTY262149:QTY262226 QTY327685:QTY327762 QTY393221:QTY393298 QTY458757:QTY458834 QTY524293:QTY524370 QTY589829:QTY589906 QTY655365:QTY655442 QTY720901:QTY720978 QTY786437:QTY786514 QTY851973:QTY852050 QTY917509:QTY917586 QTY983045:QTY983122 RDU2:RDU82 RDU65541:RDU65618 RDU131077:RDU131154 RDU196613:RDU196690 RDU262149:RDU262226 RDU327685:RDU327762 RDU393221:RDU393298 RDU458757:RDU458834 RDU524293:RDU524370 RDU589829:RDU589906 RDU655365:RDU655442 RDU720901:RDU720978 RDU786437:RDU786514 RDU851973:RDU852050 RDU917509:RDU917586 RDU983045:RDU983122 RNQ2:RNQ82 RNQ65541:RNQ65618 RNQ131077:RNQ131154 RNQ196613:RNQ196690 RNQ262149:RNQ262226 RNQ327685:RNQ327762 RNQ393221:RNQ393298 RNQ458757:RNQ458834 RNQ524293:RNQ524370 RNQ589829:RNQ589906 RNQ655365:RNQ655442 RNQ720901:RNQ720978 RNQ786437:RNQ786514 RNQ851973:RNQ852050 RNQ917509:RNQ917586 RNQ983045:RNQ983122 RXM2:RXM82 RXM65541:RXM65618 RXM131077:RXM131154 RXM196613:RXM196690 RXM262149:RXM262226 RXM327685:RXM327762 RXM393221:RXM393298 RXM458757:RXM458834 RXM524293:RXM524370 RXM589829:RXM589906 RXM655365:RXM655442 RXM720901:RXM720978 RXM786437:RXM786514 RXM851973:RXM852050 RXM917509:RXM917586 RXM983045:RXM983122 SHI2:SHI82 SHI65541:SHI65618 SHI131077:SHI131154 SHI196613:SHI196690 SHI262149:SHI262226 SHI327685:SHI327762 SHI393221:SHI393298 SHI458757:SHI458834 SHI524293:SHI524370 SHI589829:SHI589906 SHI655365:SHI655442 SHI720901:SHI720978 SHI786437:SHI786514 SHI851973:SHI852050 SHI917509:SHI917586 SHI983045:SHI983122 SRE2:SRE82 SRE65541:SRE65618 SRE131077:SRE131154 SRE196613:SRE196690 SRE262149:SRE262226 SRE327685:SRE327762 SRE393221:SRE393298 SRE458757:SRE458834 SRE524293:SRE524370 SRE589829:SRE589906 SRE655365:SRE655442 SRE720901:SRE720978 SRE786437:SRE786514 SRE851973:SRE852050 SRE917509:SRE917586 SRE983045:SRE983122 TBA2:TBA82 TBA65541:TBA65618 TBA131077:TBA131154 TBA196613:TBA196690 TBA262149:TBA262226 TBA327685:TBA327762 TBA393221:TBA393298 TBA458757:TBA458834 TBA524293:TBA524370 TBA589829:TBA589906 TBA655365:TBA655442 TBA720901:TBA720978 TBA786437:TBA786514 TBA851973:TBA852050 TBA917509:TBA917586 TBA983045:TBA983122 TKW2:TKW82 TKW65541:TKW65618 TKW131077:TKW131154 TKW196613:TKW196690 TKW262149:TKW262226 TKW327685:TKW327762 TKW393221:TKW393298 TKW458757:TKW458834 TKW524293:TKW524370 TKW589829:TKW589906 TKW655365:TKW655442 TKW720901:TKW720978 TKW786437:TKW786514 TKW851973:TKW852050 TKW917509:TKW917586 TKW983045:TKW983122 TUS2:TUS82 TUS65541:TUS65618 TUS131077:TUS131154 TUS196613:TUS196690 TUS262149:TUS262226 TUS327685:TUS327762 TUS393221:TUS393298 TUS458757:TUS458834 TUS524293:TUS524370 TUS589829:TUS589906 TUS655365:TUS655442 TUS720901:TUS720978 TUS786437:TUS786514 TUS851973:TUS852050 TUS917509:TUS917586 TUS983045:TUS983122 UEO2:UEO82 UEO65541:UEO65618 UEO131077:UEO131154 UEO196613:UEO196690 UEO262149:UEO262226 UEO327685:UEO327762 UEO393221:UEO393298 UEO458757:UEO458834 UEO524293:UEO524370 UEO589829:UEO589906 UEO655365:UEO655442 UEO720901:UEO720978 UEO786437:UEO786514 UEO851973:UEO852050 UEO917509:UEO917586 UEO983045:UEO983122 UOK2:UOK82 UOK65541:UOK65618 UOK131077:UOK131154 UOK196613:UOK196690 UOK262149:UOK262226 UOK327685:UOK327762 UOK393221:UOK393298 UOK458757:UOK458834 UOK524293:UOK524370 UOK589829:UOK589906 UOK655365:UOK655442 UOK720901:UOK720978 UOK786437:UOK786514 UOK851973:UOK852050 UOK917509:UOK917586 UOK983045:UOK983122 UYG2:UYG82 UYG65541:UYG65618 UYG131077:UYG131154 UYG196613:UYG196690 UYG262149:UYG262226 UYG327685:UYG327762 UYG393221:UYG393298 UYG458757:UYG458834 UYG524293:UYG524370 UYG589829:UYG589906 UYG655365:UYG655442 UYG720901:UYG720978 UYG786437:UYG786514 UYG851973:UYG852050 UYG917509:UYG917586 UYG983045:UYG983122 VIC2:VIC82 VIC65541:VIC65618 VIC131077:VIC131154 VIC196613:VIC196690 VIC262149:VIC262226 VIC327685:VIC327762 VIC393221:VIC393298 VIC458757:VIC458834 VIC524293:VIC524370 VIC589829:VIC589906 VIC655365:VIC655442 VIC720901:VIC720978 VIC786437:VIC786514 VIC851973:VIC852050 VIC917509:VIC917586 VIC983045:VIC983122 VRY2:VRY82 VRY65541:VRY65618 VRY131077:VRY131154 VRY196613:VRY196690 VRY262149:VRY262226 VRY327685:VRY327762 VRY393221:VRY393298 VRY458757:VRY458834 VRY524293:VRY524370 VRY589829:VRY589906 VRY655365:VRY655442 VRY720901:VRY720978 VRY786437:VRY786514 VRY851973:VRY852050 VRY917509:VRY917586 VRY983045:VRY983122 WBU2:WBU82 WBU65541:WBU65618 WBU131077:WBU131154 WBU196613:WBU196690 WBU262149:WBU262226 WBU327685:WBU327762 WBU393221:WBU393298 WBU458757:WBU458834 WBU524293:WBU524370 WBU589829:WBU589906 WBU655365:WBU655442 WBU720901:WBU720978 WBU786437:WBU786514 WBU851973:WBU852050 WBU917509:WBU917586 WBU983045:WBU983122 WLQ2:WLQ82 WLQ65541:WLQ65618 WLQ131077:WLQ131154 WLQ196613:WLQ196690 WLQ262149:WLQ262226 WLQ327685:WLQ327762 WLQ393221:WLQ393298 WLQ458757:WLQ458834 WLQ524293:WLQ524370 WLQ589829:WLQ589906 WLQ655365:WLQ655442 WLQ720901:WLQ720978 WLQ786437:WLQ786514 WLQ851973:WLQ852050 WLQ917509:WLQ917586 WLQ983045:WLQ983122 WVM2:WVM82 WVM65541:WVM65618 WVM131077:WVM131154 WVM196613:WVM196690 WVM262149:WVM262226 WVM327685:WVM327762 WVM393221:WVM393298 WVM458757:WVM458834 WVM524293:WVM524370 WVM589829:WVM589906 WVM655365:WVM655442 WVM720901:WVM720978 WVM786437:WVM786514 WVM851973:WVM852050 WVM917509:WVM917586 WVM983045:WVM983122" xr:uid="{438C0114-22AD-4523-9355-547E7AF70D8F}">
      <formula1>$AG$2:$AG$11</formula1>
    </dataValidation>
    <dataValidation type="list" allowBlank="1" showInputMessage="1" showErrorMessage="1" sqref="A2:A503 A65541:A65618 A131077:A131154 A196613:A196690 A262149:A262226 A327685:A327762 A393221:A393298 A458757:A458834 A524293:A524370 A589829:A589906 A655365:A655442 A720901:A720978 A786437:A786514 A851973:A852050 A917509:A917586 A983045:A983122 IW2:IW82 IW65541:IW65618 IW131077:IW131154 IW196613:IW196690 IW262149:IW262226 IW327685:IW327762 IW393221:IW393298 IW458757:IW458834 IW524293:IW524370 IW589829:IW589906 IW655365:IW655442 IW720901:IW720978 IW786437:IW786514 IW851973:IW852050 IW917509:IW917586 IW983045:IW983122 SS2:SS82 SS65541:SS65618 SS131077:SS131154 SS196613:SS196690 SS262149:SS262226 SS327685:SS327762 SS393221:SS393298 SS458757:SS458834 SS524293:SS524370 SS589829:SS589906 SS655365:SS655442 SS720901:SS720978 SS786437:SS786514 SS851973:SS852050 SS917509:SS917586 SS983045:SS983122 ACO2:ACO82 ACO65541:ACO65618 ACO131077:ACO131154 ACO196613:ACO196690 ACO262149:ACO262226 ACO327685:ACO327762 ACO393221:ACO393298 ACO458757:ACO458834 ACO524293:ACO524370 ACO589829:ACO589906 ACO655365:ACO655442 ACO720901:ACO720978 ACO786437:ACO786514 ACO851973:ACO852050 ACO917509:ACO917586 ACO983045:ACO983122 AMK2:AMK82 AMK65541:AMK65618 AMK131077:AMK131154 AMK196613:AMK196690 AMK262149:AMK262226 AMK327685:AMK327762 AMK393221:AMK393298 AMK458757:AMK458834 AMK524293:AMK524370 AMK589829:AMK589906 AMK655365:AMK655442 AMK720901:AMK720978 AMK786437:AMK786514 AMK851973:AMK852050 AMK917509:AMK917586 AMK983045:AMK983122 AWG2:AWG82 AWG65541:AWG65618 AWG131077:AWG131154 AWG196613:AWG196690 AWG262149:AWG262226 AWG327685:AWG327762 AWG393221:AWG393298 AWG458757:AWG458834 AWG524293:AWG524370 AWG589829:AWG589906 AWG655365:AWG655442 AWG720901:AWG720978 AWG786437:AWG786514 AWG851973:AWG852050 AWG917509:AWG917586 AWG983045:AWG983122 BGC2:BGC82 BGC65541:BGC65618 BGC131077:BGC131154 BGC196613:BGC196690 BGC262149:BGC262226 BGC327685:BGC327762 BGC393221:BGC393298 BGC458757:BGC458834 BGC524293:BGC524370 BGC589829:BGC589906 BGC655365:BGC655442 BGC720901:BGC720978 BGC786437:BGC786514 BGC851973:BGC852050 BGC917509:BGC917586 BGC983045:BGC983122 BPY2:BPY82 BPY65541:BPY65618 BPY131077:BPY131154 BPY196613:BPY196690 BPY262149:BPY262226 BPY327685:BPY327762 BPY393221:BPY393298 BPY458757:BPY458834 BPY524293:BPY524370 BPY589829:BPY589906 BPY655365:BPY655442 BPY720901:BPY720978 BPY786437:BPY786514 BPY851973:BPY852050 BPY917509:BPY917586 BPY983045:BPY983122 BZU2:BZU82 BZU65541:BZU65618 BZU131077:BZU131154 BZU196613:BZU196690 BZU262149:BZU262226 BZU327685:BZU327762 BZU393221:BZU393298 BZU458757:BZU458834 BZU524293:BZU524370 BZU589829:BZU589906 BZU655365:BZU655442 BZU720901:BZU720978 BZU786437:BZU786514 BZU851973:BZU852050 BZU917509:BZU917586 BZU983045:BZU983122 CJQ2:CJQ82 CJQ65541:CJQ65618 CJQ131077:CJQ131154 CJQ196613:CJQ196690 CJQ262149:CJQ262226 CJQ327685:CJQ327762 CJQ393221:CJQ393298 CJQ458757:CJQ458834 CJQ524293:CJQ524370 CJQ589829:CJQ589906 CJQ655365:CJQ655442 CJQ720901:CJQ720978 CJQ786437:CJQ786514 CJQ851973:CJQ852050 CJQ917509:CJQ917586 CJQ983045:CJQ983122 CTM2:CTM82 CTM65541:CTM65618 CTM131077:CTM131154 CTM196613:CTM196690 CTM262149:CTM262226 CTM327685:CTM327762 CTM393221:CTM393298 CTM458757:CTM458834 CTM524293:CTM524370 CTM589829:CTM589906 CTM655365:CTM655442 CTM720901:CTM720978 CTM786437:CTM786514 CTM851973:CTM852050 CTM917509:CTM917586 CTM983045:CTM983122 DDI2:DDI82 DDI65541:DDI65618 DDI131077:DDI131154 DDI196613:DDI196690 DDI262149:DDI262226 DDI327685:DDI327762 DDI393221:DDI393298 DDI458757:DDI458834 DDI524293:DDI524370 DDI589829:DDI589906 DDI655365:DDI655442 DDI720901:DDI720978 DDI786437:DDI786514 DDI851973:DDI852050 DDI917509:DDI917586 DDI983045:DDI983122 DNE2:DNE82 DNE65541:DNE65618 DNE131077:DNE131154 DNE196613:DNE196690 DNE262149:DNE262226 DNE327685:DNE327762 DNE393221:DNE393298 DNE458757:DNE458834 DNE524293:DNE524370 DNE589829:DNE589906 DNE655365:DNE655442 DNE720901:DNE720978 DNE786437:DNE786514 DNE851973:DNE852050 DNE917509:DNE917586 DNE983045:DNE983122 DXA2:DXA82 DXA65541:DXA65618 DXA131077:DXA131154 DXA196613:DXA196690 DXA262149:DXA262226 DXA327685:DXA327762 DXA393221:DXA393298 DXA458757:DXA458834 DXA524293:DXA524370 DXA589829:DXA589906 DXA655365:DXA655442 DXA720901:DXA720978 DXA786437:DXA786514 DXA851973:DXA852050 DXA917509:DXA917586 DXA983045:DXA983122 EGW2:EGW82 EGW65541:EGW65618 EGW131077:EGW131154 EGW196613:EGW196690 EGW262149:EGW262226 EGW327685:EGW327762 EGW393221:EGW393298 EGW458757:EGW458834 EGW524293:EGW524370 EGW589829:EGW589906 EGW655365:EGW655442 EGW720901:EGW720978 EGW786437:EGW786514 EGW851973:EGW852050 EGW917509:EGW917586 EGW983045:EGW983122 EQS2:EQS82 EQS65541:EQS65618 EQS131077:EQS131154 EQS196613:EQS196690 EQS262149:EQS262226 EQS327685:EQS327762 EQS393221:EQS393298 EQS458757:EQS458834 EQS524293:EQS524370 EQS589829:EQS589906 EQS655365:EQS655442 EQS720901:EQS720978 EQS786437:EQS786514 EQS851973:EQS852050 EQS917509:EQS917586 EQS983045:EQS983122 FAO2:FAO82 FAO65541:FAO65618 FAO131077:FAO131154 FAO196613:FAO196690 FAO262149:FAO262226 FAO327685:FAO327762 FAO393221:FAO393298 FAO458757:FAO458834 FAO524293:FAO524370 FAO589829:FAO589906 FAO655365:FAO655442 FAO720901:FAO720978 FAO786437:FAO786514 FAO851973:FAO852050 FAO917509:FAO917586 FAO983045:FAO983122 FKK2:FKK82 FKK65541:FKK65618 FKK131077:FKK131154 FKK196613:FKK196690 FKK262149:FKK262226 FKK327685:FKK327762 FKK393221:FKK393298 FKK458757:FKK458834 FKK524293:FKK524370 FKK589829:FKK589906 FKK655365:FKK655442 FKK720901:FKK720978 FKK786437:FKK786514 FKK851973:FKK852050 FKK917509:FKK917586 FKK983045:FKK983122 FUG2:FUG82 FUG65541:FUG65618 FUG131077:FUG131154 FUG196613:FUG196690 FUG262149:FUG262226 FUG327685:FUG327762 FUG393221:FUG393298 FUG458757:FUG458834 FUG524293:FUG524370 FUG589829:FUG589906 FUG655365:FUG655442 FUG720901:FUG720978 FUG786437:FUG786514 FUG851973:FUG852050 FUG917509:FUG917586 FUG983045:FUG983122 GEC2:GEC82 GEC65541:GEC65618 GEC131077:GEC131154 GEC196613:GEC196690 GEC262149:GEC262226 GEC327685:GEC327762 GEC393221:GEC393298 GEC458757:GEC458834 GEC524293:GEC524370 GEC589829:GEC589906 GEC655365:GEC655442 GEC720901:GEC720978 GEC786437:GEC786514 GEC851973:GEC852050 GEC917509:GEC917586 GEC983045:GEC983122 GNY2:GNY82 GNY65541:GNY65618 GNY131077:GNY131154 GNY196613:GNY196690 GNY262149:GNY262226 GNY327685:GNY327762 GNY393221:GNY393298 GNY458757:GNY458834 GNY524293:GNY524370 GNY589829:GNY589906 GNY655365:GNY655442 GNY720901:GNY720978 GNY786437:GNY786514 GNY851973:GNY852050 GNY917509:GNY917586 GNY983045:GNY983122 GXU2:GXU82 GXU65541:GXU65618 GXU131077:GXU131154 GXU196613:GXU196690 GXU262149:GXU262226 GXU327685:GXU327762 GXU393221:GXU393298 GXU458757:GXU458834 GXU524293:GXU524370 GXU589829:GXU589906 GXU655365:GXU655442 GXU720901:GXU720978 GXU786437:GXU786514 GXU851973:GXU852050 GXU917509:GXU917586 GXU983045:GXU983122 HHQ2:HHQ82 HHQ65541:HHQ65618 HHQ131077:HHQ131154 HHQ196613:HHQ196690 HHQ262149:HHQ262226 HHQ327685:HHQ327762 HHQ393221:HHQ393298 HHQ458757:HHQ458834 HHQ524293:HHQ524370 HHQ589829:HHQ589906 HHQ655365:HHQ655442 HHQ720901:HHQ720978 HHQ786437:HHQ786514 HHQ851973:HHQ852050 HHQ917509:HHQ917586 HHQ983045:HHQ983122 HRM2:HRM82 HRM65541:HRM65618 HRM131077:HRM131154 HRM196613:HRM196690 HRM262149:HRM262226 HRM327685:HRM327762 HRM393221:HRM393298 HRM458757:HRM458834 HRM524293:HRM524370 HRM589829:HRM589906 HRM655365:HRM655442 HRM720901:HRM720978 HRM786437:HRM786514 HRM851973:HRM852050 HRM917509:HRM917586 HRM983045:HRM983122 IBI2:IBI82 IBI65541:IBI65618 IBI131077:IBI131154 IBI196613:IBI196690 IBI262149:IBI262226 IBI327685:IBI327762 IBI393221:IBI393298 IBI458757:IBI458834 IBI524293:IBI524370 IBI589829:IBI589906 IBI655365:IBI655442 IBI720901:IBI720978 IBI786437:IBI786514 IBI851973:IBI852050 IBI917509:IBI917586 IBI983045:IBI983122 ILE2:ILE82 ILE65541:ILE65618 ILE131077:ILE131154 ILE196613:ILE196690 ILE262149:ILE262226 ILE327685:ILE327762 ILE393221:ILE393298 ILE458757:ILE458834 ILE524293:ILE524370 ILE589829:ILE589906 ILE655365:ILE655442 ILE720901:ILE720978 ILE786437:ILE786514 ILE851973:ILE852050 ILE917509:ILE917586 ILE983045:ILE983122 IVA2:IVA82 IVA65541:IVA65618 IVA131077:IVA131154 IVA196613:IVA196690 IVA262149:IVA262226 IVA327685:IVA327762 IVA393221:IVA393298 IVA458757:IVA458834 IVA524293:IVA524370 IVA589829:IVA589906 IVA655365:IVA655442 IVA720901:IVA720978 IVA786437:IVA786514 IVA851973:IVA852050 IVA917509:IVA917586 IVA983045:IVA983122 JEW2:JEW82 JEW65541:JEW65618 JEW131077:JEW131154 JEW196613:JEW196690 JEW262149:JEW262226 JEW327685:JEW327762 JEW393221:JEW393298 JEW458757:JEW458834 JEW524293:JEW524370 JEW589829:JEW589906 JEW655365:JEW655442 JEW720901:JEW720978 JEW786437:JEW786514 JEW851973:JEW852050 JEW917509:JEW917586 JEW983045:JEW983122 JOS2:JOS82 JOS65541:JOS65618 JOS131077:JOS131154 JOS196613:JOS196690 JOS262149:JOS262226 JOS327685:JOS327762 JOS393221:JOS393298 JOS458757:JOS458834 JOS524293:JOS524370 JOS589829:JOS589906 JOS655365:JOS655442 JOS720901:JOS720978 JOS786437:JOS786514 JOS851973:JOS852050 JOS917509:JOS917586 JOS983045:JOS983122 JYO2:JYO82 JYO65541:JYO65618 JYO131077:JYO131154 JYO196613:JYO196690 JYO262149:JYO262226 JYO327685:JYO327762 JYO393221:JYO393298 JYO458757:JYO458834 JYO524293:JYO524370 JYO589829:JYO589906 JYO655365:JYO655442 JYO720901:JYO720978 JYO786437:JYO786514 JYO851973:JYO852050 JYO917509:JYO917586 JYO983045:JYO983122 KIK2:KIK82 KIK65541:KIK65618 KIK131077:KIK131154 KIK196613:KIK196690 KIK262149:KIK262226 KIK327685:KIK327762 KIK393221:KIK393298 KIK458757:KIK458834 KIK524293:KIK524370 KIK589829:KIK589906 KIK655365:KIK655442 KIK720901:KIK720978 KIK786437:KIK786514 KIK851973:KIK852050 KIK917509:KIK917586 KIK983045:KIK983122 KSG2:KSG82 KSG65541:KSG65618 KSG131077:KSG131154 KSG196613:KSG196690 KSG262149:KSG262226 KSG327685:KSG327762 KSG393221:KSG393298 KSG458757:KSG458834 KSG524293:KSG524370 KSG589829:KSG589906 KSG655365:KSG655442 KSG720901:KSG720978 KSG786437:KSG786514 KSG851973:KSG852050 KSG917509:KSG917586 KSG983045:KSG983122 LCC2:LCC82 LCC65541:LCC65618 LCC131077:LCC131154 LCC196613:LCC196690 LCC262149:LCC262226 LCC327685:LCC327762 LCC393221:LCC393298 LCC458757:LCC458834 LCC524293:LCC524370 LCC589829:LCC589906 LCC655365:LCC655442 LCC720901:LCC720978 LCC786437:LCC786514 LCC851973:LCC852050 LCC917509:LCC917586 LCC983045:LCC983122 LLY2:LLY82 LLY65541:LLY65618 LLY131077:LLY131154 LLY196613:LLY196690 LLY262149:LLY262226 LLY327685:LLY327762 LLY393221:LLY393298 LLY458757:LLY458834 LLY524293:LLY524370 LLY589829:LLY589906 LLY655365:LLY655442 LLY720901:LLY720978 LLY786437:LLY786514 LLY851973:LLY852050 LLY917509:LLY917586 LLY983045:LLY983122 LVU2:LVU82 LVU65541:LVU65618 LVU131077:LVU131154 LVU196613:LVU196690 LVU262149:LVU262226 LVU327685:LVU327762 LVU393221:LVU393298 LVU458757:LVU458834 LVU524293:LVU524370 LVU589829:LVU589906 LVU655365:LVU655442 LVU720901:LVU720978 LVU786437:LVU786514 LVU851973:LVU852050 LVU917509:LVU917586 LVU983045:LVU983122 MFQ2:MFQ82 MFQ65541:MFQ65618 MFQ131077:MFQ131154 MFQ196613:MFQ196690 MFQ262149:MFQ262226 MFQ327685:MFQ327762 MFQ393221:MFQ393298 MFQ458757:MFQ458834 MFQ524293:MFQ524370 MFQ589829:MFQ589906 MFQ655365:MFQ655442 MFQ720901:MFQ720978 MFQ786437:MFQ786514 MFQ851973:MFQ852050 MFQ917509:MFQ917586 MFQ983045:MFQ983122 MPM2:MPM82 MPM65541:MPM65618 MPM131077:MPM131154 MPM196613:MPM196690 MPM262149:MPM262226 MPM327685:MPM327762 MPM393221:MPM393298 MPM458757:MPM458834 MPM524293:MPM524370 MPM589829:MPM589906 MPM655365:MPM655442 MPM720901:MPM720978 MPM786437:MPM786514 MPM851973:MPM852050 MPM917509:MPM917586 MPM983045:MPM983122 MZI2:MZI82 MZI65541:MZI65618 MZI131077:MZI131154 MZI196613:MZI196690 MZI262149:MZI262226 MZI327685:MZI327762 MZI393221:MZI393298 MZI458757:MZI458834 MZI524293:MZI524370 MZI589829:MZI589906 MZI655365:MZI655442 MZI720901:MZI720978 MZI786437:MZI786514 MZI851973:MZI852050 MZI917509:MZI917586 MZI983045:MZI983122 NJE2:NJE82 NJE65541:NJE65618 NJE131077:NJE131154 NJE196613:NJE196690 NJE262149:NJE262226 NJE327685:NJE327762 NJE393221:NJE393298 NJE458757:NJE458834 NJE524293:NJE524370 NJE589829:NJE589906 NJE655365:NJE655442 NJE720901:NJE720978 NJE786437:NJE786514 NJE851973:NJE852050 NJE917509:NJE917586 NJE983045:NJE983122 NTA2:NTA82 NTA65541:NTA65618 NTA131077:NTA131154 NTA196613:NTA196690 NTA262149:NTA262226 NTA327685:NTA327762 NTA393221:NTA393298 NTA458757:NTA458834 NTA524293:NTA524370 NTA589829:NTA589906 NTA655365:NTA655442 NTA720901:NTA720978 NTA786437:NTA786514 NTA851973:NTA852050 NTA917509:NTA917586 NTA983045:NTA983122 OCW2:OCW82 OCW65541:OCW65618 OCW131077:OCW131154 OCW196613:OCW196690 OCW262149:OCW262226 OCW327685:OCW327762 OCW393221:OCW393298 OCW458757:OCW458834 OCW524293:OCW524370 OCW589829:OCW589906 OCW655365:OCW655442 OCW720901:OCW720978 OCW786437:OCW786514 OCW851973:OCW852050 OCW917509:OCW917586 OCW983045:OCW983122 OMS2:OMS82 OMS65541:OMS65618 OMS131077:OMS131154 OMS196613:OMS196690 OMS262149:OMS262226 OMS327685:OMS327762 OMS393221:OMS393298 OMS458757:OMS458834 OMS524293:OMS524370 OMS589829:OMS589906 OMS655365:OMS655442 OMS720901:OMS720978 OMS786437:OMS786514 OMS851973:OMS852050 OMS917509:OMS917586 OMS983045:OMS983122 OWO2:OWO82 OWO65541:OWO65618 OWO131077:OWO131154 OWO196613:OWO196690 OWO262149:OWO262226 OWO327685:OWO327762 OWO393221:OWO393298 OWO458757:OWO458834 OWO524293:OWO524370 OWO589829:OWO589906 OWO655365:OWO655442 OWO720901:OWO720978 OWO786437:OWO786514 OWO851973:OWO852050 OWO917509:OWO917586 OWO983045:OWO983122 PGK2:PGK82 PGK65541:PGK65618 PGK131077:PGK131154 PGK196613:PGK196690 PGK262149:PGK262226 PGK327685:PGK327762 PGK393221:PGK393298 PGK458757:PGK458834 PGK524293:PGK524370 PGK589829:PGK589906 PGK655365:PGK655442 PGK720901:PGK720978 PGK786437:PGK786514 PGK851973:PGK852050 PGK917509:PGK917586 PGK983045:PGK983122 PQG2:PQG82 PQG65541:PQG65618 PQG131077:PQG131154 PQG196613:PQG196690 PQG262149:PQG262226 PQG327685:PQG327762 PQG393221:PQG393298 PQG458757:PQG458834 PQG524293:PQG524370 PQG589829:PQG589906 PQG655365:PQG655442 PQG720901:PQG720978 PQG786437:PQG786514 PQG851973:PQG852050 PQG917509:PQG917586 PQG983045:PQG983122 QAC2:QAC82 QAC65541:QAC65618 QAC131077:QAC131154 QAC196613:QAC196690 QAC262149:QAC262226 QAC327685:QAC327762 QAC393221:QAC393298 QAC458757:QAC458834 QAC524293:QAC524370 QAC589829:QAC589906 QAC655365:QAC655442 QAC720901:QAC720978 QAC786437:QAC786514 QAC851973:QAC852050 QAC917509:QAC917586 QAC983045:QAC983122 QJY2:QJY82 QJY65541:QJY65618 QJY131077:QJY131154 QJY196613:QJY196690 QJY262149:QJY262226 QJY327685:QJY327762 QJY393221:QJY393298 QJY458757:QJY458834 QJY524293:QJY524370 QJY589829:QJY589906 QJY655365:QJY655442 QJY720901:QJY720978 QJY786437:QJY786514 QJY851973:QJY852050 QJY917509:QJY917586 QJY983045:QJY983122 QTU2:QTU82 QTU65541:QTU65618 QTU131077:QTU131154 QTU196613:QTU196690 QTU262149:QTU262226 QTU327685:QTU327762 QTU393221:QTU393298 QTU458757:QTU458834 QTU524293:QTU524370 QTU589829:QTU589906 QTU655365:QTU655442 QTU720901:QTU720978 QTU786437:QTU786514 QTU851973:QTU852050 QTU917509:QTU917586 QTU983045:QTU983122 RDQ2:RDQ82 RDQ65541:RDQ65618 RDQ131077:RDQ131154 RDQ196613:RDQ196690 RDQ262149:RDQ262226 RDQ327685:RDQ327762 RDQ393221:RDQ393298 RDQ458757:RDQ458834 RDQ524293:RDQ524370 RDQ589829:RDQ589906 RDQ655365:RDQ655442 RDQ720901:RDQ720978 RDQ786437:RDQ786514 RDQ851973:RDQ852050 RDQ917509:RDQ917586 RDQ983045:RDQ983122 RNM2:RNM82 RNM65541:RNM65618 RNM131077:RNM131154 RNM196613:RNM196690 RNM262149:RNM262226 RNM327685:RNM327762 RNM393221:RNM393298 RNM458757:RNM458834 RNM524293:RNM524370 RNM589829:RNM589906 RNM655365:RNM655442 RNM720901:RNM720978 RNM786437:RNM786514 RNM851973:RNM852050 RNM917509:RNM917586 RNM983045:RNM983122 RXI2:RXI82 RXI65541:RXI65618 RXI131077:RXI131154 RXI196613:RXI196690 RXI262149:RXI262226 RXI327685:RXI327762 RXI393221:RXI393298 RXI458757:RXI458834 RXI524293:RXI524370 RXI589829:RXI589906 RXI655365:RXI655442 RXI720901:RXI720978 RXI786437:RXI786514 RXI851973:RXI852050 RXI917509:RXI917586 RXI983045:RXI983122 SHE2:SHE82 SHE65541:SHE65618 SHE131077:SHE131154 SHE196613:SHE196690 SHE262149:SHE262226 SHE327685:SHE327762 SHE393221:SHE393298 SHE458757:SHE458834 SHE524293:SHE524370 SHE589829:SHE589906 SHE655365:SHE655442 SHE720901:SHE720978 SHE786437:SHE786514 SHE851973:SHE852050 SHE917509:SHE917586 SHE983045:SHE983122 SRA2:SRA82 SRA65541:SRA65618 SRA131077:SRA131154 SRA196613:SRA196690 SRA262149:SRA262226 SRA327685:SRA327762 SRA393221:SRA393298 SRA458757:SRA458834 SRA524293:SRA524370 SRA589829:SRA589906 SRA655365:SRA655442 SRA720901:SRA720978 SRA786437:SRA786514 SRA851973:SRA852050 SRA917509:SRA917586 SRA983045:SRA983122 TAW2:TAW82 TAW65541:TAW65618 TAW131077:TAW131154 TAW196613:TAW196690 TAW262149:TAW262226 TAW327685:TAW327762 TAW393221:TAW393298 TAW458757:TAW458834 TAW524293:TAW524370 TAW589829:TAW589906 TAW655365:TAW655442 TAW720901:TAW720978 TAW786437:TAW786514 TAW851973:TAW852050 TAW917509:TAW917586 TAW983045:TAW983122 TKS2:TKS82 TKS65541:TKS65618 TKS131077:TKS131154 TKS196613:TKS196690 TKS262149:TKS262226 TKS327685:TKS327762 TKS393221:TKS393298 TKS458757:TKS458834 TKS524293:TKS524370 TKS589829:TKS589906 TKS655365:TKS655442 TKS720901:TKS720978 TKS786437:TKS786514 TKS851973:TKS852050 TKS917509:TKS917586 TKS983045:TKS983122 TUO2:TUO82 TUO65541:TUO65618 TUO131077:TUO131154 TUO196613:TUO196690 TUO262149:TUO262226 TUO327685:TUO327762 TUO393221:TUO393298 TUO458757:TUO458834 TUO524293:TUO524370 TUO589829:TUO589906 TUO655365:TUO655442 TUO720901:TUO720978 TUO786437:TUO786514 TUO851973:TUO852050 TUO917509:TUO917586 TUO983045:TUO983122 UEK2:UEK82 UEK65541:UEK65618 UEK131077:UEK131154 UEK196613:UEK196690 UEK262149:UEK262226 UEK327685:UEK327762 UEK393221:UEK393298 UEK458757:UEK458834 UEK524293:UEK524370 UEK589829:UEK589906 UEK655365:UEK655442 UEK720901:UEK720978 UEK786437:UEK786514 UEK851973:UEK852050 UEK917509:UEK917586 UEK983045:UEK983122 UOG2:UOG82 UOG65541:UOG65618 UOG131077:UOG131154 UOG196613:UOG196690 UOG262149:UOG262226 UOG327685:UOG327762 UOG393221:UOG393298 UOG458757:UOG458834 UOG524293:UOG524370 UOG589829:UOG589906 UOG655365:UOG655442 UOG720901:UOG720978 UOG786437:UOG786514 UOG851973:UOG852050 UOG917509:UOG917586 UOG983045:UOG983122 UYC2:UYC82 UYC65541:UYC65618 UYC131077:UYC131154 UYC196613:UYC196690 UYC262149:UYC262226 UYC327685:UYC327762 UYC393221:UYC393298 UYC458757:UYC458834 UYC524293:UYC524370 UYC589829:UYC589906 UYC655365:UYC655442 UYC720901:UYC720978 UYC786437:UYC786514 UYC851973:UYC852050 UYC917509:UYC917586 UYC983045:UYC983122 VHY2:VHY82 VHY65541:VHY65618 VHY131077:VHY131154 VHY196613:VHY196690 VHY262149:VHY262226 VHY327685:VHY327762 VHY393221:VHY393298 VHY458757:VHY458834 VHY524293:VHY524370 VHY589829:VHY589906 VHY655365:VHY655442 VHY720901:VHY720978 VHY786437:VHY786514 VHY851973:VHY852050 VHY917509:VHY917586 VHY983045:VHY983122 VRU2:VRU82 VRU65541:VRU65618 VRU131077:VRU131154 VRU196613:VRU196690 VRU262149:VRU262226 VRU327685:VRU327762 VRU393221:VRU393298 VRU458757:VRU458834 VRU524293:VRU524370 VRU589829:VRU589906 VRU655365:VRU655442 VRU720901:VRU720978 VRU786437:VRU786514 VRU851973:VRU852050 VRU917509:VRU917586 VRU983045:VRU983122 WBQ2:WBQ82 WBQ65541:WBQ65618 WBQ131077:WBQ131154 WBQ196613:WBQ196690 WBQ262149:WBQ262226 WBQ327685:WBQ327762 WBQ393221:WBQ393298 WBQ458757:WBQ458834 WBQ524293:WBQ524370 WBQ589829:WBQ589906 WBQ655365:WBQ655442 WBQ720901:WBQ720978 WBQ786437:WBQ786514 WBQ851973:WBQ852050 WBQ917509:WBQ917586 WBQ983045:WBQ983122 WLM2:WLM82 WLM65541:WLM65618 WLM131077:WLM131154 WLM196613:WLM196690 WLM262149:WLM262226 WLM327685:WLM327762 WLM393221:WLM393298 WLM458757:WLM458834 WLM524293:WLM524370 WLM589829:WLM589906 WLM655365:WLM655442 WLM720901:WLM720978 WLM786437:WLM786514 WLM851973:WLM852050 WLM917509:WLM917586 WLM983045:WLM983122 WVI2:WVI82 WVI65541:WVI65618 WVI131077:WVI131154 WVI196613:WVI196690 WVI262149:WVI262226 WVI327685:WVI327762 WVI393221:WVI393298 WVI458757:WVI458834 WVI524293:WVI524370 WVI589829:WVI589906 WVI655365:WVI655442 WVI720901:WVI720978 WVI786437:WVI786514 WVI851973:WVI852050 WVI917509:WVI917586 WVI983045:WVI983122" xr:uid="{A8F51BBE-0C01-4A6C-BEFB-82A77500B392}">
      <formula1>$AE$2:$AE$19</formula1>
    </dataValidation>
    <dataValidation type="list" allowBlank="1" showInputMessage="1" showErrorMessage="1" sqref="H2:H1156" xr:uid="{D9FBDFD3-C429-46A8-A25C-30132022C16D}">
      <formula1>$AL$2:$AL$9</formula1>
    </dataValidation>
    <dataValidation type="list" allowBlank="1" showInputMessage="1" showErrorMessage="1" sqref="I2:I503 I65541:I65618 I131077:I131154 I196613:I196690 I262149:I262226 I327685:I327762 I393221:I393298 I458757:I458834 I524293:I524370 I589829:I589906 I655365:I655442 I720901:I720978 I786437:I786514 I851973:I852050 I917509:I917586 I983045:I983122 JE2:JE82 JE65541:JE65618 JE131077:JE131154 JE196613:JE196690 JE262149:JE262226 JE327685:JE327762 JE393221:JE393298 JE458757:JE458834 JE524293:JE524370 JE589829:JE589906 JE655365:JE655442 JE720901:JE720978 JE786437:JE786514 JE851973:JE852050 JE917509:JE917586 JE983045:JE983122 TA2:TA82 TA65541:TA65618 TA131077:TA131154 TA196613:TA196690 TA262149:TA262226 TA327685:TA327762 TA393221:TA393298 TA458757:TA458834 TA524293:TA524370 TA589829:TA589906 TA655365:TA655442 TA720901:TA720978 TA786437:TA786514 TA851973:TA852050 TA917509:TA917586 TA983045:TA983122 ACW2:ACW82 ACW65541:ACW65618 ACW131077:ACW131154 ACW196613:ACW196690 ACW262149:ACW262226 ACW327685:ACW327762 ACW393221:ACW393298 ACW458757:ACW458834 ACW524293:ACW524370 ACW589829:ACW589906 ACW655365:ACW655442 ACW720901:ACW720978 ACW786437:ACW786514 ACW851973:ACW852050 ACW917509:ACW917586 ACW983045:ACW983122 AMS2:AMS82 AMS65541:AMS65618 AMS131077:AMS131154 AMS196613:AMS196690 AMS262149:AMS262226 AMS327685:AMS327762 AMS393221:AMS393298 AMS458757:AMS458834 AMS524293:AMS524370 AMS589829:AMS589906 AMS655365:AMS655442 AMS720901:AMS720978 AMS786437:AMS786514 AMS851973:AMS852050 AMS917509:AMS917586 AMS983045:AMS983122 AWO2:AWO82 AWO65541:AWO65618 AWO131077:AWO131154 AWO196613:AWO196690 AWO262149:AWO262226 AWO327685:AWO327762 AWO393221:AWO393298 AWO458757:AWO458834 AWO524293:AWO524370 AWO589829:AWO589906 AWO655365:AWO655442 AWO720901:AWO720978 AWO786437:AWO786514 AWO851973:AWO852050 AWO917509:AWO917586 AWO983045:AWO983122 BGK2:BGK82 BGK65541:BGK65618 BGK131077:BGK131154 BGK196613:BGK196690 BGK262149:BGK262226 BGK327685:BGK327762 BGK393221:BGK393298 BGK458757:BGK458834 BGK524293:BGK524370 BGK589829:BGK589906 BGK655365:BGK655442 BGK720901:BGK720978 BGK786437:BGK786514 BGK851973:BGK852050 BGK917509:BGK917586 BGK983045:BGK983122 BQG2:BQG82 BQG65541:BQG65618 BQG131077:BQG131154 BQG196613:BQG196690 BQG262149:BQG262226 BQG327685:BQG327762 BQG393221:BQG393298 BQG458757:BQG458834 BQG524293:BQG524370 BQG589829:BQG589906 BQG655365:BQG655442 BQG720901:BQG720978 BQG786437:BQG786514 BQG851973:BQG852050 BQG917509:BQG917586 BQG983045:BQG983122 CAC2:CAC82 CAC65541:CAC65618 CAC131077:CAC131154 CAC196613:CAC196690 CAC262149:CAC262226 CAC327685:CAC327762 CAC393221:CAC393298 CAC458757:CAC458834 CAC524293:CAC524370 CAC589829:CAC589906 CAC655365:CAC655442 CAC720901:CAC720978 CAC786437:CAC786514 CAC851973:CAC852050 CAC917509:CAC917586 CAC983045:CAC983122 CJY2:CJY82 CJY65541:CJY65618 CJY131077:CJY131154 CJY196613:CJY196690 CJY262149:CJY262226 CJY327685:CJY327762 CJY393221:CJY393298 CJY458757:CJY458834 CJY524293:CJY524370 CJY589829:CJY589906 CJY655365:CJY655442 CJY720901:CJY720978 CJY786437:CJY786514 CJY851973:CJY852050 CJY917509:CJY917586 CJY983045:CJY983122 CTU2:CTU82 CTU65541:CTU65618 CTU131077:CTU131154 CTU196613:CTU196690 CTU262149:CTU262226 CTU327685:CTU327762 CTU393221:CTU393298 CTU458757:CTU458834 CTU524293:CTU524370 CTU589829:CTU589906 CTU655365:CTU655442 CTU720901:CTU720978 CTU786437:CTU786514 CTU851973:CTU852050 CTU917509:CTU917586 CTU983045:CTU983122 DDQ2:DDQ82 DDQ65541:DDQ65618 DDQ131077:DDQ131154 DDQ196613:DDQ196690 DDQ262149:DDQ262226 DDQ327685:DDQ327762 DDQ393221:DDQ393298 DDQ458757:DDQ458834 DDQ524293:DDQ524370 DDQ589829:DDQ589906 DDQ655365:DDQ655442 DDQ720901:DDQ720978 DDQ786437:DDQ786514 DDQ851973:DDQ852050 DDQ917509:DDQ917586 DDQ983045:DDQ983122 DNM2:DNM82 DNM65541:DNM65618 DNM131077:DNM131154 DNM196613:DNM196690 DNM262149:DNM262226 DNM327685:DNM327762 DNM393221:DNM393298 DNM458757:DNM458834 DNM524293:DNM524370 DNM589829:DNM589906 DNM655365:DNM655442 DNM720901:DNM720978 DNM786437:DNM786514 DNM851973:DNM852050 DNM917509:DNM917586 DNM983045:DNM983122 DXI2:DXI82 DXI65541:DXI65618 DXI131077:DXI131154 DXI196613:DXI196690 DXI262149:DXI262226 DXI327685:DXI327762 DXI393221:DXI393298 DXI458757:DXI458834 DXI524293:DXI524370 DXI589829:DXI589906 DXI655365:DXI655442 DXI720901:DXI720978 DXI786437:DXI786514 DXI851973:DXI852050 DXI917509:DXI917586 DXI983045:DXI983122 EHE2:EHE82 EHE65541:EHE65618 EHE131077:EHE131154 EHE196613:EHE196690 EHE262149:EHE262226 EHE327685:EHE327762 EHE393221:EHE393298 EHE458757:EHE458834 EHE524293:EHE524370 EHE589829:EHE589906 EHE655365:EHE655442 EHE720901:EHE720978 EHE786437:EHE786514 EHE851973:EHE852050 EHE917509:EHE917586 EHE983045:EHE983122 ERA2:ERA82 ERA65541:ERA65618 ERA131077:ERA131154 ERA196613:ERA196690 ERA262149:ERA262226 ERA327685:ERA327762 ERA393221:ERA393298 ERA458757:ERA458834 ERA524293:ERA524370 ERA589829:ERA589906 ERA655365:ERA655442 ERA720901:ERA720978 ERA786437:ERA786514 ERA851973:ERA852050 ERA917509:ERA917586 ERA983045:ERA983122 FAW2:FAW82 FAW65541:FAW65618 FAW131077:FAW131154 FAW196613:FAW196690 FAW262149:FAW262226 FAW327685:FAW327762 FAW393221:FAW393298 FAW458757:FAW458834 FAW524293:FAW524370 FAW589829:FAW589906 FAW655365:FAW655442 FAW720901:FAW720978 FAW786437:FAW786514 FAW851973:FAW852050 FAW917509:FAW917586 FAW983045:FAW983122 FKS2:FKS82 FKS65541:FKS65618 FKS131077:FKS131154 FKS196613:FKS196690 FKS262149:FKS262226 FKS327685:FKS327762 FKS393221:FKS393298 FKS458757:FKS458834 FKS524293:FKS524370 FKS589829:FKS589906 FKS655365:FKS655442 FKS720901:FKS720978 FKS786437:FKS786514 FKS851973:FKS852050 FKS917509:FKS917586 FKS983045:FKS983122 FUO2:FUO82 FUO65541:FUO65618 FUO131077:FUO131154 FUO196613:FUO196690 FUO262149:FUO262226 FUO327685:FUO327762 FUO393221:FUO393298 FUO458757:FUO458834 FUO524293:FUO524370 FUO589829:FUO589906 FUO655365:FUO655442 FUO720901:FUO720978 FUO786437:FUO786514 FUO851973:FUO852050 FUO917509:FUO917586 FUO983045:FUO983122 GEK2:GEK82 GEK65541:GEK65618 GEK131077:GEK131154 GEK196613:GEK196690 GEK262149:GEK262226 GEK327685:GEK327762 GEK393221:GEK393298 GEK458757:GEK458834 GEK524293:GEK524370 GEK589829:GEK589906 GEK655365:GEK655442 GEK720901:GEK720978 GEK786437:GEK786514 GEK851973:GEK852050 GEK917509:GEK917586 GEK983045:GEK983122 GOG2:GOG82 GOG65541:GOG65618 GOG131077:GOG131154 GOG196613:GOG196690 GOG262149:GOG262226 GOG327685:GOG327762 GOG393221:GOG393298 GOG458757:GOG458834 GOG524293:GOG524370 GOG589829:GOG589906 GOG655365:GOG655442 GOG720901:GOG720978 GOG786437:GOG786514 GOG851973:GOG852050 GOG917509:GOG917586 GOG983045:GOG983122 GYC2:GYC82 GYC65541:GYC65618 GYC131077:GYC131154 GYC196613:GYC196690 GYC262149:GYC262226 GYC327685:GYC327762 GYC393221:GYC393298 GYC458757:GYC458834 GYC524293:GYC524370 GYC589829:GYC589906 GYC655365:GYC655442 GYC720901:GYC720978 GYC786437:GYC786514 GYC851973:GYC852050 GYC917509:GYC917586 GYC983045:GYC983122 HHY2:HHY82 HHY65541:HHY65618 HHY131077:HHY131154 HHY196613:HHY196690 HHY262149:HHY262226 HHY327685:HHY327762 HHY393221:HHY393298 HHY458757:HHY458834 HHY524293:HHY524370 HHY589829:HHY589906 HHY655365:HHY655442 HHY720901:HHY720978 HHY786437:HHY786514 HHY851973:HHY852050 HHY917509:HHY917586 HHY983045:HHY983122 HRU2:HRU82 HRU65541:HRU65618 HRU131077:HRU131154 HRU196613:HRU196690 HRU262149:HRU262226 HRU327685:HRU327762 HRU393221:HRU393298 HRU458757:HRU458834 HRU524293:HRU524370 HRU589829:HRU589906 HRU655365:HRU655442 HRU720901:HRU720978 HRU786437:HRU786514 HRU851973:HRU852050 HRU917509:HRU917586 HRU983045:HRU983122 IBQ2:IBQ82 IBQ65541:IBQ65618 IBQ131077:IBQ131154 IBQ196613:IBQ196690 IBQ262149:IBQ262226 IBQ327685:IBQ327762 IBQ393221:IBQ393298 IBQ458757:IBQ458834 IBQ524293:IBQ524370 IBQ589829:IBQ589906 IBQ655365:IBQ655442 IBQ720901:IBQ720978 IBQ786437:IBQ786514 IBQ851973:IBQ852050 IBQ917509:IBQ917586 IBQ983045:IBQ983122 ILM2:ILM82 ILM65541:ILM65618 ILM131077:ILM131154 ILM196613:ILM196690 ILM262149:ILM262226 ILM327685:ILM327762 ILM393221:ILM393298 ILM458757:ILM458834 ILM524293:ILM524370 ILM589829:ILM589906 ILM655365:ILM655442 ILM720901:ILM720978 ILM786437:ILM786514 ILM851973:ILM852050 ILM917509:ILM917586 ILM983045:ILM983122 IVI2:IVI82 IVI65541:IVI65618 IVI131077:IVI131154 IVI196613:IVI196690 IVI262149:IVI262226 IVI327685:IVI327762 IVI393221:IVI393298 IVI458757:IVI458834 IVI524293:IVI524370 IVI589829:IVI589906 IVI655365:IVI655442 IVI720901:IVI720978 IVI786437:IVI786514 IVI851973:IVI852050 IVI917509:IVI917586 IVI983045:IVI983122 JFE2:JFE82 JFE65541:JFE65618 JFE131077:JFE131154 JFE196613:JFE196690 JFE262149:JFE262226 JFE327685:JFE327762 JFE393221:JFE393298 JFE458757:JFE458834 JFE524293:JFE524370 JFE589829:JFE589906 JFE655365:JFE655442 JFE720901:JFE720978 JFE786437:JFE786514 JFE851973:JFE852050 JFE917509:JFE917586 JFE983045:JFE983122 JPA2:JPA82 JPA65541:JPA65618 JPA131077:JPA131154 JPA196613:JPA196690 JPA262149:JPA262226 JPA327685:JPA327762 JPA393221:JPA393298 JPA458757:JPA458834 JPA524293:JPA524370 JPA589829:JPA589906 JPA655365:JPA655442 JPA720901:JPA720978 JPA786437:JPA786514 JPA851973:JPA852050 JPA917509:JPA917586 JPA983045:JPA983122 JYW2:JYW82 JYW65541:JYW65618 JYW131077:JYW131154 JYW196613:JYW196690 JYW262149:JYW262226 JYW327685:JYW327762 JYW393221:JYW393298 JYW458757:JYW458834 JYW524293:JYW524370 JYW589829:JYW589906 JYW655365:JYW655442 JYW720901:JYW720978 JYW786437:JYW786514 JYW851973:JYW852050 JYW917509:JYW917586 JYW983045:JYW983122 KIS2:KIS82 KIS65541:KIS65618 KIS131077:KIS131154 KIS196613:KIS196690 KIS262149:KIS262226 KIS327685:KIS327762 KIS393221:KIS393298 KIS458757:KIS458834 KIS524293:KIS524370 KIS589829:KIS589906 KIS655365:KIS655442 KIS720901:KIS720978 KIS786437:KIS786514 KIS851973:KIS852050 KIS917509:KIS917586 KIS983045:KIS983122 KSO2:KSO82 KSO65541:KSO65618 KSO131077:KSO131154 KSO196613:KSO196690 KSO262149:KSO262226 KSO327685:KSO327762 KSO393221:KSO393298 KSO458757:KSO458834 KSO524293:KSO524370 KSO589829:KSO589906 KSO655365:KSO655442 KSO720901:KSO720978 KSO786437:KSO786514 KSO851973:KSO852050 KSO917509:KSO917586 KSO983045:KSO983122 LCK2:LCK82 LCK65541:LCK65618 LCK131077:LCK131154 LCK196613:LCK196690 LCK262149:LCK262226 LCK327685:LCK327762 LCK393221:LCK393298 LCK458757:LCK458834 LCK524293:LCK524370 LCK589829:LCK589906 LCK655365:LCK655442 LCK720901:LCK720978 LCK786437:LCK786514 LCK851973:LCK852050 LCK917509:LCK917586 LCK983045:LCK983122 LMG2:LMG82 LMG65541:LMG65618 LMG131077:LMG131154 LMG196613:LMG196690 LMG262149:LMG262226 LMG327685:LMG327762 LMG393221:LMG393298 LMG458757:LMG458834 LMG524293:LMG524370 LMG589829:LMG589906 LMG655365:LMG655442 LMG720901:LMG720978 LMG786437:LMG786514 LMG851973:LMG852050 LMG917509:LMG917586 LMG983045:LMG983122 LWC2:LWC82 LWC65541:LWC65618 LWC131077:LWC131154 LWC196613:LWC196690 LWC262149:LWC262226 LWC327685:LWC327762 LWC393221:LWC393298 LWC458757:LWC458834 LWC524293:LWC524370 LWC589829:LWC589906 LWC655365:LWC655442 LWC720901:LWC720978 LWC786437:LWC786514 LWC851973:LWC852050 LWC917509:LWC917586 LWC983045:LWC983122 MFY2:MFY82 MFY65541:MFY65618 MFY131077:MFY131154 MFY196613:MFY196690 MFY262149:MFY262226 MFY327685:MFY327762 MFY393221:MFY393298 MFY458757:MFY458834 MFY524293:MFY524370 MFY589829:MFY589906 MFY655365:MFY655442 MFY720901:MFY720978 MFY786437:MFY786514 MFY851973:MFY852050 MFY917509:MFY917586 MFY983045:MFY983122 MPU2:MPU82 MPU65541:MPU65618 MPU131077:MPU131154 MPU196613:MPU196690 MPU262149:MPU262226 MPU327685:MPU327762 MPU393221:MPU393298 MPU458757:MPU458834 MPU524293:MPU524370 MPU589829:MPU589906 MPU655365:MPU655442 MPU720901:MPU720978 MPU786437:MPU786514 MPU851973:MPU852050 MPU917509:MPU917586 MPU983045:MPU983122 MZQ2:MZQ82 MZQ65541:MZQ65618 MZQ131077:MZQ131154 MZQ196613:MZQ196690 MZQ262149:MZQ262226 MZQ327685:MZQ327762 MZQ393221:MZQ393298 MZQ458757:MZQ458834 MZQ524293:MZQ524370 MZQ589829:MZQ589906 MZQ655365:MZQ655442 MZQ720901:MZQ720978 MZQ786437:MZQ786514 MZQ851973:MZQ852050 MZQ917509:MZQ917586 MZQ983045:MZQ983122 NJM2:NJM82 NJM65541:NJM65618 NJM131077:NJM131154 NJM196613:NJM196690 NJM262149:NJM262226 NJM327685:NJM327762 NJM393221:NJM393298 NJM458757:NJM458834 NJM524293:NJM524370 NJM589829:NJM589906 NJM655365:NJM655442 NJM720901:NJM720978 NJM786437:NJM786514 NJM851973:NJM852050 NJM917509:NJM917586 NJM983045:NJM983122 NTI2:NTI82 NTI65541:NTI65618 NTI131077:NTI131154 NTI196613:NTI196690 NTI262149:NTI262226 NTI327685:NTI327762 NTI393221:NTI393298 NTI458757:NTI458834 NTI524293:NTI524370 NTI589829:NTI589906 NTI655365:NTI655442 NTI720901:NTI720978 NTI786437:NTI786514 NTI851973:NTI852050 NTI917509:NTI917586 NTI983045:NTI983122 ODE2:ODE82 ODE65541:ODE65618 ODE131077:ODE131154 ODE196613:ODE196690 ODE262149:ODE262226 ODE327685:ODE327762 ODE393221:ODE393298 ODE458757:ODE458834 ODE524293:ODE524370 ODE589829:ODE589906 ODE655365:ODE655442 ODE720901:ODE720978 ODE786437:ODE786514 ODE851973:ODE852050 ODE917509:ODE917586 ODE983045:ODE983122 ONA2:ONA82 ONA65541:ONA65618 ONA131077:ONA131154 ONA196613:ONA196690 ONA262149:ONA262226 ONA327685:ONA327762 ONA393221:ONA393298 ONA458757:ONA458834 ONA524293:ONA524370 ONA589829:ONA589906 ONA655365:ONA655442 ONA720901:ONA720978 ONA786437:ONA786514 ONA851973:ONA852050 ONA917509:ONA917586 ONA983045:ONA983122 OWW2:OWW82 OWW65541:OWW65618 OWW131077:OWW131154 OWW196613:OWW196690 OWW262149:OWW262226 OWW327685:OWW327762 OWW393221:OWW393298 OWW458757:OWW458834 OWW524293:OWW524370 OWW589829:OWW589906 OWW655365:OWW655442 OWW720901:OWW720978 OWW786437:OWW786514 OWW851973:OWW852050 OWW917509:OWW917586 OWW983045:OWW983122 PGS2:PGS82 PGS65541:PGS65618 PGS131077:PGS131154 PGS196613:PGS196690 PGS262149:PGS262226 PGS327685:PGS327762 PGS393221:PGS393298 PGS458757:PGS458834 PGS524293:PGS524370 PGS589829:PGS589906 PGS655365:PGS655442 PGS720901:PGS720978 PGS786437:PGS786514 PGS851973:PGS852050 PGS917509:PGS917586 PGS983045:PGS983122 PQO2:PQO82 PQO65541:PQO65618 PQO131077:PQO131154 PQO196613:PQO196690 PQO262149:PQO262226 PQO327685:PQO327762 PQO393221:PQO393298 PQO458757:PQO458834 PQO524293:PQO524370 PQO589829:PQO589906 PQO655365:PQO655442 PQO720901:PQO720978 PQO786437:PQO786514 PQO851973:PQO852050 PQO917509:PQO917586 PQO983045:PQO983122 QAK2:QAK82 QAK65541:QAK65618 QAK131077:QAK131154 QAK196613:QAK196690 QAK262149:QAK262226 QAK327685:QAK327762 QAK393221:QAK393298 QAK458757:QAK458834 QAK524293:QAK524370 QAK589829:QAK589906 QAK655365:QAK655442 QAK720901:QAK720978 QAK786437:QAK786514 QAK851973:QAK852050 QAK917509:QAK917586 QAK983045:QAK983122 QKG2:QKG82 QKG65541:QKG65618 QKG131077:QKG131154 QKG196613:QKG196690 QKG262149:QKG262226 QKG327685:QKG327762 QKG393221:QKG393298 QKG458757:QKG458834 QKG524293:QKG524370 QKG589829:QKG589906 QKG655365:QKG655442 QKG720901:QKG720978 QKG786437:QKG786514 QKG851973:QKG852050 QKG917509:QKG917586 QKG983045:QKG983122 QUC2:QUC82 QUC65541:QUC65618 QUC131077:QUC131154 QUC196613:QUC196690 QUC262149:QUC262226 QUC327685:QUC327762 QUC393221:QUC393298 QUC458757:QUC458834 QUC524293:QUC524370 QUC589829:QUC589906 QUC655365:QUC655442 QUC720901:QUC720978 QUC786437:QUC786514 QUC851973:QUC852050 QUC917509:QUC917586 QUC983045:QUC983122 RDY2:RDY82 RDY65541:RDY65618 RDY131077:RDY131154 RDY196613:RDY196690 RDY262149:RDY262226 RDY327685:RDY327762 RDY393221:RDY393298 RDY458757:RDY458834 RDY524293:RDY524370 RDY589829:RDY589906 RDY655365:RDY655442 RDY720901:RDY720978 RDY786437:RDY786514 RDY851973:RDY852050 RDY917509:RDY917586 RDY983045:RDY983122 RNU2:RNU82 RNU65541:RNU65618 RNU131077:RNU131154 RNU196613:RNU196690 RNU262149:RNU262226 RNU327685:RNU327762 RNU393221:RNU393298 RNU458757:RNU458834 RNU524293:RNU524370 RNU589829:RNU589906 RNU655365:RNU655442 RNU720901:RNU720978 RNU786437:RNU786514 RNU851973:RNU852050 RNU917509:RNU917586 RNU983045:RNU983122 RXQ2:RXQ82 RXQ65541:RXQ65618 RXQ131077:RXQ131154 RXQ196613:RXQ196690 RXQ262149:RXQ262226 RXQ327685:RXQ327762 RXQ393221:RXQ393298 RXQ458757:RXQ458834 RXQ524293:RXQ524370 RXQ589829:RXQ589906 RXQ655365:RXQ655442 RXQ720901:RXQ720978 RXQ786437:RXQ786514 RXQ851973:RXQ852050 RXQ917509:RXQ917586 RXQ983045:RXQ983122 SHM2:SHM82 SHM65541:SHM65618 SHM131077:SHM131154 SHM196613:SHM196690 SHM262149:SHM262226 SHM327685:SHM327762 SHM393221:SHM393298 SHM458757:SHM458834 SHM524293:SHM524370 SHM589829:SHM589906 SHM655365:SHM655442 SHM720901:SHM720978 SHM786437:SHM786514 SHM851973:SHM852050 SHM917509:SHM917586 SHM983045:SHM983122 SRI2:SRI82 SRI65541:SRI65618 SRI131077:SRI131154 SRI196613:SRI196690 SRI262149:SRI262226 SRI327685:SRI327762 SRI393221:SRI393298 SRI458757:SRI458834 SRI524293:SRI524370 SRI589829:SRI589906 SRI655365:SRI655442 SRI720901:SRI720978 SRI786437:SRI786514 SRI851973:SRI852050 SRI917509:SRI917586 SRI983045:SRI983122 TBE2:TBE82 TBE65541:TBE65618 TBE131077:TBE131154 TBE196613:TBE196690 TBE262149:TBE262226 TBE327685:TBE327762 TBE393221:TBE393298 TBE458757:TBE458834 TBE524293:TBE524370 TBE589829:TBE589906 TBE655365:TBE655442 TBE720901:TBE720978 TBE786437:TBE786514 TBE851973:TBE852050 TBE917509:TBE917586 TBE983045:TBE983122 TLA2:TLA82 TLA65541:TLA65618 TLA131077:TLA131154 TLA196613:TLA196690 TLA262149:TLA262226 TLA327685:TLA327762 TLA393221:TLA393298 TLA458757:TLA458834 TLA524293:TLA524370 TLA589829:TLA589906 TLA655365:TLA655442 TLA720901:TLA720978 TLA786437:TLA786514 TLA851973:TLA852050 TLA917509:TLA917586 TLA983045:TLA983122 TUW2:TUW82 TUW65541:TUW65618 TUW131077:TUW131154 TUW196613:TUW196690 TUW262149:TUW262226 TUW327685:TUW327762 TUW393221:TUW393298 TUW458757:TUW458834 TUW524293:TUW524370 TUW589829:TUW589906 TUW655365:TUW655442 TUW720901:TUW720978 TUW786437:TUW786514 TUW851973:TUW852050 TUW917509:TUW917586 TUW983045:TUW983122 UES2:UES82 UES65541:UES65618 UES131077:UES131154 UES196613:UES196690 UES262149:UES262226 UES327685:UES327762 UES393221:UES393298 UES458757:UES458834 UES524293:UES524370 UES589829:UES589906 UES655365:UES655442 UES720901:UES720978 UES786437:UES786514 UES851973:UES852050 UES917509:UES917586 UES983045:UES983122 UOO2:UOO82 UOO65541:UOO65618 UOO131077:UOO131154 UOO196613:UOO196690 UOO262149:UOO262226 UOO327685:UOO327762 UOO393221:UOO393298 UOO458757:UOO458834 UOO524293:UOO524370 UOO589829:UOO589906 UOO655365:UOO655442 UOO720901:UOO720978 UOO786437:UOO786514 UOO851973:UOO852050 UOO917509:UOO917586 UOO983045:UOO983122 UYK2:UYK82 UYK65541:UYK65618 UYK131077:UYK131154 UYK196613:UYK196690 UYK262149:UYK262226 UYK327685:UYK327762 UYK393221:UYK393298 UYK458757:UYK458834 UYK524293:UYK524370 UYK589829:UYK589906 UYK655365:UYK655442 UYK720901:UYK720978 UYK786437:UYK786514 UYK851973:UYK852050 UYK917509:UYK917586 UYK983045:UYK983122 VIG2:VIG82 VIG65541:VIG65618 VIG131077:VIG131154 VIG196613:VIG196690 VIG262149:VIG262226 VIG327685:VIG327762 VIG393221:VIG393298 VIG458757:VIG458834 VIG524293:VIG524370 VIG589829:VIG589906 VIG655365:VIG655442 VIG720901:VIG720978 VIG786437:VIG786514 VIG851973:VIG852050 VIG917509:VIG917586 VIG983045:VIG983122 VSC2:VSC82 VSC65541:VSC65618 VSC131077:VSC131154 VSC196613:VSC196690 VSC262149:VSC262226 VSC327685:VSC327762 VSC393221:VSC393298 VSC458757:VSC458834 VSC524293:VSC524370 VSC589829:VSC589906 VSC655365:VSC655442 VSC720901:VSC720978 VSC786437:VSC786514 VSC851973:VSC852050 VSC917509:VSC917586 VSC983045:VSC983122 WBY2:WBY82 WBY65541:WBY65618 WBY131077:WBY131154 WBY196613:WBY196690 WBY262149:WBY262226 WBY327685:WBY327762 WBY393221:WBY393298 WBY458757:WBY458834 WBY524293:WBY524370 WBY589829:WBY589906 WBY655365:WBY655442 WBY720901:WBY720978 WBY786437:WBY786514 WBY851973:WBY852050 WBY917509:WBY917586 WBY983045:WBY983122 WLU2:WLU82 WLU65541:WLU65618 WLU131077:WLU131154 WLU196613:WLU196690 WLU262149:WLU262226 WLU327685:WLU327762 WLU393221:WLU393298 WLU458757:WLU458834 WLU524293:WLU524370 WLU589829:WLU589906 WLU655365:WLU655442 WLU720901:WLU720978 WLU786437:WLU786514 WLU851973:WLU852050 WLU917509:WLU917586 WLU983045:WLU983122 WVQ2:WVQ82 WVQ65541:WVQ65618 WVQ131077:WVQ131154 WVQ196613:WVQ196690 WVQ262149:WVQ262226 WVQ327685:WVQ327762 WVQ393221:WVQ393298 WVQ458757:WVQ458834 WVQ524293:WVQ524370 WVQ589829:WVQ589906 WVQ655365:WVQ655442 WVQ720901:WVQ720978 WVQ786437:WVQ786514 WVQ851973:WVQ852050 WVQ917509:WVQ917586 WVQ983045:WVQ983122" xr:uid="{788426B2-1E5C-47F3-9CB1-1C970C1FB88B}">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C672-08E9-4528-9766-600E6C557FCD}">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x14ac:dyDescent="0.15"/>
  <cols>
    <col min="1" max="3" width="9" style="80" customWidth="1"/>
    <col min="4" max="4" width="10.5" style="80" customWidth="1"/>
    <col min="5" max="5" width="11.25" style="80" bestFit="1" customWidth="1"/>
    <col min="6" max="7" width="9" style="80"/>
    <col min="8" max="9" width="9" style="80" customWidth="1"/>
    <col min="10" max="11" width="9" style="80"/>
    <col min="12" max="16" width="9" style="80" customWidth="1"/>
    <col min="17" max="17" width="9" style="16" customWidth="1"/>
    <col min="18" max="18" width="9" style="80"/>
    <col min="19" max="19" width="9.5" style="80" bestFit="1" customWidth="1"/>
    <col min="20" max="20" width="9" style="16" customWidth="1"/>
    <col min="21" max="21" width="9" style="80"/>
    <col min="22" max="22" width="9" style="16" customWidth="1"/>
    <col min="23" max="28" width="9" style="80"/>
    <col min="29" max="29" width="26.5" style="80" customWidth="1"/>
    <col min="30" max="32" width="9" style="80"/>
    <col min="33" max="33" width="15.75" style="80" bestFit="1" customWidth="1"/>
    <col min="34" max="34" width="15" style="80" bestFit="1" customWidth="1"/>
    <col min="35" max="256" width="9" style="80"/>
    <col min="257" max="259" width="9" style="80" customWidth="1"/>
    <col min="260" max="260" width="10.5" style="80" customWidth="1"/>
    <col min="261" max="261" width="11.25" style="80" bestFit="1" customWidth="1"/>
    <col min="262" max="263" width="9" style="80"/>
    <col min="264" max="273" width="9" style="80" customWidth="1"/>
    <col min="274" max="274" width="9" style="80"/>
    <col min="275" max="275" width="9.5" style="80" bestFit="1" customWidth="1"/>
    <col min="276" max="276" width="9" style="80" customWidth="1"/>
    <col min="277" max="277" width="9" style="80"/>
    <col min="278" max="278" width="9" style="80" customWidth="1"/>
    <col min="279" max="284" width="9" style="80"/>
    <col min="285" max="285" width="26.5" style="80" customWidth="1"/>
    <col min="286" max="288" width="9" style="80"/>
    <col min="289" max="289" width="14.75" style="80" bestFit="1" customWidth="1"/>
    <col min="290" max="512" width="9" style="80"/>
    <col min="513" max="515" width="9" style="80" customWidth="1"/>
    <col min="516" max="516" width="10.5" style="80" customWidth="1"/>
    <col min="517" max="517" width="11.25" style="80" bestFit="1" customWidth="1"/>
    <col min="518" max="519" width="9" style="80"/>
    <col min="520" max="529" width="9" style="80" customWidth="1"/>
    <col min="530" max="530" width="9" style="80"/>
    <col min="531" max="531" width="9.5" style="80" bestFit="1" customWidth="1"/>
    <col min="532" max="532" width="9" style="80" customWidth="1"/>
    <col min="533" max="533" width="9" style="80"/>
    <col min="534" max="534" width="9" style="80" customWidth="1"/>
    <col min="535" max="540" width="9" style="80"/>
    <col min="541" max="541" width="26.5" style="80" customWidth="1"/>
    <col min="542" max="544" width="9" style="80"/>
    <col min="545" max="545" width="14.75" style="80" bestFit="1" customWidth="1"/>
    <col min="546" max="768" width="9" style="80"/>
    <col min="769" max="771" width="9" style="80" customWidth="1"/>
    <col min="772" max="772" width="10.5" style="80" customWidth="1"/>
    <col min="773" max="773" width="11.25" style="80" bestFit="1" customWidth="1"/>
    <col min="774" max="775" width="9" style="80"/>
    <col min="776" max="785" width="9" style="80" customWidth="1"/>
    <col min="786" max="786" width="9" style="80"/>
    <col min="787" max="787" width="9.5" style="80" bestFit="1" customWidth="1"/>
    <col min="788" max="788" width="9" style="80" customWidth="1"/>
    <col min="789" max="789" width="9" style="80"/>
    <col min="790" max="790" width="9" style="80" customWidth="1"/>
    <col min="791" max="796" width="9" style="80"/>
    <col min="797" max="797" width="26.5" style="80" customWidth="1"/>
    <col min="798" max="800" width="9" style="80"/>
    <col min="801" max="801" width="14.75" style="80" bestFit="1" customWidth="1"/>
    <col min="802" max="1024" width="9" style="80"/>
    <col min="1025" max="1027" width="9" style="80" customWidth="1"/>
    <col min="1028" max="1028" width="10.5" style="80" customWidth="1"/>
    <col min="1029" max="1029" width="11.25" style="80" bestFit="1" customWidth="1"/>
    <col min="1030" max="1031" width="9" style="80"/>
    <col min="1032" max="1041" width="9" style="80" customWidth="1"/>
    <col min="1042" max="1042" width="9" style="80"/>
    <col min="1043" max="1043" width="9.5" style="80" bestFit="1" customWidth="1"/>
    <col min="1044" max="1044" width="9" style="80" customWidth="1"/>
    <col min="1045" max="1045" width="9" style="80"/>
    <col min="1046" max="1046" width="9" style="80" customWidth="1"/>
    <col min="1047" max="1052" width="9" style="80"/>
    <col min="1053" max="1053" width="26.5" style="80" customWidth="1"/>
    <col min="1054" max="1056" width="9" style="80"/>
    <col min="1057" max="1057" width="14.75" style="80" bestFit="1" customWidth="1"/>
    <col min="1058" max="1280" width="9" style="80"/>
    <col min="1281" max="1283" width="9" style="80" customWidth="1"/>
    <col min="1284" max="1284" width="10.5" style="80" customWidth="1"/>
    <col min="1285" max="1285" width="11.25" style="80" bestFit="1" customWidth="1"/>
    <col min="1286" max="1287" width="9" style="80"/>
    <col min="1288" max="1297" width="9" style="80" customWidth="1"/>
    <col min="1298" max="1298" width="9" style="80"/>
    <col min="1299" max="1299" width="9.5" style="80" bestFit="1" customWidth="1"/>
    <col min="1300" max="1300" width="9" style="80" customWidth="1"/>
    <col min="1301" max="1301" width="9" style="80"/>
    <col min="1302" max="1302" width="9" style="80" customWidth="1"/>
    <col min="1303" max="1308" width="9" style="80"/>
    <col min="1309" max="1309" width="26.5" style="80" customWidth="1"/>
    <col min="1310" max="1312" width="9" style="80"/>
    <col min="1313" max="1313" width="14.75" style="80" bestFit="1" customWidth="1"/>
    <col min="1314" max="1536" width="9" style="80"/>
    <col min="1537" max="1539" width="9" style="80" customWidth="1"/>
    <col min="1540" max="1540" width="10.5" style="80" customWidth="1"/>
    <col min="1541" max="1541" width="11.25" style="80" bestFit="1" customWidth="1"/>
    <col min="1542" max="1543" width="9" style="80"/>
    <col min="1544" max="1553" width="9" style="80" customWidth="1"/>
    <col min="1554" max="1554" width="9" style="80"/>
    <col min="1555" max="1555" width="9.5" style="80" bestFit="1" customWidth="1"/>
    <col min="1556" max="1556" width="9" style="80" customWidth="1"/>
    <col min="1557" max="1557" width="9" style="80"/>
    <col min="1558" max="1558" width="9" style="80" customWidth="1"/>
    <col min="1559" max="1564" width="9" style="80"/>
    <col min="1565" max="1565" width="26.5" style="80" customWidth="1"/>
    <col min="1566" max="1568" width="9" style="80"/>
    <col min="1569" max="1569" width="14.75" style="80" bestFit="1" customWidth="1"/>
    <col min="1570" max="1792" width="9" style="80"/>
    <col min="1793" max="1795" width="9" style="80" customWidth="1"/>
    <col min="1796" max="1796" width="10.5" style="80" customWidth="1"/>
    <col min="1797" max="1797" width="11.25" style="80" bestFit="1" customWidth="1"/>
    <col min="1798" max="1799" width="9" style="80"/>
    <col min="1800" max="1809" width="9" style="80" customWidth="1"/>
    <col min="1810" max="1810" width="9" style="80"/>
    <col min="1811" max="1811" width="9.5" style="80" bestFit="1" customWidth="1"/>
    <col min="1812" max="1812" width="9" style="80" customWidth="1"/>
    <col min="1813" max="1813" width="9" style="80"/>
    <col min="1814" max="1814" width="9" style="80" customWidth="1"/>
    <col min="1815" max="1820" width="9" style="80"/>
    <col min="1821" max="1821" width="26.5" style="80" customWidth="1"/>
    <col min="1822" max="1824" width="9" style="80"/>
    <col min="1825" max="1825" width="14.75" style="80" bestFit="1" customWidth="1"/>
    <col min="1826" max="2048" width="9" style="80"/>
    <col min="2049" max="2051" width="9" style="80" customWidth="1"/>
    <col min="2052" max="2052" width="10.5" style="80" customWidth="1"/>
    <col min="2053" max="2053" width="11.25" style="80" bestFit="1" customWidth="1"/>
    <col min="2054" max="2055" width="9" style="80"/>
    <col min="2056" max="2065" width="9" style="80" customWidth="1"/>
    <col min="2066" max="2066" width="9" style="80"/>
    <col min="2067" max="2067" width="9.5" style="80" bestFit="1" customWidth="1"/>
    <col min="2068" max="2068" width="9" style="80" customWidth="1"/>
    <col min="2069" max="2069" width="9" style="80"/>
    <col min="2070" max="2070" width="9" style="80" customWidth="1"/>
    <col min="2071" max="2076" width="9" style="80"/>
    <col min="2077" max="2077" width="26.5" style="80" customWidth="1"/>
    <col min="2078" max="2080" width="9" style="80"/>
    <col min="2081" max="2081" width="14.75" style="80" bestFit="1" customWidth="1"/>
    <col min="2082" max="2304" width="9" style="80"/>
    <col min="2305" max="2307" width="9" style="80" customWidth="1"/>
    <col min="2308" max="2308" width="10.5" style="80" customWidth="1"/>
    <col min="2309" max="2309" width="11.25" style="80" bestFit="1" customWidth="1"/>
    <col min="2310" max="2311" width="9" style="80"/>
    <col min="2312" max="2321" width="9" style="80" customWidth="1"/>
    <col min="2322" max="2322" width="9" style="80"/>
    <col min="2323" max="2323" width="9.5" style="80" bestFit="1" customWidth="1"/>
    <col min="2324" max="2324" width="9" style="80" customWidth="1"/>
    <col min="2325" max="2325" width="9" style="80"/>
    <col min="2326" max="2326" width="9" style="80" customWidth="1"/>
    <col min="2327" max="2332" width="9" style="80"/>
    <col min="2333" max="2333" width="26.5" style="80" customWidth="1"/>
    <col min="2334" max="2336" width="9" style="80"/>
    <col min="2337" max="2337" width="14.75" style="80" bestFit="1" customWidth="1"/>
    <col min="2338" max="2560" width="9" style="80"/>
    <col min="2561" max="2563" width="9" style="80" customWidth="1"/>
    <col min="2564" max="2564" width="10.5" style="80" customWidth="1"/>
    <col min="2565" max="2565" width="11.25" style="80" bestFit="1" customWidth="1"/>
    <col min="2566" max="2567" width="9" style="80"/>
    <col min="2568" max="2577" width="9" style="80" customWidth="1"/>
    <col min="2578" max="2578" width="9" style="80"/>
    <col min="2579" max="2579" width="9.5" style="80" bestFit="1" customWidth="1"/>
    <col min="2580" max="2580" width="9" style="80" customWidth="1"/>
    <col min="2581" max="2581" width="9" style="80"/>
    <col min="2582" max="2582" width="9" style="80" customWidth="1"/>
    <col min="2583" max="2588" width="9" style="80"/>
    <col min="2589" max="2589" width="26.5" style="80" customWidth="1"/>
    <col min="2590" max="2592" width="9" style="80"/>
    <col min="2593" max="2593" width="14.75" style="80" bestFit="1" customWidth="1"/>
    <col min="2594" max="2816" width="9" style="80"/>
    <col min="2817" max="2819" width="9" style="80" customWidth="1"/>
    <col min="2820" max="2820" width="10.5" style="80" customWidth="1"/>
    <col min="2821" max="2821" width="11.25" style="80" bestFit="1" customWidth="1"/>
    <col min="2822" max="2823" width="9" style="80"/>
    <col min="2824" max="2833" width="9" style="80" customWidth="1"/>
    <col min="2834" max="2834" width="9" style="80"/>
    <col min="2835" max="2835" width="9.5" style="80" bestFit="1" customWidth="1"/>
    <col min="2836" max="2836" width="9" style="80" customWidth="1"/>
    <col min="2837" max="2837" width="9" style="80"/>
    <col min="2838" max="2838" width="9" style="80" customWidth="1"/>
    <col min="2839" max="2844" width="9" style="80"/>
    <col min="2845" max="2845" width="26.5" style="80" customWidth="1"/>
    <col min="2846" max="2848" width="9" style="80"/>
    <col min="2849" max="2849" width="14.75" style="80" bestFit="1" customWidth="1"/>
    <col min="2850" max="3072" width="9" style="80"/>
    <col min="3073" max="3075" width="9" style="80" customWidth="1"/>
    <col min="3076" max="3076" width="10.5" style="80" customWidth="1"/>
    <col min="3077" max="3077" width="11.25" style="80" bestFit="1" customWidth="1"/>
    <col min="3078" max="3079" width="9" style="80"/>
    <col min="3080" max="3089" width="9" style="80" customWidth="1"/>
    <col min="3090" max="3090" width="9" style="80"/>
    <col min="3091" max="3091" width="9.5" style="80" bestFit="1" customWidth="1"/>
    <col min="3092" max="3092" width="9" style="80" customWidth="1"/>
    <col min="3093" max="3093" width="9" style="80"/>
    <col min="3094" max="3094" width="9" style="80" customWidth="1"/>
    <col min="3095" max="3100" width="9" style="80"/>
    <col min="3101" max="3101" width="26.5" style="80" customWidth="1"/>
    <col min="3102" max="3104" width="9" style="80"/>
    <col min="3105" max="3105" width="14.75" style="80" bestFit="1" customWidth="1"/>
    <col min="3106" max="3328" width="9" style="80"/>
    <col min="3329" max="3331" width="9" style="80" customWidth="1"/>
    <col min="3332" max="3332" width="10.5" style="80" customWidth="1"/>
    <col min="3333" max="3333" width="11.25" style="80" bestFit="1" customWidth="1"/>
    <col min="3334" max="3335" width="9" style="80"/>
    <col min="3336" max="3345" width="9" style="80" customWidth="1"/>
    <col min="3346" max="3346" width="9" style="80"/>
    <col min="3347" max="3347" width="9.5" style="80" bestFit="1" customWidth="1"/>
    <col min="3348" max="3348" width="9" style="80" customWidth="1"/>
    <col min="3349" max="3349" width="9" style="80"/>
    <col min="3350" max="3350" width="9" style="80" customWidth="1"/>
    <col min="3351" max="3356" width="9" style="80"/>
    <col min="3357" max="3357" width="26.5" style="80" customWidth="1"/>
    <col min="3358" max="3360" width="9" style="80"/>
    <col min="3361" max="3361" width="14.75" style="80" bestFit="1" customWidth="1"/>
    <col min="3362" max="3584" width="9" style="80"/>
    <col min="3585" max="3587" width="9" style="80" customWidth="1"/>
    <col min="3588" max="3588" width="10.5" style="80" customWidth="1"/>
    <col min="3589" max="3589" width="11.25" style="80" bestFit="1" customWidth="1"/>
    <col min="3590" max="3591" width="9" style="80"/>
    <col min="3592" max="3601" width="9" style="80" customWidth="1"/>
    <col min="3602" max="3602" width="9" style="80"/>
    <col min="3603" max="3603" width="9.5" style="80" bestFit="1" customWidth="1"/>
    <col min="3604" max="3604" width="9" style="80" customWidth="1"/>
    <col min="3605" max="3605" width="9" style="80"/>
    <col min="3606" max="3606" width="9" style="80" customWidth="1"/>
    <col min="3607" max="3612" width="9" style="80"/>
    <col min="3613" max="3613" width="26.5" style="80" customWidth="1"/>
    <col min="3614" max="3616" width="9" style="80"/>
    <col min="3617" max="3617" width="14.75" style="80" bestFit="1" customWidth="1"/>
    <col min="3618" max="3840" width="9" style="80"/>
    <col min="3841" max="3843" width="9" style="80" customWidth="1"/>
    <col min="3844" max="3844" width="10.5" style="80" customWidth="1"/>
    <col min="3845" max="3845" width="11.25" style="80" bestFit="1" customWidth="1"/>
    <col min="3846" max="3847" width="9" style="80"/>
    <col min="3848" max="3857" width="9" style="80" customWidth="1"/>
    <col min="3858" max="3858" width="9" style="80"/>
    <col min="3859" max="3859" width="9.5" style="80" bestFit="1" customWidth="1"/>
    <col min="3860" max="3860" width="9" style="80" customWidth="1"/>
    <col min="3861" max="3861" width="9" style="80"/>
    <col min="3862" max="3862" width="9" style="80" customWidth="1"/>
    <col min="3863" max="3868" width="9" style="80"/>
    <col min="3869" max="3869" width="26.5" style="80" customWidth="1"/>
    <col min="3870" max="3872" width="9" style="80"/>
    <col min="3873" max="3873" width="14.75" style="80" bestFit="1" customWidth="1"/>
    <col min="3874" max="4096" width="9" style="80"/>
    <col min="4097" max="4099" width="9" style="80" customWidth="1"/>
    <col min="4100" max="4100" width="10.5" style="80" customWidth="1"/>
    <col min="4101" max="4101" width="11.25" style="80" bestFit="1" customWidth="1"/>
    <col min="4102" max="4103" width="9" style="80"/>
    <col min="4104" max="4113" width="9" style="80" customWidth="1"/>
    <col min="4114" max="4114" width="9" style="80"/>
    <col min="4115" max="4115" width="9.5" style="80" bestFit="1" customWidth="1"/>
    <col min="4116" max="4116" width="9" style="80" customWidth="1"/>
    <col min="4117" max="4117" width="9" style="80"/>
    <col min="4118" max="4118" width="9" style="80" customWidth="1"/>
    <col min="4119" max="4124" width="9" style="80"/>
    <col min="4125" max="4125" width="26.5" style="80" customWidth="1"/>
    <col min="4126" max="4128" width="9" style="80"/>
    <col min="4129" max="4129" width="14.75" style="80" bestFit="1" customWidth="1"/>
    <col min="4130" max="4352" width="9" style="80"/>
    <col min="4353" max="4355" width="9" style="80" customWidth="1"/>
    <col min="4356" max="4356" width="10.5" style="80" customWidth="1"/>
    <col min="4357" max="4357" width="11.25" style="80" bestFit="1" customWidth="1"/>
    <col min="4358" max="4359" width="9" style="80"/>
    <col min="4360" max="4369" width="9" style="80" customWidth="1"/>
    <col min="4370" max="4370" width="9" style="80"/>
    <col min="4371" max="4371" width="9.5" style="80" bestFit="1" customWidth="1"/>
    <col min="4372" max="4372" width="9" style="80" customWidth="1"/>
    <col min="4373" max="4373" width="9" style="80"/>
    <col min="4374" max="4374" width="9" style="80" customWidth="1"/>
    <col min="4375" max="4380" width="9" style="80"/>
    <col min="4381" max="4381" width="26.5" style="80" customWidth="1"/>
    <col min="4382" max="4384" width="9" style="80"/>
    <col min="4385" max="4385" width="14.75" style="80" bestFit="1" customWidth="1"/>
    <col min="4386" max="4608" width="9" style="80"/>
    <col min="4609" max="4611" width="9" style="80" customWidth="1"/>
    <col min="4612" max="4612" width="10.5" style="80" customWidth="1"/>
    <col min="4613" max="4613" width="11.25" style="80" bestFit="1" customWidth="1"/>
    <col min="4614" max="4615" width="9" style="80"/>
    <col min="4616" max="4625" width="9" style="80" customWidth="1"/>
    <col min="4626" max="4626" width="9" style="80"/>
    <col min="4627" max="4627" width="9.5" style="80" bestFit="1" customWidth="1"/>
    <col min="4628" max="4628" width="9" style="80" customWidth="1"/>
    <col min="4629" max="4629" width="9" style="80"/>
    <col min="4630" max="4630" width="9" style="80" customWidth="1"/>
    <col min="4631" max="4636" width="9" style="80"/>
    <col min="4637" max="4637" width="26.5" style="80" customWidth="1"/>
    <col min="4638" max="4640" width="9" style="80"/>
    <col min="4641" max="4641" width="14.75" style="80" bestFit="1" customWidth="1"/>
    <col min="4642" max="4864" width="9" style="80"/>
    <col min="4865" max="4867" width="9" style="80" customWidth="1"/>
    <col min="4868" max="4868" width="10.5" style="80" customWidth="1"/>
    <col min="4869" max="4869" width="11.25" style="80" bestFit="1" customWidth="1"/>
    <col min="4870" max="4871" width="9" style="80"/>
    <col min="4872" max="4881" width="9" style="80" customWidth="1"/>
    <col min="4882" max="4882" width="9" style="80"/>
    <col min="4883" max="4883" width="9.5" style="80" bestFit="1" customWidth="1"/>
    <col min="4884" max="4884" width="9" style="80" customWidth="1"/>
    <col min="4885" max="4885" width="9" style="80"/>
    <col min="4886" max="4886" width="9" style="80" customWidth="1"/>
    <col min="4887" max="4892" width="9" style="80"/>
    <col min="4893" max="4893" width="26.5" style="80" customWidth="1"/>
    <col min="4894" max="4896" width="9" style="80"/>
    <col min="4897" max="4897" width="14.75" style="80" bestFit="1" customWidth="1"/>
    <col min="4898" max="5120" width="9" style="80"/>
    <col min="5121" max="5123" width="9" style="80" customWidth="1"/>
    <col min="5124" max="5124" width="10.5" style="80" customWidth="1"/>
    <col min="5125" max="5125" width="11.25" style="80" bestFit="1" customWidth="1"/>
    <col min="5126" max="5127" width="9" style="80"/>
    <col min="5128" max="5137" width="9" style="80" customWidth="1"/>
    <col min="5138" max="5138" width="9" style="80"/>
    <col min="5139" max="5139" width="9.5" style="80" bestFit="1" customWidth="1"/>
    <col min="5140" max="5140" width="9" style="80" customWidth="1"/>
    <col min="5141" max="5141" width="9" style="80"/>
    <col min="5142" max="5142" width="9" style="80" customWidth="1"/>
    <col min="5143" max="5148" width="9" style="80"/>
    <col min="5149" max="5149" width="26.5" style="80" customWidth="1"/>
    <col min="5150" max="5152" width="9" style="80"/>
    <col min="5153" max="5153" width="14.75" style="80" bestFit="1" customWidth="1"/>
    <col min="5154" max="5376" width="9" style="80"/>
    <col min="5377" max="5379" width="9" style="80" customWidth="1"/>
    <col min="5380" max="5380" width="10.5" style="80" customWidth="1"/>
    <col min="5381" max="5381" width="11.25" style="80" bestFit="1" customWidth="1"/>
    <col min="5382" max="5383" width="9" style="80"/>
    <col min="5384" max="5393" width="9" style="80" customWidth="1"/>
    <col min="5394" max="5394" width="9" style="80"/>
    <col min="5395" max="5395" width="9.5" style="80" bestFit="1" customWidth="1"/>
    <col min="5396" max="5396" width="9" style="80" customWidth="1"/>
    <col min="5397" max="5397" width="9" style="80"/>
    <col min="5398" max="5398" width="9" style="80" customWidth="1"/>
    <col min="5399" max="5404" width="9" style="80"/>
    <col min="5405" max="5405" width="26.5" style="80" customWidth="1"/>
    <col min="5406" max="5408" width="9" style="80"/>
    <col min="5409" max="5409" width="14.75" style="80" bestFit="1" customWidth="1"/>
    <col min="5410" max="5632" width="9" style="80"/>
    <col min="5633" max="5635" width="9" style="80" customWidth="1"/>
    <col min="5636" max="5636" width="10.5" style="80" customWidth="1"/>
    <col min="5637" max="5637" width="11.25" style="80" bestFit="1" customWidth="1"/>
    <col min="5638" max="5639" width="9" style="80"/>
    <col min="5640" max="5649" width="9" style="80" customWidth="1"/>
    <col min="5650" max="5650" width="9" style="80"/>
    <col min="5651" max="5651" width="9.5" style="80" bestFit="1" customWidth="1"/>
    <col min="5652" max="5652" width="9" style="80" customWidth="1"/>
    <col min="5653" max="5653" width="9" style="80"/>
    <col min="5654" max="5654" width="9" style="80" customWidth="1"/>
    <col min="5655" max="5660" width="9" style="80"/>
    <col min="5661" max="5661" width="26.5" style="80" customWidth="1"/>
    <col min="5662" max="5664" width="9" style="80"/>
    <col min="5665" max="5665" width="14.75" style="80" bestFit="1" customWidth="1"/>
    <col min="5666" max="5888" width="9" style="80"/>
    <col min="5889" max="5891" width="9" style="80" customWidth="1"/>
    <col min="5892" max="5892" width="10.5" style="80" customWidth="1"/>
    <col min="5893" max="5893" width="11.25" style="80" bestFit="1" customWidth="1"/>
    <col min="5894" max="5895" width="9" style="80"/>
    <col min="5896" max="5905" width="9" style="80" customWidth="1"/>
    <col min="5906" max="5906" width="9" style="80"/>
    <col min="5907" max="5907" width="9.5" style="80" bestFit="1" customWidth="1"/>
    <col min="5908" max="5908" width="9" style="80" customWidth="1"/>
    <col min="5909" max="5909" width="9" style="80"/>
    <col min="5910" max="5910" width="9" style="80" customWidth="1"/>
    <col min="5911" max="5916" width="9" style="80"/>
    <col min="5917" max="5917" width="26.5" style="80" customWidth="1"/>
    <col min="5918" max="5920" width="9" style="80"/>
    <col min="5921" max="5921" width="14.75" style="80" bestFit="1" customWidth="1"/>
    <col min="5922" max="6144" width="9" style="80"/>
    <col min="6145" max="6147" width="9" style="80" customWidth="1"/>
    <col min="6148" max="6148" width="10.5" style="80" customWidth="1"/>
    <col min="6149" max="6149" width="11.25" style="80" bestFit="1" customWidth="1"/>
    <col min="6150" max="6151" width="9" style="80"/>
    <col min="6152" max="6161" width="9" style="80" customWidth="1"/>
    <col min="6162" max="6162" width="9" style="80"/>
    <col min="6163" max="6163" width="9.5" style="80" bestFit="1" customWidth="1"/>
    <col min="6164" max="6164" width="9" style="80" customWidth="1"/>
    <col min="6165" max="6165" width="9" style="80"/>
    <col min="6166" max="6166" width="9" style="80" customWidth="1"/>
    <col min="6167" max="6172" width="9" style="80"/>
    <col min="6173" max="6173" width="26.5" style="80" customWidth="1"/>
    <col min="6174" max="6176" width="9" style="80"/>
    <col min="6177" max="6177" width="14.75" style="80" bestFit="1" customWidth="1"/>
    <col min="6178" max="6400" width="9" style="80"/>
    <col min="6401" max="6403" width="9" style="80" customWidth="1"/>
    <col min="6404" max="6404" width="10.5" style="80" customWidth="1"/>
    <col min="6405" max="6405" width="11.25" style="80" bestFit="1" customWidth="1"/>
    <col min="6406" max="6407" width="9" style="80"/>
    <col min="6408" max="6417" width="9" style="80" customWidth="1"/>
    <col min="6418" max="6418" width="9" style="80"/>
    <col min="6419" max="6419" width="9.5" style="80" bestFit="1" customWidth="1"/>
    <col min="6420" max="6420" width="9" style="80" customWidth="1"/>
    <col min="6421" max="6421" width="9" style="80"/>
    <col min="6422" max="6422" width="9" style="80" customWidth="1"/>
    <col min="6423" max="6428" width="9" style="80"/>
    <col min="6429" max="6429" width="26.5" style="80" customWidth="1"/>
    <col min="6430" max="6432" width="9" style="80"/>
    <col min="6433" max="6433" width="14.75" style="80" bestFit="1" customWidth="1"/>
    <col min="6434" max="6656" width="9" style="80"/>
    <col min="6657" max="6659" width="9" style="80" customWidth="1"/>
    <col min="6660" max="6660" width="10.5" style="80" customWidth="1"/>
    <col min="6661" max="6661" width="11.25" style="80" bestFit="1" customWidth="1"/>
    <col min="6662" max="6663" width="9" style="80"/>
    <col min="6664" max="6673" width="9" style="80" customWidth="1"/>
    <col min="6674" max="6674" width="9" style="80"/>
    <col min="6675" max="6675" width="9.5" style="80" bestFit="1" customWidth="1"/>
    <col min="6676" max="6676" width="9" style="80" customWidth="1"/>
    <col min="6677" max="6677" width="9" style="80"/>
    <col min="6678" max="6678" width="9" style="80" customWidth="1"/>
    <col min="6679" max="6684" width="9" style="80"/>
    <col min="6685" max="6685" width="26.5" style="80" customWidth="1"/>
    <col min="6686" max="6688" width="9" style="80"/>
    <col min="6689" max="6689" width="14.75" style="80" bestFit="1" customWidth="1"/>
    <col min="6690" max="6912" width="9" style="80"/>
    <col min="6913" max="6915" width="9" style="80" customWidth="1"/>
    <col min="6916" max="6916" width="10.5" style="80" customWidth="1"/>
    <col min="6917" max="6917" width="11.25" style="80" bestFit="1" customWidth="1"/>
    <col min="6918" max="6919" width="9" style="80"/>
    <col min="6920" max="6929" width="9" style="80" customWidth="1"/>
    <col min="6930" max="6930" width="9" style="80"/>
    <col min="6931" max="6931" width="9.5" style="80" bestFit="1" customWidth="1"/>
    <col min="6932" max="6932" width="9" style="80" customWidth="1"/>
    <col min="6933" max="6933" width="9" style="80"/>
    <col min="6934" max="6934" width="9" style="80" customWidth="1"/>
    <col min="6935" max="6940" width="9" style="80"/>
    <col min="6941" max="6941" width="26.5" style="80" customWidth="1"/>
    <col min="6942" max="6944" width="9" style="80"/>
    <col min="6945" max="6945" width="14.75" style="80" bestFit="1" customWidth="1"/>
    <col min="6946" max="7168" width="9" style="80"/>
    <col min="7169" max="7171" width="9" style="80" customWidth="1"/>
    <col min="7172" max="7172" width="10.5" style="80" customWidth="1"/>
    <col min="7173" max="7173" width="11.25" style="80" bestFit="1" customWidth="1"/>
    <col min="7174" max="7175" width="9" style="80"/>
    <col min="7176" max="7185" width="9" style="80" customWidth="1"/>
    <col min="7186" max="7186" width="9" style="80"/>
    <col min="7187" max="7187" width="9.5" style="80" bestFit="1" customWidth="1"/>
    <col min="7188" max="7188" width="9" style="80" customWidth="1"/>
    <col min="7189" max="7189" width="9" style="80"/>
    <col min="7190" max="7190" width="9" style="80" customWidth="1"/>
    <col min="7191" max="7196" width="9" style="80"/>
    <col min="7197" max="7197" width="26.5" style="80" customWidth="1"/>
    <col min="7198" max="7200" width="9" style="80"/>
    <col min="7201" max="7201" width="14.75" style="80" bestFit="1" customWidth="1"/>
    <col min="7202" max="7424" width="9" style="80"/>
    <col min="7425" max="7427" width="9" style="80" customWidth="1"/>
    <col min="7428" max="7428" width="10.5" style="80" customWidth="1"/>
    <col min="7429" max="7429" width="11.25" style="80" bestFit="1" customWidth="1"/>
    <col min="7430" max="7431" width="9" style="80"/>
    <col min="7432" max="7441" width="9" style="80" customWidth="1"/>
    <col min="7442" max="7442" width="9" style="80"/>
    <col min="7443" max="7443" width="9.5" style="80" bestFit="1" customWidth="1"/>
    <col min="7444" max="7444" width="9" style="80" customWidth="1"/>
    <col min="7445" max="7445" width="9" style="80"/>
    <col min="7446" max="7446" width="9" style="80" customWidth="1"/>
    <col min="7447" max="7452" width="9" style="80"/>
    <col min="7453" max="7453" width="26.5" style="80" customWidth="1"/>
    <col min="7454" max="7456" width="9" style="80"/>
    <col min="7457" max="7457" width="14.75" style="80" bestFit="1" customWidth="1"/>
    <col min="7458" max="7680" width="9" style="80"/>
    <col min="7681" max="7683" width="9" style="80" customWidth="1"/>
    <col min="7684" max="7684" width="10.5" style="80" customWidth="1"/>
    <col min="7685" max="7685" width="11.25" style="80" bestFit="1" customWidth="1"/>
    <col min="7686" max="7687" width="9" style="80"/>
    <col min="7688" max="7697" width="9" style="80" customWidth="1"/>
    <col min="7698" max="7698" width="9" style="80"/>
    <col min="7699" max="7699" width="9.5" style="80" bestFit="1" customWidth="1"/>
    <col min="7700" max="7700" width="9" style="80" customWidth="1"/>
    <col min="7701" max="7701" width="9" style="80"/>
    <col min="7702" max="7702" width="9" style="80" customWidth="1"/>
    <col min="7703" max="7708" width="9" style="80"/>
    <col min="7709" max="7709" width="26.5" style="80" customWidth="1"/>
    <col min="7710" max="7712" width="9" style="80"/>
    <col min="7713" max="7713" width="14.75" style="80" bestFit="1" customWidth="1"/>
    <col min="7714" max="7936" width="9" style="80"/>
    <col min="7937" max="7939" width="9" style="80" customWidth="1"/>
    <col min="7940" max="7940" width="10.5" style="80" customWidth="1"/>
    <col min="7941" max="7941" width="11.25" style="80" bestFit="1" customWidth="1"/>
    <col min="7942" max="7943" width="9" style="80"/>
    <col min="7944" max="7953" width="9" style="80" customWidth="1"/>
    <col min="7954" max="7954" width="9" style="80"/>
    <col min="7955" max="7955" width="9.5" style="80" bestFit="1" customWidth="1"/>
    <col min="7956" max="7956" width="9" style="80" customWidth="1"/>
    <col min="7957" max="7957" width="9" style="80"/>
    <col min="7958" max="7958" width="9" style="80" customWidth="1"/>
    <col min="7959" max="7964" width="9" style="80"/>
    <col min="7965" max="7965" width="26.5" style="80" customWidth="1"/>
    <col min="7966" max="7968" width="9" style="80"/>
    <col min="7969" max="7969" width="14.75" style="80" bestFit="1" customWidth="1"/>
    <col min="7970" max="8192" width="9" style="80"/>
    <col min="8193" max="8195" width="9" style="80" customWidth="1"/>
    <col min="8196" max="8196" width="10.5" style="80" customWidth="1"/>
    <col min="8197" max="8197" width="11.25" style="80" bestFit="1" customWidth="1"/>
    <col min="8198" max="8199" width="9" style="80"/>
    <col min="8200" max="8209" width="9" style="80" customWidth="1"/>
    <col min="8210" max="8210" width="9" style="80"/>
    <col min="8211" max="8211" width="9.5" style="80" bestFit="1" customWidth="1"/>
    <col min="8212" max="8212" width="9" style="80" customWidth="1"/>
    <col min="8213" max="8213" width="9" style="80"/>
    <col min="8214" max="8214" width="9" style="80" customWidth="1"/>
    <col min="8215" max="8220" width="9" style="80"/>
    <col min="8221" max="8221" width="26.5" style="80" customWidth="1"/>
    <col min="8222" max="8224" width="9" style="80"/>
    <col min="8225" max="8225" width="14.75" style="80" bestFit="1" customWidth="1"/>
    <col min="8226" max="8448" width="9" style="80"/>
    <col min="8449" max="8451" width="9" style="80" customWidth="1"/>
    <col min="8452" max="8452" width="10.5" style="80" customWidth="1"/>
    <col min="8453" max="8453" width="11.25" style="80" bestFit="1" customWidth="1"/>
    <col min="8454" max="8455" width="9" style="80"/>
    <col min="8456" max="8465" width="9" style="80" customWidth="1"/>
    <col min="8466" max="8466" width="9" style="80"/>
    <col min="8467" max="8467" width="9.5" style="80" bestFit="1" customWidth="1"/>
    <col min="8468" max="8468" width="9" style="80" customWidth="1"/>
    <col min="8469" max="8469" width="9" style="80"/>
    <col min="8470" max="8470" width="9" style="80" customWidth="1"/>
    <col min="8471" max="8476" width="9" style="80"/>
    <col min="8477" max="8477" width="26.5" style="80" customWidth="1"/>
    <col min="8478" max="8480" width="9" style="80"/>
    <col min="8481" max="8481" width="14.75" style="80" bestFit="1" customWidth="1"/>
    <col min="8482" max="8704" width="9" style="80"/>
    <col min="8705" max="8707" width="9" style="80" customWidth="1"/>
    <col min="8708" max="8708" width="10.5" style="80" customWidth="1"/>
    <col min="8709" max="8709" width="11.25" style="80" bestFit="1" customWidth="1"/>
    <col min="8710" max="8711" width="9" style="80"/>
    <col min="8712" max="8721" width="9" style="80" customWidth="1"/>
    <col min="8722" max="8722" width="9" style="80"/>
    <col min="8723" max="8723" width="9.5" style="80" bestFit="1" customWidth="1"/>
    <col min="8724" max="8724" width="9" style="80" customWidth="1"/>
    <col min="8725" max="8725" width="9" style="80"/>
    <col min="8726" max="8726" width="9" style="80" customWidth="1"/>
    <col min="8727" max="8732" width="9" style="80"/>
    <col min="8733" max="8733" width="26.5" style="80" customWidth="1"/>
    <col min="8734" max="8736" width="9" style="80"/>
    <col min="8737" max="8737" width="14.75" style="80" bestFit="1" customWidth="1"/>
    <col min="8738" max="8960" width="9" style="80"/>
    <col min="8961" max="8963" width="9" style="80" customWidth="1"/>
    <col min="8964" max="8964" width="10.5" style="80" customWidth="1"/>
    <col min="8965" max="8965" width="11.25" style="80" bestFit="1" customWidth="1"/>
    <col min="8966" max="8967" width="9" style="80"/>
    <col min="8968" max="8977" width="9" style="80" customWidth="1"/>
    <col min="8978" max="8978" width="9" style="80"/>
    <col min="8979" max="8979" width="9.5" style="80" bestFit="1" customWidth="1"/>
    <col min="8980" max="8980" width="9" style="80" customWidth="1"/>
    <col min="8981" max="8981" width="9" style="80"/>
    <col min="8982" max="8982" width="9" style="80" customWidth="1"/>
    <col min="8983" max="8988" width="9" style="80"/>
    <col min="8989" max="8989" width="26.5" style="80" customWidth="1"/>
    <col min="8990" max="8992" width="9" style="80"/>
    <col min="8993" max="8993" width="14.75" style="80" bestFit="1" customWidth="1"/>
    <col min="8994" max="9216" width="9" style="80"/>
    <col min="9217" max="9219" width="9" style="80" customWidth="1"/>
    <col min="9220" max="9220" width="10.5" style="80" customWidth="1"/>
    <col min="9221" max="9221" width="11.25" style="80" bestFit="1" customWidth="1"/>
    <col min="9222" max="9223" width="9" style="80"/>
    <col min="9224" max="9233" width="9" style="80" customWidth="1"/>
    <col min="9234" max="9234" width="9" style="80"/>
    <col min="9235" max="9235" width="9.5" style="80" bestFit="1" customWidth="1"/>
    <col min="9236" max="9236" width="9" style="80" customWidth="1"/>
    <col min="9237" max="9237" width="9" style="80"/>
    <col min="9238" max="9238" width="9" style="80" customWidth="1"/>
    <col min="9239" max="9244" width="9" style="80"/>
    <col min="9245" max="9245" width="26.5" style="80" customWidth="1"/>
    <col min="9246" max="9248" width="9" style="80"/>
    <col min="9249" max="9249" width="14.75" style="80" bestFit="1" customWidth="1"/>
    <col min="9250" max="9472" width="9" style="80"/>
    <col min="9473" max="9475" width="9" style="80" customWidth="1"/>
    <col min="9476" max="9476" width="10.5" style="80" customWidth="1"/>
    <col min="9477" max="9477" width="11.25" style="80" bestFit="1" customWidth="1"/>
    <col min="9478" max="9479" width="9" style="80"/>
    <col min="9480" max="9489" width="9" style="80" customWidth="1"/>
    <col min="9490" max="9490" width="9" style="80"/>
    <col min="9491" max="9491" width="9.5" style="80" bestFit="1" customWidth="1"/>
    <col min="9492" max="9492" width="9" style="80" customWidth="1"/>
    <col min="9493" max="9493" width="9" style="80"/>
    <col min="9494" max="9494" width="9" style="80" customWidth="1"/>
    <col min="9495" max="9500" width="9" style="80"/>
    <col min="9501" max="9501" width="26.5" style="80" customWidth="1"/>
    <col min="9502" max="9504" width="9" style="80"/>
    <col min="9505" max="9505" width="14.75" style="80" bestFit="1" customWidth="1"/>
    <col min="9506" max="9728" width="9" style="80"/>
    <col min="9729" max="9731" width="9" style="80" customWidth="1"/>
    <col min="9732" max="9732" width="10.5" style="80" customWidth="1"/>
    <col min="9733" max="9733" width="11.25" style="80" bestFit="1" customWidth="1"/>
    <col min="9734" max="9735" width="9" style="80"/>
    <col min="9736" max="9745" width="9" style="80" customWidth="1"/>
    <col min="9746" max="9746" width="9" style="80"/>
    <col min="9747" max="9747" width="9.5" style="80" bestFit="1" customWidth="1"/>
    <col min="9748" max="9748" width="9" style="80" customWidth="1"/>
    <col min="9749" max="9749" width="9" style="80"/>
    <col min="9750" max="9750" width="9" style="80" customWidth="1"/>
    <col min="9751" max="9756" width="9" style="80"/>
    <col min="9757" max="9757" width="26.5" style="80" customWidth="1"/>
    <col min="9758" max="9760" width="9" style="80"/>
    <col min="9761" max="9761" width="14.75" style="80" bestFit="1" customWidth="1"/>
    <col min="9762" max="9984" width="9" style="80"/>
    <col min="9985" max="9987" width="9" style="80" customWidth="1"/>
    <col min="9988" max="9988" width="10.5" style="80" customWidth="1"/>
    <col min="9989" max="9989" width="11.25" style="80" bestFit="1" customWidth="1"/>
    <col min="9990" max="9991" width="9" style="80"/>
    <col min="9992" max="10001" width="9" style="80" customWidth="1"/>
    <col min="10002" max="10002" width="9" style="80"/>
    <col min="10003" max="10003" width="9.5" style="80" bestFit="1" customWidth="1"/>
    <col min="10004" max="10004" width="9" style="80" customWidth="1"/>
    <col min="10005" max="10005" width="9" style="80"/>
    <col min="10006" max="10006" width="9" style="80" customWidth="1"/>
    <col min="10007" max="10012" width="9" style="80"/>
    <col min="10013" max="10013" width="26.5" style="80" customWidth="1"/>
    <col min="10014" max="10016" width="9" style="80"/>
    <col min="10017" max="10017" width="14.75" style="80" bestFit="1" customWidth="1"/>
    <col min="10018" max="10240" width="9" style="80"/>
    <col min="10241" max="10243" width="9" style="80" customWidth="1"/>
    <col min="10244" max="10244" width="10.5" style="80" customWidth="1"/>
    <col min="10245" max="10245" width="11.25" style="80" bestFit="1" customWidth="1"/>
    <col min="10246" max="10247" width="9" style="80"/>
    <col min="10248" max="10257" width="9" style="80" customWidth="1"/>
    <col min="10258" max="10258" width="9" style="80"/>
    <col min="10259" max="10259" width="9.5" style="80" bestFit="1" customWidth="1"/>
    <col min="10260" max="10260" width="9" style="80" customWidth="1"/>
    <col min="10261" max="10261" width="9" style="80"/>
    <col min="10262" max="10262" width="9" style="80" customWidth="1"/>
    <col min="10263" max="10268" width="9" style="80"/>
    <col min="10269" max="10269" width="26.5" style="80" customWidth="1"/>
    <col min="10270" max="10272" width="9" style="80"/>
    <col min="10273" max="10273" width="14.75" style="80" bestFit="1" customWidth="1"/>
    <col min="10274" max="10496" width="9" style="80"/>
    <col min="10497" max="10499" width="9" style="80" customWidth="1"/>
    <col min="10500" max="10500" width="10.5" style="80" customWidth="1"/>
    <col min="10501" max="10501" width="11.25" style="80" bestFit="1" customWidth="1"/>
    <col min="10502" max="10503" width="9" style="80"/>
    <col min="10504" max="10513" width="9" style="80" customWidth="1"/>
    <col min="10514" max="10514" width="9" style="80"/>
    <col min="10515" max="10515" width="9.5" style="80" bestFit="1" customWidth="1"/>
    <col min="10516" max="10516" width="9" style="80" customWidth="1"/>
    <col min="10517" max="10517" width="9" style="80"/>
    <col min="10518" max="10518" width="9" style="80" customWidth="1"/>
    <col min="10519" max="10524" width="9" style="80"/>
    <col min="10525" max="10525" width="26.5" style="80" customWidth="1"/>
    <col min="10526" max="10528" width="9" style="80"/>
    <col min="10529" max="10529" width="14.75" style="80" bestFit="1" customWidth="1"/>
    <col min="10530" max="10752" width="9" style="80"/>
    <col min="10753" max="10755" width="9" style="80" customWidth="1"/>
    <col min="10756" max="10756" width="10.5" style="80" customWidth="1"/>
    <col min="10757" max="10757" width="11.25" style="80" bestFit="1" customWidth="1"/>
    <col min="10758" max="10759" width="9" style="80"/>
    <col min="10760" max="10769" width="9" style="80" customWidth="1"/>
    <col min="10770" max="10770" width="9" style="80"/>
    <col min="10771" max="10771" width="9.5" style="80" bestFit="1" customWidth="1"/>
    <col min="10772" max="10772" width="9" style="80" customWidth="1"/>
    <col min="10773" max="10773" width="9" style="80"/>
    <col min="10774" max="10774" width="9" style="80" customWidth="1"/>
    <col min="10775" max="10780" width="9" style="80"/>
    <col min="10781" max="10781" width="26.5" style="80" customWidth="1"/>
    <col min="10782" max="10784" width="9" style="80"/>
    <col min="10785" max="10785" width="14.75" style="80" bestFit="1" customWidth="1"/>
    <col min="10786" max="11008" width="9" style="80"/>
    <col min="11009" max="11011" width="9" style="80" customWidth="1"/>
    <col min="11012" max="11012" width="10.5" style="80" customWidth="1"/>
    <col min="11013" max="11013" width="11.25" style="80" bestFit="1" customWidth="1"/>
    <col min="11014" max="11015" width="9" style="80"/>
    <col min="11016" max="11025" width="9" style="80" customWidth="1"/>
    <col min="11026" max="11026" width="9" style="80"/>
    <col min="11027" max="11027" width="9.5" style="80" bestFit="1" customWidth="1"/>
    <col min="11028" max="11028" width="9" style="80" customWidth="1"/>
    <col min="11029" max="11029" width="9" style="80"/>
    <col min="11030" max="11030" width="9" style="80" customWidth="1"/>
    <col min="11031" max="11036" width="9" style="80"/>
    <col min="11037" max="11037" width="26.5" style="80" customWidth="1"/>
    <col min="11038" max="11040" width="9" style="80"/>
    <col min="11041" max="11041" width="14.75" style="80" bestFit="1" customWidth="1"/>
    <col min="11042" max="11264" width="9" style="80"/>
    <col min="11265" max="11267" width="9" style="80" customWidth="1"/>
    <col min="11268" max="11268" width="10.5" style="80" customWidth="1"/>
    <col min="11269" max="11269" width="11.25" style="80" bestFit="1" customWidth="1"/>
    <col min="11270" max="11271" width="9" style="80"/>
    <col min="11272" max="11281" width="9" style="80" customWidth="1"/>
    <col min="11282" max="11282" width="9" style="80"/>
    <col min="11283" max="11283" width="9.5" style="80" bestFit="1" customWidth="1"/>
    <col min="11284" max="11284" width="9" style="80" customWidth="1"/>
    <col min="11285" max="11285" width="9" style="80"/>
    <col min="11286" max="11286" width="9" style="80" customWidth="1"/>
    <col min="11287" max="11292" width="9" style="80"/>
    <col min="11293" max="11293" width="26.5" style="80" customWidth="1"/>
    <col min="11294" max="11296" width="9" style="80"/>
    <col min="11297" max="11297" width="14.75" style="80" bestFit="1" customWidth="1"/>
    <col min="11298" max="11520" width="9" style="80"/>
    <col min="11521" max="11523" width="9" style="80" customWidth="1"/>
    <col min="11524" max="11524" width="10.5" style="80" customWidth="1"/>
    <col min="11525" max="11525" width="11.25" style="80" bestFit="1" customWidth="1"/>
    <col min="11526" max="11527" width="9" style="80"/>
    <col min="11528" max="11537" width="9" style="80" customWidth="1"/>
    <col min="11538" max="11538" width="9" style="80"/>
    <col min="11539" max="11539" width="9.5" style="80" bestFit="1" customWidth="1"/>
    <col min="11540" max="11540" width="9" style="80" customWidth="1"/>
    <col min="11541" max="11541" width="9" style="80"/>
    <col min="11542" max="11542" width="9" style="80" customWidth="1"/>
    <col min="11543" max="11548" width="9" style="80"/>
    <col min="11549" max="11549" width="26.5" style="80" customWidth="1"/>
    <col min="11550" max="11552" width="9" style="80"/>
    <col min="11553" max="11553" width="14.75" style="80" bestFit="1" customWidth="1"/>
    <col min="11554" max="11776" width="9" style="80"/>
    <col min="11777" max="11779" width="9" style="80" customWidth="1"/>
    <col min="11780" max="11780" width="10.5" style="80" customWidth="1"/>
    <col min="11781" max="11781" width="11.25" style="80" bestFit="1" customWidth="1"/>
    <col min="11782" max="11783" width="9" style="80"/>
    <col min="11784" max="11793" width="9" style="80" customWidth="1"/>
    <col min="11794" max="11794" width="9" style="80"/>
    <col min="11795" max="11795" width="9.5" style="80" bestFit="1" customWidth="1"/>
    <col min="11796" max="11796" width="9" style="80" customWidth="1"/>
    <col min="11797" max="11797" width="9" style="80"/>
    <col min="11798" max="11798" width="9" style="80" customWidth="1"/>
    <col min="11799" max="11804" width="9" style="80"/>
    <col min="11805" max="11805" width="26.5" style="80" customWidth="1"/>
    <col min="11806" max="11808" width="9" style="80"/>
    <col min="11809" max="11809" width="14.75" style="80" bestFit="1" customWidth="1"/>
    <col min="11810" max="12032" width="9" style="80"/>
    <col min="12033" max="12035" width="9" style="80" customWidth="1"/>
    <col min="12036" max="12036" width="10.5" style="80" customWidth="1"/>
    <col min="12037" max="12037" width="11.25" style="80" bestFit="1" customWidth="1"/>
    <col min="12038" max="12039" width="9" style="80"/>
    <col min="12040" max="12049" width="9" style="80" customWidth="1"/>
    <col min="12050" max="12050" width="9" style="80"/>
    <col min="12051" max="12051" width="9.5" style="80" bestFit="1" customWidth="1"/>
    <col min="12052" max="12052" width="9" style="80" customWidth="1"/>
    <col min="12053" max="12053" width="9" style="80"/>
    <col min="12054" max="12054" width="9" style="80" customWidth="1"/>
    <col min="12055" max="12060" width="9" style="80"/>
    <col min="12061" max="12061" width="26.5" style="80" customWidth="1"/>
    <col min="12062" max="12064" width="9" style="80"/>
    <col min="12065" max="12065" width="14.75" style="80" bestFit="1" customWidth="1"/>
    <col min="12066" max="12288" width="9" style="80"/>
    <col min="12289" max="12291" width="9" style="80" customWidth="1"/>
    <col min="12292" max="12292" width="10.5" style="80" customWidth="1"/>
    <col min="12293" max="12293" width="11.25" style="80" bestFit="1" customWidth="1"/>
    <col min="12294" max="12295" width="9" style="80"/>
    <col min="12296" max="12305" width="9" style="80" customWidth="1"/>
    <col min="12306" max="12306" width="9" style="80"/>
    <col min="12307" max="12307" width="9.5" style="80" bestFit="1" customWidth="1"/>
    <col min="12308" max="12308" width="9" style="80" customWidth="1"/>
    <col min="12309" max="12309" width="9" style="80"/>
    <col min="12310" max="12310" width="9" style="80" customWidth="1"/>
    <col min="12311" max="12316" width="9" style="80"/>
    <col min="12317" max="12317" width="26.5" style="80" customWidth="1"/>
    <col min="12318" max="12320" width="9" style="80"/>
    <col min="12321" max="12321" width="14.75" style="80" bestFit="1" customWidth="1"/>
    <col min="12322" max="12544" width="9" style="80"/>
    <col min="12545" max="12547" width="9" style="80" customWidth="1"/>
    <col min="12548" max="12548" width="10.5" style="80" customWidth="1"/>
    <col min="12549" max="12549" width="11.25" style="80" bestFit="1" customWidth="1"/>
    <col min="12550" max="12551" width="9" style="80"/>
    <col min="12552" max="12561" width="9" style="80" customWidth="1"/>
    <col min="12562" max="12562" width="9" style="80"/>
    <col min="12563" max="12563" width="9.5" style="80" bestFit="1" customWidth="1"/>
    <col min="12564" max="12564" width="9" style="80" customWidth="1"/>
    <col min="12565" max="12565" width="9" style="80"/>
    <col min="12566" max="12566" width="9" style="80" customWidth="1"/>
    <col min="12567" max="12572" width="9" style="80"/>
    <col min="12573" max="12573" width="26.5" style="80" customWidth="1"/>
    <col min="12574" max="12576" width="9" style="80"/>
    <col min="12577" max="12577" width="14.75" style="80" bestFit="1" customWidth="1"/>
    <col min="12578" max="12800" width="9" style="80"/>
    <col min="12801" max="12803" width="9" style="80" customWidth="1"/>
    <col min="12804" max="12804" width="10.5" style="80" customWidth="1"/>
    <col min="12805" max="12805" width="11.25" style="80" bestFit="1" customWidth="1"/>
    <col min="12806" max="12807" width="9" style="80"/>
    <col min="12808" max="12817" width="9" style="80" customWidth="1"/>
    <col min="12818" max="12818" width="9" style="80"/>
    <col min="12819" max="12819" width="9.5" style="80" bestFit="1" customWidth="1"/>
    <col min="12820" max="12820" width="9" style="80" customWidth="1"/>
    <col min="12821" max="12821" width="9" style="80"/>
    <col min="12822" max="12822" width="9" style="80" customWidth="1"/>
    <col min="12823" max="12828" width="9" style="80"/>
    <col min="12829" max="12829" width="26.5" style="80" customWidth="1"/>
    <col min="12830" max="12832" width="9" style="80"/>
    <col min="12833" max="12833" width="14.75" style="80" bestFit="1" customWidth="1"/>
    <col min="12834" max="13056" width="9" style="80"/>
    <col min="13057" max="13059" width="9" style="80" customWidth="1"/>
    <col min="13060" max="13060" width="10.5" style="80" customWidth="1"/>
    <col min="13061" max="13061" width="11.25" style="80" bestFit="1" customWidth="1"/>
    <col min="13062" max="13063" width="9" style="80"/>
    <col min="13064" max="13073" width="9" style="80" customWidth="1"/>
    <col min="13074" max="13074" width="9" style="80"/>
    <col min="13075" max="13075" width="9.5" style="80" bestFit="1" customWidth="1"/>
    <col min="13076" max="13076" width="9" style="80" customWidth="1"/>
    <col min="13077" max="13077" width="9" style="80"/>
    <col min="13078" max="13078" width="9" style="80" customWidth="1"/>
    <col min="13079" max="13084" width="9" style="80"/>
    <col min="13085" max="13085" width="26.5" style="80" customWidth="1"/>
    <col min="13086" max="13088" width="9" style="80"/>
    <col min="13089" max="13089" width="14.75" style="80" bestFit="1" customWidth="1"/>
    <col min="13090" max="13312" width="9" style="80"/>
    <col min="13313" max="13315" width="9" style="80" customWidth="1"/>
    <col min="13316" max="13316" width="10.5" style="80" customWidth="1"/>
    <col min="13317" max="13317" width="11.25" style="80" bestFit="1" customWidth="1"/>
    <col min="13318" max="13319" width="9" style="80"/>
    <col min="13320" max="13329" width="9" style="80" customWidth="1"/>
    <col min="13330" max="13330" width="9" style="80"/>
    <col min="13331" max="13331" width="9.5" style="80" bestFit="1" customWidth="1"/>
    <col min="13332" max="13332" width="9" style="80" customWidth="1"/>
    <col min="13333" max="13333" width="9" style="80"/>
    <col min="13334" max="13334" width="9" style="80" customWidth="1"/>
    <col min="13335" max="13340" width="9" style="80"/>
    <col min="13341" max="13341" width="26.5" style="80" customWidth="1"/>
    <col min="13342" max="13344" width="9" style="80"/>
    <col min="13345" max="13345" width="14.75" style="80" bestFit="1" customWidth="1"/>
    <col min="13346" max="13568" width="9" style="80"/>
    <col min="13569" max="13571" width="9" style="80" customWidth="1"/>
    <col min="13572" max="13572" width="10.5" style="80" customWidth="1"/>
    <col min="13573" max="13573" width="11.25" style="80" bestFit="1" customWidth="1"/>
    <col min="13574" max="13575" width="9" style="80"/>
    <col min="13576" max="13585" width="9" style="80" customWidth="1"/>
    <col min="13586" max="13586" width="9" style="80"/>
    <col min="13587" max="13587" width="9.5" style="80" bestFit="1" customWidth="1"/>
    <col min="13588" max="13588" width="9" style="80" customWidth="1"/>
    <col min="13589" max="13589" width="9" style="80"/>
    <col min="13590" max="13590" width="9" style="80" customWidth="1"/>
    <col min="13591" max="13596" width="9" style="80"/>
    <col min="13597" max="13597" width="26.5" style="80" customWidth="1"/>
    <col min="13598" max="13600" width="9" style="80"/>
    <col min="13601" max="13601" width="14.75" style="80" bestFit="1" customWidth="1"/>
    <col min="13602" max="13824" width="9" style="80"/>
    <col min="13825" max="13827" width="9" style="80" customWidth="1"/>
    <col min="13828" max="13828" width="10.5" style="80" customWidth="1"/>
    <col min="13829" max="13829" width="11.25" style="80" bestFit="1" customWidth="1"/>
    <col min="13830" max="13831" width="9" style="80"/>
    <col min="13832" max="13841" width="9" style="80" customWidth="1"/>
    <col min="13842" max="13842" width="9" style="80"/>
    <col min="13843" max="13843" width="9.5" style="80" bestFit="1" customWidth="1"/>
    <col min="13844" max="13844" width="9" style="80" customWidth="1"/>
    <col min="13845" max="13845" width="9" style="80"/>
    <col min="13846" max="13846" width="9" style="80" customWidth="1"/>
    <col min="13847" max="13852" width="9" style="80"/>
    <col min="13853" max="13853" width="26.5" style="80" customWidth="1"/>
    <col min="13854" max="13856" width="9" style="80"/>
    <col min="13857" max="13857" width="14.75" style="80" bestFit="1" customWidth="1"/>
    <col min="13858" max="14080" width="9" style="80"/>
    <col min="14081" max="14083" width="9" style="80" customWidth="1"/>
    <col min="14084" max="14084" width="10.5" style="80" customWidth="1"/>
    <col min="14085" max="14085" width="11.25" style="80" bestFit="1" customWidth="1"/>
    <col min="14086" max="14087" width="9" style="80"/>
    <col min="14088" max="14097" width="9" style="80" customWidth="1"/>
    <col min="14098" max="14098" width="9" style="80"/>
    <col min="14099" max="14099" width="9.5" style="80" bestFit="1" customWidth="1"/>
    <col min="14100" max="14100" width="9" style="80" customWidth="1"/>
    <col min="14101" max="14101" width="9" style="80"/>
    <col min="14102" max="14102" width="9" style="80" customWidth="1"/>
    <col min="14103" max="14108" width="9" style="80"/>
    <col min="14109" max="14109" width="26.5" style="80" customWidth="1"/>
    <col min="14110" max="14112" width="9" style="80"/>
    <col min="14113" max="14113" width="14.75" style="80" bestFit="1" customWidth="1"/>
    <col min="14114" max="14336" width="9" style="80"/>
    <col min="14337" max="14339" width="9" style="80" customWidth="1"/>
    <col min="14340" max="14340" width="10.5" style="80" customWidth="1"/>
    <col min="14341" max="14341" width="11.25" style="80" bestFit="1" customWidth="1"/>
    <col min="14342" max="14343" width="9" style="80"/>
    <col min="14344" max="14353" width="9" style="80" customWidth="1"/>
    <col min="14354" max="14354" width="9" style="80"/>
    <col min="14355" max="14355" width="9.5" style="80" bestFit="1" customWidth="1"/>
    <col min="14356" max="14356" width="9" style="80" customWidth="1"/>
    <col min="14357" max="14357" width="9" style="80"/>
    <col min="14358" max="14358" width="9" style="80" customWidth="1"/>
    <col min="14359" max="14364" width="9" style="80"/>
    <col min="14365" max="14365" width="26.5" style="80" customWidth="1"/>
    <col min="14366" max="14368" width="9" style="80"/>
    <col min="14369" max="14369" width="14.75" style="80" bestFit="1" customWidth="1"/>
    <col min="14370" max="14592" width="9" style="80"/>
    <col min="14593" max="14595" width="9" style="80" customWidth="1"/>
    <col min="14596" max="14596" width="10.5" style="80" customWidth="1"/>
    <col min="14597" max="14597" width="11.25" style="80" bestFit="1" customWidth="1"/>
    <col min="14598" max="14599" width="9" style="80"/>
    <col min="14600" max="14609" width="9" style="80" customWidth="1"/>
    <col min="14610" max="14610" width="9" style="80"/>
    <col min="14611" max="14611" width="9.5" style="80" bestFit="1" customWidth="1"/>
    <col min="14612" max="14612" width="9" style="80" customWidth="1"/>
    <col min="14613" max="14613" width="9" style="80"/>
    <col min="14614" max="14614" width="9" style="80" customWidth="1"/>
    <col min="14615" max="14620" width="9" style="80"/>
    <col min="14621" max="14621" width="26.5" style="80" customWidth="1"/>
    <col min="14622" max="14624" width="9" style="80"/>
    <col min="14625" max="14625" width="14.75" style="80" bestFit="1" customWidth="1"/>
    <col min="14626" max="14848" width="9" style="80"/>
    <col min="14849" max="14851" width="9" style="80" customWidth="1"/>
    <col min="14852" max="14852" width="10.5" style="80" customWidth="1"/>
    <col min="14853" max="14853" width="11.25" style="80" bestFit="1" customWidth="1"/>
    <col min="14854" max="14855" width="9" style="80"/>
    <col min="14856" max="14865" width="9" style="80" customWidth="1"/>
    <col min="14866" max="14866" width="9" style="80"/>
    <col min="14867" max="14867" width="9.5" style="80" bestFit="1" customWidth="1"/>
    <col min="14868" max="14868" width="9" style="80" customWidth="1"/>
    <col min="14869" max="14869" width="9" style="80"/>
    <col min="14870" max="14870" width="9" style="80" customWidth="1"/>
    <col min="14871" max="14876" width="9" style="80"/>
    <col min="14877" max="14877" width="26.5" style="80" customWidth="1"/>
    <col min="14878" max="14880" width="9" style="80"/>
    <col min="14881" max="14881" width="14.75" style="80" bestFit="1" customWidth="1"/>
    <col min="14882" max="15104" width="9" style="80"/>
    <col min="15105" max="15107" width="9" style="80" customWidth="1"/>
    <col min="15108" max="15108" width="10.5" style="80" customWidth="1"/>
    <col min="15109" max="15109" width="11.25" style="80" bestFit="1" customWidth="1"/>
    <col min="15110" max="15111" width="9" style="80"/>
    <col min="15112" max="15121" width="9" style="80" customWidth="1"/>
    <col min="15122" max="15122" width="9" style="80"/>
    <col min="15123" max="15123" width="9.5" style="80" bestFit="1" customWidth="1"/>
    <col min="15124" max="15124" width="9" style="80" customWidth="1"/>
    <col min="15125" max="15125" width="9" style="80"/>
    <col min="15126" max="15126" width="9" style="80" customWidth="1"/>
    <col min="15127" max="15132" width="9" style="80"/>
    <col min="15133" max="15133" width="26.5" style="80" customWidth="1"/>
    <col min="15134" max="15136" width="9" style="80"/>
    <col min="15137" max="15137" width="14.75" style="80" bestFit="1" customWidth="1"/>
    <col min="15138" max="15360" width="9" style="80"/>
    <col min="15361" max="15363" width="9" style="80" customWidth="1"/>
    <col min="15364" max="15364" width="10.5" style="80" customWidth="1"/>
    <col min="15365" max="15365" width="11.25" style="80" bestFit="1" customWidth="1"/>
    <col min="15366" max="15367" width="9" style="80"/>
    <col min="15368" max="15377" width="9" style="80" customWidth="1"/>
    <col min="15378" max="15378" width="9" style="80"/>
    <col min="15379" max="15379" width="9.5" style="80" bestFit="1" customWidth="1"/>
    <col min="15380" max="15380" width="9" style="80" customWidth="1"/>
    <col min="15381" max="15381" width="9" style="80"/>
    <col min="15382" max="15382" width="9" style="80" customWidth="1"/>
    <col min="15383" max="15388" width="9" style="80"/>
    <col min="15389" max="15389" width="26.5" style="80" customWidth="1"/>
    <col min="15390" max="15392" width="9" style="80"/>
    <col min="15393" max="15393" width="14.75" style="80" bestFit="1" customWidth="1"/>
    <col min="15394" max="15616" width="9" style="80"/>
    <col min="15617" max="15619" width="9" style="80" customWidth="1"/>
    <col min="15620" max="15620" width="10.5" style="80" customWidth="1"/>
    <col min="15621" max="15621" width="11.25" style="80" bestFit="1" customWidth="1"/>
    <col min="15622" max="15623" width="9" style="80"/>
    <col min="15624" max="15633" width="9" style="80" customWidth="1"/>
    <col min="15634" max="15634" width="9" style="80"/>
    <col min="15635" max="15635" width="9.5" style="80" bestFit="1" customWidth="1"/>
    <col min="15636" max="15636" width="9" style="80" customWidth="1"/>
    <col min="15637" max="15637" width="9" style="80"/>
    <col min="15638" max="15638" width="9" style="80" customWidth="1"/>
    <col min="15639" max="15644" width="9" style="80"/>
    <col min="15645" max="15645" width="26.5" style="80" customWidth="1"/>
    <col min="15646" max="15648" width="9" style="80"/>
    <col min="15649" max="15649" width="14.75" style="80" bestFit="1" customWidth="1"/>
    <col min="15650" max="15872" width="9" style="80"/>
    <col min="15873" max="15875" width="9" style="80" customWidth="1"/>
    <col min="15876" max="15876" width="10.5" style="80" customWidth="1"/>
    <col min="15877" max="15877" width="11.25" style="80" bestFit="1" customWidth="1"/>
    <col min="15878" max="15879" width="9" style="80"/>
    <col min="15880" max="15889" width="9" style="80" customWidth="1"/>
    <col min="15890" max="15890" width="9" style="80"/>
    <col min="15891" max="15891" width="9.5" style="80" bestFit="1" customWidth="1"/>
    <col min="15892" max="15892" width="9" style="80" customWidth="1"/>
    <col min="15893" max="15893" width="9" style="80"/>
    <col min="15894" max="15894" width="9" style="80" customWidth="1"/>
    <col min="15895" max="15900" width="9" style="80"/>
    <col min="15901" max="15901" width="26.5" style="80" customWidth="1"/>
    <col min="15902" max="15904" width="9" style="80"/>
    <col min="15905" max="15905" width="14.75" style="80" bestFit="1" customWidth="1"/>
    <col min="15906" max="16128" width="9" style="80"/>
    <col min="16129" max="16131" width="9" style="80" customWidth="1"/>
    <col min="16132" max="16132" width="10.5" style="80" customWidth="1"/>
    <col min="16133" max="16133" width="11.25" style="80" bestFit="1" customWidth="1"/>
    <col min="16134" max="16135" width="9" style="80"/>
    <col min="16136" max="16145" width="9" style="80" customWidth="1"/>
    <col min="16146" max="16146" width="9" style="80"/>
    <col min="16147" max="16147" width="9.5" style="80" bestFit="1" customWidth="1"/>
    <col min="16148" max="16148" width="9" style="80" customWidth="1"/>
    <col min="16149" max="16149" width="9" style="80"/>
    <col min="16150" max="16150" width="9" style="80" customWidth="1"/>
    <col min="16151" max="16156" width="9" style="80"/>
    <col min="16157" max="16157" width="26.5" style="80" customWidth="1"/>
    <col min="16158" max="16160" width="9" style="80"/>
    <col min="16161" max="16161" width="14.75" style="80" bestFit="1" customWidth="1"/>
    <col min="16162" max="16384" width="9" style="80"/>
  </cols>
  <sheetData>
    <row r="1" spans="1:53" ht="45" x14ac:dyDescent="0.15">
      <c r="A1" s="40" t="s">
        <v>277</v>
      </c>
      <c r="B1" s="95" t="s">
        <v>1</v>
      </c>
      <c r="C1" s="95" t="s">
        <v>118</v>
      </c>
      <c r="D1" s="96" t="s">
        <v>2</v>
      </c>
      <c r="E1" s="86" t="s">
        <v>243</v>
      </c>
      <c r="F1" s="86" t="s">
        <v>4</v>
      </c>
      <c r="G1" s="86" t="s">
        <v>5</v>
      </c>
      <c r="H1" s="86" t="s">
        <v>278</v>
      </c>
      <c r="I1" s="86" t="s">
        <v>7</v>
      </c>
      <c r="J1" s="86" t="s">
        <v>8</v>
      </c>
      <c r="K1" s="86" t="s">
        <v>9</v>
      </c>
      <c r="L1" s="96" t="s">
        <v>119</v>
      </c>
      <c r="M1" s="96" t="s">
        <v>10</v>
      </c>
      <c r="N1" s="96" t="s">
        <v>279</v>
      </c>
      <c r="O1" s="96" t="s">
        <v>120</v>
      </c>
      <c r="P1" s="96" t="s">
        <v>121</v>
      </c>
      <c r="Q1" s="3" t="s">
        <v>12</v>
      </c>
      <c r="R1" s="96" t="s">
        <v>122</v>
      </c>
      <c r="S1" s="96" t="s">
        <v>123</v>
      </c>
      <c r="T1" s="3" t="s">
        <v>13</v>
      </c>
      <c r="U1" s="118" t="s">
        <v>245</v>
      </c>
      <c r="V1" s="5" t="s">
        <v>14</v>
      </c>
      <c r="W1" s="96" t="s">
        <v>15</v>
      </c>
      <c r="X1" s="86" t="s">
        <v>16</v>
      </c>
      <c r="Y1" s="86" t="s">
        <v>17</v>
      </c>
      <c r="Z1" s="86" t="s">
        <v>18</v>
      </c>
      <c r="AA1" s="42" t="s">
        <v>19</v>
      </c>
      <c r="AB1" s="119" t="s">
        <v>124</v>
      </c>
      <c r="AE1" s="99" t="s">
        <v>0</v>
      </c>
      <c r="AF1" s="120"/>
      <c r="AG1" s="99" t="s">
        <v>3</v>
      </c>
      <c r="AH1" s="99" t="s">
        <v>4</v>
      </c>
      <c r="AI1" s="120"/>
      <c r="AJ1" s="99" t="s">
        <v>5</v>
      </c>
      <c r="AK1" s="120"/>
      <c r="AL1" s="10" t="s">
        <v>6</v>
      </c>
      <c r="AM1" s="120"/>
      <c r="AN1" s="10" t="s">
        <v>7</v>
      </c>
      <c r="AO1" s="120"/>
      <c r="AP1" s="10" t="s">
        <v>20</v>
      </c>
      <c r="AQ1" s="120"/>
      <c r="AR1" s="10" t="s">
        <v>9</v>
      </c>
      <c r="AS1" s="120"/>
      <c r="AT1" s="11" t="s">
        <v>21</v>
      </c>
      <c r="AU1" s="120"/>
      <c r="AV1" s="10" t="s">
        <v>22</v>
      </c>
      <c r="AX1" s="12" t="s">
        <v>125</v>
      </c>
      <c r="AY1" s="13" t="s">
        <v>126</v>
      </c>
      <c r="AZ1" s="13" t="s">
        <v>127</v>
      </c>
      <c r="BA1" s="14" t="s">
        <v>128</v>
      </c>
    </row>
    <row r="2" spans="1:53" s="48" customFormat="1" x14ac:dyDescent="0.15">
      <c r="A2" s="126" t="s">
        <v>48</v>
      </c>
      <c r="B2" s="126" t="s">
        <v>280</v>
      </c>
      <c r="C2" s="126">
        <v>2020</v>
      </c>
      <c r="D2" s="127" t="s">
        <v>281</v>
      </c>
      <c r="E2" s="126" t="s">
        <v>282</v>
      </c>
      <c r="F2" s="126" t="s">
        <v>283</v>
      </c>
      <c r="G2" s="126" t="s">
        <v>31</v>
      </c>
      <c r="H2" s="126" t="s">
        <v>167</v>
      </c>
      <c r="I2" s="80" t="s">
        <v>111</v>
      </c>
      <c r="J2" s="80" t="s">
        <v>27</v>
      </c>
      <c r="K2" s="80" t="s">
        <v>112</v>
      </c>
      <c r="L2" s="80">
        <v>1</v>
      </c>
      <c r="M2" s="80"/>
      <c r="N2" s="80">
        <v>1</v>
      </c>
      <c r="O2" s="80">
        <v>0.2</v>
      </c>
      <c r="P2" s="80">
        <v>0.2</v>
      </c>
      <c r="Q2" s="44">
        <f t="shared" ref="Q2:Q65" si="0">IF(OR(O2="",P2=""),"",AVERAGE(O2,P2))</f>
        <v>0.2</v>
      </c>
      <c r="R2" s="80">
        <v>16</v>
      </c>
      <c r="S2" s="80">
        <v>152</v>
      </c>
      <c r="T2" s="16">
        <f t="shared" ref="T2:T65" si="1">IF(H2="","",IF(OR(H2="GREEN",H2="GK"),IF(S2&gt;=$AX$2,VLOOKUP(S2,$AX$2:$AY$15,2,1),""),IF(S2&gt;=$AZ$2,VLOOKUP(S2,$AZ$2:$BA$15,2,1),"")))</f>
        <v>18</v>
      </c>
      <c r="U2" s="80">
        <v>128</v>
      </c>
      <c r="V2" s="128">
        <f>IF(OR(N2="",U2="",T2=""),"",U2/N2*T2)</f>
        <v>2304</v>
      </c>
      <c r="W2" s="80">
        <v>7</v>
      </c>
      <c r="X2" s="80" t="s">
        <v>35</v>
      </c>
      <c r="Y2" s="80" t="s">
        <v>64</v>
      </c>
      <c r="Z2" s="80" t="s">
        <v>86</v>
      </c>
      <c r="AA2" s="80" t="s">
        <v>82</v>
      </c>
      <c r="AB2" s="126" t="s">
        <v>284</v>
      </c>
      <c r="AC2" s="34"/>
      <c r="AE2" s="106" t="s">
        <v>24</v>
      </c>
      <c r="AG2" s="129" t="s">
        <v>285</v>
      </c>
      <c r="AH2" s="129" t="s">
        <v>283</v>
      </c>
      <c r="AJ2" s="49" t="s">
        <v>25</v>
      </c>
      <c r="AL2" s="109" t="s">
        <v>107</v>
      </c>
      <c r="AN2" s="49" t="s">
        <v>26</v>
      </c>
      <c r="AP2" s="50" t="s">
        <v>27</v>
      </c>
      <c r="AR2" s="50" t="s">
        <v>129</v>
      </c>
      <c r="AT2" s="49" t="s">
        <v>28</v>
      </c>
      <c r="AV2" s="50" t="s">
        <v>29</v>
      </c>
      <c r="AX2" s="130">
        <v>1</v>
      </c>
      <c r="AY2" s="131">
        <v>50</v>
      </c>
      <c r="AZ2" s="131">
        <v>1</v>
      </c>
      <c r="BA2" s="132">
        <v>50</v>
      </c>
    </row>
    <row r="3" spans="1:53" x14ac:dyDescent="0.15">
      <c r="A3" s="126" t="s">
        <v>48</v>
      </c>
      <c r="B3" s="126" t="s">
        <v>280</v>
      </c>
      <c r="C3" s="126">
        <v>2020</v>
      </c>
      <c r="D3" s="127" t="s">
        <v>281</v>
      </c>
      <c r="E3" s="126" t="s">
        <v>282</v>
      </c>
      <c r="F3" s="126" t="s">
        <v>283</v>
      </c>
      <c r="G3" s="126" t="s">
        <v>31</v>
      </c>
      <c r="H3" s="126" t="s">
        <v>167</v>
      </c>
      <c r="I3" s="80" t="s">
        <v>111</v>
      </c>
      <c r="J3" s="80" t="s">
        <v>27</v>
      </c>
      <c r="K3" s="80" t="s">
        <v>112</v>
      </c>
      <c r="L3" s="80">
        <v>2</v>
      </c>
      <c r="N3" s="80">
        <v>1</v>
      </c>
      <c r="O3" s="80">
        <v>0.2</v>
      </c>
      <c r="P3" s="80">
        <v>0.2</v>
      </c>
      <c r="Q3" s="44">
        <f t="shared" si="0"/>
        <v>0.2</v>
      </c>
      <c r="R3" s="80">
        <v>15.3</v>
      </c>
      <c r="S3" s="80">
        <v>154</v>
      </c>
      <c r="T3" s="16">
        <f t="shared" si="1"/>
        <v>18</v>
      </c>
      <c r="U3" s="80">
        <v>128</v>
      </c>
      <c r="V3" s="128">
        <f t="shared" ref="V3:V66" si="2">IF(OR(N3="",U3="",T3=""),"",U3/N3*T3)</f>
        <v>2304</v>
      </c>
      <c r="W3" s="80">
        <v>7</v>
      </c>
      <c r="X3" s="80" t="s">
        <v>35</v>
      </c>
      <c r="Y3" s="80" t="s">
        <v>64</v>
      </c>
      <c r="Z3" s="80" t="s">
        <v>86</v>
      </c>
      <c r="AA3" s="80" t="s">
        <v>82</v>
      </c>
      <c r="AB3" s="126" t="s">
        <v>284</v>
      </c>
      <c r="AC3" s="34"/>
      <c r="AE3" s="22" t="s">
        <v>30</v>
      </c>
      <c r="AG3" s="129" t="s">
        <v>286</v>
      </c>
      <c r="AH3" s="129" t="s">
        <v>287</v>
      </c>
      <c r="AJ3" s="83" t="s">
        <v>31</v>
      </c>
      <c r="AL3" s="83" t="s">
        <v>108</v>
      </c>
      <c r="AN3" s="83" t="s">
        <v>32</v>
      </c>
      <c r="AP3" s="83" t="s">
        <v>33</v>
      </c>
      <c r="AR3" s="83" t="s">
        <v>34</v>
      </c>
      <c r="AT3" s="83" t="s">
        <v>35</v>
      </c>
      <c r="AV3" s="83" t="s">
        <v>36</v>
      </c>
      <c r="AX3" s="24">
        <v>72</v>
      </c>
      <c r="AY3" s="25">
        <v>46</v>
      </c>
      <c r="AZ3" s="25">
        <v>71</v>
      </c>
      <c r="BA3" s="26">
        <v>42</v>
      </c>
    </row>
    <row r="4" spans="1:53" x14ac:dyDescent="0.15">
      <c r="A4" s="126" t="s">
        <v>48</v>
      </c>
      <c r="B4" s="126" t="s">
        <v>280</v>
      </c>
      <c r="C4" s="126">
        <v>2020</v>
      </c>
      <c r="D4" s="127" t="s">
        <v>281</v>
      </c>
      <c r="E4" s="126" t="s">
        <v>282</v>
      </c>
      <c r="F4" s="126" t="s">
        <v>283</v>
      </c>
      <c r="G4" s="126" t="s">
        <v>31</v>
      </c>
      <c r="H4" s="126" t="s">
        <v>167</v>
      </c>
      <c r="I4" s="80" t="s">
        <v>111</v>
      </c>
      <c r="J4" s="80" t="s">
        <v>27</v>
      </c>
      <c r="K4" s="80" t="s">
        <v>112</v>
      </c>
      <c r="L4" s="80">
        <v>3</v>
      </c>
      <c r="N4" s="80">
        <v>1</v>
      </c>
      <c r="O4" s="80">
        <v>0.2</v>
      </c>
      <c r="P4" s="80">
        <v>0.2</v>
      </c>
      <c r="Q4" s="44">
        <f t="shared" si="0"/>
        <v>0.2</v>
      </c>
      <c r="R4" s="80">
        <v>15.7</v>
      </c>
      <c r="S4" s="80">
        <v>151</v>
      </c>
      <c r="T4" s="16">
        <f t="shared" si="1"/>
        <v>22</v>
      </c>
      <c r="U4" s="80">
        <v>128</v>
      </c>
      <c r="V4" s="128">
        <f t="shared" si="2"/>
        <v>2816</v>
      </c>
      <c r="W4" s="80">
        <v>7</v>
      </c>
      <c r="X4" s="80" t="s">
        <v>35</v>
      </c>
      <c r="Y4" s="80" t="s">
        <v>64</v>
      </c>
      <c r="Z4" s="80" t="s">
        <v>86</v>
      </c>
      <c r="AA4" s="80" t="s">
        <v>82</v>
      </c>
      <c r="AB4" s="126" t="s">
        <v>284</v>
      </c>
      <c r="AC4" s="34"/>
      <c r="AE4" s="22" t="s">
        <v>23</v>
      </c>
      <c r="AG4" s="129" t="s">
        <v>288</v>
      </c>
      <c r="AH4" s="129" t="s">
        <v>289</v>
      </c>
      <c r="AJ4" s="27" t="s">
        <v>37</v>
      </c>
      <c r="AL4" s="83" t="s">
        <v>109</v>
      </c>
      <c r="AN4" s="28" t="s">
        <v>38</v>
      </c>
      <c r="AP4" s="83" t="s">
        <v>130</v>
      </c>
      <c r="AR4" s="83" t="s">
        <v>131</v>
      </c>
      <c r="AT4" s="28"/>
      <c r="AV4" s="83" t="s">
        <v>39</v>
      </c>
      <c r="AX4" s="24">
        <v>75</v>
      </c>
      <c r="AY4" s="25">
        <v>42</v>
      </c>
      <c r="AZ4" s="25">
        <v>76</v>
      </c>
      <c r="BA4" s="26">
        <v>39</v>
      </c>
    </row>
    <row r="5" spans="1:53" x14ac:dyDescent="0.15">
      <c r="A5" s="126" t="s">
        <v>48</v>
      </c>
      <c r="B5" s="126" t="s">
        <v>280</v>
      </c>
      <c r="C5" s="126">
        <v>2020</v>
      </c>
      <c r="D5" s="127" t="s">
        <v>281</v>
      </c>
      <c r="E5" s="126" t="s">
        <v>282</v>
      </c>
      <c r="F5" s="126" t="s">
        <v>283</v>
      </c>
      <c r="G5" s="126" t="s">
        <v>31</v>
      </c>
      <c r="H5" s="126" t="s">
        <v>167</v>
      </c>
      <c r="I5" s="80" t="s">
        <v>111</v>
      </c>
      <c r="J5" s="80" t="s">
        <v>27</v>
      </c>
      <c r="K5" s="80" t="s">
        <v>112</v>
      </c>
      <c r="L5" s="80">
        <v>1</v>
      </c>
      <c r="N5" s="80">
        <v>4</v>
      </c>
      <c r="O5" s="80">
        <v>0.2</v>
      </c>
      <c r="P5" s="80">
        <v>0.2</v>
      </c>
      <c r="Q5" s="44">
        <f>IF(OR(O5="",P5=""),"",AVERAGE(O5,P5))</f>
        <v>0.2</v>
      </c>
      <c r="R5" s="80">
        <v>16.899999999999999</v>
      </c>
      <c r="S5" s="80">
        <v>112.5</v>
      </c>
      <c r="T5" s="16">
        <f t="shared" si="1"/>
        <v>33</v>
      </c>
      <c r="U5" s="80">
        <v>398</v>
      </c>
      <c r="V5" s="128">
        <f t="shared" si="2"/>
        <v>3283.5</v>
      </c>
      <c r="W5" s="80">
        <v>7</v>
      </c>
      <c r="X5" s="80" t="s">
        <v>35</v>
      </c>
      <c r="Y5" s="80" t="s">
        <v>64</v>
      </c>
      <c r="Z5" s="80" t="s">
        <v>86</v>
      </c>
      <c r="AA5" s="80" t="s">
        <v>82</v>
      </c>
      <c r="AB5" s="126" t="s">
        <v>284</v>
      </c>
      <c r="AC5" s="34"/>
      <c r="AE5" s="22" t="s">
        <v>40</v>
      </c>
      <c r="AG5" s="129" t="s">
        <v>290</v>
      </c>
      <c r="AH5" s="129" t="s">
        <v>291</v>
      </c>
      <c r="AJ5" s="27"/>
      <c r="AL5" s="83" t="s">
        <v>132</v>
      </c>
      <c r="AN5" s="114" t="s">
        <v>133</v>
      </c>
      <c r="AP5" s="83" t="s">
        <v>134</v>
      </c>
      <c r="AR5" s="83" t="s">
        <v>42</v>
      </c>
      <c r="AV5" s="83" t="s">
        <v>43</v>
      </c>
      <c r="AX5" s="24">
        <v>84</v>
      </c>
      <c r="AY5" s="25">
        <v>39</v>
      </c>
      <c r="AZ5" s="25">
        <v>84</v>
      </c>
      <c r="BA5" s="26">
        <v>36</v>
      </c>
    </row>
    <row r="6" spans="1:53" x14ac:dyDescent="0.15">
      <c r="A6" s="126" t="s">
        <v>48</v>
      </c>
      <c r="B6" s="126" t="s">
        <v>280</v>
      </c>
      <c r="C6" s="126">
        <v>2020</v>
      </c>
      <c r="D6" s="127" t="s">
        <v>281</v>
      </c>
      <c r="E6" s="126" t="s">
        <v>282</v>
      </c>
      <c r="F6" s="126" t="s">
        <v>283</v>
      </c>
      <c r="G6" s="126" t="s">
        <v>292</v>
      </c>
      <c r="H6" s="126" t="s">
        <v>167</v>
      </c>
      <c r="I6" s="80" t="s">
        <v>111</v>
      </c>
      <c r="J6" s="80" t="s">
        <v>27</v>
      </c>
      <c r="K6" s="80" t="s">
        <v>112</v>
      </c>
      <c r="L6" s="80">
        <v>2</v>
      </c>
      <c r="N6" s="80">
        <v>4</v>
      </c>
      <c r="O6" s="80">
        <v>0.2</v>
      </c>
      <c r="P6" s="80">
        <v>0.2</v>
      </c>
      <c r="Q6" s="44">
        <f t="shared" si="0"/>
        <v>0.2</v>
      </c>
      <c r="R6" s="80">
        <v>15.5</v>
      </c>
      <c r="S6" s="80">
        <v>106.5</v>
      </c>
      <c r="T6" s="16">
        <f t="shared" si="1"/>
        <v>33</v>
      </c>
      <c r="U6" s="80">
        <v>398</v>
      </c>
      <c r="V6" s="128">
        <f t="shared" si="2"/>
        <v>3283.5</v>
      </c>
      <c r="W6" s="80">
        <v>7</v>
      </c>
      <c r="X6" s="80" t="s">
        <v>35</v>
      </c>
      <c r="Y6" s="80" t="s">
        <v>64</v>
      </c>
      <c r="Z6" s="80" t="s">
        <v>86</v>
      </c>
      <c r="AA6" s="80" t="s">
        <v>82</v>
      </c>
      <c r="AB6" s="126" t="s">
        <v>284</v>
      </c>
      <c r="AC6" s="34"/>
      <c r="AE6" s="22" t="s">
        <v>44</v>
      </c>
      <c r="AG6" s="129" t="s">
        <v>293</v>
      </c>
      <c r="AH6" s="129" t="s">
        <v>294</v>
      </c>
      <c r="AJ6" s="27"/>
      <c r="AL6" s="83" t="s">
        <v>135</v>
      </c>
      <c r="AN6" s="114" t="s">
        <v>136</v>
      </c>
      <c r="AP6" s="83" t="s">
        <v>41</v>
      </c>
      <c r="AR6" s="83" t="s">
        <v>46</v>
      </c>
      <c r="AV6" s="83" t="s">
        <v>47</v>
      </c>
      <c r="AX6" s="24">
        <v>97</v>
      </c>
      <c r="AY6" s="25">
        <v>36</v>
      </c>
      <c r="AZ6" s="25">
        <v>99</v>
      </c>
      <c r="BA6" s="26">
        <v>33</v>
      </c>
    </row>
    <row r="7" spans="1:53" x14ac:dyDescent="0.15">
      <c r="A7" s="126" t="s">
        <v>48</v>
      </c>
      <c r="B7" s="126" t="s">
        <v>280</v>
      </c>
      <c r="C7" s="126">
        <v>2020</v>
      </c>
      <c r="D7" s="127" t="s">
        <v>281</v>
      </c>
      <c r="E7" s="126" t="s">
        <v>282</v>
      </c>
      <c r="F7" s="126" t="s">
        <v>283</v>
      </c>
      <c r="G7" s="126" t="s">
        <v>31</v>
      </c>
      <c r="H7" s="126" t="s">
        <v>167</v>
      </c>
      <c r="I7" s="80" t="s">
        <v>111</v>
      </c>
      <c r="J7" s="80" t="s">
        <v>27</v>
      </c>
      <c r="K7" s="80" t="s">
        <v>112</v>
      </c>
      <c r="L7" s="80">
        <v>3</v>
      </c>
      <c r="N7" s="80">
        <v>4</v>
      </c>
      <c r="O7" s="80">
        <v>0.2</v>
      </c>
      <c r="P7" s="80">
        <v>0.2</v>
      </c>
      <c r="Q7" s="44">
        <f t="shared" si="0"/>
        <v>0.2</v>
      </c>
      <c r="R7" s="80">
        <v>16.2</v>
      </c>
      <c r="S7" s="80">
        <v>109.5</v>
      </c>
      <c r="T7" s="16">
        <f t="shared" si="1"/>
        <v>33</v>
      </c>
      <c r="U7" s="80">
        <v>398</v>
      </c>
      <c r="V7" s="128">
        <f t="shared" si="2"/>
        <v>3283.5</v>
      </c>
      <c r="W7" s="80">
        <v>7</v>
      </c>
      <c r="X7" s="80" t="s">
        <v>35</v>
      </c>
      <c r="Y7" s="80" t="s">
        <v>64</v>
      </c>
      <c r="Z7" s="80" t="s">
        <v>86</v>
      </c>
      <c r="AA7" s="80" t="s">
        <v>82</v>
      </c>
      <c r="AB7" s="126" t="s">
        <v>284</v>
      </c>
      <c r="AC7" s="34"/>
      <c r="AE7" s="22" t="s">
        <v>48</v>
      </c>
      <c r="AG7" s="129" t="s">
        <v>295</v>
      </c>
      <c r="AH7" s="129" t="s">
        <v>294</v>
      </c>
      <c r="AJ7" s="27"/>
      <c r="AL7" s="89" t="s">
        <v>137</v>
      </c>
      <c r="AN7" s="114"/>
      <c r="AP7" s="83" t="s">
        <v>45</v>
      </c>
      <c r="AR7" s="83" t="s">
        <v>102</v>
      </c>
      <c r="AV7" s="83" t="s">
        <v>51</v>
      </c>
      <c r="AX7" s="24">
        <v>109</v>
      </c>
      <c r="AY7" s="25">
        <v>33</v>
      </c>
      <c r="AZ7" s="25">
        <v>113</v>
      </c>
      <c r="BA7" s="26">
        <v>30</v>
      </c>
    </row>
    <row r="8" spans="1:53" x14ac:dyDescent="0.15">
      <c r="A8" s="126" t="s">
        <v>48</v>
      </c>
      <c r="B8" s="126" t="s">
        <v>280</v>
      </c>
      <c r="C8" s="126">
        <v>2020</v>
      </c>
      <c r="D8" s="127" t="s">
        <v>281</v>
      </c>
      <c r="E8" s="126" t="s">
        <v>282</v>
      </c>
      <c r="F8" s="126" t="s">
        <v>283</v>
      </c>
      <c r="G8" s="126" t="s">
        <v>31</v>
      </c>
      <c r="H8" s="126" t="s">
        <v>113</v>
      </c>
      <c r="I8" s="80" t="s">
        <v>111</v>
      </c>
      <c r="J8" s="80" t="s">
        <v>27</v>
      </c>
      <c r="K8" s="80" t="s">
        <v>112</v>
      </c>
      <c r="L8" s="80">
        <v>1</v>
      </c>
      <c r="N8" s="80">
        <v>1</v>
      </c>
      <c r="O8" s="80">
        <v>0.2</v>
      </c>
      <c r="P8" s="80">
        <v>0.2</v>
      </c>
      <c r="Q8" s="44">
        <f t="shared" si="0"/>
        <v>0.2</v>
      </c>
      <c r="R8" s="80">
        <v>15.6</v>
      </c>
      <c r="S8" s="80">
        <v>143</v>
      </c>
      <c r="T8" s="16">
        <f t="shared" si="1"/>
        <v>22</v>
      </c>
      <c r="U8" s="80">
        <v>128</v>
      </c>
      <c r="V8" s="128">
        <f t="shared" si="2"/>
        <v>2816</v>
      </c>
      <c r="W8" s="80">
        <v>7</v>
      </c>
      <c r="X8" s="80" t="s">
        <v>35</v>
      </c>
      <c r="Y8" s="80" t="s">
        <v>64</v>
      </c>
      <c r="Z8" s="80" t="s">
        <v>86</v>
      </c>
      <c r="AA8" s="80" t="s">
        <v>82</v>
      </c>
      <c r="AB8" s="126" t="s">
        <v>284</v>
      </c>
      <c r="AC8" s="34"/>
      <c r="AE8" s="22" t="s">
        <v>46</v>
      </c>
      <c r="AG8" s="129" t="s">
        <v>296</v>
      </c>
      <c r="AH8" s="129" t="s">
        <v>297</v>
      </c>
      <c r="AJ8" s="28"/>
      <c r="AL8" s="89" t="s">
        <v>110</v>
      </c>
      <c r="AN8" s="114"/>
      <c r="AP8" s="83" t="s">
        <v>49</v>
      </c>
      <c r="AR8" s="83" t="s">
        <v>67</v>
      </c>
      <c r="AV8" s="83" t="s">
        <v>82</v>
      </c>
      <c r="AX8" s="24">
        <v>119</v>
      </c>
      <c r="AY8" s="25">
        <v>30</v>
      </c>
      <c r="AZ8" s="25">
        <v>121</v>
      </c>
      <c r="BA8" s="26">
        <v>27</v>
      </c>
    </row>
    <row r="9" spans="1:53" x14ac:dyDescent="0.15">
      <c r="A9" s="126" t="s">
        <v>48</v>
      </c>
      <c r="B9" s="126" t="s">
        <v>280</v>
      </c>
      <c r="C9" s="126">
        <v>2020</v>
      </c>
      <c r="D9" s="127" t="s">
        <v>281</v>
      </c>
      <c r="E9" s="126" t="s">
        <v>282</v>
      </c>
      <c r="F9" s="126" t="s">
        <v>283</v>
      </c>
      <c r="G9" s="126" t="s">
        <v>31</v>
      </c>
      <c r="H9" s="126" t="s">
        <v>113</v>
      </c>
      <c r="I9" s="80" t="s">
        <v>111</v>
      </c>
      <c r="J9" s="80" t="s">
        <v>27</v>
      </c>
      <c r="K9" s="80" t="s">
        <v>112</v>
      </c>
      <c r="L9" s="80">
        <v>2</v>
      </c>
      <c r="N9" s="80">
        <v>1</v>
      </c>
      <c r="O9" s="34">
        <v>0.2</v>
      </c>
      <c r="P9" s="80">
        <v>0.2</v>
      </c>
      <c r="Q9" s="44">
        <f t="shared" si="0"/>
        <v>0.2</v>
      </c>
      <c r="R9" s="34">
        <v>17.7</v>
      </c>
      <c r="S9" s="80">
        <v>138.5</v>
      </c>
      <c r="T9" s="16">
        <f t="shared" si="1"/>
        <v>22</v>
      </c>
      <c r="U9" s="80">
        <v>128</v>
      </c>
      <c r="V9" s="128">
        <f t="shared" si="2"/>
        <v>2816</v>
      </c>
      <c r="W9" s="80">
        <v>7</v>
      </c>
      <c r="X9" s="80" t="s">
        <v>35</v>
      </c>
      <c r="Y9" s="80" t="s">
        <v>64</v>
      </c>
      <c r="Z9" s="80" t="s">
        <v>86</v>
      </c>
      <c r="AA9" s="80" t="s">
        <v>82</v>
      </c>
      <c r="AB9" s="126" t="s">
        <v>284</v>
      </c>
      <c r="AC9" s="34"/>
      <c r="AE9" s="22" t="s">
        <v>83</v>
      </c>
      <c r="AG9" s="129" t="s">
        <v>298</v>
      </c>
      <c r="AH9" s="129" t="s">
        <v>299</v>
      </c>
      <c r="AL9" s="83" t="s">
        <v>139</v>
      </c>
      <c r="AN9" s="114"/>
      <c r="AP9" s="83" t="s">
        <v>80</v>
      </c>
      <c r="AR9" s="83" t="s">
        <v>75</v>
      </c>
      <c r="AV9" s="83" t="s">
        <v>86</v>
      </c>
      <c r="AX9" s="24">
        <v>128</v>
      </c>
      <c r="AY9" s="25">
        <v>27</v>
      </c>
      <c r="AZ9" s="25">
        <v>129</v>
      </c>
      <c r="BA9" s="26">
        <v>25</v>
      </c>
    </row>
    <row r="10" spans="1:53" x14ac:dyDescent="0.15">
      <c r="A10" s="126" t="s">
        <v>48</v>
      </c>
      <c r="B10" s="126" t="s">
        <v>280</v>
      </c>
      <c r="C10" s="126">
        <v>2020</v>
      </c>
      <c r="D10" s="127" t="s">
        <v>281</v>
      </c>
      <c r="E10" s="126" t="s">
        <v>282</v>
      </c>
      <c r="F10" s="126" t="s">
        <v>283</v>
      </c>
      <c r="G10" s="126" t="s">
        <v>31</v>
      </c>
      <c r="H10" s="126" t="s">
        <v>113</v>
      </c>
      <c r="I10" s="80" t="s">
        <v>111</v>
      </c>
      <c r="J10" s="80" t="s">
        <v>27</v>
      </c>
      <c r="K10" s="80" t="s">
        <v>112</v>
      </c>
      <c r="L10" s="80">
        <v>3</v>
      </c>
      <c r="N10" s="80">
        <v>1</v>
      </c>
      <c r="O10" s="34">
        <v>0.2</v>
      </c>
      <c r="P10" s="80">
        <v>0.2</v>
      </c>
      <c r="Q10" s="44">
        <f t="shared" si="0"/>
        <v>0.2</v>
      </c>
      <c r="R10" s="80">
        <v>16.8</v>
      </c>
      <c r="S10" s="80">
        <v>139</v>
      </c>
      <c r="T10" s="16">
        <f t="shared" si="1"/>
        <v>22</v>
      </c>
      <c r="U10" s="80">
        <v>128</v>
      </c>
      <c r="V10" s="128">
        <f t="shared" si="2"/>
        <v>2816</v>
      </c>
      <c r="W10" s="80">
        <v>7</v>
      </c>
      <c r="X10" s="80" t="s">
        <v>35</v>
      </c>
      <c r="Y10" s="80" t="s">
        <v>64</v>
      </c>
      <c r="Z10" s="80" t="s">
        <v>86</v>
      </c>
      <c r="AA10" s="80" t="s">
        <v>82</v>
      </c>
      <c r="AB10" s="126" t="s">
        <v>284</v>
      </c>
      <c r="AC10" s="34"/>
      <c r="AE10" s="22" t="s">
        <v>87</v>
      </c>
      <c r="AG10" s="129" t="s">
        <v>300</v>
      </c>
      <c r="AH10" s="129" t="s">
        <v>301</v>
      </c>
      <c r="AL10" s="114"/>
      <c r="AP10" s="83" t="s">
        <v>84</v>
      </c>
      <c r="AR10" s="83" t="s">
        <v>103</v>
      </c>
      <c r="AV10" s="83" t="s">
        <v>90</v>
      </c>
      <c r="AX10" s="24">
        <v>138</v>
      </c>
      <c r="AY10" s="25">
        <v>25</v>
      </c>
      <c r="AZ10" s="25">
        <v>138</v>
      </c>
      <c r="BA10" s="26">
        <v>22</v>
      </c>
    </row>
    <row r="11" spans="1:53" x14ac:dyDescent="0.15">
      <c r="A11" s="126" t="s">
        <v>48</v>
      </c>
      <c r="B11" s="126" t="s">
        <v>280</v>
      </c>
      <c r="C11" s="126">
        <v>2020</v>
      </c>
      <c r="D11" s="127" t="s">
        <v>281</v>
      </c>
      <c r="E11" s="126" t="s">
        <v>302</v>
      </c>
      <c r="F11" s="126" t="s">
        <v>287</v>
      </c>
      <c r="G11" s="126" t="s">
        <v>25</v>
      </c>
      <c r="H11" s="126" t="s">
        <v>167</v>
      </c>
      <c r="I11" s="80" t="s">
        <v>111</v>
      </c>
      <c r="J11" s="80" t="s">
        <v>27</v>
      </c>
      <c r="K11" s="80" t="s">
        <v>112</v>
      </c>
      <c r="L11" s="80">
        <v>1</v>
      </c>
      <c r="N11" s="80">
        <v>1</v>
      </c>
      <c r="O11" s="80">
        <v>0.2</v>
      </c>
      <c r="P11" s="80">
        <v>0.2</v>
      </c>
      <c r="Q11" s="44">
        <f t="shared" si="0"/>
        <v>0.2</v>
      </c>
      <c r="R11" s="80">
        <v>19.100000000000001</v>
      </c>
      <c r="S11" s="80">
        <v>127.5</v>
      </c>
      <c r="T11" s="16">
        <f t="shared" si="1"/>
        <v>27</v>
      </c>
      <c r="U11" s="80">
        <v>138</v>
      </c>
      <c r="V11" s="128">
        <f t="shared" si="2"/>
        <v>3726</v>
      </c>
      <c r="W11" s="80">
        <v>17</v>
      </c>
      <c r="X11" s="80" t="s">
        <v>35</v>
      </c>
      <c r="Y11" s="80" t="s">
        <v>64</v>
      </c>
      <c r="Z11" s="80" t="s">
        <v>43</v>
      </c>
      <c r="AA11" s="80" t="s">
        <v>55</v>
      </c>
      <c r="AB11" s="126" t="s">
        <v>284</v>
      </c>
      <c r="AC11" s="34"/>
      <c r="AE11" s="22" t="s">
        <v>52</v>
      </c>
      <c r="AG11" s="129" t="s">
        <v>303</v>
      </c>
      <c r="AH11" s="129" t="s">
        <v>301</v>
      </c>
      <c r="AL11" s="133"/>
      <c r="AP11" s="83" t="s">
        <v>88</v>
      </c>
      <c r="AR11" s="83" t="s">
        <v>73</v>
      </c>
      <c r="AV11" s="89" t="s">
        <v>304</v>
      </c>
      <c r="AX11" s="24">
        <v>151</v>
      </c>
      <c r="AY11" s="25">
        <v>22</v>
      </c>
      <c r="AZ11" s="25">
        <v>152</v>
      </c>
      <c r="BA11" s="26">
        <v>18</v>
      </c>
    </row>
    <row r="12" spans="1:53" x14ac:dyDescent="0.15">
      <c r="A12" s="126" t="s">
        <v>48</v>
      </c>
      <c r="B12" s="126" t="s">
        <v>280</v>
      </c>
      <c r="C12" s="126">
        <v>2020</v>
      </c>
      <c r="D12" s="127" t="s">
        <v>281</v>
      </c>
      <c r="E12" s="126" t="s">
        <v>302</v>
      </c>
      <c r="F12" s="126" t="s">
        <v>287</v>
      </c>
      <c r="G12" s="126" t="s">
        <v>25</v>
      </c>
      <c r="H12" s="126" t="s">
        <v>167</v>
      </c>
      <c r="I12" s="80" t="s">
        <v>111</v>
      </c>
      <c r="J12" s="80" t="s">
        <v>27</v>
      </c>
      <c r="K12" s="80" t="s">
        <v>112</v>
      </c>
      <c r="L12" s="80">
        <v>2</v>
      </c>
      <c r="N12" s="80">
        <v>1</v>
      </c>
      <c r="O12" s="80">
        <v>0.2</v>
      </c>
      <c r="P12" s="80">
        <v>0.2</v>
      </c>
      <c r="Q12" s="44">
        <f t="shared" si="0"/>
        <v>0.2</v>
      </c>
      <c r="R12" s="34">
        <v>17</v>
      </c>
      <c r="S12" s="80">
        <v>129</v>
      </c>
      <c r="T12" s="16">
        <f t="shared" si="1"/>
        <v>25</v>
      </c>
      <c r="U12" s="80">
        <v>138</v>
      </c>
      <c r="V12" s="128">
        <f t="shared" si="2"/>
        <v>3450</v>
      </c>
      <c r="W12" s="80">
        <v>17</v>
      </c>
      <c r="X12" s="80" t="s">
        <v>35</v>
      </c>
      <c r="Y12" s="80" t="s">
        <v>64</v>
      </c>
      <c r="Z12" s="80" t="s">
        <v>43</v>
      </c>
      <c r="AA12" s="80" t="s">
        <v>55</v>
      </c>
      <c r="AB12" s="126" t="s">
        <v>284</v>
      </c>
      <c r="AC12" s="34"/>
      <c r="AE12" s="22" t="s">
        <v>56</v>
      </c>
      <c r="AG12" s="83"/>
      <c r="AH12" s="22"/>
      <c r="AL12" s="133"/>
      <c r="AP12" s="83" t="s">
        <v>53</v>
      </c>
      <c r="AR12" s="83" t="s">
        <v>104</v>
      </c>
      <c r="AV12" s="89" t="s">
        <v>305</v>
      </c>
      <c r="AX12" s="24">
        <v>180</v>
      </c>
      <c r="AY12" s="25">
        <v>18</v>
      </c>
      <c r="AZ12" s="25">
        <v>181</v>
      </c>
      <c r="BA12" s="26">
        <v>16</v>
      </c>
    </row>
    <row r="13" spans="1:53" x14ac:dyDescent="0.15">
      <c r="A13" s="126" t="s">
        <v>48</v>
      </c>
      <c r="B13" s="126" t="s">
        <v>280</v>
      </c>
      <c r="C13" s="126">
        <v>2020</v>
      </c>
      <c r="D13" s="127" t="s">
        <v>281</v>
      </c>
      <c r="E13" s="126" t="s">
        <v>302</v>
      </c>
      <c r="F13" s="126" t="s">
        <v>287</v>
      </c>
      <c r="G13" s="126" t="s">
        <v>25</v>
      </c>
      <c r="H13" s="126" t="s">
        <v>167</v>
      </c>
      <c r="I13" s="80" t="s">
        <v>111</v>
      </c>
      <c r="J13" s="80" t="s">
        <v>27</v>
      </c>
      <c r="K13" s="80" t="s">
        <v>112</v>
      </c>
      <c r="L13" s="80">
        <v>3</v>
      </c>
      <c r="N13" s="80">
        <v>1</v>
      </c>
      <c r="O13" s="80">
        <v>0.2</v>
      </c>
      <c r="P13" s="80">
        <v>0.2</v>
      </c>
      <c r="Q13" s="44">
        <f t="shared" si="0"/>
        <v>0.2</v>
      </c>
      <c r="R13" s="80">
        <v>18.2</v>
      </c>
      <c r="S13" s="80">
        <v>128.5</v>
      </c>
      <c r="T13" s="16">
        <f t="shared" si="1"/>
        <v>27</v>
      </c>
      <c r="U13" s="80">
        <v>138</v>
      </c>
      <c r="V13" s="128">
        <f t="shared" si="2"/>
        <v>3726</v>
      </c>
      <c r="W13" s="80">
        <v>17</v>
      </c>
      <c r="X13" s="80" t="s">
        <v>35</v>
      </c>
      <c r="Y13" s="80" t="s">
        <v>64</v>
      </c>
      <c r="Z13" s="80" t="s">
        <v>43</v>
      </c>
      <c r="AA13" s="80" t="s">
        <v>55</v>
      </c>
      <c r="AB13" s="126" t="s">
        <v>284</v>
      </c>
      <c r="AC13" s="34"/>
      <c r="AE13" s="22" t="s">
        <v>59</v>
      </c>
      <c r="AG13" s="83"/>
      <c r="AH13" s="22"/>
      <c r="AL13" s="134"/>
      <c r="AP13" s="83" t="s">
        <v>57</v>
      </c>
      <c r="AR13" s="83" t="s">
        <v>87</v>
      </c>
      <c r="AV13" s="89" t="s">
        <v>306</v>
      </c>
      <c r="AX13" s="24"/>
      <c r="AY13" s="25"/>
      <c r="AZ13" s="25"/>
      <c r="BA13" s="26"/>
    </row>
    <row r="14" spans="1:53" x14ac:dyDescent="0.15">
      <c r="A14" s="126" t="s">
        <v>48</v>
      </c>
      <c r="B14" s="126" t="s">
        <v>280</v>
      </c>
      <c r="C14" s="126">
        <v>2020</v>
      </c>
      <c r="D14" s="127" t="s">
        <v>281</v>
      </c>
      <c r="E14" s="126" t="s">
        <v>302</v>
      </c>
      <c r="F14" s="126" t="s">
        <v>287</v>
      </c>
      <c r="G14" s="126" t="s">
        <v>25</v>
      </c>
      <c r="H14" s="126" t="s">
        <v>167</v>
      </c>
      <c r="I14" s="80" t="s">
        <v>111</v>
      </c>
      <c r="J14" s="80" t="s">
        <v>27</v>
      </c>
      <c r="K14" s="80" t="s">
        <v>112</v>
      </c>
      <c r="L14" s="80">
        <v>1</v>
      </c>
      <c r="N14" s="80">
        <v>4</v>
      </c>
      <c r="O14" s="80">
        <v>0.5</v>
      </c>
      <c r="P14" s="80">
        <v>0.65</v>
      </c>
      <c r="Q14" s="44">
        <f t="shared" si="0"/>
        <v>0.57499999999999996</v>
      </c>
      <c r="R14" s="80">
        <v>13.3</v>
      </c>
      <c r="S14" s="80">
        <v>97.5</v>
      </c>
      <c r="T14" s="16">
        <f t="shared" si="1"/>
        <v>36</v>
      </c>
      <c r="U14" s="80">
        <v>398</v>
      </c>
      <c r="V14" s="128">
        <f t="shared" si="2"/>
        <v>3582</v>
      </c>
      <c r="W14" s="80">
        <v>17</v>
      </c>
      <c r="X14" s="80" t="s">
        <v>35</v>
      </c>
      <c r="Y14" s="80" t="s">
        <v>64</v>
      </c>
      <c r="Z14" s="80" t="s">
        <v>43</v>
      </c>
      <c r="AA14" s="80" t="s">
        <v>55</v>
      </c>
      <c r="AB14" s="126" t="s">
        <v>284</v>
      </c>
      <c r="AC14" s="34"/>
      <c r="AE14" s="22" t="s">
        <v>62</v>
      </c>
      <c r="AG14" s="83"/>
      <c r="AH14" s="22"/>
      <c r="AL14" s="34"/>
      <c r="AP14" s="83" t="s">
        <v>60</v>
      </c>
      <c r="AR14" s="83" t="s">
        <v>105</v>
      </c>
      <c r="AV14" s="89" t="s">
        <v>307</v>
      </c>
      <c r="AX14" s="24"/>
      <c r="AY14" s="25"/>
      <c r="AZ14" s="25"/>
      <c r="BA14" s="26"/>
    </row>
    <row r="15" spans="1:53" x14ac:dyDescent="0.15">
      <c r="A15" s="126" t="s">
        <v>48</v>
      </c>
      <c r="B15" s="126" t="s">
        <v>280</v>
      </c>
      <c r="C15" s="126">
        <v>2020</v>
      </c>
      <c r="D15" s="127" t="s">
        <v>281</v>
      </c>
      <c r="E15" s="126" t="s">
        <v>302</v>
      </c>
      <c r="F15" s="126" t="s">
        <v>287</v>
      </c>
      <c r="G15" s="126" t="s">
        <v>25</v>
      </c>
      <c r="H15" s="126" t="s">
        <v>167</v>
      </c>
      <c r="I15" s="80" t="s">
        <v>111</v>
      </c>
      <c r="J15" s="80" t="s">
        <v>27</v>
      </c>
      <c r="K15" s="80" t="s">
        <v>112</v>
      </c>
      <c r="L15" s="80">
        <v>2</v>
      </c>
      <c r="N15" s="80">
        <v>4</v>
      </c>
      <c r="O15" s="80">
        <v>0.7</v>
      </c>
      <c r="P15" s="80">
        <v>0.65</v>
      </c>
      <c r="Q15" s="44">
        <f t="shared" si="0"/>
        <v>0.67500000000000004</v>
      </c>
      <c r="R15" s="34">
        <v>15.5</v>
      </c>
      <c r="S15" s="80">
        <v>105</v>
      </c>
      <c r="T15" s="16">
        <f t="shared" si="1"/>
        <v>33</v>
      </c>
      <c r="U15" s="80">
        <v>398</v>
      </c>
      <c r="V15" s="128">
        <f t="shared" si="2"/>
        <v>3283.5</v>
      </c>
      <c r="W15" s="80">
        <v>17</v>
      </c>
      <c r="X15" s="80" t="s">
        <v>35</v>
      </c>
      <c r="Y15" s="80" t="s">
        <v>64</v>
      </c>
      <c r="Z15" s="80" t="s">
        <v>43</v>
      </c>
      <c r="AA15" s="80" t="s">
        <v>55</v>
      </c>
      <c r="AB15" s="126" t="s">
        <v>284</v>
      </c>
      <c r="AC15" s="34"/>
      <c r="AE15" s="22" t="s">
        <v>65</v>
      </c>
      <c r="AG15" s="83"/>
      <c r="AH15" s="83"/>
      <c r="AL15" s="34"/>
      <c r="AP15" s="83" t="s">
        <v>63</v>
      </c>
      <c r="AR15" s="83" t="s">
        <v>79</v>
      </c>
      <c r="AV15" s="89" t="s">
        <v>308</v>
      </c>
      <c r="AX15" s="31"/>
      <c r="AY15" s="32"/>
      <c r="AZ15" s="32"/>
      <c r="BA15" s="33"/>
    </row>
    <row r="16" spans="1:53" x14ac:dyDescent="0.15">
      <c r="A16" s="126" t="s">
        <v>48</v>
      </c>
      <c r="B16" s="126" t="s">
        <v>280</v>
      </c>
      <c r="C16" s="126">
        <v>2020</v>
      </c>
      <c r="D16" s="127" t="s">
        <v>281</v>
      </c>
      <c r="E16" s="126" t="s">
        <v>302</v>
      </c>
      <c r="F16" s="126" t="s">
        <v>287</v>
      </c>
      <c r="G16" s="126" t="s">
        <v>25</v>
      </c>
      <c r="H16" s="126" t="s">
        <v>167</v>
      </c>
      <c r="I16" s="80" t="s">
        <v>111</v>
      </c>
      <c r="J16" s="80" t="s">
        <v>27</v>
      </c>
      <c r="K16" s="80" t="s">
        <v>112</v>
      </c>
      <c r="L16" s="80">
        <v>3</v>
      </c>
      <c r="N16" s="80">
        <v>4</v>
      </c>
      <c r="O16" s="80">
        <v>0.6</v>
      </c>
      <c r="P16" s="80">
        <v>0.7</v>
      </c>
      <c r="Q16" s="44">
        <f t="shared" si="0"/>
        <v>0.64999999999999991</v>
      </c>
      <c r="R16" s="80">
        <v>14.1</v>
      </c>
      <c r="S16" s="80">
        <v>113</v>
      </c>
      <c r="T16" s="16">
        <f t="shared" si="1"/>
        <v>30</v>
      </c>
      <c r="U16" s="80">
        <v>398</v>
      </c>
      <c r="V16" s="128">
        <f t="shared" si="2"/>
        <v>2985</v>
      </c>
      <c r="W16" s="80">
        <v>17</v>
      </c>
      <c r="X16" s="80" t="s">
        <v>35</v>
      </c>
      <c r="Y16" s="80" t="s">
        <v>64</v>
      </c>
      <c r="Z16" s="80" t="s">
        <v>43</v>
      </c>
      <c r="AA16" s="80" t="s">
        <v>55</v>
      </c>
      <c r="AB16" s="126" t="s">
        <v>284</v>
      </c>
      <c r="AC16" s="34"/>
      <c r="AE16" s="22" t="s">
        <v>68</v>
      </c>
      <c r="AG16" s="83"/>
      <c r="AH16" s="83"/>
      <c r="AP16" s="83" t="s">
        <v>66</v>
      </c>
      <c r="AR16" s="83" t="s">
        <v>50</v>
      </c>
      <c r="AV16" s="89" t="s">
        <v>309</v>
      </c>
    </row>
    <row r="17" spans="1:48" x14ac:dyDescent="0.15">
      <c r="A17" s="126" t="s">
        <v>48</v>
      </c>
      <c r="B17" s="126" t="s">
        <v>280</v>
      </c>
      <c r="C17" s="126">
        <v>2020</v>
      </c>
      <c r="D17" s="127" t="s">
        <v>281</v>
      </c>
      <c r="E17" s="126" t="s">
        <v>302</v>
      </c>
      <c r="F17" s="126" t="s">
        <v>287</v>
      </c>
      <c r="G17" s="126" t="s">
        <v>25</v>
      </c>
      <c r="H17" s="126" t="s">
        <v>113</v>
      </c>
      <c r="I17" s="80" t="s">
        <v>111</v>
      </c>
      <c r="J17" s="80" t="s">
        <v>27</v>
      </c>
      <c r="K17" s="80" t="s">
        <v>112</v>
      </c>
      <c r="L17" s="80">
        <v>1</v>
      </c>
      <c r="N17" s="80">
        <v>1</v>
      </c>
      <c r="O17" s="80">
        <v>0.6</v>
      </c>
      <c r="P17" s="80">
        <v>0.55000000000000004</v>
      </c>
      <c r="Q17" s="44">
        <f t="shared" si="0"/>
        <v>0.57499999999999996</v>
      </c>
      <c r="R17" s="80">
        <v>13.8</v>
      </c>
      <c r="S17" s="80">
        <v>127.5</v>
      </c>
      <c r="T17" s="16">
        <f t="shared" si="1"/>
        <v>27</v>
      </c>
      <c r="U17" s="80">
        <v>98</v>
      </c>
      <c r="V17" s="128">
        <f t="shared" si="2"/>
        <v>2646</v>
      </c>
      <c r="W17" s="80">
        <v>17</v>
      </c>
      <c r="X17" s="80" t="s">
        <v>35</v>
      </c>
      <c r="Y17" s="80" t="s">
        <v>64</v>
      </c>
      <c r="Z17" s="80" t="s">
        <v>43</v>
      </c>
      <c r="AA17" s="80" t="s">
        <v>55</v>
      </c>
      <c r="AB17" s="126" t="s">
        <v>284</v>
      </c>
      <c r="AC17" s="34"/>
      <c r="AE17" s="22" t="s">
        <v>71</v>
      </c>
      <c r="AP17" s="27" t="s">
        <v>93</v>
      </c>
      <c r="AR17" s="83" t="s">
        <v>81</v>
      </c>
      <c r="AV17" s="89" t="s">
        <v>310</v>
      </c>
    </row>
    <row r="18" spans="1:48" x14ac:dyDescent="0.15">
      <c r="A18" s="126" t="s">
        <v>48</v>
      </c>
      <c r="B18" s="126" t="s">
        <v>280</v>
      </c>
      <c r="C18" s="126">
        <v>2020</v>
      </c>
      <c r="D18" s="127" t="s">
        <v>281</v>
      </c>
      <c r="E18" s="126" t="s">
        <v>302</v>
      </c>
      <c r="F18" s="126" t="s">
        <v>287</v>
      </c>
      <c r="G18" s="126" t="s">
        <v>25</v>
      </c>
      <c r="H18" s="126" t="s">
        <v>113</v>
      </c>
      <c r="I18" s="80" t="s">
        <v>111</v>
      </c>
      <c r="J18" s="80" t="s">
        <v>27</v>
      </c>
      <c r="K18" s="80" t="s">
        <v>112</v>
      </c>
      <c r="L18" s="80">
        <v>2</v>
      </c>
      <c r="N18" s="80">
        <v>1</v>
      </c>
      <c r="O18" s="80">
        <v>0.7</v>
      </c>
      <c r="P18" s="80">
        <v>0.6</v>
      </c>
      <c r="Q18" s="44">
        <f t="shared" si="0"/>
        <v>0.64999999999999991</v>
      </c>
      <c r="R18" s="34">
        <v>14.4</v>
      </c>
      <c r="S18" s="80">
        <v>137</v>
      </c>
      <c r="T18" s="16">
        <f t="shared" si="1"/>
        <v>25</v>
      </c>
      <c r="U18" s="80">
        <v>98</v>
      </c>
      <c r="V18" s="128">
        <f t="shared" si="2"/>
        <v>2450</v>
      </c>
      <c r="W18" s="80">
        <v>17</v>
      </c>
      <c r="X18" s="80" t="s">
        <v>35</v>
      </c>
      <c r="Y18" s="80" t="s">
        <v>64</v>
      </c>
      <c r="Z18" s="80" t="s">
        <v>43</v>
      </c>
      <c r="AA18" s="80" t="s">
        <v>55</v>
      </c>
      <c r="AB18" s="126" t="s">
        <v>284</v>
      </c>
      <c r="AC18" s="34"/>
      <c r="AE18" s="22" t="s">
        <v>73</v>
      </c>
      <c r="AP18" s="27" t="s">
        <v>94</v>
      </c>
      <c r="AR18" s="83" t="s">
        <v>85</v>
      </c>
      <c r="AV18" s="89" t="s">
        <v>114</v>
      </c>
    </row>
    <row r="19" spans="1:48" x14ac:dyDescent="0.15">
      <c r="A19" s="126" t="s">
        <v>48</v>
      </c>
      <c r="B19" s="126" t="s">
        <v>280</v>
      </c>
      <c r="C19" s="126">
        <v>2020</v>
      </c>
      <c r="D19" s="127" t="s">
        <v>281</v>
      </c>
      <c r="E19" s="126" t="s">
        <v>302</v>
      </c>
      <c r="F19" s="126" t="s">
        <v>287</v>
      </c>
      <c r="G19" s="126" t="s">
        <v>25</v>
      </c>
      <c r="H19" s="126" t="s">
        <v>113</v>
      </c>
      <c r="I19" s="80" t="s">
        <v>111</v>
      </c>
      <c r="J19" s="80" t="s">
        <v>27</v>
      </c>
      <c r="K19" s="80" t="s">
        <v>112</v>
      </c>
      <c r="L19" s="80">
        <v>3</v>
      </c>
      <c r="N19" s="80">
        <v>1</v>
      </c>
      <c r="O19" s="34">
        <v>0.65</v>
      </c>
      <c r="P19" s="80">
        <v>0.7</v>
      </c>
      <c r="Q19" s="44">
        <f t="shared" si="0"/>
        <v>0.67500000000000004</v>
      </c>
      <c r="R19" s="80">
        <v>14.2</v>
      </c>
      <c r="S19" s="80">
        <v>132.5</v>
      </c>
      <c r="T19" s="16">
        <f t="shared" si="1"/>
        <v>25</v>
      </c>
      <c r="U19" s="80">
        <v>98</v>
      </c>
      <c r="V19" s="128">
        <f t="shared" si="2"/>
        <v>2450</v>
      </c>
      <c r="W19" s="80">
        <v>17</v>
      </c>
      <c r="X19" s="80" t="s">
        <v>35</v>
      </c>
      <c r="Y19" s="80" t="s">
        <v>64</v>
      </c>
      <c r="Z19" s="80" t="s">
        <v>43</v>
      </c>
      <c r="AA19" s="80" t="s">
        <v>55</v>
      </c>
      <c r="AB19" s="126" t="s">
        <v>284</v>
      </c>
      <c r="AC19" s="34"/>
      <c r="AE19" s="35" t="s">
        <v>75</v>
      </c>
      <c r="AP19" s="27" t="s">
        <v>95</v>
      </c>
      <c r="AR19" s="83" t="s">
        <v>106</v>
      </c>
      <c r="AV19" s="89" t="s">
        <v>311</v>
      </c>
    </row>
    <row r="20" spans="1:48" x14ac:dyDescent="0.15">
      <c r="A20" s="126" t="s">
        <v>48</v>
      </c>
      <c r="B20" s="126" t="s">
        <v>280</v>
      </c>
      <c r="C20" s="126">
        <v>2020</v>
      </c>
      <c r="D20" s="127" t="s">
        <v>281</v>
      </c>
      <c r="E20" s="126" t="s">
        <v>302</v>
      </c>
      <c r="F20" s="126" t="s">
        <v>287</v>
      </c>
      <c r="G20" s="126" t="s">
        <v>25</v>
      </c>
      <c r="H20" s="126" t="s">
        <v>113</v>
      </c>
      <c r="I20" s="80" t="s">
        <v>111</v>
      </c>
      <c r="J20" s="80" t="s">
        <v>27</v>
      </c>
      <c r="K20" s="80" t="s">
        <v>112</v>
      </c>
      <c r="L20" s="80">
        <v>1</v>
      </c>
      <c r="N20" s="80">
        <v>8</v>
      </c>
      <c r="O20" s="80">
        <v>0.9</v>
      </c>
      <c r="P20" s="80">
        <v>0.75</v>
      </c>
      <c r="Q20" s="44">
        <f t="shared" si="0"/>
        <v>0.82499999999999996</v>
      </c>
      <c r="R20" s="80">
        <v>13.8</v>
      </c>
      <c r="S20" s="80">
        <v>72.5</v>
      </c>
      <c r="T20" s="16">
        <f t="shared" si="1"/>
        <v>42</v>
      </c>
      <c r="U20" s="80">
        <v>498</v>
      </c>
      <c r="V20" s="128">
        <f t="shared" si="2"/>
        <v>2614.5</v>
      </c>
      <c r="W20" s="80">
        <v>17</v>
      </c>
      <c r="X20" s="80" t="s">
        <v>35</v>
      </c>
      <c r="Y20" s="80" t="s">
        <v>64</v>
      </c>
      <c r="Z20" s="80" t="s">
        <v>43</v>
      </c>
      <c r="AA20" s="80" t="s">
        <v>55</v>
      </c>
      <c r="AB20" s="126" t="s">
        <v>284</v>
      </c>
      <c r="AC20" s="34"/>
      <c r="AE20" s="22"/>
      <c r="AP20" s="27" t="s">
        <v>96</v>
      </c>
      <c r="AR20" s="83" t="s">
        <v>89</v>
      </c>
      <c r="AV20" s="89" t="s">
        <v>312</v>
      </c>
    </row>
    <row r="21" spans="1:48" x14ac:dyDescent="0.15">
      <c r="A21" s="126" t="s">
        <v>48</v>
      </c>
      <c r="B21" s="126" t="s">
        <v>280</v>
      </c>
      <c r="C21" s="126">
        <v>2020</v>
      </c>
      <c r="D21" s="127" t="s">
        <v>281</v>
      </c>
      <c r="E21" s="126" t="s">
        <v>302</v>
      </c>
      <c r="F21" s="126" t="s">
        <v>287</v>
      </c>
      <c r="G21" s="126" t="s">
        <v>25</v>
      </c>
      <c r="H21" s="126" t="s">
        <v>113</v>
      </c>
      <c r="I21" s="80" t="s">
        <v>111</v>
      </c>
      <c r="J21" s="80" t="s">
        <v>27</v>
      </c>
      <c r="K21" s="80" t="s">
        <v>112</v>
      </c>
      <c r="L21" s="80">
        <v>2</v>
      </c>
      <c r="N21" s="80">
        <v>8</v>
      </c>
      <c r="O21" s="80">
        <v>0.6</v>
      </c>
      <c r="P21" s="80">
        <v>0.6</v>
      </c>
      <c r="Q21" s="44">
        <f t="shared" si="0"/>
        <v>0.6</v>
      </c>
      <c r="R21" s="80">
        <v>15</v>
      </c>
      <c r="S21" s="80">
        <v>73.5</v>
      </c>
      <c r="T21" s="16">
        <f t="shared" si="1"/>
        <v>42</v>
      </c>
      <c r="U21" s="80">
        <v>498</v>
      </c>
      <c r="V21" s="128">
        <f t="shared" si="2"/>
        <v>2614.5</v>
      </c>
      <c r="W21" s="80">
        <v>17</v>
      </c>
      <c r="X21" s="80" t="s">
        <v>35</v>
      </c>
      <c r="Y21" s="80" t="s">
        <v>64</v>
      </c>
      <c r="Z21" s="80" t="s">
        <v>43</v>
      </c>
      <c r="AA21" s="80" t="s">
        <v>55</v>
      </c>
      <c r="AB21" s="126" t="s">
        <v>284</v>
      </c>
      <c r="AC21" s="34"/>
      <c r="AE21" s="22"/>
      <c r="AP21" s="27" t="s">
        <v>97</v>
      </c>
      <c r="AR21" s="83" t="s">
        <v>54</v>
      </c>
      <c r="AV21" s="89" t="s">
        <v>313</v>
      </c>
    </row>
    <row r="22" spans="1:48" x14ac:dyDescent="0.15">
      <c r="A22" s="126" t="s">
        <v>48</v>
      </c>
      <c r="B22" s="126" t="s">
        <v>280</v>
      </c>
      <c r="C22" s="126">
        <v>2020</v>
      </c>
      <c r="D22" s="127" t="s">
        <v>281</v>
      </c>
      <c r="E22" s="126" t="s">
        <v>302</v>
      </c>
      <c r="F22" s="126" t="s">
        <v>287</v>
      </c>
      <c r="G22" s="126" t="s">
        <v>25</v>
      </c>
      <c r="H22" s="126" t="s">
        <v>113</v>
      </c>
      <c r="I22" s="80" t="s">
        <v>111</v>
      </c>
      <c r="J22" s="80" t="s">
        <v>27</v>
      </c>
      <c r="K22" s="80" t="s">
        <v>112</v>
      </c>
      <c r="L22" s="80">
        <v>3</v>
      </c>
      <c r="N22" s="80">
        <v>8</v>
      </c>
      <c r="O22" s="34">
        <v>0.7</v>
      </c>
      <c r="P22" s="80">
        <v>0.65</v>
      </c>
      <c r="Q22" s="44">
        <f t="shared" si="0"/>
        <v>0.67500000000000004</v>
      </c>
      <c r="R22" s="80">
        <v>14</v>
      </c>
      <c r="S22" s="80">
        <v>74.5</v>
      </c>
      <c r="T22" s="16">
        <f t="shared" si="1"/>
        <v>42</v>
      </c>
      <c r="U22" s="80">
        <v>498</v>
      </c>
      <c r="V22" s="128">
        <f t="shared" si="2"/>
        <v>2614.5</v>
      </c>
      <c r="W22" s="80">
        <v>17</v>
      </c>
      <c r="X22" s="80" t="s">
        <v>35</v>
      </c>
      <c r="Y22" s="80" t="s">
        <v>64</v>
      </c>
      <c r="Z22" s="80" t="s">
        <v>43</v>
      </c>
      <c r="AA22" s="80" t="s">
        <v>55</v>
      </c>
      <c r="AB22" s="126" t="s">
        <v>284</v>
      </c>
      <c r="AC22" s="34"/>
      <c r="AE22" s="35"/>
      <c r="AP22" s="27" t="s">
        <v>98</v>
      </c>
      <c r="AR22" s="83" t="s">
        <v>69</v>
      </c>
      <c r="AV22" s="83"/>
    </row>
    <row r="23" spans="1:48" x14ac:dyDescent="0.15">
      <c r="A23" s="126" t="s">
        <v>48</v>
      </c>
      <c r="B23" s="126" t="s">
        <v>280</v>
      </c>
      <c r="C23" s="126">
        <v>2020</v>
      </c>
      <c r="D23" s="127" t="s">
        <v>281</v>
      </c>
      <c r="E23" s="126" t="s">
        <v>302</v>
      </c>
      <c r="F23" s="126" t="s">
        <v>287</v>
      </c>
      <c r="G23" s="126" t="s">
        <v>25</v>
      </c>
      <c r="H23" s="126" t="s">
        <v>113</v>
      </c>
      <c r="I23" s="80" t="s">
        <v>172</v>
      </c>
      <c r="J23" s="80" t="s">
        <v>27</v>
      </c>
      <c r="K23" s="80" t="s">
        <v>112</v>
      </c>
      <c r="L23" s="80">
        <v>1</v>
      </c>
      <c r="N23" s="80">
        <v>5</v>
      </c>
      <c r="O23" s="80">
        <v>0.85</v>
      </c>
      <c r="P23" s="80">
        <v>0.9</v>
      </c>
      <c r="Q23" s="44">
        <f t="shared" si="0"/>
        <v>0.875</v>
      </c>
      <c r="R23" s="80">
        <v>12.9</v>
      </c>
      <c r="S23" s="80">
        <v>83</v>
      </c>
      <c r="T23" s="16">
        <f t="shared" si="1"/>
        <v>39</v>
      </c>
      <c r="U23" s="80">
        <v>398</v>
      </c>
      <c r="V23" s="128">
        <f t="shared" si="2"/>
        <v>3104.3999999999996</v>
      </c>
      <c r="W23" s="80">
        <v>17</v>
      </c>
      <c r="X23" s="80" t="s">
        <v>35</v>
      </c>
      <c r="Y23" s="80" t="s">
        <v>64</v>
      </c>
      <c r="Z23" s="80" t="s">
        <v>43</v>
      </c>
      <c r="AA23" s="80" t="s">
        <v>55</v>
      </c>
      <c r="AB23" s="126" t="s">
        <v>284</v>
      </c>
      <c r="AC23" s="34"/>
      <c r="AE23" s="22"/>
      <c r="AP23" s="27" t="s">
        <v>116</v>
      </c>
      <c r="AR23" s="83" t="s">
        <v>48</v>
      </c>
    </row>
    <row r="24" spans="1:48" x14ac:dyDescent="0.15">
      <c r="A24" s="126" t="s">
        <v>48</v>
      </c>
      <c r="B24" s="126" t="s">
        <v>280</v>
      </c>
      <c r="C24" s="126">
        <v>2020</v>
      </c>
      <c r="D24" s="127" t="s">
        <v>281</v>
      </c>
      <c r="E24" s="126" t="s">
        <v>302</v>
      </c>
      <c r="F24" s="126" t="s">
        <v>287</v>
      </c>
      <c r="G24" s="126" t="s">
        <v>25</v>
      </c>
      <c r="H24" s="126" t="s">
        <v>113</v>
      </c>
      <c r="I24" s="80" t="s">
        <v>172</v>
      </c>
      <c r="J24" s="80" t="s">
        <v>27</v>
      </c>
      <c r="K24" s="80" t="s">
        <v>112</v>
      </c>
      <c r="L24" s="80">
        <v>2</v>
      </c>
      <c r="N24" s="80">
        <v>5</v>
      </c>
      <c r="O24" s="80">
        <v>0.75</v>
      </c>
      <c r="P24" s="80">
        <v>0.95</v>
      </c>
      <c r="Q24" s="44">
        <f t="shared" si="0"/>
        <v>0.85</v>
      </c>
      <c r="R24" s="80">
        <v>13</v>
      </c>
      <c r="S24" s="80">
        <v>86</v>
      </c>
      <c r="T24" s="16">
        <f t="shared" si="1"/>
        <v>36</v>
      </c>
      <c r="U24" s="80">
        <v>398</v>
      </c>
      <c r="V24" s="128">
        <f t="shared" si="2"/>
        <v>2865.6</v>
      </c>
      <c r="W24" s="80">
        <v>17</v>
      </c>
      <c r="X24" s="80" t="s">
        <v>35</v>
      </c>
      <c r="Y24" s="80" t="s">
        <v>64</v>
      </c>
      <c r="Z24" s="80" t="s">
        <v>43</v>
      </c>
      <c r="AA24" s="80" t="s">
        <v>55</v>
      </c>
      <c r="AB24" s="126" t="s">
        <v>284</v>
      </c>
      <c r="AC24" s="34"/>
      <c r="AE24" s="22"/>
      <c r="AP24" s="27" t="s">
        <v>117</v>
      </c>
      <c r="AR24" s="83" t="s">
        <v>77</v>
      </c>
    </row>
    <row r="25" spans="1:48" x14ac:dyDescent="0.15">
      <c r="A25" s="126" t="s">
        <v>48</v>
      </c>
      <c r="B25" s="126" t="s">
        <v>280</v>
      </c>
      <c r="C25" s="126">
        <v>2020</v>
      </c>
      <c r="D25" s="127" t="s">
        <v>281</v>
      </c>
      <c r="E25" s="126" t="s">
        <v>302</v>
      </c>
      <c r="F25" s="126" t="s">
        <v>287</v>
      </c>
      <c r="G25" s="126" t="s">
        <v>25</v>
      </c>
      <c r="H25" s="126" t="s">
        <v>113</v>
      </c>
      <c r="I25" s="80" t="s">
        <v>172</v>
      </c>
      <c r="J25" s="80" t="s">
        <v>27</v>
      </c>
      <c r="K25" s="80" t="s">
        <v>112</v>
      </c>
      <c r="L25" s="80">
        <v>3</v>
      </c>
      <c r="N25" s="80">
        <v>5</v>
      </c>
      <c r="O25" s="34">
        <v>0.7</v>
      </c>
      <c r="P25" s="80">
        <v>0.8</v>
      </c>
      <c r="Q25" s="44">
        <f t="shared" si="0"/>
        <v>0.75</v>
      </c>
      <c r="R25" s="80">
        <v>13.2</v>
      </c>
      <c r="S25" s="80">
        <v>88</v>
      </c>
      <c r="T25" s="16">
        <f t="shared" si="1"/>
        <v>36</v>
      </c>
      <c r="U25" s="80">
        <v>398</v>
      </c>
      <c r="V25" s="128">
        <f t="shared" si="2"/>
        <v>2865.6</v>
      </c>
      <c r="W25" s="80">
        <v>17</v>
      </c>
      <c r="X25" s="80" t="s">
        <v>35</v>
      </c>
      <c r="Y25" s="80" t="s">
        <v>64</v>
      </c>
      <c r="Z25" s="80" t="s">
        <v>43</v>
      </c>
      <c r="AA25" s="80" t="s">
        <v>55</v>
      </c>
      <c r="AB25" s="126" t="s">
        <v>284</v>
      </c>
      <c r="AC25" s="34"/>
      <c r="AE25" s="35"/>
      <c r="AP25" s="27" t="s">
        <v>99</v>
      </c>
      <c r="AR25" s="27" t="s">
        <v>78</v>
      </c>
    </row>
    <row r="26" spans="1:48" x14ac:dyDescent="0.15">
      <c r="A26" s="126" t="s">
        <v>48</v>
      </c>
      <c r="B26" s="126" t="s">
        <v>280</v>
      </c>
      <c r="C26" s="126">
        <v>2020</v>
      </c>
      <c r="D26" s="127" t="s">
        <v>281</v>
      </c>
      <c r="E26" s="126" t="s">
        <v>288</v>
      </c>
      <c r="F26" s="126" t="s">
        <v>289</v>
      </c>
      <c r="G26" s="126" t="s">
        <v>31</v>
      </c>
      <c r="H26" s="126" t="s">
        <v>167</v>
      </c>
      <c r="I26" s="80" t="s">
        <v>111</v>
      </c>
      <c r="J26" s="80" t="s">
        <v>27</v>
      </c>
      <c r="K26" s="80" t="s">
        <v>112</v>
      </c>
      <c r="L26" s="80">
        <v>1</v>
      </c>
      <c r="N26" s="80">
        <v>1</v>
      </c>
      <c r="O26" s="80">
        <v>0.2</v>
      </c>
      <c r="P26" s="34">
        <v>0.2</v>
      </c>
      <c r="Q26" s="44">
        <f t="shared" si="0"/>
        <v>0.2</v>
      </c>
      <c r="R26" s="80">
        <v>17.899999999999999</v>
      </c>
      <c r="S26" s="80">
        <v>142</v>
      </c>
      <c r="T26" s="16">
        <f t="shared" si="1"/>
        <v>22</v>
      </c>
      <c r="U26" s="80">
        <v>146</v>
      </c>
      <c r="V26" s="128">
        <f t="shared" si="2"/>
        <v>3212</v>
      </c>
      <c r="W26" s="80">
        <v>4</v>
      </c>
      <c r="X26" s="80" t="s">
        <v>35</v>
      </c>
      <c r="Y26" s="80" t="s">
        <v>64</v>
      </c>
      <c r="Z26" s="80" t="s">
        <v>74</v>
      </c>
      <c r="AA26" s="80" t="s">
        <v>76</v>
      </c>
      <c r="AB26" s="126" t="s">
        <v>284</v>
      </c>
      <c r="AC26" s="34"/>
      <c r="AD26" s="34"/>
      <c r="AE26" s="35"/>
      <c r="AP26" s="27" t="s">
        <v>100</v>
      </c>
      <c r="AR26" s="83" t="s">
        <v>138</v>
      </c>
    </row>
    <row r="27" spans="1:48" x14ac:dyDescent="0.15">
      <c r="A27" s="126" t="s">
        <v>48</v>
      </c>
      <c r="B27" s="126" t="s">
        <v>280</v>
      </c>
      <c r="C27" s="126">
        <v>2020</v>
      </c>
      <c r="D27" s="127" t="s">
        <v>281</v>
      </c>
      <c r="E27" s="126" t="s">
        <v>288</v>
      </c>
      <c r="F27" s="126" t="s">
        <v>289</v>
      </c>
      <c r="G27" s="126" t="s">
        <v>31</v>
      </c>
      <c r="H27" s="126" t="s">
        <v>167</v>
      </c>
      <c r="I27" s="80" t="s">
        <v>111</v>
      </c>
      <c r="J27" s="80" t="s">
        <v>27</v>
      </c>
      <c r="K27" s="80" t="s">
        <v>112</v>
      </c>
      <c r="L27" s="80">
        <v>2</v>
      </c>
      <c r="N27" s="80">
        <v>1</v>
      </c>
      <c r="O27" s="80">
        <v>0.2</v>
      </c>
      <c r="P27" s="34">
        <v>0.2</v>
      </c>
      <c r="Q27" s="44">
        <f t="shared" si="0"/>
        <v>0.2</v>
      </c>
      <c r="R27" s="80">
        <v>18.399999999999999</v>
      </c>
      <c r="S27" s="80">
        <v>148.5</v>
      </c>
      <c r="T27" s="16">
        <f t="shared" si="1"/>
        <v>22</v>
      </c>
      <c r="U27" s="80">
        <v>146</v>
      </c>
      <c r="V27" s="128">
        <f t="shared" si="2"/>
        <v>3212</v>
      </c>
      <c r="W27" s="80">
        <v>4</v>
      </c>
      <c r="X27" s="80" t="s">
        <v>35</v>
      </c>
      <c r="Y27" s="80" t="s">
        <v>64</v>
      </c>
      <c r="Z27" s="80" t="s">
        <v>74</v>
      </c>
      <c r="AA27" s="80" t="s">
        <v>76</v>
      </c>
      <c r="AB27" s="126" t="s">
        <v>284</v>
      </c>
      <c r="AC27" s="34"/>
      <c r="AD27" s="34"/>
      <c r="AE27" s="28"/>
      <c r="AP27" s="27" t="s">
        <v>101</v>
      </c>
      <c r="AR27" s="83" t="s">
        <v>159</v>
      </c>
    </row>
    <row r="28" spans="1:48" x14ac:dyDescent="0.15">
      <c r="A28" s="126" t="s">
        <v>48</v>
      </c>
      <c r="B28" s="126" t="s">
        <v>280</v>
      </c>
      <c r="C28" s="126">
        <v>2020</v>
      </c>
      <c r="D28" s="127" t="s">
        <v>281</v>
      </c>
      <c r="E28" s="126" t="s">
        <v>288</v>
      </c>
      <c r="F28" s="126" t="s">
        <v>289</v>
      </c>
      <c r="G28" s="126" t="s">
        <v>31</v>
      </c>
      <c r="H28" s="126" t="s">
        <v>167</v>
      </c>
      <c r="I28" s="80" t="s">
        <v>111</v>
      </c>
      <c r="J28" s="80" t="s">
        <v>27</v>
      </c>
      <c r="K28" s="80" t="s">
        <v>112</v>
      </c>
      <c r="L28" s="80">
        <v>3</v>
      </c>
      <c r="N28" s="80">
        <v>1</v>
      </c>
      <c r="O28" s="80">
        <v>0.2</v>
      </c>
      <c r="P28" s="34">
        <v>0.2</v>
      </c>
      <c r="Q28" s="44">
        <f t="shared" si="0"/>
        <v>0.2</v>
      </c>
      <c r="R28" s="80">
        <v>18.3</v>
      </c>
      <c r="S28" s="80">
        <v>138</v>
      </c>
      <c r="T28" s="16">
        <f t="shared" si="1"/>
        <v>22</v>
      </c>
      <c r="U28" s="80">
        <v>146</v>
      </c>
      <c r="V28" s="128">
        <f t="shared" si="2"/>
        <v>3212</v>
      </c>
      <c r="W28" s="80">
        <v>4</v>
      </c>
      <c r="X28" s="80" t="s">
        <v>35</v>
      </c>
      <c r="Y28" s="80" t="s">
        <v>64</v>
      </c>
      <c r="Z28" s="80" t="s">
        <v>74</v>
      </c>
      <c r="AA28" s="80" t="s">
        <v>76</v>
      </c>
      <c r="AB28" s="126" t="s">
        <v>284</v>
      </c>
      <c r="AC28" s="34"/>
      <c r="AD28" s="34"/>
      <c r="AP28" s="27" t="s">
        <v>156</v>
      </c>
      <c r="AR28" s="83" t="s">
        <v>158</v>
      </c>
    </row>
    <row r="29" spans="1:48" x14ac:dyDescent="0.15">
      <c r="A29" s="126" t="s">
        <v>48</v>
      </c>
      <c r="B29" s="126" t="s">
        <v>280</v>
      </c>
      <c r="C29" s="126">
        <v>2020</v>
      </c>
      <c r="D29" s="127" t="s">
        <v>281</v>
      </c>
      <c r="E29" s="126" t="s">
        <v>288</v>
      </c>
      <c r="F29" s="126" t="s">
        <v>289</v>
      </c>
      <c r="G29" s="126" t="s">
        <v>31</v>
      </c>
      <c r="H29" s="126" t="s">
        <v>167</v>
      </c>
      <c r="I29" s="80" t="s">
        <v>111</v>
      </c>
      <c r="J29" s="80" t="s">
        <v>27</v>
      </c>
      <c r="K29" s="80" t="s">
        <v>112</v>
      </c>
      <c r="L29" s="80">
        <v>1</v>
      </c>
      <c r="N29" s="80">
        <v>4</v>
      </c>
      <c r="O29" s="80">
        <v>0.2</v>
      </c>
      <c r="P29" s="80">
        <v>0.5</v>
      </c>
      <c r="Q29" s="44">
        <f t="shared" si="0"/>
        <v>0.35</v>
      </c>
      <c r="R29" s="80">
        <v>19.5</v>
      </c>
      <c r="S29" s="80">
        <v>108.5</v>
      </c>
      <c r="T29" s="16">
        <f t="shared" si="1"/>
        <v>33</v>
      </c>
      <c r="U29" s="80">
        <v>544</v>
      </c>
      <c r="V29" s="128">
        <f t="shared" si="2"/>
        <v>4488</v>
      </c>
      <c r="W29" s="80">
        <v>4</v>
      </c>
      <c r="X29" s="80" t="s">
        <v>35</v>
      </c>
      <c r="Y29" s="80" t="s">
        <v>64</v>
      </c>
      <c r="Z29" s="80" t="s">
        <v>74</v>
      </c>
      <c r="AA29" s="80" t="s">
        <v>76</v>
      </c>
      <c r="AB29" s="126" t="s">
        <v>284</v>
      </c>
      <c r="AC29" s="34"/>
      <c r="AP29" s="27" t="s">
        <v>157</v>
      </c>
      <c r="AR29" s="28" t="s">
        <v>314</v>
      </c>
    </row>
    <row r="30" spans="1:48" x14ac:dyDescent="0.15">
      <c r="A30" s="126" t="s">
        <v>48</v>
      </c>
      <c r="B30" s="126" t="s">
        <v>280</v>
      </c>
      <c r="C30" s="126">
        <v>2020</v>
      </c>
      <c r="D30" s="127" t="s">
        <v>281</v>
      </c>
      <c r="E30" s="126" t="s">
        <v>288</v>
      </c>
      <c r="F30" s="126" t="s">
        <v>289</v>
      </c>
      <c r="G30" s="126" t="s">
        <v>31</v>
      </c>
      <c r="H30" s="126" t="s">
        <v>167</v>
      </c>
      <c r="I30" s="80" t="s">
        <v>111</v>
      </c>
      <c r="J30" s="80" t="s">
        <v>27</v>
      </c>
      <c r="K30" s="80" t="s">
        <v>112</v>
      </c>
      <c r="L30" s="80">
        <v>2</v>
      </c>
      <c r="N30" s="80">
        <v>4</v>
      </c>
      <c r="O30" s="80">
        <v>0.2</v>
      </c>
      <c r="P30" s="34">
        <v>0.5</v>
      </c>
      <c r="Q30" s="44">
        <f t="shared" si="0"/>
        <v>0.35</v>
      </c>
      <c r="R30" s="80">
        <v>16.399999999999999</v>
      </c>
      <c r="S30" s="80">
        <v>110</v>
      </c>
      <c r="T30" s="16">
        <f t="shared" si="1"/>
        <v>33</v>
      </c>
      <c r="U30" s="80">
        <v>544</v>
      </c>
      <c r="V30" s="128">
        <f t="shared" si="2"/>
        <v>4488</v>
      </c>
      <c r="W30" s="80">
        <v>4</v>
      </c>
      <c r="X30" s="80" t="s">
        <v>35</v>
      </c>
      <c r="Y30" s="80" t="s">
        <v>64</v>
      </c>
      <c r="Z30" s="80" t="s">
        <v>74</v>
      </c>
      <c r="AA30" s="80" t="s">
        <v>76</v>
      </c>
      <c r="AB30" s="126" t="s">
        <v>284</v>
      </c>
      <c r="AC30" s="34"/>
    </row>
    <row r="31" spans="1:48" x14ac:dyDescent="0.15">
      <c r="A31" s="126" t="s">
        <v>48</v>
      </c>
      <c r="B31" s="126" t="s">
        <v>280</v>
      </c>
      <c r="C31" s="126">
        <v>2020</v>
      </c>
      <c r="D31" s="127" t="s">
        <v>281</v>
      </c>
      <c r="E31" s="126" t="s">
        <v>288</v>
      </c>
      <c r="F31" s="126" t="s">
        <v>289</v>
      </c>
      <c r="G31" s="126" t="s">
        <v>31</v>
      </c>
      <c r="H31" s="126" t="s">
        <v>167</v>
      </c>
      <c r="I31" s="80" t="s">
        <v>111</v>
      </c>
      <c r="J31" s="80" t="s">
        <v>27</v>
      </c>
      <c r="K31" s="80" t="s">
        <v>112</v>
      </c>
      <c r="L31" s="80">
        <v>3</v>
      </c>
      <c r="N31" s="80">
        <v>4</v>
      </c>
      <c r="O31" s="80">
        <v>0.5</v>
      </c>
      <c r="P31" s="80">
        <v>0.2</v>
      </c>
      <c r="Q31" s="44">
        <f t="shared" si="0"/>
        <v>0.35</v>
      </c>
      <c r="R31" s="80">
        <v>18.3</v>
      </c>
      <c r="S31" s="80">
        <v>106.5</v>
      </c>
      <c r="T31" s="16">
        <f t="shared" si="1"/>
        <v>33</v>
      </c>
      <c r="U31" s="80">
        <v>544</v>
      </c>
      <c r="V31" s="128">
        <f t="shared" si="2"/>
        <v>4488</v>
      </c>
      <c r="W31" s="80">
        <v>4</v>
      </c>
      <c r="X31" s="80" t="s">
        <v>35</v>
      </c>
      <c r="Y31" s="80" t="s">
        <v>64</v>
      </c>
      <c r="Z31" s="80" t="s">
        <v>74</v>
      </c>
      <c r="AA31" s="80" t="s">
        <v>76</v>
      </c>
      <c r="AB31" s="126" t="s">
        <v>284</v>
      </c>
      <c r="AC31" s="34"/>
    </row>
    <row r="32" spans="1:48" x14ac:dyDescent="0.15">
      <c r="A32" s="126" t="s">
        <v>48</v>
      </c>
      <c r="B32" s="126" t="s">
        <v>280</v>
      </c>
      <c r="C32" s="126">
        <v>2020</v>
      </c>
      <c r="D32" s="127" t="s">
        <v>281</v>
      </c>
      <c r="E32" s="126" t="s">
        <v>288</v>
      </c>
      <c r="F32" s="126" t="s">
        <v>289</v>
      </c>
      <c r="G32" s="126" t="s">
        <v>31</v>
      </c>
      <c r="H32" s="126" t="s">
        <v>113</v>
      </c>
      <c r="I32" s="80" t="s">
        <v>111</v>
      </c>
      <c r="J32" s="80" t="s">
        <v>27</v>
      </c>
      <c r="K32" s="80" t="s">
        <v>112</v>
      </c>
      <c r="L32" s="80">
        <v>1</v>
      </c>
      <c r="N32" s="80">
        <v>1</v>
      </c>
      <c r="O32" s="80">
        <v>0.2</v>
      </c>
      <c r="P32" s="80">
        <v>0.2</v>
      </c>
      <c r="Q32" s="44">
        <f t="shared" si="0"/>
        <v>0.2</v>
      </c>
      <c r="R32" s="80">
        <v>14.3</v>
      </c>
      <c r="S32" s="80">
        <v>138.5</v>
      </c>
      <c r="T32" s="16">
        <f t="shared" si="1"/>
        <v>22</v>
      </c>
      <c r="U32" s="80">
        <v>146</v>
      </c>
      <c r="V32" s="128">
        <f t="shared" si="2"/>
        <v>3212</v>
      </c>
      <c r="W32" s="80">
        <v>4</v>
      </c>
      <c r="X32" s="80" t="s">
        <v>35</v>
      </c>
      <c r="Y32" s="80" t="s">
        <v>64</v>
      </c>
      <c r="Z32" s="80" t="s">
        <v>74</v>
      </c>
      <c r="AA32" s="80" t="s">
        <v>76</v>
      </c>
      <c r="AB32" s="126" t="s">
        <v>284</v>
      </c>
      <c r="AC32" s="34"/>
    </row>
    <row r="33" spans="1:29" x14ac:dyDescent="0.15">
      <c r="A33" s="126" t="s">
        <v>48</v>
      </c>
      <c r="B33" s="126" t="s">
        <v>280</v>
      </c>
      <c r="C33" s="126">
        <v>2020</v>
      </c>
      <c r="D33" s="127" t="s">
        <v>281</v>
      </c>
      <c r="E33" s="126" t="s">
        <v>288</v>
      </c>
      <c r="F33" s="126" t="s">
        <v>289</v>
      </c>
      <c r="G33" s="126" t="s">
        <v>31</v>
      </c>
      <c r="H33" s="126" t="s">
        <v>113</v>
      </c>
      <c r="I33" s="80" t="s">
        <v>111</v>
      </c>
      <c r="J33" s="80" t="s">
        <v>27</v>
      </c>
      <c r="K33" s="80" t="s">
        <v>112</v>
      </c>
      <c r="L33" s="80">
        <v>2</v>
      </c>
      <c r="N33" s="80">
        <v>1</v>
      </c>
      <c r="O33" s="80">
        <v>0.2</v>
      </c>
      <c r="P33" s="80">
        <v>0.5</v>
      </c>
      <c r="Q33" s="44">
        <f t="shared" si="0"/>
        <v>0.35</v>
      </c>
      <c r="R33" s="80">
        <v>13.9</v>
      </c>
      <c r="S33" s="80">
        <v>136.5</v>
      </c>
      <c r="T33" s="16">
        <f t="shared" si="1"/>
        <v>25</v>
      </c>
      <c r="U33" s="80">
        <v>146</v>
      </c>
      <c r="V33" s="128">
        <f t="shared" si="2"/>
        <v>3650</v>
      </c>
      <c r="W33" s="80">
        <v>4</v>
      </c>
      <c r="X33" s="80" t="s">
        <v>35</v>
      </c>
      <c r="Y33" s="80" t="s">
        <v>64</v>
      </c>
      <c r="Z33" s="80" t="s">
        <v>74</v>
      </c>
      <c r="AA33" s="80" t="s">
        <v>76</v>
      </c>
      <c r="AB33" s="126" t="s">
        <v>284</v>
      </c>
      <c r="AC33" s="34"/>
    </row>
    <row r="34" spans="1:29" x14ac:dyDescent="0.15">
      <c r="A34" s="126" t="s">
        <v>48</v>
      </c>
      <c r="B34" s="126" t="s">
        <v>280</v>
      </c>
      <c r="C34" s="126">
        <v>2020</v>
      </c>
      <c r="D34" s="127" t="s">
        <v>281</v>
      </c>
      <c r="E34" s="126" t="s">
        <v>288</v>
      </c>
      <c r="F34" s="126" t="s">
        <v>289</v>
      </c>
      <c r="G34" s="126" t="s">
        <v>31</v>
      </c>
      <c r="H34" s="126" t="s">
        <v>113</v>
      </c>
      <c r="I34" s="80" t="s">
        <v>111</v>
      </c>
      <c r="J34" s="80" t="s">
        <v>27</v>
      </c>
      <c r="K34" s="80" t="s">
        <v>112</v>
      </c>
      <c r="L34" s="80">
        <v>3</v>
      </c>
      <c r="N34" s="80">
        <v>1</v>
      </c>
      <c r="O34" s="80">
        <v>0.5</v>
      </c>
      <c r="P34" s="80">
        <v>0.5</v>
      </c>
      <c r="Q34" s="44">
        <f t="shared" si="0"/>
        <v>0.5</v>
      </c>
      <c r="R34" s="80">
        <v>14</v>
      </c>
      <c r="S34" s="80">
        <v>136</v>
      </c>
      <c r="T34" s="16">
        <f t="shared" si="1"/>
        <v>25</v>
      </c>
      <c r="U34" s="80">
        <v>146</v>
      </c>
      <c r="V34" s="128">
        <f t="shared" si="2"/>
        <v>3650</v>
      </c>
      <c r="W34" s="80">
        <v>4</v>
      </c>
      <c r="X34" s="80" t="s">
        <v>35</v>
      </c>
      <c r="Y34" s="80" t="s">
        <v>64</v>
      </c>
      <c r="Z34" s="80" t="s">
        <v>74</v>
      </c>
      <c r="AA34" s="80" t="s">
        <v>76</v>
      </c>
      <c r="AB34" s="126" t="s">
        <v>284</v>
      </c>
      <c r="AC34" s="34"/>
    </row>
    <row r="35" spans="1:29" x14ac:dyDescent="0.15">
      <c r="A35" s="126" t="s">
        <v>48</v>
      </c>
      <c r="B35" s="126" t="s">
        <v>280</v>
      </c>
      <c r="C35" s="126">
        <v>2020</v>
      </c>
      <c r="D35" s="127" t="s">
        <v>281</v>
      </c>
      <c r="E35" s="126" t="s">
        <v>288</v>
      </c>
      <c r="F35" s="126" t="s">
        <v>289</v>
      </c>
      <c r="G35" s="126" t="s">
        <v>31</v>
      </c>
      <c r="H35" s="126" t="s">
        <v>113</v>
      </c>
      <c r="I35" s="80" t="s">
        <v>111</v>
      </c>
      <c r="J35" s="80" t="s">
        <v>27</v>
      </c>
      <c r="K35" s="80" t="s">
        <v>112</v>
      </c>
      <c r="L35" s="80">
        <v>1</v>
      </c>
      <c r="N35" s="80">
        <v>4</v>
      </c>
      <c r="O35" s="80">
        <v>0.6</v>
      </c>
      <c r="P35" s="80">
        <v>0.75</v>
      </c>
      <c r="Q35" s="44">
        <f t="shared" si="0"/>
        <v>0.67500000000000004</v>
      </c>
      <c r="R35" s="80">
        <v>12.8</v>
      </c>
      <c r="S35" s="80">
        <v>95.5</v>
      </c>
      <c r="T35" s="16">
        <f t="shared" si="1"/>
        <v>36</v>
      </c>
      <c r="U35" s="80">
        <v>424</v>
      </c>
      <c r="V35" s="128">
        <f t="shared" si="2"/>
        <v>3816</v>
      </c>
      <c r="W35" s="80">
        <v>4</v>
      </c>
      <c r="X35" s="80" t="s">
        <v>35</v>
      </c>
      <c r="Y35" s="80" t="s">
        <v>64</v>
      </c>
      <c r="Z35" s="80" t="s">
        <v>74</v>
      </c>
      <c r="AA35" s="80" t="s">
        <v>76</v>
      </c>
      <c r="AB35" s="126" t="s">
        <v>284</v>
      </c>
      <c r="AC35" s="34"/>
    </row>
    <row r="36" spans="1:29" x14ac:dyDescent="0.15">
      <c r="A36" s="126" t="s">
        <v>48</v>
      </c>
      <c r="B36" s="126" t="s">
        <v>280</v>
      </c>
      <c r="C36" s="126">
        <v>2020</v>
      </c>
      <c r="D36" s="127" t="s">
        <v>281</v>
      </c>
      <c r="E36" s="126" t="s">
        <v>288</v>
      </c>
      <c r="F36" s="126" t="s">
        <v>289</v>
      </c>
      <c r="G36" s="126" t="s">
        <v>31</v>
      </c>
      <c r="H36" s="126" t="s">
        <v>113</v>
      </c>
      <c r="I36" s="80" t="s">
        <v>111</v>
      </c>
      <c r="J36" s="80" t="s">
        <v>27</v>
      </c>
      <c r="K36" s="80" t="s">
        <v>112</v>
      </c>
      <c r="L36" s="80">
        <v>2</v>
      </c>
      <c r="N36" s="80">
        <v>4</v>
      </c>
      <c r="O36" s="80">
        <v>0.7</v>
      </c>
      <c r="P36" s="80">
        <v>0.65</v>
      </c>
      <c r="Q36" s="44">
        <f t="shared" si="0"/>
        <v>0.67500000000000004</v>
      </c>
      <c r="R36" s="80">
        <v>13.3</v>
      </c>
      <c r="S36" s="80">
        <v>95.5</v>
      </c>
      <c r="T36" s="16">
        <f t="shared" si="1"/>
        <v>36</v>
      </c>
      <c r="U36" s="80">
        <v>424</v>
      </c>
      <c r="V36" s="128">
        <f t="shared" si="2"/>
        <v>3816</v>
      </c>
      <c r="W36" s="80">
        <v>4</v>
      </c>
      <c r="X36" s="80" t="s">
        <v>35</v>
      </c>
      <c r="Y36" s="80" t="s">
        <v>64</v>
      </c>
      <c r="Z36" s="80" t="s">
        <v>74</v>
      </c>
      <c r="AA36" s="80" t="s">
        <v>76</v>
      </c>
      <c r="AB36" s="126" t="s">
        <v>284</v>
      </c>
      <c r="AC36" s="34"/>
    </row>
    <row r="37" spans="1:29" x14ac:dyDescent="0.15">
      <c r="A37" s="126" t="s">
        <v>48</v>
      </c>
      <c r="B37" s="126" t="s">
        <v>280</v>
      </c>
      <c r="C37" s="126">
        <v>2020</v>
      </c>
      <c r="D37" s="127" t="s">
        <v>281</v>
      </c>
      <c r="E37" s="126" t="s">
        <v>288</v>
      </c>
      <c r="F37" s="126" t="s">
        <v>289</v>
      </c>
      <c r="G37" s="126" t="s">
        <v>31</v>
      </c>
      <c r="H37" s="126" t="s">
        <v>113</v>
      </c>
      <c r="I37" s="80" t="s">
        <v>111</v>
      </c>
      <c r="J37" s="80" t="s">
        <v>27</v>
      </c>
      <c r="K37" s="80" t="s">
        <v>112</v>
      </c>
      <c r="L37" s="80">
        <v>3</v>
      </c>
      <c r="N37" s="80">
        <v>4</v>
      </c>
      <c r="O37" s="80">
        <v>0.6</v>
      </c>
      <c r="P37" s="80">
        <v>0.7</v>
      </c>
      <c r="Q37" s="44">
        <f t="shared" si="0"/>
        <v>0.64999999999999991</v>
      </c>
      <c r="R37" s="80">
        <v>12.5</v>
      </c>
      <c r="S37" s="80">
        <v>97.5</v>
      </c>
      <c r="T37" s="16">
        <f t="shared" si="1"/>
        <v>36</v>
      </c>
      <c r="U37" s="80">
        <v>424</v>
      </c>
      <c r="V37" s="128">
        <f t="shared" si="2"/>
        <v>3816</v>
      </c>
      <c r="W37" s="80">
        <v>4</v>
      </c>
      <c r="X37" s="80" t="s">
        <v>35</v>
      </c>
      <c r="Y37" s="80" t="s">
        <v>64</v>
      </c>
      <c r="Z37" s="80" t="s">
        <v>74</v>
      </c>
      <c r="AA37" s="80" t="s">
        <v>76</v>
      </c>
      <c r="AB37" s="126" t="s">
        <v>284</v>
      </c>
      <c r="AC37" s="34"/>
    </row>
    <row r="38" spans="1:29" x14ac:dyDescent="0.15">
      <c r="A38" s="126" t="s">
        <v>48</v>
      </c>
      <c r="B38" s="126" t="s">
        <v>280</v>
      </c>
      <c r="C38" s="126">
        <v>2020</v>
      </c>
      <c r="D38" s="127" t="s">
        <v>281</v>
      </c>
      <c r="E38" s="126" t="s">
        <v>315</v>
      </c>
      <c r="F38" s="126" t="s">
        <v>291</v>
      </c>
      <c r="G38" s="126" t="s">
        <v>25</v>
      </c>
      <c r="H38" s="126" t="s">
        <v>167</v>
      </c>
      <c r="I38" s="80" t="s">
        <v>111</v>
      </c>
      <c r="J38" s="80" t="s">
        <v>27</v>
      </c>
      <c r="K38" s="80" t="s">
        <v>112</v>
      </c>
      <c r="L38" s="80">
        <v>1</v>
      </c>
      <c r="N38" s="80">
        <v>1</v>
      </c>
      <c r="O38" s="80">
        <v>0.6</v>
      </c>
      <c r="P38" s="80">
        <v>0.55000000000000004</v>
      </c>
      <c r="Q38" s="44">
        <f t="shared" si="0"/>
        <v>0.57499999999999996</v>
      </c>
      <c r="R38" s="80">
        <v>13.9</v>
      </c>
      <c r="S38" s="80">
        <v>107</v>
      </c>
      <c r="T38" s="16">
        <f t="shared" si="1"/>
        <v>33</v>
      </c>
      <c r="U38" s="80">
        <v>149</v>
      </c>
      <c r="V38" s="128">
        <f t="shared" si="2"/>
        <v>4917</v>
      </c>
      <c r="W38" s="80">
        <v>15</v>
      </c>
      <c r="X38" s="80" t="s">
        <v>35</v>
      </c>
      <c r="Y38" s="80" t="s">
        <v>64</v>
      </c>
      <c r="Z38" s="80" t="s">
        <v>82</v>
      </c>
      <c r="AA38" s="80" t="s">
        <v>74</v>
      </c>
      <c r="AB38" s="126" t="s">
        <v>284</v>
      </c>
      <c r="AC38" s="34"/>
    </row>
    <row r="39" spans="1:29" x14ac:dyDescent="0.15">
      <c r="A39" s="126" t="s">
        <v>48</v>
      </c>
      <c r="B39" s="126" t="s">
        <v>280</v>
      </c>
      <c r="C39" s="126">
        <v>2020</v>
      </c>
      <c r="D39" s="127" t="s">
        <v>281</v>
      </c>
      <c r="E39" s="126" t="s">
        <v>315</v>
      </c>
      <c r="F39" s="126" t="s">
        <v>291</v>
      </c>
      <c r="G39" s="126" t="s">
        <v>25</v>
      </c>
      <c r="H39" s="126" t="s">
        <v>167</v>
      </c>
      <c r="I39" s="80" t="s">
        <v>111</v>
      </c>
      <c r="J39" s="80" t="s">
        <v>27</v>
      </c>
      <c r="K39" s="80" t="s">
        <v>112</v>
      </c>
      <c r="L39" s="80">
        <v>2</v>
      </c>
      <c r="N39" s="80">
        <v>1</v>
      </c>
      <c r="O39" s="80">
        <v>0.5</v>
      </c>
      <c r="P39" s="80">
        <v>0.6</v>
      </c>
      <c r="Q39" s="44">
        <f t="shared" si="0"/>
        <v>0.55000000000000004</v>
      </c>
      <c r="R39" s="80">
        <v>13.5</v>
      </c>
      <c r="S39" s="80">
        <v>110.5</v>
      </c>
      <c r="T39" s="16">
        <f t="shared" si="1"/>
        <v>33</v>
      </c>
      <c r="U39" s="80">
        <v>149</v>
      </c>
      <c r="V39" s="128">
        <f t="shared" si="2"/>
        <v>4917</v>
      </c>
      <c r="W39" s="80">
        <v>15</v>
      </c>
      <c r="X39" s="80" t="s">
        <v>35</v>
      </c>
      <c r="Y39" s="80" t="s">
        <v>64</v>
      </c>
      <c r="Z39" s="80" t="s">
        <v>82</v>
      </c>
      <c r="AA39" s="80" t="s">
        <v>74</v>
      </c>
      <c r="AB39" s="126" t="s">
        <v>284</v>
      </c>
      <c r="AC39" s="34"/>
    </row>
    <row r="40" spans="1:29" x14ac:dyDescent="0.15">
      <c r="A40" s="126" t="s">
        <v>48</v>
      </c>
      <c r="B40" s="126" t="s">
        <v>280</v>
      </c>
      <c r="C40" s="126">
        <v>2020</v>
      </c>
      <c r="D40" s="127" t="s">
        <v>281</v>
      </c>
      <c r="E40" s="126" t="s">
        <v>315</v>
      </c>
      <c r="F40" s="126" t="s">
        <v>291</v>
      </c>
      <c r="G40" s="126" t="s">
        <v>25</v>
      </c>
      <c r="H40" s="126" t="s">
        <v>167</v>
      </c>
      <c r="I40" s="80" t="s">
        <v>111</v>
      </c>
      <c r="J40" s="80" t="s">
        <v>27</v>
      </c>
      <c r="K40" s="80" t="s">
        <v>112</v>
      </c>
      <c r="L40" s="80">
        <v>3</v>
      </c>
      <c r="N40" s="80">
        <v>1</v>
      </c>
      <c r="O40" s="80">
        <v>0.5</v>
      </c>
      <c r="P40" s="80">
        <v>0.55000000000000004</v>
      </c>
      <c r="Q40" s="44">
        <f t="shared" si="0"/>
        <v>0.52500000000000002</v>
      </c>
      <c r="R40" s="80">
        <v>13.7</v>
      </c>
      <c r="S40" s="80">
        <v>110</v>
      </c>
      <c r="T40" s="16">
        <f t="shared" si="1"/>
        <v>33</v>
      </c>
      <c r="U40" s="80">
        <v>149</v>
      </c>
      <c r="V40" s="128">
        <f t="shared" si="2"/>
        <v>4917</v>
      </c>
      <c r="W40" s="80">
        <v>15</v>
      </c>
      <c r="X40" s="80" t="s">
        <v>35</v>
      </c>
      <c r="Y40" s="80" t="s">
        <v>64</v>
      </c>
      <c r="Z40" s="80" t="s">
        <v>82</v>
      </c>
      <c r="AA40" s="80" t="s">
        <v>74</v>
      </c>
      <c r="AB40" s="126" t="s">
        <v>284</v>
      </c>
      <c r="AC40" s="34"/>
    </row>
    <row r="41" spans="1:29" x14ac:dyDescent="0.15">
      <c r="A41" s="126" t="s">
        <v>48</v>
      </c>
      <c r="B41" s="126" t="s">
        <v>280</v>
      </c>
      <c r="C41" s="126">
        <v>2020</v>
      </c>
      <c r="D41" s="127" t="s">
        <v>281</v>
      </c>
      <c r="E41" s="126" t="s">
        <v>315</v>
      </c>
      <c r="F41" s="126" t="s">
        <v>291</v>
      </c>
      <c r="G41" s="126" t="s">
        <v>25</v>
      </c>
      <c r="H41" s="126" t="s">
        <v>167</v>
      </c>
      <c r="I41" s="80" t="s">
        <v>111</v>
      </c>
      <c r="J41" s="80" t="s">
        <v>27</v>
      </c>
      <c r="K41" s="80" t="s">
        <v>112</v>
      </c>
      <c r="L41" s="80">
        <v>1</v>
      </c>
      <c r="N41" s="80">
        <v>4</v>
      </c>
      <c r="O41" s="80">
        <v>0.5</v>
      </c>
      <c r="P41" s="80">
        <v>0.55000000000000004</v>
      </c>
      <c r="Q41" s="44">
        <f t="shared" si="0"/>
        <v>0.52500000000000002</v>
      </c>
      <c r="R41" s="80">
        <v>15.2</v>
      </c>
      <c r="S41" s="80">
        <v>92</v>
      </c>
      <c r="T41" s="16">
        <f t="shared" si="1"/>
        <v>36</v>
      </c>
      <c r="U41" s="80">
        <v>537</v>
      </c>
      <c r="V41" s="128">
        <f t="shared" si="2"/>
        <v>4833</v>
      </c>
      <c r="W41" s="80">
        <v>15</v>
      </c>
      <c r="X41" s="80" t="s">
        <v>35</v>
      </c>
      <c r="Y41" s="80" t="s">
        <v>64</v>
      </c>
      <c r="Z41" s="80" t="s">
        <v>82</v>
      </c>
      <c r="AA41" s="80" t="s">
        <v>74</v>
      </c>
      <c r="AB41" s="126" t="s">
        <v>284</v>
      </c>
      <c r="AC41" s="34"/>
    </row>
    <row r="42" spans="1:29" x14ac:dyDescent="0.15">
      <c r="A42" s="126" t="s">
        <v>48</v>
      </c>
      <c r="B42" s="126" t="s">
        <v>280</v>
      </c>
      <c r="C42" s="126">
        <v>2020</v>
      </c>
      <c r="D42" s="127" t="s">
        <v>281</v>
      </c>
      <c r="E42" s="126" t="s">
        <v>315</v>
      </c>
      <c r="F42" s="126" t="s">
        <v>291</v>
      </c>
      <c r="G42" s="126" t="s">
        <v>25</v>
      </c>
      <c r="H42" s="126" t="s">
        <v>167</v>
      </c>
      <c r="I42" s="80" t="s">
        <v>111</v>
      </c>
      <c r="J42" s="80" t="s">
        <v>27</v>
      </c>
      <c r="K42" s="80" t="s">
        <v>112</v>
      </c>
      <c r="L42" s="80">
        <v>2</v>
      </c>
      <c r="N42" s="80">
        <v>4</v>
      </c>
      <c r="O42" s="80">
        <v>0.2</v>
      </c>
      <c r="P42" s="80">
        <v>0.2</v>
      </c>
      <c r="Q42" s="44">
        <f t="shared" si="0"/>
        <v>0.2</v>
      </c>
      <c r="R42" s="80">
        <v>13.9</v>
      </c>
      <c r="S42" s="80">
        <v>83.5</v>
      </c>
      <c r="T42" s="16">
        <f t="shared" si="1"/>
        <v>39</v>
      </c>
      <c r="U42" s="80">
        <v>537</v>
      </c>
      <c r="V42" s="128">
        <f t="shared" si="2"/>
        <v>5235.75</v>
      </c>
      <c r="W42" s="80">
        <v>15</v>
      </c>
      <c r="X42" s="80" t="s">
        <v>35</v>
      </c>
      <c r="Y42" s="80" t="s">
        <v>64</v>
      </c>
      <c r="Z42" s="80" t="s">
        <v>82</v>
      </c>
      <c r="AA42" s="80" t="s">
        <v>74</v>
      </c>
      <c r="AB42" s="126" t="s">
        <v>284</v>
      </c>
      <c r="AC42" s="34"/>
    </row>
    <row r="43" spans="1:29" x14ac:dyDescent="0.15">
      <c r="A43" s="126" t="s">
        <v>48</v>
      </c>
      <c r="B43" s="126" t="s">
        <v>280</v>
      </c>
      <c r="C43" s="126">
        <v>2020</v>
      </c>
      <c r="D43" s="127" t="s">
        <v>281</v>
      </c>
      <c r="E43" s="126" t="s">
        <v>315</v>
      </c>
      <c r="F43" s="126" t="s">
        <v>291</v>
      </c>
      <c r="G43" s="126" t="s">
        <v>25</v>
      </c>
      <c r="H43" s="126" t="s">
        <v>167</v>
      </c>
      <c r="I43" s="80" t="s">
        <v>111</v>
      </c>
      <c r="J43" s="80" t="s">
        <v>27</v>
      </c>
      <c r="K43" s="80" t="s">
        <v>112</v>
      </c>
      <c r="L43" s="80">
        <v>3</v>
      </c>
      <c r="N43" s="80">
        <v>4</v>
      </c>
      <c r="O43" s="80">
        <v>0.5</v>
      </c>
      <c r="P43" s="80">
        <v>0.2</v>
      </c>
      <c r="Q43" s="44">
        <f t="shared" si="0"/>
        <v>0.35</v>
      </c>
      <c r="R43" s="80">
        <v>14</v>
      </c>
      <c r="S43" s="80">
        <v>81</v>
      </c>
      <c r="T43" s="16">
        <f t="shared" si="1"/>
        <v>39</v>
      </c>
      <c r="U43" s="80">
        <v>537</v>
      </c>
      <c r="V43" s="128">
        <f t="shared" si="2"/>
        <v>5235.75</v>
      </c>
      <c r="W43" s="80">
        <v>15</v>
      </c>
      <c r="X43" s="80" t="s">
        <v>35</v>
      </c>
      <c r="Y43" s="80" t="s">
        <v>64</v>
      </c>
      <c r="Z43" s="80" t="s">
        <v>82</v>
      </c>
      <c r="AA43" s="80" t="s">
        <v>74</v>
      </c>
      <c r="AB43" s="126" t="s">
        <v>284</v>
      </c>
      <c r="AC43" s="34"/>
    </row>
    <row r="44" spans="1:29" x14ac:dyDescent="0.15">
      <c r="A44" s="126" t="s">
        <v>48</v>
      </c>
      <c r="B44" s="126" t="s">
        <v>280</v>
      </c>
      <c r="C44" s="126">
        <v>2020</v>
      </c>
      <c r="D44" s="127" t="s">
        <v>281</v>
      </c>
      <c r="E44" s="126" t="s">
        <v>315</v>
      </c>
      <c r="F44" s="126" t="s">
        <v>291</v>
      </c>
      <c r="G44" s="126" t="s">
        <v>25</v>
      </c>
      <c r="H44" s="126" t="s">
        <v>167</v>
      </c>
      <c r="I44" s="80" t="s">
        <v>111</v>
      </c>
      <c r="J44" s="80" t="s">
        <v>27</v>
      </c>
      <c r="K44" s="80" t="s">
        <v>112</v>
      </c>
      <c r="L44" s="80">
        <v>1</v>
      </c>
      <c r="N44" s="80">
        <v>7</v>
      </c>
      <c r="O44" s="80">
        <v>0.5</v>
      </c>
      <c r="P44" s="80">
        <v>0.5</v>
      </c>
      <c r="Q44" s="44">
        <f t="shared" si="0"/>
        <v>0.5</v>
      </c>
      <c r="R44" s="80">
        <v>17.600000000000001</v>
      </c>
      <c r="S44" s="80">
        <v>89.5</v>
      </c>
      <c r="T44" s="16">
        <f t="shared" si="1"/>
        <v>36</v>
      </c>
      <c r="U44" s="80">
        <v>753</v>
      </c>
      <c r="V44" s="128">
        <f t="shared" si="2"/>
        <v>3872.5714285714284</v>
      </c>
      <c r="W44" s="80">
        <v>15</v>
      </c>
      <c r="X44" s="80" t="s">
        <v>35</v>
      </c>
      <c r="Y44" s="80" t="s">
        <v>64</v>
      </c>
      <c r="Z44" s="80" t="s">
        <v>82</v>
      </c>
      <c r="AA44" s="80" t="s">
        <v>74</v>
      </c>
      <c r="AB44" s="126" t="s">
        <v>284</v>
      </c>
    </row>
    <row r="45" spans="1:29" x14ac:dyDescent="0.15">
      <c r="A45" s="126" t="s">
        <v>48</v>
      </c>
      <c r="B45" s="126" t="s">
        <v>280</v>
      </c>
      <c r="C45" s="126">
        <v>2020</v>
      </c>
      <c r="D45" s="127" t="s">
        <v>281</v>
      </c>
      <c r="E45" s="126" t="s">
        <v>315</v>
      </c>
      <c r="F45" s="126" t="s">
        <v>291</v>
      </c>
      <c r="G45" s="126" t="s">
        <v>25</v>
      </c>
      <c r="H45" s="126" t="s">
        <v>167</v>
      </c>
      <c r="I45" s="80" t="s">
        <v>111</v>
      </c>
      <c r="J45" s="80" t="s">
        <v>27</v>
      </c>
      <c r="K45" s="80" t="s">
        <v>112</v>
      </c>
      <c r="L45" s="80">
        <v>2</v>
      </c>
      <c r="N45" s="80">
        <v>7</v>
      </c>
      <c r="O45" s="80">
        <v>0.2</v>
      </c>
      <c r="P45" s="80">
        <v>0.5</v>
      </c>
      <c r="Q45" s="44">
        <f t="shared" si="0"/>
        <v>0.35</v>
      </c>
      <c r="R45" s="80">
        <v>15.9</v>
      </c>
      <c r="S45" s="80">
        <v>90</v>
      </c>
      <c r="T45" s="16">
        <f t="shared" si="1"/>
        <v>36</v>
      </c>
      <c r="U45" s="80">
        <v>753</v>
      </c>
      <c r="V45" s="128">
        <f t="shared" si="2"/>
        <v>3872.5714285714284</v>
      </c>
      <c r="W45" s="80">
        <v>15</v>
      </c>
      <c r="X45" s="80" t="s">
        <v>35</v>
      </c>
      <c r="Y45" s="80" t="s">
        <v>64</v>
      </c>
      <c r="Z45" s="80" t="s">
        <v>82</v>
      </c>
      <c r="AA45" s="80" t="s">
        <v>74</v>
      </c>
      <c r="AB45" s="126" t="s">
        <v>284</v>
      </c>
    </row>
    <row r="46" spans="1:29" x14ac:dyDescent="0.15">
      <c r="A46" s="126" t="s">
        <v>48</v>
      </c>
      <c r="B46" s="126" t="s">
        <v>280</v>
      </c>
      <c r="C46" s="126">
        <v>2020</v>
      </c>
      <c r="D46" s="127" t="s">
        <v>281</v>
      </c>
      <c r="E46" s="126" t="s">
        <v>315</v>
      </c>
      <c r="F46" s="126" t="s">
        <v>291</v>
      </c>
      <c r="G46" s="126" t="s">
        <v>25</v>
      </c>
      <c r="H46" s="126" t="s">
        <v>167</v>
      </c>
      <c r="I46" s="80" t="s">
        <v>111</v>
      </c>
      <c r="J46" s="80" t="s">
        <v>27</v>
      </c>
      <c r="K46" s="80" t="s">
        <v>112</v>
      </c>
      <c r="L46" s="80">
        <v>3</v>
      </c>
      <c r="N46" s="80">
        <v>7</v>
      </c>
      <c r="O46" s="80">
        <v>0.2</v>
      </c>
      <c r="P46" s="80">
        <v>0.2</v>
      </c>
      <c r="Q46" s="44">
        <f t="shared" si="0"/>
        <v>0.2</v>
      </c>
      <c r="R46" s="80">
        <v>16</v>
      </c>
      <c r="S46" s="80">
        <v>88.5</v>
      </c>
      <c r="T46" s="16">
        <f t="shared" si="1"/>
        <v>36</v>
      </c>
      <c r="U46" s="80">
        <v>753</v>
      </c>
      <c r="V46" s="128">
        <f t="shared" si="2"/>
        <v>3872.5714285714284</v>
      </c>
      <c r="W46" s="80">
        <v>15</v>
      </c>
      <c r="X46" s="80" t="s">
        <v>35</v>
      </c>
      <c r="Y46" s="80" t="s">
        <v>64</v>
      </c>
      <c r="Z46" s="80" t="s">
        <v>82</v>
      </c>
      <c r="AA46" s="80" t="s">
        <v>74</v>
      </c>
      <c r="AB46" s="126" t="s">
        <v>284</v>
      </c>
    </row>
    <row r="47" spans="1:29" x14ac:dyDescent="0.15">
      <c r="A47" s="126" t="s">
        <v>48</v>
      </c>
      <c r="B47" s="126" t="s">
        <v>280</v>
      </c>
      <c r="C47" s="126">
        <v>2020</v>
      </c>
      <c r="D47" s="127" t="s">
        <v>281</v>
      </c>
      <c r="E47" s="126" t="s">
        <v>315</v>
      </c>
      <c r="F47" s="126" t="s">
        <v>291</v>
      </c>
      <c r="G47" s="126" t="s">
        <v>25</v>
      </c>
      <c r="H47" s="126" t="s">
        <v>113</v>
      </c>
      <c r="I47" s="80" t="s">
        <v>111</v>
      </c>
      <c r="J47" s="80" t="s">
        <v>27</v>
      </c>
      <c r="K47" s="80" t="s">
        <v>112</v>
      </c>
      <c r="L47" s="80">
        <v>1</v>
      </c>
      <c r="N47" s="80">
        <v>1</v>
      </c>
      <c r="O47" s="80">
        <v>1.25</v>
      </c>
      <c r="P47" s="80">
        <v>1</v>
      </c>
      <c r="Q47" s="44">
        <f t="shared" si="0"/>
        <v>1.125</v>
      </c>
      <c r="R47" s="80">
        <v>14.9</v>
      </c>
      <c r="S47" s="80">
        <v>117</v>
      </c>
      <c r="T47" s="16">
        <f t="shared" si="1"/>
        <v>30</v>
      </c>
      <c r="U47" s="80">
        <v>138</v>
      </c>
      <c r="V47" s="128">
        <f t="shared" si="2"/>
        <v>4140</v>
      </c>
      <c r="W47" s="80">
        <v>15</v>
      </c>
      <c r="X47" s="80" t="s">
        <v>35</v>
      </c>
      <c r="Y47" s="80" t="s">
        <v>64</v>
      </c>
      <c r="Z47" s="80" t="s">
        <v>82</v>
      </c>
      <c r="AA47" s="80" t="s">
        <v>74</v>
      </c>
      <c r="AB47" s="126" t="s">
        <v>284</v>
      </c>
      <c r="AC47" s="34"/>
    </row>
    <row r="48" spans="1:29" x14ac:dyDescent="0.15">
      <c r="A48" s="126" t="s">
        <v>48</v>
      </c>
      <c r="B48" s="126" t="s">
        <v>280</v>
      </c>
      <c r="C48" s="126">
        <v>2020</v>
      </c>
      <c r="D48" s="127" t="s">
        <v>281</v>
      </c>
      <c r="E48" s="126" t="s">
        <v>315</v>
      </c>
      <c r="F48" s="126" t="s">
        <v>291</v>
      </c>
      <c r="G48" s="126" t="s">
        <v>25</v>
      </c>
      <c r="H48" s="126" t="s">
        <v>113</v>
      </c>
      <c r="I48" s="80" t="s">
        <v>111</v>
      </c>
      <c r="J48" s="80" t="s">
        <v>27</v>
      </c>
      <c r="K48" s="80" t="s">
        <v>112</v>
      </c>
      <c r="L48" s="80">
        <v>2</v>
      </c>
      <c r="N48" s="80">
        <v>1</v>
      </c>
      <c r="O48" s="80">
        <v>0.9</v>
      </c>
      <c r="P48" s="80">
        <v>1.6</v>
      </c>
      <c r="Q48" s="44">
        <f t="shared" si="0"/>
        <v>1.25</v>
      </c>
      <c r="R48" s="80">
        <v>16.5</v>
      </c>
      <c r="S48" s="80">
        <v>118</v>
      </c>
      <c r="T48" s="16">
        <f t="shared" si="1"/>
        <v>30</v>
      </c>
      <c r="U48" s="80">
        <v>138</v>
      </c>
      <c r="V48" s="128">
        <f t="shared" si="2"/>
        <v>4140</v>
      </c>
      <c r="W48" s="80">
        <v>15</v>
      </c>
      <c r="X48" s="80" t="s">
        <v>35</v>
      </c>
      <c r="Y48" s="80" t="s">
        <v>64</v>
      </c>
      <c r="Z48" s="80" t="s">
        <v>82</v>
      </c>
      <c r="AA48" s="80" t="s">
        <v>74</v>
      </c>
      <c r="AB48" s="126" t="s">
        <v>284</v>
      </c>
      <c r="AC48" s="34"/>
    </row>
    <row r="49" spans="1:29" x14ac:dyDescent="0.15">
      <c r="A49" s="126" t="s">
        <v>48</v>
      </c>
      <c r="B49" s="126" t="s">
        <v>280</v>
      </c>
      <c r="C49" s="126">
        <v>2020</v>
      </c>
      <c r="D49" s="127" t="s">
        <v>281</v>
      </c>
      <c r="E49" s="126" t="s">
        <v>315</v>
      </c>
      <c r="F49" s="126" t="s">
        <v>291</v>
      </c>
      <c r="G49" s="126" t="s">
        <v>25</v>
      </c>
      <c r="H49" s="126" t="s">
        <v>113</v>
      </c>
      <c r="I49" s="80" t="s">
        <v>111</v>
      </c>
      <c r="J49" s="80" t="s">
        <v>27</v>
      </c>
      <c r="K49" s="80" t="s">
        <v>112</v>
      </c>
      <c r="L49" s="80">
        <v>3</v>
      </c>
      <c r="N49" s="80">
        <v>1</v>
      </c>
      <c r="O49" s="80">
        <v>0.9</v>
      </c>
      <c r="P49" s="80">
        <v>1.1000000000000001</v>
      </c>
      <c r="Q49" s="44">
        <f t="shared" si="0"/>
        <v>1</v>
      </c>
      <c r="R49" s="80">
        <v>15.5</v>
      </c>
      <c r="S49" s="80">
        <v>123.5</v>
      </c>
      <c r="T49" s="16">
        <f t="shared" si="1"/>
        <v>27</v>
      </c>
      <c r="U49" s="80">
        <v>138</v>
      </c>
      <c r="V49" s="128">
        <f t="shared" si="2"/>
        <v>3726</v>
      </c>
      <c r="W49" s="80">
        <v>15</v>
      </c>
      <c r="X49" s="80" t="s">
        <v>35</v>
      </c>
      <c r="Y49" s="80" t="s">
        <v>64</v>
      </c>
      <c r="Z49" s="80" t="s">
        <v>82</v>
      </c>
      <c r="AA49" s="80" t="s">
        <v>74</v>
      </c>
      <c r="AB49" s="126" t="s">
        <v>284</v>
      </c>
      <c r="AC49" s="34"/>
    </row>
    <row r="50" spans="1:29" x14ac:dyDescent="0.15">
      <c r="A50" s="126" t="s">
        <v>48</v>
      </c>
      <c r="B50" s="126" t="s">
        <v>280</v>
      </c>
      <c r="C50" s="126">
        <v>2020</v>
      </c>
      <c r="D50" s="127" t="s">
        <v>281</v>
      </c>
      <c r="E50" s="126" t="s">
        <v>315</v>
      </c>
      <c r="F50" s="126" t="s">
        <v>291</v>
      </c>
      <c r="G50" s="126" t="s">
        <v>25</v>
      </c>
      <c r="H50" s="126" t="s">
        <v>113</v>
      </c>
      <c r="I50" s="80" t="s">
        <v>111</v>
      </c>
      <c r="J50" s="80" t="s">
        <v>27</v>
      </c>
      <c r="K50" s="80" t="s">
        <v>112</v>
      </c>
      <c r="L50" s="80">
        <v>1</v>
      </c>
      <c r="N50" s="80">
        <v>4</v>
      </c>
      <c r="O50" s="80">
        <v>0.55000000000000004</v>
      </c>
      <c r="P50" s="80">
        <v>0.5</v>
      </c>
      <c r="Q50" s="44">
        <f t="shared" si="0"/>
        <v>0.52500000000000002</v>
      </c>
      <c r="R50" s="80">
        <v>16.5</v>
      </c>
      <c r="S50" s="80">
        <v>105</v>
      </c>
      <c r="T50" s="16">
        <f t="shared" si="1"/>
        <v>33</v>
      </c>
      <c r="U50" s="80">
        <v>321</v>
      </c>
      <c r="V50" s="128">
        <f t="shared" si="2"/>
        <v>2648.25</v>
      </c>
      <c r="W50" s="80">
        <v>15</v>
      </c>
      <c r="X50" s="80" t="s">
        <v>35</v>
      </c>
      <c r="Y50" s="80" t="s">
        <v>64</v>
      </c>
      <c r="Z50" s="80" t="s">
        <v>82</v>
      </c>
      <c r="AA50" s="80" t="s">
        <v>74</v>
      </c>
      <c r="AB50" s="126" t="s">
        <v>284</v>
      </c>
      <c r="AC50" s="34"/>
    </row>
    <row r="51" spans="1:29" x14ac:dyDescent="0.15">
      <c r="A51" s="126" t="s">
        <v>48</v>
      </c>
      <c r="B51" s="126" t="s">
        <v>280</v>
      </c>
      <c r="C51" s="126">
        <v>2020</v>
      </c>
      <c r="D51" s="127" t="s">
        <v>281</v>
      </c>
      <c r="E51" s="126" t="s">
        <v>315</v>
      </c>
      <c r="F51" s="126" t="s">
        <v>291</v>
      </c>
      <c r="G51" s="126" t="s">
        <v>25</v>
      </c>
      <c r="H51" s="126" t="s">
        <v>113</v>
      </c>
      <c r="I51" s="80" t="s">
        <v>111</v>
      </c>
      <c r="J51" s="80" t="s">
        <v>27</v>
      </c>
      <c r="K51" s="80" t="s">
        <v>112</v>
      </c>
      <c r="L51" s="80">
        <v>2</v>
      </c>
      <c r="N51" s="80">
        <v>4</v>
      </c>
      <c r="O51" s="80">
        <v>0.2</v>
      </c>
      <c r="P51" s="80">
        <v>0.5</v>
      </c>
      <c r="Q51" s="44">
        <f t="shared" si="0"/>
        <v>0.35</v>
      </c>
      <c r="R51" s="80">
        <v>15.2</v>
      </c>
      <c r="S51" s="80">
        <v>101.5</v>
      </c>
      <c r="T51" s="16">
        <f t="shared" si="1"/>
        <v>33</v>
      </c>
      <c r="U51" s="80">
        <v>321</v>
      </c>
      <c r="V51" s="128">
        <f t="shared" si="2"/>
        <v>2648.25</v>
      </c>
      <c r="W51" s="80">
        <v>15</v>
      </c>
      <c r="X51" s="80" t="s">
        <v>35</v>
      </c>
      <c r="Y51" s="80" t="s">
        <v>64</v>
      </c>
      <c r="Z51" s="80" t="s">
        <v>82</v>
      </c>
      <c r="AA51" s="80" t="s">
        <v>74</v>
      </c>
      <c r="AB51" s="126" t="s">
        <v>284</v>
      </c>
      <c r="AC51" s="34"/>
    </row>
    <row r="52" spans="1:29" x14ac:dyDescent="0.15">
      <c r="A52" s="126" t="s">
        <v>48</v>
      </c>
      <c r="B52" s="126" t="s">
        <v>280</v>
      </c>
      <c r="C52" s="126">
        <v>2020</v>
      </c>
      <c r="D52" s="127" t="s">
        <v>281</v>
      </c>
      <c r="E52" s="126" t="s">
        <v>315</v>
      </c>
      <c r="F52" s="126" t="s">
        <v>291</v>
      </c>
      <c r="G52" s="126" t="s">
        <v>25</v>
      </c>
      <c r="H52" s="126" t="s">
        <v>113</v>
      </c>
      <c r="I52" s="80" t="s">
        <v>111</v>
      </c>
      <c r="J52" s="80" t="s">
        <v>27</v>
      </c>
      <c r="K52" s="80" t="s">
        <v>112</v>
      </c>
      <c r="L52" s="80">
        <v>3</v>
      </c>
      <c r="N52" s="80">
        <v>4</v>
      </c>
      <c r="O52" s="80">
        <v>0.5</v>
      </c>
      <c r="P52" s="80">
        <v>0.5</v>
      </c>
      <c r="Q52" s="44">
        <f t="shared" si="0"/>
        <v>0.5</v>
      </c>
      <c r="R52" s="80">
        <v>14.7</v>
      </c>
      <c r="S52" s="80">
        <v>99.5</v>
      </c>
      <c r="T52" s="16">
        <f t="shared" si="1"/>
        <v>33</v>
      </c>
      <c r="U52" s="80">
        <v>321</v>
      </c>
      <c r="V52" s="128">
        <f t="shared" si="2"/>
        <v>2648.25</v>
      </c>
      <c r="W52" s="80">
        <v>15</v>
      </c>
      <c r="X52" s="80" t="s">
        <v>35</v>
      </c>
      <c r="Y52" s="80" t="s">
        <v>64</v>
      </c>
      <c r="Z52" s="80" t="s">
        <v>82</v>
      </c>
      <c r="AA52" s="80" t="s">
        <v>74</v>
      </c>
      <c r="AB52" s="126" t="s">
        <v>284</v>
      </c>
      <c r="AC52" s="34"/>
    </row>
    <row r="53" spans="1:29" x14ac:dyDescent="0.15">
      <c r="A53" s="126" t="s">
        <v>48</v>
      </c>
      <c r="B53" s="126" t="s">
        <v>280</v>
      </c>
      <c r="C53" s="126">
        <v>2020</v>
      </c>
      <c r="D53" s="127" t="s">
        <v>281</v>
      </c>
      <c r="E53" s="126" t="s">
        <v>293</v>
      </c>
      <c r="F53" s="126" t="s">
        <v>294</v>
      </c>
      <c r="G53" s="126" t="s">
        <v>25</v>
      </c>
      <c r="H53" s="126" t="s">
        <v>167</v>
      </c>
      <c r="I53" s="80" t="s">
        <v>111</v>
      </c>
      <c r="J53" s="80" t="s">
        <v>27</v>
      </c>
      <c r="K53" s="80" t="s">
        <v>112</v>
      </c>
      <c r="L53" s="80">
        <v>1</v>
      </c>
      <c r="N53" s="80">
        <v>1</v>
      </c>
      <c r="O53" s="80">
        <v>0.55000000000000004</v>
      </c>
      <c r="P53" s="80">
        <v>0.5</v>
      </c>
      <c r="Q53" s="44">
        <f t="shared" si="0"/>
        <v>0.52500000000000002</v>
      </c>
      <c r="R53" s="80">
        <v>17.3</v>
      </c>
      <c r="S53" s="80">
        <v>142</v>
      </c>
      <c r="T53" s="16">
        <f t="shared" si="1"/>
        <v>22</v>
      </c>
      <c r="U53" s="80">
        <v>128</v>
      </c>
      <c r="V53" s="128">
        <f t="shared" si="2"/>
        <v>2816</v>
      </c>
      <c r="W53" s="80">
        <v>8</v>
      </c>
      <c r="X53" s="80" t="s">
        <v>28</v>
      </c>
      <c r="Y53" s="80" t="s">
        <v>64</v>
      </c>
      <c r="Z53" s="80" t="s">
        <v>55</v>
      </c>
      <c r="AA53" s="80" t="s">
        <v>74</v>
      </c>
      <c r="AB53" s="126" t="s">
        <v>284</v>
      </c>
      <c r="AC53" s="34"/>
    </row>
    <row r="54" spans="1:29" x14ac:dyDescent="0.15">
      <c r="A54" s="126" t="s">
        <v>48</v>
      </c>
      <c r="B54" s="126" t="s">
        <v>280</v>
      </c>
      <c r="C54" s="126">
        <v>2020</v>
      </c>
      <c r="D54" s="127" t="s">
        <v>281</v>
      </c>
      <c r="E54" s="126" t="s">
        <v>293</v>
      </c>
      <c r="F54" s="126" t="s">
        <v>294</v>
      </c>
      <c r="G54" s="126" t="s">
        <v>25</v>
      </c>
      <c r="H54" s="126" t="s">
        <v>167</v>
      </c>
      <c r="I54" s="80" t="s">
        <v>111</v>
      </c>
      <c r="J54" s="80" t="s">
        <v>27</v>
      </c>
      <c r="K54" s="80" t="s">
        <v>112</v>
      </c>
      <c r="L54" s="80">
        <v>2</v>
      </c>
      <c r="N54" s="80">
        <v>1</v>
      </c>
      <c r="O54" s="80">
        <v>0.6</v>
      </c>
      <c r="P54" s="80">
        <v>0.5</v>
      </c>
      <c r="Q54" s="44">
        <f t="shared" si="0"/>
        <v>0.55000000000000004</v>
      </c>
      <c r="R54" s="80">
        <v>19</v>
      </c>
      <c r="S54" s="80">
        <v>139</v>
      </c>
      <c r="T54" s="16">
        <f t="shared" si="1"/>
        <v>22</v>
      </c>
      <c r="U54" s="80">
        <v>128</v>
      </c>
      <c r="V54" s="128">
        <f t="shared" si="2"/>
        <v>2816</v>
      </c>
      <c r="W54" s="80">
        <v>8</v>
      </c>
      <c r="X54" s="80" t="s">
        <v>28</v>
      </c>
      <c r="Y54" s="80" t="s">
        <v>64</v>
      </c>
      <c r="Z54" s="80" t="s">
        <v>55</v>
      </c>
      <c r="AA54" s="80" t="s">
        <v>74</v>
      </c>
      <c r="AB54" s="126" t="s">
        <v>284</v>
      </c>
      <c r="AC54" s="34"/>
    </row>
    <row r="55" spans="1:29" x14ac:dyDescent="0.15">
      <c r="A55" s="126" t="s">
        <v>48</v>
      </c>
      <c r="B55" s="126" t="s">
        <v>280</v>
      </c>
      <c r="C55" s="126">
        <v>2020</v>
      </c>
      <c r="D55" s="127" t="s">
        <v>281</v>
      </c>
      <c r="E55" s="126" t="s">
        <v>293</v>
      </c>
      <c r="F55" s="126" t="s">
        <v>294</v>
      </c>
      <c r="G55" s="126" t="s">
        <v>25</v>
      </c>
      <c r="H55" s="126" t="s">
        <v>167</v>
      </c>
      <c r="I55" s="80" t="s">
        <v>111</v>
      </c>
      <c r="J55" s="80" t="s">
        <v>27</v>
      </c>
      <c r="K55" s="80" t="s">
        <v>112</v>
      </c>
      <c r="L55" s="80">
        <v>3</v>
      </c>
      <c r="N55" s="80">
        <v>1</v>
      </c>
      <c r="O55" s="80">
        <v>0.55000000000000004</v>
      </c>
      <c r="P55" s="80">
        <v>0.6</v>
      </c>
      <c r="Q55" s="44">
        <f t="shared" si="0"/>
        <v>0.57499999999999996</v>
      </c>
      <c r="R55" s="80">
        <v>18</v>
      </c>
      <c r="S55" s="80">
        <v>125.5</v>
      </c>
      <c r="T55" s="16">
        <f t="shared" si="1"/>
        <v>27</v>
      </c>
      <c r="U55" s="80">
        <v>128</v>
      </c>
      <c r="V55" s="128">
        <f t="shared" si="2"/>
        <v>3456</v>
      </c>
      <c r="W55" s="80">
        <v>8</v>
      </c>
      <c r="X55" s="80" t="s">
        <v>28</v>
      </c>
      <c r="Y55" s="80" t="s">
        <v>64</v>
      </c>
      <c r="Z55" s="80" t="s">
        <v>55</v>
      </c>
      <c r="AA55" s="80" t="s">
        <v>74</v>
      </c>
      <c r="AB55" s="126" t="s">
        <v>284</v>
      </c>
      <c r="AC55" s="34"/>
    </row>
    <row r="56" spans="1:29" x14ac:dyDescent="0.15">
      <c r="A56" s="126" t="s">
        <v>48</v>
      </c>
      <c r="B56" s="126" t="s">
        <v>280</v>
      </c>
      <c r="C56" s="126">
        <v>2020</v>
      </c>
      <c r="D56" s="127" t="s">
        <v>281</v>
      </c>
      <c r="E56" s="126" t="s">
        <v>293</v>
      </c>
      <c r="F56" s="126" t="s">
        <v>294</v>
      </c>
      <c r="G56" s="126" t="s">
        <v>25</v>
      </c>
      <c r="H56" s="126" t="s">
        <v>167</v>
      </c>
      <c r="I56" s="80" t="s">
        <v>111</v>
      </c>
      <c r="J56" s="80" t="s">
        <v>27</v>
      </c>
      <c r="K56" s="80" t="s">
        <v>112</v>
      </c>
      <c r="L56" s="80">
        <v>1</v>
      </c>
      <c r="N56" s="80">
        <v>4</v>
      </c>
      <c r="O56" s="80">
        <v>0.2</v>
      </c>
      <c r="P56" s="80">
        <v>0.2</v>
      </c>
      <c r="Q56" s="44">
        <f t="shared" si="0"/>
        <v>0.2</v>
      </c>
      <c r="R56" s="80">
        <v>19.899999999999999</v>
      </c>
      <c r="S56" s="80">
        <v>108</v>
      </c>
      <c r="T56" s="16">
        <f t="shared" si="1"/>
        <v>33</v>
      </c>
      <c r="U56" s="80">
        <v>498</v>
      </c>
      <c r="V56" s="128">
        <f t="shared" si="2"/>
        <v>4108.5</v>
      </c>
      <c r="W56" s="80">
        <v>8</v>
      </c>
      <c r="X56" s="80" t="s">
        <v>28</v>
      </c>
      <c r="Y56" s="80" t="s">
        <v>64</v>
      </c>
      <c r="Z56" s="80" t="s">
        <v>55</v>
      </c>
      <c r="AA56" s="80" t="s">
        <v>74</v>
      </c>
      <c r="AB56" s="126" t="s">
        <v>284</v>
      </c>
      <c r="AC56" s="34"/>
    </row>
    <row r="57" spans="1:29" x14ac:dyDescent="0.15">
      <c r="A57" s="126" t="s">
        <v>48</v>
      </c>
      <c r="B57" s="126" t="s">
        <v>280</v>
      </c>
      <c r="C57" s="126">
        <v>2020</v>
      </c>
      <c r="D57" s="127" t="s">
        <v>281</v>
      </c>
      <c r="E57" s="126" t="s">
        <v>293</v>
      </c>
      <c r="F57" s="126" t="s">
        <v>294</v>
      </c>
      <c r="G57" s="126" t="s">
        <v>25</v>
      </c>
      <c r="H57" s="126" t="s">
        <v>167</v>
      </c>
      <c r="I57" s="80" t="s">
        <v>111</v>
      </c>
      <c r="J57" s="80" t="s">
        <v>27</v>
      </c>
      <c r="K57" s="80" t="s">
        <v>112</v>
      </c>
      <c r="L57" s="80">
        <v>2</v>
      </c>
      <c r="N57" s="80">
        <v>4</v>
      </c>
      <c r="O57" s="80">
        <v>0.55000000000000004</v>
      </c>
      <c r="P57" s="80">
        <v>0.55000000000000004</v>
      </c>
      <c r="Q57" s="44">
        <f t="shared" si="0"/>
        <v>0.55000000000000004</v>
      </c>
      <c r="R57" s="80">
        <v>15.4</v>
      </c>
      <c r="S57" s="80">
        <v>105.5</v>
      </c>
      <c r="T57" s="16">
        <f t="shared" si="1"/>
        <v>33</v>
      </c>
      <c r="U57" s="80">
        <v>498</v>
      </c>
      <c r="V57" s="128">
        <f t="shared" si="2"/>
        <v>4108.5</v>
      </c>
      <c r="W57" s="80">
        <v>8</v>
      </c>
      <c r="X57" s="80" t="s">
        <v>28</v>
      </c>
      <c r="Y57" s="80" t="s">
        <v>64</v>
      </c>
      <c r="Z57" s="80" t="s">
        <v>55</v>
      </c>
      <c r="AA57" s="80" t="s">
        <v>74</v>
      </c>
      <c r="AB57" s="126" t="s">
        <v>284</v>
      </c>
      <c r="AC57" s="34"/>
    </row>
    <row r="58" spans="1:29" x14ac:dyDescent="0.15">
      <c r="A58" s="126" t="s">
        <v>48</v>
      </c>
      <c r="B58" s="126" t="s">
        <v>280</v>
      </c>
      <c r="C58" s="126">
        <v>2020</v>
      </c>
      <c r="D58" s="127" t="s">
        <v>281</v>
      </c>
      <c r="E58" s="126" t="s">
        <v>293</v>
      </c>
      <c r="F58" s="126" t="s">
        <v>294</v>
      </c>
      <c r="G58" s="126" t="s">
        <v>25</v>
      </c>
      <c r="H58" s="126" t="s">
        <v>167</v>
      </c>
      <c r="I58" s="80" t="s">
        <v>111</v>
      </c>
      <c r="J58" s="80" t="s">
        <v>27</v>
      </c>
      <c r="K58" s="80" t="s">
        <v>112</v>
      </c>
      <c r="L58" s="80">
        <v>3</v>
      </c>
      <c r="N58" s="80">
        <v>4</v>
      </c>
      <c r="O58" s="80">
        <v>0.5</v>
      </c>
      <c r="P58" s="80">
        <v>0.2</v>
      </c>
      <c r="Q58" s="44">
        <f t="shared" si="0"/>
        <v>0.35</v>
      </c>
      <c r="R58" s="80">
        <v>16.2</v>
      </c>
      <c r="S58" s="80">
        <v>114.5</v>
      </c>
      <c r="T58" s="16">
        <f t="shared" si="1"/>
        <v>30</v>
      </c>
      <c r="U58" s="80">
        <v>498</v>
      </c>
      <c r="V58" s="128">
        <f t="shared" si="2"/>
        <v>3735</v>
      </c>
      <c r="W58" s="80">
        <v>8</v>
      </c>
      <c r="X58" s="80" t="s">
        <v>28</v>
      </c>
      <c r="Y58" s="80" t="s">
        <v>64</v>
      </c>
      <c r="Z58" s="80" t="s">
        <v>55</v>
      </c>
      <c r="AA58" s="80" t="s">
        <v>74</v>
      </c>
      <c r="AB58" s="126" t="s">
        <v>284</v>
      </c>
      <c r="AC58" s="34"/>
    </row>
    <row r="59" spans="1:29" x14ac:dyDescent="0.15">
      <c r="A59" s="126" t="s">
        <v>48</v>
      </c>
      <c r="B59" s="126" t="s">
        <v>280</v>
      </c>
      <c r="C59" s="126">
        <v>2020</v>
      </c>
      <c r="D59" s="127" t="s">
        <v>281</v>
      </c>
      <c r="E59" s="126" t="s">
        <v>293</v>
      </c>
      <c r="F59" s="126" t="s">
        <v>294</v>
      </c>
      <c r="G59" s="126" t="s">
        <v>25</v>
      </c>
      <c r="H59" s="126" t="s">
        <v>167</v>
      </c>
      <c r="I59" s="80" t="s">
        <v>172</v>
      </c>
      <c r="J59" s="80" t="s">
        <v>27</v>
      </c>
      <c r="K59" s="80" t="s">
        <v>112</v>
      </c>
      <c r="L59" s="80">
        <v>1</v>
      </c>
      <c r="N59" s="80">
        <v>1</v>
      </c>
      <c r="O59" s="80">
        <v>0.5</v>
      </c>
      <c r="P59" s="80">
        <v>0.5</v>
      </c>
      <c r="Q59" s="44">
        <f t="shared" si="0"/>
        <v>0.5</v>
      </c>
      <c r="R59" s="80">
        <v>18</v>
      </c>
      <c r="S59" s="80">
        <v>121</v>
      </c>
      <c r="T59" s="16">
        <f t="shared" si="1"/>
        <v>27</v>
      </c>
      <c r="U59" s="80">
        <v>128</v>
      </c>
      <c r="V59" s="128">
        <f t="shared" si="2"/>
        <v>3456</v>
      </c>
      <c r="W59" s="80">
        <v>8</v>
      </c>
      <c r="X59" s="80" t="s">
        <v>28</v>
      </c>
      <c r="Y59" s="80" t="s">
        <v>64</v>
      </c>
      <c r="Z59" s="80" t="s">
        <v>55</v>
      </c>
      <c r="AA59" s="80" t="s">
        <v>74</v>
      </c>
      <c r="AB59" s="126" t="s">
        <v>284</v>
      </c>
    </row>
    <row r="60" spans="1:29" x14ac:dyDescent="0.15">
      <c r="A60" s="126" t="s">
        <v>48</v>
      </c>
      <c r="B60" s="126" t="s">
        <v>280</v>
      </c>
      <c r="C60" s="126">
        <v>2020</v>
      </c>
      <c r="D60" s="127" t="s">
        <v>281</v>
      </c>
      <c r="E60" s="126" t="s">
        <v>293</v>
      </c>
      <c r="F60" s="126" t="s">
        <v>294</v>
      </c>
      <c r="G60" s="126" t="s">
        <v>25</v>
      </c>
      <c r="H60" s="126" t="s">
        <v>167</v>
      </c>
      <c r="I60" s="80" t="s">
        <v>172</v>
      </c>
      <c r="J60" s="80" t="s">
        <v>27</v>
      </c>
      <c r="K60" s="80" t="s">
        <v>112</v>
      </c>
      <c r="L60" s="80">
        <v>2</v>
      </c>
      <c r="N60" s="80">
        <v>1</v>
      </c>
      <c r="O60" s="80">
        <v>0.5</v>
      </c>
      <c r="P60" s="80">
        <v>0.6</v>
      </c>
      <c r="Q60" s="44">
        <f t="shared" si="0"/>
        <v>0.55000000000000004</v>
      </c>
      <c r="R60" s="80">
        <v>17.2</v>
      </c>
      <c r="S60" s="80">
        <v>115</v>
      </c>
      <c r="T60" s="16">
        <f t="shared" si="1"/>
        <v>30</v>
      </c>
      <c r="U60" s="80">
        <v>128</v>
      </c>
      <c r="V60" s="128">
        <f t="shared" si="2"/>
        <v>3840</v>
      </c>
      <c r="W60" s="80">
        <v>8</v>
      </c>
      <c r="X60" s="80" t="s">
        <v>28</v>
      </c>
      <c r="Y60" s="80" t="s">
        <v>64</v>
      </c>
      <c r="Z60" s="80" t="s">
        <v>55</v>
      </c>
      <c r="AA60" s="80" t="s">
        <v>74</v>
      </c>
      <c r="AB60" s="126" t="s">
        <v>284</v>
      </c>
    </row>
    <row r="61" spans="1:29" x14ac:dyDescent="0.15">
      <c r="A61" s="126" t="s">
        <v>48</v>
      </c>
      <c r="B61" s="126" t="s">
        <v>280</v>
      </c>
      <c r="C61" s="126">
        <v>2020</v>
      </c>
      <c r="D61" s="127" t="s">
        <v>281</v>
      </c>
      <c r="E61" s="126" t="s">
        <v>293</v>
      </c>
      <c r="F61" s="126" t="s">
        <v>294</v>
      </c>
      <c r="G61" s="126" t="s">
        <v>25</v>
      </c>
      <c r="H61" s="126" t="s">
        <v>167</v>
      </c>
      <c r="I61" s="80" t="s">
        <v>172</v>
      </c>
      <c r="J61" s="80" t="s">
        <v>27</v>
      </c>
      <c r="K61" s="80" t="s">
        <v>112</v>
      </c>
      <c r="L61" s="80">
        <v>3</v>
      </c>
      <c r="N61" s="80">
        <v>1</v>
      </c>
      <c r="O61" s="80">
        <v>0.5</v>
      </c>
      <c r="P61" s="80">
        <v>0.55000000000000004</v>
      </c>
      <c r="Q61" s="44">
        <f t="shared" si="0"/>
        <v>0.52500000000000002</v>
      </c>
      <c r="R61" s="80">
        <v>17</v>
      </c>
      <c r="S61" s="80">
        <v>119</v>
      </c>
      <c r="T61" s="16">
        <f t="shared" si="1"/>
        <v>30</v>
      </c>
      <c r="U61" s="80">
        <v>128</v>
      </c>
      <c r="V61" s="128">
        <f t="shared" si="2"/>
        <v>3840</v>
      </c>
      <c r="W61" s="80">
        <v>8</v>
      </c>
      <c r="X61" s="80" t="s">
        <v>28</v>
      </c>
      <c r="Y61" s="80" t="s">
        <v>64</v>
      </c>
      <c r="Z61" s="80" t="s">
        <v>55</v>
      </c>
      <c r="AA61" s="80" t="s">
        <v>74</v>
      </c>
      <c r="AB61" s="126" t="s">
        <v>284</v>
      </c>
    </row>
    <row r="62" spans="1:29" x14ac:dyDescent="0.15">
      <c r="A62" s="126" t="s">
        <v>48</v>
      </c>
      <c r="B62" s="126" t="s">
        <v>280</v>
      </c>
      <c r="C62" s="126">
        <v>2020</v>
      </c>
      <c r="D62" s="127" t="s">
        <v>281</v>
      </c>
      <c r="E62" s="126" t="s">
        <v>293</v>
      </c>
      <c r="F62" s="126" t="s">
        <v>294</v>
      </c>
      <c r="G62" s="126" t="s">
        <v>25</v>
      </c>
      <c r="H62" s="126" t="s">
        <v>113</v>
      </c>
      <c r="I62" s="80" t="s">
        <v>111</v>
      </c>
      <c r="J62" s="80" t="s">
        <v>27</v>
      </c>
      <c r="K62" s="80" t="s">
        <v>112</v>
      </c>
      <c r="L62" s="80">
        <v>1</v>
      </c>
      <c r="N62" s="80">
        <v>5</v>
      </c>
      <c r="O62" s="80">
        <v>0.2</v>
      </c>
      <c r="P62" s="80">
        <v>0.2</v>
      </c>
      <c r="Q62" s="44">
        <f>IF(OR(O62="",P62=""),"",AVERAGE(O62,P62))</f>
        <v>0.2</v>
      </c>
      <c r="R62" s="80">
        <v>17.399999999999999</v>
      </c>
      <c r="S62" s="80">
        <v>86</v>
      </c>
      <c r="T62" s="16">
        <f t="shared" si="1"/>
        <v>36</v>
      </c>
      <c r="U62" s="80">
        <v>398</v>
      </c>
      <c r="V62" s="128">
        <f t="shared" si="2"/>
        <v>2865.6</v>
      </c>
      <c r="W62" s="80">
        <v>8</v>
      </c>
      <c r="X62" s="80" t="s">
        <v>28</v>
      </c>
      <c r="Y62" s="80" t="s">
        <v>64</v>
      </c>
      <c r="Z62" s="80" t="s">
        <v>55</v>
      </c>
      <c r="AA62" s="80" t="s">
        <v>74</v>
      </c>
      <c r="AB62" s="126" t="s">
        <v>284</v>
      </c>
    </row>
    <row r="63" spans="1:29" x14ac:dyDescent="0.15">
      <c r="A63" s="126" t="s">
        <v>48</v>
      </c>
      <c r="B63" s="126" t="s">
        <v>280</v>
      </c>
      <c r="C63" s="126">
        <v>2020</v>
      </c>
      <c r="D63" s="127" t="s">
        <v>281</v>
      </c>
      <c r="E63" s="126" t="s">
        <v>293</v>
      </c>
      <c r="F63" s="126" t="s">
        <v>294</v>
      </c>
      <c r="G63" s="126" t="s">
        <v>25</v>
      </c>
      <c r="H63" s="126" t="s">
        <v>113</v>
      </c>
      <c r="I63" s="80" t="s">
        <v>111</v>
      </c>
      <c r="J63" s="80" t="s">
        <v>27</v>
      </c>
      <c r="K63" s="80" t="s">
        <v>112</v>
      </c>
      <c r="L63" s="80">
        <v>2</v>
      </c>
      <c r="N63" s="80">
        <v>5</v>
      </c>
      <c r="O63" s="80">
        <v>0.5</v>
      </c>
      <c r="P63" s="80">
        <v>0.6</v>
      </c>
      <c r="Q63" s="44">
        <f t="shared" si="0"/>
        <v>0.55000000000000004</v>
      </c>
      <c r="R63" s="80">
        <v>19</v>
      </c>
      <c r="S63" s="80">
        <v>87.5</v>
      </c>
      <c r="T63" s="16">
        <f t="shared" si="1"/>
        <v>36</v>
      </c>
      <c r="U63" s="80">
        <v>398</v>
      </c>
      <c r="V63" s="128">
        <f t="shared" si="2"/>
        <v>2865.6</v>
      </c>
      <c r="W63" s="80">
        <v>8</v>
      </c>
      <c r="X63" s="80" t="s">
        <v>28</v>
      </c>
      <c r="Y63" s="80" t="s">
        <v>64</v>
      </c>
      <c r="Z63" s="80" t="s">
        <v>55</v>
      </c>
      <c r="AA63" s="80" t="s">
        <v>74</v>
      </c>
      <c r="AB63" s="126" t="s">
        <v>284</v>
      </c>
    </row>
    <row r="64" spans="1:29" x14ac:dyDescent="0.15">
      <c r="A64" s="126" t="s">
        <v>48</v>
      </c>
      <c r="B64" s="126" t="s">
        <v>280</v>
      </c>
      <c r="C64" s="126">
        <v>2020</v>
      </c>
      <c r="D64" s="127" t="s">
        <v>281</v>
      </c>
      <c r="E64" s="126" t="s">
        <v>293</v>
      </c>
      <c r="F64" s="126" t="s">
        <v>294</v>
      </c>
      <c r="G64" s="126" t="s">
        <v>25</v>
      </c>
      <c r="H64" s="126" t="s">
        <v>113</v>
      </c>
      <c r="I64" s="80" t="s">
        <v>111</v>
      </c>
      <c r="J64" s="80" t="s">
        <v>27</v>
      </c>
      <c r="K64" s="80" t="s">
        <v>112</v>
      </c>
      <c r="L64" s="80">
        <v>3</v>
      </c>
      <c r="N64" s="80">
        <v>5</v>
      </c>
      <c r="O64" s="80">
        <v>0.5</v>
      </c>
      <c r="P64" s="80">
        <v>0.55000000000000004</v>
      </c>
      <c r="Q64" s="44">
        <f t="shared" si="0"/>
        <v>0.52500000000000002</v>
      </c>
      <c r="R64" s="80">
        <v>18</v>
      </c>
      <c r="S64" s="80">
        <v>83</v>
      </c>
      <c r="T64" s="16">
        <f t="shared" si="1"/>
        <v>39</v>
      </c>
      <c r="U64" s="80">
        <v>398</v>
      </c>
      <c r="V64" s="128">
        <f t="shared" si="2"/>
        <v>3104.3999999999996</v>
      </c>
      <c r="W64" s="80">
        <v>8</v>
      </c>
      <c r="X64" s="80" t="s">
        <v>28</v>
      </c>
      <c r="Y64" s="80" t="s">
        <v>64</v>
      </c>
      <c r="Z64" s="80" t="s">
        <v>55</v>
      </c>
      <c r="AA64" s="80" t="s">
        <v>74</v>
      </c>
      <c r="AB64" s="126" t="s">
        <v>284</v>
      </c>
    </row>
    <row r="65" spans="1:29" x14ac:dyDescent="0.15">
      <c r="A65" s="126" t="s">
        <v>48</v>
      </c>
      <c r="B65" s="126" t="s">
        <v>280</v>
      </c>
      <c r="C65" s="126">
        <v>2020</v>
      </c>
      <c r="D65" s="127" t="s">
        <v>281</v>
      </c>
      <c r="E65" s="126" t="s">
        <v>293</v>
      </c>
      <c r="F65" s="126" t="s">
        <v>294</v>
      </c>
      <c r="G65" s="126" t="s">
        <v>25</v>
      </c>
      <c r="H65" s="126" t="s">
        <v>113</v>
      </c>
      <c r="I65" s="80" t="s">
        <v>172</v>
      </c>
      <c r="J65" s="80" t="s">
        <v>27</v>
      </c>
      <c r="K65" s="80" t="s">
        <v>112</v>
      </c>
      <c r="L65" s="80">
        <v>1</v>
      </c>
      <c r="N65" s="80">
        <v>1</v>
      </c>
      <c r="O65" s="80">
        <v>0.75</v>
      </c>
      <c r="P65" s="80">
        <v>0.75</v>
      </c>
      <c r="Q65" s="44">
        <f t="shared" si="0"/>
        <v>0.75</v>
      </c>
      <c r="R65" s="80">
        <v>15.8</v>
      </c>
      <c r="S65" s="80">
        <v>115</v>
      </c>
      <c r="T65" s="16">
        <f t="shared" si="1"/>
        <v>30</v>
      </c>
      <c r="U65" s="80">
        <v>98</v>
      </c>
      <c r="V65" s="128">
        <f t="shared" si="2"/>
        <v>2940</v>
      </c>
      <c r="W65" s="80">
        <v>8</v>
      </c>
      <c r="X65" s="80" t="s">
        <v>28</v>
      </c>
      <c r="Y65" s="80" t="s">
        <v>64</v>
      </c>
      <c r="Z65" s="80" t="s">
        <v>55</v>
      </c>
      <c r="AA65" s="80" t="s">
        <v>74</v>
      </c>
      <c r="AB65" s="126" t="s">
        <v>284</v>
      </c>
      <c r="AC65" s="34"/>
    </row>
    <row r="66" spans="1:29" x14ac:dyDescent="0.15">
      <c r="A66" s="126" t="s">
        <v>48</v>
      </c>
      <c r="B66" s="126" t="s">
        <v>280</v>
      </c>
      <c r="C66" s="126">
        <v>2020</v>
      </c>
      <c r="D66" s="127" t="s">
        <v>281</v>
      </c>
      <c r="E66" s="126" t="s">
        <v>293</v>
      </c>
      <c r="F66" s="126" t="s">
        <v>294</v>
      </c>
      <c r="G66" s="126" t="s">
        <v>25</v>
      </c>
      <c r="H66" s="126" t="s">
        <v>113</v>
      </c>
      <c r="I66" s="80" t="s">
        <v>172</v>
      </c>
      <c r="J66" s="80" t="s">
        <v>27</v>
      </c>
      <c r="K66" s="80" t="s">
        <v>112</v>
      </c>
      <c r="L66" s="80">
        <v>2</v>
      </c>
      <c r="N66" s="80">
        <v>1</v>
      </c>
      <c r="O66" s="80">
        <v>0.6</v>
      </c>
      <c r="P66" s="80">
        <v>0.55000000000000004</v>
      </c>
      <c r="Q66" s="44">
        <f t="shared" ref="Q66:Q121" si="3">IF(OR(O66="",P66=""),"",AVERAGE(O66,P66))</f>
        <v>0.57499999999999996</v>
      </c>
      <c r="R66" s="80">
        <v>15.8</v>
      </c>
      <c r="S66" s="80">
        <v>120</v>
      </c>
      <c r="T66" s="16">
        <f t="shared" ref="T66:T121" si="4">IF(H66="","",IF(OR(H66="GREEN",H66="GK"),IF(S66&gt;=$AX$2,VLOOKUP(S66,$AX$2:$AY$15,2,1),""),IF(S66&gt;=$AZ$2,VLOOKUP(S66,$AZ$2:$BA$15,2,1),"")))</f>
        <v>30</v>
      </c>
      <c r="U66" s="80">
        <v>98</v>
      </c>
      <c r="V66" s="128">
        <f t="shared" si="2"/>
        <v>2940</v>
      </c>
      <c r="W66" s="80">
        <v>8</v>
      </c>
      <c r="X66" s="80" t="s">
        <v>28</v>
      </c>
      <c r="Y66" s="80" t="s">
        <v>64</v>
      </c>
      <c r="Z66" s="80" t="s">
        <v>55</v>
      </c>
      <c r="AA66" s="80" t="s">
        <v>74</v>
      </c>
      <c r="AB66" s="126" t="s">
        <v>284</v>
      </c>
      <c r="AC66" s="34"/>
    </row>
    <row r="67" spans="1:29" x14ac:dyDescent="0.15">
      <c r="A67" s="126" t="s">
        <v>48</v>
      </c>
      <c r="B67" s="126" t="s">
        <v>280</v>
      </c>
      <c r="C67" s="126">
        <v>2020</v>
      </c>
      <c r="D67" s="127" t="s">
        <v>281</v>
      </c>
      <c r="E67" s="126" t="s">
        <v>293</v>
      </c>
      <c r="F67" s="126" t="s">
        <v>294</v>
      </c>
      <c r="G67" s="126" t="s">
        <v>25</v>
      </c>
      <c r="H67" s="126" t="s">
        <v>113</v>
      </c>
      <c r="I67" s="80" t="s">
        <v>172</v>
      </c>
      <c r="J67" s="80" t="s">
        <v>27</v>
      </c>
      <c r="K67" s="80" t="s">
        <v>112</v>
      </c>
      <c r="L67" s="80">
        <v>3</v>
      </c>
      <c r="N67" s="80">
        <v>1</v>
      </c>
      <c r="O67" s="80">
        <v>0.65</v>
      </c>
      <c r="P67" s="80">
        <v>0.7</v>
      </c>
      <c r="Q67" s="44">
        <f t="shared" si="3"/>
        <v>0.67500000000000004</v>
      </c>
      <c r="R67" s="34">
        <v>15.6</v>
      </c>
      <c r="S67" s="80">
        <v>116.5</v>
      </c>
      <c r="T67" s="16">
        <f t="shared" si="4"/>
        <v>30</v>
      </c>
      <c r="U67" s="80">
        <v>98</v>
      </c>
      <c r="V67" s="128">
        <f t="shared" ref="V67:V121" si="5">IF(OR(N67="",U67="",T67=""),"",U67/N67*T67)</f>
        <v>2940</v>
      </c>
      <c r="W67" s="80">
        <v>8</v>
      </c>
      <c r="X67" s="80" t="s">
        <v>28</v>
      </c>
      <c r="Y67" s="80" t="s">
        <v>64</v>
      </c>
      <c r="Z67" s="80" t="s">
        <v>55</v>
      </c>
      <c r="AA67" s="80" t="s">
        <v>74</v>
      </c>
      <c r="AB67" s="126" t="s">
        <v>284</v>
      </c>
      <c r="AC67" s="34"/>
    </row>
    <row r="68" spans="1:29" x14ac:dyDescent="0.15">
      <c r="A68" s="126" t="s">
        <v>48</v>
      </c>
      <c r="B68" s="126" t="s">
        <v>280</v>
      </c>
      <c r="C68" s="126">
        <v>2020</v>
      </c>
      <c r="D68" s="127" t="s">
        <v>281</v>
      </c>
      <c r="E68" s="126" t="s">
        <v>316</v>
      </c>
      <c r="F68" s="126" t="s">
        <v>294</v>
      </c>
      <c r="G68" s="126" t="s">
        <v>25</v>
      </c>
      <c r="H68" s="126" t="s">
        <v>167</v>
      </c>
      <c r="I68" s="80" t="s">
        <v>111</v>
      </c>
      <c r="J68" s="80" t="s">
        <v>27</v>
      </c>
      <c r="K68" s="80" t="s">
        <v>112</v>
      </c>
      <c r="L68" s="80">
        <v>1</v>
      </c>
      <c r="N68" s="80">
        <v>1</v>
      </c>
      <c r="O68" s="80">
        <v>0.6</v>
      </c>
      <c r="P68" s="80">
        <v>0.6</v>
      </c>
      <c r="Q68" s="44">
        <f t="shared" si="3"/>
        <v>0.6</v>
      </c>
      <c r="R68" s="80">
        <v>17.899999999999999</v>
      </c>
      <c r="S68" s="80">
        <v>130.5</v>
      </c>
      <c r="T68" s="16">
        <f t="shared" si="4"/>
        <v>25</v>
      </c>
      <c r="U68" s="80">
        <v>128</v>
      </c>
      <c r="V68" s="128">
        <f t="shared" si="5"/>
        <v>3200</v>
      </c>
      <c r="W68" s="80">
        <v>5</v>
      </c>
      <c r="X68" s="80" t="s">
        <v>35</v>
      </c>
      <c r="Y68" s="80" t="s">
        <v>55</v>
      </c>
      <c r="Z68" s="80" t="s">
        <v>86</v>
      </c>
      <c r="AA68" s="80" t="s">
        <v>64</v>
      </c>
      <c r="AB68" s="126" t="s">
        <v>284</v>
      </c>
      <c r="AC68" s="34"/>
    </row>
    <row r="69" spans="1:29" x14ac:dyDescent="0.15">
      <c r="A69" s="126" t="s">
        <v>48</v>
      </c>
      <c r="B69" s="126" t="s">
        <v>280</v>
      </c>
      <c r="C69" s="126">
        <v>2020</v>
      </c>
      <c r="D69" s="127" t="s">
        <v>281</v>
      </c>
      <c r="E69" s="126" t="s">
        <v>316</v>
      </c>
      <c r="F69" s="126" t="s">
        <v>294</v>
      </c>
      <c r="G69" s="126" t="s">
        <v>25</v>
      </c>
      <c r="H69" s="126" t="s">
        <v>167</v>
      </c>
      <c r="I69" s="80" t="s">
        <v>111</v>
      </c>
      <c r="J69" s="80" t="s">
        <v>27</v>
      </c>
      <c r="K69" s="80" t="s">
        <v>112</v>
      </c>
      <c r="L69" s="80">
        <v>2</v>
      </c>
      <c r="N69" s="80">
        <v>1</v>
      </c>
      <c r="O69" s="80">
        <v>0.5</v>
      </c>
      <c r="P69" s="80">
        <v>0.5</v>
      </c>
      <c r="Q69" s="44">
        <f t="shared" si="3"/>
        <v>0.5</v>
      </c>
      <c r="R69" s="34">
        <v>16.7</v>
      </c>
      <c r="S69" s="80">
        <v>132</v>
      </c>
      <c r="T69" s="16">
        <f t="shared" si="4"/>
        <v>25</v>
      </c>
      <c r="U69" s="80">
        <v>128</v>
      </c>
      <c r="V69" s="128">
        <f t="shared" si="5"/>
        <v>3200</v>
      </c>
      <c r="W69" s="80">
        <v>5</v>
      </c>
      <c r="X69" s="80" t="s">
        <v>35</v>
      </c>
      <c r="Y69" s="80" t="s">
        <v>55</v>
      </c>
      <c r="Z69" s="80" t="s">
        <v>86</v>
      </c>
      <c r="AA69" s="80" t="s">
        <v>64</v>
      </c>
      <c r="AB69" s="126" t="s">
        <v>284</v>
      </c>
      <c r="AC69" s="34"/>
    </row>
    <row r="70" spans="1:29" x14ac:dyDescent="0.15">
      <c r="A70" s="126" t="s">
        <v>48</v>
      </c>
      <c r="B70" s="126" t="s">
        <v>280</v>
      </c>
      <c r="C70" s="126">
        <v>2020</v>
      </c>
      <c r="D70" s="127" t="s">
        <v>281</v>
      </c>
      <c r="E70" s="126" t="s">
        <v>316</v>
      </c>
      <c r="F70" s="126" t="s">
        <v>294</v>
      </c>
      <c r="G70" s="126" t="s">
        <v>25</v>
      </c>
      <c r="H70" s="126" t="s">
        <v>167</v>
      </c>
      <c r="I70" s="80" t="s">
        <v>111</v>
      </c>
      <c r="J70" s="80" t="s">
        <v>27</v>
      </c>
      <c r="K70" s="80" t="s">
        <v>112</v>
      </c>
      <c r="L70" s="80">
        <v>3</v>
      </c>
      <c r="N70" s="80">
        <v>1</v>
      </c>
      <c r="O70" s="80">
        <v>0.5</v>
      </c>
      <c r="P70" s="80">
        <v>0.5</v>
      </c>
      <c r="Q70" s="44">
        <f t="shared" si="3"/>
        <v>0.5</v>
      </c>
      <c r="R70" s="34">
        <v>17.100000000000001</v>
      </c>
      <c r="S70" s="80">
        <v>128</v>
      </c>
      <c r="T70" s="16">
        <f t="shared" si="4"/>
        <v>27</v>
      </c>
      <c r="U70" s="80">
        <v>128</v>
      </c>
      <c r="V70" s="128">
        <f t="shared" si="5"/>
        <v>3456</v>
      </c>
      <c r="W70" s="80">
        <v>5</v>
      </c>
      <c r="X70" s="80" t="s">
        <v>35</v>
      </c>
      <c r="Y70" s="80" t="s">
        <v>55</v>
      </c>
      <c r="Z70" s="80" t="s">
        <v>86</v>
      </c>
      <c r="AA70" s="80" t="s">
        <v>64</v>
      </c>
      <c r="AB70" s="126" t="s">
        <v>284</v>
      </c>
      <c r="AC70" s="34"/>
    </row>
    <row r="71" spans="1:29" x14ac:dyDescent="0.15">
      <c r="A71" s="126" t="s">
        <v>48</v>
      </c>
      <c r="B71" s="126" t="s">
        <v>280</v>
      </c>
      <c r="C71" s="126">
        <v>2020</v>
      </c>
      <c r="D71" s="127" t="s">
        <v>281</v>
      </c>
      <c r="E71" s="126" t="s">
        <v>316</v>
      </c>
      <c r="F71" s="126" t="s">
        <v>294</v>
      </c>
      <c r="G71" s="126" t="s">
        <v>25</v>
      </c>
      <c r="H71" s="126" t="s">
        <v>113</v>
      </c>
      <c r="I71" s="80" t="s">
        <v>111</v>
      </c>
      <c r="J71" s="80" t="s">
        <v>27</v>
      </c>
      <c r="K71" s="80" t="s">
        <v>112</v>
      </c>
      <c r="L71" s="80">
        <v>1</v>
      </c>
      <c r="N71" s="80">
        <v>1</v>
      </c>
      <c r="O71" s="80">
        <v>0.7</v>
      </c>
      <c r="P71" s="80">
        <v>0.8</v>
      </c>
      <c r="Q71" s="44">
        <f t="shared" si="3"/>
        <v>0.75</v>
      </c>
      <c r="R71" s="80">
        <v>15.1</v>
      </c>
      <c r="S71" s="80">
        <v>117.5</v>
      </c>
      <c r="T71" s="16">
        <f t="shared" si="4"/>
        <v>30</v>
      </c>
      <c r="U71" s="80">
        <v>98</v>
      </c>
      <c r="V71" s="128">
        <f t="shared" si="5"/>
        <v>2940</v>
      </c>
      <c r="W71" s="80">
        <v>5</v>
      </c>
      <c r="X71" s="80" t="s">
        <v>35</v>
      </c>
      <c r="Y71" s="80" t="s">
        <v>55</v>
      </c>
      <c r="Z71" s="80" t="s">
        <v>86</v>
      </c>
      <c r="AA71" s="80" t="s">
        <v>64</v>
      </c>
      <c r="AB71" s="126" t="s">
        <v>284</v>
      </c>
      <c r="AC71" s="34"/>
    </row>
    <row r="72" spans="1:29" x14ac:dyDescent="0.15">
      <c r="A72" s="126" t="s">
        <v>48</v>
      </c>
      <c r="B72" s="126" t="s">
        <v>280</v>
      </c>
      <c r="C72" s="126">
        <v>2020</v>
      </c>
      <c r="D72" s="127" t="s">
        <v>281</v>
      </c>
      <c r="E72" s="126" t="s">
        <v>316</v>
      </c>
      <c r="F72" s="126" t="s">
        <v>294</v>
      </c>
      <c r="G72" s="126" t="s">
        <v>25</v>
      </c>
      <c r="H72" s="126" t="s">
        <v>113</v>
      </c>
      <c r="I72" s="80" t="s">
        <v>111</v>
      </c>
      <c r="J72" s="80" t="s">
        <v>27</v>
      </c>
      <c r="K72" s="80" t="s">
        <v>112</v>
      </c>
      <c r="L72" s="80">
        <v>2</v>
      </c>
      <c r="N72" s="80">
        <v>1</v>
      </c>
      <c r="O72" s="80">
        <v>0.7</v>
      </c>
      <c r="P72" s="80">
        <v>0.75</v>
      </c>
      <c r="Q72" s="44">
        <f t="shared" si="3"/>
        <v>0.72499999999999998</v>
      </c>
      <c r="R72" s="80">
        <v>17.3</v>
      </c>
      <c r="S72" s="80">
        <v>117</v>
      </c>
      <c r="T72" s="16">
        <f t="shared" si="4"/>
        <v>30</v>
      </c>
      <c r="U72" s="80">
        <v>98</v>
      </c>
      <c r="V72" s="128">
        <f t="shared" si="5"/>
        <v>2940</v>
      </c>
      <c r="W72" s="80">
        <v>5</v>
      </c>
      <c r="X72" s="80" t="s">
        <v>35</v>
      </c>
      <c r="Y72" s="80" t="s">
        <v>55</v>
      </c>
      <c r="Z72" s="80" t="s">
        <v>86</v>
      </c>
      <c r="AA72" s="80" t="s">
        <v>64</v>
      </c>
      <c r="AB72" s="126" t="s">
        <v>284</v>
      </c>
      <c r="AC72" s="34"/>
    </row>
    <row r="73" spans="1:29" x14ac:dyDescent="0.15">
      <c r="A73" s="126" t="s">
        <v>48</v>
      </c>
      <c r="B73" s="126" t="s">
        <v>280</v>
      </c>
      <c r="C73" s="126">
        <v>2020</v>
      </c>
      <c r="D73" s="127" t="s">
        <v>281</v>
      </c>
      <c r="E73" s="126" t="s">
        <v>316</v>
      </c>
      <c r="F73" s="126" t="s">
        <v>294</v>
      </c>
      <c r="G73" s="126" t="s">
        <v>25</v>
      </c>
      <c r="H73" s="126" t="s">
        <v>113</v>
      </c>
      <c r="I73" s="80" t="s">
        <v>111</v>
      </c>
      <c r="J73" s="80" t="s">
        <v>27</v>
      </c>
      <c r="K73" s="80" t="s">
        <v>112</v>
      </c>
      <c r="L73" s="80">
        <v>3</v>
      </c>
      <c r="N73" s="80">
        <v>1</v>
      </c>
      <c r="O73" s="80">
        <v>0.65</v>
      </c>
      <c r="P73" s="80">
        <v>0.7</v>
      </c>
      <c r="Q73" s="44">
        <f t="shared" si="3"/>
        <v>0.67500000000000004</v>
      </c>
      <c r="R73" s="80">
        <v>16.5</v>
      </c>
      <c r="S73" s="80">
        <v>119</v>
      </c>
      <c r="T73" s="16">
        <f t="shared" si="4"/>
        <v>30</v>
      </c>
      <c r="U73" s="80">
        <v>98</v>
      </c>
      <c r="V73" s="128">
        <f t="shared" si="5"/>
        <v>2940</v>
      </c>
      <c r="W73" s="80">
        <v>5</v>
      </c>
      <c r="X73" s="80" t="s">
        <v>35</v>
      </c>
      <c r="Y73" s="80" t="s">
        <v>55</v>
      </c>
      <c r="Z73" s="80" t="s">
        <v>86</v>
      </c>
      <c r="AA73" s="80" t="s">
        <v>64</v>
      </c>
      <c r="AB73" s="126" t="s">
        <v>284</v>
      </c>
      <c r="AC73" s="34"/>
    </row>
    <row r="74" spans="1:29" x14ac:dyDescent="0.15">
      <c r="A74" s="126" t="s">
        <v>48</v>
      </c>
      <c r="B74" s="126" t="s">
        <v>280</v>
      </c>
      <c r="C74" s="126">
        <v>2020</v>
      </c>
      <c r="D74" s="127" t="s">
        <v>281</v>
      </c>
      <c r="E74" s="126" t="s">
        <v>317</v>
      </c>
      <c r="F74" s="126" t="s">
        <v>297</v>
      </c>
      <c r="G74" s="126" t="s">
        <v>25</v>
      </c>
      <c r="H74" s="126" t="s">
        <v>113</v>
      </c>
      <c r="I74" s="80" t="s">
        <v>111</v>
      </c>
      <c r="J74" s="80" t="s">
        <v>27</v>
      </c>
      <c r="K74" s="80" t="s">
        <v>112</v>
      </c>
      <c r="L74" s="80">
        <v>1</v>
      </c>
      <c r="N74" s="80">
        <v>1</v>
      </c>
      <c r="O74" s="80">
        <v>0.65</v>
      </c>
      <c r="P74" s="80">
        <v>0.7</v>
      </c>
      <c r="Q74" s="44">
        <f t="shared" si="3"/>
        <v>0.67500000000000004</v>
      </c>
      <c r="R74" s="80">
        <v>19</v>
      </c>
      <c r="S74" s="80">
        <v>116</v>
      </c>
      <c r="T74" s="16">
        <f t="shared" si="4"/>
        <v>30</v>
      </c>
      <c r="U74" s="80">
        <v>78</v>
      </c>
      <c r="V74" s="128">
        <f t="shared" si="5"/>
        <v>2340</v>
      </c>
      <c r="W74" s="80">
        <v>10</v>
      </c>
      <c r="X74" s="80" t="s">
        <v>35</v>
      </c>
      <c r="Y74" s="80" t="s">
        <v>64</v>
      </c>
      <c r="Z74" s="80" t="s">
        <v>55</v>
      </c>
      <c r="AA74" s="80" t="s">
        <v>86</v>
      </c>
      <c r="AB74" s="126" t="s">
        <v>284</v>
      </c>
    </row>
    <row r="75" spans="1:29" x14ac:dyDescent="0.15">
      <c r="A75" s="126" t="s">
        <v>48</v>
      </c>
      <c r="B75" s="126" t="s">
        <v>280</v>
      </c>
      <c r="C75" s="126">
        <v>2020</v>
      </c>
      <c r="D75" s="127" t="s">
        <v>281</v>
      </c>
      <c r="E75" s="126" t="s">
        <v>317</v>
      </c>
      <c r="F75" s="126" t="s">
        <v>297</v>
      </c>
      <c r="G75" s="126" t="s">
        <v>25</v>
      </c>
      <c r="H75" s="126" t="s">
        <v>113</v>
      </c>
      <c r="I75" s="80" t="s">
        <v>111</v>
      </c>
      <c r="J75" s="80" t="s">
        <v>27</v>
      </c>
      <c r="K75" s="80" t="s">
        <v>112</v>
      </c>
      <c r="L75" s="80">
        <v>2</v>
      </c>
      <c r="N75" s="80">
        <v>1</v>
      </c>
      <c r="O75" s="80">
        <v>0.75</v>
      </c>
      <c r="P75" s="80">
        <v>0.8</v>
      </c>
      <c r="Q75" s="44">
        <f t="shared" si="3"/>
        <v>0.77500000000000002</v>
      </c>
      <c r="R75" s="80">
        <v>16.8</v>
      </c>
      <c r="S75" s="80">
        <v>107</v>
      </c>
      <c r="T75" s="16">
        <f t="shared" si="4"/>
        <v>33</v>
      </c>
      <c r="U75" s="80">
        <v>78</v>
      </c>
      <c r="V75" s="128">
        <f t="shared" si="5"/>
        <v>2574</v>
      </c>
      <c r="W75" s="80">
        <v>10</v>
      </c>
      <c r="X75" s="80" t="s">
        <v>35</v>
      </c>
      <c r="Y75" s="80" t="s">
        <v>64</v>
      </c>
      <c r="Z75" s="80" t="s">
        <v>55</v>
      </c>
      <c r="AA75" s="80" t="s">
        <v>86</v>
      </c>
      <c r="AB75" s="126" t="s">
        <v>284</v>
      </c>
    </row>
    <row r="76" spans="1:29" x14ac:dyDescent="0.15">
      <c r="A76" s="126" t="s">
        <v>48</v>
      </c>
      <c r="B76" s="126" t="s">
        <v>280</v>
      </c>
      <c r="C76" s="126">
        <v>2020</v>
      </c>
      <c r="D76" s="127" t="s">
        <v>281</v>
      </c>
      <c r="E76" s="126" t="s">
        <v>317</v>
      </c>
      <c r="F76" s="126" t="s">
        <v>297</v>
      </c>
      <c r="G76" s="126" t="s">
        <v>25</v>
      </c>
      <c r="H76" s="126" t="s">
        <v>113</v>
      </c>
      <c r="I76" s="80" t="s">
        <v>111</v>
      </c>
      <c r="J76" s="80" t="s">
        <v>27</v>
      </c>
      <c r="K76" s="80" t="s">
        <v>112</v>
      </c>
      <c r="L76" s="80">
        <v>3</v>
      </c>
      <c r="N76" s="80">
        <v>1</v>
      </c>
      <c r="O76" s="80">
        <v>0.7</v>
      </c>
      <c r="P76" s="80">
        <v>0.65</v>
      </c>
      <c r="Q76" s="44">
        <f t="shared" si="3"/>
        <v>0.67500000000000004</v>
      </c>
      <c r="R76" s="80">
        <v>17.8</v>
      </c>
      <c r="S76" s="80">
        <v>114.5</v>
      </c>
      <c r="T76" s="16">
        <f t="shared" si="4"/>
        <v>30</v>
      </c>
      <c r="U76" s="80">
        <v>78</v>
      </c>
      <c r="V76" s="128">
        <f t="shared" si="5"/>
        <v>2340</v>
      </c>
      <c r="W76" s="80">
        <v>10</v>
      </c>
      <c r="X76" s="80" t="s">
        <v>35</v>
      </c>
      <c r="Y76" s="80" t="s">
        <v>64</v>
      </c>
      <c r="Z76" s="80" t="s">
        <v>55</v>
      </c>
      <c r="AA76" s="80" t="s">
        <v>86</v>
      </c>
      <c r="AB76" s="126" t="s">
        <v>284</v>
      </c>
    </row>
    <row r="77" spans="1:29" x14ac:dyDescent="0.15">
      <c r="A77" s="126" t="s">
        <v>48</v>
      </c>
      <c r="B77" s="126" t="s">
        <v>280</v>
      </c>
      <c r="C77" s="126">
        <v>2020</v>
      </c>
      <c r="D77" s="127" t="s">
        <v>281</v>
      </c>
      <c r="E77" s="126" t="s">
        <v>317</v>
      </c>
      <c r="F77" s="126" t="s">
        <v>297</v>
      </c>
      <c r="G77" s="126" t="s">
        <v>25</v>
      </c>
      <c r="H77" s="126" t="s">
        <v>113</v>
      </c>
      <c r="I77" s="80" t="s">
        <v>111</v>
      </c>
      <c r="J77" s="80" t="s">
        <v>27</v>
      </c>
      <c r="K77" s="80" t="s">
        <v>112</v>
      </c>
      <c r="L77" s="80">
        <v>1</v>
      </c>
      <c r="N77" s="80">
        <v>4</v>
      </c>
      <c r="O77" s="80">
        <v>0.55000000000000004</v>
      </c>
      <c r="P77" s="80">
        <v>0.7</v>
      </c>
      <c r="Q77" s="44">
        <f t="shared" si="3"/>
        <v>0.625</v>
      </c>
      <c r="R77" s="80">
        <v>15.5</v>
      </c>
      <c r="S77" s="80">
        <v>93</v>
      </c>
      <c r="T77" s="16">
        <f t="shared" si="4"/>
        <v>36</v>
      </c>
      <c r="U77" s="80">
        <v>398</v>
      </c>
      <c r="V77" s="128">
        <f t="shared" si="5"/>
        <v>3582</v>
      </c>
      <c r="W77" s="80">
        <v>10</v>
      </c>
      <c r="X77" s="80" t="s">
        <v>35</v>
      </c>
      <c r="Y77" s="80" t="s">
        <v>64</v>
      </c>
      <c r="Z77" s="80" t="s">
        <v>55</v>
      </c>
      <c r="AA77" s="80" t="s">
        <v>86</v>
      </c>
      <c r="AB77" s="126" t="s">
        <v>284</v>
      </c>
    </row>
    <row r="78" spans="1:29" x14ac:dyDescent="0.15">
      <c r="A78" s="126" t="s">
        <v>48</v>
      </c>
      <c r="B78" s="126" t="s">
        <v>280</v>
      </c>
      <c r="C78" s="126">
        <v>2020</v>
      </c>
      <c r="D78" s="127" t="s">
        <v>281</v>
      </c>
      <c r="E78" s="126" t="s">
        <v>317</v>
      </c>
      <c r="F78" s="126" t="s">
        <v>297</v>
      </c>
      <c r="G78" s="126" t="s">
        <v>25</v>
      </c>
      <c r="H78" s="126" t="s">
        <v>113</v>
      </c>
      <c r="I78" s="80" t="s">
        <v>111</v>
      </c>
      <c r="J78" s="80" t="s">
        <v>27</v>
      </c>
      <c r="K78" s="80" t="s">
        <v>112</v>
      </c>
      <c r="L78" s="80">
        <v>2</v>
      </c>
      <c r="N78" s="80">
        <v>4</v>
      </c>
      <c r="O78" s="80">
        <v>0.6</v>
      </c>
      <c r="P78" s="80">
        <v>0.65</v>
      </c>
      <c r="Q78" s="44">
        <f t="shared" si="3"/>
        <v>0.625</v>
      </c>
      <c r="R78" s="80">
        <v>15.6</v>
      </c>
      <c r="S78" s="80">
        <v>92.5</v>
      </c>
      <c r="T78" s="16">
        <f t="shared" si="4"/>
        <v>36</v>
      </c>
      <c r="U78" s="80">
        <v>398</v>
      </c>
      <c r="V78" s="128">
        <f t="shared" si="5"/>
        <v>3582</v>
      </c>
      <c r="W78" s="80">
        <v>10</v>
      </c>
      <c r="X78" s="80" t="s">
        <v>35</v>
      </c>
      <c r="Y78" s="80" t="s">
        <v>64</v>
      </c>
      <c r="Z78" s="80" t="s">
        <v>55</v>
      </c>
      <c r="AA78" s="80" t="s">
        <v>86</v>
      </c>
      <c r="AB78" s="126" t="s">
        <v>284</v>
      </c>
    </row>
    <row r="79" spans="1:29" x14ac:dyDescent="0.15">
      <c r="A79" s="126" t="s">
        <v>48</v>
      </c>
      <c r="B79" s="126" t="s">
        <v>280</v>
      </c>
      <c r="C79" s="126">
        <v>2020</v>
      </c>
      <c r="D79" s="127" t="s">
        <v>281</v>
      </c>
      <c r="E79" s="126" t="s">
        <v>317</v>
      </c>
      <c r="F79" s="126" t="s">
        <v>297</v>
      </c>
      <c r="G79" s="126" t="s">
        <v>25</v>
      </c>
      <c r="H79" s="126" t="s">
        <v>113</v>
      </c>
      <c r="I79" s="80" t="s">
        <v>111</v>
      </c>
      <c r="J79" s="80" t="s">
        <v>27</v>
      </c>
      <c r="K79" s="80" t="s">
        <v>112</v>
      </c>
      <c r="L79" s="80">
        <v>3</v>
      </c>
      <c r="N79" s="80">
        <v>4</v>
      </c>
      <c r="O79" s="80">
        <v>0.6</v>
      </c>
      <c r="P79" s="80">
        <v>0.55000000000000004</v>
      </c>
      <c r="Q79" s="44">
        <f t="shared" si="3"/>
        <v>0.57499999999999996</v>
      </c>
      <c r="R79" s="80">
        <v>15.8</v>
      </c>
      <c r="S79" s="80">
        <v>97</v>
      </c>
      <c r="T79" s="16">
        <f t="shared" si="4"/>
        <v>36</v>
      </c>
      <c r="U79" s="80">
        <v>398</v>
      </c>
      <c r="V79" s="128">
        <f t="shared" si="5"/>
        <v>3582</v>
      </c>
      <c r="W79" s="80">
        <v>10</v>
      </c>
      <c r="X79" s="80" t="s">
        <v>35</v>
      </c>
      <c r="Y79" s="80" t="s">
        <v>64</v>
      </c>
      <c r="Z79" s="80" t="s">
        <v>55</v>
      </c>
      <c r="AA79" s="80" t="s">
        <v>86</v>
      </c>
      <c r="AB79" s="126" t="s">
        <v>284</v>
      </c>
    </row>
    <row r="80" spans="1:29" x14ac:dyDescent="0.15">
      <c r="A80" s="126" t="s">
        <v>48</v>
      </c>
      <c r="B80" s="126" t="s">
        <v>280</v>
      </c>
      <c r="C80" s="126">
        <v>2020</v>
      </c>
      <c r="D80" s="127" t="s">
        <v>281</v>
      </c>
      <c r="E80" s="126" t="s">
        <v>317</v>
      </c>
      <c r="F80" s="126" t="s">
        <v>297</v>
      </c>
      <c r="G80" s="126" t="s">
        <v>25</v>
      </c>
      <c r="H80" s="126" t="s">
        <v>113</v>
      </c>
      <c r="I80" s="80" t="s">
        <v>172</v>
      </c>
      <c r="J80" s="80" t="s">
        <v>27</v>
      </c>
      <c r="K80" s="80" t="s">
        <v>112</v>
      </c>
      <c r="L80" s="80">
        <v>1</v>
      </c>
      <c r="N80" s="80">
        <v>5</v>
      </c>
      <c r="O80" s="80">
        <v>0.5</v>
      </c>
      <c r="P80" s="80">
        <v>0.2</v>
      </c>
      <c r="Q80" s="44">
        <f t="shared" si="3"/>
        <v>0.35</v>
      </c>
      <c r="R80" s="80">
        <v>16.600000000000001</v>
      </c>
      <c r="S80" s="80">
        <v>72.5</v>
      </c>
      <c r="T80" s="16">
        <f t="shared" si="4"/>
        <v>42</v>
      </c>
      <c r="U80" s="80">
        <v>398</v>
      </c>
      <c r="V80" s="128">
        <f t="shared" si="5"/>
        <v>3343.2</v>
      </c>
      <c r="W80" s="80">
        <v>10</v>
      </c>
      <c r="X80" s="80" t="s">
        <v>35</v>
      </c>
      <c r="Y80" s="80" t="s">
        <v>64</v>
      </c>
      <c r="Z80" s="80" t="s">
        <v>55</v>
      </c>
      <c r="AA80" s="80" t="s">
        <v>86</v>
      </c>
      <c r="AB80" s="126" t="s">
        <v>284</v>
      </c>
    </row>
    <row r="81" spans="1:28" x14ac:dyDescent="0.15">
      <c r="A81" s="126" t="s">
        <v>48</v>
      </c>
      <c r="B81" s="126" t="s">
        <v>280</v>
      </c>
      <c r="C81" s="126">
        <v>2020</v>
      </c>
      <c r="D81" s="127" t="s">
        <v>281</v>
      </c>
      <c r="E81" s="126" t="s">
        <v>317</v>
      </c>
      <c r="F81" s="126" t="s">
        <v>297</v>
      </c>
      <c r="G81" s="126" t="s">
        <v>25</v>
      </c>
      <c r="H81" s="126" t="s">
        <v>113</v>
      </c>
      <c r="I81" s="80" t="s">
        <v>172</v>
      </c>
      <c r="J81" s="80" t="s">
        <v>27</v>
      </c>
      <c r="K81" s="80" t="s">
        <v>112</v>
      </c>
      <c r="L81" s="80">
        <v>2</v>
      </c>
      <c r="N81" s="80">
        <v>5</v>
      </c>
      <c r="O81" s="80">
        <v>0.5</v>
      </c>
      <c r="P81" s="80">
        <v>0.5</v>
      </c>
      <c r="Q81" s="44">
        <f t="shared" si="3"/>
        <v>0.5</v>
      </c>
      <c r="R81" s="80">
        <v>15.5</v>
      </c>
      <c r="S81" s="80">
        <v>81.5</v>
      </c>
      <c r="T81" s="16">
        <f t="shared" si="4"/>
        <v>39</v>
      </c>
      <c r="U81" s="80">
        <v>398</v>
      </c>
      <c r="V81" s="128">
        <f t="shared" si="5"/>
        <v>3104.3999999999996</v>
      </c>
      <c r="W81" s="80">
        <v>10</v>
      </c>
      <c r="X81" s="80" t="s">
        <v>35</v>
      </c>
      <c r="Y81" s="80" t="s">
        <v>64</v>
      </c>
      <c r="Z81" s="80" t="s">
        <v>55</v>
      </c>
      <c r="AA81" s="80" t="s">
        <v>86</v>
      </c>
      <c r="AB81" s="126" t="s">
        <v>284</v>
      </c>
    </row>
    <row r="82" spans="1:28" x14ac:dyDescent="0.15">
      <c r="A82" s="126" t="s">
        <v>48</v>
      </c>
      <c r="B82" s="126" t="s">
        <v>280</v>
      </c>
      <c r="C82" s="126">
        <v>2020</v>
      </c>
      <c r="D82" s="127" t="s">
        <v>281</v>
      </c>
      <c r="E82" s="126" t="s">
        <v>317</v>
      </c>
      <c r="F82" s="126" t="s">
        <v>297</v>
      </c>
      <c r="G82" s="126" t="s">
        <v>25</v>
      </c>
      <c r="H82" s="126" t="s">
        <v>113</v>
      </c>
      <c r="I82" s="80" t="s">
        <v>172</v>
      </c>
      <c r="J82" s="80" t="s">
        <v>27</v>
      </c>
      <c r="K82" s="80" t="s">
        <v>112</v>
      </c>
      <c r="L82" s="80">
        <v>3</v>
      </c>
      <c r="N82" s="80">
        <v>5</v>
      </c>
      <c r="O82" s="80">
        <v>0.5</v>
      </c>
      <c r="P82" s="80">
        <v>0.5</v>
      </c>
      <c r="Q82" s="44">
        <f t="shared" si="3"/>
        <v>0.5</v>
      </c>
      <c r="R82" s="80">
        <v>15.6</v>
      </c>
      <c r="S82" s="80">
        <v>79.5</v>
      </c>
      <c r="T82" s="16">
        <f t="shared" si="4"/>
        <v>39</v>
      </c>
      <c r="U82" s="80">
        <v>398</v>
      </c>
      <c r="V82" s="128">
        <f t="shared" si="5"/>
        <v>3104.3999999999996</v>
      </c>
      <c r="W82" s="80">
        <v>10</v>
      </c>
      <c r="X82" s="80" t="s">
        <v>35</v>
      </c>
      <c r="Y82" s="80" t="s">
        <v>64</v>
      </c>
      <c r="Z82" s="80" t="s">
        <v>55</v>
      </c>
      <c r="AA82" s="80" t="s">
        <v>86</v>
      </c>
      <c r="AB82" s="126" t="s">
        <v>284</v>
      </c>
    </row>
    <row r="83" spans="1:28" x14ac:dyDescent="0.15">
      <c r="A83" s="126" t="s">
        <v>48</v>
      </c>
      <c r="B83" s="126" t="s">
        <v>280</v>
      </c>
      <c r="C83" s="126">
        <v>2020</v>
      </c>
      <c r="D83" s="127" t="s">
        <v>281</v>
      </c>
      <c r="E83" s="126" t="s">
        <v>318</v>
      </c>
      <c r="F83" s="126" t="s">
        <v>299</v>
      </c>
      <c r="G83" s="126" t="s">
        <v>25</v>
      </c>
      <c r="H83" s="126" t="s">
        <v>167</v>
      </c>
      <c r="I83" s="80" t="s">
        <v>111</v>
      </c>
      <c r="J83" s="80" t="s">
        <v>27</v>
      </c>
      <c r="K83" s="80" t="s">
        <v>112</v>
      </c>
      <c r="L83" s="80">
        <v>1</v>
      </c>
      <c r="N83" s="80">
        <v>1</v>
      </c>
      <c r="O83" s="80">
        <v>0.5</v>
      </c>
      <c r="P83" s="80">
        <v>0.5</v>
      </c>
      <c r="Q83" s="44">
        <f t="shared" si="3"/>
        <v>0.5</v>
      </c>
      <c r="R83" s="80">
        <v>20.9</v>
      </c>
      <c r="S83" s="80">
        <v>164</v>
      </c>
      <c r="T83" s="16">
        <f t="shared" si="4"/>
        <v>18</v>
      </c>
      <c r="U83" s="80">
        <v>138</v>
      </c>
      <c r="V83" s="128">
        <f t="shared" si="5"/>
        <v>2484</v>
      </c>
      <c r="W83" s="80">
        <v>19</v>
      </c>
      <c r="X83" s="80" t="s">
        <v>35</v>
      </c>
      <c r="Y83" s="80" t="s">
        <v>43</v>
      </c>
      <c r="Z83" s="80" t="s">
        <v>55</v>
      </c>
      <c r="AA83" s="80" t="s">
        <v>64</v>
      </c>
      <c r="AB83" s="126" t="s">
        <v>284</v>
      </c>
    </row>
    <row r="84" spans="1:28" x14ac:dyDescent="0.15">
      <c r="A84" s="126" t="s">
        <v>48</v>
      </c>
      <c r="B84" s="126" t="s">
        <v>280</v>
      </c>
      <c r="C84" s="126">
        <v>2020</v>
      </c>
      <c r="D84" s="127" t="s">
        <v>281</v>
      </c>
      <c r="E84" s="126" t="s">
        <v>318</v>
      </c>
      <c r="F84" s="126" t="s">
        <v>299</v>
      </c>
      <c r="G84" s="126" t="s">
        <v>25</v>
      </c>
      <c r="H84" s="126" t="s">
        <v>167</v>
      </c>
      <c r="I84" s="80" t="s">
        <v>111</v>
      </c>
      <c r="J84" s="80" t="s">
        <v>27</v>
      </c>
      <c r="K84" s="80" t="s">
        <v>112</v>
      </c>
      <c r="L84" s="80">
        <v>2</v>
      </c>
      <c r="N84" s="80">
        <v>1</v>
      </c>
      <c r="O84" s="80">
        <v>0.5</v>
      </c>
      <c r="P84" s="80">
        <v>0.2</v>
      </c>
      <c r="Q84" s="44">
        <f t="shared" si="3"/>
        <v>0.35</v>
      </c>
      <c r="R84" s="80">
        <v>19.7</v>
      </c>
      <c r="S84" s="80">
        <v>156.5</v>
      </c>
      <c r="T84" s="16">
        <f t="shared" si="4"/>
        <v>18</v>
      </c>
      <c r="U84" s="80">
        <v>138</v>
      </c>
      <c r="V84" s="128">
        <f t="shared" si="5"/>
        <v>2484</v>
      </c>
      <c r="W84" s="80">
        <v>19</v>
      </c>
      <c r="X84" s="80" t="s">
        <v>35</v>
      </c>
      <c r="Y84" s="80" t="s">
        <v>43</v>
      </c>
      <c r="Z84" s="80" t="s">
        <v>55</v>
      </c>
      <c r="AA84" s="80" t="s">
        <v>64</v>
      </c>
      <c r="AB84" s="126" t="s">
        <v>284</v>
      </c>
    </row>
    <row r="85" spans="1:28" x14ac:dyDescent="0.15">
      <c r="A85" s="126" t="s">
        <v>48</v>
      </c>
      <c r="B85" s="126" t="s">
        <v>280</v>
      </c>
      <c r="C85" s="126">
        <v>2020</v>
      </c>
      <c r="D85" s="127" t="s">
        <v>281</v>
      </c>
      <c r="E85" s="126" t="s">
        <v>318</v>
      </c>
      <c r="F85" s="126" t="s">
        <v>299</v>
      </c>
      <c r="G85" s="126" t="s">
        <v>25</v>
      </c>
      <c r="H85" s="126" t="s">
        <v>167</v>
      </c>
      <c r="I85" s="80" t="s">
        <v>111</v>
      </c>
      <c r="J85" s="80" t="s">
        <v>27</v>
      </c>
      <c r="K85" s="80" t="s">
        <v>112</v>
      </c>
      <c r="L85" s="80">
        <v>3</v>
      </c>
      <c r="N85" s="80">
        <v>1</v>
      </c>
      <c r="O85" s="80">
        <v>0.55000000000000004</v>
      </c>
      <c r="P85" s="80">
        <v>0.6</v>
      </c>
      <c r="Q85" s="44">
        <f t="shared" si="3"/>
        <v>0.57499999999999996</v>
      </c>
      <c r="R85" s="80">
        <v>18.5</v>
      </c>
      <c r="S85" s="80">
        <v>155.5</v>
      </c>
      <c r="T85" s="16">
        <f t="shared" si="4"/>
        <v>18</v>
      </c>
      <c r="U85" s="80">
        <v>138</v>
      </c>
      <c r="V85" s="128">
        <f t="shared" si="5"/>
        <v>2484</v>
      </c>
      <c r="W85" s="80">
        <v>19</v>
      </c>
      <c r="X85" s="80" t="s">
        <v>35</v>
      </c>
      <c r="Y85" s="80" t="s">
        <v>43</v>
      </c>
      <c r="Z85" s="80" t="s">
        <v>55</v>
      </c>
      <c r="AA85" s="80" t="s">
        <v>64</v>
      </c>
      <c r="AB85" s="126" t="s">
        <v>284</v>
      </c>
    </row>
    <row r="86" spans="1:28" x14ac:dyDescent="0.15">
      <c r="A86" s="126" t="s">
        <v>48</v>
      </c>
      <c r="B86" s="126" t="s">
        <v>280</v>
      </c>
      <c r="C86" s="126">
        <v>2020</v>
      </c>
      <c r="D86" s="127" t="s">
        <v>281</v>
      </c>
      <c r="E86" s="126" t="s">
        <v>318</v>
      </c>
      <c r="F86" s="126" t="s">
        <v>299</v>
      </c>
      <c r="G86" s="126" t="s">
        <v>25</v>
      </c>
      <c r="H86" s="126" t="s">
        <v>167</v>
      </c>
      <c r="I86" s="80" t="s">
        <v>111</v>
      </c>
      <c r="J86" s="80" t="s">
        <v>27</v>
      </c>
      <c r="K86" s="80" t="s">
        <v>112</v>
      </c>
      <c r="L86" s="80">
        <v>1</v>
      </c>
      <c r="N86" s="80">
        <v>4</v>
      </c>
      <c r="O86" s="80">
        <v>0.6</v>
      </c>
      <c r="P86" s="80">
        <v>0.55000000000000004</v>
      </c>
      <c r="Q86" s="44">
        <f t="shared" si="3"/>
        <v>0.57499999999999996</v>
      </c>
      <c r="R86" s="80">
        <v>12.9</v>
      </c>
      <c r="S86" s="80">
        <v>99.5</v>
      </c>
      <c r="T86" s="16">
        <f t="shared" si="4"/>
        <v>33</v>
      </c>
      <c r="U86" s="80">
        <v>450</v>
      </c>
      <c r="V86" s="128">
        <f t="shared" si="5"/>
        <v>3712.5</v>
      </c>
      <c r="W86" s="80">
        <v>19</v>
      </c>
      <c r="X86" s="80" t="s">
        <v>35</v>
      </c>
      <c r="Y86" s="80" t="s">
        <v>43</v>
      </c>
      <c r="Z86" s="80" t="s">
        <v>55</v>
      </c>
      <c r="AA86" s="80" t="s">
        <v>64</v>
      </c>
      <c r="AB86" s="126" t="s">
        <v>284</v>
      </c>
    </row>
    <row r="87" spans="1:28" x14ac:dyDescent="0.15">
      <c r="A87" s="126" t="s">
        <v>48</v>
      </c>
      <c r="B87" s="126" t="s">
        <v>280</v>
      </c>
      <c r="C87" s="126">
        <v>2020</v>
      </c>
      <c r="D87" s="127" t="s">
        <v>281</v>
      </c>
      <c r="E87" s="126" t="s">
        <v>318</v>
      </c>
      <c r="F87" s="126" t="s">
        <v>299</v>
      </c>
      <c r="G87" s="126" t="s">
        <v>25</v>
      </c>
      <c r="H87" s="126" t="s">
        <v>167</v>
      </c>
      <c r="I87" s="80" t="s">
        <v>111</v>
      </c>
      <c r="J87" s="80" t="s">
        <v>27</v>
      </c>
      <c r="K87" s="80" t="s">
        <v>112</v>
      </c>
      <c r="L87" s="80">
        <v>2</v>
      </c>
      <c r="N87" s="80">
        <v>4</v>
      </c>
      <c r="O87" s="80">
        <v>0.5</v>
      </c>
      <c r="P87" s="80">
        <v>0.5</v>
      </c>
      <c r="Q87" s="44">
        <f t="shared" si="3"/>
        <v>0.5</v>
      </c>
      <c r="R87" s="80">
        <v>15</v>
      </c>
      <c r="S87" s="80">
        <v>95</v>
      </c>
      <c r="T87" s="16">
        <f t="shared" si="4"/>
        <v>36</v>
      </c>
      <c r="U87" s="80">
        <v>450</v>
      </c>
      <c r="V87" s="128">
        <f t="shared" si="5"/>
        <v>4050</v>
      </c>
      <c r="W87" s="80">
        <v>19</v>
      </c>
      <c r="X87" s="80" t="s">
        <v>35</v>
      </c>
      <c r="Y87" s="80" t="s">
        <v>43</v>
      </c>
      <c r="Z87" s="80" t="s">
        <v>55</v>
      </c>
      <c r="AA87" s="80" t="s">
        <v>64</v>
      </c>
      <c r="AB87" s="126" t="s">
        <v>284</v>
      </c>
    </row>
    <row r="88" spans="1:28" x14ac:dyDescent="0.15">
      <c r="A88" s="126" t="s">
        <v>48</v>
      </c>
      <c r="B88" s="126" t="s">
        <v>280</v>
      </c>
      <c r="C88" s="126">
        <v>2020</v>
      </c>
      <c r="D88" s="127" t="s">
        <v>281</v>
      </c>
      <c r="E88" s="126" t="s">
        <v>318</v>
      </c>
      <c r="F88" s="126" t="s">
        <v>299</v>
      </c>
      <c r="G88" s="126" t="s">
        <v>25</v>
      </c>
      <c r="H88" s="126" t="s">
        <v>167</v>
      </c>
      <c r="I88" s="80" t="s">
        <v>111</v>
      </c>
      <c r="J88" s="80" t="s">
        <v>27</v>
      </c>
      <c r="K88" s="80" t="s">
        <v>112</v>
      </c>
      <c r="L88" s="80">
        <v>3</v>
      </c>
      <c r="N88" s="80">
        <v>4</v>
      </c>
      <c r="O88" s="80">
        <v>0.5</v>
      </c>
      <c r="P88" s="80">
        <v>0.5</v>
      </c>
      <c r="Q88" s="44">
        <f t="shared" si="3"/>
        <v>0.5</v>
      </c>
      <c r="R88" s="80">
        <v>17</v>
      </c>
      <c r="S88" s="80">
        <v>94.5</v>
      </c>
      <c r="T88" s="16">
        <f t="shared" si="4"/>
        <v>36</v>
      </c>
      <c r="U88" s="80">
        <v>450</v>
      </c>
      <c r="V88" s="128">
        <f t="shared" si="5"/>
        <v>4050</v>
      </c>
      <c r="W88" s="80">
        <v>19</v>
      </c>
      <c r="X88" s="80" t="s">
        <v>35</v>
      </c>
      <c r="Y88" s="80" t="s">
        <v>43</v>
      </c>
      <c r="Z88" s="80" t="s">
        <v>55</v>
      </c>
      <c r="AA88" s="80" t="s">
        <v>64</v>
      </c>
      <c r="AB88" s="126" t="s">
        <v>284</v>
      </c>
    </row>
    <row r="89" spans="1:28" x14ac:dyDescent="0.15">
      <c r="A89" s="126" t="s">
        <v>48</v>
      </c>
      <c r="B89" s="126" t="s">
        <v>280</v>
      </c>
      <c r="C89" s="126">
        <v>2020</v>
      </c>
      <c r="D89" s="127" t="s">
        <v>281</v>
      </c>
      <c r="E89" s="126" t="s">
        <v>318</v>
      </c>
      <c r="F89" s="126" t="s">
        <v>299</v>
      </c>
      <c r="G89" s="126" t="s">
        <v>25</v>
      </c>
      <c r="H89" s="126" t="s">
        <v>167</v>
      </c>
      <c r="I89" s="80" t="s">
        <v>111</v>
      </c>
      <c r="J89" s="80" t="s">
        <v>27</v>
      </c>
      <c r="K89" s="80" t="s">
        <v>112</v>
      </c>
      <c r="L89" s="80">
        <v>1</v>
      </c>
      <c r="N89" s="80">
        <v>8</v>
      </c>
      <c r="O89" s="80">
        <v>0.6</v>
      </c>
      <c r="P89" s="80">
        <v>0.5</v>
      </c>
      <c r="Q89" s="44">
        <f t="shared" si="3"/>
        <v>0.55000000000000004</v>
      </c>
      <c r="R89" s="80">
        <v>20.100000000000001</v>
      </c>
      <c r="S89" s="80">
        <v>103</v>
      </c>
      <c r="T89" s="16">
        <f t="shared" si="4"/>
        <v>33</v>
      </c>
      <c r="U89" s="80">
        <v>798</v>
      </c>
      <c r="V89" s="128">
        <f t="shared" si="5"/>
        <v>3291.75</v>
      </c>
      <c r="W89" s="80">
        <v>19</v>
      </c>
      <c r="X89" s="80" t="s">
        <v>35</v>
      </c>
      <c r="Y89" s="80" t="s">
        <v>43</v>
      </c>
      <c r="Z89" s="80" t="s">
        <v>55</v>
      </c>
      <c r="AA89" s="80" t="s">
        <v>64</v>
      </c>
      <c r="AB89" s="126" t="s">
        <v>284</v>
      </c>
    </row>
    <row r="90" spans="1:28" x14ac:dyDescent="0.15">
      <c r="A90" s="126" t="s">
        <v>48</v>
      </c>
      <c r="B90" s="126" t="s">
        <v>280</v>
      </c>
      <c r="C90" s="126">
        <v>2020</v>
      </c>
      <c r="D90" s="127" t="s">
        <v>281</v>
      </c>
      <c r="E90" s="126" t="s">
        <v>318</v>
      </c>
      <c r="F90" s="126" t="s">
        <v>299</v>
      </c>
      <c r="G90" s="126" t="s">
        <v>25</v>
      </c>
      <c r="H90" s="126" t="s">
        <v>167</v>
      </c>
      <c r="I90" s="80" t="s">
        <v>111</v>
      </c>
      <c r="J90" s="80" t="s">
        <v>27</v>
      </c>
      <c r="K90" s="80" t="s">
        <v>112</v>
      </c>
      <c r="L90" s="80">
        <v>2</v>
      </c>
      <c r="N90" s="80">
        <v>8</v>
      </c>
      <c r="O90" s="80">
        <v>0.55000000000000004</v>
      </c>
      <c r="P90" s="80">
        <v>0.5</v>
      </c>
      <c r="Q90" s="44">
        <f t="shared" si="3"/>
        <v>0.52500000000000002</v>
      </c>
      <c r="R90" s="80">
        <v>18</v>
      </c>
      <c r="S90" s="80">
        <v>102.5</v>
      </c>
      <c r="T90" s="16">
        <f t="shared" si="4"/>
        <v>33</v>
      </c>
      <c r="U90" s="80">
        <v>798</v>
      </c>
      <c r="V90" s="128">
        <f t="shared" si="5"/>
        <v>3291.75</v>
      </c>
      <c r="W90" s="80">
        <v>19</v>
      </c>
      <c r="X90" s="80" t="s">
        <v>35</v>
      </c>
      <c r="Y90" s="80" t="s">
        <v>43</v>
      </c>
      <c r="Z90" s="80" t="s">
        <v>55</v>
      </c>
      <c r="AA90" s="80" t="s">
        <v>64</v>
      </c>
      <c r="AB90" s="126" t="s">
        <v>284</v>
      </c>
    </row>
    <row r="91" spans="1:28" x14ac:dyDescent="0.15">
      <c r="A91" s="126" t="s">
        <v>48</v>
      </c>
      <c r="B91" s="126" t="s">
        <v>280</v>
      </c>
      <c r="C91" s="126">
        <v>2020</v>
      </c>
      <c r="D91" s="127" t="s">
        <v>281</v>
      </c>
      <c r="E91" s="126" t="s">
        <v>318</v>
      </c>
      <c r="F91" s="126" t="s">
        <v>299</v>
      </c>
      <c r="G91" s="126" t="s">
        <v>25</v>
      </c>
      <c r="H91" s="126" t="s">
        <v>167</v>
      </c>
      <c r="I91" s="80" t="s">
        <v>111</v>
      </c>
      <c r="J91" s="80" t="s">
        <v>27</v>
      </c>
      <c r="K91" s="80" t="s">
        <v>112</v>
      </c>
      <c r="L91" s="80">
        <v>3</v>
      </c>
      <c r="N91" s="80">
        <v>8</v>
      </c>
      <c r="O91" s="80">
        <v>0.5</v>
      </c>
      <c r="P91" s="80">
        <v>0.55000000000000004</v>
      </c>
      <c r="Q91" s="44">
        <f t="shared" si="3"/>
        <v>0.52500000000000002</v>
      </c>
      <c r="R91" s="80">
        <v>19</v>
      </c>
      <c r="S91" s="80">
        <v>95.5</v>
      </c>
      <c r="T91" s="16">
        <f t="shared" si="4"/>
        <v>36</v>
      </c>
      <c r="U91" s="80">
        <v>798</v>
      </c>
      <c r="V91" s="128">
        <f t="shared" si="5"/>
        <v>3591</v>
      </c>
      <c r="W91" s="80">
        <v>19</v>
      </c>
      <c r="X91" s="80" t="s">
        <v>35</v>
      </c>
      <c r="Y91" s="80" t="s">
        <v>43</v>
      </c>
      <c r="Z91" s="80" t="s">
        <v>55</v>
      </c>
      <c r="AA91" s="80" t="s">
        <v>64</v>
      </c>
      <c r="AB91" s="126" t="s">
        <v>284</v>
      </c>
    </row>
    <row r="92" spans="1:28" x14ac:dyDescent="0.15">
      <c r="A92" s="126" t="s">
        <v>48</v>
      </c>
      <c r="B92" s="126" t="s">
        <v>280</v>
      </c>
      <c r="C92" s="126">
        <v>2020</v>
      </c>
      <c r="D92" s="127" t="s">
        <v>281</v>
      </c>
      <c r="E92" s="126" t="s">
        <v>318</v>
      </c>
      <c r="F92" s="126" t="s">
        <v>299</v>
      </c>
      <c r="G92" s="126" t="s">
        <v>25</v>
      </c>
      <c r="H92" s="126" t="s">
        <v>113</v>
      </c>
      <c r="I92" s="80" t="s">
        <v>111</v>
      </c>
      <c r="J92" s="80" t="s">
        <v>27</v>
      </c>
      <c r="K92" s="80" t="s">
        <v>112</v>
      </c>
      <c r="L92" s="80">
        <v>1</v>
      </c>
      <c r="N92" s="80">
        <v>1</v>
      </c>
      <c r="O92" s="80">
        <v>0.5</v>
      </c>
      <c r="P92" s="80">
        <v>0.55000000000000004</v>
      </c>
      <c r="Q92" s="44">
        <f t="shared" si="3"/>
        <v>0.52500000000000002</v>
      </c>
      <c r="R92" s="80">
        <v>19.899999999999999</v>
      </c>
      <c r="S92" s="80">
        <v>108.5</v>
      </c>
      <c r="T92" s="16">
        <f t="shared" si="4"/>
        <v>33</v>
      </c>
      <c r="U92" s="80">
        <v>98</v>
      </c>
      <c r="V92" s="128">
        <f t="shared" si="5"/>
        <v>3234</v>
      </c>
      <c r="W92" s="80">
        <v>19</v>
      </c>
      <c r="X92" s="80" t="s">
        <v>35</v>
      </c>
      <c r="Y92" s="80" t="s">
        <v>43</v>
      </c>
      <c r="Z92" s="80" t="s">
        <v>55</v>
      </c>
      <c r="AA92" s="80" t="s">
        <v>64</v>
      </c>
      <c r="AB92" s="126" t="s">
        <v>284</v>
      </c>
    </row>
    <row r="93" spans="1:28" x14ac:dyDescent="0.15">
      <c r="A93" s="126" t="s">
        <v>48</v>
      </c>
      <c r="B93" s="126" t="s">
        <v>280</v>
      </c>
      <c r="C93" s="126">
        <v>2020</v>
      </c>
      <c r="D93" s="127" t="s">
        <v>281</v>
      </c>
      <c r="E93" s="126" t="s">
        <v>318</v>
      </c>
      <c r="F93" s="126" t="s">
        <v>299</v>
      </c>
      <c r="G93" s="126" t="s">
        <v>25</v>
      </c>
      <c r="H93" s="126" t="s">
        <v>113</v>
      </c>
      <c r="I93" s="80" t="s">
        <v>111</v>
      </c>
      <c r="J93" s="80" t="s">
        <v>27</v>
      </c>
      <c r="K93" s="80" t="s">
        <v>112</v>
      </c>
      <c r="L93" s="80">
        <v>2</v>
      </c>
      <c r="N93" s="80">
        <v>1</v>
      </c>
      <c r="O93" s="80">
        <v>0.55000000000000004</v>
      </c>
      <c r="P93" s="80">
        <v>0.7</v>
      </c>
      <c r="Q93" s="44">
        <f t="shared" si="3"/>
        <v>0.625</v>
      </c>
      <c r="R93" s="80">
        <v>19.399999999999999</v>
      </c>
      <c r="S93" s="80">
        <v>114</v>
      </c>
      <c r="T93" s="16">
        <f t="shared" si="4"/>
        <v>30</v>
      </c>
      <c r="U93" s="80">
        <v>98</v>
      </c>
      <c r="V93" s="128">
        <f t="shared" si="5"/>
        <v>2940</v>
      </c>
      <c r="W93" s="80">
        <v>19</v>
      </c>
      <c r="X93" s="80" t="s">
        <v>35</v>
      </c>
      <c r="Y93" s="80" t="s">
        <v>43</v>
      </c>
      <c r="Z93" s="80" t="s">
        <v>55</v>
      </c>
      <c r="AA93" s="80" t="s">
        <v>64</v>
      </c>
      <c r="AB93" s="126" t="s">
        <v>284</v>
      </c>
    </row>
    <row r="94" spans="1:28" x14ac:dyDescent="0.15">
      <c r="A94" s="126" t="s">
        <v>48</v>
      </c>
      <c r="B94" s="126" t="s">
        <v>280</v>
      </c>
      <c r="C94" s="126">
        <v>2020</v>
      </c>
      <c r="D94" s="127" t="s">
        <v>281</v>
      </c>
      <c r="E94" s="126" t="s">
        <v>318</v>
      </c>
      <c r="F94" s="126" t="s">
        <v>299</v>
      </c>
      <c r="G94" s="126" t="s">
        <v>25</v>
      </c>
      <c r="H94" s="126" t="s">
        <v>113</v>
      </c>
      <c r="I94" s="80" t="s">
        <v>111</v>
      </c>
      <c r="J94" s="80" t="s">
        <v>27</v>
      </c>
      <c r="K94" s="80" t="s">
        <v>112</v>
      </c>
      <c r="L94" s="80">
        <v>3</v>
      </c>
      <c r="N94" s="80">
        <v>1</v>
      </c>
      <c r="O94" s="80">
        <v>0.6</v>
      </c>
      <c r="P94" s="80">
        <v>0.6</v>
      </c>
      <c r="Q94" s="44">
        <f t="shared" si="3"/>
        <v>0.6</v>
      </c>
      <c r="R94" s="80">
        <v>19.2</v>
      </c>
      <c r="S94" s="80">
        <v>115.5</v>
      </c>
      <c r="T94" s="16">
        <f t="shared" si="4"/>
        <v>30</v>
      </c>
      <c r="U94" s="80">
        <v>98</v>
      </c>
      <c r="V94" s="128">
        <f t="shared" si="5"/>
        <v>2940</v>
      </c>
      <c r="W94" s="80">
        <v>19</v>
      </c>
      <c r="X94" s="80" t="s">
        <v>35</v>
      </c>
      <c r="Y94" s="80" t="s">
        <v>43</v>
      </c>
      <c r="Z94" s="80" t="s">
        <v>55</v>
      </c>
      <c r="AA94" s="80" t="s">
        <v>64</v>
      </c>
      <c r="AB94" s="126" t="s">
        <v>284</v>
      </c>
    </row>
    <row r="95" spans="1:28" x14ac:dyDescent="0.15">
      <c r="A95" s="126" t="s">
        <v>48</v>
      </c>
      <c r="B95" s="126" t="s">
        <v>280</v>
      </c>
      <c r="C95" s="126">
        <v>2020</v>
      </c>
      <c r="D95" s="127" t="s">
        <v>281</v>
      </c>
      <c r="E95" s="126" t="s">
        <v>318</v>
      </c>
      <c r="F95" s="126" t="s">
        <v>299</v>
      </c>
      <c r="G95" s="126" t="s">
        <v>25</v>
      </c>
      <c r="H95" s="126" t="s">
        <v>113</v>
      </c>
      <c r="I95" s="80" t="s">
        <v>111</v>
      </c>
      <c r="J95" s="80" t="s">
        <v>27</v>
      </c>
      <c r="K95" s="80" t="s">
        <v>112</v>
      </c>
      <c r="L95" s="80">
        <v>1</v>
      </c>
      <c r="N95" s="80">
        <v>8</v>
      </c>
      <c r="O95" s="80">
        <v>0.2</v>
      </c>
      <c r="P95" s="80">
        <v>0.2</v>
      </c>
      <c r="Q95" s="16">
        <f t="shared" si="3"/>
        <v>0.2</v>
      </c>
      <c r="R95" s="80">
        <v>17.899999999999999</v>
      </c>
      <c r="S95" s="80">
        <v>87.5</v>
      </c>
      <c r="T95" s="16">
        <f t="shared" si="4"/>
        <v>36</v>
      </c>
      <c r="U95" s="80">
        <v>598</v>
      </c>
      <c r="V95" s="16">
        <f t="shared" si="5"/>
        <v>2691</v>
      </c>
      <c r="W95" s="80">
        <v>19</v>
      </c>
      <c r="X95" s="80" t="s">
        <v>35</v>
      </c>
      <c r="Y95" s="80" t="s">
        <v>43</v>
      </c>
      <c r="Z95" s="80" t="s">
        <v>55</v>
      </c>
      <c r="AA95" s="80" t="s">
        <v>64</v>
      </c>
      <c r="AB95" s="126" t="s">
        <v>284</v>
      </c>
    </row>
    <row r="96" spans="1:28" x14ac:dyDescent="0.15">
      <c r="A96" s="126" t="s">
        <v>48</v>
      </c>
      <c r="B96" s="126" t="s">
        <v>280</v>
      </c>
      <c r="C96" s="126">
        <v>2020</v>
      </c>
      <c r="D96" s="127" t="s">
        <v>281</v>
      </c>
      <c r="E96" s="126" t="s">
        <v>318</v>
      </c>
      <c r="F96" s="126" t="s">
        <v>299</v>
      </c>
      <c r="G96" s="126" t="s">
        <v>25</v>
      </c>
      <c r="H96" s="126" t="s">
        <v>113</v>
      </c>
      <c r="I96" s="80" t="s">
        <v>111</v>
      </c>
      <c r="J96" s="80" t="s">
        <v>27</v>
      </c>
      <c r="K96" s="80" t="s">
        <v>112</v>
      </c>
      <c r="L96" s="80">
        <v>2</v>
      </c>
      <c r="N96" s="80">
        <v>8</v>
      </c>
      <c r="O96" s="80">
        <v>0.65</v>
      </c>
      <c r="P96" s="80">
        <v>0.75</v>
      </c>
      <c r="Q96" s="44">
        <f t="shared" si="3"/>
        <v>0.7</v>
      </c>
      <c r="R96" s="80">
        <v>16.5</v>
      </c>
      <c r="S96" s="80">
        <v>84</v>
      </c>
      <c r="T96" s="16">
        <f t="shared" si="4"/>
        <v>36</v>
      </c>
      <c r="U96" s="80">
        <v>598</v>
      </c>
      <c r="V96" s="128">
        <f t="shared" si="5"/>
        <v>2691</v>
      </c>
      <c r="W96" s="80">
        <v>19</v>
      </c>
      <c r="X96" s="80" t="s">
        <v>35</v>
      </c>
      <c r="Y96" s="80" t="s">
        <v>43</v>
      </c>
      <c r="Z96" s="80" t="s">
        <v>55</v>
      </c>
      <c r="AA96" s="80" t="s">
        <v>64</v>
      </c>
      <c r="AB96" s="126" t="s">
        <v>284</v>
      </c>
    </row>
    <row r="97" spans="1:28" x14ac:dyDescent="0.15">
      <c r="A97" s="126" t="s">
        <v>48</v>
      </c>
      <c r="B97" s="126" t="s">
        <v>280</v>
      </c>
      <c r="C97" s="126">
        <v>2020</v>
      </c>
      <c r="D97" s="127" t="s">
        <v>281</v>
      </c>
      <c r="E97" s="126" t="s">
        <v>318</v>
      </c>
      <c r="F97" s="126" t="s">
        <v>299</v>
      </c>
      <c r="G97" s="126" t="s">
        <v>25</v>
      </c>
      <c r="H97" s="126" t="s">
        <v>113</v>
      </c>
      <c r="I97" s="80" t="s">
        <v>111</v>
      </c>
      <c r="J97" s="80" t="s">
        <v>27</v>
      </c>
      <c r="K97" s="80" t="s">
        <v>112</v>
      </c>
      <c r="L97" s="80">
        <v>3</v>
      </c>
      <c r="N97" s="80">
        <v>8</v>
      </c>
      <c r="O97" s="80">
        <v>0.5</v>
      </c>
      <c r="P97" s="80">
        <v>0.6</v>
      </c>
      <c r="Q97" s="44">
        <f t="shared" si="3"/>
        <v>0.55000000000000004</v>
      </c>
      <c r="R97" s="80">
        <v>15.7</v>
      </c>
      <c r="S97" s="80">
        <v>85</v>
      </c>
      <c r="T97" s="16">
        <f t="shared" si="4"/>
        <v>36</v>
      </c>
      <c r="U97" s="80">
        <v>598</v>
      </c>
      <c r="V97" s="128">
        <f t="shared" si="5"/>
        <v>2691</v>
      </c>
      <c r="W97" s="80">
        <v>19</v>
      </c>
      <c r="X97" s="80" t="s">
        <v>35</v>
      </c>
      <c r="Y97" s="80" t="s">
        <v>43</v>
      </c>
      <c r="Z97" s="80" t="s">
        <v>55</v>
      </c>
      <c r="AA97" s="80" t="s">
        <v>64</v>
      </c>
      <c r="AB97" s="126" t="s">
        <v>284</v>
      </c>
    </row>
    <row r="98" spans="1:28" x14ac:dyDescent="0.15">
      <c r="A98" s="126" t="s">
        <v>48</v>
      </c>
      <c r="B98" s="126" t="s">
        <v>280</v>
      </c>
      <c r="C98" s="126">
        <v>2020</v>
      </c>
      <c r="D98" s="127" t="s">
        <v>281</v>
      </c>
      <c r="E98" s="126" t="s">
        <v>319</v>
      </c>
      <c r="F98" s="126" t="s">
        <v>301</v>
      </c>
      <c r="G98" s="126" t="s">
        <v>25</v>
      </c>
      <c r="H98" s="126" t="s">
        <v>167</v>
      </c>
      <c r="I98" s="80" t="s">
        <v>111</v>
      </c>
      <c r="J98" s="80" t="s">
        <v>27</v>
      </c>
      <c r="K98" s="80" t="s">
        <v>112</v>
      </c>
      <c r="L98" s="80">
        <v>1</v>
      </c>
      <c r="N98" s="80">
        <v>4</v>
      </c>
      <c r="O98" s="80">
        <v>0.2</v>
      </c>
      <c r="P98" s="80">
        <v>0.2</v>
      </c>
      <c r="Q98" s="44">
        <f t="shared" si="3"/>
        <v>0.2</v>
      </c>
      <c r="R98" s="80">
        <v>18.100000000000001</v>
      </c>
      <c r="S98" s="80">
        <v>103</v>
      </c>
      <c r="T98" s="16">
        <f t="shared" si="4"/>
        <v>33</v>
      </c>
      <c r="U98" s="80">
        <v>498</v>
      </c>
      <c r="V98" s="128">
        <f t="shared" si="5"/>
        <v>4108.5</v>
      </c>
      <c r="W98" s="80">
        <v>4</v>
      </c>
      <c r="X98" s="80" t="s">
        <v>35</v>
      </c>
      <c r="Y98" s="80" t="s">
        <v>64</v>
      </c>
      <c r="Z98" s="80" t="s">
        <v>55</v>
      </c>
      <c r="AA98" s="80" t="s">
        <v>82</v>
      </c>
      <c r="AB98" s="126" t="s">
        <v>284</v>
      </c>
    </row>
    <row r="99" spans="1:28" x14ac:dyDescent="0.15">
      <c r="A99" s="126" t="s">
        <v>48</v>
      </c>
      <c r="B99" s="126" t="s">
        <v>280</v>
      </c>
      <c r="C99" s="126">
        <v>2020</v>
      </c>
      <c r="D99" s="127" t="s">
        <v>281</v>
      </c>
      <c r="E99" s="126" t="s">
        <v>319</v>
      </c>
      <c r="F99" s="126" t="s">
        <v>301</v>
      </c>
      <c r="G99" s="126" t="s">
        <v>25</v>
      </c>
      <c r="H99" s="126" t="s">
        <v>167</v>
      </c>
      <c r="I99" s="80" t="s">
        <v>111</v>
      </c>
      <c r="J99" s="80" t="s">
        <v>27</v>
      </c>
      <c r="K99" s="80" t="s">
        <v>112</v>
      </c>
      <c r="L99" s="80">
        <v>2</v>
      </c>
      <c r="N99" s="80">
        <v>4</v>
      </c>
      <c r="O99" s="80">
        <v>0.2</v>
      </c>
      <c r="P99" s="80">
        <v>0.2</v>
      </c>
      <c r="Q99" s="44">
        <f t="shared" si="3"/>
        <v>0.2</v>
      </c>
      <c r="R99" s="80">
        <v>15.5</v>
      </c>
      <c r="S99" s="80">
        <v>98.5</v>
      </c>
      <c r="T99" s="16">
        <f t="shared" si="4"/>
        <v>36</v>
      </c>
      <c r="U99" s="80">
        <v>498</v>
      </c>
      <c r="V99" s="128">
        <f t="shared" si="5"/>
        <v>4482</v>
      </c>
      <c r="W99" s="80">
        <v>4</v>
      </c>
      <c r="X99" s="80" t="s">
        <v>35</v>
      </c>
      <c r="Y99" s="80" t="s">
        <v>64</v>
      </c>
      <c r="Z99" s="80" t="s">
        <v>55</v>
      </c>
      <c r="AA99" s="80" t="s">
        <v>82</v>
      </c>
      <c r="AB99" s="126" t="s">
        <v>284</v>
      </c>
    </row>
    <row r="100" spans="1:28" x14ac:dyDescent="0.15">
      <c r="A100" s="126" t="s">
        <v>48</v>
      </c>
      <c r="B100" s="126" t="s">
        <v>280</v>
      </c>
      <c r="C100" s="126">
        <v>2020</v>
      </c>
      <c r="D100" s="127" t="s">
        <v>281</v>
      </c>
      <c r="E100" s="126" t="s">
        <v>319</v>
      </c>
      <c r="F100" s="126" t="s">
        <v>301</v>
      </c>
      <c r="G100" s="126" t="s">
        <v>25</v>
      </c>
      <c r="H100" s="126" t="s">
        <v>167</v>
      </c>
      <c r="I100" s="80" t="s">
        <v>111</v>
      </c>
      <c r="J100" s="80" t="s">
        <v>27</v>
      </c>
      <c r="K100" s="80" t="s">
        <v>112</v>
      </c>
      <c r="L100" s="80">
        <v>3</v>
      </c>
      <c r="N100" s="80">
        <v>4</v>
      </c>
      <c r="O100" s="80">
        <v>0.2</v>
      </c>
      <c r="P100" s="80">
        <v>0.2</v>
      </c>
      <c r="Q100" s="44">
        <f t="shared" si="3"/>
        <v>0.2</v>
      </c>
      <c r="R100" s="80">
        <v>17.5</v>
      </c>
      <c r="S100" s="80">
        <v>94</v>
      </c>
      <c r="T100" s="16">
        <f t="shared" si="4"/>
        <v>36</v>
      </c>
      <c r="U100" s="80">
        <v>498</v>
      </c>
      <c r="V100" s="128">
        <f t="shared" si="5"/>
        <v>4482</v>
      </c>
      <c r="W100" s="80">
        <v>4</v>
      </c>
      <c r="X100" s="80" t="s">
        <v>35</v>
      </c>
      <c r="Y100" s="80" t="s">
        <v>64</v>
      </c>
      <c r="Z100" s="80" t="s">
        <v>55</v>
      </c>
      <c r="AA100" s="80" t="s">
        <v>82</v>
      </c>
      <c r="AB100" s="126" t="s">
        <v>284</v>
      </c>
    </row>
    <row r="101" spans="1:28" x14ac:dyDescent="0.15">
      <c r="A101" s="126" t="s">
        <v>48</v>
      </c>
      <c r="B101" s="126" t="s">
        <v>280</v>
      </c>
      <c r="C101" s="126">
        <v>2020</v>
      </c>
      <c r="D101" s="127" t="s">
        <v>281</v>
      </c>
      <c r="E101" s="126" t="s">
        <v>319</v>
      </c>
      <c r="F101" s="126" t="s">
        <v>301</v>
      </c>
      <c r="G101" s="126" t="s">
        <v>25</v>
      </c>
      <c r="H101" s="126" t="s">
        <v>113</v>
      </c>
      <c r="I101" s="80" t="s">
        <v>111</v>
      </c>
      <c r="J101" s="80" t="s">
        <v>27</v>
      </c>
      <c r="K101" s="80" t="s">
        <v>112</v>
      </c>
      <c r="L101" s="80">
        <v>1</v>
      </c>
      <c r="N101" s="80">
        <v>4</v>
      </c>
      <c r="O101" s="80">
        <v>0.7</v>
      </c>
      <c r="P101" s="80">
        <v>0.75</v>
      </c>
      <c r="Q101" s="44">
        <f t="shared" si="3"/>
        <v>0.72499999999999998</v>
      </c>
      <c r="R101" s="80">
        <v>16.899999999999999</v>
      </c>
      <c r="S101" s="80">
        <v>93.5</v>
      </c>
      <c r="T101" s="16">
        <f t="shared" si="4"/>
        <v>36</v>
      </c>
      <c r="U101" s="80">
        <v>398</v>
      </c>
      <c r="V101" s="128">
        <f t="shared" si="5"/>
        <v>3582</v>
      </c>
      <c r="W101" s="80">
        <v>4</v>
      </c>
      <c r="X101" s="80" t="s">
        <v>35</v>
      </c>
      <c r="Y101" s="80" t="s">
        <v>64</v>
      </c>
      <c r="Z101" s="80" t="s">
        <v>55</v>
      </c>
      <c r="AA101" s="80" t="s">
        <v>82</v>
      </c>
      <c r="AB101" s="126" t="s">
        <v>284</v>
      </c>
    </row>
    <row r="102" spans="1:28" x14ac:dyDescent="0.15">
      <c r="A102" s="126" t="s">
        <v>48</v>
      </c>
      <c r="B102" s="126" t="s">
        <v>280</v>
      </c>
      <c r="C102" s="126">
        <v>2020</v>
      </c>
      <c r="D102" s="127" t="s">
        <v>281</v>
      </c>
      <c r="E102" s="126" t="s">
        <v>319</v>
      </c>
      <c r="F102" s="126" t="s">
        <v>301</v>
      </c>
      <c r="G102" s="126" t="s">
        <v>25</v>
      </c>
      <c r="H102" s="126" t="s">
        <v>113</v>
      </c>
      <c r="I102" s="80" t="s">
        <v>111</v>
      </c>
      <c r="J102" s="80" t="s">
        <v>27</v>
      </c>
      <c r="K102" s="80" t="s">
        <v>112</v>
      </c>
      <c r="L102" s="80">
        <v>2</v>
      </c>
      <c r="N102" s="80">
        <v>4</v>
      </c>
      <c r="O102" s="80">
        <v>0.5</v>
      </c>
      <c r="P102" s="80">
        <v>0.6</v>
      </c>
      <c r="Q102" s="44">
        <f t="shared" si="3"/>
        <v>0.55000000000000004</v>
      </c>
      <c r="R102" s="80">
        <v>16.899999999999999</v>
      </c>
      <c r="S102" s="80">
        <v>92.5</v>
      </c>
      <c r="T102" s="16">
        <f t="shared" si="4"/>
        <v>36</v>
      </c>
      <c r="U102" s="80">
        <v>398</v>
      </c>
      <c r="V102" s="128">
        <f t="shared" si="5"/>
        <v>3582</v>
      </c>
      <c r="W102" s="80">
        <v>4</v>
      </c>
      <c r="X102" s="80" t="s">
        <v>35</v>
      </c>
      <c r="Y102" s="80" t="s">
        <v>64</v>
      </c>
      <c r="Z102" s="80" t="s">
        <v>55</v>
      </c>
      <c r="AA102" s="80" t="s">
        <v>82</v>
      </c>
      <c r="AB102" s="126" t="s">
        <v>284</v>
      </c>
    </row>
    <row r="103" spans="1:28" x14ac:dyDescent="0.15">
      <c r="A103" s="126" t="s">
        <v>48</v>
      </c>
      <c r="B103" s="126" t="s">
        <v>280</v>
      </c>
      <c r="C103" s="126">
        <v>2020</v>
      </c>
      <c r="D103" s="127" t="s">
        <v>281</v>
      </c>
      <c r="E103" s="126" t="s">
        <v>319</v>
      </c>
      <c r="F103" s="126" t="s">
        <v>301</v>
      </c>
      <c r="G103" s="126" t="s">
        <v>25</v>
      </c>
      <c r="H103" s="126" t="s">
        <v>113</v>
      </c>
      <c r="I103" s="80" t="s">
        <v>111</v>
      </c>
      <c r="J103" s="80" t="s">
        <v>27</v>
      </c>
      <c r="K103" s="80" t="s">
        <v>112</v>
      </c>
      <c r="L103" s="80">
        <v>3</v>
      </c>
      <c r="N103" s="80">
        <v>4</v>
      </c>
      <c r="O103" s="80">
        <v>0.65</v>
      </c>
      <c r="P103" s="80">
        <v>0.7</v>
      </c>
      <c r="Q103" s="44">
        <f t="shared" si="3"/>
        <v>0.67500000000000004</v>
      </c>
      <c r="R103" s="80">
        <v>17</v>
      </c>
      <c r="S103" s="80">
        <v>93</v>
      </c>
      <c r="T103" s="16">
        <f t="shared" si="4"/>
        <v>36</v>
      </c>
      <c r="U103" s="80">
        <v>398</v>
      </c>
      <c r="V103" s="128">
        <f t="shared" si="5"/>
        <v>3582</v>
      </c>
      <c r="W103" s="80">
        <v>4</v>
      </c>
      <c r="X103" s="80" t="s">
        <v>35</v>
      </c>
      <c r="Y103" s="80" t="s">
        <v>64</v>
      </c>
      <c r="Z103" s="80" t="s">
        <v>55</v>
      </c>
      <c r="AA103" s="80" t="s">
        <v>82</v>
      </c>
      <c r="AB103" s="126" t="s">
        <v>284</v>
      </c>
    </row>
    <row r="104" spans="1:28" x14ac:dyDescent="0.15">
      <c r="A104" s="126" t="s">
        <v>48</v>
      </c>
      <c r="B104" s="126" t="s">
        <v>280</v>
      </c>
      <c r="C104" s="126">
        <v>2020</v>
      </c>
      <c r="D104" s="127" t="s">
        <v>281</v>
      </c>
      <c r="E104" s="126" t="s">
        <v>320</v>
      </c>
      <c r="F104" s="126" t="s">
        <v>301</v>
      </c>
      <c r="G104" s="126" t="s">
        <v>25</v>
      </c>
      <c r="H104" s="126" t="s">
        <v>167</v>
      </c>
      <c r="I104" s="80" t="s">
        <v>111</v>
      </c>
      <c r="J104" s="80" t="s">
        <v>27</v>
      </c>
      <c r="K104" s="80" t="s">
        <v>112</v>
      </c>
      <c r="L104" s="80">
        <v>1</v>
      </c>
      <c r="N104" s="80">
        <v>4</v>
      </c>
      <c r="O104" s="80">
        <v>0.5</v>
      </c>
      <c r="P104" s="80">
        <v>0.2</v>
      </c>
      <c r="Q104" s="44">
        <f t="shared" si="3"/>
        <v>0.35</v>
      </c>
      <c r="R104" s="80">
        <v>16.399999999999999</v>
      </c>
      <c r="S104" s="80">
        <v>120</v>
      </c>
      <c r="T104" s="16">
        <f t="shared" si="4"/>
        <v>30</v>
      </c>
      <c r="U104" s="80">
        <v>498</v>
      </c>
      <c r="V104" s="128">
        <f t="shared" si="5"/>
        <v>3735</v>
      </c>
      <c r="W104" s="80">
        <v>6</v>
      </c>
      <c r="X104" s="80" t="s">
        <v>28</v>
      </c>
      <c r="Y104" s="80" t="s">
        <v>55</v>
      </c>
      <c r="Z104" s="80" t="s">
        <v>86</v>
      </c>
      <c r="AA104" s="80" t="s">
        <v>82</v>
      </c>
      <c r="AB104" s="126" t="s">
        <v>284</v>
      </c>
    </row>
    <row r="105" spans="1:28" x14ac:dyDescent="0.15">
      <c r="A105" s="126" t="s">
        <v>48</v>
      </c>
      <c r="B105" s="126" t="s">
        <v>280</v>
      </c>
      <c r="C105" s="126">
        <v>2020</v>
      </c>
      <c r="D105" s="127" t="s">
        <v>281</v>
      </c>
      <c r="E105" s="126" t="s">
        <v>320</v>
      </c>
      <c r="F105" s="126" t="s">
        <v>301</v>
      </c>
      <c r="G105" s="126" t="s">
        <v>25</v>
      </c>
      <c r="H105" s="126" t="s">
        <v>167</v>
      </c>
      <c r="I105" s="80" t="s">
        <v>111</v>
      </c>
      <c r="J105" s="80" t="s">
        <v>27</v>
      </c>
      <c r="K105" s="80" t="s">
        <v>112</v>
      </c>
      <c r="L105" s="80">
        <v>2</v>
      </c>
      <c r="N105" s="80">
        <v>4</v>
      </c>
      <c r="O105" s="80">
        <v>0.2</v>
      </c>
      <c r="P105" s="80">
        <v>0.2</v>
      </c>
      <c r="Q105" s="44">
        <f t="shared" si="3"/>
        <v>0.2</v>
      </c>
      <c r="R105" s="80">
        <v>19</v>
      </c>
      <c r="S105" s="80">
        <v>116</v>
      </c>
      <c r="T105" s="16">
        <f t="shared" si="4"/>
        <v>30</v>
      </c>
      <c r="U105" s="80">
        <v>498</v>
      </c>
      <c r="V105" s="128">
        <f t="shared" si="5"/>
        <v>3735</v>
      </c>
      <c r="W105" s="80">
        <v>6</v>
      </c>
      <c r="X105" s="80" t="s">
        <v>28</v>
      </c>
      <c r="Y105" s="80" t="s">
        <v>55</v>
      </c>
      <c r="Z105" s="80" t="s">
        <v>86</v>
      </c>
      <c r="AA105" s="80" t="s">
        <v>82</v>
      </c>
      <c r="AB105" s="126" t="s">
        <v>284</v>
      </c>
    </row>
    <row r="106" spans="1:28" x14ac:dyDescent="0.15">
      <c r="A106" s="126" t="s">
        <v>48</v>
      </c>
      <c r="B106" s="126" t="s">
        <v>280</v>
      </c>
      <c r="C106" s="126">
        <v>2020</v>
      </c>
      <c r="D106" s="127" t="s">
        <v>281</v>
      </c>
      <c r="E106" s="126" t="s">
        <v>320</v>
      </c>
      <c r="F106" s="126" t="s">
        <v>301</v>
      </c>
      <c r="G106" s="126" t="s">
        <v>25</v>
      </c>
      <c r="H106" s="126" t="s">
        <v>167</v>
      </c>
      <c r="I106" s="80" t="s">
        <v>111</v>
      </c>
      <c r="J106" s="80" t="s">
        <v>27</v>
      </c>
      <c r="K106" s="80" t="s">
        <v>112</v>
      </c>
      <c r="L106" s="80">
        <v>3</v>
      </c>
      <c r="N106" s="80">
        <v>4</v>
      </c>
      <c r="O106" s="80">
        <v>0.2</v>
      </c>
      <c r="P106" s="80">
        <v>0.5</v>
      </c>
      <c r="Q106" s="44">
        <f t="shared" si="3"/>
        <v>0.35</v>
      </c>
      <c r="R106" s="80">
        <v>18</v>
      </c>
      <c r="S106" s="80">
        <v>111</v>
      </c>
      <c r="T106" s="16">
        <f t="shared" si="4"/>
        <v>33</v>
      </c>
      <c r="U106" s="80">
        <v>498</v>
      </c>
      <c r="V106" s="128">
        <f t="shared" si="5"/>
        <v>4108.5</v>
      </c>
      <c r="W106" s="80">
        <v>6</v>
      </c>
      <c r="X106" s="80" t="s">
        <v>28</v>
      </c>
      <c r="Y106" s="80" t="s">
        <v>55</v>
      </c>
      <c r="Z106" s="80" t="s">
        <v>86</v>
      </c>
      <c r="AA106" s="80" t="s">
        <v>82</v>
      </c>
      <c r="AB106" s="126" t="s">
        <v>284</v>
      </c>
    </row>
    <row r="107" spans="1:28" x14ac:dyDescent="0.15">
      <c r="A107" s="126" t="s">
        <v>48</v>
      </c>
      <c r="B107" s="126" t="s">
        <v>280</v>
      </c>
      <c r="C107" s="126">
        <v>2020</v>
      </c>
      <c r="D107" s="127" t="s">
        <v>281</v>
      </c>
      <c r="E107" s="126" t="s">
        <v>320</v>
      </c>
      <c r="F107" s="126" t="s">
        <v>301</v>
      </c>
      <c r="G107" s="126" t="s">
        <v>25</v>
      </c>
      <c r="H107" s="126" t="s">
        <v>113</v>
      </c>
      <c r="I107" s="80" t="s">
        <v>111</v>
      </c>
      <c r="J107" s="80" t="s">
        <v>27</v>
      </c>
      <c r="K107" s="80" t="s">
        <v>112</v>
      </c>
      <c r="L107" s="80">
        <v>1</v>
      </c>
      <c r="N107" s="80">
        <v>1</v>
      </c>
      <c r="O107" s="80">
        <v>0.2</v>
      </c>
      <c r="P107" s="80">
        <v>0.2</v>
      </c>
      <c r="Q107" s="44">
        <f t="shared" si="3"/>
        <v>0.2</v>
      </c>
      <c r="R107" s="80">
        <v>15.6</v>
      </c>
      <c r="S107" s="80">
        <v>148</v>
      </c>
      <c r="T107" s="16">
        <f t="shared" si="4"/>
        <v>22</v>
      </c>
      <c r="U107" s="80">
        <v>158</v>
      </c>
      <c r="V107" s="128">
        <f t="shared" si="5"/>
        <v>3476</v>
      </c>
      <c r="W107" s="80">
        <v>6</v>
      </c>
      <c r="X107" s="80" t="s">
        <v>28</v>
      </c>
      <c r="Y107" s="80" t="s">
        <v>55</v>
      </c>
      <c r="Z107" s="80" t="s">
        <v>86</v>
      </c>
      <c r="AA107" s="80" t="s">
        <v>82</v>
      </c>
      <c r="AB107" s="126" t="s">
        <v>284</v>
      </c>
    </row>
    <row r="108" spans="1:28" x14ac:dyDescent="0.15">
      <c r="A108" s="126" t="s">
        <v>48</v>
      </c>
      <c r="B108" s="126" t="s">
        <v>280</v>
      </c>
      <c r="C108" s="126">
        <v>2020</v>
      </c>
      <c r="D108" s="127" t="s">
        <v>281</v>
      </c>
      <c r="E108" s="126" t="s">
        <v>320</v>
      </c>
      <c r="F108" s="126" t="s">
        <v>301</v>
      </c>
      <c r="G108" s="126" t="s">
        <v>25</v>
      </c>
      <c r="H108" s="126" t="s">
        <v>113</v>
      </c>
      <c r="I108" s="80" t="s">
        <v>111</v>
      </c>
      <c r="J108" s="80" t="s">
        <v>27</v>
      </c>
      <c r="K108" s="80" t="s">
        <v>112</v>
      </c>
      <c r="L108" s="80">
        <v>2</v>
      </c>
      <c r="N108" s="80">
        <v>1</v>
      </c>
      <c r="O108" s="80">
        <v>0.5</v>
      </c>
      <c r="P108" s="80">
        <v>0.6</v>
      </c>
      <c r="Q108" s="44">
        <f t="shared" si="3"/>
        <v>0.55000000000000004</v>
      </c>
      <c r="R108" s="80">
        <v>15</v>
      </c>
      <c r="S108" s="80">
        <v>178</v>
      </c>
      <c r="T108" s="16">
        <f t="shared" si="4"/>
        <v>18</v>
      </c>
      <c r="U108" s="80">
        <v>158</v>
      </c>
      <c r="V108" s="128">
        <f t="shared" si="5"/>
        <v>2844</v>
      </c>
      <c r="W108" s="80">
        <v>6</v>
      </c>
      <c r="X108" s="80" t="s">
        <v>28</v>
      </c>
      <c r="Y108" s="80" t="s">
        <v>55</v>
      </c>
      <c r="Z108" s="80" t="s">
        <v>86</v>
      </c>
      <c r="AA108" s="80" t="s">
        <v>82</v>
      </c>
      <c r="AB108" s="126" t="s">
        <v>284</v>
      </c>
    </row>
    <row r="109" spans="1:28" x14ac:dyDescent="0.15">
      <c r="A109" s="126" t="s">
        <v>48</v>
      </c>
      <c r="B109" s="126" t="s">
        <v>280</v>
      </c>
      <c r="C109" s="126">
        <v>2020</v>
      </c>
      <c r="D109" s="127" t="s">
        <v>281</v>
      </c>
      <c r="E109" s="126" t="s">
        <v>320</v>
      </c>
      <c r="F109" s="126" t="s">
        <v>301</v>
      </c>
      <c r="G109" s="126" t="s">
        <v>25</v>
      </c>
      <c r="H109" s="126" t="s">
        <v>113</v>
      </c>
      <c r="I109" s="80" t="s">
        <v>111</v>
      </c>
      <c r="J109" s="80" t="s">
        <v>27</v>
      </c>
      <c r="K109" s="80" t="s">
        <v>112</v>
      </c>
      <c r="L109" s="80">
        <v>3</v>
      </c>
      <c r="N109" s="80">
        <v>1</v>
      </c>
      <c r="O109" s="80">
        <v>0.5</v>
      </c>
      <c r="P109" s="80">
        <v>0.55000000000000004</v>
      </c>
      <c r="Q109" s="44">
        <f t="shared" si="3"/>
        <v>0.52500000000000002</v>
      </c>
      <c r="R109" s="80">
        <v>15.3</v>
      </c>
      <c r="S109" s="80">
        <v>152.5</v>
      </c>
      <c r="T109" s="16">
        <f t="shared" si="4"/>
        <v>18</v>
      </c>
      <c r="U109" s="80">
        <v>158</v>
      </c>
      <c r="V109" s="128">
        <f t="shared" si="5"/>
        <v>2844</v>
      </c>
      <c r="W109" s="80">
        <v>6</v>
      </c>
      <c r="X109" s="80" t="s">
        <v>28</v>
      </c>
      <c r="Y109" s="80" t="s">
        <v>55</v>
      </c>
      <c r="Z109" s="80" t="s">
        <v>86</v>
      </c>
      <c r="AA109" s="80" t="s">
        <v>82</v>
      </c>
      <c r="AB109" s="126" t="s">
        <v>284</v>
      </c>
    </row>
    <row r="110" spans="1:28" x14ac:dyDescent="0.15">
      <c r="A110" s="126" t="s">
        <v>48</v>
      </c>
      <c r="B110" s="126" t="s">
        <v>280</v>
      </c>
      <c r="C110" s="126">
        <v>2020</v>
      </c>
      <c r="D110" s="127" t="s">
        <v>281</v>
      </c>
      <c r="E110" s="126" t="s">
        <v>320</v>
      </c>
      <c r="F110" s="126" t="s">
        <v>301</v>
      </c>
      <c r="G110" s="126" t="s">
        <v>25</v>
      </c>
      <c r="H110" s="126" t="s">
        <v>113</v>
      </c>
      <c r="I110" s="80" t="s">
        <v>111</v>
      </c>
      <c r="J110" s="80" t="s">
        <v>27</v>
      </c>
      <c r="K110" s="80" t="s">
        <v>112</v>
      </c>
      <c r="L110" s="80">
        <v>1</v>
      </c>
      <c r="N110" s="80">
        <v>4</v>
      </c>
      <c r="O110" s="80">
        <v>0.6</v>
      </c>
      <c r="P110" s="80">
        <v>0.6</v>
      </c>
      <c r="Q110" s="44">
        <f t="shared" si="3"/>
        <v>0.6</v>
      </c>
      <c r="R110" s="80">
        <v>15.5</v>
      </c>
      <c r="S110" s="80">
        <v>81.5</v>
      </c>
      <c r="T110" s="16">
        <f t="shared" si="4"/>
        <v>39</v>
      </c>
      <c r="U110" s="80">
        <v>398</v>
      </c>
      <c r="V110" s="128">
        <f t="shared" si="5"/>
        <v>3880.5</v>
      </c>
      <c r="W110" s="80">
        <v>6</v>
      </c>
      <c r="X110" s="80" t="s">
        <v>28</v>
      </c>
      <c r="Y110" s="80" t="s">
        <v>55</v>
      </c>
      <c r="Z110" s="80" t="s">
        <v>86</v>
      </c>
      <c r="AA110" s="80" t="s">
        <v>82</v>
      </c>
      <c r="AB110" s="126" t="s">
        <v>284</v>
      </c>
    </row>
    <row r="111" spans="1:28" x14ac:dyDescent="0.15">
      <c r="A111" s="126" t="s">
        <v>48</v>
      </c>
      <c r="B111" s="126" t="s">
        <v>280</v>
      </c>
      <c r="C111" s="126">
        <v>2020</v>
      </c>
      <c r="D111" s="127" t="s">
        <v>281</v>
      </c>
      <c r="E111" s="126" t="s">
        <v>320</v>
      </c>
      <c r="F111" s="126" t="s">
        <v>301</v>
      </c>
      <c r="G111" s="126" t="s">
        <v>25</v>
      </c>
      <c r="H111" s="126" t="s">
        <v>113</v>
      </c>
      <c r="I111" s="80" t="s">
        <v>111</v>
      </c>
      <c r="J111" s="80" t="s">
        <v>27</v>
      </c>
      <c r="K111" s="80" t="s">
        <v>112</v>
      </c>
      <c r="L111" s="80">
        <v>2</v>
      </c>
      <c r="N111" s="80">
        <v>4</v>
      </c>
      <c r="O111" s="80">
        <v>0.75</v>
      </c>
      <c r="P111" s="80">
        <v>0.9</v>
      </c>
      <c r="Q111" s="44">
        <f t="shared" si="3"/>
        <v>0.82499999999999996</v>
      </c>
      <c r="R111" s="80">
        <v>16.7</v>
      </c>
      <c r="S111" s="80">
        <v>86</v>
      </c>
      <c r="T111" s="16">
        <f t="shared" si="4"/>
        <v>36</v>
      </c>
      <c r="U111" s="80">
        <v>398</v>
      </c>
      <c r="V111" s="128">
        <f t="shared" si="5"/>
        <v>3582</v>
      </c>
      <c r="W111" s="80">
        <v>6</v>
      </c>
      <c r="X111" s="80" t="s">
        <v>28</v>
      </c>
      <c r="Y111" s="80" t="s">
        <v>55</v>
      </c>
      <c r="Z111" s="80" t="s">
        <v>86</v>
      </c>
      <c r="AA111" s="80" t="s">
        <v>82</v>
      </c>
      <c r="AB111" s="126" t="s">
        <v>284</v>
      </c>
    </row>
    <row r="112" spans="1:28" x14ac:dyDescent="0.15">
      <c r="A112" s="126" t="s">
        <v>48</v>
      </c>
      <c r="B112" s="126" t="s">
        <v>280</v>
      </c>
      <c r="C112" s="126">
        <v>2020</v>
      </c>
      <c r="D112" s="127" t="s">
        <v>281</v>
      </c>
      <c r="E112" s="126" t="s">
        <v>320</v>
      </c>
      <c r="F112" s="126" t="s">
        <v>301</v>
      </c>
      <c r="G112" s="126" t="s">
        <v>25</v>
      </c>
      <c r="H112" s="126" t="s">
        <v>113</v>
      </c>
      <c r="I112" s="80" t="s">
        <v>111</v>
      </c>
      <c r="J112" s="80" t="s">
        <v>27</v>
      </c>
      <c r="K112" s="80" t="s">
        <v>112</v>
      </c>
      <c r="L112" s="80">
        <v>3</v>
      </c>
      <c r="N112" s="80">
        <v>4</v>
      </c>
      <c r="O112" s="80">
        <v>0.7</v>
      </c>
      <c r="P112" s="80">
        <v>0.75</v>
      </c>
      <c r="Q112" s="44">
        <f t="shared" si="3"/>
        <v>0.72499999999999998</v>
      </c>
      <c r="R112" s="80">
        <v>16.2</v>
      </c>
      <c r="S112" s="80">
        <v>85</v>
      </c>
      <c r="T112" s="16">
        <f t="shared" si="4"/>
        <v>36</v>
      </c>
      <c r="U112" s="80">
        <v>398</v>
      </c>
      <c r="V112" s="128">
        <f t="shared" si="5"/>
        <v>3582</v>
      </c>
      <c r="W112" s="80">
        <v>6</v>
      </c>
      <c r="X112" s="80" t="s">
        <v>28</v>
      </c>
      <c r="Y112" s="80" t="s">
        <v>55</v>
      </c>
      <c r="Z112" s="80" t="s">
        <v>86</v>
      </c>
      <c r="AA112" s="80" t="s">
        <v>82</v>
      </c>
      <c r="AB112" s="126" t="s">
        <v>284</v>
      </c>
    </row>
    <row r="113" spans="1:28" x14ac:dyDescent="0.15">
      <c r="A113" s="126"/>
      <c r="B113" s="126"/>
      <c r="C113" s="126"/>
      <c r="D113" s="127"/>
      <c r="E113" s="126"/>
      <c r="F113" s="126"/>
      <c r="G113" s="126"/>
      <c r="H113" s="126"/>
      <c r="Q113" s="16" t="str">
        <f t="shared" si="3"/>
        <v/>
      </c>
      <c r="T113" s="16" t="str">
        <f t="shared" si="4"/>
        <v/>
      </c>
      <c r="V113" s="16" t="str">
        <f t="shared" si="5"/>
        <v/>
      </c>
      <c r="AB113" s="126" t="s">
        <v>284</v>
      </c>
    </row>
    <row r="114" spans="1:28" x14ac:dyDescent="0.15">
      <c r="A114" s="126"/>
      <c r="B114" s="126"/>
      <c r="C114" s="126"/>
      <c r="D114" s="127"/>
      <c r="E114" s="126"/>
      <c r="F114" s="126"/>
      <c r="G114" s="126"/>
      <c r="H114" s="126"/>
      <c r="Q114" s="16" t="str">
        <f t="shared" si="3"/>
        <v/>
      </c>
      <c r="T114" s="16" t="str">
        <f t="shared" si="4"/>
        <v/>
      </c>
      <c r="V114" s="16" t="str">
        <f t="shared" si="5"/>
        <v/>
      </c>
      <c r="AB114" s="126" t="s">
        <v>284</v>
      </c>
    </row>
    <row r="115" spans="1:28" x14ac:dyDescent="0.15">
      <c r="A115" s="126"/>
      <c r="B115" s="126"/>
      <c r="C115" s="126"/>
      <c r="D115" s="127"/>
      <c r="E115" s="126"/>
      <c r="F115" s="126"/>
      <c r="G115" s="126"/>
      <c r="H115" s="126"/>
      <c r="Q115" s="16" t="str">
        <f t="shared" si="3"/>
        <v/>
      </c>
      <c r="T115" s="16" t="str">
        <f t="shared" si="4"/>
        <v/>
      </c>
      <c r="V115" s="16" t="str">
        <f t="shared" si="5"/>
        <v/>
      </c>
      <c r="AB115" s="126" t="s">
        <v>284</v>
      </c>
    </row>
    <row r="116" spans="1:28" x14ac:dyDescent="0.15">
      <c r="A116" s="126"/>
      <c r="B116" s="126"/>
      <c r="C116" s="126"/>
      <c r="D116" s="127"/>
      <c r="E116" s="126"/>
      <c r="F116" s="126"/>
      <c r="G116" s="126"/>
      <c r="H116" s="126"/>
      <c r="Q116" s="16" t="str">
        <f t="shared" si="3"/>
        <v/>
      </c>
      <c r="T116" s="16" t="str">
        <f t="shared" si="4"/>
        <v/>
      </c>
      <c r="V116" s="16" t="str">
        <f t="shared" si="5"/>
        <v/>
      </c>
      <c r="AB116" s="126" t="s">
        <v>284</v>
      </c>
    </row>
    <row r="117" spans="1:28" x14ac:dyDescent="0.15">
      <c r="A117" s="126"/>
      <c r="B117" s="126"/>
      <c r="C117" s="126"/>
      <c r="D117" s="127"/>
      <c r="E117" s="126"/>
      <c r="F117" s="126"/>
      <c r="G117" s="126"/>
      <c r="H117" s="126"/>
      <c r="Q117" s="16" t="str">
        <f t="shared" si="3"/>
        <v/>
      </c>
      <c r="T117" s="16" t="str">
        <f t="shared" si="4"/>
        <v/>
      </c>
      <c r="V117" s="16" t="str">
        <f t="shared" si="5"/>
        <v/>
      </c>
      <c r="AB117" s="126" t="s">
        <v>284</v>
      </c>
    </row>
    <row r="118" spans="1:28" x14ac:dyDescent="0.15">
      <c r="A118" s="126"/>
      <c r="B118" s="126"/>
      <c r="C118" s="126"/>
      <c r="D118" s="127"/>
      <c r="E118" s="126"/>
      <c r="F118" s="126"/>
      <c r="G118" s="126"/>
      <c r="H118" s="126"/>
      <c r="Q118" s="16" t="str">
        <f t="shared" si="3"/>
        <v/>
      </c>
      <c r="T118" s="16" t="str">
        <f t="shared" si="4"/>
        <v/>
      </c>
      <c r="V118" s="16" t="str">
        <f t="shared" si="5"/>
        <v/>
      </c>
      <c r="AB118" s="126" t="s">
        <v>284</v>
      </c>
    </row>
    <row r="119" spans="1:28" x14ac:dyDescent="0.15">
      <c r="A119" s="126"/>
      <c r="B119" s="126"/>
      <c r="C119" s="126"/>
      <c r="D119" s="127"/>
      <c r="E119" s="126"/>
      <c r="F119" s="126"/>
      <c r="G119" s="126"/>
      <c r="H119" s="126"/>
      <c r="Q119" s="16" t="str">
        <f t="shared" si="3"/>
        <v/>
      </c>
      <c r="T119" s="16" t="str">
        <f t="shared" si="4"/>
        <v/>
      </c>
      <c r="V119" s="16" t="str">
        <f t="shared" si="5"/>
        <v/>
      </c>
      <c r="AB119" s="126" t="s">
        <v>284</v>
      </c>
    </row>
    <row r="120" spans="1:28" x14ac:dyDescent="0.15">
      <c r="A120" s="126"/>
      <c r="B120" s="126"/>
      <c r="C120" s="126"/>
      <c r="D120" s="127"/>
      <c r="E120" s="126"/>
      <c r="F120" s="126"/>
      <c r="G120" s="126"/>
      <c r="H120" s="126"/>
      <c r="Q120" s="16" t="str">
        <f t="shared" si="3"/>
        <v/>
      </c>
      <c r="T120" s="16" t="str">
        <f t="shared" si="4"/>
        <v/>
      </c>
      <c r="V120" s="16" t="str">
        <f t="shared" si="5"/>
        <v/>
      </c>
      <c r="AB120" s="126" t="s">
        <v>284</v>
      </c>
    </row>
    <row r="121" spans="1:28" x14ac:dyDescent="0.15">
      <c r="A121" s="126"/>
      <c r="B121" s="126"/>
      <c r="C121" s="126"/>
      <c r="D121" s="127"/>
      <c r="E121" s="126"/>
      <c r="F121" s="126"/>
      <c r="G121" s="126"/>
      <c r="H121" s="126"/>
      <c r="Q121" s="16" t="str">
        <f t="shared" si="3"/>
        <v/>
      </c>
      <c r="T121" s="16" t="str">
        <f t="shared" si="4"/>
        <v/>
      </c>
      <c r="V121" s="16" t="str">
        <f t="shared" si="5"/>
        <v/>
      </c>
      <c r="AB121" s="126" t="s">
        <v>284</v>
      </c>
    </row>
    <row r="122" spans="1:28" x14ac:dyDescent="0.15">
      <c r="A122" s="126"/>
      <c r="B122" s="126"/>
      <c r="C122" s="126"/>
      <c r="D122" s="127"/>
      <c r="E122" s="126"/>
      <c r="F122" s="126"/>
      <c r="G122" s="126"/>
      <c r="H122" s="126"/>
      <c r="AB122" s="126"/>
    </row>
    <row r="123" spans="1:28" x14ac:dyDescent="0.15">
      <c r="A123" s="126"/>
      <c r="B123" s="126"/>
      <c r="C123" s="126"/>
      <c r="D123" s="127"/>
      <c r="E123" s="126"/>
      <c r="F123" s="126"/>
      <c r="G123" s="126"/>
      <c r="H123" s="126"/>
      <c r="AB123" s="126"/>
    </row>
    <row r="124" spans="1:28" x14ac:dyDescent="0.15">
      <c r="A124" s="126"/>
      <c r="B124" s="126"/>
      <c r="C124" s="126"/>
      <c r="D124" s="127"/>
      <c r="E124" s="126"/>
      <c r="F124" s="126"/>
      <c r="G124" s="126"/>
      <c r="H124" s="126"/>
      <c r="AB124" s="126"/>
    </row>
    <row r="125" spans="1:28" x14ac:dyDescent="0.15">
      <c r="A125" s="126"/>
      <c r="B125" s="126"/>
      <c r="C125" s="126"/>
      <c r="D125" s="127"/>
      <c r="E125" s="126"/>
      <c r="F125" s="126"/>
      <c r="G125" s="126"/>
      <c r="H125" s="126"/>
      <c r="AB125" s="126"/>
    </row>
    <row r="126" spans="1:28" x14ac:dyDescent="0.15">
      <c r="A126" s="126"/>
      <c r="B126" s="126"/>
      <c r="C126" s="126"/>
      <c r="D126" s="127"/>
      <c r="E126" s="126"/>
      <c r="F126" s="126"/>
      <c r="G126" s="126"/>
      <c r="H126" s="126"/>
      <c r="AB126" s="126"/>
    </row>
    <row r="127" spans="1:28" x14ac:dyDescent="0.15">
      <c r="A127" s="126"/>
      <c r="B127" s="126"/>
      <c r="C127" s="126"/>
      <c r="D127" s="127"/>
      <c r="E127" s="126"/>
      <c r="F127" s="126"/>
      <c r="G127" s="126"/>
      <c r="H127" s="126"/>
      <c r="AB127" s="126"/>
    </row>
    <row r="128" spans="1:28" x14ac:dyDescent="0.15">
      <c r="A128" s="126"/>
      <c r="B128" s="126"/>
      <c r="C128" s="126"/>
      <c r="D128" s="127"/>
      <c r="E128" s="126"/>
      <c r="F128" s="126"/>
      <c r="G128" s="126"/>
      <c r="H128" s="126"/>
      <c r="AB128" s="126"/>
    </row>
    <row r="129" spans="1:28" x14ac:dyDescent="0.15">
      <c r="A129" s="126"/>
      <c r="B129" s="126"/>
      <c r="C129" s="126"/>
      <c r="D129" s="127"/>
      <c r="E129" s="126"/>
      <c r="F129" s="126"/>
      <c r="G129" s="126"/>
      <c r="H129" s="126"/>
      <c r="AB129" s="126"/>
    </row>
    <row r="130" spans="1:28" x14ac:dyDescent="0.15">
      <c r="A130" s="126"/>
      <c r="B130" s="126"/>
      <c r="C130" s="126"/>
      <c r="D130" s="127"/>
      <c r="E130" s="126"/>
      <c r="F130" s="126"/>
      <c r="G130" s="126"/>
      <c r="H130" s="126"/>
      <c r="AB130" s="126"/>
    </row>
    <row r="131" spans="1:28" x14ac:dyDescent="0.15">
      <c r="A131" s="126"/>
      <c r="B131" s="126"/>
      <c r="C131" s="126"/>
      <c r="D131" s="127"/>
      <c r="E131" s="126"/>
      <c r="F131" s="126"/>
      <c r="G131" s="126"/>
      <c r="H131" s="126"/>
      <c r="AB131" s="126"/>
    </row>
    <row r="132" spans="1:28" x14ac:dyDescent="0.15">
      <c r="A132" s="126"/>
      <c r="B132" s="126"/>
      <c r="C132" s="126"/>
      <c r="D132" s="127"/>
      <c r="E132" s="126"/>
      <c r="F132" s="126"/>
      <c r="G132" s="126"/>
      <c r="H132" s="126"/>
      <c r="AB132" s="126"/>
    </row>
    <row r="133" spans="1:28" x14ac:dyDescent="0.15">
      <c r="A133" s="126"/>
      <c r="B133" s="126"/>
      <c r="C133" s="126"/>
      <c r="D133" s="127"/>
      <c r="E133" s="126"/>
      <c r="F133" s="126"/>
      <c r="G133" s="126"/>
      <c r="H133" s="126"/>
      <c r="AB133" s="126"/>
    </row>
    <row r="134" spans="1:28" x14ac:dyDescent="0.15">
      <c r="A134" s="126"/>
      <c r="B134" s="126"/>
      <c r="C134" s="126"/>
      <c r="D134" s="127"/>
      <c r="E134" s="126"/>
      <c r="F134" s="126"/>
      <c r="G134" s="126"/>
      <c r="H134" s="126"/>
      <c r="AB134" s="126"/>
    </row>
    <row r="135" spans="1:28" x14ac:dyDescent="0.15">
      <c r="A135" s="126"/>
      <c r="B135" s="126"/>
      <c r="C135" s="126"/>
      <c r="D135" s="127"/>
      <c r="E135" s="126"/>
      <c r="F135" s="126"/>
      <c r="G135" s="126"/>
      <c r="H135" s="126"/>
      <c r="AB135" s="126"/>
    </row>
    <row r="136" spans="1:28" x14ac:dyDescent="0.15">
      <c r="A136" s="126"/>
      <c r="B136" s="126"/>
      <c r="C136" s="126"/>
      <c r="D136" s="127"/>
      <c r="E136" s="126"/>
      <c r="F136" s="126"/>
      <c r="G136" s="126"/>
      <c r="H136" s="126"/>
      <c r="AB136" s="126"/>
    </row>
    <row r="137" spans="1:28" x14ac:dyDescent="0.15">
      <c r="A137" s="126"/>
      <c r="B137" s="126"/>
      <c r="C137" s="126"/>
      <c r="D137" s="127"/>
      <c r="E137" s="126"/>
      <c r="F137" s="126"/>
      <c r="G137" s="126"/>
      <c r="H137" s="126"/>
      <c r="AB137" s="126"/>
    </row>
    <row r="138" spans="1:28" x14ac:dyDescent="0.15">
      <c r="A138" s="126"/>
      <c r="B138" s="126"/>
      <c r="C138" s="126"/>
      <c r="D138" s="127"/>
      <c r="E138" s="126"/>
      <c r="F138" s="126"/>
      <c r="G138" s="126"/>
      <c r="H138" s="126"/>
      <c r="AB138" s="126"/>
    </row>
    <row r="139" spans="1:28" x14ac:dyDescent="0.15">
      <c r="A139" s="126"/>
      <c r="B139" s="126"/>
      <c r="C139" s="126"/>
      <c r="D139" s="127"/>
      <c r="E139" s="126"/>
      <c r="F139" s="126"/>
      <c r="G139" s="126"/>
      <c r="H139" s="126"/>
      <c r="AB139" s="126"/>
    </row>
    <row r="140" spans="1:28" x14ac:dyDescent="0.15">
      <c r="A140" s="126"/>
      <c r="B140" s="126"/>
      <c r="C140" s="126"/>
      <c r="D140" s="127"/>
      <c r="E140" s="126"/>
      <c r="F140" s="126"/>
      <c r="G140" s="126"/>
      <c r="H140" s="126"/>
      <c r="AB140" s="126"/>
    </row>
    <row r="141" spans="1:28" x14ac:dyDescent="0.15">
      <c r="A141" s="126"/>
      <c r="B141" s="126"/>
      <c r="C141" s="126"/>
      <c r="D141" s="127"/>
      <c r="E141" s="126"/>
      <c r="F141" s="126"/>
      <c r="G141" s="126"/>
      <c r="H141" s="126"/>
      <c r="AB141" s="126"/>
    </row>
    <row r="142" spans="1:28" x14ac:dyDescent="0.15">
      <c r="A142" s="126"/>
      <c r="B142" s="126"/>
      <c r="C142" s="126"/>
      <c r="D142" s="127"/>
      <c r="E142" s="126"/>
      <c r="F142" s="126"/>
      <c r="G142" s="126"/>
      <c r="H142" s="126"/>
      <c r="AB142" s="126"/>
    </row>
    <row r="143" spans="1:28" x14ac:dyDescent="0.15">
      <c r="A143" s="126"/>
      <c r="B143" s="126"/>
      <c r="C143" s="126"/>
      <c r="D143" s="127"/>
      <c r="E143" s="126"/>
      <c r="F143" s="126"/>
      <c r="G143" s="126"/>
      <c r="H143" s="126"/>
      <c r="AB143" s="126"/>
    </row>
    <row r="144" spans="1:28" x14ac:dyDescent="0.15">
      <c r="A144" s="126"/>
      <c r="B144" s="126"/>
      <c r="C144" s="126"/>
      <c r="D144" s="127"/>
      <c r="E144" s="126"/>
      <c r="F144" s="126"/>
      <c r="G144" s="126"/>
      <c r="H144" s="126"/>
      <c r="AB144" s="126"/>
    </row>
    <row r="145" spans="1:28" x14ac:dyDescent="0.15">
      <c r="A145" s="126"/>
      <c r="B145" s="126"/>
      <c r="C145" s="126"/>
      <c r="D145" s="127"/>
      <c r="E145" s="126"/>
      <c r="F145" s="126"/>
      <c r="G145" s="126"/>
      <c r="H145" s="126"/>
      <c r="AB145" s="126"/>
    </row>
    <row r="146" spans="1:28" x14ac:dyDescent="0.15">
      <c r="A146" s="126"/>
      <c r="B146" s="126"/>
      <c r="C146" s="126"/>
      <c r="D146" s="127"/>
      <c r="E146" s="126"/>
      <c r="F146" s="126"/>
      <c r="G146" s="126"/>
      <c r="H146" s="126"/>
      <c r="AB146" s="126"/>
    </row>
    <row r="147" spans="1:28" x14ac:dyDescent="0.15">
      <c r="A147" s="126"/>
      <c r="B147" s="126"/>
      <c r="C147" s="126"/>
      <c r="D147" s="127"/>
      <c r="E147" s="126"/>
      <c r="F147" s="126"/>
      <c r="G147" s="126"/>
      <c r="H147" s="126"/>
      <c r="AB147" s="126"/>
    </row>
    <row r="148" spans="1:28" x14ac:dyDescent="0.15">
      <c r="A148" s="126"/>
      <c r="B148" s="126"/>
      <c r="C148" s="126"/>
      <c r="D148" s="127"/>
      <c r="E148" s="126"/>
      <c r="F148" s="126"/>
      <c r="G148" s="126"/>
      <c r="H148" s="126"/>
      <c r="AB148" s="126"/>
    </row>
    <row r="149" spans="1:28" x14ac:dyDescent="0.15">
      <c r="A149" s="126"/>
      <c r="B149" s="126"/>
      <c r="C149" s="126"/>
      <c r="D149" s="127"/>
      <c r="E149" s="126"/>
      <c r="F149" s="126"/>
      <c r="G149" s="126"/>
      <c r="H149" s="126"/>
      <c r="AB149" s="126"/>
    </row>
    <row r="150" spans="1:28" x14ac:dyDescent="0.15">
      <c r="A150" s="126"/>
      <c r="B150" s="126"/>
      <c r="C150" s="126"/>
      <c r="D150" s="127"/>
      <c r="E150" s="126"/>
      <c r="F150" s="126"/>
      <c r="G150" s="126"/>
      <c r="H150" s="126"/>
      <c r="AB150" s="126"/>
    </row>
    <row r="151" spans="1:28" x14ac:dyDescent="0.15">
      <c r="A151" s="126"/>
      <c r="B151" s="126"/>
      <c r="C151" s="126"/>
      <c r="D151" s="127"/>
      <c r="E151" s="126"/>
      <c r="F151" s="126"/>
      <c r="G151" s="126"/>
      <c r="H151" s="126"/>
      <c r="AB151" s="126"/>
    </row>
    <row r="152" spans="1:28" x14ac:dyDescent="0.15">
      <c r="A152" s="126"/>
      <c r="B152" s="126"/>
      <c r="C152" s="126"/>
      <c r="D152" s="127"/>
      <c r="E152" s="126"/>
      <c r="F152" s="126"/>
      <c r="G152" s="126"/>
      <c r="H152" s="126"/>
      <c r="AB152" s="126"/>
    </row>
    <row r="153" spans="1:28" x14ac:dyDescent="0.15">
      <c r="A153" s="126"/>
      <c r="B153" s="126"/>
      <c r="C153" s="126"/>
      <c r="D153" s="127"/>
      <c r="E153" s="126"/>
      <c r="F153" s="126"/>
      <c r="G153" s="126"/>
      <c r="H153" s="126"/>
      <c r="AB153" s="126"/>
    </row>
    <row r="154" spans="1:28" x14ac:dyDescent="0.15">
      <c r="A154" s="126"/>
      <c r="B154" s="126"/>
      <c r="C154" s="126"/>
      <c r="D154" s="127"/>
      <c r="E154" s="126"/>
      <c r="F154" s="126"/>
      <c r="G154" s="126"/>
      <c r="H154" s="126"/>
      <c r="AB154" s="126"/>
    </row>
    <row r="155" spans="1:28" x14ac:dyDescent="0.15">
      <c r="A155" s="126"/>
      <c r="B155" s="126"/>
      <c r="C155" s="126"/>
      <c r="D155" s="127"/>
      <c r="E155" s="126"/>
      <c r="F155" s="126"/>
      <c r="G155" s="126"/>
      <c r="H155" s="126"/>
      <c r="AB155" s="126"/>
    </row>
    <row r="156" spans="1:28" x14ac:dyDescent="0.15">
      <c r="A156" s="126"/>
      <c r="B156" s="126"/>
      <c r="C156" s="126"/>
      <c r="D156" s="127"/>
      <c r="E156" s="126"/>
      <c r="F156" s="126"/>
      <c r="G156" s="126"/>
      <c r="H156" s="126"/>
      <c r="AB156" s="126"/>
    </row>
    <row r="157" spans="1:28" x14ac:dyDescent="0.15">
      <c r="A157" s="126"/>
      <c r="B157" s="126"/>
      <c r="C157" s="126"/>
      <c r="D157" s="127"/>
      <c r="E157" s="126"/>
      <c r="F157" s="126"/>
      <c r="G157" s="126"/>
      <c r="H157" s="126"/>
      <c r="AB157" s="126"/>
    </row>
    <row r="158" spans="1:28" x14ac:dyDescent="0.15">
      <c r="A158" s="126"/>
      <c r="B158" s="126"/>
      <c r="C158" s="126"/>
      <c r="D158" s="127"/>
      <c r="E158" s="126"/>
      <c r="F158" s="126"/>
      <c r="G158" s="126"/>
      <c r="H158" s="126"/>
      <c r="AB158" s="126"/>
    </row>
    <row r="159" spans="1:28" x14ac:dyDescent="0.15">
      <c r="A159" s="126"/>
      <c r="B159" s="126"/>
      <c r="C159" s="126"/>
      <c r="D159" s="127"/>
      <c r="E159" s="126"/>
      <c r="F159" s="126"/>
      <c r="G159" s="126"/>
      <c r="H159" s="126"/>
      <c r="AB159" s="126"/>
    </row>
    <row r="160" spans="1:28" x14ac:dyDescent="0.15">
      <c r="A160" s="126"/>
      <c r="B160" s="126"/>
      <c r="C160" s="126"/>
      <c r="D160" s="127"/>
      <c r="E160" s="126"/>
      <c r="F160" s="126"/>
      <c r="G160" s="126"/>
      <c r="H160" s="126"/>
      <c r="AB160" s="126"/>
    </row>
    <row r="161" spans="1:28" x14ac:dyDescent="0.15">
      <c r="A161" s="126"/>
      <c r="B161" s="126"/>
      <c r="C161" s="126"/>
      <c r="D161" s="127"/>
      <c r="E161" s="126"/>
      <c r="F161" s="126"/>
      <c r="G161" s="126"/>
      <c r="H161" s="126"/>
      <c r="AB161" s="126"/>
    </row>
    <row r="162" spans="1:28" x14ac:dyDescent="0.15">
      <c r="A162" s="126"/>
      <c r="B162" s="126"/>
      <c r="C162" s="126"/>
      <c r="D162" s="127"/>
      <c r="E162" s="126"/>
      <c r="F162" s="126"/>
      <c r="G162" s="126"/>
      <c r="H162" s="126"/>
      <c r="AB162" s="126"/>
    </row>
    <row r="163" spans="1:28" x14ac:dyDescent="0.15">
      <c r="A163" s="126"/>
      <c r="B163" s="126"/>
      <c r="C163" s="126"/>
      <c r="D163" s="127"/>
      <c r="E163" s="126"/>
      <c r="F163" s="126"/>
      <c r="G163" s="126"/>
      <c r="H163" s="126"/>
      <c r="AB163" s="126"/>
    </row>
    <row r="164" spans="1:28" x14ac:dyDescent="0.15">
      <c r="A164" s="126"/>
      <c r="B164" s="126"/>
      <c r="C164" s="126"/>
      <c r="D164" s="127"/>
      <c r="E164" s="126"/>
      <c r="F164" s="126"/>
      <c r="G164" s="126"/>
      <c r="H164" s="126"/>
      <c r="AB164" s="126"/>
    </row>
    <row r="165" spans="1:28" x14ac:dyDescent="0.15">
      <c r="A165" s="126"/>
      <c r="B165" s="126"/>
      <c r="C165" s="126"/>
      <c r="D165" s="127"/>
      <c r="E165" s="126"/>
      <c r="F165" s="126"/>
      <c r="G165" s="126"/>
      <c r="H165" s="126"/>
      <c r="AB165" s="126"/>
    </row>
    <row r="166" spans="1:28" x14ac:dyDescent="0.15">
      <c r="A166" s="126"/>
      <c r="B166" s="126"/>
      <c r="C166" s="126"/>
      <c r="D166" s="127"/>
      <c r="E166" s="126"/>
      <c r="F166" s="126"/>
      <c r="G166" s="126"/>
      <c r="H166" s="126"/>
      <c r="AB166" s="126"/>
    </row>
    <row r="167" spans="1:28" x14ac:dyDescent="0.15">
      <c r="A167" s="126"/>
      <c r="B167" s="126"/>
      <c r="C167" s="126"/>
      <c r="D167" s="127"/>
      <c r="E167" s="126"/>
      <c r="F167" s="126"/>
      <c r="G167" s="126"/>
      <c r="H167" s="126"/>
      <c r="AB167" s="126"/>
    </row>
    <row r="168" spans="1:28" x14ac:dyDescent="0.15">
      <c r="A168" s="126"/>
      <c r="B168" s="126"/>
      <c r="C168" s="126"/>
      <c r="D168" s="127"/>
      <c r="E168" s="126"/>
      <c r="F168" s="126"/>
      <c r="G168" s="126"/>
      <c r="H168" s="126"/>
      <c r="AB168" s="126"/>
    </row>
    <row r="169" spans="1:28" x14ac:dyDescent="0.15">
      <c r="A169" s="126"/>
      <c r="B169" s="126"/>
      <c r="C169" s="126"/>
      <c r="D169" s="127"/>
      <c r="E169" s="126"/>
      <c r="F169" s="126"/>
      <c r="G169" s="126"/>
      <c r="H169" s="126"/>
      <c r="AB169" s="126"/>
    </row>
    <row r="170" spans="1:28" x14ac:dyDescent="0.15">
      <c r="A170" s="126"/>
      <c r="B170" s="126"/>
      <c r="C170" s="126"/>
      <c r="D170" s="127"/>
      <c r="E170" s="126"/>
      <c r="F170" s="126"/>
      <c r="G170" s="126"/>
      <c r="H170" s="126"/>
      <c r="AB170" s="126"/>
    </row>
    <row r="171" spans="1:28" x14ac:dyDescent="0.15">
      <c r="A171" s="126"/>
      <c r="B171" s="126"/>
      <c r="C171" s="126"/>
      <c r="D171" s="127"/>
      <c r="E171" s="126"/>
      <c r="F171" s="126"/>
      <c r="G171" s="126"/>
      <c r="H171" s="126"/>
      <c r="AB171" s="126"/>
    </row>
    <row r="172" spans="1:28" x14ac:dyDescent="0.15">
      <c r="A172" s="126"/>
      <c r="B172" s="126"/>
      <c r="C172" s="126"/>
      <c r="D172" s="127"/>
      <c r="E172" s="126"/>
      <c r="F172" s="126"/>
      <c r="G172" s="126"/>
      <c r="H172" s="126"/>
      <c r="AB172" s="126"/>
    </row>
    <row r="173" spans="1:28" x14ac:dyDescent="0.15">
      <c r="A173" s="126"/>
      <c r="B173" s="126"/>
      <c r="C173" s="126"/>
      <c r="D173" s="127"/>
      <c r="E173" s="126"/>
      <c r="F173" s="126"/>
      <c r="G173" s="126"/>
      <c r="H173" s="126"/>
      <c r="AB173" s="126"/>
    </row>
    <row r="174" spans="1:28" x14ac:dyDescent="0.15">
      <c r="A174" s="126"/>
      <c r="B174" s="126"/>
      <c r="C174" s="126"/>
      <c r="D174" s="127"/>
      <c r="E174" s="126"/>
      <c r="F174" s="126"/>
      <c r="G174" s="126"/>
      <c r="H174" s="126"/>
      <c r="AB174" s="126"/>
    </row>
    <row r="175" spans="1:28" x14ac:dyDescent="0.15">
      <c r="A175" s="126"/>
      <c r="B175" s="126"/>
      <c r="C175" s="126"/>
      <c r="D175" s="127"/>
      <c r="E175" s="126"/>
      <c r="F175" s="126"/>
      <c r="G175" s="126"/>
      <c r="H175" s="126"/>
      <c r="AB175" s="126"/>
    </row>
    <row r="176" spans="1:28" x14ac:dyDescent="0.15">
      <c r="A176" s="126"/>
      <c r="B176" s="126"/>
      <c r="C176" s="126"/>
      <c r="D176" s="127"/>
      <c r="E176" s="126"/>
      <c r="F176" s="126"/>
      <c r="G176" s="126"/>
      <c r="H176" s="126"/>
      <c r="AB176" s="126"/>
    </row>
    <row r="177" spans="1:28" x14ac:dyDescent="0.15">
      <c r="A177" s="126"/>
      <c r="B177" s="126"/>
      <c r="C177" s="126"/>
      <c r="D177" s="127"/>
      <c r="E177" s="126"/>
      <c r="F177" s="126"/>
      <c r="G177" s="126"/>
      <c r="H177" s="126"/>
      <c r="AB177" s="126"/>
    </row>
    <row r="178" spans="1:28" x14ac:dyDescent="0.15">
      <c r="A178" s="126"/>
      <c r="B178" s="126"/>
      <c r="C178" s="126"/>
      <c r="D178" s="127"/>
      <c r="E178" s="126"/>
      <c r="F178" s="126"/>
      <c r="G178" s="126"/>
      <c r="H178" s="126"/>
      <c r="AB178" s="126"/>
    </row>
    <row r="179" spans="1:28" x14ac:dyDescent="0.15">
      <c r="A179" s="126"/>
      <c r="B179" s="126"/>
      <c r="C179" s="126"/>
      <c r="D179" s="127"/>
      <c r="E179" s="126"/>
      <c r="F179" s="126"/>
      <c r="G179" s="126"/>
      <c r="H179" s="126"/>
      <c r="AB179" s="126"/>
    </row>
    <row r="180" spans="1:28" x14ac:dyDescent="0.15">
      <c r="A180" s="126"/>
      <c r="B180" s="126"/>
      <c r="C180" s="126"/>
      <c r="D180" s="127"/>
      <c r="E180" s="126"/>
      <c r="F180" s="126"/>
      <c r="G180" s="126"/>
      <c r="H180" s="126"/>
      <c r="AB180" s="126"/>
    </row>
    <row r="181" spans="1:28" x14ac:dyDescent="0.15">
      <c r="A181" s="126"/>
      <c r="B181" s="126"/>
      <c r="C181" s="126"/>
      <c r="D181" s="127"/>
      <c r="E181" s="126"/>
      <c r="F181" s="126"/>
      <c r="G181" s="126"/>
      <c r="H181" s="126"/>
      <c r="AB181" s="126"/>
    </row>
    <row r="182" spans="1:28" x14ac:dyDescent="0.15">
      <c r="A182" s="126"/>
      <c r="B182" s="126"/>
      <c r="C182" s="126"/>
      <c r="D182" s="127"/>
      <c r="E182" s="126"/>
      <c r="F182" s="126"/>
      <c r="G182" s="126"/>
      <c r="H182" s="126"/>
      <c r="AB182" s="126"/>
    </row>
    <row r="183" spans="1:28" x14ac:dyDescent="0.15">
      <c r="A183" s="126"/>
      <c r="B183" s="126"/>
      <c r="C183" s="126"/>
      <c r="D183" s="127"/>
      <c r="E183" s="126"/>
      <c r="F183" s="126"/>
      <c r="G183" s="126"/>
      <c r="H183" s="126"/>
      <c r="AB183" s="126"/>
    </row>
    <row r="184" spans="1:28" x14ac:dyDescent="0.15">
      <c r="A184" s="126"/>
      <c r="B184" s="126"/>
      <c r="C184" s="126"/>
      <c r="D184" s="127"/>
      <c r="E184" s="126"/>
      <c r="F184" s="126"/>
      <c r="G184" s="126"/>
      <c r="H184" s="126"/>
      <c r="AB184" s="126"/>
    </row>
    <row r="185" spans="1:28" x14ac:dyDescent="0.15">
      <c r="A185" s="126"/>
      <c r="B185" s="126"/>
      <c r="C185" s="126"/>
      <c r="D185" s="127"/>
      <c r="E185" s="126"/>
      <c r="F185" s="126"/>
      <c r="G185" s="126"/>
      <c r="H185" s="126"/>
      <c r="AB185" s="126"/>
    </row>
    <row r="186" spans="1:28" x14ac:dyDescent="0.15">
      <c r="A186" s="126"/>
      <c r="B186" s="126"/>
      <c r="C186" s="126"/>
      <c r="D186" s="127"/>
      <c r="E186" s="126"/>
      <c r="F186" s="126"/>
      <c r="G186" s="126"/>
      <c r="H186" s="126"/>
      <c r="AB186" s="126"/>
    </row>
    <row r="187" spans="1:28" x14ac:dyDescent="0.15">
      <c r="A187" s="126"/>
      <c r="B187" s="126"/>
      <c r="C187" s="126"/>
      <c r="D187" s="127"/>
      <c r="E187" s="126"/>
      <c r="F187" s="126"/>
      <c r="G187" s="126"/>
      <c r="H187" s="126"/>
      <c r="AB187" s="126"/>
    </row>
    <row r="188" spans="1:28" x14ac:dyDescent="0.15">
      <c r="A188" s="126"/>
      <c r="B188" s="126"/>
      <c r="C188" s="126"/>
      <c r="D188" s="127"/>
      <c r="E188" s="126"/>
      <c r="F188" s="126"/>
      <c r="G188" s="126"/>
      <c r="H188" s="126"/>
      <c r="AB188" s="126"/>
    </row>
    <row r="189" spans="1:28" x14ac:dyDescent="0.15">
      <c r="A189" s="126"/>
      <c r="B189" s="126"/>
      <c r="C189" s="126"/>
      <c r="D189" s="127"/>
      <c r="E189" s="126"/>
      <c r="F189" s="126"/>
      <c r="G189" s="126"/>
      <c r="H189" s="126"/>
      <c r="AB189" s="126"/>
    </row>
    <row r="190" spans="1:28" x14ac:dyDescent="0.15">
      <c r="A190" s="126"/>
      <c r="B190" s="126"/>
      <c r="C190" s="126"/>
      <c r="D190" s="127"/>
      <c r="E190" s="126"/>
      <c r="F190" s="126"/>
      <c r="G190" s="126"/>
      <c r="H190" s="126"/>
      <c r="AB190" s="126"/>
    </row>
    <row r="191" spans="1:28" x14ac:dyDescent="0.15">
      <c r="A191" s="126"/>
      <c r="B191" s="126"/>
      <c r="C191" s="126"/>
      <c r="D191" s="127"/>
      <c r="E191" s="126"/>
      <c r="F191" s="126"/>
      <c r="G191" s="126"/>
      <c r="H191" s="126"/>
      <c r="AB191" s="126"/>
    </row>
    <row r="192" spans="1:28" x14ac:dyDescent="0.15">
      <c r="A192" s="126"/>
      <c r="B192" s="126"/>
      <c r="C192" s="126"/>
      <c r="D192" s="127"/>
      <c r="E192" s="126"/>
      <c r="F192" s="126"/>
      <c r="G192" s="126"/>
      <c r="H192" s="126"/>
      <c r="AB192" s="126"/>
    </row>
    <row r="193" spans="1:28" x14ac:dyDescent="0.15">
      <c r="A193" s="126"/>
      <c r="B193" s="126"/>
      <c r="C193" s="126"/>
      <c r="D193" s="127"/>
      <c r="E193" s="126"/>
      <c r="F193" s="126"/>
      <c r="G193" s="126"/>
      <c r="H193" s="126"/>
      <c r="AB193" s="126"/>
    </row>
    <row r="194" spans="1:28" x14ac:dyDescent="0.15">
      <c r="A194" s="126"/>
      <c r="B194" s="126"/>
      <c r="C194" s="126"/>
      <c r="D194" s="127"/>
      <c r="E194" s="126"/>
      <c r="F194" s="126"/>
      <c r="G194" s="126"/>
      <c r="H194" s="126"/>
      <c r="AB194" s="126"/>
    </row>
    <row r="195" spans="1:28" x14ac:dyDescent="0.15">
      <c r="A195" s="126"/>
      <c r="B195" s="126"/>
      <c r="C195" s="126"/>
      <c r="D195" s="127"/>
      <c r="E195" s="126"/>
      <c r="F195" s="126"/>
      <c r="G195" s="126"/>
      <c r="H195" s="126"/>
      <c r="AB195" s="126"/>
    </row>
    <row r="196" spans="1:28" x14ac:dyDescent="0.15">
      <c r="A196" s="126"/>
      <c r="B196" s="126"/>
      <c r="C196" s="126"/>
      <c r="D196" s="127"/>
      <c r="E196" s="126"/>
      <c r="F196" s="126"/>
      <c r="G196" s="126"/>
      <c r="H196" s="126"/>
      <c r="AB196" s="126"/>
    </row>
    <row r="197" spans="1:28" x14ac:dyDescent="0.15">
      <c r="A197" s="126"/>
      <c r="B197" s="126"/>
      <c r="C197" s="126"/>
      <c r="D197" s="127"/>
      <c r="E197" s="126"/>
      <c r="F197" s="126"/>
      <c r="G197" s="126"/>
      <c r="H197" s="126"/>
      <c r="AB197" s="126"/>
    </row>
    <row r="198" spans="1:28" x14ac:dyDescent="0.15">
      <c r="A198" s="126"/>
      <c r="B198" s="126"/>
      <c r="C198" s="126"/>
      <c r="D198" s="127"/>
      <c r="E198" s="126"/>
      <c r="F198" s="126"/>
      <c r="G198" s="126"/>
      <c r="H198" s="126"/>
      <c r="AB198" s="126"/>
    </row>
    <row r="199" spans="1:28" x14ac:dyDescent="0.15">
      <c r="A199" s="126"/>
      <c r="B199" s="126"/>
      <c r="C199" s="126"/>
      <c r="D199" s="127"/>
      <c r="E199" s="126"/>
      <c r="F199" s="126"/>
      <c r="G199" s="126"/>
      <c r="H199" s="126"/>
      <c r="AB199" s="126"/>
    </row>
    <row r="200" spans="1:28" x14ac:dyDescent="0.15">
      <c r="A200" s="126"/>
      <c r="B200" s="126"/>
      <c r="C200" s="126"/>
      <c r="D200" s="127"/>
      <c r="E200" s="126"/>
      <c r="F200" s="126"/>
      <c r="G200" s="126"/>
      <c r="H200" s="126"/>
      <c r="AB200" s="126"/>
    </row>
    <row r="201" spans="1:28" x14ac:dyDescent="0.15">
      <c r="A201" s="126"/>
      <c r="B201" s="126"/>
      <c r="C201" s="126"/>
      <c r="D201" s="127"/>
      <c r="E201" s="126"/>
      <c r="F201" s="126"/>
      <c r="G201" s="126"/>
      <c r="H201" s="126"/>
      <c r="AB201" s="126"/>
    </row>
    <row r="202" spans="1:28" x14ac:dyDescent="0.15">
      <c r="A202" s="126"/>
      <c r="B202" s="126"/>
      <c r="C202" s="126"/>
      <c r="D202" s="127"/>
      <c r="E202" s="126"/>
      <c r="F202" s="126"/>
      <c r="G202" s="126"/>
      <c r="H202" s="126"/>
      <c r="AB202" s="126"/>
    </row>
    <row r="203" spans="1:28" x14ac:dyDescent="0.15">
      <c r="A203" s="126"/>
      <c r="B203" s="126"/>
      <c r="C203" s="126"/>
      <c r="D203" s="127"/>
      <c r="E203" s="126"/>
      <c r="F203" s="126"/>
      <c r="G203" s="126"/>
      <c r="H203" s="126"/>
      <c r="AB203" s="126"/>
    </row>
    <row r="204" spans="1:28" x14ac:dyDescent="0.15">
      <c r="A204" s="126"/>
      <c r="B204" s="126"/>
      <c r="C204" s="126"/>
      <c r="D204" s="127"/>
      <c r="E204" s="126"/>
      <c r="F204" s="126"/>
      <c r="G204" s="126"/>
      <c r="H204" s="126"/>
      <c r="AB204" s="126"/>
    </row>
    <row r="205" spans="1:28" x14ac:dyDescent="0.15">
      <c r="A205" s="126"/>
      <c r="B205" s="126"/>
      <c r="C205" s="126"/>
      <c r="D205" s="127"/>
      <c r="E205" s="126"/>
      <c r="F205" s="126"/>
      <c r="G205" s="126"/>
      <c r="H205" s="126"/>
      <c r="AB205" s="126"/>
    </row>
    <row r="206" spans="1:28" x14ac:dyDescent="0.15">
      <c r="A206" s="126"/>
      <c r="B206" s="126"/>
      <c r="C206" s="126"/>
      <c r="D206" s="127"/>
      <c r="E206" s="126"/>
      <c r="F206" s="126"/>
      <c r="G206" s="126"/>
      <c r="H206" s="126"/>
      <c r="AB206" s="126"/>
    </row>
    <row r="207" spans="1:28" x14ac:dyDescent="0.15">
      <c r="A207" s="126"/>
      <c r="B207" s="126"/>
      <c r="C207" s="126"/>
      <c r="D207" s="127"/>
      <c r="E207" s="126"/>
      <c r="F207" s="126"/>
      <c r="G207" s="126"/>
      <c r="H207" s="126"/>
      <c r="AB207" s="126"/>
    </row>
    <row r="208" spans="1:28" x14ac:dyDescent="0.15">
      <c r="A208" s="126"/>
      <c r="B208" s="126"/>
      <c r="C208" s="126"/>
      <c r="D208" s="127"/>
      <c r="E208" s="126"/>
      <c r="F208" s="126"/>
      <c r="G208" s="126"/>
      <c r="H208" s="126"/>
      <c r="AB208" s="126"/>
    </row>
    <row r="209" spans="1:28" x14ac:dyDescent="0.15">
      <c r="A209" s="126"/>
      <c r="B209" s="126"/>
      <c r="C209" s="126"/>
      <c r="D209" s="127"/>
      <c r="E209" s="126"/>
      <c r="F209" s="126"/>
      <c r="G209" s="126"/>
      <c r="H209" s="126"/>
      <c r="AB209" s="126"/>
    </row>
    <row r="210" spans="1:28" x14ac:dyDescent="0.15">
      <c r="A210" s="126"/>
      <c r="B210" s="126"/>
      <c r="C210" s="126"/>
      <c r="D210" s="127"/>
      <c r="E210" s="126"/>
      <c r="F210" s="126"/>
      <c r="G210" s="126"/>
      <c r="H210" s="126"/>
      <c r="AB210" s="126"/>
    </row>
    <row r="211" spans="1:28" x14ac:dyDescent="0.15">
      <c r="A211" s="126"/>
      <c r="B211" s="126"/>
      <c r="C211" s="126"/>
      <c r="D211" s="127"/>
      <c r="E211" s="126"/>
      <c r="F211" s="126"/>
      <c r="G211" s="126"/>
      <c r="H211" s="126"/>
      <c r="AB211" s="126"/>
    </row>
    <row r="212" spans="1:28" x14ac:dyDescent="0.15">
      <c r="A212" s="126"/>
      <c r="B212" s="126"/>
      <c r="C212" s="126"/>
      <c r="D212" s="127"/>
      <c r="E212" s="126"/>
      <c r="F212" s="126"/>
      <c r="G212" s="126"/>
      <c r="H212" s="126"/>
      <c r="AB212" s="126"/>
    </row>
    <row r="213" spans="1:28" x14ac:dyDescent="0.15">
      <c r="A213" s="126"/>
      <c r="B213" s="126"/>
      <c r="C213" s="126"/>
      <c r="D213" s="127"/>
      <c r="E213" s="126"/>
      <c r="F213" s="126"/>
      <c r="G213" s="126"/>
      <c r="H213" s="126"/>
      <c r="AB213" s="126"/>
    </row>
    <row r="214" spans="1:28" x14ac:dyDescent="0.15">
      <c r="A214" s="126"/>
      <c r="B214" s="126"/>
      <c r="C214" s="126"/>
      <c r="D214" s="127"/>
      <c r="E214" s="126"/>
      <c r="F214" s="126"/>
      <c r="G214" s="126"/>
      <c r="H214" s="126"/>
      <c r="AB214" s="126"/>
    </row>
    <row r="215" spans="1:28" x14ac:dyDescent="0.15">
      <c r="A215" s="126"/>
      <c r="B215" s="126"/>
      <c r="C215" s="126"/>
      <c r="D215" s="127"/>
      <c r="E215" s="126"/>
      <c r="F215" s="126"/>
      <c r="G215" s="126"/>
      <c r="H215" s="126"/>
      <c r="AB215" s="126"/>
    </row>
    <row r="216" spans="1:28" x14ac:dyDescent="0.15">
      <c r="A216" s="126"/>
      <c r="B216" s="126"/>
      <c r="C216" s="126"/>
      <c r="D216" s="127"/>
      <c r="E216" s="126"/>
      <c r="F216" s="126"/>
      <c r="G216" s="126"/>
      <c r="H216" s="126"/>
      <c r="AB216" s="126"/>
    </row>
    <row r="217" spans="1:28" x14ac:dyDescent="0.15">
      <c r="A217" s="126"/>
      <c r="B217" s="126"/>
      <c r="C217" s="126"/>
      <c r="D217" s="127"/>
      <c r="E217" s="126"/>
      <c r="F217" s="126"/>
      <c r="G217" s="126"/>
      <c r="H217" s="126"/>
      <c r="AB217" s="126"/>
    </row>
    <row r="218" spans="1:28" x14ac:dyDescent="0.15">
      <c r="A218" s="126"/>
      <c r="B218" s="126"/>
      <c r="C218" s="126"/>
      <c r="D218" s="127"/>
      <c r="E218" s="126"/>
      <c r="F218" s="126"/>
      <c r="G218" s="126"/>
      <c r="H218" s="126"/>
      <c r="AB218" s="126"/>
    </row>
    <row r="219" spans="1:28" x14ac:dyDescent="0.15">
      <c r="A219" s="126"/>
      <c r="B219" s="126"/>
      <c r="C219" s="126"/>
      <c r="D219" s="127"/>
      <c r="E219" s="126"/>
      <c r="F219" s="126"/>
      <c r="G219" s="126"/>
      <c r="H219" s="126"/>
      <c r="AB219" s="126"/>
    </row>
    <row r="220" spans="1:28" x14ac:dyDescent="0.15">
      <c r="A220" s="126"/>
      <c r="B220" s="126"/>
      <c r="C220" s="126"/>
      <c r="D220" s="127"/>
      <c r="E220" s="126"/>
      <c r="F220" s="126"/>
      <c r="G220" s="126"/>
      <c r="H220" s="126"/>
      <c r="AB220" s="126"/>
    </row>
    <row r="221" spans="1:28" x14ac:dyDescent="0.15">
      <c r="A221" s="126"/>
      <c r="B221" s="126"/>
      <c r="C221" s="126"/>
      <c r="D221" s="127"/>
      <c r="E221" s="126"/>
      <c r="F221" s="126"/>
      <c r="G221" s="126"/>
      <c r="H221" s="126"/>
      <c r="AB221" s="126"/>
    </row>
    <row r="222" spans="1:28" x14ac:dyDescent="0.15">
      <c r="A222" s="126"/>
      <c r="B222" s="126"/>
      <c r="C222" s="126"/>
      <c r="D222" s="127"/>
      <c r="E222" s="126"/>
      <c r="F222" s="126"/>
      <c r="G222" s="126"/>
      <c r="H222" s="126"/>
      <c r="AB222" s="126"/>
    </row>
    <row r="223" spans="1:28" x14ac:dyDescent="0.15">
      <c r="A223" s="126"/>
      <c r="B223" s="126"/>
      <c r="C223" s="126"/>
      <c r="D223" s="127"/>
      <c r="E223" s="126"/>
      <c r="F223" s="126"/>
      <c r="G223" s="126"/>
      <c r="H223" s="126"/>
      <c r="AB223" s="126"/>
    </row>
    <row r="224" spans="1:28" x14ac:dyDescent="0.15">
      <c r="A224" s="126"/>
      <c r="B224" s="126"/>
      <c r="C224" s="126"/>
      <c r="D224" s="127"/>
      <c r="E224" s="126"/>
      <c r="F224" s="126"/>
      <c r="G224" s="126"/>
      <c r="H224" s="126"/>
      <c r="AB224" s="126"/>
    </row>
    <row r="225" spans="1:28" x14ac:dyDescent="0.15">
      <c r="A225" s="126"/>
      <c r="B225" s="126"/>
      <c r="C225" s="126"/>
      <c r="D225" s="127"/>
      <c r="E225" s="126"/>
      <c r="F225" s="126"/>
      <c r="G225" s="126"/>
      <c r="H225" s="126"/>
      <c r="AB225" s="126"/>
    </row>
    <row r="226" spans="1:28" x14ac:dyDescent="0.15">
      <c r="A226" s="126"/>
      <c r="B226" s="126"/>
      <c r="C226" s="126"/>
      <c r="D226" s="127"/>
      <c r="E226" s="126"/>
      <c r="F226" s="126"/>
      <c r="G226" s="126"/>
      <c r="H226" s="126"/>
      <c r="AB226" s="126"/>
    </row>
    <row r="227" spans="1:28" x14ac:dyDescent="0.15">
      <c r="A227" s="126"/>
      <c r="B227" s="126"/>
      <c r="C227" s="126"/>
      <c r="D227" s="127"/>
      <c r="E227" s="126"/>
      <c r="F227" s="126"/>
      <c r="G227" s="126"/>
      <c r="H227" s="126"/>
      <c r="AB227" s="126"/>
    </row>
    <row r="228" spans="1:28" x14ac:dyDescent="0.15">
      <c r="A228" s="126"/>
      <c r="B228" s="126"/>
      <c r="C228" s="126"/>
      <c r="D228" s="127"/>
      <c r="E228" s="126"/>
      <c r="F228" s="126"/>
      <c r="G228" s="126"/>
      <c r="H228" s="126"/>
      <c r="AB228" s="126"/>
    </row>
    <row r="229" spans="1:28" x14ac:dyDescent="0.15">
      <c r="A229" s="126"/>
      <c r="B229" s="126"/>
      <c r="C229" s="126"/>
      <c r="D229" s="127"/>
      <c r="E229" s="126"/>
      <c r="F229" s="126"/>
      <c r="G229" s="126"/>
      <c r="H229" s="126"/>
      <c r="AB229" s="126"/>
    </row>
    <row r="230" spans="1:28" x14ac:dyDescent="0.15">
      <c r="A230" s="126"/>
      <c r="B230" s="126"/>
      <c r="C230" s="126"/>
      <c r="D230" s="127"/>
      <c r="E230" s="126"/>
      <c r="F230" s="126"/>
      <c r="G230" s="126"/>
      <c r="H230" s="126"/>
      <c r="AB230" s="126"/>
    </row>
    <row r="231" spans="1:28" x14ac:dyDescent="0.15">
      <c r="A231" s="126"/>
      <c r="B231" s="126"/>
      <c r="C231" s="126"/>
      <c r="D231" s="127"/>
      <c r="E231" s="126"/>
      <c r="F231" s="126"/>
      <c r="G231" s="126"/>
      <c r="H231" s="126"/>
      <c r="AB231" s="126"/>
    </row>
    <row r="232" spans="1:28" x14ac:dyDescent="0.15">
      <c r="A232" s="126"/>
      <c r="B232" s="126"/>
      <c r="C232" s="126"/>
      <c r="D232" s="127"/>
      <c r="E232" s="126"/>
      <c r="F232" s="126"/>
      <c r="G232" s="126"/>
      <c r="H232" s="126"/>
      <c r="AB232" s="126"/>
    </row>
    <row r="233" spans="1:28" x14ac:dyDescent="0.15">
      <c r="A233" s="126"/>
      <c r="B233" s="126"/>
      <c r="C233" s="126"/>
      <c r="D233" s="127"/>
      <c r="E233" s="126"/>
      <c r="F233" s="126"/>
      <c r="G233" s="126"/>
      <c r="H233" s="126"/>
      <c r="AB233" s="126"/>
    </row>
    <row r="234" spans="1:28" x14ac:dyDescent="0.15">
      <c r="A234" s="126"/>
      <c r="B234" s="126"/>
      <c r="C234" s="126"/>
      <c r="D234" s="127"/>
      <c r="E234" s="126"/>
      <c r="F234" s="126"/>
      <c r="G234" s="126"/>
      <c r="H234" s="126"/>
      <c r="AB234" s="126"/>
    </row>
    <row r="235" spans="1:28" x14ac:dyDescent="0.15">
      <c r="A235" s="126"/>
      <c r="B235" s="126"/>
      <c r="C235" s="126"/>
      <c r="D235" s="127"/>
      <c r="E235" s="126"/>
      <c r="F235" s="126"/>
      <c r="G235" s="126"/>
      <c r="H235" s="126"/>
      <c r="AB235" s="126"/>
    </row>
    <row r="236" spans="1:28" x14ac:dyDescent="0.15">
      <c r="A236" s="126"/>
      <c r="B236" s="126"/>
      <c r="C236" s="126"/>
      <c r="D236" s="127"/>
      <c r="E236" s="126"/>
      <c r="F236" s="126"/>
      <c r="G236" s="126"/>
      <c r="H236" s="126"/>
      <c r="AB236" s="126"/>
    </row>
    <row r="237" spans="1:28" x14ac:dyDescent="0.15">
      <c r="A237" s="126"/>
      <c r="B237" s="126"/>
      <c r="C237" s="126"/>
      <c r="D237" s="127"/>
      <c r="E237" s="126"/>
      <c r="F237" s="126"/>
      <c r="G237" s="126"/>
      <c r="H237" s="126"/>
      <c r="AB237" s="126"/>
    </row>
    <row r="238" spans="1:28" x14ac:dyDescent="0.15">
      <c r="A238" s="126"/>
      <c r="B238" s="126"/>
      <c r="C238" s="126"/>
      <c r="D238" s="127"/>
      <c r="E238" s="126"/>
      <c r="F238" s="126"/>
      <c r="G238" s="126"/>
      <c r="H238" s="126"/>
      <c r="AB238" s="126"/>
    </row>
    <row r="239" spans="1:28" x14ac:dyDescent="0.15">
      <c r="A239" s="126"/>
      <c r="B239" s="126"/>
      <c r="C239" s="126"/>
      <c r="D239" s="127"/>
      <c r="E239" s="126"/>
      <c r="F239" s="126"/>
      <c r="G239" s="126"/>
      <c r="H239" s="126"/>
      <c r="AB239" s="126"/>
    </row>
    <row r="240" spans="1:28" x14ac:dyDescent="0.15">
      <c r="A240" s="126"/>
      <c r="B240" s="126"/>
      <c r="C240" s="126"/>
      <c r="D240" s="127"/>
      <c r="E240" s="126"/>
      <c r="F240" s="126"/>
      <c r="G240" s="126"/>
      <c r="H240" s="126"/>
      <c r="AB240" s="126"/>
    </row>
    <row r="241" spans="1:28" x14ac:dyDescent="0.15">
      <c r="A241" s="126"/>
      <c r="B241" s="126"/>
      <c r="C241" s="126"/>
      <c r="D241" s="127"/>
      <c r="E241" s="126"/>
      <c r="F241" s="126"/>
      <c r="G241" s="126"/>
      <c r="H241" s="126"/>
      <c r="AB241" s="126"/>
    </row>
    <row r="242" spans="1:28" x14ac:dyDescent="0.15">
      <c r="A242" s="126"/>
      <c r="B242" s="126"/>
      <c r="C242" s="126"/>
      <c r="D242" s="127"/>
      <c r="E242" s="126"/>
      <c r="F242" s="126"/>
      <c r="G242" s="126"/>
      <c r="H242" s="126"/>
      <c r="AB242" s="126"/>
    </row>
    <row r="243" spans="1:28" x14ac:dyDescent="0.15">
      <c r="A243" s="126"/>
      <c r="B243" s="126"/>
      <c r="C243" s="126"/>
      <c r="D243" s="127"/>
      <c r="E243" s="126"/>
      <c r="F243" s="126"/>
      <c r="G243" s="126"/>
      <c r="H243" s="126"/>
      <c r="AB243" s="126"/>
    </row>
    <row r="244" spans="1:28" x14ac:dyDescent="0.15">
      <c r="A244" s="126"/>
      <c r="B244" s="126"/>
      <c r="C244" s="126"/>
      <c r="D244" s="127"/>
      <c r="E244" s="126"/>
      <c r="F244" s="126"/>
      <c r="G244" s="126"/>
      <c r="H244" s="126"/>
      <c r="AB244" s="126"/>
    </row>
    <row r="245" spans="1:28" x14ac:dyDescent="0.15">
      <c r="A245" s="126"/>
      <c r="B245" s="126"/>
      <c r="C245" s="126"/>
      <c r="D245" s="127"/>
      <c r="E245" s="126"/>
      <c r="F245" s="126"/>
      <c r="G245" s="126"/>
      <c r="H245" s="126"/>
      <c r="AB245" s="126"/>
    </row>
    <row r="246" spans="1:28" x14ac:dyDescent="0.15">
      <c r="A246" s="126"/>
      <c r="B246" s="126"/>
      <c r="C246" s="126"/>
      <c r="D246" s="127"/>
      <c r="E246" s="126"/>
      <c r="F246" s="126"/>
      <c r="G246" s="126"/>
      <c r="H246" s="126"/>
      <c r="AB246" s="126"/>
    </row>
    <row r="247" spans="1:28" x14ac:dyDescent="0.15">
      <c r="A247" s="126"/>
      <c r="B247" s="126"/>
      <c r="C247" s="126"/>
      <c r="D247" s="127"/>
      <c r="E247" s="126"/>
      <c r="F247" s="126"/>
      <c r="G247" s="126"/>
      <c r="H247" s="126"/>
      <c r="AB247" s="126"/>
    </row>
    <row r="248" spans="1:28" x14ac:dyDescent="0.15">
      <c r="A248" s="126"/>
      <c r="B248" s="126"/>
      <c r="C248" s="126"/>
      <c r="D248" s="127"/>
      <c r="E248" s="126"/>
      <c r="F248" s="126"/>
      <c r="G248" s="126"/>
      <c r="H248" s="126"/>
      <c r="AB248" s="126"/>
    </row>
    <row r="249" spans="1:28" x14ac:dyDescent="0.15">
      <c r="A249" s="126"/>
      <c r="B249" s="126"/>
      <c r="C249" s="126"/>
      <c r="D249" s="127"/>
      <c r="E249" s="126"/>
      <c r="F249" s="126"/>
      <c r="G249" s="126"/>
      <c r="H249" s="126"/>
      <c r="AB249" s="126"/>
    </row>
    <row r="250" spans="1:28" x14ac:dyDescent="0.15">
      <c r="A250" s="126"/>
      <c r="B250" s="126"/>
      <c r="C250" s="126"/>
      <c r="D250" s="127"/>
      <c r="E250" s="126"/>
      <c r="F250" s="126"/>
      <c r="G250" s="126"/>
      <c r="H250" s="126"/>
      <c r="AB250" s="126"/>
    </row>
    <row r="251" spans="1:28" x14ac:dyDescent="0.15">
      <c r="A251" s="126"/>
      <c r="B251" s="126"/>
      <c r="C251" s="126"/>
      <c r="D251" s="127"/>
      <c r="E251" s="126"/>
      <c r="F251" s="126"/>
      <c r="G251" s="126"/>
      <c r="H251" s="126"/>
      <c r="AB251" s="126"/>
    </row>
    <row r="252" spans="1:28" x14ac:dyDescent="0.15">
      <c r="A252" s="126"/>
      <c r="B252" s="126"/>
      <c r="C252" s="126"/>
      <c r="D252" s="127"/>
      <c r="E252" s="126"/>
      <c r="F252" s="126"/>
      <c r="G252" s="126"/>
      <c r="H252" s="126"/>
      <c r="AB252" s="126"/>
    </row>
    <row r="253" spans="1:28" x14ac:dyDescent="0.15">
      <c r="A253" s="126"/>
      <c r="B253" s="126"/>
      <c r="C253" s="126"/>
      <c r="D253" s="127"/>
      <c r="E253" s="126"/>
      <c r="F253" s="126"/>
      <c r="G253" s="126"/>
      <c r="H253" s="126"/>
      <c r="AB253" s="126"/>
    </row>
    <row r="254" spans="1:28" x14ac:dyDescent="0.15">
      <c r="A254" s="126"/>
      <c r="B254" s="126"/>
      <c r="C254" s="126"/>
      <c r="D254" s="127"/>
      <c r="E254" s="126"/>
      <c r="F254" s="126"/>
      <c r="G254" s="126"/>
      <c r="H254" s="126"/>
      <c r="AB254" s="126"/>
    </row>
    <row r="255" spans="1:28" x14ac:dyDescent="0.15">
      <c r="A255" s="126"/>
      <c r="B255" s="126"/>
      <c r="C255" s="126"/>
      <c r="D255" s="127"/>
      <c r="E255" s="126"/>
      <c r="F255" s="126"/>
      <c r="G255" s="126"/>
      <c r="H255" s="126"/>
      <c r="AB255" s="126"/>
    </row>
    <row r="256" spans="1:28" x14ac:dyDescent="0.15">
      <c r="A256" s="126"/>
      <c r="B256" s="126"/>
      <c r="C256" s="126"/>
      <c r="D256" s="127"/>
      <c r="E256" s="126"/>
      <c r="F256" s="126"/>
      <c r="G256" s="126"/>
      <c r="H256" s="126"/>
      <c r="AB256" s="126"/>
    </row>
    <row r="257" spans="1:28" x14ac:dyDescent="0.15">
      <c r="A257" s="126"/>
      <c r="B257" s="126"/>
      <c r="C257" s="126"/>
      <c r="D257" s="127"/>
      <c r="E257" s="126"/>
      <c r="F257" s="126"/>
      <c r="G257" s="126"/>
      <c r="H257" s="126"/>
      <c r="AB257" s="126"/>
    </row>
    <row r="258" spans="1:28" x14ac:dyDescent="0.15">
      <c r="A258" s="126"/>
      <c r="B258" s="126"/>
      <c r="C258" s="126"/>
      <c r="D258" s="127"/>
      <c r="E258" s="126"/>
      <c r="F258" s="126"/>
      <c r="G258" s="126"/>
      <c r="H258" s="126"/>
      <c r="AB258" s="126"/>
    </row>
    <row r="259" spans="1:28" x14ac:dyDescent="0.15">
      <c r="A259" s="126"/>
      <c r="B259" s="126"/>
      <c r="C259" s="126"/>
      <c r="D259" s="127"/>
      <c r="E259" s="126"/>
      <c r="F259" s="126"/>
      <c r="G259" s="126"/>
      <c r="H259" s="126"/>
      <c r="AB259" s="126"/>
    </row>
    <row r="260" spans="1:28" x14ac:dyDescent="0.15">
      <c r="A260" s="126"/>
      <c r="B260" s="126"/>
      <c r="C260" s="126"/>
      <c r="D260" s="127"/>
      <c r="E260" s="126"/>
      <c r="F260" s="126"/>
      <c r="G260" s="126"/>
      <c r="H260" s="126"/>
      <c r="AB260" s="126"/>
    </row>
    <row r="261" spans="1:28" x14ac:dyDescent="0.15">
      <c r="A261" s="126"/>
      <c r="B261" s="126"/>
      <c r="C261" s="126"/>
      <c r="D261" s="127"/>
      <c r="E261" s="126"/>
      <c r="F261" s="126"/>
      <c r="G261" s="126"/>
      <c r="H261" s="126"/>
      <c r="AB261" s="126"/>
    </row>
    <row r="262" spans="1:28" x14ac:dyDescent="0.15">
      <c r="A262" s="126"/>
      <c r="B262" s="126"/>
      <c r="C262" s="126"/>
      <c r="D262" s="127"/>
      <c r="E262" s="126"/>
      <c r="F262" s="126"/>
      <c r="G262" s="126"/>
      <c r="H262" s="126"/>
      <c r="AB262" s="126"/>
    </row>
    <row r="263" spans="1:28" x14ac:dyDescent="0.15">
      <c r="A263" s="126"/>
      <c r="B263" s="126"/>
      <c r="C263" s="126"/>
      <c r="D263" s="127"/>
      <c r="E263" s="126"/>
      <c r="F263" s="126"/>
      <c r="G263" s="126"/>
      <c r="H263" s="126"/>
      <c r="AB263" s="126"/>
    </row>
    <row r="264" spans="1:28" x14ac:dyDescent="0.15">
      <c r="A264" s="126"/>
      <c r="B264" s="126"/>
      <c r="C264" s="126"/>
      <c r="D264" s="127"/>
      <c r="E264" s="126"/>
      <c r="F264" s="126"/>
      <c r="G264" s="126"/>
      <c r="H264" s="126"/>
      <c r="AB264" s="126"/>
    </row>
    <row r="265" spans="1:28" x14ac:dyDescent="0.15">
      <c r="A265" s="126"/>
      <c r="B265" s="126"/>
      <c r="C265" s="126"/>
      <c r="D265" s="127"/>
      <c r="E265" s="126"/>
      <c r="F265" s="126"/>
      <c r="G265" s="126"/>
      <c r="H265" s="126"/>
      <c r="AB265" s="126"/>
    </row>
    <row r="266" spans="1:28" x14ac:dyDescent="0.15">
      <c r="A266" s="126"/>
      <c r="B266" s="126"/>
      <c r="C266" s="126"/>
      <c r="D266" s="127"/>
      <c r="E266" s="126"/>
      <c r="F266" s="126"/>
      <c r="G266" s="126"/>
      <c r="H266" s="126"/>
      <c r="AB266" s="126"/>
    </row>
    <row r="267" spans="1:28" x14ac:dyDescent="0.15">
      <c r="A267" s="126"/>
      <c r="B267" s="126"/>
      <c r="C267" s="126"/>
      <c r="D267" s="127"/>
      <c r="E267" s="126"/>
      <c r="F267" s="126"/>
      <c r="G267" s="126"/>
      <c r="H267" s="126"/>
      <c r="AB267" s="126"/>
    </row>
    <row r="268" spans="1:28" x14ac:dyDescent="0.15">
      <c r="A268" s="126"/>
      <c r="B268" s="126"/>
      <c r="C268" s="126"/>
      <c r="D268" s="127"/>
      <c r="E268" s="126"/>
      <c r="F268" s="126"/>
      <c r="G268" s="126"/>
      <c r="H268" s="126"/>
      <c r="AB268" s="126"/>
    </row>
    <row r="269" spans="1:28" x14ac:dyDescent="0.15">
      <c r="A269" s="126"/>
      <c r="B269" s="126"/>
      <c r="C269" s="126"/>
      <c r="D269" s="127"/>
      <c r="E269" s="126"/>
      <c r="F269" s="126"/>
      <c r="G269" s="126"/>
      <c r="H269" s="126"/>
      <c r="AB269" s="126"/>
    </row>
    <row r="270" spans="1:28" x14ac:dyDescent="0.15">
      <c r="A270" s="126"/>
      <c r="B270" s="126"/>
      <c r="C270" s="126"/>
      <c r="D270" s="127"/>
      <c r="E270" s="126"/>
      <c r="F270" s="126"/>
      <c r="G270" s="126"/>
      <c r="H270" s="126"/>
      <c r="AB270" s="126"/>
    </row>
    <row r="271" spans="1:28" x14ac:dyDescent="0.15">
      <c r="A271" s="126"/>
      <c r="B271" s="126"/>
      <c r="C271" s="126"/>
      <c r="D271" s="127"/>
      <c r="E271" s="126"/>
      <c r="F271" s="126"/>
      <c r="G271" s="126"/>
      <c r="H271" s="126"/>
      <c r="AB271" s="126"/>
    </row>
    <row r="272" spans="1:28" x14ac:dyDescent="0.15">
      <c r="A272" s="126"/>
      <c r="B272" s="126"/>
      <c r="C272" s="126"/>
      <c r="D272" s="127"/>
      <c r="E272" s="126"/>
      <c r="F272" s="126"/>
      <c r="G272" s="126"/>
      <c r="H272" s="126"/>
      <c r="AB272" s="126"/>
    </row>
    <row r="273" spans="1:28" x14ac:dyDescent="0.15">
      <c r="A273" s="126"/>
      <c r="B273" s="126"/>
      <c r="C273" s="126"/>
      <c r="D273" s="127"/>
      <c r="E273" s="126"/>
      <c r="F273" s="126"/>
      <c r="G273" s="126"/>
      <c r="H273" s="126"/>
      <c r="AB273" s="126"/>
    </row>
    <row r="274" spans="1:28" x14ac:dyDescent="0.15">
      <c r="A274" s="126"/>
      <c r="B274" s="126"/>
      <c r="C274" s="126"/>
      <c r="D274" s="127"/>
      <c r="E274" s="126"/>
      <c r="F274" s="126"/>
      <c r="G274" s="126"/>
      <c r="H274" s="126"/>
      <c r="AB274" s="126"/>
    </row>
    <row r="275" spans="1:28" x14ac:dyDescent="0.15">
      <c r="A275" s="126"/>
      <c r="B275" s="126"/>
      <c r="C275" s="126"/>
      <c r="D275" s="127"/>
      <c r="E275" s="126"/>
      <c r="F275" s="126"/>
      <c r="G275" s="126"/>
      <c r="H275" s="126"/>
      <c r="AB275" s="126"/>
    </row>
    <row r="276" spans="1:28" x14ac:dyDescent="0.15">
      <c r="A276" s="126"/>
      <c r="B276" s="126"/>
      <c r="C276" s="126"/>
      <c r="D276" s="127"/>
      <c r="E276" s="126"/>
      <c r="F276" s="126"/>
      <c r="G276" s="126"/>
      <c r="H276" s="126"/>
      <c r="AB276" s="126"/>
    </row>
    <row r="277" spans="1:28" x14ac:dyDescent="0.15">
      <c r="A277" s="126"/>
      <c r="B277" s="126"/>
      <c r="C277" s="126"/>
      <c r="D277" s="127"/>
      <c r="E277" s="126"/>
      <c r="F277" s="126"/>
      <c r="G277" s="126"/>
      <c r="H277" s="126"/>
      <c r="AB277" s="126"/>
    </row>
    <row r="278" spans="1:28" x14ac:dyDescent="0.15">
      <c r="A278" s="126"/>
      <c r="B278" s="126"/>
      <c r="C278" s="126"/>
      <c r="D278" s="127"/>
      <c r="E278" s="126"/>
      <c r="F278" s="126"/>
      <c r="G278" s="126"/>
      <c r="H278" s="126"/>
      <c r="AB278" s="126"/>
    </row>
    <row r="279" spans="1:28" x14ac:dyDescent="0.15">
      <c r="A279" s="126"/>
      <c r="B279" s="126"/>
      <c r="C279" s="126"/>
      <c r="D279" s="127"/>
      <c r="E279" s="126"/>
      <c r="F279" s="126"/>
      <c r="G279" s="126"/>
      <c r="H279" s="126"/>
      <c r="AB279" s="126"/>
    </row>
    <row r="280" spans="1:28" x14ac:dyDescent="0.15">
      <c r="A280" s="126"/>
      <c r="B280" s="126"/>
      <c r="C280" s="126"/>
      <c r="D280" s="127"/>
      <c r="E280" s="126"/>
      <c r="F280" s="126"/>
      <c r="G280" s="126"/>
      <c r="H280" s="126"/>
      <c r="AB280" s="126"/>
    </row>
    <row r="281" spans="1:28" x14ac:dyDescent="0.15">
      <c r="A281" s="126"/>
      <c r="B281" s="126"/>
      <c r="C281" s="126"/>
      <c r="D281" s="127"/>
      <c r="E281" s="126"/>
      <c r="F281" s="126"/>
      <c r="G281" s="126"/>
      <c r="H281" s="126"/>
      <c r="AB281" s="126"/>
    </row>
    <row r="282" spans="1:28" x14ac:dyDescent="0.15">
      <c r="A282" s="126"/>
      <c r="B282" s="126"/>
      <c r="C282" s="126"/>
      <c r="D282" s="127"/>
      <c r="E282" s="126"/>
      <c r="F282" s="126"/>
      <c r="G282" s="126"/>
      <c r="H282" s="126"/>
      <c r="AB282" s="126"/>
    </row>
    <row r="283" spans="1:28" x14ac:dyDescent="0.15">
      <c r="A283" s="126"/>
      <c r="B283" s="126"/>
      <c r="C283" s="126"/>
      <c r="D283" s="127"/>
      <c r="E283" s="126"/>
      <c r="F283" s="126"/>
      <c r="G283" s="126"/>
      <c r="H283" s="126"/>
      <c r="AB283" s="126"/>
    </row>
    <row r="284" spans="1:28" x14ac:dyDescent="0.15">
      <c r="A284" s="126"/>
      <c r="B284" s="126"/>
      <c r="C284" s="126"/>
      <c r="D284" s="127"/>
      <c r="E284" s="126"/>
      <c r="F284" s="126"/>
      <c r="G284" s="126"/>
      <c r="H284" s="126"/>
      <c r="AB284" s="126"/>
    </row>
    <row r="285" spans="1:28" x14ac:dyDescent="0.15">
      <c r="A285" s="126"/>
      <c r="B285" s="126"/>
      <c r="C285" s="126"/>
      <c r="D285" s="127"/>
      <c r="E285" s="126"/>
      <c r="F285" s="126"/>
      <c r="G285" s="126"/>
      <c r="H285" s="126"/>
      <c r="AB285" s="126"/>
    </row>
    <row r="286" spans="1:28" x14ac:dyDescent="0.15">
      <c r="A286" s="126"/>
      <c r="B286" s="126"/>
      <c r="C286" s="126"/>
      <c r="D286" s="127"/>
      <c r="E286" s="126"/>
      <c r="F286" s="126"/>
      <c r="G286" s="126"/>
      <c r="H286" s="126"/>
      <c r="AB286" s="126"/>
    </row>
    <row r="287" spans="1:28" x14ac:dyDescent="0.15">
      <c r="A287" s="126"/>
      <c r="B287" s="126"/>
      <c r="C287" s="126"/>
      <c r="D287" s="127"/>
      <c r="E287" s="126"/>
      <c r="F287" s="126"/>
      <c r="G287" s="126"/>
      <c r="H287" s="126"/>
      <c r="AB287" s="126"/>
    </row>
    <row r="288" spans="1:28" x14ac:dyDescent="0.15">
      <c r="A288" s="126"/>
      <c r="B288" s="126"/>
      <c r="C288" s="126"/>
      <c r="D288" s="127"/>
      <c r="E288" s="126"/>
      <c r="F288" s="126"/>
      <c r="G288" s="126"/>
      <c r="H288" s="126"/>
      <c r="AB288" s="126"/>
    </row>
    <row r="289" spans="1:28" x14ac:dyDescent="0.15">
      <c r="A289" s="126"/>
      <c r="B289" s="126"/>
      <c r="C289" s="126"/>
      <c r="D289" s="127"/>
      <c r="E289" s="126"/>
      <c r="F289" s="126"/>
      <c r="G289" s="126"/>
      <c r="H289" s="126"/>
      <c r="AB289" s="126"/>
    </row>
    <row r="290" spans="1:28" x14ac:dyDescent="0.15">
      <c r="A290" s="126"/>
      <c r="B290" s="126"/>
      <c r="C290" s="126"/>
      <c r="D290" s="127"/>
      <c r="E290" s="126"/>
      <c r="F290" s="126"/>
      <c r="G290" s="126"/>
      <c r="H290" s="126"/>
      <c r="AB290" s="126"/>
    </row>
    <row r="291" spans="1:28" x14ac:dyDescent="0.15">
      <c r="A291" s="126"/>
      <c r="B291" s="126"/>
      <c r="C291" s="126"/>
      <c r="D291" s="127"/>
      <c r="E291" s="126"/>
      <c r="F291" s="126"/>
      <c r="G291" s="126"/>
      <c r="H291" s="126"/>
      <c r="AB291" s="126"/>
    </row>
    <row r="292" spans="1:28" x14ac:dyDescent="0.15">
      <c r="A292" s="126"/>
      <c r="B292" s="126"/>
      <c r="C292" s="126"/>
      <c r="D292" s="127"/>
      <c r="E292" s="126"/>
      <c r="F292" s="126"/>
      <c r="G292" s="126"/>
      <c r="H292" s="126"/>
      <c r="AB292" s="126"/>
    </row>
    <row r="293" spans="1:28" x14ac:dyDescent="0.15">
      <c r="A293" s="126"/>
      <c r="B293" s="126"/>
      <c r="C293" s="126"/>
      <c r="D293" s="127"/>
      <c r="E293" s="126"/>
      <c r="F293" s="126"/>
      <c r="G293" s="126"/>
      <c r="H293" s="126"/>
      <c r="AB293" s="126"/>
    </row>
    <row r="294" spans="1:28" x14ac:dyDescent="0.15">
      <c r="A294" s="126"/>
      <c r="B294" s="126"/>
      <c r="C294" s="126"/>
      <c r="D294" s="127"/>
      <c r="E294" s="126"/>
      <c r="F294" s="126"/>
      <c r="G294" s="126"/>
      <c r="H294" s="126"/>
      <c r="AB294" s="126"/>
    </row>
    <row r="295" spans="1:28" x14ac:dyDescent="0.15">
      <c r="A295" s="126"/>
      <c r="B295" s="126"/>
      <c r="C295" s="126"/>
      <c r="D295" s="127"/>
      <c r="E295" s="126"/>
      <c r="F295" s="126"/>
      <c r="G295" s="126"/>
      <c r="H295" s="126"/>
      <c r="AB295" s="126"/>
    </row>
    <row r="296" spans="1:28" x14ac:dyDescent="0.15">
      <c r="A296" s="126"/>
      <c r="B296" s="126"/>
      <c r="C296" s="126"/>
      <c r="D296" s="127"/>
      <c r="E296" s="126"/>
      <c r="F296" s="126"/>
      <c r="G296" s="126"/>
      <c r="H296" s="126"/>
      <c r="AB296" s="126"/>
    </row>
    <row r="297" spans="1:28" x14ac:dyDescent="0.15">
      <c r="A297" s="126"/>
      <c r="B297" s="126"/>
      <c r="C297" s="126"/>
      <c r="D297" s="127"/>
      <c r="E297" s="126"/>
      <c r="F297" s="126"/>
      <c r="G297" s="126"/>
      <c r="H297" s="126"/>
      <c r="AB297" s="126"/>
    </row>
    <row r="298" spans="1:28" x14ac:dyDescent="0.15">
      <c r="A298" s="126"/>
      <c r="B298" s="126"/>
      <c r="C298" s="126"/>
      <c r="D298" s="127"/>
      <c r="E298" s="126"/>
      <c r="F298" s="126"/>
      <c r="G298" s="126"/>
      <c r="H298" s="126"/>
      <c r="AB298" s="126"/>
    </row>
    <row r="299" spans="1:28" x14ac:dyDescent="0.15">
      <c r="A299" s="126"/>
      <c r="B299" s="126"/>
      <c r="C299" s="126"/>
      <c r="D299" s="127"/>
      <c r="E299" s="126"/>
      <c r="F299" s="126"/>
      <c r="G299" s="126"/>
      <c r="H299" s="126"/>
      <c r="AB299" s="126"/>
    </row>
    <row r="300" spans="1:28" x14ac:dyDescent="0.15">
      <c r="A300" s="126"/>
      <c r="B300" s="126"/>
      <c r="C300" s="126"/>
      <c r="D300" s="127"/>
      <c r="E300" s="126"/>
      <c r="F300" s="126"/>
      <c r="G300" s="126"/>
      <c r="H300" s="126"/>
      <c r="AB300" s="126"/>
    </row>
    <row r="301" spans="1:28" x14ac:dyDescent="0.15">
      <c r="A301" s="126"/>
      <c r="B301" s="126"/>
      <c r="C301" s="126"/>
      <c r="D301" s="127"/>
      <c r="E301" s="126"/>
      <c r="F301" s="126"/>
      <c r="G301" s="126"/>
      <c r="H301" s="126"/>
      <c r="AB301" s="126"/>
    </row>
    <row r="302" spans="1:28" x14ac:dyDescent="0.15">
      <c r="A302" s="126"/>
      <c r="B302" s="126"/>
      <c r="C302" s="126"/>
      <c r="D302" s="127"/>
      <c r="E302" s="126"/>
      <c r="F302" s="126"/>
      <c r="G302" s="126"/>
      <c r="H302" s="126"/>
      <c r="AB302" s="126"/>
    </row>
    <row r="303" spans="1:28" x14ac:dyDescent="0.15">
      <c r="A303" s="126"/>
      <c r="B303" s="126"/>
      <c r="C303" s="126"/>
      <c r="D303" s="127"/>
      <c r="E303" s="126"/>
      <c r="F303" s="126"/>
      <c r="G303" s="126"/>
      <c r="H303" s="126"/>
      <c r="AB303" s="126"/>
    </row>
    <row r="304" spans="1:28" x14ac:dyDescent="0.15">
      <c r="A304" s="126"/>
      <c r="B304" s="126"/>
      <c r="C304" s="126"/>
      <c r="D304" s="127"/>
      <c r="E304" s="126"/>
      <c r="F304" s="126"/>
      <c r="G304" s="126"/>
      <c r="H304" s="126"/>
      <c r="AB304" s="126"/>
    </row>
    <row r="305" spans="1:28" x14ac:dyDescent="0.15">
      <c r="A305" s="126"/>
      <c r="B305" s="126"/>
      <c r="C305" s="126"/>
      <c r="D305" s="127"/>
      <c r="E305" s="126"/>
      <c r="F305" s="126"/>
      <c r="G305" s="126"/>
      <c r="H305" s="126"/>
      <c r="AB305" s="126"/>
    </row>
    <row r="306" spans="1:28" x14ac:dyDescent="0.15">
      <c r="A306" s="126"/>
      <c r="B306" s="126"/>
      <c r="C306" s="126"/>
      <c r="D306" s="127"/>
      <c r="E306" s="126"/>
      <c r="F306" s="126"/>
      <c r="G306" s="126"/>
      <c r="H306" s="126"/>
      <c r="AB306" s="126"/>
    </row>
    <row r="307" spans="1:28" x14ac:dyDescent="0.15">
      <c r="A307" s="126"/>
      <c r="B307" s="126"/>
      <c r="C307" s="126"/>
      <c r="D307" s="127"/>
      <c r="E307" s="126"/>
      <c r="F307" s="126"/>
      <c r="G307" s="126"/>
      <c r="H307" s="126"/>
      <c r="AB307" s="126"/>
    </row>
    <row r="308" spans="1:28" x14ac:dyDescent="0.15">
      <c r="A308" s="126"/>
      <c r="B308" s="126"/>
      <c r="C308" s="126"/>
      <c r="D308" s="127"/>
      <c r="E308" s="126"/>
      <c r="F308" s="126"/>
      <c r="G308" s="126"/>
      <c r="H308" s="126"/>
      <c r="AB308" s="126"/>
    </row>
    <row r="309" spans="1:28" x14ac:dyDescent="0.15">
      <c r="A309" s="126"/>
      <c r="B309" s="126"/>
      <c r="C309" s="126"/>
      <c r="D309" s="127"/>
      <c r="E309" s="126"/>
      <c r="F309" s="126"/>
      <c r="G309" s="126"/>
      <c r="H309" s="126"/>
      <c r="AB309" s="126"/>
    </row>
    <row r="310" spans="1:28" x14ac:dyDescent="0.15">
      <c r="A310" s="126"/>
      <c r="B310" s="126"/>
      <c r="C310" s="126"/>
      <c r="D310" s="127"/>
      <c r="E310" s="126"/>
      <c r="F310" s="126"/>
      <c r="G310" s="126"/>
      <c r="H310" s="126"/>
      <c r="AB310" s="126"/>
    </row>
    <row r="311" spans="1:28" x14ac:dyDescent="0.15">
      <c r="A311" s="126"/>
      <c r="B311" s="126"/>
      <c r="C311" s="126"/>
      <c r="D311" s="127"/>
      <c r="E311" s="126"/>
      <c r="F311" s="126"/>
      <c r="G311" s="126"/>
      <c r="H311" s="126"/>
      <c r="AB311" s="126"/>
    </row>
    <row r="312" spans="1:28" x14ac:dyDescent="0.15">
      <c r="A312" s="126"/>
      <c r="B312" s="126"/>
      <c r="C312" s="126"/>
      <c r="D312" s="127"/>
      <c r="E312" s="126"/>
      <c r="F312" s="126"/>
      <c r="G312" s="126"/>
      <c r="H312" s="126"/>
      <c r="AB312" s="126"/>
    </row>
    <row r="313" spans="1:28" x14ac:dyDescent="0.15">
      <c r="A313" s="126"/>
      <c r="B313" s="126"/>
      <c r="C313" s="126"/>
      <c r="D313" s="127"/>
      <c r="E313" s="126"/>
      <c r="F313" s="126"/>
      <c r="G313" s="126"/>
      <c r="H313" s="126"/>
      <c r="AB313" s="126"/>
    </row>
    <row r="314" spans="1:28" x14ac:dyDescent="0.15">
      <c r="A314" s="126"/>
      <c r="B314" s="126"/>
      <c r="C314" s="126"/>
      <c r="D314" s="127"/>
      <c r="E314" s="126"/>
      <c r="F314" s="126"/>
      <c r="G314" s="126"/>
      <c r="H314" s="126"/>
      <c r="AB314" s="126"/>
    </row>
    <row r="315" spans="1:28" x14ac:dyDescent="0.15">
      <c r="A315" s="126"/>
      <c r="B315" s="126"/>
      <c r="C315" s="126"/>
      <c r="D315" s="127"/>
      <c r="E315" s="126"/>
      <c r="F315" s="126"/>
      <c r="G315" s="126"/>
      <c r="H315" s="126"/>
      <c r="AB315" s="126"/>
    </row>
    <row r="316" spans="1:28" x14ac:dyDescent="0.15">
      <c r="A316" s="126"/>
      <c r="B316" s="126"/>
      <c r="C316" s="126"/>
      <c r="D316" s="127"/>
      <c r="E316" s="126"/>
      <c r="F316" s="126"/>
      <c r="G316" s="126"/>
      <c r="H316" s="126"/>
      <c r="AB316" s="126"/>
    </row>
    <row r="317" spans="1:28" x14ac:dyDescent="0.15">
      <c r="A317" s="126"/>
      <c r="B317" s="126"/>
      <c r="C317" s="126"/>
      <c r="D317" s="127"/>
      <c r="E317" s="126"/>
      <c r="F317" s="126"/>
      <c r="G317" s="126"/>
      <c r="H317" s="126"/>
      <c r="AB317" s="126"/>
    </row>
    <row r="318" spans="1:28" x14ac:dyDescent="0.15">
      <c r="A318" s="126"/>
      <c r="B318" s="126"/>
      <c r="C318" s="126"/>
      <c r="D318" s="127"/>
      <c r="E318" s="126"/>
      <c r="F318" s="126"/>
      <c r="G318" s="126"/>
      <c r="H318" s="126"/>
      <c r="AB318" s="126"/>
    </row>
    <row r="319" spans="1:28" x14ac:dyDescent="0.15">
      <c r="A319" s="126"/>
      <c r="B319" s="126"/>
      <c r="C319" s="126"/>
      <c r="D319" s="127"/>
      <c r="E319" s="126"/>
      <c r="F319" s="126"/>
      <c r="G319" s="126"/>
      <c r="H319" s="126"/>
      <c r="AB319" s="126"/>
    </row>
    <row r="320" spans="1:28" x14ac:dyDescent="0.15">
      <c r="A320" s="126"/>
      <c r="B320" s="126"/>
      <c r="C320" s="126"/>
      <c r="D320" s="127"/>
      <c r="E320" s="126"/>
      <c r="F320" s="126"/>
      <c r="G320" s="126"/>
      <c r="H320" s="126"/>
      <c r="AB320" s="126"/>
    </row>
    <row r="321" spans="1:28" x14ac:dyDescent="0.15">
      <c r="A321" s="126"/>
      <c r="B321" s="126"/>
      <c r="C321" s="126"/>
      <c r="D321" s="127"/>
      <c r="E321" s="126"/>
      <c r="F321" s="126"/>
      <c r="G321" s="126"/>
      <c r="H321" s="126"/>
      <c r="AB321" s="126"/>
    </row>
    <row r="322" spans="1:28" x14ac:dyDescent="0.15">
      <c r="A322" s="126"/>
      <c r="B322" s="126"/>
      <c r="C322" s="126"/>
      <c r="D322" s="127"/>
      <c r="E322" s="126"/>
      <c r="F322" s="126"/>
      <c r="G322" s="126"/>
      <c r="H322" s="126"/>
      <c r="AB322" s="126"/>
    </row>
    <row r="323" spans="1:28" x14ac:dyDescent="0.15">
      <c r="A323" s="126"/>
      <c r="B323" s="126"/>
      <c r="C323" s="126"/>
      <c r="D323" s="127"/>
      <c r="E323" s="126"/>
      <c r="F323" s="126"/>
      <c r="G323" s="126"/>
      <c r="H323" s="126"/>
      <c r="AB323" s="126"/>
    </row>
    <row r="324" spans="1:28" x14ac:dyDescent="0.15">
      <c r="A324" s="126"/>
      <c r="B324" s="126"/>
      <c r="C324" s="126"/>
      <c r="D324" s="127"/>
      <c r="E324" s="126"/>
      <c r="F324" s="126"/>
      <c r="G324" s="126"/>
      <c r="H324" s="126"/>
      <c r="AB324" s="126"/>
    </row>
    <row r="325" spans="1:28" x14ac:dyDescent="0.15">
      <c r="A325" s="126"/>
      <c r="B325" s="126"/>
      <c r="C325" s="126"/>
      <c r="D325" s="127"/>
      <c r="E325" s="126"/>
      <c r="F325" s="126"/>
      <c r="G325" s="126"/>
      <c r="H325" s="126"/>
      <c r="AB325" s="126"/>
    </row>
    <row r="326" spans="1:28" x14ac:dyDescent="0.15">
      <c r="A326" s="126"/>
      <c r="B326" s="126"/>
      <c r="C326" s="126"/>
      <c r="D326" s="127"/>
      <c r="E326" s="126"/>
      <c r="F326" s="126"/>
      <c r="G326" s="126"/>
      <c r="H326" s="126"/>
      <c r="AB326" s="126"/>
    </row>
    <row r="327" spans="1:28" x14ac:dyDescent="0.15">
      <c r="A327" s="126"/>
      <c r="B327" s="126"/>
      <c r="C327" s="126"/>
      <c r="D327" s="127"/>
      <c r="E327" s="126"/>
      <c r="F327" s="126"/>
      <c r="G327" s="126"/>
      <c r="H327" s="126"/>
      <c r="AB327" s="126"/>
    </row>
    <row r="328" spans="1:28" x14ac:dyDescent="0.15">
      <c r="A328" s="126"/>
      <c r="B328" s="126"/>
      <c r="C328" s="126"/>
      <c r="D328" s="127"/>
      <c r="E328" s="126"/>
      <c r="F328" s="126"/>
      <c r="G328" s="126"/>
      <c r="H328" s="126"/>
      <c r="AB328" s="126"/>
    </row>
    <row r="329" spans="1:28" x14ac:dyDescent="0.15">
      <c r="A329" s="126"/>
      <c r="B329" s="126"/>
      <c r="C329" s="126"/>
      <c r="D329" s="127"/>
      <c r="E329" s="126"/>
      <c r="F329" s="126"/>
      <c r="G329" s="126"/>
      <c r="H329" s="126"/>
      <c r="AB329" s="126"/>
    </row>
    <row r="330" spans="1:28" x14ac:dyDescent="0.15">
      <c r="A330" s="126"/>
      <c r="B330" s="126"/>
      <c r="C330" s="126"/>
      <c r="D330" s="127"/>
      <c r="E330" s="126"/>
      <c r="F330" s="126"/>
      <c r="G330" s="126"/>
      <c r="H330" s="126"/>
      <c r="AB330" s="126"/>
    </row>
    <row r="331" spans="1:28" x14ac:dyDescent="0.15">
      <c r="A331" s="126"/>
      <c r="B331" s="126"/>
      <c r="C331" s="126"/>
      <c r="D331" s="127"/>
      <c r="E331" s="126"/>
      <c r="F331" s="126"/>
      <c r="G331" s="126"/>
      <c r="H331" s="126"/>
      <c r="AB331" s="126"/>
    </row>
    <row r="332" spans="1:28" x14ac:dyDescent="0.15">
      <c r="A332" s="126"/>
      <c r="B332" s="126"/>
      <c r="C332" s="126"/>
      <c r="D332" s="127"/>
      <c r="E332" s="126"/>
      <c r="F332" s="126"/>
      <c r="G332" s="126"/>
      <c r="H332" s="126"/>
      <c r="AB332" s="126"/>
    </row>
    <row r="333" spans="1:28" x14ac:dyDescent="0.15">
      <c r="A333" s="126"/>
      <c r="B333" s="126"/>
      <c r="C333" s="126"/>
      <c r="D333" s="127"/>
      <c r="E333" s="126"/>
      <c r="F333" s="126"/>
      <c r="G333" s="126"/>
      <c r="H333" s="126"/>
      <c r="AB333" s="126"/>
    </row>
    <row r="334" spans="1:28" x14ac:dyDescent="0.15">
      <c r="A334" s="126"/>
      <c r="B334" s="126"/>
      <c r="C334" s="126"/>
      <c r="D334" s="127"/>
      <c r="E334" s="126"/>
      <c r="F334" s="126"/>
      <c r="G334" s="126"/>
      <c r="H334" s="126"/>
      <c r="AB334" s="126"/>
    </row>
    <row r="335" spans="1:28" x14ac:dyDescent="0.15">
      <c r="A335" s="126"/>
      <c r="B335" s="126"/>
      <c r="C335" s="126"/>
      <c r="D335" s="127"/>
      <c r="E335" s="126"/>
      <c r="F335" s="126"/>
      <c r="G335" s="126"/>
      <c r="H335" s="126"/>
      <c r="AB335" s="126"/>
    </row>
    <row r="336" spans="1:28" x14ac:dyDescent="0.15">
      <c r="A336" s="126"/>
      <c r="B336" s="126"/>
      <c r="C336" s="126"/>
      <c r="D336" s="127"/>
      <c r="E336" s="126"/>
      <c r="F336" s="126"/>
      <c r="G336" s="126"/>
      <c r="H336" s="126"/>
      <c r="AB336" s="126"/>
    </row>
    <row r="337" spans="1:28" x14ac:dyDescent="0.15">
      <c r="A337" s="126"/>
      <c r="B337" s="126"/>
      <c r="C337" s="126"/>
      <c r="D337" s="127"/>
      <c r="E337" s="126"/>
      <c r="F337" s="126"/>
      <c r="G337" s="126"/>
      <c r="H337" s="126"/>
      <c r="AB337" s="126"/>
    </row>
    <row r="338" spans="1:28" x14ac:dyDescent="0.15">
      <c r="A338" s="126"/>
      <c r="B338" s="126"/>
      <c r="C338" s="126"/>
      <c r="D338" s="127"/>
      <c r="E338" s="126"/>
      <c r="F338" s="126"/>
      <c r="G338" s="126"/>
      <c r="H338" s="126"/>
      <c r="AB338" s="126"/>
    </row>
    <row r="339" spans="1:28" x14ac:dyDescent="0.15">
      <c r="A339" s="126"/>
      <c r="B339" s="126"/>
      <c r="C339" s="126"/>
      <c r="D339" s="127"/>
      <c r="E339" s="126"/>
      <c r="F339" s="126"/>
      <c r="G339" s="126"/>
      <c r="H339" s="126"/>
      <c r="AB339" s="126"/>
    </row>
    <row r="340" spans="1:28" x14ac:dyDescent="0.15">
      <c r="A340" s="126"/>
      <c r="B340" s="126"/>
      <c r="C340" s="126"/>
      <c r="D340" s="127"/>
      <c r="E340" s="126"/>
      <c r="F340" s="126"/>
      <c r="G340" s="126"/>
      <c r="H340" s="126"/>
      <c r="AB340" s="126"/>
    </row>
    <row r="341" spans="1:28" x14ac:dyDescent="0.15">
      <c r="A341" s="126"/>
      <c r="B341" s="126"/>
      <c r="C341" s="126"/>
      <c r="D341" s="127"/>
      <c r="E341" s="126"/>
      <c r="F341" s="126"/>
      <c r="G341" s="126"/>
      <c r="H341" s="126"/>
      <c r="AB341" s="126"/>
    </row>
    <row r="342" spans="1:28" x14ac:dyDescent="0.15">
      <c r="A342" s="126"/>
      <c r="B342" s="126"/>
      <c r="C342" s="126"/>
      <c r="D342" s="127"/>
      <c r="E342" s="126"/>
      <c r="F342" s="126"/>
      <c r="G342" s="126"/>
      <c r="H342" s="126"/>
      <c r="AB342" s="126"/>
    </row>
    <row r="343" spans="1:28" x14ac:dyDescent="0.15">
      <c r="A343" s="126"/>
      <c r="B343" s="126"/>
      <c r="C343" s="126"/>
      <c r="D343" s="127"/>
      <c r="E343" s="126"/>
      <c r="F343" s="126"/>
      <c r="G343" s="126"/>
      <c r="H343" s="126"/>
      <c r="AB343" s="126"/>
    </row>
    <row r="344" spans="1:28" x14ac:dyDescent="0.15">
      <c r="A344" s="126"/>
      <c r="B344" s="126"/>
      <c r="C344" s="126"/>
      <c r="D344" s="127"/>
      <c r="E344" s="126"/>
      <c r="F344" s="126"/>
      <c r="G344" s="126"/>
      <c r="H344" s="126"/>
      <c r="AB344" s="126"/>
    </row>
    <row r="345" spans="1:28" x14ac:dyDescent="0.15">
      <c r="A345" s="126"/>
      <c r="B345" s="126"/>
      <c r="C345" s="126"/>
      <c r="D345" s="127"/>
      <c r="E345" s="126"/>
      <c r="F345" s="126"/>
      <c r="G345" s="126"/>
      <c r="H345" s="126"/>
      <c r="AB345" s="126"/>
    </row>
    <row r="346" spans="1:28" x14ac:dyDescent="0.15">
      <c r="A346" s="126"/>
      <c r="B346" s="126"/>
      <c r="C346" s="126"/>
      <c r="D346" s="127"/>
      <c r="E346" s="126"/>
      <c r="F346" s="126"/>
      <c r="G346" s="126"/>
      <c r="H346" s="126"/>
      <c r="AB346" s="126"/>
    </row>
    <row r="347" spans="1:28" x14ac:dyDescent="0.15">
      <c r="A347" s="126"/>
      <c r="B347" s="126"/>
      <c r="C347" s="126"/>
      <c r="D347" s="127"/>
      <c r="E347" s="126"/>
      <c r="F347" s="126"/>
      <c r="G347" s="126"/>
      <c r="H347" s="126"/>
      <c r="AB347" s="126"/>
    </row>
    <row r="348" spans="1:28" x14ac:dyDescent="0.15">
      <c r="A348" s="126"/>
      <c r="B348" s="126"/>
      <c r="C348" s="126"/>
      <c r="D348" s="127"/>
      <c r="E348" s="126"/>
      <c r="F348" s="126"/>
      <c r="G348" s="126"/>
      <c r="H348" s="126"/>
      <c r="AB348" s="126"/>
    </row>
    <row r="349" spans="1:28" x14ac:dyDescent="0.15">
      <c r="A349" s="126"/>
      <c r="B349" s="126"/>
      <c r="C349" s="126"/>
      <c r="D349" s="127"/>
      <c r="E349" s="126"/>
      <c r="F349" s="126"/>
      <c r="G349" s="126"/>
      <c r="H349" s="126"/>
      <c r="AB349" s="126"/>
    </row>
    <row r="350" spans="1:28" x14ac:dyDescent="0.15">
      <c r="A350" s="126"/>
      <c r="B350" s="126"/>
      <c r="C350" s="126"/>
      <c r="D350" s="127"/>
      <c r="E350" s="126"/>
      <c r="F350" s="126"/>
      <c r="G350" s="126"/>
      <c r="H350" s="126"/>
      <c r="AB350" s="126"/>
    </row>
    <row r="351" spans="1:28" x14ac:dyDescent="0.15">
      <c r="A351" s="126"/>
      <c r="B351" s="126"/>
      <c r="C351" s="126"/>
      <c r="D351" s="127"/>
      <c r="E351" s="126"/>
      <c r="F351" s="126"/>
      <c r="G351" s="126"/>
      <c r="H351" s="126"/>
      <c r="AB351" s="126"/>
    </row>
    <row r="352" spans="1:28" x14ac:dyDescent="0.15">
      <c r="A352" s="126"/>
      <c r="B352" s="126"/>
      <c r="C352" s="126"/>
      <c r="D352" s="127"/>
      <c r="E352" s="126"/>
      <c r="F352" s="126"/>
      <c r="G352" s="126"/>
      <c r="H352" s="126"/>
      <c r="AB352" s="126"/>
    </row>
    <row r="353" spans="1:28" x14ac:dyDescent="0.15">
      <c r="A353" s="126"/>
      <c r="B353" s="126"/>
      <c r="C353" s="126"/>
      <c r="D353" s="127"/>
      <c r="E353" s="126"/>
      <c r="F353" s="126"/>
      <c r="G353" s="126"/>
      <c r="H353" s="126"/>
      <c r="AB353" s="126"/>
    </row>
    <row r="354" spans="1:28" x14ac:dyDescent="0.15">
      <c r="A354" s="126"/>
      <c r="B354" s="126"/>
      <c r="C354" s="126"/>
      <c r="D354" s="127"/>
      <c r="E354" s="126"/>
      <c r="F354" s="126"/>
      <c r="G354" s="126"/>
      <c r="H354" s="126"/>
      <c r="AB354" s="126"/>
    </row>
    <row r="355" spans="1:28" x14ac:dyDescent="0.15">
      <c r="A355" s="126"/>
      <c r="B355" s="126"/>
      <c r="C355" s="126"/>
      <c r="D355" s="127"/>
      <c r="E355" s="126"/>
      <c r="F355" s="126"/>
      <c r="G355" s="126"/>
      <c r="H355" s="126"/>
      <c r="AB355" s="126"/>
    </row>
    <row r="356" spans="1:28" x14ac:dyDescent="0.15">
      <c r="A356" s="126"/>
      <c r="B356" s="126"/>
      <c r="C356" s="126"/>
      <c r="D356" s="127"/>
      <c r="E356" s="126"/>
      <c r="F356" s="126"/>
      <c r="G356" s="126"/>
      <c r="H356" s="126"/>
      <c r="AB356" s="126"/>
    </row>
    <row r="357" spans="1:28" x14ac:dyDescent="0.15">
      <c r="A357" s="126"/>
      <c r="B357" s="126"/>
      <c r="C357" s="126"/>
      <c r="D357" s="127"/>
      <c r="E357" s="126"/>
      <c r="F357" s="126"/>
      <c r="G357" s="126"/>
      <c r="H357" s="126"/>
      <c r="AB357" s="126"/>
    </row>
    <row r="358" spans="1:28" x14ac:dyDescent="0.15">
      <c r="A358" s="126"/>
      <c r="B358" s="126"/>
      <c r="C358" s="126"/>
      <c r="D358" s="127"/>
      <c r="E358" s="126"/>
      <c r="F358" s="126"/>
      <c r="G358" s="126"/>
      <c r="H358" s="126"/>
      <c r="AB358" s="126"/>
    </row>
    <row r="359" spans="1:28" x14ac:dyDescent="0.15">
      <c r="A359" s="126"/>
      <c r="B359" s="126"/>
      <c r="C359" s="126"/>
      <c r="D359" s="127"/>
      <c r="E359" s="126"/>
      <c r="F359" s="126"/>
      <c r="G359" s="126"/>
      <c r="H359" s="126"/>
      <c r="AB359" s="126"/>
    </row>
    <row r="360" spans="1:28" x14ac:dyDescent="0.15">
      <c r="A360" s="126"/>
      <c r="B360" s="126"/>
      <c r="C360" s="126"/>
      <c r="D360" s="127"/>
      <c r="E360" s="126"/>
      <c r="F360" s="126"/>
      <c r="G360" s="126"/>
      <c r="H360" s="126"/>
      <c r="AB360" s="126"/>
    </row>
    <row r="361" spans="1:28" x14ac:dyDescent="0.15">
      <c r="A361" s="126"/>
      <c r="B361" s="126"/>
      <c r="C361" s="126"/>
      <c r="D361" s="127"/>
      <c r="E361" s="126"/>
      <c r="F361" s="126"/>
      <c r="G361" s="126"/>
      <c r="H361" s="126"/>
      <c r="AB361" s="126"/>
    </row>
    <row r="362" spans="1:28" x14ac:dyDescent="0.15">
      <c r="A362" s="126"/>
      <c r="B362" s="126"/>
      <c r="C362" s="126"/>
      <c r="D362" s="127"/>
      <c r="E362" s="126"/>
      <c r="F362" s="126"/>
      <c r="G362" s="126"/>
      <c r="H362" s="126"/>
      <c r="AB362" s="126"/>
    </row>
    <row r="363" spans="1:28" x14ac:dyDescent="0.15">
      <c r="A363" s="126"/>
      <c r="B363" s="126"/>
      <c r="C363" s="126"/>
      <c r="D363" s="127"/>
      <c r="E363" s="126"/>
      <c r="F363" s="126"/>
      <c r="G363" s="126"/>
      <c r="H363" s="126"/>
      <c r="AB363" s="126"/>
    </row>
    <row r="364" spans="1:28" x14ac:dyDescent="0.15">
      <c r="A364" s="126"/>
      <c r="B364" s="126"/>
      <c r="C364" s="126"/>
      <c r="D364" s="127"/>
      <c r="E364" s="126"/>
      <c r="F364" s="126"/>
      <c r="G364" s="126"/>
      <c r="H364" s="126"/>
      <c r="AB364" s="126"/>
    </row>
    <row r="365" spans="1:28" x14ac:dyDescent="0.15">
      <c r="A365" s="126"/>
      <c r="B365" s="126"/>
      <c r="C365" s="126"/>
      <c r="D365" s="127"/>
      <c r="E365" s="126"/>
      <c r="F365" s="126"/>
      <c r="G365" s="126"/>
      <c r="H365" s="126"/>
      <c r="AB365" s="126"/>
    </row>
    <row r="366" spans="1:28" x14ac:dyDescent="0.15">
      <c r="A366" s="126"/>
      <c r="B366" s="126"/>
      <c r="C366" s="126"/>
      <c r="D366" s="127"/>
      <c r="E366" s="126"/>
      <c r="F366" s="126"/>
      <c r="G366" s="126"/>
      <c r="H366" s="126"/>
      <c r="AB366" s="126"/>
    </row>
    <row r="367" spans="1:28" x14ac:dyDescent="0.15">
      <c r="A367" s="126"/>
      <c r="B367" s="126"/>
      <c r="C367" s="126"/>
      <c r="D367" s="127"/>
      <c r="E367" s="126"/>
      <c r="F367" s="126"/>
      <c r="G367" s="126"/>
      <c r="H367" s="126"/>
      <c r="AB367" s="126"/>
    </row>
    <row r="368" spans="1:28" x14ac:dyDescent="0.15">
      <c r="A368" s="126"/>
      <c r="B368" s="126"/>
      <c r="C368" s="126"/>
      <c r="D368" s="127"/>
      <c r="E368" s="126"/>
      <c r="F368" s="126"/>
      <c r="G368" s="126"/>
      <c r="H368" s="126"/>
      <c r="AB368" s="126"/>
    </row>
    <row r="369" spans="1:28" x14ac:dyDescent="0.15">
      <c r="A369" s="126"/>
      <c r="B369" s="126"/>
      <c r="C369" s="126"/>
      <c r="D369" s="127"/>
      <c r="E369" s="126"/>
      <c r="F369" s="126"/>
      <c r="G369" s="126"/>
      <c r="H369" s="126"/>
      <c r="AB369" s="126"/>
    </row>
    <row r="370" spans="1:28" x14ac:dyDescent="0.15">
      <c r="A370" s="126"/>
      <c r="B370" s="126"/>
      <c r="C370" s="126"/>
      <c r="D370" s="127"/>
      <c r="E370" s="126"/>
      <c r="F370" s="126"/>
      <c r="G370" s="126"/>
      <c r="H370" s="126"/>
      <c r="AB370" s="126"/>
    </row>
    <row r="371" spans="1:28" x14ac:dyDescent="0.15">
      <c r="A371" s="126"/>
      <c r="B371" s="126"/>
      <c r="C371" s="126"/>
      <c r="D371" s="127"/>
      <c r="E371" s="126"/>
      <c r="F371" s="126"/>
      <c r="G371" s="126"/>
      <c r="H371" s="126"/>
      <c r="AB371" s="126"/>
    </row>
    <row r="372" spans="1:28" x14ac:dyDescent="0.15">
      <c r="A372" s="126"/>
      <c r="B372" s="126"/>
      <c r="C372" s="126"/>
      <c r="D372" s="127"/>
      <c r="E372" s="126"/>
      <c r="F372" s="126"/>
      <c r="G372" s="126"/>
      <c r="H372" s="126"/>
      <c r="AB372" s="126"/>
    </row>
    <row r="373" spans="1:28" x14ac:dyDescent="0.15">
      <c r="A373" s="126"/>
      <c r="B373" s="126"/>
      <c r="C373" s="126"/>
      <c r="D373" s="127"/>
      <c r="E373" s="126"/>
      <c r="F373" s="126"/>
      <c r="G373" s="126"/>
      <c r="H373" s="126"/>
      <c r="AB373" s="126"/>
    </row>
    <row r="374" spans="1:28" x14ac:dyDescent="0.15">
      <c r="A374" s="126"/>
      <c r="B374" s="126"/>
      <c r="C374" s="126"/>
      <c r="D374" s="127"/>
      <c r="E374" s="126"/>
      <c r="F374" s="126"/>
      <c r="G374" s="126"/>
      <c r="H374" s="126"/>
      <c r="AB374" s="126"/>
    </row>
    <row r="375" spans="1:28" x14ac:dyDescent="0.15">
      <c r="A375" s="126"/>
      <c r="B375" s="126"/>
      <c r="C375" s="126"/>
      <c r="D375" s="127"/>
      <c r="E375" s="126"/>
      <c r="F375" s="126"/>
      <c r="G375" s="126"/>
      <c r="H375" s="126"/>
      <c r="AB375" s="126"/>
    </row>
    <row r="376" spans="1:28" x14ac:dyDescent="0.15">
      <c r="A376" s="126"/>
      <c r="B376" s="126"/>
      <c r="C376" s="126"/>
      <c r="D376" s="127"/>
      <c r="E376" s="126"/>
      <c r="F376" s="126"/>
      <c r="G376" s="126"/>
      <c r="H376" s="126"/>
      <c r="AB376" s="126"/>
    </row>
    <row r="377" spans="1:28" x14ac:dyDescent="0.15">
      <c r="A377" s="126"/>
      <c r="B377" s="126"/>
      <c r="C377" s="126"/>
      <c r="D377" s="127"/>
      <c r="E377" s="126"/>
      <c r="F377" s="126"/>
      <c r="G377" s="126"/>
      <c r="H377" s="126"/>
      <c r="AB377" s="126"/>
    </row>
    <row r="378" spans="1:28" x14ac:dyDescent="0.15">
      <c r="A378" s="126"/>
      <c r="B378" s="126"/>
      <c r="C378" s="126"/>
      <c r="D378" s="127"/>
      <c r="E378" s="126"/>
      <c r="F378" s="126"/>
      <c r="G378" s="126"/>
      <c r="H378" s="126"/>
      <c r="AB378" s="126"/>
    </row>
    <row r="379" spans="1:28" x14ac:dyDescent="0.15">
      <c r="A379" s="126"/>
      <c r="B379" s="126"/>
      <c r="C379" s="126"/>
      <c r="D379" s="127"/>
      <c r="E379" s="126"/>
      <c r="F379" s="126"/>
      <c r="G379" s="126"/>
      <c r="H379" s="126"/>
      <c r="AB379" s="126"/>
    </row>
    <row r="380" spans="1:28" x14ac:dyDescent="0.15">
      <c r="A380" s="126"/>
      <c r="B380" s="126"/>
      <c r="C380" s="126"/>
      <c r="D380" s="127"/>
      <c r="E380" s="126"/>
      <c r="F380" s="126"/>
      <c r="G380" s="126"/>
      <c r="H380" s="126"/>
      <c r="AB380" s="126"/>
    </row>
    <row r="381" spans="1:28" x14ac:dyDescent="0.15">
      <c r="A381" s="126"/>
      <c r="B381" s="126"/>
      <c r="C381" s="126"/>
      <c r="D381" s="127"/>
      <c r="E381" s="126"/>
      <c r="F381" s="126"/>
      <c r="G381" s="126"/>
      <c r="H381" s="126"/>
      <c r="AB381" s="126"/>
    </row>
    <row r="382" spans="1:28" x14ac:dyDescent="0.15">
      <c r="A382" s="126"/>
      <c r="B382" s="126"/>
      <c r="C382" s="126"/>
      <c r="D382" s="127"/>
      <c r="E382" s="126"/>
      <c r="F382" s="126"/>
      <c r="G382" s="126"/>
      <c r="H382" s="126"/>
      <c r="AB382" s="126"/>
    </row>
    <row r="383" spans="1:28" x14ac:dyDescent="0.15">
      <c r="A383" s="126"/>
      <c r="B383" s="126"/>
      <c r="C383" s="126"/>
      <c r="D383" s="127"/>
      <c r="E383" s="126"/>
      <c r="F383" s="126"/>
      <c r="G383" s="126"/>
      <c r="H383" s="126"/>
      <c r="AB383" s="126"/>
    </row>
    <row r="384" spans="1:28" x14ac:dyDescent="0.15">
      <c r="A384" s="126"/>
      <c r="B384" s="126"/>
      <c r="C384" s="126"/>
      <c r="D384" s="127"/>
      <c r="E384" s="126"/>
      <c r="F384" s="126"/>
      <c r="G384" s="126"/>
      <c r="H384" s="126"/>
      <c r="AB384" s="126"/>
    </row>
    <row r="385" spans="1:28" x14ac:dyDescent="0.15">
      <c r="A385" s="126"/>
      <c r="B385" s="126"/>
      <c r="C385" s="126"/>
      <c r="D385" s="127"/>
      <c r="E385" s="126"/>
      <c r="F385" s="126"/>
      <c r="G385" s="126"/>
      <c r="H385" s="126"/>
      <c r="AB385" s="126"/>
    </row>
    <row r="386" spans="1:28" x14ac:dyDescent="0.15">
      <c r="A386" s="126"/>
      <c r="B386" s="126"/>
      <c r="C386" s="126"/>
      <c r="D386" s="127"/>
      <c r="E386" s="126"/>
      <c r="F386" s="126"/>
      <c r="G386" s="126"/>
      <c r="H386" s="126"/>
      <c r="AB386" s="126"/>
    </row>
    <row r="387" spans="1:28" x14ac:dyDescent="0.15">
      <c r="A387" s="126"/>
      <c r="B387" s="126"/>
      <c r="C387" s="126"/>
      <c r="D387" s="127"/>
      <c r="E387" s="126"/>
      <c r="F387" s="126"/>
      <c r="G387" s="126"/>
      <c r="H387" s="126"/>
      <c r="AB387" s="126"/>
    </row>
    <row r="388" spans="1:28" x14ac:dyDescent="0.15">
      <c r="A388" s="126"/>
      <c r="B388" s="126"/>
      <c r="C388" s="126"/>
      <c r="D388" s="127"/>
      <c r="E388" s="126"/>
      <c r="F388" s="126"/>
      <c r="G388" s="126"/>
      <c r="H388" s="126"/>
      <c r="AB388" s="126"/>
    </row>
    <row r="389" spans="1:28" x14ac:dyDescent="0.15">
      <c r="A389" s="126"/>
      <c r="B389" s="126"/>
      <c r="C389" s="126"/>
      <c r="D389" s="127"/>
      <c r="E389" s="126"/>
      <c r="F389" s="126"/>
      <c r="G389" s="126"/>
      <c r="H389" s="126"/>
      <c r="AB389" s="126"/>
    </row>
    <row r="390" spans="1:28" x14ac:dyDescent="0.15">
      <c r="A390" s="126"/>
      <c r="B390" s="126"/>
      <c r="C390" s="126"/>
      <c r="D390" s="127"/>
      <c r="E390" s="126"/>
      <c r="F390" s="126"/>
      <c r="G390" s="126"/>
      <c r="H390" s="126"/>
      <c r="AB390" s="126"/>
    </row>
    <row r="391" spans="1:28" x14ac:dyDescent="0.15">
      <c r="A391" s="126"/>
      <c r="B391" s="126"/>
      <c r="C391" s="126"/>
      <c r="D391" s="127"/>
      <c r="E391" s="126"/>
      <c r="F391" s="126"/>
      <c r="G391" s="126"/>
      <c r="H391" s="126"/>
      <c r="AB391" s="126"/>
    </row>
    <row r="392" spans="1:28" x14ac:dyDescent="0.15">
      <c r="A392" s="126"/>
      <c r="B392" s="126"/>
      <c r="C392" s="126"/>
      <c r="D392" s="127"/>
      <c r="E392" s="126"/>
      <c r="F392" s="126"/>
      <c r="G392" s="126"/>
      <c r="H392" s="126"/>
      <c r="AB392" s="126"/>
    </row>
    <row r="393" spans="1:28" x14ac:dyDescent="0.15">
      <c r="A393" s="126"/>
      <c r="B393" s="126"/>
      <c r="C393" s="126"/>
      <c r="D393" s="127"/>
      <c r="E393" s="126"/>
      <c r="F393" s="126"/>
      <c r="G393" s="126"/>
      <c r="H393" s="126"/>
      <c r="AB393" s="126"/>
    </row>
    <row r="394" spans="1:28" x14ac:dyDescent="0.15">
      <c r="A394" s="126"/>
      <c r="B394" s="126"/>
      <c r="C394" s="126"/>
      <c r="D394" s="127"/>
      <c r="E394" s="126"/>
      <c r="F394" s="126"/>
      <c r="G394" s="126"/>
      <c r="H394" s="126"/>
      <c r="AB394" s="126"/>
    </row>
    <row r="395" spans="1:28" x14ac:dyDescent="0.15">
      <c r="A395" s="126"/>
      <c r="B395" s="126"/>
      <c r="C395" s="126"/>
      <c r="D395" s="127"/>
      <c r="E395" s="126"/>
      <c r="F395" s="126"/>
      <c r="G395" s="126"/>
      <c r="H395" s="126"/>
      <c r="AB395" s="126"/>
    </row>
    <row r="396" spans="1:28" x14ac:dyDescent="0.15">
      <c r="A396" s="126"/>
      <c r="B396" s="126"/>
      <c r="C396" s="126"/>
      <c r="D396" s="127"/>
      <c r="E396" s="126"/>
      <c r="F396" s="126"/>
      <c r="G396" s="126"/>
      <c r="H396" s="126"/>
      <c r="AB396" s="126"/>
    </row>
    <row r="397" spans="1:28" x14ac:dyDescent="0.15">
      <c r="A397" s="126"/>
      <c r="B397" s="126"/>
      <c r="C397" s="126"/>
      <c r="D397" s="127"/>
      <c r="E397" s="126"/>
      <c r="F397" s="126"/>
      <c r="G397" s="126"/>
      <c r="H397" s="126"/>
      <c r="AB397" s="126"/>
    </row>
    <row r="398" spans="1:28" x14ac:dyDescent="0.15">
      <c r="A398" s="126"/>
      <c r="B398" s="126"/>
      <c r="C398" s="126"/>
      <c r="D398" s="127"/>
      <c r="E398" s="126"/>
      <c r="F398" s="126"/>
      <c r="G398" s="126"/>
      <c r="H398" s="126"/>
      <c r="AB398" s="126"/>
    </row>
    <row r="399" spans="1:28" x14ac:dyDescent="0.15">
      <c r="A399" s="126"/>
      <c r="B399" s="126"/>
      <c r="C399" s="126"/>
      <c r="D399" s="127"/>
      <c r="E399" s="126"/>
      <c r="F399" s="126"/>
      <c r="G399" s="126"/>
      <c r="H399" s="126"/>
      <c r="AB399" s="126"/>
    </row>
    <row r="400" spans="1:28" x14ac:dyDescent="0.15">
      <c r="A400" s="126"/>
      <c r="B400" s="126"/>
      <c r="C400" s="126"/>
      <c r="D400" s="127"/>
      <c r="E400" s="126"/>
      <c r="F400" s="126"/>
      <c r="G400" s="126"/>
      <c r="H400" s="126"/>
      <c r="AB400" s="126"/>
    </row>
    <row r="401" spans="1:28" x14ac:dyDescent="0.15">
      <c r="A401" s="126"/>
      <c r="B401" s="126"/>
      <c r="C401" s="126"/>
      <c r="D401" s="127"/>
      <c r="E401" s="126"/>
      <c r="F401" s="126"/>
      <c r="G401" s="126"/>
      <c r="H401" s="126"/>
      <c r="AB401" s="126"/>
    </row>
    <row r="402" spans="1:28" x14ac:dyDescent="0.15">
      <c r="A402" s="126"/>
      <c r="B402" s="126"/>
      <c r="C402" s="126"/>
      <c r="D402" s="127"/>
      <c r="E402" s="126"/>
      <c r="F402" s="126"/>
      <c r="G402" s="126"/>
      <c r="H402" s="126"/>
      <c r="AB402" s="126"/>
    </row>
    <row r="403" spans="1:28" x14ac:dyDescent="0.15">
      <c r="A403" s="126"/>
      <c r="B403" s="126"/>
      <c r="C403" s="126"/>
      <c r="D403" s="127"/>
      <c r="E403" s="126"/>
      <c r="F403" s="126"/>
      <c r="G403" s="126"/>
      <c r="H403" s="126"/>
      <c r="AB403" s="126"/>
    </row>
    <row r="404" spans="1:28" x14ac:dyDescent="0.15">
      <c r="A404" s="126"/>
      <c r="B404" s="126"/>
      <c r="C404" s="126"/>
      <c r="D404" s="127"/>
      <c r="E404" s="126"/>
      <c r="F404" s="126"/>
      <c r="G404" s="126"/>
      <c r="H404" s="126"/>
      <c r="AB404" s="126"/>
    </row>
    <row r="405" spans="1:28" x14ac:dyDescent="0.15">
      <c r="A405" s="126"/>
      <c r="B405" s="126"/>
      <c r="C405" s="126"/>
      <c r="D405" s="127"/>
      <c r="E405" s="126"/>
      <c r="F405" s="126"/>
      <c r="G405" s="126"/>
      <c r="H405" s="126"/>
      <c r="AB405" s="126"/>
    </row>
    <row r="406" spans="1:28" x14ac:dyDescent="0.15">
      <c r="A406" s="126"/>
      <c r="B406" s="126"/>
      <c r="C406" s="126"/>
      <c r="D406" s="127"/>
      <c r="E406" s="126"/>
      <c r="F406" s="126"/>
      <c r="G406" s="126"/>
      <c r="H406" s="126"/>
      <c r="AB406" s="126"/>
    </row>
    <row r="407" spans="1:28" x14ac:dyDescent="0.15">
      <c r="A407" s="126"/>
      <c r="B407" s="126"/>
      <c r="C407" s="126"/>
      <c r="D407" s="127"/>
      <c r="E407" s="126"/>
      <c r="F407" s="126"/>
      <c r="G407" s="126"/>
      <c r="H407" s="126"/>
      <c r="AB407" s="126"/>
    </row>
    <row r="408" spans="1:28" x14ac:dyDescent="0.15">
      <c r="A408" s="126"/>
      <c r="B408" s="126"/>
      <c r="C408" s="126"/>
      <c r="D408" s="127"/>
      <c r="E408" s="126"/>
      <c r="F408" s="126"/>
      <c r="G408" s="126"/>
      <c r="H408" s="126"/>
      <c r="AB408" s="126"/>
    </row>
    <row r="409" spans="1:28" x14ac:dyDescent="0.15">
      <c r="A409" s="126"/>
      <c r="B409" s="126"/>
      <c r="C409" s="126"/>
      <c r="D409" s="127"/>
      <c r="E409" s="126"/>
      <c r="F409" s="126"/>
      <c r="G409" s="126"/>
      <c r="H409" s="126"/>
      <c r="AB409" s="126"/>
    </row>
    <row r="410" spans="1:28" x14ac:dyDescent="0.15">
      <c r="A410" s="126"/>
      <c r="B410" s="126"/>
      <c r="C410" s="126"/>
      <c r="D410" s="127"/>
      <c r="E410" s="126"/>
      <c r="F410" s="126"/>
      <c r="G410" s="126"/>
      <c r="H410" s="126"/>
      <c r="AB410" s="126"/>
    </row>
    <row r="411" spans="1:28" x14ac:dyDescent="0.15">
      <c r="A411" s="126"/>
      <c r="B411" s="126"/>
      <c r="C411" s="126"/>
      <c r="D411" s="127"/>
      <c r="E411" s="126"/>
      <c r="F411" s="126"/>
      <c r="G411" s="126"/>
      <c r="H411" s="126"/>
      <c r="AB411" s="126"/>
    </row>
    <row r="412" spans="1:28" x14ac:dyDescent="0.15">
      <c r="A412" s="126"/>
      <c r="B412" s="126"/>
      <c r="C412" s="126"/>
      <c r="D412" s="127"/>
      <c r="E412" s="126"/>
      <c r="F412" s="126"/>
      <c r="G412" s="126"/>
      <c r="H412" s="126"/>
      <c r="AB412" s="126"/>
    </row>
    <row r="413" spans="1:28" x14ac:dyDescent="0.15">
      <c r="A413" s="126"/>
      <c r="B413" s="126"/>
      <c r="C413" s="126"/>
      <c r="D413" s="127"/>
      <c r="E413" s="126"/>
      <c r="F413" s="126"/>
      <c r="G413" s="126"/>
      <c r="H413" s="126"/>
      <c r="AB413" s="126"/>
    </row>
    <row r="414" spans="1:28" x14ac:dyDescent="0.15">
      <c r="A414" s="126"/>
      <c r="B414" s="126"/>
      <c r="C414" s="126"/>
      <c r="D414" s="127"/>
      <c r="E414" s="126"/>
      <c r="F414" s="126"/>
      <c r="G414" s="126"/>
      <c r="H414" s="126"/>
      <c r="AB414" s="126"/>
    </row>
    <row r="415" spans="1:28" x14ac:dyDescent="0.15">
      <c r="A415" s="126"/>
      <c r="B415" s="126"/>
      <c r="C415" s="126"/>
      <c r="D415" s="127"/>
      <c r="E415" s="126"/>
      <c r="F415" s="126"/>
      <c r="G415" s="126"/>
      <c r="H415" s="126"/>
      <c r="AB415" s="126"/>
    </row>
    <row r="416" spans="1:28" x14ac:dyDescent="0.15">
      <c r="A416" s="126"/>
      <c r="B416" s="126"/>
      <c r="C416" s="126"/>
      <c r="D416" s="127"/>
      <c r="E416" s="126"/>
      <c r="F416" s="126"/>
      <c r="G416" s="126"/>
      <c r="H416" s="126"/>
      <c r="AB416" s="126"/>
    </row>
    <row r="417" spans="1:28" x14ac:dyDescent="0.15">
      <c r="A417" s="126"/>
      <c r="B417" s="126"/>
      <c r="C417" s="126"/>
      <c r="D417" s="127"/>
      <c r="E417" s="126"/>
      <c r="F417" s="126"/>
      <c r="G417" s="126"/>
      <c r="H417" s="126"/>
      <c r="AB417" s="126"/>
    </row>
    <row r="418" spans="1:28" x14ac:dyDescent="0.15">
      <c r="A418" s="126"/>
      <c r="B418" s="126"/>
      <c r="C418" s="126"/>
      <c r="D418" s="127"/>
      <c r="E418" s="126"/>
      <c r="F418" s="126"/>
      <c r="G418" s="126"/>
      <c r="H418" s="126"/>
      <c r="AB418" s="126"/>
    </row>
    <row r="419" spans="1:28" x14ac:dyDescent="0.15">
      <c r="A419" s="126"/>
      <c r="B419" s="126"/>
      <c r="C419" s="126"/>
      <c r="D419" s="127"/>
      <c r="E419" s="126"/>
      <c r="F419" s="126"/>
      <c r="G419" s="126"/>
      <c r="H419" s="126"/>
      <c r="AB419" s="126"/>
    </row>
    <row r="420" spans="1:28" x14ac:dyDescent="0.15">
      <c r="A420" s="126"/>
      <c r="B420" s="126"/>
      <c r="C420" s="126"/>
      <c r="D420" s="127"/>
      <c r="E420" s="126"/>
      <c r="F420" s="126"/>
      <c r="G420" s="126"/>
      <c r="H420" s="126"/>
      <c r="AB420" s="126"/>
    </row>
    <row r="421" spans="1:28" x14ac:dyDescent="0.15">
      <c r="A421" s="126"/>
      <c r="B421" s="126"/>
      <c r="C421" s="126"/>
      <c r="D421" s="127"/>
      <c r="E421" s="126"/>
      <c r="F421" s="126"/>
      <c r="G421" s="126"/>
      <c r="H421" s="126"/>
      <c r="AB421" s="126"/>
    </row>
    <row r="422" spans="1:28" x14ac:dyDescent="0.15">
      <c r="A422" s="126"/>
      <c r="B422" s="126"/>
      <c r="C422" s="126"/>
      <c r="D422" s="127"/>
      <c r="E422" s="126"/>
      <c r="F422" s="126"/>
      <c r="G422" s="126"/>
      <c r="H422" s="126"/>
      <c r="AB422" s="126"/>
    </row>
    <row r="423" spans="1:28" x14ac:dyDescent="0.15">
      <c r="A423" s="126"/>
      <c r="B423" s="126"/>
      <c r="C423" s="126"/>
      <c r="D423" s="127"/>
      <c r="E423" s="126"/>
      <c r="F423" s="126"/>
      <c r="G423" s="126"/>
      <c r="H423" s="126"/>
      <c r="AB423" s="126"/>
    </row>
    <row r="424" spans="1:28" x14ac:dyDescent="0.15">
      <c r="A424" s="126"/>
      <c r="B424" s="126"/>
      <c r="C424" s="126"/>
      <c r="D424" s="127"/>
      <c r="E424" s="126"/>
      <c r="F424" s="126"/>
      <c r="G424" s="126"/>
      <c r="H424" s="126"/>
      <c r="AB424" s="126"/>
    </row>
    <row r="425" spans="1:28" x14ac:dyDescent="0.15">
      <c r="A425" s="126"/>
      <c r="B425" s="126"/>
      <c r="C425" s="126"/>
      <c r="D425" s="127"/>
      <c r="E425" s="126"/>
      <c r="F425" s="126"/>
      <c r="G425" s="126"/>
      <c r="H425" s="126"/>
      <c r="AB425" s="126"/>
    </row>
    <row r="426" spans="1:28" x14ac:dyDescent="0.15">
      <c r="A426" s="126"/>
      <c r="B426" s="126"/>
      <c r="C426" s="126"/>
      <c r="D426" s="127"/>
      <c r="E426" s="126"/>
      <c r="F426" s="126"/>
      <c r="G426" s="126"/>
      <c r="H426" s="126"/>
      <c r="AB426" s="126"/>
    </row>
    <row r="427" spans="1:28" x14ac:dyDescent="0.15">
      <c r="A427" s="126"/>
      <c r="B427" s="126"/>
      <c r="C427" s="126"/>
      <c r="D427" s="127"/>
      <c r="E427" s="126"/>
      <c r="F427" s="126"/>
      <c r="G427" s="126"/>
      <c r="H427" s="126"/>
      <c r="AB427" s="126"/>
    </row>
    <row r="428" spans="1:28" x14ac:dyDescent="0.15">
      <c r="A428" s="126"/>
      <c r="B428" s="126"/>
      <c r="C428" s="126"/>
      <c r="D428" s="127"/>
      <c r="E428" s="126"/>
      <c r="F428" s="126"/>
      <c r="G428" s="126"/>
      <c r="H428" s="126"/>
      <c r="AB428" s="126"/>
    </row>
    <row r="429" spans="1:28" x14ac:dyDescent="0.15">
      <c r="A429" s="126"/>
      <c r="B429" s="126"/>
      <c r="C429" s="126"/>
      <c r="D429" s="127"/>
      <c r="E429" s="126"/>
      <c r="F429" s="126"/>
      <c r="G429" s="126"/>
      <c r="H429" s="126"/>
      <c r="AB429" s="126"/>
    </row>
    <row r="430" spans="1:28" x14ac:dyDescent="0.15">
      <c r="A430" s="126"/>
      <c r="B430" s="126"/>
      <c r="C430" s="126"/>
      <c r="D430" s="127"/>
      <c r="E430" s="126"/>
      <c r="F430" s="126"/>
      <c r="G430" s="126"/>
      <c r="H430" s="126"/>
      <c r="AB430" s="126"/>
    </row>
    <row r="431" spans="1:28" x14ac:dyDescent="0.15">
      <c r="A431" s="126"/>
      <c r="B431" s="126"/>
      <c r="C431" s="126"/>
      <c r="D431" s="127"/>
      <c r="E431" s="126"/>
      <c r="F431" s="126"/>
      <c r="G431" s="126"/>
      <c r="H431" s="126"/>
      <c r="AB431" s="126"/>
    </row>
    <row r="432" spans="1:28" x14ac:dyDescent="0.15">
      <c r="A432" s="126"/>
      <c r="B432" s="126"/>
      <c r="C432" s="126"/>
      <c r="D432" s="127"/>
      <c r="E432" s="126"/>
      <c r="F432" s="126"/>
      <c r="G432" s="126"/>
      <c r="H432" s="126"/>
      <c r="AB432" s="126"/>
    </row>
    <row r="433" spans="1:28" x14ac:dyDescent="0.15">
      <c r="A433" s="126"/>
      <c r="B433" s="126"/>
      <c r="C433" s="126"/>
      <c r="D433" s="127"/>
      <c r="E433" s="126"/>
      <c r="F433" s="126"/>
      <c r="G433" s="126"/>
      <c r="H433" s="126"/>
      <c r="AB433" s="126"/>
    </row>
    <row r="434" spans="1:28" x14ac:dyDescent="0.15">
      <c r="A434" s="126"/>
      <c r="B434" s="126"/>
      <c r="C434" s="126"/>
      <c r="D434" s="127"/>
      <c r="E434" s="126"/>
      <c r="F434" s="126"/>
      <c r="G434" s="126"/>
      <c r="H434" s="126"/>
      <c r="AB434" s="126"/>
    </row>
    <row r="435" spans="1:28" x14ac:dyDescent="0.15">
      <c r="A435" s="126"/>
      <c r="B435" s="126"/>
      <c r="C435" s="126"/>
      <c r="D435" s="127"/>
      <c r="E435" s="126"/>
      <c r="F435" s="126"/>
      <c r="G435" s="126"/>
      <c r="H435" s="126"/>
      <c r="AB435" s="126"/>
    </row>
    <row r="436" spans="1:28" x14ac:dyDescent="0.15">
      <c r="A436" s="126"/>
      <c r="B436" s="126"/>
      <c r="C436" s="126"/>
      <c r="D436" s="127"/>
      <c r="E436" s="126"/>
      <c r="F436" s="126"/>
      <c r="G436" s="126"/>
      <c r="H436" s="126"/>
      <c r="AB436" s="126"/>
    </row>
    <row r="437" spans="1:28" x14ac:dyDescent="0.15">
      <c r="A437" s="126"/>
      <c r="B437" s="126"/>
      <c r="C437" s="126"/>
      <c r="D437" s="127"/>
      <c r="E437" s="126"/>
      <c r="F437" s="126"/>
      <c r="G437" s="126"/>
      <c r="H437" s="126"/>
      <c r="AB437" s="126"/>
    </row>
    <row r="438" spans="1:28" x14ac:dyDescent="0.15">
      <c r="A438" s="126"/>
      <c r="B438" s="126"/>
      <c r="C438" s="126"/>
      <c r="D438" s="127"/>
      <c r="E438" s="126"/>
      <c r="F438" s="126"/>
      <c r="G438" s="126"/>
      <c r="H438" s="126"/>
      <c r="AB438" s="126"/>
    </row>
    <row r="439" spans="1:28" x14ac:dyDescent="0.15">
      <c r="A439" s="126"/>
      <c r="B439" s="126"/>
      <c r="C439" s="126"/>
      <c r="D439" s="127"/>
      <c r="E439" s="126"/>
      <c r="F439" s="126"/>
      <c r="G439" s="126"/>
      <c r="H439" s="126"/>
      <c r="AB439" s="126"/>
    </row>
    <row r="440" spans="1:28" x14ac:dyDescent="0.15">
      <c r="A440" s="126"/>
      <c r="B440" s="126"/>
      <c r="C440" s="126"/>
      <c r="D440" s="127"/>
      <c r="E440" s="126"/>
      <c r="F440" s="126"/>
      <c r="G440" s="126"/>
      <c r="H440" s="126"/>
      <c r="AB440" s="126"/>
    </row>
    <row r="441" spans="1:28" x14ac:dyDescent="0.15">
      <c r="A441" s="126"/>
      <c r="B441" s="126"/>
      <c r="C441" s="126"/>
      <c r="D441" s="127"/>
      <c r="E441" s="126"/>
      <c r="F441" s="126"/>
      <c r="G441" s="126"/>
      <c r="H441" s="126"/>
      <c r="AB441" s="126"/>
    </row>
    <row r="442" spans="1:28" x14ac:dyDescent="0.15">
      <c r="A442" s="126"/>
      <c r="B442" s="126"/>
      <c r="C442" s="126"/>
      <c r="D442" s="127"/>
      <c r="E442" s="126"/>
      <c r="F442" s="126"/>
      <c r="G442" s="126"/>
      <c r="H442" s="126"/>
      <c r="AB442" s="126"/>
    </row>
    <row r="443" spans="1:28" x14ac:dyDescent="0.15">
      <c r="A443" s="126"/>
      <c r="B443" s="126"/>
      <c r="C443" s="126"/>
      <c r="D443" s="127"/>
      <c r="E443" s="126"/>
      <c r="F443" s="126"/>
      <c r="G443" s="126"/>
      <c r="H443" s="126"/>
      <c r="AB443" s="126"/>
    </row>
    <row r="444" spans="1:28" x14ac:dyDescent="0.15">
      <c r="A444" s="126"/>
      <c r="B444" s="126"/>
      <c r="C444" s="126"/>
      <c r="D444" s="127"/>
      <c r="E444" s="126"/>
      <c r="F444" s="126"/>
      <c r="G444" s="126"/>
      <c r="H444" s="126"/>
      <c r="AB444" s="126"/>
    </row>
    <row r="445" spans="1:28" x14ac:dyDescent="0.15">
      <c r="A445" s="126"/>
      <c r="B445" s="126"/>
      <c r="C445" s="126"/>
      <c r="D445" s="127"/>
      <c r="E445" s="126"/>
      <c r="F445" s="126"/>
      <c r="G445" s="126"/>
      <c r="H445" s="126"/>
      <c r="AB445" s="126"/>
    </row>
    <row r="446" spans="1:28" x14ac:dyDescent="0.15">
      <c r="A446" s="126"/>
      <c r="B446" s="126"/>
      <c r="C446" s="126"/>
      <c r="D446" s="127"/>
      <c r="E446" s="126"/>
      <c r="F446" s="126"/>
      <c r="G446" s="126"/>
      <c r="H446" s="126"/>
      <c r="AB446" s="126"/>
    </row>
    <row r="447" spans="1:28" x14ac:dyDescent="0.15">
      <c r="A447" s="126"/>
      <c r="B447" s="126"/>
      <c r="C447" s="126"/>
      <c r="D447" s="127"/>
      <c r="E447" s="126"/>
      <c r="F447" s="126"/>
      <c r="G447" s="126"/>
      <c r="H447" s="126"/>
      <c r="AB447" s="126"/>
    </row>
    <row r="448" spans="1:28" x14ac:dyDescent="0.15">
      <c r="A448" s="126"/>
      <c r="B448" s="126"/>
      <c r="C448" s="126"/>
      <c r="D448" s="127"/>
      <c r="E448" s="126"/>
      <c r="F448" s="126"/>
      <c r="G448" s="126"/>
      <c r="H448" s="126"/>
      <c r="AB448" s="126"/>
    </row>
    <row r="449" spans="1:28" x14ac:dyDescent="0.15">
      <c r="A449" s="126"/>
      <c r="B449" s="126"/>
      <c r="C449" s="126"/>
      <c r="D449" s="127"/>
      <c r="E449" s="126"/>
      <c r="F449" s="126"/>
      <c r="G449" s="126"/>
      <c r="H449" s="126"/>
      <c r="AB449" s="126"/>
    </row>
    <row r="450" spans="1:28" x14ac:dyDescent="0.15">
      <c r="A450" s="126"/>
      <c r="B450" s="126"/>
      <c r="C450" s="126"/>
      <c r="D450" s="127"/>
      <c r="E450" s="126"/>
      <c r="F450" s="126"/>
      <c r="G450" s="126"/>
      <c r="H450" s="126"/>
      <c r="AB450" s="126"/>
    </row>
    <row r="451" spans="1:28" x14ac:dyDescent="0.15">
      <c r="A451" s="126"/>
      <c r="B451" s="126"/>
      <c r="C451" s="126"/>
      <c r="D451" s="127"/>
      <c r="E451" s="126"/>
      <c r="F451" s="126"/>
      <c r="G451" s="126"/>
      <c r="H451" s="126"/>
      <c r="AB451" s="126"/>
    </row>
    <row r="452" spans="1:28" x14ac:dyDescent="0.15">
      <c r="A452" s="126"/>
      <c r="B452" s="126"/>
      <c r="C452" s="126"/>
      <c r="D452" s="127"/>
      <c r="E452" s="126"/>
      <c r="F452" s="126"/>
      <c r="G452" s="126"/>
      <c r="H452" s="126"/>
      <c r="AB452" s="126"/>
    </row>
    <row r="453" spans="1:28" x14ac:dyDescent="0.15">
      <c r="A453" s="126"/>
      <c r="B453" s="126"/>
      <c r="C453" s="126"/>
      <c r="D453" s="127"/>
      <c r="E453" s="126"/>
      <c r="F453" s="126"/>
      <c r="G453" s="126"/>
      <c r="H453" s="126"/>
      <c r="AB453" s="126"/>
    </row>
    <row r="454" spans="1:28" x14ac:dyDescent="0.15">
      <c r="A454" s="126"/>
      <c r="B454" s="126"/>
      <c r="C454" s="126"/>
      <c r="D454" s="127"/>
      <c r="E454" s="126"/>
      <c r="F454" s="126"/>
      <c r="G454" s="126"/>
      <c r="H454" s="126"/>
      <c r="AB454" s="126"/>
    </row>
    <row r="455" spans="1:28" x14ac:dyDescent="0.15">
      <c r="A455" s="126"/>
      <c r="B455" s="126"/>
      <c r="C455" s="126"/>
      <c r="D455" s="127"/>
      <c r="E455" s="126"/>
      <c r="F455" s="126"/>
      <c r="G455" s="126"/>
      <c r="H455" s="126"/>
      <c r="AB455" s="126"/>
    </row>
    <row r="456" spans="1:28" x14ac:dyDescent="0.15">
      <c r="A456" s="126"/>
      <c r="B456" s="126"/>
      <c r="C456" s="126"/>
      <c r="D456" s="127"/>
      <c r="E456" s="126"/>
      <c r="F456" s="126"/>
      <c r="G456" s="126"/>
      <c r="H456" s="126"/>
      <c r="AB456" s="126"/>
    </row>
    <row r="457" spans="1:28" x14ac:dyDescent="0.15">
      <c r="A457" s="126"/>
      <c r="B457" s="126"/>
      <c r="C457" s="126"/>
      <c r="D457" s="127"/>
      <c r="E457" s="126"/>
      <c r="F457" s="126"/>
      <c r="G457" s="126"/>
      <c r="H457" s="126"/>
      <c r="AB457" s="126"/>
    </row>
    <row r="458" spans="1:28" x14ac:dyDescent="0.15">
      <c r="A458" s="126"/>
      <c r="B458" s="126"/>
      <c r="C458" s="126"/>
      <c r="D458" s="127"/>
      <c r="E458" s="126"/>
      <c r="F458" s="126"/>
      <c r="G458" s="126"/>
      <c r="H458" s="126"/>
      <c r="AB458" s="126"/>
    </row>
    <row r="459" spans="1:28" x14ac:dyDescent="0.15">
      <c r="A459" s="126"/>
      <c r="B459" s="126"/>
      <c r="C459" s="126"/>
      <c r="D459" s="127"/>
      <c r="E459" s="126"/>
      <c r="F459" s="126"/>
      <c r="G459" s="126"/>
      <c r="H459" s="126"/>
      <c r="AB459" s="126"/>
    </row>
    <row r="460" spans="1:28" x14ac:dyDescent="0.15">
      <c r="A460" s="126"/>
      <c r="B460" s="126"/>
      <c r="C460" s="126"/>
      <c r="D460" s="127"/>
      <c r="E460" s="126"/>
      <c r="F460" s="126"/>
      <c r="G460" s="126"/>
      <c r="H460" s="126"/>
      <c r="AB460" s="126"/>
    </row>
    <row r="461" spans="1:28" x14ac:dyDescent="0.15">
      <c r="A461" s="126"/>
      <c r="B461" s="126"/>
      <c r="C461" s="126"/>
      <c r="D461" s="127"/>
      <c r="E461" s="126"/>
      <c r="F461" s="126"/>
      <c r="G461" s="126"/>
      <c r="H461" s="126"/>
      <c r="AB461" s="126"/>
    </row>
    <row r="462" spans="1:28" x14ac:dyDescent="0.15">
      <c r="A462" s="126"/>
      <c r="B462" s="126"/>
      <c r="C462" s="126"/>
      <c r="D462" s="127"/>
      <c r="E462" s="126"/>
      <c r="F462" s="126"/>
      <c r="G462" s="126"/>
      <c r="H462" s="126"/>
      <c r="AB462" s="126"/>
    </row>
    <row r="463" spans="1:28" x14ac:dyDescent="0.15">
      <c r="A463" s="126"/>
      <c r="B463" s="126"/>
      <c r="C463" s="126"/>
      <c r="D463" s="127"/>
      <c r="E463" s="126"/>
      <c r="F463" s="126"/>
      <c r="G463" s="126"/>
      <c r="H463" s="126"/>
      <c r="AB463" s="126"/>
    </row>
    <row r="464" spans="1:28" x14ac:dyDescent="0.15">
      <c r="A464" s="126"/>
      <c r="B464" s="126"/>
      <c r="C464" s="126"/>
      <c r="D464" s="127"/>
      <c r="E464" s="126"/>
      <c r="F464" s="126"/>
      <c r="G464" s="126"/>
      <c r="H464" s="126"/>
      <c r="AB464" s="126"/>
    </row>
    <row r="465" spans="1:28" x14ac:dyDescent="0.15">
      <c r="A465" s="126"/>
      <c r="B465" s="126"/>
      <c r="C465" s="126"/>
      <c r="D465" s="127"/>
      <c r="E465" s="126"/>
      <c r="F465" s="126"/>
      <c r="G465" s="126"/>
      <c r="H465" s="126"/>
      <c r="AB465" s="126"/>
    </row>
    <row r="466" spans="1:28" x14ac:dyDescent="0.15">
      <c r="A466" s="126"/>
      <c r="B466" s="126"/>
      <c r="C466" s="126"/>
      <c r="D466" s="127"/>
      <c r="E466" s="126"/>
      <c r="F466" s="126"/>
      <c r="G466" s="126"/>
      <c r="H466" s="126"/>
      <c r="AB466" s="126"/>
    </row>
    <row r="467" spans="1:28" x14ac:dyDescent="0.15">
      <c r="A467" s="126"/>
      <c r="B467" s="126"/>
      <c r="C467" s="126"/>
      <c r="D467" s="127"/>
      <c r="E467" s="126"/>
      <c r="F467" s="126"/>
      <c r="G467" s="126"/>
      <c r="H467" s="126"/>
      <c r="AB467" s="126"/>
    </row>
    <row r="468" spans="1:28" x14ac:dyDescent="0.15">
      <c r="A468" s="126"/>
      <c r="B468" s="126"/>
      <c r="C468" s="126"/>
      <c r="D468" s="127"/>
      <c r="E468" s="126"/>
      <c r="F468" s="126"/>
      <c r="G468" s="126"/>
      <c r="H468" s="126"/>
      <c r="AB468" s="126"/>
    </row>
    <row r="469" spans="1:28" x14ac:dyDescent="0.15">
      <c r="A469" s="126"/>
      <c r="B469" s="126"/>
      <c r="C469" s="126"/>
      <c r="D469" s="127"/>
      <c r="E469" s="126"/>
      <c r="F469" s="126"/>
      <c r="G469" s="126"/>
      <c r="H469" s="126"/>
      <c r="AB469" s="126"/>
    </row>
    <row r="470" spans="1:28" x14ac:dyDescent="0.15">
      <c r="A470" s="126"/>
      <c r="B470" s="126"/>
      <c r="C470" s="126"/>
      <c r="D470" s="127"/>
      <c r="E470" s="126"/>
      <c r="F470" s="126"/>
      <c r="G470" s="126"/>
      <c r="H470" s="126"/>
      <c r="AB470" s="126"/>
    </row>
    <row r="471" spans="1:28" x14ac:dyDescent="0.15">
      <c r="A471" s="126"/>
      <c r="B471" s="126"/>
      <c r="C471" s="126"/>
      <c r="D471" s="127"/>
      <c r="E471" s="126"/>
      <c r="F471" s="126"/>
      <c r="G471" s="126"/>
      <c r="H471" s="126"/>
      <c r="AB471" s="126"/>
    </row>
    <row r="472" spans="1:28" x14ac:dyDescent="0.15">
      <c r="A472" s="126"/>
      <c r="B472" s="126"/>
      <c r="C472" s="126"/>
      <c r="D472" s="127"/>
      <c r="E472" s="126"/>
      <c r="F472" s="126"/>
      <c r="G472" s="126"/>
      <c r="H472" s="126"/>
      <c r="AB472" s="126"/>
    </row>
    <row r="473" spans="1:28" x14ac:dyDescent="0.15">
      <c r="A473" s="126"/>
      <c r="B473" s="126"/>
      <c r="C473" s="126"/>
      <c r="D473" s="127"/>
      <c r="E473" s="126"/>
      <c r="F473" s="126"/>
      <c r="G473" s="126"/>
      <c r="H473" s="126"/>
      <c r="AB473" s="126"/>
    </row>
    <row r="474" spans="1:28" x14ac:dyDescent="0.15">
      <c r="A474" s="126"/>
      <c r="B474" s="126"/>
      <c r="C474" s="126"/>
      <c r="D474" s="127"/>
      <c r="E474" s="126"/>
      <c r="F474" s="126"/>
      <c r="G474" s="126"/>
      <c r="H474" s="126"/>
      <c r="AB474" s="126"/>
    </row>
    <row r="475" spans="1:28" x14ac:dyDescent="0.15">
      <c r="A475" s="126"/>
      <c r="B475" s="126"/>
      <c r="C475" s="126"/>
      <c r="D475" s="127"/>
      <c r="E475" s="126"/>
      <c r="F475" s="126"/>
      <c r="G475" s="126"/>
      <c r="H475" s="126"/>
      <c r="AB475" s="126"/>
    </row>
    <row r="476" spans="1:28" x14ac:dyDescent="0.15">
      <c r="A476" s="126"/>
      <c r="B476" s="126"/>
      <c r="C476" s="126"/>
      <c r="D476" s="127"/>
      <c r="E476" s="126"/>
      <c r="F476" s="126"/>
      <c r="G476" s="126"/>
      <c r="H476" s="126"/>
      <c r="AB476" s="126"/>
    </row>
    <row r="477" spans="1:28" x14ac:dyDescent="0.15">
      <c r="A477" s="126"/>
      <c r="B477" s="126"/>
      <c r="C477" s="126"/>
      <c r="D477" s="127"/>
      <c r="E477" s="126"/>
      <c r="F477" s="126"/>
      <c r="G477" s="126"/>
      <c r="H477" s="126"/>
      <c r="AB477" s="126"/>
    </row>
    <row r="478" spans="1:28" x14ac:dyDescent="0.15">
      <c r="A478" s="126"/>
      <c r="B478" s="126"/>
      <c r="C478" s="126"/>
      <c r="D478" s="127"/>
      <c r="E478" s="126"/>
      <c r="F478" s="126"/>
      <c r="G478" s="126"/>
      <c r="H478" s="126"/>
      <c r="AB478" s="126"/>
    </row>
    <row r="479" spans="1:28" x14ac:dyDescent="0.15">
      <c r="A479" s="126"/>
      <c r="B479" s="126"/>
      <c r="C479" s="126"/>
      <c r="D479" s="127"/>
      <c r="E479" s="126"/>
      <c r="F479" s="126"/>
      <c r="G479" s="126"/>
      <c r="H479" s="126"/>
      <c r="AB479" s="126"/>
    </row>
    <row r="480" spans="1:28" x14ac:dyDescent="0.15">
      <c r="A480" s="126"/>
      <c r="B480" s="126"/>
      <c r="C480" s="126"/>
      <c r="D480" s="127"/>
      <c r="E480" s="126"/>
      <c r="F480" s="126"/>
      <c r="G480" s="126"/>
      <c r="H480" s="126"/>
      <c r="AB480" s="126"/>
    </row>
    <row r="481" spans="1:28" x14ac:dyDescent="0.15">
      <c r="A481" s="126"/>
      <c r="B481" s="126"/>
      <c r="C481" s="126"/>
      <c r="D481" s="127"/>
      <c r="E481" s="126"/>
      <c r="F481" s="126"/>
      <c r="G481" s="126"/>
      <c r="H481" s="126"/>
      <c r="AB481" s="126"/>
    </row>
    <row r="482" spans="1:28" x14ac:dyDescent="0.15">
      <c r="A482" s="126"/>
      <c r="B482" s="126"/>
      <c r="C482" s="126"/>
      <c r="D482" s="127"/>
      <c r="E482" s="126"/>
      <c r="F482" s="126"/>
      <c r="G482" s="126"/>
      <c r="H482" s="126"/>
      <c r="AB482" s="126"/>
    </row>
    <row r="483" spans="1:28" x14ac:dyDescent="0.15">
      <c r="A483" s="126"/>
      <c r="B483" s="126"/>
      <c r="C483" s="126"/>
      <c r="D483" s="127"/>
      <c r="E483" s="126"/>
      <c r="F483" s="126"/>
      <c r="G483" s="126"/>
      <c r="H483" s="126"/>
      <c r="AB483" s="126"/>
    </row>
    <row r="484" spans="1:28" x14ac:dyDescent="0.15">
      <c r="A484" s="126"/>
      <c r="B484" s="126"/>
      <c r="C484" s="126"/>
      <c r="D484" s="127"/>
      <c r="E484" s="126"/>
      <c r="F484" s="126"/>
      <c r="G484" s="126"/>
      <c r="H484" s="126"/>
      <c r="AB484" s="126"/>
    </row>
    <row r="485" spans="1:28" x14ac:dyDescent="0.15">
      <c r="A485" s="126"/>
      <c r="B485" s="126"/>
      <c r="C485" s="126"/>
      <c r="D485" s="127"/>
      <c r="E485" s="126"/>
      <c r="F485" s="126"/>
      <c r="G485" s="126"/>
      <c r="H485" s="126"/>
      <c r="AB485" s="126"/>
    </row>
    <row r="486" spans="1:28" x14ac:dyDescent="0.15">
      <c r="A486" s="126"/>
      <c r="B486" s="126"/>
      <c r="C486" s="126"/>
      <c r="D486" s="127"/>
      <c r="E486" s="126"/>
      <c r="F486" s="126"/>
      <c r="G486" s="126"/>
      <c r="H486" s="126"/>
      <c r="AB486" s="126"/>
    </row>
    <row r="487" spans="1:28" x14ac:dyDescent="0.15">
      <c r="A487" s="126"/>
      <c r="B487" s="126"/>
      <c r="C487" s="126"/>
      <c r="D487" s="127"/>
      <c r="E487" s="126"/>
      <c r="F487" s="126"/>
      <c r="G487" s="126"/>
      <c r="H487" s="126"/>
      <c r="AB487" s="126"/>
    </row>
    <row r="488" spans="1:28" x14ac:dyDescent="0.15">
      <c r="A488" s="126"/>
      <c r="B488" s="126"/>
      <c r="C488" s="126"/>
      <c r="D488" s="127"/>
      <c r="E488" s="126"/>
      <c r="F488" s="126"/>
      <c r="G488" s="126"/>
      <c r="H488" s="126"/>
      <c r="AB488" s="126"/>
    </row>
    <row r="489" spans="1:28" x14ac:dyDescent="0.15">
      <c r="A489" s="126"/>
      <c r="B489" s="126"/>
      <c r="C489" s="126"/>
      <c r="D489" s="127"/>
      <c r="E489" s="126"/>
      <c r="F489" s="126"/>
      <c r="G489" s="126"/>
      <c r="H489" s="126"/>
      <c r="AB489" s="126"/>
    </row>
    <row r="490" spans="1:28" x14ac:dyDescent="0.15">
      <c r="A490" s="126"/>
      <c r="B490" s="126"/>
      <c r="C490" s="126"/>
      <c r="D490" s="127"/>
      <c r="E490" s="126"/>
      <c r="F490" s="126"/>
      <c r="G490" s="126"/>
      <c r="H490" s="126"/>
      <c r="AB490" s="126"/>
    </row>
    <row r="491" spans="1:28" x14ac:dyDescent="0.15">
      <c r="A491" s="126"/>
      <c r="B491" s="126"/>
      <c r="C491" s="126"/>
      <c r="D491" s="127"/>
      <c r="E491" s="126"/>
      <c r="F491" s="126"/>
      <c r="G491" s="126"/>
      <c r="H491" s="126"/>
      <c r="AB491" s="126"/>
    </row>
    <row r="492" spans="1:28" x14ac:dyDescent="0.15">
      <c r="A492" s="126"/>
      <c r="B492" s="126"/>
      <c r="C492" s="126"/>
      <c r="D492" s="127"/>
      <c r="E492" s="126"/>
      <c r="F492" s="126"/>
      <c r="G492" s="126"/>
      <c r="H492" s="126"/>
      <c r="AB492" s="126"/>
    </row>
    <row r="493" spans="1:28" x14ac:dyDescent="0.15">
      <c r="A493" s="126"/>
      <c r="B493" s="126"/>
      <c r="C493" s="126"/>
      <c r="D493" s="127"/>
      <c r="E493" s="126"/>
      <c r="F493" s="126"/>
      <c r="G493" s="126"/>
      <c r="H493" s="126"/>
      <c r="AB493" s="126"/>
    </row>
    <row r="494" spans="1:28" x14ac:dyDescent="0.15">
      <c r="A494" s="126"/>
      <c r="B494" s="126"/>
      <c r="C494" s="126"/>
      <c r="D494" s="127"/>
      <c r="E494" s="126"/>
      <c r="F494" s="126"/>
      <c r="G494" s="126"/>
      <c r="H494" s="126"/>
      <c r="AB494" s="126"/>
    </row>
    <row r="495" spans="1:28" x14ac:dyDescent="0.15">
      <c r="A495" s="126"/>
      <c r="B495" s="126"/>
      <c r="C495" s="126"/>
      <c r="D495" s="127"/>
      <c r="E495" s="126"/>
      <c r="F495" s="126"/>
      <c r="G495" s="126"/>
      <c r="H495" s="126"/>
      <c r="AB495" s="126"/>
    </row>
    <row r="496" spans="1:28" x14ac:dyDescent="0.15">
      <c r="A496" s="126"/>
      <c r="B496" s="126"/>
      <c r="C496" s="126"/>
      <c r="D496" s="127"/>
      <c r="E496" s="126"/>
      <c r="F496" s="126"/>
      <c r="G496" s="126"/>
      <c r="H496" s="126"/>
      <c r="AB496" s="126"/>
    </row>
    <row r="497" spans="1:28" x14ac:dyDescent="0.15">
      <c r="A497" s="126"/>
      <c r="B497" s="126"/>
      <c r="C497" s="126"/>
      <c r="D497" s="127"/>
      <c r="E497" s="126"/>
      <c r="F497" s="126"/>
      <c r="G497" s="126"/>
      <c r="H497" s="126"/>
      <c r="AB497" s="126"/>
    </row>
    <row r="498" spans="1:28" x14ac:dyDescent="0.15">
      <c r="A498" s="126"/>
      <c r="B498" s="126"/>
      <c r="C498" s="126"/>
      <c r="D498" s="127"/>
      <c r="E498" s="126"/>
      <c r="F498" s="126"/>
      <c r="G498" s="126"/>
      <c r="H498" s="126"/>
      <c r="AB498" s="126"/>
    </row>
    <row r="499" spans="1:28" x14ac:dyDescent="0.15">
      <c r="A499" s="126"/>
      <c r="B499" s="126"/>
      <c r="C499" s="126"/>
      <c r="D499" s="127"/>
      <c r="E499" s="126"/>
      <c r="F499" s="126"/>
      <c r="G499" s="126"/>
      <c r="H499" s="126"/>
      <c r="AB499" s="126"/>
    </row>
    <row r="500" spans="1:28" x14ac:dyDescent="0.15">
      <c r="A500" s="126"/>
      <c r="B500" s="126"/>
      <c r="C500" s="126"/>
      <c r="D500" s="127"/>
      <c r="E500" s="126"/>
      <c r="F500" s="126"/>
      <c r="G500" s="126"/>
      <c r="H500" s="126"/>
      <c r="AB500" s="126"/>
    </row>
    <row r="501" spans="1:28" x14ac:dyDescent="0.15">
      <c r="A501" s="126"/>
      <c r="B501" s="126"/>
      <c r="C501" s="126"/>
      <c r="D501" s="127"/>
      <c r="E501" s="126"/>
      <c r="F501" s="126"/>
      <c r="G501" s="126"/>
      <c r="H501" s="126"/>
      <c r="AB501" s="126"/>
    </row>
    <row r="502" spans="1:28" x14ac:dyDescent="0.15">
      <c r="A502" s="126"/>
      <c r="B502" s="126"/>
      <c r="C502" s="126"/>
      <c r="D502" s="127"/>
      <c r="E502" s="126"/>
      <c r="F502" s="126"/>
      <c r="G502" s="126"/>
      <c r="H502" s="126"/>
      <c r="AB502" s="126"/>
    </row>
    <row r="503" spans="1:28" x14ac:dyDescent="0.15">
      <c r="A503" s="126"/>
      <c r="B503" s="126"/>
      <c r="C503" s="126"/>
      <c r="D503" s="127"/>
      <c r="E503" s="126"/>
      <c r="F503" s="126"/>
      <c r="G503" s="126"/>
      <c r="H503" s="126"/>
      <c r="AB503" s="126"/>
    </row>
    <row r="504" spans="1:28" x14ac:dyDescent="0.15">
      <c r="A504" s="126"/>
      <c r="B504" s="126"/>
      <c r="C504" s="126"/>
      <c r="D504" s="127"/>
      <c r="E504" s="126"/>
      <c r="F504" s="126"/>
      <c r="G504" s="126"/>
      <c r="H504" s="126"/>
      <c r="AB504" s="126"/>
    </row>
    <row r="505" spans="1:28" x14ac:dyDescent="0.15">
      <c r="A505" s="126"/>
      <c r="B505" s="126"/>
      <c r="C505" s="126"/>
      <c r="D505" s="127"/>
      <c r="E505" s="126"/>
      <c r="F505" s="126"/>
      <c r="G505" s="126"/>
      <c r="H505" s="126"/>
      <c r="AB505" s="126"/>
    </row>
    <row r="506" spans="1:28" x14ac:dyDescent="0.15">
      <c r="A506" s="126"/>
      <c r="B506" s="126"/>
      <c r="C506" s="126"/>
      <c r="D506" s="127"/>
      <c r="E506" s="126"/>
      <c r="F506" s="126"/>
      <c r="G506" s="126"/>
      <c r="H506" s="126"/>
      <c r="AB506" s="126"/>
    </row>
    <row r="507" spans="1:28" x14ac:dyDescent="0.15">
      <c r="A507" s="126"/>
      <c r="B507" s="126"/>
      <c r="C507" s="126"/>
      <c r="D507" s="127"/>
      <c r="E507" s="126"/>
      <c r="F507" s="126"/>
      <c r="G507" s="126"/>
      <c r="H507" s="126"/>
      <c r="AB507" s="126"/>
    </row>
    <row r="508" spans="1:28" x14ac:dyDescent="0.15">
      <c r="A508" s="126"/>
      <c r="B508" s="126"/>
      <c r="C508" s="126"/>
      <c r="D508" s="127"/>
      <c r="E508" s="126"/>
      <c r="F508" s="126"/>
      <c r="G508" s="126"/>
      <c r="H508" s="126"/>
      <c r="AB508" s="126"/>
    </row>
    <row r="509" spans="1:28" x14ac:dyDescent="0.15">
      <c r="A509" s="126"/>
      <c r="B509" s="126"/>
      <c r="C509" s="126"/>
      <c r="D509" s="127"/>
      <c r="E509" s="126"/>
      <c r="F509" s="126"/>
      <c r="G509" s="126"/>
      <c r="H509" s="126"/>
      <c r="AB509" s="126"/>
    </row>
    <row r="510" spans="1:28" x14ac:dyDescent="0.15">
      <c r="A510" s="126"/>
      <c r="B510" s="126"/>
      <c r="C510" s="126"/>
      <c r="D510" s="127"/>
      <c r="E510" s="126"/>
      <c r="F510" s="126"/>
      <c r="G510" s="126"/>
      <c r="H510" s="126"/>
      <c r="AB510" s="126"/>
    </row>
    <row r="511" spans="1:28" x14ac:dyDescent="0.15">
      <c r="A511" s="126"/>
      <c r="B511" s="126"/>
      <c r="C511" s="126"/>
      <c r="D511" s="127"/>
      <c r="E511" s="126"/>
      <c r="F511" s="126"/>
      <c r="G511" s="126"/>
      <c r="H511" s="126"/>
      <c r="AB511" s="126"/>
    </row>
    <row r="512" spans="1:28" x14ac:dyDescent="0.15">
      <c r="A512" s="126"/>
      <c r="B512" s="126"/>
      <c r="C512" s="126"/>
      <c r="D512" s="127"/>
      <c r="E512" s="126"/>
      <c r="F512" s="126"/>
      <c r="G512" s="126"/>
      <c r="H512" s="126"/>
      <c r="AB512" s="126"/>
    </row>
    <row r="513" spans="1:28" x14ac:dyDescent="0.15">
      <c r="A513" s="126"/>
      <c r="B513" s="126"/>
      <c r="C513" s="126"/>
      <c r="D513" s="127"/>
      <c r="E513" s="126"/>
      <c r="F513" s="126"/>
      <c r="G513" s="126"/>
      <c r="H513" s="126"/>
      <c r="AB513" s="126"/>
    </row>
    <row r="514" spans="1:28" x14ac:dyDescent="0.15">
      <c r="A514" s="126"/>
      <c r="B514" s="126"/>
      <c r="C514" s="126"/>
      <c r="D514" s="127"/>
      <c r="E514" s="126"/>
      <c r="F514" s="126"/>
      <c r="G514" s="126"/>
      <c r="H514" s="126"/>
      <c r="AB514" s="126"/>
    </row>
    <row r="515" spans="1:28" x14ac:dyDescent="0.15">
      <c r="A515" s="126"/>
      <c r="B515" s="126"/>
      <c r="C515" s="126"/>
      <c r="D515" s="127"/>
      <c r="E515" s="126"/>
      <c r="F515" s="126"/>
      <c r="G515" s="126"/>
      <c r="H515" s="126"/>
      <c r="AB515" s="126"/>
    </row>
    <row r="516" spans="1:28" x14ac:dyDescent="0.15">
      <c r="A516" s="126"/>
      <c r="B516" s="126"/>
      <c r="C516" s="126"/>
      <c r="D516" s="127"/>
      <c r="E516" s="126"/>
      <c r="F516" s="126"/>
      <c r="G516" s="126"/>
      <c r="H516" s="126"/>
      <c r="AB516" s="126"/>
    </row>
    <row r="517" spans="1:28" x14ac:dyDescent="0.15">
      <c r="A517" s="126"/>
      <c r="B517" s="126"/>
      <c r="C517" s="126"/>
      <c r="D517" s="127"/>
      <c r="E517" s="126"/>
      <c r="F517" s="126"/>
      <c r="G517" s="126"/>
      <c r="H517" s="126"/>
      <c r="AB517" s="126"/>
    </row>
    <row r="518" spans="1:28" x14ac:dyDescent="0.15">
      <c r="A518" s="126"/>
      <c r="B518" s="126"/>
      <c r="C518" s="126"/>
      <c r="D518" s="127"/>
      <c r="E518" s="126"/>
      <c r="F518" s="126"/>
      <c r="G518" s="126"/>
      <c r="H518" s="126"/>
      <c r="AB518" s="126"/>
    </row>
    <row r="519" spans="1:28" x14ac:dyDescent="0.15">
      <c r="A519" s="126"/>
      <c r="B519" s="126"/>
      <c r="C519" s="126"/>
      <c r="D519" s="127"/>
      <c r="E519" s="126"/>
      <c r="F519" s="126"/>
      <c r="G519" s="126"/>
      <c r="H519" s="126"/>
      <c r="AB519" s="126"/>
    </row>
    <row r="520" spans="1:28" x14ac:dyDescent="0.15">
      <c r="A520" s="126"/>
      <c r="B520" s="126"/>
      <c r="C520" s="126"/>
      <c r="D520" s="127"/>
      <c r="E520" s="126"/>
      <c r="F520" s="126"/>
      <c r="G520" s="126"/>
      <c r="H520" s="126"/>
      <c r="AB520" s="126"/>
    </row>
    <row r="521" spans="1:28" x14ac:dyDescent="0.15">
      <c r="A521" s="126"/>
      <c r="B521" s="126"/>
      <c r="C521" s="126"/>
      <c r="D521" s="127"/>
      <c r="E521" s="126"/>
      <c r="F521" s="126"/>
      <c r="G521" s="126"/>
      <c r="H521" s="126"/>
      <c r="AB521" s="126"/>
    </row>
    <row r="522" spans="1:28" x14ac:dyDescent="0.15">
      <c r="A522" s="126"/>
      <c r="B522" s="126"/>
      <c r="C522" s="126"/>
      <c r="D522" s="127"/>
      <c r="E522" s="126"/>
      <c r="F522" s="126"/>
      <c r="G522" s="126"/>
      <c r="H522" s="126"/>
      <c r="AB522" s="126"/>
    </row>
    <row r="523" spans="1:28" x14ac:dyDescent="0.15">
      <c r="A523" s="126"/>
      <c r="B523" s="126"/>
      <c r="C523" s="126"/>
      <c r="D523" s="127"/>
      <c r="E523" s="126"/>
      <c r="F523" s="126"/>
      <c r="G523" s="126"/>
      <c r="H523" s="126"/>
      <c r="AB523" s="126"/>
    </row>
    <row r="524" spans="1:28" x14ac:dyDescent="0.15">
      <c r="A524" s="126"/>
      <c r="B524" s="126"/>
      <c r="C524" s="126"/>
      <c r="D524" s="127"/>
      <c r="E524" s="126"/>
      <c r="F524" s="126"/>
      <c r="G524" s="126"/>
      <c r="H524" s="126"/>
      <c r="AB524" s="126"/>
    </row>
    <row r="525" spans="1:28" x14ac:dyDescent="0.15">
      <c r="A525" s="126"/>
      <c r="B525" s="126"/>
      <c r="C525" s="126"/>
      <c r="D525" s="127"/>
      <c r="E525" s="126"/>
      <c r="F525" s="126"/>
      <c r="G525" s="126"/>
      <c r="H525" s="126"/>
      <c r="AB525" s="126"/>
    </row>
    <row r="526" spans="1:28" x14ac:dyDescent="0.15">
      <c r="A526" s="126"/>
      <c r="B526" s="126"/>
      <c r="C526" s="126"/>
      <c r="D526" s="127"/>
      <c r="E526" s="126"/>
      <c r="F526" s="126"/>
      <c r="G526" s="126"/>
      <c r="H526" s="126"/>
      <c r="AB526" s="126"/>
    </row>
    <row r="527" spans="1:28" x14ac:dyDescent="0.15">
      <c r="A527" s="126"/>
      <c r="B527" s="126"/>
      <c r="C527" s="126"/>
      <c r="D527" s="127"/>
      <c r="E527" s="126"/>
      <c r="F527" s="126"/>
      <c r="G527" s="126"/>
      <c r="H527" s="126"/>
      <c r="AB527" s="126"/>
    </row>
    <row r="528" spans="1:28" x14ac:dyDescent="0.15">
      <c r="A528" s="126"/>
      <c r="B528" s="126"/>
      <c r="C528" s="126"/>
      <c r="D528" s="127"/>
      <c r="E528" s="126"/>
      <c r="F528" s="126"/>
      <c r="G528" s="126"/>
      <c r="H528" s="126"/>
      <c r="AB528" s="126"/>
    </row>
    <row r="529" spans="1:28" x14ac:dyDescent="0.15">
      <c r="A529" s="126"/>
      <c r="B529" s="126"/>
      <c r="C529" s="126"/>
      <c r="D529" s="127"/>
      <c r="E529" s="126"/>
      <c r="F529" s="126"/>
      <c r="G529" s="126"/>
      <c r="H529" s="126"/>
      <c r="AB529" s="126"/>
    </row>
    <row r="530" spans="1:28" x14ac:dyDescent="0.15">
      <c r="A530" s="126"/>
      <c r="B530" s="126"/>
      <c r="C530" s="126"/>
      <c r="D530" s="127"/>
      <c r="E530" s="126"/>
      <c r="F530" s="126"/>
      <c r="G530" s="126"/>
      <c r="H530" s="126"/>
      <c r="AB530" s="126"/>
    </row>
    <row r="531" spans="1:28" x14ac:dyDescent="0.15">
      <c r="A531" s="126"/>
      <c r="B531" s="126"/>
      <c r="C531" s="126"/>
      <c r="D531" s="127"/>
      <c r="E531" s="126"/>
      <c r="F531" s="126"/>
      <c r="G531" s="126"/>
      <c r="H531" s="126"/>
      <c r="AB531" s="126"/>
    </row>
    <row r="532" spans="1:28" x14ac:dyDescent="0.15">
      <c r="A532" s="126"/>
      <c r="B532" s="126"/>
      <c r="C532" s="126"/>
      <c r="D532" s="127"/>
      <c r="E532" s="126"/>
      <c r="F532" s="126"/>
      <c r="G532" s="126"/>
      <c r="H532" s="126"/>
      <c r="AB532" s="126"/>
    </row>
    <row r="533" spans="1:28" x14ac:dyDescent="0.15">
      <c r="A533" s="126"/>
      <c r="B533" s="126"/>
      <c r="C533" s="126"/>
      <c r="D533" s="127"/>
      <c r="E533" s="126"/>
      <c r="F533" s="126"/>
      <c r="G533" s="126"/>
      <c r="H533" s="126"/>
    </row>
    <row r="534" spans="1:28" x14ac:dyDescent="0.15">
      <c r="A534" s="126"/>
      <c r="B534" s="126"/>
      <c r="C534" s="126"/>
      <c r="D534" s="127"/>
      <c r="E534" s="126"/>
      <c r="F534" s="126"/>
      <c r="G534" s="126"/>
      <c r="H534" s="126"/>
    </row>
    <row r="535" spans="1:28" x14ac:dyDescent="0.15">
      <c r="A535" s="126"/>
      <c r="B535" s="126"/>
      <c r="C535" s="126"/>
      <c r="D535" s="127"/>
      <c r="E535" s="126"/>
      <c r="F535" s="126"/>
      <c r="G535" s="126"/>
      <c r="H535" s="126"/>
    </row>
    <row r="536" spans="1:28" x14ac:dyDescent="0.15">
      <c r="A536" s="126"/>
      <c r="B536" s="126"/>
      <c r="C536" s="126"/>
      <c r="D536" s="127"/>
      <c r="E536" s="126"/>
      <c r="F536" s="126"/>
      <c r="G536" s="126"/>
      <c r="H536" s="126"/>
    </row>
    <row r="537" spans="1:28" x14ac:dyDescent="0.15">
      <c r="A537" s="126"/>
      <c r="B537" s="126"/>
      <c r="C537" s="126"/>
      <c r="D537" s="127"/>
      <c r="E537" s="126"/>
      <c r="F537" s="126"/>
      <c r="G537" s="126"/>
      <c r="H537" s="126"/>
    </row>
    <row r="538" spans="1:28" x14ac:dyDescent="0.15">
      <c r="A538" s="126"/>
      <c r="B538" s="126"/>
      <c r="C538" s="126"/>
      <c r="D538" s="127"/>
      <c r="E538" s="126"/>
      <c r="F538" s="126"/>
      <c r="G538" s="126"/>
      <c r="H538" s="126"/>
    </row>
    <row r="539" spans="1:28" x14ac:dyDescent="0.15">
      <c r="A539" s="126"/>
      <c r="B539" s="126"/>
      <c r="C539" s="126"/>
      <c r="D539" s="127"/>
      <c r="E539" s="126"/>
      <c r="F539" s="126"/>
      <c r="G539" s="126"/>
      <c r="H539" s="126"/>
    </row>
    <row r="540" spans="1:28" x14ac:dyDescent="0.15">
      <c r="A540" s="126"/>
      <c r="B540" s="126"/>
      <c r="C540" s="126"/>
      <c r="D540" s="127"/>
      <c r="E540" s="126"/>
      <c r="F540" s="126"/>
      <c r="G540" s="126"/>
      <c r="H540" s="126"/>
    </row>
    <row r="541" spans="1:28" x14ac:dyDescent="0.15">
      <c r="A541" s="126"/>
      <c r="B541" s="126"/>
      <c r="C541" s="126"/>
      <c r="D541" s="127"/>
      <c r="E541" s="126"/>
      <c r="F541" s="126"/>
      <c r="G541" s="126"/>
      <c r="H541" s="126"/>
    </row>
    <row r="542" spans="1:28" x14ac:dyDescent="0.15">
      <c r="A542" s="126"/>
      <c r="B542" s="126"/>
      <c r="C542" s="126"/>
      <c r="D542" s="127"/>
      <c r="E542" s="126"/>
      <c r="F542" s="126"/>
      <c r="G542" s="126"/>
      <c r="H542" s="126"/>
    </row>
    <row r="543" spans="1:28" x14ac:dyDescent="0.15">
      <c r="A543" s="126"/>
      <c r="B543" s="126"/>
      <c r="C543" s="126"/>
      <c r="D543" s="127"/>
      <c r="E543" s="126"/>
      <c r="F543" s="126"/>
      <c r="G543" s="126"/>
      <c r="H543" s="126"/>
    </row>
    <row r="544" spans="1:28" x14ac:dyDescent="0.15">
      <c r="A544" s="126"/>
      <c r="B544" s="126"/>
      <c r="C544" s="126"/>
      <c r="D544" s="127"/>
      <c r="E544" s="126"/>
      <c r="F544" s="126"/>
      <c r="G544" s="126"/>
      <c r="H544" s="126"/>
    </row>
    <row r="545" spans="1:8" x14ac:dyDescent="0.15">
      <c r="A545" s="126"/>
      <c r="B545" s="126"/>
      <c r="C545" s="126"/>
      <c r="D545" s="127"/>
      <c r="E545" s="126"/>
      <c r="F545" s="126"/>
      <c r="G545" s="126"/>
      <c r="H545" s="126"/>
    </row>
    <row r="546" spans="1:8" x14ac:dyDescent="0.15">
      <c r="A546" s="126"/>
      <c r="B546" s="126"/>
      <c r="C546" s="126"/>
      <c r="D546" s="127"/>
      <c r="E546" s="126"/>
      <c r="F546" s="126"/>
      <c r="G546" s="126"/>
      <c r="H546" s="126"/>
    </row>
    <row r="547" spans="1:8" x14ac:dyDescent="0.15">
      <c r="A547" s="126"/>
      <c r="B547" s="126"/>
      <c r="C547" s="126"/>
      <c r="D547" s="127"/>
      <c r="E547" s="126"/>
      <c r="F547" s="126"/>
      <c r="G547" s="126"/>
      <c r="H547" s="126"/>
    </row>
    <row r="548" spans="1:8" x14ac:dyDescent="0.15">
      <c r="A548" s="126"/>
      <c r="B548" s="126"/>
      <c r="C548" s="126"/>
      <c r="D548" s="127"/>
      <c r="E548" s="126"/>
      <c r="F548" s="126"/>
      <c r="G548" s="126"/>
      <c r="H548" s="126"/>
    </row>
    <row r="549" spans="1:8" x14ac:dyDescent="0.15">
      <c r="A549" s="126"/>
      <c r="B549" s="126"/>
      <c r="C549" s="126"/>
      <c r="D549" s="127"/>
      <c r="E549" s="126"/>
      <c r="F549" s="126"/>
      <c r="G549" s="126"/>
      <c r="H549" s="126"/>
    </row>
    <row r="550" spans="1:8" x14ac:dyDescent="0.15">
      <c r="A550" s="126"/>
      <c r="B550" s="126"/>
      <c r="C550" s="126"/>
      <c r="D550" s="127"/>
      <c r="E550" s="126"/>
      <c r="F550" s="126"/>
      <c r="G550" s="126"/>
      <c r="H550" s="126"/>
    </row>
    <row r="551" spans="1:8" x14ac:dyDescent="0.15">
      <c r="A551" s="126"/>
      <c r="B551" s="126"/>
      <c r="C551" s="126"/>
      <c r="D551" s="127"/>
      <c r="E551" s="126"/>
      <c r="F551" s="126"/>
      <c r="G551" s="126"/>
      <c r="H551" s="126"/>
    </row>
    <row r="552" spans="1:8" x14ac:dyDescent="0.15">
      <c r="A552" s="126"/>
      <c r="B552" s="126"/>
      <c r="C552" s="126"/>
      <c r="D552" s="127"/>
      <c r="E552" s="126"/>
      <c r="F552" s="126"/>
      <c r="G552" s="126"/>
      <c r="H552" s="126"/>
    </row>
    <row r="553" spans="1:8" x14ac:dyDescent="0.15">
      <c r="A553" s="126"/>
      <c r="B553" s="126"/>
      <c r="C553" s="126"/>
      <c r="D553" s="127"/>
      <c r="E553" s="126"/>
      <c r="F553" s="126"/>
      <c r="G553" s="126"/>
      <c r="H553" s="126"/>
    </row>
    <row r="554" spans="1:8" x14ac:dyDescent="0.15">
      <c r="A554" s="126"/>
      <c r="B554" s="126"/>
      <c r="C554" s="126"/>
      <c r="D554" s="127"/>
      <c r="E554" s="126"/>
      <c r="F554" s="126"/>
      <c r="G554" s="126"/>
      <c r="H554" s="126"/>
    </row>
    <row r="555" spans="1:8" x14ac:dyDescent="0.15">
      <c r="A555" s="126"/>
      <c r="B555" s="126"/>
      <c r="C555" s="126"/>
      <c r="D555" s="127"/>
      <c r="E555" s="126"/>
      <c r="F555" s="126"/>
      <c r="G555" s="126"/>
      <c r="H555" s="126"/>
    </row>
    <row r="556" spans="1:8" x14ac:dyDescent="0.15">
      <c r="A556" s="126"/>
      <c r="B556" s="126"/>
      <c r="C556" s="126"/>
      <c r="D556" s="127"/>
      <c r="E556" s="126"/>
      <c r="F556" s="126"/>
      <c r="G556" s="126"/>
      <c r="H556" s="126"/>
    </row>
    <row r="557" spans="1:8" x14ac:dyDescent="0.15">
      <c r="A557" s="126"/>
      <c r="B557" s="126"/>
      <c r="C557" s="126"/>
      <c r="D557" s="127"/>
      <c r="E557" s="126"/>
      <c r="F557" s="126"/>
      <c r="G557" s="126"/>
      <c r="H557" s="126"/>
    </row>
    <row r="558" spans="1:8" x14ac:dyDescent="0.15">
      <c r="A558" s="126"/>
      <c r="B558" s="126"/>
      <c r="C558" s="126"/>
      <c r="D558" s="127"/>
      <c r="E558" s="126"/>
      <c r="F558" s="126"/>
      <c r="G558" s="126"/>
      <c r="H558" s="126"/>
    </row>
    <row r="559" spans="1:8" x14ac:dyDescent="0.15">
      <c r="A559" s="126"/>
      <c r="B559" s="126"/>
      <c r="C559" s="126"/>
      <c r="D559" s="127"/>
      <c r="E559" s="126"/>
      <c r="F559" s="126"/>
      <c r="G559" s="126"/>
      <c r="H559" s="126"/>
    </row>
    <row r="560" spans="1:8" x14ac:dyDescent="0.15">
      <c r="A560" s="126"/>
      <c r="B560" s="126"/>
      <c r="C560" s="126"/>
      <c r="D560" s="127"/>
      <c r="E560" s="126"/>
      <c r="F560" s="126"/>
      <c r="G560" s="126"/>
      <c r="H560" s="126"/>
    </row>
    <row r="561" spans="1:8" x14ac:dyDescent="0.15">
      <c r="A561" s="126"/>
      <c r="B561" s="126"/>
      <c r="C561" s="126"/>
      <c r="D561" s="127"/>
      <c r="E561" s="126"/>
      <c r="F561" s="126"/>
      <c r="G561" s="126"/>
      <c r="H561" s="126"/>
    </row>
    <row r="562" spans="1:8" x14ac:dyDescent="0.15">
      <c r="A562" s="126"/>
      <c r="B562" s="126"/>
      <c r="C562" s="126"/>
      <c r="D562" s="127"/>
      <c r="E562" s="126"/>
      <c r="F562" s="126"/>
      <c r="G562" s="126"/>
      <c r="H562" s="126"/>
    </row>
    <row r="563" spans="1:8" x14ac:dyDescent="0.15">
      <c r="A563" s="126"/>
      <c r="B563" s="126"/>
      <c r="C563" s="126"/>
      <c r="D563" s="127"/>
      <c r="E563" s="126"/>
      <c r="F563" s="126"/>
      <c r="G563" s="126"/>
      <c r="H563" s="126"/>
    </row>
    <row r="564" spans="1:8" x14ac:dyDescent="0.15">
      <c r="A564" s="126"/>
      <c r="B564" s="126"/>
      <c r="C564" s="126"/>
      <c r="D564" s="127"/>
      <c r="E564" s="126"/>
      <c r="F564" s="126"/>
      <c r="G564" s="126"/>
      <c r="H564" s="126"/>
    </row>
    <row r="565" spans="1:8" x14ac:dyDescent="0.15">
      <c r="A565" s="126"/>
      <c r="B565" s="126"/>
      <c r="C565" s="126"/>
      <c r="D565" s="127"/>
      <c r="E565" s="126"/>
      <c r="F565" s="126"/>
      <c r="G565" s="126"/>
      <c r="H565" s="126"/>
    </row>
    <row r="566" spans="1:8" x14ac:dyDescent="0.15">
      <c r="A566" s="126"/>
      <c r="B566" s="126"/>
      <c r="C566" s="126"/>
      <c r="D566" s="127"/>
      <c r="E566" s="126"/>
      <c r="F566" s="126"/>
      <c r="G566" s="126"/>
      <c r="H566" s="126"/>
    </row>
    <row r="567" spans="1:8" x14ac:dyDescent="0.15">
      <c r="A567" s="126"/>
      <c r="B567" s="126"/>
      <c r="C567" s="126"/>
      <c r="D567" s="127"/>
      <c r="E567" s="126"/>
      <c r="F567" s="126"/>
      <c r="G567" s="126"/>
      <c r="H567" s="126"/>
    </row>
    <row r="568" spans="1:8" x14ac:dyDescent="0.15">
      <c r="A568" s="126"/>
      <c r="B568" s="126"/>
      <c r="C568" s="126"/>
      <c r="D568" s="127"/>
      <c r="E568" s="126"/>
      <c r="F568" s="126"/>
      <c r="G568" s="126"/>
      <c r="H568" s="126"/>
    </row>
    <row r="569" spans="1:8" x14ac:dyDescent="0.15">
      <c r="A569" s="126"/>
      <c r="B569" s="126"/>
      <c r="C569" s="126"/>
      <c r="D569" s="127"/>
      <c r="E569" s="126"/>
      <c r="F569" s="126"/>
      <c r="G569" s="126"/>
      <c r="H569" s="126"/>
    </row>
    <row r="570" spans="1:8" x14ac:dyDescent="0.15">
      <c r="A570" s="126"/>
      <c r="B570" s="126"/>
      <c r="C570" s="126"/>
      <c r="D570" s="127"/>
      <c r="E570" s="126"/>
      <c r="F570" s="126"/>
      <c r="G570" s="126"/>
      <c r="H570" s="126"/>
    </row>
    <row r="571" spans="1:8" x14ac:dyDescent="0.15">
      <c r="A571" s="126"/>
      <c r="B571" s="126"/>
      <c r="C571" s="126"/>
      <c r="D571" s="127"/>
      <c r="E571" s="126"/>
      <c r="F571" s="126"/>
      <c r="G571" s="126"/>
      <c r="H571" s="126"/>
    </row>
    <row r="572" spans="1:8" x14ac:dyDescent="0.15">
      <c r="A572" s="126"/>
      <c r="B572" s="126"/>
      <c r="C572" s="126"/>
      <c r="D572" s="127"/>
      <c r="E572" s="126"/>
      <c r="F572" s="126"/>
      <c r="G572" s="126"/>
      <c r="H572" s="126"/>
    </row>
    <row r="573" spans="1:8" x14ac:dyDescent="0.15">
      <c r="A573" s="126"/>
      <c r="B573" s="126"/>
      <c r="C573" s="126"/>
      <c r="D573" s="127"/>
      <c r="E573" s="126"/>
      <c r="F573" s="126"/>
      <c r="G573" s="126"/>
      <c r="H573" s="126"/>
    </row>
    <row r="574" spans="1:8" x14ac:dyDescent="0.15">
      <c r="A574" s="126"/>
      <c r="B574" s="126"/>
      <c r="C574" s="126"/>
      <c r="D574" s="127"/>
      <c r="E574" s="126"/>
      <c r="F574" s="126"/>
      <c r="G574" s="126"/>
      <c r="H574" s="126"/>
    </row>
    <row r="575" spans="1:8" x14ac:dyDescent="0.15">
      <c r="A575" s="126"/>
      <c r="B575" s="126"/>
      <c r="C575" s="126"/>
      <c r="D575" s="127"/>
      <c r="E575" s="126"/>
      <c r="F575" s="126"/>
      <c r="G575" s="126"/>
      <c r="H575" s="126"/>
    </row>
    <row r="576" spans="1:8" x14ac:dyDescent="0.15">
      <c r="A576" s="126"/>
      <c r="B576" s="126"/>
      <c r="C576" s="126"/>
      <c r="D576" s="127"/>
      <c r="E576" s="126"/>
      <c r="F576" s="126"/>
      <c r="G576" s="126"/>
      <c r="H576" s="126"/>
    </row>
    <row r="577" spans="1:8" x14ac:dyDescent="0.15">
      <c r="A577" s="126"/>
      <c r="B577" s="126"/>
      <c r="C577" s="126"/>
      <c r="D577" s="127"/>
      <c r="E577" s="126"/>
      <c r="F577" s="126"/>
      <c r="G577" s="126"/>
      <c r="H577" s="126"/>
    </row>
    <row r="578" spans="1:8" x14ac:dyDescent="0.15">
      <c r="A578" s="126"/>
      <c r="B578" s="126"/>
      <c r="C578" s="126"/>
      <c r="D578" s="127"/>
      <c r="E578" s="126"/>
      <c r="F578" s="126"/>
      <c r="G578" s="126"/>
      <c r="H578" s="126"/>
    </row>
    <row r="579" spans="1:8" x14ac:dyDescent="0.15">
      <c r="A579" s="126"/>
      <c r="B579" s="126"/>
      <c r="C579" s="126"/>
      <c r="D579" s="127"/>
      <c r="E579" s="126"/>
      <c r="F579" s="126"/>
      <c r="G579" s="126"/>
      <c r="H579" s="126"/>
    </row>
    <row r="580" spans="1:8" x14ac:dyDescent="0.15">
      <c r="A580" s="126"/>
      <c r="B580" s="126"/>
      <c r="C580" s="126"/>
      <c r="D580" s="127"/>
      <c r="E580" s="126"/>
      <c r="F580" s="126"/>
      <c r="G580" s="126"/>
      <c r="H580" s="126"/>
    </row>
    <row r="581" spans="1:8" x14ac:dyDescent="0.15">
      <c r="A581" s="126"/>
      <c r="B581" s="126"/>
      <c r="C581" s="126"/>
      <c r="D581" s="127"/>
      <c r="E581" s="126"/>
      <c r="F581" s="126"/>
      <c r="G581" s="126"/>
      <c r="H581" s="126"/>
    </row>
    <row r="582" spans="1:8" x14ac:dyDescent="0.15">
      <c r="A582" s="126"/>
      <c r="B582" s="126"/>
      <c r="C582" s="126"/>
      <c r="D582" s="127"/>
      <c r="E582" s="126"/>
      <c r="F582" s="126"/>
      <c r="G582" s="126"/>
      <c r="H582" s="126"/>
    </row>
    <row r="583" spans="1:8" x14ac:dyDescent="0.15">
      <c r="A583" s="126"/>
      <c r="B583" s="126"/>
      <c r="C583" s="126"/>
      <c r="D583" s="127"/>
      <c r="E583" s="126"/>
      <c r="F583" s="126"/>
      <c r="G583" s="126"/>
      <c r="H583" s="126"/>
    </row>
    <row r="584" spans="1:8" x14ac:dyDescent="0.15">
      <c r="A584" s="126"/>
      <c r="B584" s="126"/>
      <c r="C584" s="126"/>
      <c r="D584" s="127"/>
      <c r="E584" s="126"/>
      <c r="F584" s="126"/>
      <c r="G584" s="126"/>
      <c r="H584" s="126"/>
    </row>
    <row r="585" spans="1:8" x14ac:dyDescent="0.15">
      <c r="A585" s="126"/>
      <c r="B585" s="126"/>
      <c r="C585" s="126"/>
      <c r="D585" s="127"/>
      <c r="E585" s="126"/>
      <c r="F585" s="126"/>
      <c r="G585" s="126"/>
      <c r="H585" s="126"/>
    </row>
    <row r="586" spans="1:8" x14ac:dyDescent="0.15">
      <c r="A586" s="126"/>
      <c r="B586" s="126"/>
      <c r="C586" s="126"/>
      <c r="D586" s="127"/>
      <c r="E586" s="126"/>
      <c r="F586" s="126"/>
      <c r="G586" s="126"/>
      <c r="H586" s="126"/>
    </row>
    <row r="587" spans="1:8" x14ac:dyDescent="0.15">
      <c r="A587" s="126"/>
      <c r="B587" s="126"/>
      <c r="C587" s="126"/>
      <c r="D587" s="127"/>
      <c r="E587" s="126"/>
      <c r="F587" s="126"/>
      <c r="G587" s="126"/>
      <c r="H587" s="126"/>
    </row>
    <row r="588" spans="1:8" x14ac:dyDescent="0.15">
      <c r="A588" s="126"/>
      <c r="B588" s="126"/>
      <c r="C588" s="126"/>
      <c r="D588" s="127"/>
      <c r="E588" s="126"/>
      <c r="F588" s="126"/>
      <c r="G588" s="126"/>
      <c r="H588" s="126"/>
    </row>
    <row r="589" spans="1:8" x14ac:dyDescent="0.15">
      <c r="A589" s="126"/>
      <c r="B589" s="126"/>
      <c r="C589" s="126"/>
      <c r="D589" s="127"/>
      <c r="E589" s="126"/>
      <c r="F589" s="126"/>
      <c r="G589" s="126"/>
      <c r="H589" s="126"/>
    </row>
    <row r="590" spans="1:8" x14ac:dyDescent="0.15">
      <c r="A590" s="126"/>
      <c r="B590" s="126"/>
      <c r="C590" s="126"/>
      <c r="D590" s="127"/>
      <c r="E590" s="126"/>
      <c r="F590" s="126"/>
      <c r="G590" s="126"/>
      <c r="H590" s="126"/>
    </row>
    <row r="591" spans="1:8" x14ac:dyDescent="0.15">
      <c r="A591" s="126"/>
      <c r="B591" s="126"/>
      <c r="C591" s="126"/>
      <c r="D591" s="127"/>
      <c r="E591" s="126"/>
      <c r="F591" s="126"/>
      <c r="G591" s="126"/>
      <c r="H591" s="126"/>
    </row>
    <row r="592" spans="1:8" x14ac:dyDescent="0.15">
      <c r="A592" s="126"/>
      <c r="B592" s="126"/>
      <c r="C592" s="126"/>
      <c r="D592" s="127"/>
      <c r="E592" s="126"/>
      <c r="F592" s="126"/>
      <c r="G592" s="126"/>
      <c r="H592" s="126"/>
    </row>
    <row r="593" spans="1:8" x14ac:dyDescent="0.15">
      <c r="A593" s="126"/>
      <c r="B593" s="126"/>
      <c r="C593" s="126"/>
      <c r="D593" s="127"/>
      <c r="E593" s="126"/>
      <c r="F593" s="126"/>
      <c r="G593" s="126"/>
      <c r="H593" s="126"/>
    </row>
    <row r="594" spans="1:8" x14ac:dyDescent="0.15">
      <c r="A594" s="126"/>
      <c r="B594" s="126"/>
      <c r="C594" s="126"/>
      <c r="D594" s="127"/>
      <c r="E594" s="126"/>
      <c r="F594" s="126"/>
      <c r="G594" s="126"/>
      <c r="H594" s="126"/>
    </row>
    <row r="595" spans="1:8" x14ac:dyDescent="0.15">
      <c r="A595" s="126"/>
      <c r="B595" s="126"/>
      <c r="C595" s="126"/>
      <c r="D595" s="127"/>
      <c r="E595" s="126"/>
      <c r="F595" s="126"/>
      <c r="G595" s="126"/>
      <c r="H595" s="126"/>
    </row>
    <row r="596" spans="1:8" x14ac:dyDescent="0.15">
      <c r="A596" s="126"/>
      <c r="B596" s="126"/>
      <c r="C596" s="126"/>
      <c r="D596" s="127"/>
      <c r="E596" s="126"/>
      <c r="F596" s="126"/>
      <c r="G596" s="126"/>
      <c r="H596" s="126"/>
    </row>
    <row r="597" spans="1:8" x14ac:dyDescent="0.15">
      <c r="A597" s="126"/>
      <c r="B597" s="126"/>
      <c r="C597" s="126"/>
      <c r="D597" s="127"/>
      <c r="E597" s="126"/>
      <c r="F597" s="126"/>
      <c r="G597" s="126"/>
      <c r="H597" s="126"/>
    </row>
    <row r="598" spans="1:8" x14ac:dyDescent="0.15">
      <c r="A598" s="126"/>
      <c r="B598" s="126"/>
      <c r="C598" s="126"/>
      <c r="D598" s="127"/>
      <c r="E598" s="126"/>
      <c r="F598" s="126"/>
      <c r="G598" s="126"/>
      <c r="H598" s="126"/>
    </row>
    <row r="599" spans="1:8" x14ac:dyDescent="0.15">
      <c r="A599" s="126"/>
      <c r="B599" s="126"/>
      <c r="C599" s="126"/>
      <c r="D599" s="127"/>
      <c r="E599" s="126"/>
      <c r="F599" s="126"/>
      <c r="G599" s="126"/>
      <c r="H599" s="126"/>
    </row>
    <row r="600" spans="1:8" x14ac:dyDescent="0.15">
      <c r="A600" s="126"/>
      <c r="B600" s="126"/>
      <c r="C600" s="126"/>
      <c r="D600" s="127"/>
      <c r="E600" s="126"/>
      <c r="F600" s="126"/>
      <c r="G600" s="126"/>
      <c r="H600" s="126"/>
    </row>
    <row r="601" spans="1:8" x14ac:dyDescent="0.15">
      <c r="A601" s="126"/>
      <c r="B601" s="126"/>
      <c r="C601" s="126"/>
      <c r="D601" s="127"/>
      <c r="E601" s="126"/>
      <c r="F601" s="126"/>
      <c r="G601" s="126"/>
      <c r="H601" s="126"/>
    </row>
    <row r="602" spans="1:8" x14ac:dyDescent="0.15">
      <c r="A602" s="126"/>
      <c r="B602" s="126"/>
      <c r="C602" s="126"/>
      <c r="D602" s="127"/>
      <c r="E602" s="126"/>
      <c r="F602" s="126"/>
      <c r="G602" s="126"/>
      <c r="H602" s="126"/>
    </row>
    <row r="603" spans="1:8" x14ac:dyDescent="0.15">
      <c r="A603" s="126"/>
      <c r="B603" s="126"/>
      <c r="C603" s="126"/>
      <c r="D603" s="127"/>
      <c r="E603" s="126"/>
      <c r="F603" s="126"/>
      <c r="G603" s="126"/>
      <c r="H603" s="126"/>
    </row>
    <row r="604" spans="1:8" x14ac:dyDescent="0.15">
      <c r="A604" s="126"/>
      <c r="B604" s="126"/>
      <c r="C604" s="126"/>
      <c r="D604" s="127"/>
      <c r="E604" s="126"/>
      <c r="F604" s="126"/>
      <c r="G604" s="126"/>
      <c r="H604" s="126"/>
    </row>
    <row r="605" spans="1:8" x14ac:dyDescent="0.15">
      <c r="A605" s="126"/>
      <c r="B605" s="126"/>
      <c r="C605" s="126"/>
      <c r="D605" s="127"/>
      <c r="E605" s="126"/>
      <c r="F605" s="126"/>
      <c r="G605" s="126"/>
      <c r="H605" s="126"/>
    </row>
    <row r="606" spans="1:8" x14ac:dyDescent="0.15">
      <c r="A606" s="126"/>
      <c r="B606" s="126"/>
      <c r="C606" s="126"/>
      <c r="D606" s="127"/>
      <c r="E606" s="126"/>
      <c r="F606" s="126"/>
      <c r="G606" s="126"/>
      <c r="H606" s="126"/>
    </row>
    <row r="607" spans="1:8" x14ac:dyDescent="0.15">
      <c r="A607" s="126"/>
      <c r="B607" s="126"/>
      <c r="C607" s="126"/>
      <c r="D607" s="127"/>
      <c r="E607" s="126"/>
      <c r="F607" s="126"/>
      <c r="G607" s="126"/>
      <c r="H607" s="126"/>
    </row>
    <row r="608" spans="1:8" x14ac:dyDescent="0.15">
      <c r="A608" s="126"/>
      <c r="B608" s="126"/>
      <c r="C608" s="126"/>
      <c r="D608" s="127"/>
      <c r="E608" s="126"/>
      <c r="F608" s="126"/>
      <c r="G608" s="126"/>
      <c r="H608" s="126"/>
    </row>
    <row r="609" spans="1:8" x14ac:dyDescent="0.15">
      <c r="A609" s="126"/>
      <c r="B609" s="126"/>
      <c r="C609" s="126"/>
      <c r="D609" s="127"/>
      <c r="E609" s="126"/>
      <c r="F609" s="126"/>
      <c r="G609" s="126"/>
      <c r="H609" s="126"/>
    </row>
    <row r="610" spans="1:8" x14ac:dyDescent="0.15">
      <c r="A610" s="126"/>
      <c r="B610" s="126"/>
      <c r="C610" s="126"/>
      <c r="D610" s="127"/>
      <c r="E610" s="126"/>
      <c r="F610" s="126"/>
      <c r="G610" s="126"/>
      <c r="H610" s="126"/>
    </row>
    <row r="611" spans="1:8" x14ac:dyDescent="0.15">
      <c r="A611" s="126"/>
      <c r="B611" s="126"/>
      <c r="C611" s="126"/>
      <c r="D611" s="127"/>
      <c r="E611" s="126"/>
      <c r="F611" s="126"/>
      <c r="G611" s="126"/>
      <c r="H611" s="126"/>
    </row>
    <row r="612" spans="1:8" x14ac:dyDescent="0.15">
      <c r="A612" s="126"/>
      <c r="B612" s="126"/>
      <c r="C612" s="126"/>
      <c r="D612" s="127"/>
      <c r="E612" s="126"/>
      <c r="F612" s="126"/>
      <c r="G612" s="126"/>
      <c r="H612" s="126"/>
    </row>
    <row r="613" spans="1:8" x14ac:dyDescent="0.15">
      <c r="A613" s="126"/>
      <c r="B613" s="126"/>
      <c r="C613" s="126"/>
      <c r="D613" s="127"/>
      <c r="E613" s="126"/>
      <c r="F613" s="126"/>
      <c r="G613" s="126"/>
      <c r="H613" s="126"/>
    </row>
    <row r="614" spans="1:8" x14ac:dyDescent="0.15">
      <c r="A614" s="126"/>
      <c r="B614" s="126"/>
      <c r="C614" s="126"/>
      <c r="D614" s="127"/>
      <c r="E614" s="126"/>
      <c r="F614" s="126"/>
      <c r="G614" s="126"/>
      <c r="H614" s="126"/>
    </row>
    <row r="615" spans="1:8" x14ac:dyDescent="0.15">
      <c r="A615" s="126"/>
      <c r="B615" s="126"/>
      <c r="C615" s="126"/>
      <c r="D615" s="127"/>
      <c r="E615" s="126"/>
      <c r="F615" s="126"/>
      <c r="G615" s="126"/>
      <c r="H615" s="126"/>
    </row>
    <row r="616" spans="1:8" x14ac:dyDescent="0.15">
      <c r="A616" s="126"/>
      <c r="B616" s="126"/>
      <c r="C616" s="126"/>
      <c r="D616" s="127"/>
      <c r="E616" s="126"/>
      <c r="F616" s="126"/>
      <c r="G616" s="126"/>
      <c r="H616" s="126"/>
    </row>
    <row r="617" spans="1:8" x14ac:dyDescent="0.15">
      <c r="A617" s="126"/>
      <c r="B617" s="126"/>
      <c r="C617" s="126"/>
      <c r="D617" s="127"/>
      <c r="E617" s="126"/>
      <c r="F617" s="126"/>
      <c r="G617" s="126"/>
      <c r="H617" s="126"/>
    </row>
    <row r="618" spans="1:8" x14ac:dyDescent="0.15">
      <c r="A618" s="126"/>
      <c r="B618" s="126"/>
      <c r="C618" s="126"/>
      <c r="D618" s="127"/>
      <c r="E618" s="126"/>
      <c r="F618" s="126"/>
      <c r="G618" s="126"/>
      <c r="H618" s="126"/>
    </row>
    <row r="619" spans="1:8" x14ac:dyDescent="0.15">
      <c r="A619" s="126"/>
      <c r="B619" s="126"/>
      <c r="C619" s="126"/>
      <c r="D619" s="127"/>
      <c r="E619" s="126"/>
      <c r="F619" s="126"/>
      <c r="G619" s="126"/>
      <c r="H619" s="126"/>
    </row>
    <row r="620" spans="1:8" x14ac:dyDescent="0.15">
      <c r="A620" s="126"/>
      <c r="B620" s="126"/>
      <c r="C620" s="126"/>
      <c r="D620" s="127"/>
      <c r="E620" s="126"/>
      <c r="F620" s="126"/>
      <c r="G620" s="126"/>
      <c r="H620" s="126"/>
    </row>
    <row r="621" spans="1:8" x14ac:dyDescent="0.15">
      <c r="A621" s="126"/>
      <c r="B621" s="126"/>
      <c r="C621" s="126"/>
      <c r="D621" s="127"/>
      <c r="E621" s="126"/>
      <c r="F621" s="126"/>
      <c r="G621" s="126"/>
      <c r="H621" s="126"/>
    </row>
    <row r="622" spans="1:8" x14ac:dyDescent="0.15">
      <c r="A622" s="126"/>
      <c r="B622" s="126"/>
      <c r="C622" s="126"/>
      <c r="D622" s="127"/>
      <c r="E622" s="126"/>
      <c r="F622" s="126"/>
      <c r="G622" s="126"/>
      <c r="H622" s="126"/>
    </row>
    <row r="623" spans="1:8" x14ac:dyDescent="0.15">
      <c r="A623" s="126"/>
      <c r="B623" s="126"/>
      <c r="C623" s="126"/>
      <c r="D623" s="127"/>
      <c r="E623" s="126"/>
      <c r="F623" s="126"/>
      <c r="G623" s="126"/>
      <c r="H623" s="126"/>
    </row>
    <row r="624" spans="1:8" x14ac:dyDescent="0.15">
      <c r="A624" s="126"/>
      <c r="B624" s="126"/>
      <c r="C624" s="126"/>
      <c r="D624" s="127"/>
      <c r="E624" s="126"/>
      <c r="F624" s="126"/>
      <c r="G624" s="126"/>
      <c r="H624" s="126"/>
    </row>
    <row r="625" spans="1:8" x14ac:dyDescent="0.15">
      <c r="A625" s="126"/>
      <c r="B625" s="126"/>
      <c r="C625" s="126"/>
      <c r="D625" s="127"/>
      <c r="E625" s="126"/>
      <c r="F625" s="126"/>
      <c r="G625" s="126"/>
      <c r="H625" s="126"/>
    </row>
    <row r="626" spans="1:8" x14ac:dyDescent="0.15">
      <c r="A626" s="126"/>
      <c r="B626" s="126"/>
      <c r="C626" s="126"/>
      <c r="D626" s="127"/>
      <c r="E626" s="126"/>
      <c r="F626" s="126"/>
      <c r="G626" s="126"/>
      <c r="H626" s="126"/>
    </row>
    <row r="627" spans="1:8" x14ac:dyDescent="0.15">
      <c r="A627" s="126"/>
      <c r="B627" s="126"/>
      <c r="C627" s="126"/>
      <c r="D627" s="127"/>
      <c r="E627" s="126"/>
      <c r="F627" s="126"/>
      <c r="G627" s="126"/>
      <c r="H627" s="126"/>
    </row>
    <row r="628" spans="1:8" x14ac:dyDescent="0.15">
      <c r="A628" s="126"/>
      <c r="B628" s="126"/>
      <c r="C628" s="126"/>
      <c r="D628" s="127"/>
      <c r="E628" s="126"/>
      <c r="F628" s="126"/>
      <c r="G628" s="126"/>
      <c r="H628" s="126"/>
    </row>
    <row r="629" spans="1:8" x14ac:dyDescent="0.15">
      <c r="A629" s="126"/>
      <c r="B629" s="126"/>
      <c r="C629" s="126"/>
      <c r="D629" s="127"/>
      <c r="E629" s="126"/>
      <c r="F629" s="126"/>
      <c r="G629" s="126"/>
      <c r="H629" s="126"/>
    </row>
    <row r="630" spans="1:8" x14ac:dyDescent="0.15">
      <c r="A630" s="126"/>
      <c r="B630" s="126"/>
      <c r="C630" s="126"/>
      <c r="D630" s="127"/>
      <c r="E630" s="126"/>
      <c r="F630" s="126"/>
      <c r="G630" s="126"/>
      <c r="H630" s="126"/>
    </row>
    <row r="631" spans="1:8" x14ac:dyDescent="0.15">
      <c r="A631" s="126"/>
      <c r="B631" s="126"/>
      <c r="C631" s="126"/>
      <c r="D631" s="127"/>
      <c r="E631" s="126"/>
      <c r="F631" s="126"/>
      <c r="G631" s="126"/>
      <c r="H631" s="126"/>
    </row>
    <row r="632" spans="1:8" x14ac:dyDescent="0.15">
      <c r="A632" s="126"/>
      <c r="B632" s="126"/>
      <c r="C632" s="126"/>
      <c r="D632" s="127"/>
      <c r="E632" s="126"/>
      <c r="F632" s="126"/>
      <c r="G632" s="126"/>
      <c r="H632" s="126"/>
    </row>
    <row r="633" spans="1:8" x14ac:dyDescent="0.15">
      <c r="A633" s="126"/>
      <c r="B633" s="126"/>
      <c r="C633" s="126"/>
      <c r="D633" s="127"/>
      <c r="E633" s="126"/>
      <c r="F633" s="126"/>
      <c r="G633" s="126"/>
      <c r="H633" s="126"/>
    </row>
    <row r="634" spans="1:8" x14ac:dyDescent="0.15">
      <c r="A634" s="126"/>
      <c r="B634" s="126"/>
      <c r="C634" s="126"/>
      <c r="D634" s="127"/>
      <c r="E634" s="126"/>
      <c r="F634" s="126"/>
      <c r="G634" s="126"/>
      <c r="H634" s="126"/>
    </row>
    <row r="635" spans="1:8" x14ac:dyDescent="0.15">
      <c r="A635" s="126"/>
      <c r="B635" s="126"/>
      <c r="C635" s="126"/>
      <c r="D635" s="127"/>
      <c r="E635" s="126"/>
      <c r="F635" s="126"/>
      <c r="G635" s="126"/>
      <c r="H635" s="126"/>
    </row>
    <row r="636" spans="1:8" x14ac:dyDescent="0.15">
      <c r="A636" s="126"/>
      <c r="B636" s="126"/>
      <c r="C636" s="126"/>
      <c r="D636" s="127"/>
      <c r="E636" s="126"/>
      <c r="F636" s="126"/>
      <c r="G636" s="126"/>
      <c r="H636" s="126"/>
    </row>
    <row r="637" spans="1:8" x14ac:dyDescent="0.15">
      <c r="A637" s="126"/>
      <c r="B637" s="126"/>
      <c r="C637" s="126"/>
      <c r="D637" s="127"/>
      <c r="E637" s="126"/>
      <c r="F637" s="126"/>
      <c r="G637" s="126"/>
      <c r="H637" s="126"/>
    </row>
    <row r="638" spans="1:8" x14ac:dyDescent="0.15">
      <c r="A638" s="126"/>
      <c r="B638" s="126"/>
      <c r="C638" s="126"/>
      <c r="D638" s="127"/>
      <c r="E638" s="126"/>
      <c r="F638" s="126"/>
      <c r="G638" s="126"/>
      <c r="H638" s="126"/>
    </row>
    <row r="639" spans="1:8" x14ac:dyDescent="0.15">
      <c r="A639" s="126"/>
      <c r="B639" s="126"/>
      <c r="C639" s="126"/>
      <c r="D639" s="127"/>
      <c r="E639" s="126"/>
      <c r="F639" s="126"/>
      <c r="G639" s="126"/>
      <c r="H639" s="126"/>
    </row>
    <row r="640" spans="1:8" x14ac:dyDescent="0.15">
      <c r="A640" s="126"/>
      <c r="B640" s="126"/>
      <c r="C640" s="126"/>
      <c r="D640" s="127"/>
      <c r="E640" s="126"/>
      <c r="F640" s="126"/>
      <c r="G640" s="126"/>
      <c r="H640" s="126"/>
    </row>
    <row r="641" spans="1:8" x14ac:dyDescent="0.15">
      <c r="A641" s="126"/>
      <c r="B641" s="126"/>
      <c r="C641" s="126"/>
      <c r="D641" s="127"/>
      <c r="E641" s="126"/>
      <c r="F641" s="126"/>
      <c r="G641" s="126"/>
      <c r="H641" s="126"/>
    </row>
    <row r="642" spans="1:8" x14ac:dyDescent="0.15">
      <c r="A642" s="126"/>
      <c r="B642" s="126"/>
      <c r="C642" s="126"/>
      <c r="D642" s="127"/>
      <c r="E642" s="126"/>
      <c r="F642" s="126"/>
      <c r="G642" s="126"/>
      <c r="H642" s="126"/>
    </row>
    <row r="643" spans="1:8" x14ac:dyDescent="0.15">
      <c r="A643" s="126"/>
      <c r="B643" s="126"/>
      <c r="C643" s="126"/>
      <c r="D643" s="127"/>
      <c r="E643" s="126"/>
      <c r="F643" s="126"/>
      <c r="G643" s="126"/>
      <c r="H643" s="126"/>
    </row>
    <row r="644" spans="1:8" x14ac:dyDescent="0.15">
      <c r="A644" s="126"/>
      <c r="B644" s="126"/>
      <c r="C644" s="126"/>
      <c r="D644" s="127"/>
      <c r="E644" s="126"/>
      <c r="F644" s="126"/>
      <c r="G644" s="126"/>
      <c r="H644" s="126"/>
    </row>
    <row r="645" spans="1:8" x14ac:dyDescent="0.15">
      <c r="A645" s="126"/>
      <c r="B645" s="126"/>
      <c r="C645" s="126"/>
      <c r="D645" s="127"/>
      <c r="E645" s="126"/>
      <c r="F645" s="126"/>
      <c r="G645" s="126"/>
      <c r="H645" s="126"/>
    </row>
    <row r="646" spans="1:8" x14ac:dyDescent="0.15">
      <c r="A646" s="126"/>
      <c r="B646" s="126"/>
      <c r="C646" s="126"/>
      <c r="D646" s="127"/>
      <c r="E646" s="126"/>
      <c r="F646" s="126"/>
      <c r="G646" s="126"/>
      <c r="H646" s="126"/>
    </row>
    <row r="647" spans="1:8" x14ac:dyDescent="0.15">
      <c r="A647" s="126"/>
      <c r="B647" s="126"/>
      <c r="C647" s="126"/>
      <c r="D647" s="127"/>
      <c r="E647" s="126"/>
      <c r="F647" s="126"/>
      <c r="G647" s="126"/>
      <c r="H647" s="126"/>
    </row>
    <row r="648" spans="1:8" x14ac:dyDescent="0.15">
      <c r="A648" s="126"/>
      <c r="B648" s="126"/>
      <c r="C648" s="126"/>
      <c r="D648" s="127"/>
      <c r="E648" s="126"/>
      <c r="F648" s="126"/>
      <c r="G648" s="126"/>
      <c r="H648" s="126"/>
    </row>
    <row r="649" spans="1:8" x14ac:dyDescent="0.15">
      <c r="A649" s="126"/>
      <c r="B649" s="126"/>
      <c r="C649" s="126"/>
      <c r="D649" s="127"/>
      <c r="E649" s="126"/>
      <c r="F649" s="126"/>
      <c r="G649" s="126"/>
      <c r="H649" s="126"/>
    </row>
    <row r="650" spans="1:8" x14ac:dyDescent="0.15">
      <c r="A650" s="126"/>
      <c r="B650" s="126"/>
      <c r="C650" s="126"/>
      <c r="D650" s="127"/>
      <c r="E650" s="126"/>
      <c r="F650" s="126"/>
      <c r="G650" s="126"/>
      <c r="H650" s="126"/>
    </row>
    <row r="651" spans="1:8" x14ac:dyDescent="0.15">
      <c r="A651" s="126"/>
      <c r="B651" s="126"/>
      <c r="C651" s="126"/>
      <c r="D651" s="127"/>
      <c r="E651" s="126"/>
      <c r="F651" s="126"/>
      <c r="G651" s="126"/>
      <c r="H651" s="126"/>
    </row>
    <row r="652" spans="1:8" x14ac:dyDescent="0.15">
      <c r="A652" s="126"/>
      <c r="B652" s="126"/>
      <c r="C652" s="126"/>
      <c r="D652" s="127"/>
      <c r="E652" s="126"/>
      <c r="F652" s="126"/>
      <c r="G652" s="126"/>
      <c r="H652" s="126"/>
    </row>
    <row r="653" spans="1:8" x14ac:dyDescent="0.15">
      <c r="A653" s="126"/>
      <c r="B653" s="126"/>
      <c r="C653" s="126"/>
      <c r="D653" s="127"/>
      <c r="E653" s="126"/>
      <c r="F653" s="126"/>
      <c r="G653" s="126"/>
      <c r="H653" s="126"/>
    </row>
    <row r="654" spans="1:8" x14ac:dyDescent="0.15">
      <c r="A654" s="126"/>
      <c r="B654" s="126"/>
      <c r="C654" s="126"/>
      <c r="D654" s="127"/>
      <c r="E654" s="126"/>
      <c r="F654" s="126"/>
      <c r="G654" s="126"/>
      <c r="H654" s="126"/>
    </row>
    <row r="655" spans="1:8" x14ac:dyDescent="0.15">
      <c r="A655" s="126"/>
      <c r="B655" s="126"/>
      <c r="C655" s="126"/>
      <c r="D655" s="127"/>
      <c r="E655" s="126"/>
      <c r="F655" s="126"/>
      <c r="G655" s="126"/>
      <c r="H655" s="126"/>
    </row>
    <row r="656" spans="1:8" x14ac:dyDescent="0.15">
      <c r="A656" s="126"/>
      <c r="B656" s="126"/>
      <c r="C656" s="126"/>
      <c r="D656" s="127"/>
      <c r="E656" s="126"/>
      <c r="F656" s="126"/>
      <c r="G656" s="126"/>
      <c r="H656" s="126"/>
    </row>
    <row r="657" spans="1:8" x14ac:dyDescent="0.15">
      <c r="A657" s="126"/>
      <c r="B657" s="126"/>
      <c r="C657" s="126"/>
      <c r="D657" s="127"/>
      <c r="E657" s="126"/>
      <c r="F657" s="126"/>
      <c r="G657" s="126"/>
      <c r="H657" s="126"/>
    </row>
    <row r="658" spans="1:8" x14ac:dyDescent="0.15">
      <c r="A658" s="126"/>
      <c r="B658" s="126"/>
      <c r="C658" s="126"/>
      <c r="D658" s="127"/>
      <c r="E658" s="126"/>
      <c r="F658" s="126"/>
      <c r="G658" s="126"/>
      <c r="H658" s="126"/>
    </row>
    <row r="659" spans="1:8" x14ac:dyDescent="0.15">
      <c r="A659" s="126"/>
      <c r="B659" s="126"/>
      <c r="C659" s="126"/>
      <c r="D659" s="127"/>
      <c r="E659" s="126"/>
      <c r="F659" s="126"/>
      <c r="G659" s="126"/>
      <c r="H659" s="126"/>
    </row>
    <row r="660" spans="1:8" x14ac:dyDescent="0.15">
      <c r="A660" s="126"/>
      <c r="B660" s="126"/>
      <c r="C660" s="126"/>
      <c r="D660" s="127"/>
      <c r="E660" s="126"/>
      <c r="F660" s="126"/>
      <c r="G660" s="126"/>
      <c r="H660" s="126"/>
    </row>
    <row r="661" spans="1:8" x14ac:dyDescent="0.15">
      <c r="A661" s="126"/>
      <c r="B661" s="126"/>
      <c r="C661" s="126"/>
      <c r="D661" s="127"/>
      <c r="E661" s="126"/>
      <c r="F661" s="126"/>
      <c r="G661" s="126"/>
      <c r="H661" s="126"/>
    </row>
    <row r="662" spans="1:8" x14ac:dyDescent="0.15">
      <c r="A662" s="126"/>
      <c r="B662" s="126"/>
      <c r="C662" s="126"/>
      <c r="D662" s="127"/>
      <c r="E662" s="126"/>
      <c r="F662" s="126"/>
      <c r="G662" s="126"/>
      <c r="H662" s="126"/>
    </row>
    <row r="663" spans="1:8" x14ac:dyDescent="0.15">
      <c r="A663" s="126"/>
      <c r="B663" s="126"/>
      <c r="C663" s="126"/>
      <c r="D663" s="127"/>
      <c r="E663" s="126"/>
      <c r="F663" s="126"/>
      <c r="G663" s="126"/>
      <c r="H663" s="126"/>
    </row>
    <row r="664" spans="1:8" x14ac:dyDescent="0.15">
      <c r="A664" s="126"/>
      <c r="B664" s="126"/>
      <c r="C664" s="126"/>
      <c r="D664" s="127"/>
      <c r="E664" s="126"/>
      <c r="F664" s="126"/>
      <c r="G664" s="126"/>
      <c r="H664" s="126"/>
    </row>
    <row r="665" spans="1:8" x14ac:dyDescent="0.15">
      <c r="A665" s="126"/>
      <c r="B665" s="126"/>
      <c r="C665" s="126"/>
      <c r="D665" s="127"/>
      <c r="E665" s="126"/>
      <c r="F665" s="126"/>
      <c r="G665" s="126"/>
      <c r="H665" s="126"/>
    </row>
    <row r="666" spans="1:8" x14ac:dyDescent="0.15">
      <c r="A666" s="126"/>
      <c r="B666" s="126"/>
      <c r="C666" s="126"/>
      <c r="D666" s="127"/>
      <c r="E666" s="126"/>
      <c r="F666" s="126"/>
      <c r="G666" s="126"/>
      <c r="H666" s="126"/>
    </row>
    <row r="667" spans="1:8" x14ac:dyDescent="0.15">
      <c r="A667" s="126"/>
      <c r="B667" s="126"/>
      <c r="C667" s="126"/>
      <c r="D667" s="127"/>
      <c r="E667" s="126"/>
      <c r="F667" s="126"/>
      <c r="G667" s="126"/>
      <c r="H667" s="126"/>
    </row>
    <row r="668" spans="1:8" x14ac:dyDescent="0.15">
      <c r="A668" s="126"/>
      <c r="B668" s="126"/>
      <c r="C668" s="126"/>
      <c r="D668" s="127"/>
      <c r="E668" s="126"/>
      <c r="F668" s="126"/>
      <c r="G668" s="126"/>
      <c r="H668" s="126"/>
    </row>
    <row r="669" spans="1:8" x14ac:dyDescent="0.15">
      <c r="A669" s="126"/>
      <c r="B669" s="126"/>
      <c r="C669" s="126"/>
      <c r="D669" s="127"/>
      <c r="E669" s="126"/>
      <c r="F669" s="126"/>
      <c r="G669" s="126"/>
      <c r="H669" s="126"/>
    </row>
    <row r="670" spans="1:8" x14ac:dyDescent="0.15">
      <c r="A670" s="126"/>
      <c r="B670" s="126"/>
      <c r="C670" s="126"/>
      <c r="D670" s="127"/>
      <c r="E670" s="126"/>
      <c r="F670" s="126"/>
      <c r="G670" s="126"/>
      <c r="H670" s="126"/>
    </row>
    <row r="671" spans="1:8" x14ac:dyDescent="0.15">
      <c r="A671" s="126"/>
      <c r="B671" s="126"/>
      <c r="C671" s="126"/>
      <c r="D671" s="127"/>
      <c r="E671" s="126"/>
      <c r="F671" s="126"/>
      <c r="G671" s="126"/>
      <c r="H671" s="126"/>
    </row>
    <row r="672" spans="1:8" x14ac:dyDescent="0.15">
      <c r="A672" s="126"/>
      <c r="B672" s="126"/>
      <c r="C672" s="126"/>
      <c r="D672" s="127"/>
      <c r="E672" s="126"/>
      <c r="F672" s="126"/>
      <c r="G672" s="126"/>
      <c r="H672" s="126"/>
    </row>
    <row r="673" spans="1:8" x14ac:dyDescent="0.15">
      <c r="A673" s="126"/>
      <c r="B673" s="126"/>
      <c r="C673" s="126"/>
      <c r="D673" s="127"/>
      <c r="E673" s="126"/>
      <c r="F673" s="126"/>
      <c r="G673" s="126"/>
      <c r="H673" s="126"/>
    </row>
    <row r="674" spans="1:8" x14ac:dyDescent="0.15">
      <c r="A674" s="126"/>
      <c r="B674" s="126"/>
      <c r="C674" s="126"/>
      <c r="D674" s="127"/>
      <c r="E674" s="126"/>
      <c r="F674" s="126"/>
      <c r="G674" s="126"/>
      <c r="H674" s="126"/>
    </row>
    <row r="675" spans="1:8" x14ac:dyDescent="0.15">
      <c r="A675" s="126"/>
      <c r="B675" s="126"/>
      <c r="C675" s="126"/>
      <c r="D675" s="127"/>
      <c r="E675" s="126"/>
      <c r="F675" s="126"/>
      <c r="G675" s="126"/>
      <c r="H675" s="126"/>
    </row>
    <row r="676" spans="1:8" x14ac:dyDescent="0.15">
      <c r="A676" s="126"/>
      <c r="B676" s="126"/>
      <c r="C676" s="126"/>
      <c r="D676" s="127"/>
      <c r="E676" s="126"/>
      <c r="F676" s="126"/>
      <c r="G676" s="126"/>
      <c r="H676" s="126"/>
    </row>
    <row r="677" spans="1:8" x14ac:dyDescent="0.15">
      <c r="A677" s="126"/>
      <c r="B677" s="126"/>
      <c r="C677" s="126"/>
      <c r="D677" s="127"/>
      <c r="E677" s="126"/>
      <c r="F677" s="126"/>
      <c r="G677" s="126"/>
      <c r="H677" s="126"/>
    </row>
    <row r="678" spans="1:8" x14ac:dyDescent="0.15">
      <c r="A678" s="126"/>
      <c r="B678" s="126"/>
      <c r="C678" s="126"/>
      <c r="D678" s="127"/>
      <c r="E678" s="126"/>
      <c r="F678" s="126"/>
      <c r="G678" s="126"/>
      <c r="H678" s="126"/>
    </row>
    <row r="679" spans="1:8" x14ac:dyDescent="0.15">
      <c r="A679" s="126"/>
      <c r="B679" s="126"/>
      <c r="C679" s="126"/>
      <c r="D679" s="127"/>
      <c r="E679" s="126"/>
      <c r="F679" s="126"/>
      <c r="G679" s="126"/>
      <c r="H679" s="126"/>
    </row>
    <row r="680" spans="1:8" x14ac:dyDescent="0.15">
      <c r="A680" s="126"/>
      <c r="B680" s="126"/>
      <c r="C680" s="126"/>
      <c r="D680" s="127"/>
      <c r="E680" s="126"/>
      <c r="F680" s="126"/>
      <c r="G680" s="126"/>
      <c r="H680" s="126"/>
    </row>
    <row r="681" spans="1:8" x14ac:dyDescent="0.15">
      <c r="A681" s="126"/>
      <c r="B681" s="126"/>
      <c r="C681" s="126"/>
      <c r="D681" s="127"/>
      <c r="E681" s="126"/>
      <c r="F681" s="126"/>
      <c r="G681" s="126"/>
      <c r="H681" s="126"/>
    </row>
    <row r="682" spans="1:8" x14ac:dyDescent="0.15">
      <c r="A682" s="126"/>
      <c r="B682" s="126"/>
      <c r="C682" s="126"/>
      <c r="D682" s="127"/>
      <c r="E682" s="126"/>
      <c r="F682" s="126"/>
      <c r="G682" s="126"/>
      <c r="H682" s="126"/>
    </row>
    <row r="683" spans="1:8" x14ac:dyDescent="0.15">
      <c r="A683" s="126"/>
      <c r="B683" s="126"/>
      <c r="C683" s="126"/>
      <c r="D683" s="127"/>
      <c r="E683" s="126"/>
      <c r="F683" s="126"/>
      <c r="G683" s="126"/>
      <c r="H683" s="126"/>
    </row>
  </sheetData>
  <autoFilter ref="A1:BA121" xr:uid="{00000000-0009-0000-0000-000004000000}"/>
  <phoneticPr fontId="3"/>
  <dataValidations count="21">
    <dataValidation type="list" allowBlank="1" showInputMessage="1" showErrorMessage="1" sqref="F2:F683" xr:uid="{DF29F170-B5EC-4AF8-96D0-264ACBA2A990}">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999D9EA0-420C-4B41-9A77-23E89ED1196F}">
      <formula1>$AR$2:$AR$30</formula1>
    </dataValidation>
    <dataValidation type="list" allowBlank="1" showInputMessage="1" showErrorMessage="1" sqref="J2:J1000" xr:uid="{D5DB5D30-17BD-4C81-9438-CA9E2112A9BC}">
      <formula1>$AP$2:$AP$29</formula1>
    </dataValidation>
    <dataValidation type="list" allowBlank="1" showInputMessage="1" showErrorMessage="1" sqref="K2:K1000" xr:uid="{CFC24939-D2EC-4609-9517-1E49760330F9}">
      <formula1>$AR$2:$AR$29</formula1>
    </dataValidation>
    <dataValidation type="list" allowBlank="1" showInputMessage="1" showErrorMessage="1" sqref="H2:H1429" xr:uid="{13309E6D-A7B2-4C61-8EAC-3823646E95EE}">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BEE2FD42-04A6-431B-8D98-BBBB300BA004}">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180EFA4E-2B3A-473E-A35C-FEC7702E0DD6}">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0C3566F4-6BEC-4522-88FF-3BB3D34661A0}">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186314EA-7672-4D81-A3AF-86B20719E6E2}">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04BB5B13-F8E9-4681-9B29-FE860A0C6B61}">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CC9B36A2-CCBB-4E4E-8561-3C17F774F8E0}">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AA327E51-97C4-44C0-9F24-5E026A1582D0}"/>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B1E86C6E-378B-48BB-BA98-765BBF53CA54}">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8D3BA775-D4D1-4180-8DDC-FFCCCE619702}">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3A837B0C-BED5-4C47-BCD8-6DC4D67D3F39}">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A6B5A1C3-37BD-4197-8AC7-4FD23A42239C}">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6F53C711-6F8F-4557-B951-3046815E07D0}">
      <formula1>$AV$2:$AV$22</formula1>
    </dataValidation>
    <dataValidation type="list" allowBlank="1" showInputMessage="1" showErrorMessage="1" sqref="E2:E683" xr:uid="{40598EA7-4AD4-4E3F-8A0C-4659BA02BA38}">
      <formula1>$AG$2:$AG$11</formula1>
    </dataValidation>
    <dataValidation type="list" allowBlank="1" showInputMessage="1" showErrorMessage="1" sqref="A2:A683" xr:uid="{E6CF50F6-06DB-4BDC-B1C1-418D4572D986}">
      <formula1>$AE$2:$AE$19</formula1>
    </dataValidation>
    <dataValidation type="list" allowBlank="1" showInputMessage="1" showErrorMessage="1" sqref="Y2:AA500" xr:uid="{8C02CECD-1C07-4B46-8417-39130196AF75}">
      <formula1>$AV$2:$AV$21</formula1>
    </dataValidation>
    <dataValidation type="decimal" allowBlank="1" showInputMessage="1" showErrorMessage="1" error="硬度を正しく入力して下さい。" sqref="O96:P500 O5:P10 P11:P16 O17:P34 O41:P94 P35:P40" xr:uid="{0810496A-8321-4C2C-9D68-7C8C18ABA4A4}">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FCBB6-E193-4EC7-9378-D0A2B915A512}">
  <dimension ref="A1:BA152"/>
  <sheetViews>
    <sheetView zoomScale="85" zoomScaleNormal="85" workbookViewId="0"/>
  </sheetViews>
  <sheetFormatPr defaultColWidth="8.875" defaultRowHeight="13.5" x14ac:dyDescent="0.15"/>
  <cols>
    <col min="1" max="3" width="8.875" style="80"/>
    <col min="4" max="4" width="13.5" style="80" bestFit="1" customWidth="1"/>
    <col min="5" max="5" width="9.625" style="80" bestFit="1" customWidth="1"/>
    <col min="6" max="16" width="8.875" style="80"/>
    <col min="17" max="17" width="8.875" style="16"/>
    <col min="18" max="19" width="8.875" style="80"/>
    <col min="20" max="20" width="8.875" style="16"/>
    <col min="21" max="21" width="8.875" style="80"/>
    <col min="22" max="22" width="8.875" style="16"/>
    <col min="23" max="32" width="8.875" style="80"/>
    <col min="33" max="33" width="19.625" style="80" bestFit="1" customWidth="1"/>
    <col min="34" max="259" width="8.875" style="80"/>
    <col min="260" max="260" width="10.5" style="80" bestFit="1" customWidth="1"/>
    <col min="261" max="261" width="9.625" style="80" bestFit="1" customWidth="1"/>
    <col min="262" max="515" width="8.875" style="80"/>
    <col min="516" max="516" width="10.5" style="80" bestFit="1" customWidth="1"/>
    <col min="517" max="517" width="9.625" style="80" bestFit="1" customWidth="1"/>
    <col min="518" max="771" width="8.875" style="80"/>
    <col min="772" max="772" width="10.5" style="80" bestFit="1" customWidth="1"/>
    <col min="773" max="773" width="9.625" style="80" bestFit="1" customWidth="1"/>
    <col min="774" max="1027" width="8.875" style="80"/>
    <col min="1028" max="1028" width="10.5" style="80" bestFit="1" customWidth="1"/>
    <col min="1029" max="1029" width="9.625" style="80" bestFit="1" customWidth="1"/>
    <col min="1030" max="1283" width="8.875" style="80"/>
    <col min="1284" max="1284" width="10.5" style="80" bestFit="1" customWidth="1"/>
    <col min="1285" max="1285" width="9.625" style="80" bestFit="1" customWidth="1"/>
    <col min="1286" max="1539" width="8.875" style="80"/>
    <col min="1540" max="1540" width="10.5" style="80" bestFit="1" customWidth="1"/>
    <col min="1541" max="1541" width="9.625" style="80" bestFit="1" customWidth="1"/>
    <col min="1542" max="1795" width="8.875" style="80"/>
    <col min="1796" max="1796" width="10.5" style="80" bestFit="1" customWidth="1"/>
    <col min="1797" max="1797" width="9.625" style="80" bestFit="1" customWidth="1"/>
    <col min="1798" max="2051" width="8.875" style="80"/>
    <col min="2052" max="2052" width="10.5" style="80" bestFit="1" customWidth="1"/>
    <col min="2053" max="2053" width="9.625" style="80" bestFit="1" customWidth="1"/>
    <col min="2054" max="2307" width="8.875" style="80"/>
    <col min="2308" max="2308" width="10.5" style="80" bestFit="1" customWidth="1"/>
    <col min="2309" max="2309" width="9.625" style="80" bestFit="1" customWidth="1"/>
    <col min="2310" max="2563" width="8.875" style="80"/>
    <col min="2564" max="2564" width="10.5" style="80" bestFit="1" customWidth="1"/>
    <col min="2565" max="2565" width="9.625" style="80" bestFit="1" customWidth="1"/>
    <col min="2566" max="2819" width="8.875" style="80"/>
    <col min="2820" max="2820" width="10.5" style="80" bestFit="1" customWidth="1"/>
    <col min="2821" max="2821" width="9.625" style="80" bestFit="1" customWidth="1"/>
    <col min="2822" max="3075" width="8.875" style="80"/>
    <col min="3076" max="3076" width="10.5" style="80" bestFit="1" customWidth="1"/>
    <col min="3077" max="3077" width="9.625" style="80" bestFit="1" customWidth="1"/>
    <col min="3078" max="3331" width="8.875" style="80"/>
    <col min="3332" max="3332" width="10.5" style="80" bestFit="1" customWidth="1"/>
    <col min="3333" max="3333" width="9.625" style="80" bestFit="1" customWidth="1"/>
    <col min="3334" max="3587" width="8.875" style="80"/>
    <col min="3588" max="3588" width="10.5" style="80" bestFit="1" customWidth="1"/>
    <col min="3589" max="3589" width="9.625" style="80" bestFit="1" customWidth="1"/>
    <col min="3590" max="3843" width="8.875" style="80"/>
    <col min="3844" max="3844" width="10.5" style="80" bestFit="1" customWidth="1"/>
    <col min="3845" max="3845" width="9.625" style="80" bestFit="1" customWidth="1"/>
    <col min="3846" max="4099" width="8.875" style="80"/>
    <col min="4100" max="4100" width="10.5" style="80" bestFit="1" customWidth="1"/>
    <col min="4101" max="4101" width="9.625" style="80" bestFit="1" customWidth="1"/>
    <col min="4102" max="4355" width="8.875" style="80"/>
    <col min="4356" max="4356" width="10.5" style="80" bestFit="1" customWidth="1"/>
    <col min="4357" max="4357" width="9.625" style="80" bestFit="1" customWidth="1"/>
    <col min="4358" max="4611" width="8.875" style="80"/>
    <col min="4612" max="4612" width="10.5" style="80" bestFit="1" customWidth="1"/>
    <col min="4613" max="4613" width="9.625" style="80" bestFit="1" customWidth="1"/>
    <col min="4614" max="4867" width="8.875" style="80"/>
    <col min="4868" max="4868" width="10.5" style="80" bestFit="1" customWidth="1"/>
    <col min="4869" max="4869" width="9.625" style="80" bestFit="1" customWidth="1"/>
    <col min="4870" max="5123" width="8.875" style="80"/>
    <col min="5124" max="5124" width="10.5" style="80" bestFit="1" customWidth="1"/>
    <col min="5125" max="5125" width="9.625" style="80" bestFit="1" customWidth="1"/>
    <col min="5126" max="5379" width="8.875" style="80"/>
    <col min="5380" max="5380" width="10.5" style="80" bestFit="1" customWidth="1"/>
    <col min="5381" max="5381" width="9.625" style="80" bestFit="1" customWidth="1"/>
    <col min="5382" max="5635" width="8.875" style="80"/>
    <col min="5636" max="5636" width="10.5" style="80" bestFit="1" customWidth="1"/>
    <col min="5637" max="5637" width="9.625" style="80" bestFit="1" customWidth="1"/>
    <col min="5638" max="5891" width="8.875" style="80"/>
    <col min="5892" max="5892" width="10.5" style="80" bestFit="1" customWidth="1"/>
    <col min="5893" max="5893" width="9.625" style="80" bestFit="1" customWidth="1"/>
    <col min="5894" max="6147" width="8.875" style="80"/>
    <col min="6148" max="6148" width="10.5" style="80" bestFit="1" customWidth="1"/>
    <col min="6149" max="6149" width="9.625" style="80" bestFit="1" customWidth="1"/>
    <col min="6150" max="6403" width="8.875" style="80"/>
    <col min="6404" max="6404" width="10.5" style="80" bestFit="1" customWidth="1"/>
    <col min="6405" max="6405" width="9.625" style="80" bestFit="1" customWidth="1"/>
    <col min="6406" max="6659" width="8.875" style="80"/>
    <col min="6660" max="6660" width="10.5" style="80" bestFit="1" customWidth="1"/>
    <col min="6661" max="6661" width="9.625" style="80" bestFit="1" customWidth="1"/>
    <col min="6662" max="6915" width="8.875" style="80"/>
    <col min="6916" max="6916" width="10.5" style="80" bestFit="1" customWidth="1"/>
    <col min="6917" max="6917" width="9.625" style="80" bestFit="1" customWidth="1"/>
    <col min="6918" max="7171" width="8.875" style="80"/>
    <col min="7172" max="7172" width="10.5" style="80" bestFit="1" customWidth="1"/>
    <col min="7173" max="7173" width="9.625" style="80" bestFit="1" customWidth="1"/>
    <col min="7174" max="7427" width="8.875" style="80"/>
    <col min="7428" max="7428" width="10.5" style="80" bestFit="1" customWidth="1"/>
    <col min="7429" max="7429" width="9.625" style="80" bestFit="1" customWidth="1"/>
    <col min="7430" max="7683" width="8.875" style="80"/>
    <col min="7684" max="7684" width="10.5" style="80" bestFit="1" customWidth="1"/>
    <col min="7685" max="7685" width="9.625" style="80" bestFit="1" customWidth="1"/>
    <col min="7686" max="7939" width="8.875" style="80"/>
    <col min="7940" max="7940" width="10.5" style="80" bestFit="1" customWidth="1"/>
    <col min="7941" max="7941" width="9.625" style="80" bestFit="1" customWidth="1"/>
    <col min="7942" max="8195" width="8.875" style="80"/>
    <col min="8196" max="8196" width="10.5" style="80" bestFit="1" customWidth="1"/>
    <col min="8197" max="8197" width="9.625" style="80" bestFit="1" customWidth="1"/>
    <col min="8198" max="8451" width="8.875" style="80"/>
    <col min="8452" max="8452" width="10.5" style="80" bestFit="1" customWidth="1"/>
    <col min="8453" max="8453" width="9.625" style="80" bestFit="1" customWidth="1"/>
    <col min="8454" max="8707" width="8.875" style="80"/>
    <col min="8708" max="8708" width="10.5" style="80" bestFit="1" customWidth="1"/>
    <col min="8709" max="8709" width="9.625" style="80" bestFit="1" customWidth="1"/>
    <col min="8710" max="8963" width="8.875" style="80"/>
    <col min="8964" max="8964" width="10.5" style="80" bestFit="1" customWidth="1"/>
    <col min="8965" max="8965" width="9.625" style="80" bestFit="1" customWidth="1"/>
    <col min="8966" max="9219" width="8.875" style="80"/>
    <col min="9220" max="9220" width="10.5" style="80" bestFit="1" customWidth="1"/>
    <col min="9221" max="9221" width="9.625" style="80" bestFit="1" customWidth="1"/>
    <col min="9222" max="9475" width="8.875" style="80"/>
    <col min="9476" max="9476" width="10.5" style="80" bestFit="1" customWidth="1"/>
    <col min="9477" max="9477" width="9.625" style="80" bestFit="1" customWidth="1"/>
    <col min="9478" max="9731" width="8.875" style="80"/>
    <col min="9732" max="9732" width="10.5" style="80" bestFit="1" customWidth="1"/>
    <col min="9733" max="9733" width="9.625" style="80" bestFit="1" customWidth="1"/>
    <col min="9734" max="9987" width="8.875" style="80"/>
    <col min="9988" max="9988" width="10.5" style="80" bestFit="1" customWidth="1"/>
    <col min="9989" max="9989" width="9.625" style="80" bestFit="1" customWidth="1"/>
    <col min="9990" max="10243" width="8.875" style="80"/>
    <col min="10244" max="10244" width="10.5" style="80" bestFit="1" customWidth="1"/>
    <col min="10245" max="10245" width="9.625" style="80" bestFit="1" customWidth="1"/>
    <col min="10246" max="10499" width="8.875" style="80"/>
    <col min="10500" max="10500" width="10.5" style="80" bestFit="1" customWidth="1"/>
    <col min="10501" max="10501" width="9.625" style="80" bestFit="1" customWidth="1"/>
    <col min="10502" max="10755" width="8.875" style="80"/>
    <col min="10756" max="10756" width="10.5" style="80" bestFit="1" customWidth="1"/>
    <col min="10757" max="10757" width="9.625" style="80" bestFit="1" customWidth="1"/>
    <col min="10758" max="11011" width="8.875" style="80"/>
    <col min="11012" max="11012" width="10.5" style="80" bestFit="1" customWidth="1"/>
    <col min="11013" max="11013" width="9.625" style="80" bestFit="1" customWidth="1"/>
    <col min="11014" max="11267" width="8.875" style="80"/>
    <col min="11268" max="11268" width="10.5" style="80" bestFit="1" customWidth="1"/>
    <col min="11269" max="11269" width="9.625" style="80" bestFit="1" customWidth="1"/>
    <col min="11270" max="11523" width="8.875" style="80"/>
    <col min="11524" max="11524" width="10.5" style="80" bestFit="1" customWidth="1"/>
    <col min="11525" max="11525" width="9.625" style="80" bestFit="1" customWidth="1"/>
    <col min="11526" max="11779" width="8.875" style="80"/>
    <col min="11780" max="11780" width="10.5" style="80" bestFit="1" customWidth="1"/>
    <col min="11781" max="11781" width="9.625" style="80" bestFit="1" customWidth="1"/>
    <col min="11782" max="12035" width="8.875" style="80"/>
    <col min="12036" max="12036" width="10.5" style="80" bestFit="1" customWidth="1"/>
    <col min="12037" max="12037" width="9.625" style="80" bestFit="1" customWidth="1"/>
    <col min="12038" max="12291" width="8.875" style="80"/>
    <col min="12292" max="12292" width="10.5" style="80" bestFit="1" customWidth="1"/>
    <col min="12293" max="12293" width="9.625" style="80" bestFit="1" customWidth="1"/>
    <col min="12294" max="12547" width="8.875" style="80"/>
    <col min="12548" max="12548" width="10.5" style="80" bestFit="1" customWidth="1"/>
    <col min="12549" max="12549" width="9.625" style="80" bestFit="1" customWidth="1"/>
    <col min="12550" max="12803" width="8.875" style="80"/>
    <col min="12804" max="12804" width="10.5" style="80" bestFit="1" customWidth="1"/>
    <col min="12805" max="12805" width="9.625" style="80" bestFit="1" customWidth="1"/>
    <col min="12806" max="13059" width="8.875" style="80"/>
    <col min="13060" max="13060" width="10.5" style="80" bestFit="1" customWidth="1"/>
    <col min="13061" max="13061" width="9.625" style="80" bestFit="1" customWidth="1"/>
    <col min="13062" max="13315" width="8.875" style="80"/>
    <col min="13316" max="13316" width="10.5" style="80" bestFit="1" customWidth="1"/>
    <col min="13317" max="13317" width="9.625" style="80" bestFit="1" customWidth="1"/>
    <col min="13318" max="13571" width="8.875" style="80"/>
    <col min="13572" max="13572" width="10.5" style="80" bestFit="1" customWidth="1"/>
    <col min="13573" max="13573" width="9.625" style="80" bestFit="1" customWidth="1"/>
    <col min="13574" max="13827" width="8.875" style="80"/>
    <col min="13828" max="13828" width="10.5" style="80" bestFit="1" customWidth="1"/>
    <col min="13829" max="13829" width="9.625" style="80" bestFit="1" customWidth="1"/>
    <col min="13830" max="14083" width="8.875" style="80"/>
    <col min="14084" max="14084" width="10.5" style="80" bestFit="1" customWidth="1"/>
    <col min="14085" max="14085" width="9.625" style="80" bestFit="1" customWidth="1"/>
    <col min="14086" max="14339" width="8.875" style="80"/>
    <col min="14340" max="14340" width="10.5" style="80" bestFit="1" customWidth="1"/>
    <col min="14341" max="14341" width="9.625" style="80" bestFit="1" customWidth="1"/>
    <col min="14342" max="14595" width="8.875" style="80"/>
    <col min="14596" max="14596" width="10.5" style="80" bestFit="1" customWidth="1"/>
    <col min="14597" max="14597" width="9.625" style="80" bestFit="1" customWidth="1"/>
    <col min="14598" max="14851" width="8.875" style="80"/>
    <col min="14852" max="14852" width="10.5" style="80" bestFit="1" customWidth="1"/>
    <col min="14853" max="14853" width="9.625" style="80" bestFit="1" customWidth="1"/>
    <col min="14854" max="15107" width="8.875" style="80"/>
    <col min="15108" max="15108" width="10.5" style="80" bestFit="1" customWidth="1"/>
    <col min="15109" max="15109" width="9.625" style="80" bestFit="1" customWidth="1"/>
    <col min="15110" max="15363" width="8.875" style="80"/>
    <col min="15364" max="15364" width="10.5" style="80" bestFit="1" customWidth="1"/>
    <col min="15365" max="15365" width="9.625" style="80" bestFit="1" customWidth="1"/>
    <col min="15366" max="15619" width="8.875" style="80"/>
    <col min="15620" max="15620" width="10.5" style="80" bestFit="1" customWidth="1"/>
    <col min="15621" max="15621" width="9.625" style="80" bestFit="1" customWidth="1"/>
    <col min="15622" max="15875" width="8.875" style="80"/>
    <col min="15876" max="15876" width="10.5" style="80" bestFit="1" customWidth="1"/>
    <col min="15877" max="15877" width="9.625" style="80" bestFit="1" customWidth="1"/>
    <col min="15878" max="16131" width="8.875" style="80"/>
    <col min="16132" max="16132" width="10.5" style="80" bestFit="1" customWidth="1"/>
    <col min="16133" max="16133" width="9.625" style="80" bestFit="1" customWidth="1"/>
    <col min="16134" max="16384" width="8.875" style="80"/>
  </cols>
  <sheetData>
    <row r="1" spans="1:53" ht="45" x14ac:dyDescent="0.15">
      <c r="A1" s="40" t="s">
        <v>0</v>
      </c>
      <c r="B1" s="95" t="s">
        <v>1</v>
      </c>
      <c r="C1" s="95" t="s">
        <v>118</v>
      </c>
      <c r="D1" s="96" t="s">
        <v>2</v>
      </c>
      <c r="E1" s="86" t="s">
        <v>3</v>
      </c>
      <c r="F1" s="86" t="s">
        <v>4</v>
      </c>
      <c r="G1" s="86" t="s">
        <v>5</v>
      </c>
      <c r="H1" s="86" t="s">
        <v>6</v>
      </c>
      <c r="I1" s="86" t="s">
        <v>7</v>
      </c>
      <c r="J1" s="86" t="s">
        <v>8</v>
      </c>
      <c r="K1" s="86" t="s">
        <v>9</v>
      </c>
      <c r="L1" s="96" t="s">
        <v>119</v>
      </c>
      <c r="M1" s="96" t="s">
        <v>10</v>
      </c>
      <c r="N1" s="96" t="s">
        <v>279</v>
      </c>
      <c r="O1" s="96" t="s">
        <v>120</v>
      </c>
      <c r="P1" s="96" t="s">
        <v>121</v>
      </c>
      <c r="Q1" s="3" t="s">
        <v>12</v>
      </c>
      <c r="R1" s="96" t="s">
        <v>122</v>
      </c>
      <c r="S1" s="96" t="s">
        <v>123</v>
      </c>
      <c r="T1" s="3" t="s">
        <v>13</v>
      </c>
      <c r="U1" s="118" t="s">
        <v>245</v>
      </c>
      <c r="V1" s="5" t="s">
        <v>14</v>
      </c>
      <c r="W1" s="96" t="s">
        <v>15</v>
      </c>
      <c r="X1" s="86" t="s">
        <v>16</v>
      </c>
      <c r="Y1" s="86" t="s">
        <v>17</v>
      </c>
      <c r="Z1" s="86" t="s">
        <v>18</v>
      </c>
      <c r="AA1" s="42" t="s">
        <v>19</v>
      </c>
      <c r="AB1" s="119" t="s">
        <v>124</v>
      </c>
      <c r="AE1" s="99" t="s">
        <v>0</v>
      </c>
      <c r="AF1" s="120"/>
      <c r="AG1" s="99" t="s">
        <v>3</v>
      </c>
      <c r="AH1" s="99" t="s">
        <v>4</v>
      </c>
      <c r="AI1" s="120"/>
      <c r="AJ1" s="99" t="s">
        <v>5</v>
      </c>
      <c r="AK1" s="120"/>
      <c r="AL1" s="10" t="s">
        <v>6</v>
      </c>
      <c r="AM1" s="120"/>
      <c r="AN1" s="10" t="s">
        <v>7</v>
      </c>
      <c r="AO1" s="120"/>
      <c r="AP1" s="10" t="s">
        <v>20</v>
      </c>
      <c r="AQ1" s="120"/>
      <c r="AR1" s="10" t="s">
        <v>9</v>
      </c>
      <c r="AS1" s="120"/>
      <c r="AT1" s="11" t="s">
        <v>21</v>
      </c>
      <c r="AU1" s="120"/>
      <c r="AV1" s="10" t="s">
        <v>22</v>
      </c>
      <c r="AX1" s="12" t="s">
        <v>125</v>
      </c>
      <c r="AY1" s="13" t="s">
        <v>126</v>
      </c>
      <c r="AZ1" s="13" t="s">
        <v>127</v>
      </c>
      <c r="BA1" s="14" t="s">
        <v>128</v>
      </c>
    </row>
    <row r="2" spans="1:53" x14ac:dyDescent="0.15">
      <c r="A2" s="80" t="s">
        <v>46</v>
      </c>
      <c r="B2" s="80" t="s">
        <v>160</v>
      </c>
      <c r="C2" s="183">
        <v>2020</v>
      </c>
      <c r="D2" s="184" t="s">
        <v>379</v>
      </c>
      <c r="E2" s="80" t="s">
        <v>380</v>
      </c>
      <c r="F2" s="80" t="s">
        <v>381</v>
      </c>
      <c r="G2" s="80" t="s">
        <v>25</v>
      </c>
      <c r="H2" s="80" t="s">
        <v>167</v>
      </c>
      <c r="I2" s="80" t="s">
        <v>111</v>
      </c>
      <c r="J2" s="80" t="s">
        <v>27</v>
      </c>
      <c r="K2" s="80" t="s">
        <v>112</v>
      </c>
      <c r="L2" s="80">
        <v>1</v>
      </c>
      <c r="N2" s="80">
        <v>4</v>
      </c>
      <c r="O2" s="80">
        <v>0.24</v>
      </c>
      <c r="P2" s="80">
        <v>0.23</v>
      </c>
      <c r="Q2" s="44">
        <f>IF(OR(O2="",P2=""),"",AVERAGE(O2,P2))</f>
        <v>0.23499999999999999</v>
      </c>
      <c r="R2" s="80">
        <v>13.7</v>
      </c>
      <c r="S2" s="80">
        <v>97</v>
      </c>
      <c r="T2" s="16">
        <f t="shared" ref="T2:T57" si="0">IF(H2="","",IF(OR(H2="GREEN",H2="GK"),IF(S2&gt;=$AX$2,VLOOKUP(S2,$AX$2:$AY$12,2,1),""),IF(S2&gt;=$AZ$2,VLOOKUP(S2,$AZ$2:$BA$12,2,1),"")))</f>
        <v>36</v>
      </c>
      <c r="U2" s="80">
        <v>498</v>
      </c>
      <c r="V2" s="16">
        <f t="shared" ref="V2:V65" si="1">IF(J2="","",IF(OR(J2="GREEN",J2="GK"),IF(U2&gt;=$AX$2,VLOOKUP(U2,$AX$2:$AY$12,2,1),""),IF(U2&gt;=$AZ$2,VLOOKUP(U2,$AZ$2:$BA$12,2,1),"")))</f>
        <v>16</v>
      </c>
      <c r="W2" s="80">
        <v>6</v>
      </c>
      <c r="X2" s="80" t="s">
        <v>35</v>
      </c>
      <c r="Y2" s="80" t="s">
        <v>64</v>
      </c>
      <c r="Z2" s="80" t="s">
        <v>43</v>
      </c>
      <c r="AA2" s="80" t="s">
        <v>86</v>
      </c>
      <c r="AB2" s="80" t="s">
        <v>161</v>
      </c>
      <c r="AE2" s="106" t="s">
        <v>24</v>
      </c>
      <c r="AG2" s="185" t="s">
        <v>382</v>
      </c>
      <c r="AH2" s="186" t="s">
        <v>383</v>
      </c>
      <c r="AJ2" s="50" t="s">
        <v>25</v>
      </c>
      <c r="AL2" s="109" t="s">
        <v>107</v>
      </c>
      <c r="AN2" s="50" t="s">
        <v>384</v>
      </c>
      <c r="AP2" s="50" t="s">
        <v>27</v>
      </c>
      <c r="AR2" s="50" t="s">
        <v>129</v>
      </c>
      <c r="AT2" s="50" t="s">
        <v>28</v>
      </c>
      <c r="AV2" s="83" t="s">
        <v>43</v>
      </c>
      <c r="AX2" s="110">
        <v>1</v>
      </c>
      <c r="AY2" s="111">
        <v>50</v>
      </c>
      <c r="AZ2" s="111">
        <v>1</v>
      </c>
      <c r="BA2" s="112">
        <v>50</v>
      </c>
    </row>
    <row r="3" spans="1:53" x14ac:dyDescent="0.15">
      <c r="A3" s="80" t="s">
        <v>46</v>
      </c>
      <c r="B3" s="80" t="s">
        <v>160</v>
      </c>
      <c r="C3" s="183">
        <v>2020</v>
      </c>
      <c r="D3" s="184" t="s">
        <v>379</v>
      </c>
      <c r="E3" s="80" t="s">
        <v>380</v>
      </c>
      <c r="F3" s="80" t="s">
        <v>381</v>
      </c>
      <c r="G3" s="80" t="s">
        <v>25</v>
      </c>
      <c r="H3" s="80" t="s">
        <v>167</v>
      </c>
      <c r="I3" s="80" t="s">
        <v>111</v>
      </c>
      <c r="J3" s="80" t="s">
        <v>27</v>
      </c>
      <c r="K3" s="80" t="s">
        <v>112</v>
      </c>
      <c r="L3" s="80">
        <v>2</v>
      </c>
      <c r="N3" s="80">
        <v>4</v>
      </c>
      <c r="O3" s="80">
        <v>0.24</v>
      </c>
      <c r="P3" s="80">
        <v>0.24</v>
      </c>
      <c r="Q3" s="44">
        <f t="shared" ref="Q3:Q66" si="2">IF(OR(O3="",P3=""),"",AVERAGE(O3,P3))</f>
        <v>0.24</v>
      </c>
      <c r="R3" s="80">
        <v>14.3</v>
      </c>
      <c r="S3" s="80">
        <v>99</v>
      </c>
      <c r="T3" s="16">
        <f t="shared" si="0"/>
        <v>33</v>
      </c>
      <c r="U3" s="80">
        <v>498</v>
      </c>
      <c r="V3" s="16">
        <f t="shared" si="1"/>
        <v>16</v>
      </c>
      <c r="W3" s="80">
        <v>6</v>
      </c>
      <c r="X3" s="80" t="s">
        <v>35</v>
      </c>
      <c r="Y3" s="80" t="s">
        <v>64</v>
      </c>
      <c r="Z3" s="80" t="s">
        <v>43</v>
      </c>
      <c r="AA3" s="80" t="s">
        <v>86</v>
      </c>
      <c r="AB3" s="80" t="s">
        <v>161</v>
      </c>
      <c r="AE3" s="22" t="s">
        <v>30</v>
      </c>
      <c r="AG3" s="185" t="s">
        <v>385</v>
      </c>
      <c r="AH3" s="186" t="s">
        <v>386</v>
      </c>
      <c r="AJ3" s="83" t="s">
        <v>31</v>
      </c>
      <c r="AL3" s="83" t="s">
        <v>108</v>
      </c>
      <c r="AN3" s="83" t="s">
        <v>32</v>
      </c>
      <c r="AP3" s="83" t="s">
        <v>33</v>
      </c>
      <c r="AR3" s="83" t="s">
        <v>34</v>
      </c>
      <c r="AT3" s="83" t="s">
        <v>35</v>
      </c>
      <c r="AV3" s="83" t="s">
        <v>387</v>
      </c>
      <c r="AX3" s="24">
        <v>72</v>
      </c>
      <c r="AY3" s="25">
        <v>46</v>
      </c>
      <c r="AZ3" s="25">
        <v>71</v>
      </c>
      <c r="BA3" s="26">
        <v>42</v>
      </c>
    </row>
    <row r="4" spans="1:53" x14ac:dyDescent="0.15">
      <c r="A4" s="80" t="s">
        <v>46</v>
      </c>
      <c r="B4" s="80" t="s">
        <v>160</v>
      </c>
      <c r="C4" s="183">
        <v>2020</v>
      </c>
      <c r="D4" s="184" t="s">
        <v>379</v>
      </c>
      <c r="E4" s="80" t="s">
        <v>380</v>
      </c>
      <c r="F4" s="80" t="s">
        <v>381</v>
      </c>
      <c r="G4" s="80" t="s">
        <v>25</v>
      </c>
      <c r="H4" s="80" t="s">
        <v>167</v>
      </c>
      <c r="I4" s="80" t="s">
        <v>111</v>
      </c>
      <c r="J4" s="80" t="s">
        <v>27</v>
      </c>
      <c r="K4" s="80" t="s">
        <v>112</v>
      </c>
      <c r="L4" s="80">
        <v>3</v>
      </c>
      <c r="N4" s="80">
        <v>4</v>
      </c>
      <c r="O4" s="80">
        <v>0.21</v>
      </c>
      <c r="P4" s="80">
        <v>0.22</v>
      </c>
      <c r="Q4" s="44">
        <f t="shared" si="2"/>
        <v>0.215</v>
      </c>
      <c r="R4" s="80">
        <v>14</v>
      </c>
      <c r="S4" s="80">
        <v>105</v>
      </c>
      <c r="T4" s="16">
        <f t="shared" si="0"/>
        <v>33</v>
      </c>
      <c r="U4" s="80">
        <v>498</v>
      </c>
      <c r="V4" s="16">
        <f t="shared" si="1"/>
        <v>16</v>
      </c>
      <c r="W4" s="80">
        <v>6</v>
      </c>
      <c r="X4" s="80" t="s">
        <v>35</v>
      </c>
      <c r="Y4" s="80" t="s">
        <v>64</v>
      </c>
      <c r="Z4" s="80" t="s">
        <v>43</v>
      </c>
      <c r="AA4" s="80" t="s">
        <v>86</v>
      </c>
      <c r="AB4" s="80" t="s">
        <v>161</v>
      </c>
      <c r="AE4" s="22" t="s">
        <v>23</v>
      </c>
      <c r="AG4" s="185" t="s">
        <v>388</v>
      </c>
      <c r="AH4" s="186" t="s">
        <v>389</v>
      </c>
      <c r="AJ4" s="27" t="s">
        <v>37</v>
      </c>
      <c r="AL4" s="83" t="s">
        <v>109</v>
      </c>
      <c r="AN4" s="28" t="s">
        <v>38</v>
      </c>
      <c r="AP4" s="83" t="s">
        <v>130</v>
      </c>
      <c r="AR4" s="83" t="s">
        <v>390</v>
      </c>
      <c r="AT4" s="28"/>
      <c r="AV4" s="83" t="s">
        <v>391</v>
      </c>
      <c r="AX4" s="24">
        <v>75</v>
      </c>
      <c r="AY4" s="25">
        <v>42</v>
      </c>
      <c r="AZ4" s="25">
        <v>76</v>
      </c>
      <c r="BA4" s="26">
        <v>39</v>
      </c>
    </row>
    <row r="5" spans="1:53" x14ac:dyDescent="0.15">
      <c r="A5" s="80" t="s">
        <v>46</v>
      </c>
      <c r="B5" s="80" t="s">
        <v>160</v>
      </c>
      <c r="C5" s="183">
        <v>2020</v>
      </c>
      <c r="D5" s="184" t="s">
        <v>379</v>
      </c>
      <c r="E5" s="80" t="s">
        <v>380</v>
      </c>
      <c r="F5" s="80" t="s">
        <v>381</v>
      </c>
      <c r="G5" s="80" t="s">
        <v>25</v>
      </c>
      <c r="H5" s="80" t="s">
        <v>167</v>
      </c>
      <c r="I5" s="80" t="s">
        <v>111</v>
      </c>
      <c r="J5" s="80" t="s">
        <v>27</v>
      </c>
      <c r="K5" s="80" t="s">
        <v>112</v>
      </c>
      <c r="L5" s="80">
        <v>1</v>
      </c>
      <c r="N5" s="80">
        <v>1</v>
      </c>
      <c r="O5" s="80">
        <v>0.42</v>
      </c>
      <c r="P5" s="80">
        <v>0.4</v>
      </c>
      <c r="Q5" s="44">
        <f t="shared" si="2"/>
        <v>0.41000000000000003</v>
      </c>
      <c r="R5" s="80">
        <v>14.8</v>
      </c>
      <c r="S5" s="80">
        <v>113</v>
      </c>
      <c r="T5" s="16">
        <f t="shared" si="0"/>
        <v>30</v>
      </c>
      <c r="U5" s="80">
        <v>128</v>
      </c>
      <c r="V5" s="16">
        <f t="shared" si="1"/>
        <v>27</v>
      </c>
      <c r="W5" s="80">
        <v>2</v>
      </c>
      <c r="X5" s="80" t="s">
        <v>35</v>
      </c>
      <c r="Y5" s="80" t="s">
        <v>64</v>
      </c>
      <c r="Z5" s="80" t="s">
        <v>43</v>
      </c>
      <c r="AA5" s="80" t="s">
        <v>86</v>
      </c>
      <c r="AB5" s="80" t="s">
        <v>161</v>
      </c>
      <c r="AE5" s="22" t="s">
        <v>40</v>
      </c>
      <c r="AG5" s="185" t="s">
        <v>392</v>
      </c>
      <c r="AH5" s="186" t="s">
        <v>393</v>
      </c>
      <c r="AJ5" s="28"/>
      <c r="AL5" s="83" t="s">
        <v>132</v>
      </c>
      <c r="AN5" s="114" t="s">
        <v>133</v>
      </c>
      <c r="AP5" s="83" t="s">
        <v>394</v>
      </c>
      <c r="AR5" s="83" t="s">
        <v>42</v>
      </c>
      <c r="AV5" s="83" t="s">
        <v>395</v>
      </c>
      <c r="AX5" s="24">
        <v>84</v>
      </c>
      <c r="AY5" s="25">
        <v>39</v>
      </c>
      <c r="AZ5" s="25">
        <v>84</v>
      </c>
      <c r="BA5" s="26">
        <v>36</v>
      </c>
    </row>
    <row r="6" spans="1:53" x14ac:dyDescent="0.15">
      <c r="A6" s="80" t="s">
        <v>46</v>
      </c>
      <c r="B6" s="80" t="s">
        <v>160</v>
      </c>
      <c r="C6" s="183">
        <v>2020</v>
      </c>
      <c r="D6" s="184" t="s">
        <v>379</v>
      </c>
      <c r="E6" s="80" t="s">
        <v>380</v>
      </c>
      <c r="F6" s="80" t="s">
        <v>381</v>
      </c>
      <c r="G6" s="80" t="s">
        <v>25</v>
      </c>
      <c r="H6" s="80" t="s">
        <v>167</v>
      </c>
      <c r="I6" s="80" t="s">
        <v>111</v>
      </c>
      <c r="J6" s="80" t="s">
        <v>27</v>
      </c>
      <c r="K6" s="80" t="s">
        <v>112</v>
      </c>
      <c r="L6" s="80">
        <v>2</v>
      </c>
      <c r="N6" s="80">
        <v>1</v>
      </c>
      <c r="O6" s="80">
        <v>0.24</v>
      </c>
      <c r="P6" s="80">
        <v>0.24</v>
      </c>
      <c r="Q6" s="44">
        <f t="shared" si="2"/>
        <v>0.24</v>
      </c>
      <c r="R6" s="80">
        <v>16.100000000000001</v>
      </c>
      <c r="S6" s="80">
        <v>114</v>
      </c>
      <c r="T6" s="16">
        <f t="shared" si="0"/>
        <v>30</v>
      </c>
      <c r="U6" s="80">
        <v>128</v>
      </c>
      <c r="V6" s="16">
        <f t="shared" si="1"/>
        <v>27</v>
      </c>
      <c r="W6" s="80">
        <v>2</v>
      </c>
      <c r="X6" s="80" t="s">
        <v>35</v>
      </c>
      <c r="Y6" s="80" t="s">
        <v>64</v>
      </c>
      <c r="Z6" s="80" t="s">
        <v>43</v>
      </c>
      <c r="AA6" s="80" t="s">
        <v>86</v>
      </c>
      <c r="AB6" s="80" t="s">
        <v>161</v>
      </c>
      <c r="AE6" s="22" t="s">
        <v>44</v>
      </c>
      <c r="AG6" s="185" t="s">
        <v>396</v>
      </c>
      <c r="AH6" s="186" t="s">
        <v>397</v>
      </c>
      <c r="AL6" s="83" t="s">
        <v>135</v>
      </c>
      <c r="AN6" s="114" t="s">
        <v>136</v>
      </c>
      <c r="AP6" s="83" t="s">
        <v>41</v>
      </c>
      <c r="AR6" s="83" t="s">
        <v>398</v>
      </c>
      <c r="AV6" s="83" t="s">
        <v>47</v>
      </c>
      <c r="AX6" s="24">
        <v>97</v>
      </c>
      <c r="AY6" s="25">
        <v>36</v>
      </c>
      <c r="AZ6" s="25">
        <v>99</v>
      </c>
      <c r="BA6" s="26">
        <v>33</v>
      </c>
    </row>
    <row r="7" spans="1:53" x14ac:dyDescent="0.15">
      <c r="A7" s="80" t="s">
        <v>46</v>
      </c>
      <c r="B7" s="80" t="s">
        <v>160</v>
      </c>
      <c r="C7" s="183">
        <v>2020</v>
      </c>
      <c r="D7" s="184" t="s">
        <v>379</v>
      </c>
      <c r="E7" s="80" t="s">
        <v>380</v>
      </c>
      <c r="F7" s="80" t="s">
        <v>381</v>
      </c>
      <c r="G7" s="80" t="s">
        <v>25</v>
      </c>
      <c r="H7" s="80" t="s">
        <v>167</v>
      </c>
      <c r="I7" s="80" t="s">
        <v>111</v>
      </c>
      <c r="J7" s="80" t="s">
        <v>27</v>
      </c>
      <c r="K7" s="80" t="s">
        <v>112</v>
      </c>
      <c r="L7" s="80">
        <v>3</v>
      </c>
      <c r="N7" s="80">
        <v>1</v>
      </c>
      <c r="O7" s="80">
        <v>0.25</v>
      </c>
      <c r="P7" s="80">
        <v>0.28999999999999998</v>
      </c>
      <c r="Q7" s="44">
        <f t="shared" si="2"/>
        <v>0.27</v>
      </c>
      <c r="R7" s="80">
        <v>15.2</v>
      </c>
      <c r="S7" s="80">
        <v>112</v>
      </c>
      <c r="T7" s="16">
        <f t="shared" si="0"/>
        <v>33</v>
      </c>
      <c r="U7" s="80">
        <v>128</v>
      </c>
      <c r="V7" s="16">
        <f t="shared" si="1"/>
        <v>27</v>
      </c>
      <c r="W7" s="80">
        <v>2</v>
      </c>
      <c r="X7" s="80" t="s">
        <v>35</v>
      </c>
      <c r="Y7" s="80" t="s">
        <v>64</v>
      </c>
      <c r="Z7" s="80" t="s">
        <v>43</v>
      </c>
      <c r="AA7" s="80" t="s">
        <v>86</v>
      </c>
      <c r="AB7" s="80" t="s">
        <v>161</v>
      </c>
      <c r="AE7" s="22" t="s">
        <v>48</v>
      </c>
      <c r="AG7" s="185" t="s">
        <v>399</v>
      </c>
      <c r="AH7" s="186" t="s">
        <v>400</v>
      </c>
      <c r="AL7" s="89" t="s">
        <v>137</v>
      </c>
      <c r="AP7" s="83" t="s">
        <v>45</v>
      </c>
      <c r="AR7" s="83" t="s">
        <v>401</v>
      </c>
      <c r="AV7" s="83" t="s">
        <v>51</v>
      </c>
      <c r="AX7" s="24">
        <v>109</v>
      </c>
      <c r="AY7" s="25">
        <v>33</v>
      </c>
      <c r="AZ7" s="25">
        <v>113</v>
      </c>
      <c r="BA7" s="26">
        <v>30</v>
      </c>
    </row>
    <row r="8" spans="1:53" x14ac:dyDescent="0.15">
      <c r="A8" s="80" t="s">
        <v>46</v>
      </c>
      <c r="B8" s="80" t="s">
        <v>160</v>
      </c>
      <c r="C8" s="183">
        <v>2020</v>
      </c>
      <c r="D8" s="184" t="s">
        <v>379</v>
      </c>
      <c r="E8" s="80" t="s">
        <v>380</v>
      </c>
      <c r="F8" s="80" t="s">
        <v>381</v>
      </c>
      <c r="G8" s="80" t="s">
        <v>25</v>
      </c>
      <c r="H8" s="80" t="s">
        <v>113</v>
      </c>
      <c r="I8" s="80" t="s">
        <v>111</v>
      </c>
      <c r="J8" s="80" t="s">
        <v>27</v>
      </c>
      <c r="K8" s="80" t="s">
        <v>112</v>
      </c>
      <c r="L8" s="80">
        <v>1</v>
      </c>
      <c r="N8" s="80">
        <v>4</v>
      </c>
      <c r="O8" s="80">
        <v>0.6</v>
      </c>
      <c r="P8" s="80">
        <v>0.53</v>
      </c>
      <c r="Q8" s="44">
        <f t="shared" si="2"/>
        <v>0.56499999999999995</v>
      </c>
      <c r="R8" s="80">
        <v>16.8</v>
      </c>
      <c r="S8" s="80">
        <v>95</v>
      </c>
      <c r="T8" s="16">
        <f t="shared" si="0"/>
        <v>36</v>
      </c>
      <c r="U8" s="80">
        <v>398</v>
      </c>
      <c r="V8" s="16">
        <f t="shared" si="1"/>
        <v>16</v>
      </c>
      <c r="W8" s="80">
        <v>4</v>
      </c>
      <c r="X8" s="80" t="s">
        <v>35</v>
      </c>
      <c r="Y8" s="80" t="s">
        <v>64</v>
      </c>
      <c r="Z8" s="80" t="s">
        <v>43</v>
      </c>
      <c r="AA8" s="80" t="s">
        <v>86</v>
      </c>
      <c r="AB8" s="80" t="s">
        <v>161</v>
      </c>
      <c r="AE8" s="22" t="s">
        <v>46</v>
      </c>
      <c r="AG8" s="187" t="s">
        <v>316</v>
      </c>
      <c r="AH8" s="186" t="s">
        <v>402</v>
      </c>
      <c r="AL8" s="89" t="s">
        <v>110</v>
      </c>
      <c r="AP8" s="83" t="s">
        <v>49</v>
      </c>
      <c r="AR8" s="83" t="s">
        <v>67</v>
      </c>
      <c r="AV8" s="83" t="s">
        <v>82</v>
      </c>
      <c r="AX8" s="24">
        <v>119</v>
      </c>
      <c r="AY8" s="25">
        <v>30</v>
      </c>
      <c r="AZ8" s="25">
        <v>121</v>
      </c>
      <c r="BA8" s="26">
        <v>27</v>
      </c>
    </row>
    <row r="9" spans="1:53" x14ac:dyDescent="0.15">
      <c r="A9" s="80" t="s">
        <v>46</v>
      </c>
      <c r="B9" s="80" t="s">
        <v>160</v>
      </c>
      <c r="C9" s="183">
        <v>2020</v>
      </c>
      <c r="D9" s="184" t="s">
        <v>379</v>
      </c>
      <c r="E9" s="80" t="s">
        <v>380</v>
      </c>
      <c r="F9" s="80" t="s">
        <v>381</v>
      </c>
      <c r="G9" s="80" t="s">
        <v>25</v>
      </c>
      <c r="H9" s="80" t="s">
        <v>113</v>
      </c>
      <c r="I9" s="80" t="s">
        <v>111</v>
      </c>
      <c r="J9" s="80" t="s">
        <v>27</v>
      </c>
      <c r="K9" s="80" t="s">
        <v>112</v>
      </c>
      <c r="L9" s="80">
        <v>2</v>
      </c>
      <c r="N9" s="80">
        <v>4</v>
      </c>
      <c r="O9" s="80">
        <v>0.53</v>
      </c>
      <c r="P9" s="80">
        <v>0.49</v>
      </c>
      <c r="Q9" s="44">
        <f t="shared" si="2"/>
        <v>0.51</v>
      </c>
      <c r="R9" s="80">
        <v>16.399999999999999</v>
      </c>
      <c r="S9" s="80">
        <v>96</v>
      </c>
      <c r="T9" s="16">
        <f t="shared" si="0"/>
        <v>36</v>
      </c>
      <c r="U9" s="80">
        <v>398</v>
      </c>
      <c r="V9" s="16">
        <f t="shared" si="1"/>
        <v>16</v>
      </c>
      <c r="W9" s="80">
        <v>4</v>
      </c>
      <c r="X9" s="80" t="s">
        <v>35</v>
      </c>
      <c r="Y9" s="80" t="s">
        <v>64</v>
      </c>
      <c r="Z9" s="80" t="s">
        <v>43</v>
      </c>
      <c r="AA9" s="80" t="s">
        <v>86</v>
      </c>
      <c r="AB9" s="80" t="s">
        <v>161</v>
      </c>
      <c r="AE9" s="22" t="s">
        <v>83</v>
      </c>
      <c r="AG9" s="187" t="s">
        <v>403</v>
      </c>
      <c r="AH9" s="186" t="s">
        <v>381</v>
      </c>
      <c r="AL9" s="83" t="s">
        <v>139</v>
      </c>
      <c r="AP9" s="83" t="s">
        <v>404</v>
      </c>
      <c r="AR9" s="83" t="s">
        <v>75</v>
      </c>
      <c r="AV9" s="83" t="s">
        <v>86</v>
      </c>
      <c r="AX9" s="24">
        <v>128</v>
      </c>
      <c r="AY9" s="25">
        <v>27</v>
      </c>
      <c r="AZ9" s="25">
        <v>129</v>
      </c>
      <c r="BA9" s="26">
        <v>25</v>
      </c>
    </row>
    <row r="10" spans="1:53" x14ac:dyDescent="0.15">
      <c r="A10" s="80" t="s">
        <v>46</v>
      </c>
      <c r="B10" s="80" t="s">
        <v>160</v>
      </c>
      <c r="C10" s="183">
        <v>2020</v>
      </c>
      <c r="D10" s="184" t="s">
        <v>379</v>
      </c>
      <c r="E10" s="80" t="s">
        <v>380</v>
      </c>
      <c r="F10" s="80" t="s">
        <v>381</v>
      </c>
      <c r="G10" s="80" t="s">
        <v>25</v>
      </c>
      <c r="H10" s="80" t="s">
        <v>113</v>
      </c>
      <c r="I10" s="80" t="s">
        <v>111</v>
      </c>
      <c r="J10" s="80" t="s">
        <v>27</v>
      </c>
      <c r="K10" s="80" t="s">
        <v>112</v>
      </c>
      <c r="L10" s="80">
        <v>3</v>
      </c>
      <c r="N10" s="80">
        <v>4</v>
      </c>
      <c r="O10" s="80">
        <v>0.49</v>
      </c>
      <c r="P10" s="80">
        <v>0.55000000000000004</v>
      </c>
      <c r="Q10" s="44">
        <f>IF(OR(O10="",P10=""),"",AVERAGE(O10,P10))</f>
        <v>0.52</v>
      </c>
      <c r="R10" s="80">
        <v>16.7</v>
      </c>
      <c r="S10" s="80">
        <v>94</v>
      </c>
      <c r="T10" s="16">
        <f t="shared" si="0"/>
        <v>36</v>
      </c>
      <c r="U10" s="80">
        <v>398</v>
      </c>
      <c r="V10" s="16">
        <f t="shared" si="1"/>
        <v>16</v>
      </c>
      <c r="W10" s="80">
        <v>4</v>
      </c>
      <c r="X10" s="80" t="s">
        <v>35</v>
      </c>
      <c r="Y10" s="80" t="s">
        <v>64</v>
      </c>
      <c r="Z10" s="80" t="s">
        <v>43</v>
      </c>
      <c r="AA10" s="80" t="s">
        <v>86</v>
      </c>
      <c r="AB10" s="80" t="s">
        <v>161</v>
      </c>
      <c r="AE10" s="22" t="s">
        <v>87</v>
      </c>
      <c r="AG10" s="185" t="s">
        <v>405</v>
      </c>
      <c r="AH10" s="186" t="s">
        <v>393</v>
      </c>
      <c r="AL10" s="141"/>
      <c r="AP10" s="83" t="s">
        <v>84</v>
      </c>
      <c r="AR10" s="83" t="s">
        <v>103</v>
      </c>
      <c r="AV10" s="83" t="s">
        <v>90</v>
      </c>
      <c r="AX10" s="24">
        <v>138</v>
      </c>
      <c r="AY10" s="25">
        <v>25</v>
      </c>
      <c r="AZ10" s="25">
        <v>138</v>
      </c>
      <c r="BA10" s="26">
        <v>22</v>
      </c>
    </row>
    <row r="11" spans="1:53" x14ac:dyDescent="0.15">
      <c r="A11" s="80" t="s">
        <v>46</v>
      </c>
      <c r="B11" s="80" t="s">
        <v>160</v>
      </c>
      <c r="C11" s="183">
        <v>2020</v>
      </c>
      <c r="D11" s="184" t="s">
        <v>379</v>
      </c>
      <c r="E11" s="80" t="s">
        <v>385</v>
      </c>
      <c r="F11" s="80" t="s">
        <v>386</v>
      </c>
      <c r="G11" s="80" t="s">
        <v>25</v>
      </c>
      <c r="H11" s="80" t="s">
        <v>167</v>
      </c>
      <c r="I11" s="80" t="s">
        <v>111</v>
      </c>
      <c r="J11" s="80" t="s">
        <v>27</v>
      </c>
      <c r="K11" s="80" t="s">
        <v>112</v>
      </c>
      <c r="L11" s="80">
        <v>1</v>
      </c>
      <c r="N11" s="80">
        <v>4</v>
      </c>
      <c r="O11" s="80">
        <v>0.34</v>
      </c>
      <c r="P11" s="80">
        <v>0.33</v>
      </c>
      <c r="Q11" s="44">
        <f t="shared" si="2"/>
        <v>0.33500000000000002</v>
      </c>
      <c r="R11" s="80">
        <v>15.1</v>
      </c>
      <c r="S11" s="80">
        <v>96</v>
      </c>
      <c r="T11" s="16">
        <f t="shared" si="0"/>
        <v>36</v>
      </c>
      <c r="U11" s="80">
        <v>398</v>
      </c>
      <c r="V11" s="16">
        <f t="shared" si="1"/>
        <v>16</v>
      </c>
      <c r="W11" s="80">
        <v>1</v>
      </c>
      <c r="X11" s="80" t="s">
        <v>35</v>
      </c>
      <c r="Y11" s="80" t="s">
        <v>64</v>
      </c>
      <c r="Z11" s="80" t="s">
        <v>86</v>
      </c>
      <c r="AA11" s="80" t="s">
        <v>74</v>
      </c>
      <c r="AB11" s="80" t="s">
        <v>161</v>
      </c>
      <c r="AE11" s="22" t="s">
        <v>52</v>
      </c>
      <c r="AG11" s="187" t="s">
        <v>406</v>
      </c>
      <c r="AH11" s="186" t="s">
        <v>407</v>
      </c>
      <c r="AL11" s="141"/>
      <c r="AP11" s="83" t="s">
        <v>408</v>
      </c>
      <c r="AR11" s="83" t="s">
        <v>409</v>
      </c>
      <c r="AV11" s="83" t="s">
        <v>410</v>
      </c>
      <c r="AX11" s="24">
        <v>151</v>
      </c>
      <c r="AY11" s="25">
        <v>22</v>
      </c>
      <c r="AZ11" s="25">
        <v>152</v>
      </c>
      <c r="BA11" s="26">
        <v>18</v>
      </c>
    </row>
    <row r="12" spans="1:53" x14ac:dyDescent="0.15">
      <c r="A12" s="80" t="s">
        <v>46</v>
      </c>
      <c r="B12" s="80" t="s">
        <v>160</v>
      </c>
      <c r="C12" s="183">
        <v>2020</v>
      </c>
      <c r="D12" s="184" t="s">
        <v>379</v>
      </c>
      <c r="E12" s="80" t="s">
        <v>385</v>
      </c>
      <c r="F12" s="80" t="s">
        <v>386</v>
      </c>
      <c r="G12" s="80" t="s">
        <v>25</v>
      </c>
      <c r="H12" s="80" t="s">
        <v>167</v>
      </c>
      <c r="I12" s="80" t="s">
        <v>111</v>
      </c>
      <c r="J12" s="80" t="s">
        <v>27</v>
      </c>
      <c r="K12" s="80" t="s">
        <v>112</v>
      </c>
      <c r="L12" s="80">
        <v>2</v>
      </c>
      <c r="N12" s="80">
        <v>4</v>
      </c>
      <c r="O12" s="80">
        <v>0.3</v>
      </c>
      <c r="P12" s="80">
        <v>0.3</v>
      </c>
      <c r="Q12" s="44">
        <f t="shared" si="2"/>
        <v>0.3</v>
      </c>
      <c r="R12" s="80">
        <v>16.3</v>
      </c>
      <c r="S12" s="80">
        <v>109</v>
      </c>
      <c r="T12" s="16">
        <f t="shared" si="0"/>
        <v>33</v>
      </c>
      <c r="U12" s="80">
        <v>398</v>
      </c>
      <c r="V12" s="16">
        <f t="shared" si="1"/>
        <v>16</v>
      </c>
      <c r="W12" s="80">
        <v>1</v>
      </c>
      <c r="X12" s="80" t="s">
        <v>35</v>
      </c>
      <c r="Y12" s="80" t="s">
        <v>64</v>
      </c>
      <c r="Z12" s="80" t="s">
        <v>86</v>
      </c>
      <c r="AA12" s="80" t="s">
        <v>74</v>
      </c>
      <c r="AB12" s="80" t="s">
        <v>161</v>
      </c>
      <c r="AE12" s="22" t="s">
        <v>56</v>
      </c>
      <c r="AG12" s="83"/>
      <c r="AH12" s="188"/>
      <c r="AL12" s="141"/>
      <c r="AP12" s="83" t="s">
        <v>53</v>
      </c>
      <c r="AR12" s="83" t="s">
        <v>104</v>
      </c>
      <c r="AV12" s="83" t="s">
        <v>58</v>
      </c>
      <c r="AX12" s="31">
        <v>180</v>
      </c>
      <c r="AY12" s="32">
        <v>18</v>
      </c>
      <c r="AZ12" s="32">
        <v>181</v>
      </c>
      <c r="BA12" s="33">
        <v>16</v>
      </c>
    </row>
    <row r="13" spans="1:53" x14ac:dyDescent="0.15">
      <c r="A13" s="80" t="s">
        <v>46</v>
      </c>
      <c r="B13" s="80" t="s">
        <v>160</v>
      </c>
      <c r="C13" s="183">
        <v>2020</v>
      </c>
      <c r="D13" s="184" t="s">
        <v>379</v>
      </c>
      <c r="E13" s="80" t="s">
        <v>385</v>
      </c>
      <c r="F13" s="80" t="s">
        <v>386</v>
      </c>
      <c r="G13" s="80" t="s">
        <v>25</v>
      </c>
      <c r="H13" s="80" t="s">
        <v>167</v>
      </c>
      <c r="I13" s="80" t="s">
        <v>111</v>
      </c>
      <c r="J13" s="80" t="s">
        <v>27</v>
      </c>
      <c r="K13" s="80" t="s">
        <v>112</v>
      </c>
      <c r="L13" s="80">
        <v>3</v>
      </c>
      <c r="N13" s="80">
        <v>4</v>
      </c>
      <c r="O13" s="80">
        <v>0.33</v>
      </c>
      <c r="P13" s="80">
        <v>0.31</v>
      </c>
      <c r="Q13" s="44">
        <f t="shared" si="2"/>
        <v>0.32</v>
      </c>
      <c r="R13" s="80">
        <v>15.5</v>
      </c>
      <c r="S13" s="80">
        <v>104</v>
      </c>
      <c r="T13" s="16">
        <f t="shared" si="0"/>
        <v>33</v>
      </c>
      <c r="U13" s="80">
        <v>398</v>
      </c>
      <c r="V13" s="16">
        <f t="shared" si="1"/>
        <v>16</v>
      </c>
      <c r="W13" s="80">
        <v>1</v>
      </c>
      <c r="X13" s="80" t="s">
        <v>35</v>
      </c>
      <c r="Y13" s="80" t="s">
        <v>64</v>
      </c>
      <c r="Z13" s="80" t="s">
        <v>86</v>
      </c>
      <c r="AA13" s="80" t="s">
        <v>74</v>
      </c>
      <c r="AB13" s="80" t="s">
        <v>161</v>
      </c>
      <c r="AE13" s="22" t="s">
        <v>59</v>
      </c>
      <c r="AG13" s="83"/>
      <c r="AH13" s="83"/>
      <c r="AP13" s="83" t="s">
        <v>57</v>
      </c>
      <c r="AR13" s="83" t="s">
        <v>87</v>
      </c>
      <c r="AV13" s="83" t="s">
        <v>61</v>
      </c>
    </row>
    <row r="14" spans="1:53" x14ac:dyDescent="0.15">
      <c r="A14" s="80" t="s">
        <v>46</v>
      </c>
      <c r="B14" s="80" t="s">
        <v>160</v>
      </c>
      <c r="C14" s="183">
        <v>2020</v>
      </c>
      <c r="D14" s="184" t="s">
        <v>379</v>
      </c>
      <c r="E14" s="80" t="s">
        <v>385</v>
      </c>
      <c r="F14" s="80" t="s">
        <v>386</v>
      </c>
      <c r="G14" s="80" t="s">
        <v>25</v>
      </c>
      <c r="H14" s="80" t="s">
        <v>167</v>
      </c>
      <c r="I14" s="80" t="s">
        <v>111</v>
      </c>
      <c r="J14" s="80" t="s">
        <v>27</v>
      </c>
      <c r="K14" s="80" t="s">
        <v>112</v>
      </c>
      <c r="L14" s="80">
        <v>1</v>
      </c>
      <c r="N14" s="80">
        <v>1</v>
      </c>
      <c r="O14" s="80">
        <v>0.38</v>
      </c>
      <c r="P14" s="80">
        <v>0.34</v>
      </c>
      <c r="Q14" s="44">
        <f t="shared" si="2"/>
        <v>0.36</v>
      </c>
      <c r="R14" s="80">
        <v>15.4</v>
      </c>
      <c r="S14" s="80">
        <v>138</v>
      </c>
      <c r="T14" s="16">
        <f t="shared" si="0"/>
        <v>22</v>
      </c>
      <c r="U14" s="80">
        <v>148</v>
      </c>
      <c r="V14" s="16">
        <f t="shared" si="1"/>
        <v>22</v>
      </c>
      <c r="W14" s="80">
        <v>1</v>
      </c>
      <c r="X14" s="80" t="s">
        <v>35</v>
      </c>
      <c r="Y14" s="80" t="s">
        <v>64</v>
      </c>
      <c r="Z14" s="80" t="s">
        <v>86</v>
      </c>
      <c r="AA14" s="80" t="s">
        <v>74</v>
      </c>
      <c r="AB14" s="80" t="s">
        <v>161</v>
      </c>
      <c r="AE14" s="22" t="s">
        <v>62</v>
      </c>
      <c r="AG14" s="83"/>
      <c r="AH14" s="83"/>
      <c r="AP14" s="83" t="s">
        <v>411</v>
      </c>
      <c r="AR14" s="83" t="s">
        <v>105</v>
      </c>
      <c r="AV14" s="83" t="s">
        <v>64</v>
      </c>
    </row>
    <row r="15" spans="1:53" x14ac:dyDescent="0.15">
      <c r="A15" s="80" t="s">
        <v>46</v>
      </c>
      <c r="B15" s="80" t="s">
        <v>160</v>
      </c>
      <c r="C15" s="183">
        <v>2020</v>
      </c>
      <c r="D15" s="184" t="s">
        <v>379</v>
      </c>
      <c r="E15" s="80" t="s">
        <v>385</v>
      </c>
      <c r="F15" s="80" t="s">
        <v>386</v>
      </c>
      <c r="G15" s="80" t="s">
        <v>25</v>
      </c>
      <c r="H15" s="80" t="s">
        <v>167</v>
      </c>
      <c r="I15" s="80" t="s">
        <v>111</v>
      </c>
      <c r="J15" s="80" t="s">
        <v>27</v>
      </c>
      <c r="K15" s="80" t="s">
        <v>112</v>
      </c>
      <c r="L15" s="80">
        <v>2</v>
      </c>
      <c r="N15" s="80">
        <v>1</v>
      </c>
      <c r="O15" s="80">
        <v>0.39</v>
      </c>
      <c r="P15" s="80">
        <v>0.41</v>
      </c>
      <c r="Q15" s="44">
        <f t="shared" si="2"/>
        <v>0.4</v>
      </c>
      <c r="R15" s="80">
        <v>15.9</v>
      </c>
      <c r="S15" s="80">
        <v>146</v>
      </c>
      <c r="T15" s="16">
        <f t="shared" si="0"/>
        <v>22</v>
      </c>
      <c r="U15" s="80">
        <v>148</v>
      </c>
      <c r="V15" s="16">
        <f t="shared" si="1"/>
        <v>22</v>
      </c>
      <c r="W15" s="80">
        <v>1</v>
      </c>
      <c r="X15" s="80" t="s">
        <v>35</v>
      </c>
      <c r="Y15" s="80" t="s">
        <v>64</v>
      </c>
      <c r="Z15" s="80" t="s">
        <v>86</v>
      </c>
      <c r="AA15" s="80" t="s">
        <v>74</v>
      </c>
      <c r="AB15" s="80" t="s">
        <v>161</v>
      </c>
      <c r="AE15" s="22" t="s">
        <v>65</v>
      </c>
      <c r="AG15" s="83"/>
      <c r="AH15" s="83"/>
      <c r="AP15" s="83" t="s">
        <v>412</v>
      </c>
      <c r="AR15" s="83" t="s">
        <v>79</v>
      </c>
      <c r="AV15" s="83" t="s">
        <v>91</v>
      </c>
    </row>
    <row r="16" spans="1:53" x14ac:dyDescent="0.15">
      <c r="A16" s="80" t="s">
        <v>46</v>
      </c>
      <c r="B16" s="80" t="s">
        <v>160</v>
      </c>
      <c r="C16" s="183">
        <v>2020</v>
      </c>
      <c r="D16" s="184" t="s">
        <v>379</v>
      </c>
      <c r="E16" s="80" t="s">
        <v>385</v>
      </c>
      <c r="F16" s="80" t="s">
        <v>386</v>
      </c>
      <c r="G16" s="80" t="s">
        <v>25</v>
      </c>
      <c r="H16" s="80" t="s">
        <v>167</v>
      </c>
      <c r="I16" s="80" t="s">
        <v>111</v>
      </c>
      <c r="J16" s="80" t="s">
        <v>27</v>
      </c>
      <c r="K16" s="80" t="s">
        <v>112</v>
      </c>
      <c r="L16" s="80">
        <v>3</v>
      </c>
      <c r="N16" s="80">
        <v>1</v>
      </c>
      <c r="O16" s="80">
        <v>0.42</v>
      </c>
      <c r="P16" s="80">
        <v>0.36</v>
      </c>
      <c r="Q16" s="44">
        <f t="shared" si="2"/>
        <v>0.39</v>
      </c>
      <c r="R16" s="80">
        <v>16.5</v>
      </c>
      <c r="S16" s="80">
        <v>180</v>
      </c>
      <c r="T16" s="16">
        <f t="shared" si="0"/>
        <v>18</v>
      </c>
      <c r="U16" s="80">
        <v>148</v>
      </c>
      <c r="V16" s="16">
        <f t="shared" si="1"/>
        <v>22</v>
      </c>
      <c r="W16" s="80">
        <v>1</v>
      </c>
      <c r="X16" s="80" t="s">
        <v>35</v>
      </c>
      <c r="Y16" s="80" t="s">
        <v>64</v>
      </c>
      <c r="Z16" s="80" t="s">
        <v>86</v>
      </c>
      <c r="AA16" s="80" t="s">
        <v>74</v>
      </c>
      <c r="AB16" s="80" t="s">
        <v>161</v>
      </c>
      <c r="AE16" s="22" t="s">
        <v>68</v>
      </c>
      <c r="AG16" s="28"/>
      <c r="AH16" s="28"/>
      <c r="AP16" s="83" t="s">
        <v>66</v>
      </c>
      <c r="AR16" s="83" t="s">
        <v>50</v>
      </c>
      <c r="AV16" s="83" t="s">
        <v>70</v>
      </c>
    </row>
    <row r="17" spans="1:48" x14ac:dyDescent="0.15">
      <c r="A17" s="80" t="s">
        <v>46</v>
      </c>
      <c r="B17" s="80" t="s">
        <v>160</v>
      </c>
      <c r="C17" s="183">
        <v>2020</v>
      </c>
      <c r="D17" s="184" t="s">
        <v>379</v>
      </c>
      <c r="E17" s="80" t="s">
        <v>385</v>
      </c>
      <c r="F17" s="80" t="s">
        <v>386</v>
      </c>
      <c r="G17" s="80" t="s">
        <v>25</v>
      </c>
      <c r="H17" s="80" t="s">
        <v>113</v>
      </c>
      <c r="I17" s="80" t="s">
        <v>111</v>
      </c>
      <c r="J17" s="80" t="s">
        <v>27</v>
      </c>
      <c r="K17" s="80" t="s">
        <v>112</v>
      </c>
      <c r="L17" s="80">
        <v>1</v>
      </c>
      <c r="N17" s="80">
        <v>4</v>
      </c>
      <c r="O17" s="80">
        <v>0.47</v>
      </c>
      <c r="P17" s="80">
        <v>0.42</v>
      </c>
      <c r="Q17" s="44">
        <f t="shared" si="2"/>
        <v>0.44499999999999995</v>
      </c>
      <c r="R17" s="80">
        <v>15.6</v>
      </c>
      <c r="S17" s="80">
        <v>92</v>
      </c>
      <c r="T17" s="16">
        <f t="shared" si="0"/>
        <v>36</v>
      </c>
      <c r="U17" s="80">
        <v>298</v>
      </c>
      <c r="V17" s="16">
        <f t="shared" si="1"/>
        <v>16</v>
      </c>
      <c r="W17" s="80">
        <v>1</v>
      </c>
      <c r="X17" s="80" t="s">
        <v>35</v>
      </c>
      <c r="Y17" s="80" t="s">
        <v>64</v>
      </c>
      <c r="Z17" s="80" t="s">
        <v>86</v>
      </c>
      <c r="AA17" s="80" t="s">
        <v>74</v>
      </c>
      <c r="AB17" s="80" t="s">
        <v>161</v>
      </c>
      <c r="AE17" s="22" t="s">
        <v>71</v>
      </c>
      <c r="AP17" s="27" t="s">
        <v>93</v>
      </c>
      <c r="AR17" s="83" t="s">
        <v>81</v>
      </c>
      <c r="AV17" s="83" t="s">
        <v>72</v>
      </c>
    </row>
    <row r="18" spans="1:48" x14ac:dyDescent="0.15">
      <c r="A18" s="80" t="s">
        <v>46</v>
      </c>
      <c r="B18" s="80" t="s">
        <v>160</v>
      </c>
      <c r="C18" s="183">
        <v>2020</v>
      </c>
      <c r="D18" s="184" t="s">
        <v>379</v>
      </c>
      <c r="E18" s="80" t="s">
        <v>385</v>
      </c>
      <c r="F18" s="80" t="s">
        <v>386</v>
      </c>
      <c r="G18" s="80" t="s">
        <v>25</v>
      </c>
      <c r="H18" s="80" t="s">
        <v>113</v>
      </c>
      <c r="I18" s="80" t="s">
        <v>111</v>
      </c>
      <c r="J18" s="80" t="s">
        <v>27</v>
      </c>
      <c r="K18" s="80" t="s">
        <v>112</v>
      </c>
      <c r="L18" s="80">
        <v>2</v>
      </c>
      <c r="N18" s="80">
        <v>4</v>
      </c>
      <c r="O18" s="80">
        <v>0.3</v>
      </c>
      <c r="P18" s="80">
        <v>0.31</v>
      </c>
      <c r="Q18" s="44">
        <f t="shared" si="2"/>
        <v>0.30499999999999999</v>
      </c>
      <c r="R18" s="80">
        <v>13.1</v>
      </c>
      <c r="S18" s="80">
        <v>81</v>
      </c>
      <c r="T18" s="16">
        <f t="shared" si="0"/>
        <v>39</v>
      </c>
      <c r="U18" s="80">
        <v>298</v>
      </c>
      <c r="V18" s="16">
        <f t="shared" si="1"/>
        <v>16</v>
      </c>
      <c r="W18" s="80">
        <v>1</v>
      </c>
      <c r="X18" s="80" t="s">
        <v>35</v>
      </c>
      <c r="Y18" s="80" t="s">
        <v>64</v>
      </c>
      <c r="Z18" s="80" t="s">
        <v>86</v>
      </c>
      <c r="AA18" s="80" t="s">
        <v>74</v>
      </c>
      <c r="AB18" s="80" t="s">
        <v>161</v>
      </c>
      <c r="AE18" s="22" t="s">
        <v>73</v>
      </c>
      <c r="AP18" s="27" t="s">
        <v>413</v>
      </c>
      <c r="AR18" s="83" t="s">
        <v>85</v>
      </c>
      <c r="AV18" s="83" t="s">
        <v>74</v>
      </c>
    </row>
    <row r="19" spans="1:48" x14ac:dyDescent="0.15">
      <c r="A19" s="80" t="s">
        <v>46</v>
      </c>
      <c r="B19" s="80" t="s">
        <v>160</v>
      </c>
      <c r="C19" s="183">
        <v>2020</v>
      </c>
      <c r="D19" s="184" t="s">
        <v>379</v>
      </c>
      <c r="E19" s="80" t="s">
        <v>385</v>
      </c>
      <c r="F19" s="80" t="s">
        <v>386</v>
      </c>
      <c r="G19" s="80" t="s">
        <v>25</v>
      </c>
      <c r="H19" s="80" t="s">
        <v>113</v>
      </c>
      <c r="I19" s="80" t="s">
        <v>111</v>
      </c>
      <c r="J19" s="80" t="s">
        <v>27</v>
      </c>
      <c r="K19" s="80" t="s">
        <v>112</v>
      </c>
      <c r="L19" s="80">
        <v>3</v>
      </c>
      <c r="N19" s="80">
        <v>4</v>
      </c>
      <c r="O19" s="80">
        <v>0.52</v>
      </c>
      <c r="P19" s="80">
        <v>0.48</v>
      </c>
      <c r="Q19" s="44">
        <f t="shared" si="2"/>
        <v>0.5</v>
      </c>
      <c r="R19" s="80">
        <v>14.7</v>
      </c>
      <c r="S19" s="80">
        <v>85</v>
      </c>
      <c r="T19" s="16">
        <f t="shared" si="0"/>
        <v>36</v>
      </c>
      <c r="U19" s="80">
        <v>298</v>
      </c>
      <c r="V19" s="16">
        <f t="shared" si="1"/>
        <v>16</v>
      </c>
      <c r="W19" s="80">
        <v>1</v>
      </c>
      <c r="X19" s="80" t="s">
        <v>35</v>
      </c>
      <c r="Y19" s="80" t="s">
        <v>64</v>
      </c>
      <c r="Z19" s="80" t="s">
        <v>86</v>
      </c>
      <c r="AA19" s="80" t="s">
        <v>74</v>
      </c>
      <c r="AB19" s="80" t="s">
        <v>161</v>
      </c>
      <c r="AE19" s="35" t="s">
        <v>75</v>
      </c>
      <c r="AP19" s="27" t="s">
        <v>95</v>
      </c>
      <c r="AR19" s="83" t="s">
        <v>106</v>
      </c>
      <c r="AV19" s="83" t="s">
        <v>414</v>
      </c>
    </row>
    <row r="20" spans="1:48" x14ac:dyDescent="0.15">
      <c r="A20" s="80" t="s">
        <v>46</v>
      </c>
      <c r="B20" s="80" t="s">
        <v>160</v>
      </c>
      <c r="C20" s="183">
        <v>2020</v>
      </c>
      <c r="D20" s="184" t="s">
        <v>379</v>
      </c>
      <c r="E20" s="80" t="s">
        <v>385</v>
      </c>
      <c r="F20" s="80" t="s">
        <v>386</v>
      </c>
      <c r="G20" s="80" t="s">
        <v>25</v>
      </c>
      <c r="H20" s="80" t="s">
        <v>113</v>
      </c>
      <c r="I20" s="80" t="s">
        <v>111</v>
      </c>
      <c r="J20" s="80" t="s">
        <v>27</v>
      </c>
      <c r="K20" s="80" t="s">
        <v>112</v>
      </c>
      <c r="L20" s="80">
        <v>1</v>
      </c>
      <c r="N20" s="80">
        <v>1</v>
      </c>
      <c r="O20" s="80">
        <v>0.28999999999999998</v>
      </c>
      <c r="P20" s="80">
        <v>0.28000000000000003</v>
      </c>
      <c r="Q20" s="44">
        <f t="shared" si="2"/>
        <v>0.28500000000000003</v>
      </c>
      <c r="R20" s="80">
        <v>15.5</v>
      </c>
      <c r="S20" s="80">
        <v>139</v>
      </c>
      <c r="T20" s="16">
        <f t="shared" si="0"/>
        <v>22</v>
      </c>
      <c r="U20" s="80">
        <v>128</v>
      </c>
      <c r="V20" s="16">
        <f t="shared" si="1"/>
        <v>27</v>
      </c>
      <c r="W20" s="80">
        <v>1</v>
      </c>
      <c r="X20" s="80" t="s">
        <v>35</v>
      </c>
      <c r="Y20" s="80" t="s">
        <v>64</v>
      </c>
      <c r="Z20" s="80" t="s">
        <v>86</v>
      </c>
      <c r="AA20" s="80" t="s">
        <v>74</v>
      </c>
      <c r="AB20" s="80" t="s">
        <v>161</v>
      </c>
      <c r="AE20" s="35"/>
      <c r="AP20" s="27" t="s">
        <v>96</v>
      </c>
      <c r="AR20" s="83" t="s">
        <v>89</v>
      </c>
      <c r="AV20" s="27" t="s">
        <v>114</v>
      </c>
    </row>
    <row r="21" spans="1:48" x14ac:dyDescent="0.15">
      <c r="A21" s="80" t="s">
        <v>46</v>
      </c>
      <c r="B21" s="80" t="s">
        <v>160</v>
      </c>
      <c r="C21" s="183">
        <v>2020</v>
      </c>
      <c r="D21" s="184" t="s">
        <v>379</v>
      </c>
      <c r="E21" s="80" t="s">
        <v>385</v>
      </c>
      <c r="F21" s="80" t="s">
        <v>386</v>
      </c>
      <c r="G21" s="80" t="s">
        <v>25</v>
      </c>
      <c r="H21" s="80" t="s">
        <v>113</v>
      </c>
      <c r="I21" s="80" t="s">
        <v>111</v>
      </c>
      <c r="J21" s="80" t="s">
        <v>27</v>
      </c>
      <c r="K21" s="80" t="s">
        <v>112</v>
      </c>
      <c r="L21" s="80">
        <v>2</v>
      </c>
      <c r="N21" s="80">
        <v>1</v>
      </c>
      <c r="O21" s="80">
        <v>0.44</v>
      </c>
      <c r="P21" s="80">
        <v>0.46</v>
      </c>
      <c r="Q21" s="44">
        <f t="shared" si="2"/>
        <v>0.45</v>
      </c>
      <c r="R21" s="80">
        <v>16.3</v>
      </c>
      <c r="S21" s="80">
        <v>141</v>
      </c>
      <c r="T21" s="16">
        <f t="shared" si="0"/>
        <v>22</v>
      </c>
      <c r="U21" s="80">
        <v>128</v>
      </c>
      <c r="V21" s="16">
        <f t="shared" si="1"/>
        <v>27</v>
      </c>
      <c r="W21" s="80">
        <v>1</v>
      </c>
      <c r="X21" s="80" t="s">
        <v>35</v>
      </c>
      <c r="Y21" s="80" t="s">
        <v>64</v>
      </c>
      <c r="Z21" s="80" t="s">
        <v>86</v>
      </c>
      <c r="AA21" s="80" t="s">
        <v>74</v>
      </c>
      <c r="AB21" s="80" t="s">
        <v>161</v>
      </c>
      <c r="AE21" s="28"/>
      <c r="AP21" s="27" t="s">
        <v>415</v>
      </c>
      <c r="AR21" s="83" t="s">
        <v>54</v>
      </c>
      <c r="AV21" s="27" t="s">
        <v>115</v>
      </c>
    </row>
    <row r="22" spans="1:48" x14ac:dyDescent="0.15">
      <c r="A22" s="80" t="s">
        <v>46</v>
      </c>
      <c r="B22" s="80" t="s">
        <v>160</v>
      </c>
      <c r="C22" s="183">
        <v>2020</v>
      </c>
      <c r="D22" s="184" t="s">
        <v>379</v>
      </c>
      <c r="E22" s="80" t="s">
        <v>385</v>
      </c>
      <c r="F22" s="80" t="s">
        <v>386</v>
      </c>
      <c r="G22" s="80" t="s">
        <v>25</v>
      </c>
      <c r="H22" s="80" t="s">
        <v>113</v>
      </c>
      <c r="I22" s="80" t="s">
        <v>111</v>
      </c>
      <c r="J22" s="80" t="s">
        <v>27</v>
      </c>
      <c r="K22" s="80" t="s">
        <v>112</v>
      </c>
      <c r="L22" s="80">
        <v>3</v>
      </c>
      <c r="N22" s="80">
        <v>1</v>
      </c>
      <c r="O22" s="80">
        <v>0.51</v>
      </c>
      <c r="P22" s="80">
        <v>0.53</v>
      </c>
      <c r="Q22" s="44">
        <f t="shared" si="2"/>
        <v>0.52</v>
      </c>
      <c r="R22" s="80">
        <v>15.7</v>
      </c>
      <c r="S22" s="80">
        <v>149</v>
      </c>
      <c r="T22" s="16">
        <f t="shared" si="0"/>
        <v>22</v>
      </c>
      <c r="U22" s="80">
        <v>128</v>
      </c>
      <c r="V22" s="16">
        <f t="shared" si="1"/>
        <v>27</v>
      </c>
      <c r="W22" s="80">
        <v>1</v>
      </c>
      <c r="X22" s="80" t="s">
        <v>35</v>
      </c>
      <c r="Y22" s="80" t="s">
        <v>64</v>
      </c>
      <c r="Z22" s="80" t="s">
        <v>86</v>
      </c>
      <c r="AA22" s="80" t="s">
        <v>74</v>
      </c>
      <c r="AB22" s="80" t="s">
        <v>161</v>
      </c>
      <c r="AP22" s="27" t="s">
        <v>416</v>
      </c>
      <c r="AR22" s="83" t="s">
        <v>69</v>
      </c>
      <c r="AV22" s="27" t="s">
        <v>417</v>
      </c>
    </row>
    <row r="23" spans="1:48" x14ac:dyDescent="0.15">
      <c r="A23" s="80" t="s">
        <v>46</v>
      </c>
      <c r="B23" s="80" t="s">
        <v>160</v>
      </c>
      <c r="C23" s="183">
        <v>2020</v>
      </c>
      <c r="D23" s="184" t="s">
        <v>379</v>
      </c>
      <c r="E23" s="80" t="s">
        <v>382</v>
      </c>
      <c r="F23" s="80" t="s">
        <v>383</v>
      </c>
      <c r="G23" s="80" t="s">
        <v>25</v>
      </c>
      <c r="H23" s="80" t="s">
        <v>167</v>
      </c>
      <c r="I23" s="80" t="s">
        <v>111</v>
      </c>
      <c r="J23" s="80" t="s">
        <v>27</v>
      </c>
      <c r="K23" s="80" t="s">
        <v>112</v>
      </c>
      <c r="L23" s="80">
        <v>1</v>
      </c>
      <c r="N23" s="80">
        <v>4</v>
      </c>
      <c r="O23" s="80">
        <v>0.44</v>
      </c>
      <c r="P23" s="80">
        <v>0.41</v>
      </c>
      <c r="Q23" s="44">
        <f t="shared" si="2"/>
        <v>0.42499999999999999</v>
      </c>
      <c r="R23" s="80">
        <v>15.2</v>
      </c>
      <c r="S23" s="80">
        <v>94</v>
      </c>
      <c r="T23" s="16">
        <f t="shared" si="0"/>
        <v>36</v>
      </c>
      <c r="U23" s="80">
        <v>357</v>
      </c>
      <c r="V23" s="16">
        <f t="shared" si="1"/>
        <v>16</v>
      </c>
      <c r="W23" s="80">
        <v>6</v>
      </c>
      <c r="X23" s="80" t="s">
        <v>35</v>
      </c>
      <c r="Y23" s="80" t="s">
        <v>74</v>
      </c>
      <c r="Z23" s="80" t="s">
        <v>55</v>
      </c>
      <c r="AA23" s="80" t="s">
        <v>64</v>
      </c>
      <c r="AB23" s="80" t="s">
        <v>161</v>
      </c>
      <c r="AP23" s="27" t="s">
        <v>116</v>
      </c>
      <c r="AR23" s="83" t="s">
        <v>48</v>
      </c>
      <c r="AV23" s="27" t="s">
        <v>418</v>
      </c>
    </row>
    <row r="24" spans="1:48" x14ac:dyDescent="0.15">
      <c r="A24" s="80" t="s">
        <v>46</v>
      </c>
      <c r="B24" s="80" t="s">
        <v>160</v>
      </c>
      <c r="C24" s="183">
        <v>2020</v>
      </c>
      <c r="D24" s="184" t="s">
        <v>379</v>
      </c>
      <c r="E24" s="80" t="s">
        <v>382</v>
      </c>
      <c r="F24" s="80" t="s">
        <v>383</v>
      </c>
      <c r="G24" s="80" t="s">
        <v>25</v>
      </c>
      <c r="H24" s="80" t="s">
        <v>167</v>
      </c>
      <c r="I24" s="80" t="s">
        <v>111</v>
      </c>
      <c r="J24" s="80" t="s">
        <v>27</v>
      </c>
      <c r="K24" s="80" t="s">
        <v>112</v>
      </c>
      <c r="L24" s="80">
        <v>2</v>
      </c>
      <c r="N24" s="80">
        <v>4</v>
      </c>
      <c r="O24" s="80">
        <v>0.22</v>
      </c>
      <c r="P24" s="80">
        <v>0.23</v>
      </c>
      <c r="Q24" s="44">
        <f>IF(OR(O24="",P24=""),"",AVERAGE(O24,P24))</f>
        <v>0.22500000000000001</v>
      </c>
      <c r="R24" s="80">
        <v>17.5</v>
      </c>
      <c r="S24" s="80">
        <v>100</v>
      </c>
      <c r="T24" s="16">
        <f t="shared" si="0"/>
        <v>33</v>
      </c>
      <c r="U24" s="80">
        <v>357</v>
      </c>
      <c r="V24" s="16">
        <f t="shared" si="1"/>
        <v>16</v>
      </c>
      <c r="W24" s="80">
        <v>6</v>
      </c>
      <c r="X24" s="80" t="s">
        <v>35</v>
      </c>
      <c r="Y24" s="80" t="s">
        <v>74</v>
      </c>
      <c r="Z24" s="80" t="s">
        <v>55</v>
      </c>
      <c r="AA24" s="80" t="s">
        <v>64</v>
      </c>
      <c r="AB24" s="80" t="s">
        <v>161</v>
      </c>
      <c r="AP24" s="27" t="s">
        <v>117</v>
      </c>
      <c r="AR24" s="83" t="s">
        <v>77</v>
      </c>
      <c r="AV24" s="27" t="s">
        <v>419</v>
      </c>
    </row>
    <row r="25" spans="1:48" x14ac:dyDescent="0.15">
      <c r="A25" s="80" t="s">
        <v>46</v>
      </c>
      <c r="B25" s="80" t="s">
        <v>160</v>
      </c>
      <c r="C25" s="183">
        <v>2020</v>
      </c>
      <c r="D25" s="184" t="s">
        <v>379</v>
      </c>
      <c r="E25" s="80" t="s">
        <v>382</v>
      </c>
      <c r="F25" s="80" t="s">
        <v>383</v>
      </c>
      <c r="G25" s="80" t="s">
        <v>25</v>
      </c>
      <c r="H25" s="80" t="s">
        <v>167</v>
      </c>
      <c r="I25" s="80" t="s">
        <v>111</v>
      </c>
      <c r="J25" s="80" t="s">
        <v>27</v>
      </c>
      <c r="K25" s="80" t="s">
        <v>112</v>
      </c>
      <c r="L25" s="80">
        <v>3</v>
      </c>
      <c r="N25" s="80">
        <v>4</v>
      </c>
      <c r="O25" s="80">
        <v>0.43</v>
      </c>
      <c r="P25" s="80">
        <v>0.41</v>
      </c>
      <c r="Q25" s="44">
        <f t="shared" si="2"/>
        <v>0.42</v>
      </c>
      <c r="R25" s="80">
        <v>15.5</v>
      </c>
      <c r="S25" s="80">
        <v>96</v>
      </c>
      <c r="T25" s="16">
        <f t="shared" si="0"/>
        <v>36</v>
      </c>
      <c r="U25" s="80">
        <v>357</v>
      </c>
      <c r="V25" s="16">
        <f t="shared" si="1"/>
        <v>16</v>
      </c>
      <c r="W25" s="80">
        <v>6</v>
      </c>
      <c r="X25" s="80" t="s">
        <v>35</v>
      </c>
      <c r="Y25" s="80" t="s">
        <v>74</v>
      </c>
      <c r="Z25" s="80" t="s">
        <v>55</v>
      </c>
      <c r="AA25" s="80" t="s">
        <v>64</v>
      </c>
      <c r="AB25" s="80" t="s">
        <v>161</v>
      </c>
      <c r="AP25" s="27" t="s">
        <v>99</v>
      </c>
      <c r="AR25" s="27" t="s">
        <v>78</v>
      </c>
      <c r="AV25" s="27" t="s">
        <v>420</v>
      </c>
    </row>
    <row r="26" spans="1:48" x14ac:dyDescent="0.15">
      <c r="A26" s="80" t="s">
        <v>46</v>
      </c>
      <c r="B26" s="80" t="s">
        <v>160</v>
      </c>
      <c r="C26" s="183">
        <v>2020</v>
      </c>
      <c r="D26" s="184" t="s">
        <v>379</v>
      </c>
      <c r="E26" s="80" t="s">
        <v>382</v>
      </c>
      <c r="F26" s="80" t="s">
        <v>383</v>
      </c>
      <c r="G26" s="80" t="s">
        <v>25</v>
      </c>
      <c r="H26" s="80" t="s">
        <v>167</v>
      </c>
      <c r="I26" s="80" t="s">
        <v>111</v>
      </c>
      <c r="J26" s="80" t="s">
        <v>27</v>
      </c>
      <c r="K26" s="80" t="s">
        <v>112</v>
      </c>
      <c r="L26" s="80">
        <v>1</v>
      </c>
      <c r="N26" s="80">
        <v>1</v>
      </c>
      <c r="O26" s="80">
        <v>0.25</v>
      </c>
      <c r="P26" s="80">
        <v>0.27</v>
      </c>
      <c r="Q26" s="44">
        <f t="shared" si="2"/>
        <v>0.26</v>
      </c>
      <c r="R26" s="80">
        <v>14.7</v>
      </c>
      <c r="S26" s="80">
        <v>131</v>
      </c>
      <c r="T26" s="16">
        <f t="shared" si="0"/>
        <v>25</v>
      </c>
      <c r="U26" s="80">
        <v>92</v>
      </c>
      <c r="V26" s="16">
        <f t="shared" si="1"/>
        <v>36</v>
      </c>
      <c r="W26" s="80">
        <v>6</v>
      </c>
      <c r="X26" s="80" t="s">
        <v>35</v>
      </c>
      <c r="Y26" s="80" t="s">
        <v>74</v>
      </c>
      <c r="Z26" s="80" t="s">
        <v>55</v>
      </c>
      <c r="AA26" s="80" t="s">
        <v>64</v>
      </c>
      <c r="AB26" s="80" t="s">
        <v>161</v>
      </c>
      <c r="AP26" s="27" t="s">
        <v>100</v>
      </c>
      <c r="AR26" s="27" t="s">
        <v>421</v>
      </c>
      <c r="AV26" s="27"/>
    </row>
    <row r="27" spans="1:48" x14ac:dyDescent="0.15">
      <c r="A27" s="80" t="s">
        <v>46</v>
      </c>
      <c r="B27" s="80" t="s">
        <v>160</v>
      </c>
      <c r="C27" s="183">
        <v>2020</v>
      </c>
      <c r="D27" s="184" t="s">
        <v>379</v>
      </c>
      <c r="E27" s="80" t="s">
        <v>382</v>
      </c>
      <c r="F27" s="80" t="s">
        <v>383</v>
      </c>
      <c r="G27" s="80" t="s">
        <v>25</v>
      </c>
      <c r="H27" s="80" t="s">
        <v>167</v>
      </c>
      <c r="I27" s="80" t="s">
        <v>111</v>
      </c>
      <c r="J27" s="80" t="s">
        <v>27</v>
      </c>
      <c r="K27" s="80" t="s">
        <v>112</v>
      </c>
      <c r="L27" s="80">
        <v>2</v>
      </c>
      <c r="N27" s="80">
        <v>1</v>
      </c>
      <c r="O27" s="80">
        <v>0.28999999999999998</v>
      </c>
      <c r="P27" s="80">
        <v>0.27</v>
      </c>
      <c r="Q27" s="44">
        <f t="shared" si="2"/>
        <v>0.28000000000000003</v>
      </c>
      <c r="R27" s="80">
        <v>16.2</v>
      </c>
      <c r="S27" s="80">
        <v>131</v>
      </c>
      <c r="T27" s="16">
        <f>IF(H27="","",IF(OR(H27="GREEN",H27="GK"),IF(S27&gt;=$AX$2,VLOOKUP(S27,$AX$2:$AY$12,2,1),""),IF(S27&gt;=$AZ$2,VLOOKUP(S27,$AZ$2:$BA$12,2,1),"")))</f>
        <v>25</v>
      </c>
      <c r="U27" s="80">
        <v>92</v>
      </c>
      <c r="V27" s="16">
        <f t="shared" si="1"/>
        <v>36</v>
      </c>
      <c r="W27" s="80">
        <v>6</v>
      </c>
      <c r="X27" s="80" t="s">
        <v>35</v>
      </c>
      <c r="Y27" s="80" t="s">
        <v>74</v>
      </c>
      <c r="Z27" s="80" t="s">
        <v>55</v>
      </c>
      <c r="AA27" s="80" t="s">
        <v>64</v>
      </c>
      <c r="AB27" s="80" t="s">
        <v>161</v>
      </c>
      <c r="AP27" s="27" t="s">
        <v>101</v>
      </c>
      <c r="AR27" s="83" t="s">
        <v>138</v>
      </c>
      <c r="AV27" s="27"/>
    </row>
    <row r="28" spans="1:48" x14ac:dyDescent="0.15">
      <c r="A28" s="80" t="s">
        <v>46</v>
      </c>
      <c r="B28" s="80" t="s">
        <v>160</v>
      </c>
      <c r="C28" s="183">
        <v>2020</v>
      </c>
      <c r="D28" s="184" t="s">
        <v>379</v>
      </c>
      <c r="E28" s="80" t="s">
        <v>382</v>
      </c>
      <c r="F28" s="80" t="s">
        <v>383</v>
      </c>
      <c r="G28" s="80" t="s">
        <v>25</v>
      </c>
      <c r="H28" s="80" t="s">
        <v>167</v>
      </c>
      <c r="I28" s="80" t="s">
        <v>111</v>
      </c>
      <c r="J28" s="80" t="s">
        <v>27</v>
      </c>
      <c r="K28" s="80" t="s">
        <v>112</v>
      </c>
      <c r="L28" s="80">
        <v>3</v>
      </c>
      <c r="N28" s="80">
        <v>1</v>
      </c>
      <c r="O28" s="80">
        <v>0.28000000000000003</v>
      </c>
      <c r="P28" s="80">
        <v>0.24</v>
      </c>
      <c r="Q28" s="44">
        <f t="shared" si="2"/>
        <v>0.26</v>
      </c>
      <c r="R28" s="80">
        <v>16.600000000000001</v>
      </c>
      <c r="S28" s="80">
        <v>133</v>
      </c>
      <c r="T28" s="16">
        <f t="shared" si="0"/>
        <v>25</v>
      </c>
      <c r="U28" s="80">
        <v>92</v>
      </c>
      <c r="V28" s="16">
        <f t="shared" si="1"/>
        <v>36</v>
      </c>
      <c r="W28" s="80">
        <v>6</v>
      </c>
      <c r="X28" s="80" t="s">
        <v>35</v>
      </c>
      <c r="Y28" s="80" t="s">
        <v>74</v>
      </c>
      <c r="Z28" s="80" t="s">
        <v>55</v>
      </c>
      <c r="AA28" s="80" t="s">
        <v>64</v>
      </c>
      <c r="AB28" s="80" t="s">
        <v>161</v>
      </c>
      <c r="AP28" s="27" t="s">
        <v>156</v>
      </c>
      <c r="AR28" s="83" t="s">
        <v>159</v>
      </c>
      <c r="AV28" s="27"/>
    </row>
    <row r="29" spans="1:48" x14ac:dyDescent="0.15">
      <c r="A29" s="80" t="s">
        <v>46</v>
      </c>
      <c r="B29" s="80" t="s">
        <v>160</v>
      </c>
      <c r="C29" s="183">
        <v>2020</v>
      </c>
      <c r="D29" s="184" t="s">
        <v>379</v>
      </c>
      <c r="E29" s="80" t="s">
        <v>382</v>
      </c>
      <c r="F29" s="80" t="s">
        <v>383</v>
      </c>
      <c r="G29" s="80" t="s">
        <v>25</v>
      </c>
      <c r="H29" s="80" t="s">
        <v>113</v>
      </c>
      <c r="I29" s="80" t="s">
        <v>111</v>
      </c>
      <c r="J29" s="80" t="s">
        <v>27</v>
      </c>
      <c r="K29" s="80" t="s">
        <v>112</v>
      </c>
      <c r="L29" s="80">
        <v>1</v>
      </c>
      <c r="N29" s="80">
        <v>5</v>
      </c>
      <c r="O29" s="80">
        <v>0.45</v>
      </c>
      <c r="P29" s="80">
        <v>0.45</v>
      </c>
      <c r="Q29" s="44">
        <f t="shared" si="2"/>
        <v>0.45</v>
      </c>
      <c r="R29" s="80">
        <v>14</v>
      </c>
      <c r="S29" s="80">
        <v>80</v>
      </c>
      <c r="T29" s="16">
        <f>IF(H29="","",IF(OR(H29="GREEN",H29="GK"),IF(S29&gt;=$AX$2,VLOOKUP(S29,$AX$2:$AY$12,2,1),""),IF(S29&gt;=$AZ$2,VLOOKUP(S29,$AZ$2:$BA$12,2,1),"")))</f>
        <v>39</v>
      </c>
      <c r="U29" s="80">
        <v>357</v>
      </c>
      <c r="V29" s="16">
        <f t="shared" si="1"/>
        <v>16</v>
      </c>
      <c r="W29" s="80">
        <v>1</v>
      </c>
      <c r="X29" s="80" t="s">
        <v>28</v>
      </c>
      <c r="Y29" s="80" t="s">
        <v>74</v>
      </c>
      <c r="Z29" s="80" t="s">
        <v>55</v>
      </c>
      <c r="AA29" s="80" t="s">
        <v>64</v>
      </c>
      <c r="AB29" s="80" t="s">
        <v>161</v>
      </c>
      <c r="AP29" s="27" t="s">
        <v>157</v>
      </c>
      <c r="AR29" s="83" t="s">
        <v>158</v>
      </c>
      <c r="AV29" s="27"/>
    </row>
    <row r="30" spans="1:48" x14ac:dyDescent="0.15">
      <c r="A30" s="80" t="s">
        <v>46</v>
      </c>
      <c r="B30" s="80" t="s">
        <v>160</v>
      </c>
      <c r="C30" s="183">
        <v>2020</v>
      </c>
      <c r="D30" s="184" t="s">
        <v>379</v>
      </c>
      <c r="E30" s="80" t="s">
        <v>382</v>
      </c>
      <c r="F30" s="80" t="s">
        <v>383</v>
      </c>
      <c r="G30" s="80" t="s">
        <v>25</v>
      </c>
      <c r="H30" s="80" t="s">
        <v>113</v>
      </c>
      <c r="I30" s="80" t="s">
        <v>111</v>
      </c>
      <c r="J30" s="80" t="s">
        <v>27</v>
      </c>
      <c r="K30" s="80" t="s">
        <v>112</v>
      </c>
      <c r="L30" s="80">
        <v>2</v>
      </c>
      <c r="N30" s="80">
        <v>5</v>
      </c>
      <c r="O30" s="80">
        <v>0.73</v>
      </c>
      <c r="P30" s="80">
        <v>0.74</v>
      </c>
      <c r="Q30" s="44">
        <f t="shared" si="2"/>
        <v>0.73499999999999999</v>
      </c>
      <c r="R30" s="80">
        <v>12.6</v>
      </c>
      <c r="S30" s="80">
        <v>80</v>
      </c>
      <c r="T30" s="16">
        <f>IF(H30="","",IF(OR(H30="GREEN",H30="GK"),IF(S30&gt;=$AX$2,VLOOKUP(S30,$AX$2:$AY$12,2,1),""),IF(S30&gt;=$AZ$2,VLOOKUP(S30,$AZ$2:$BA$12,2,1),"")))</f>
        <v>39</v>
      </c>
      <c r="U30" s="80">
        <v>357</v>
      </c>
      <c r="V30" s="16">
        <f t="shared" si="1"/>
        <v>16</v>
      </c>
      <c r="W30" s="80">
        <v>1</v>
      </c>
      <c r="X30" s="80" t="s">
        <v>28</v>
      </c>
      <c r="Y30" s="80" t="s">
        <v>74</v>
      </c>
      <c r="Z30" s="80" t="s">
        <v>55</v>
      </c>
      <c r="AA30" s="80" t="s">
        <v>64</v>
      </c>
      <c r="AB30" s="80" t="s">
        <v>161</v>
      </c>
      <c r="AR30" s="28"/>
      <c r="AV30" s="27"/>
    </row>
    <row r="31" spans="1:48" x14ac:dyDescent="0.15">
      <c r="A31" s="80" t="s">
        <v>46</v>
      </c>
      <c r="B31" s="80" t="s">
        <v>160</v>
      </c>
      <c r="C31" s="183">
        <v>2020</v>
      </c>
      <c r="D31" s="184" t="s">
        <v>379</v>
      </c>
      <c r="E31" s="80" t="s">
        <v>382</v>
      </c>
      <c r="F31" s="80" t="s">
        <v>383</v>
      </c>
      <c r="G31" s="80" t="s">
        <v>25</v>
      </c>
      <c r="H31" s="80" t="s">
        <v>113</v>
      </c>
      <c r="I31" s="80" t="s">
        <v>111</v>
      </c>
      <c r="J31" s="80" t="s">
        <v>27</v>
      </c>
      <c r="K31" s="80" t="s">
        <v>112</v>
      </c>
      <c r="L31" s="80">
        <v>3</v>
      </c>
      <c r="N31" s="80">
        <v>5</v>
      </c>
      <c r="O31" s="80">
        <v>0.48</v>
      </c>
      <c r="P31" s="80">
        <v>0.49</v>
      </c>
      <c r="Q31" s="44">
        <f t="shared" si="2"/>
        <v>0.48499999999999999</v>
      </c>
      <c r="R31" s="80">
        <v>15.5</v>
      </c>
      <c r="S31" s="80">
        <v>84</v>
      </c>
      <c r="T31" s="16">
        <f>IF(H31="","",IF(OR(H31="GREEN",H31="GK"),IF(S31&gt;=$AX$2,VLOOKUP(S31,$AX$2:$AY$12,2,1),""),IF(S31&gt;=$AZ$2,VLOOKUP(S31,$AZ$2:$BA$12,2,1),"")))</f>
        <v>36</v>
      </c>
      <c r="U31" s="80">
        <v>357</v>
      </c>
      <c r="V31" s="16">
        <f t="shared" si="1"/>
        <v>16</v>
      </c>
      <c r="W31" s="80">
        <v>1</v>
      </c>
      <c r="X31" s="80" t="s">
        <v>28</v>
      </c>
      <c r="Y31" s="80" t="s">
        <v>74</v>
      </c>
      <c r="Z31" s="80" t="s">
        <v>55</v>
      </c>
      <c r="AA31" s="80" t="s">
        <v>64</v>
      </c>
      <c r="AB31" s="80" t="s">
        <v>161</v>
      </c>
      <c r="AV31" s="27"/>
    </row>
    <row r="32" spans="1:48" x14ac:dyDescent="0.15">
      <c r="A32" s="80" t="s">
        <v>46</v>
      </c>
      <c r="B32" s="80" t="s">
        <v>160</v>
      </c>
      <c r="C32" s="183">
        <v>2020</v>
      </c>
      <c r="D32" s="184" t="s">
        <v>379</v>
      </c>
      <c r="E32" s="80" t="s">
        <v>382</v>
      </c>
      <c r="F32" s="80" t="s">
        <v>383</v>
      </c>
      <c r="G32" s="80" t="s">
        <v>25</v>
      </c>
      <c r="H32" s="80" t="s">
        <v>113</v>
      </c>
      <c r="I32" s="80" t="s">
        <v>111</v>
      </c>
      <c r="J32" s="80" t="s">
        <v>27</v>
      </c>
      <c r="K32" s="80" t="s">
        <v>112</v>
      </c>
      <c r="L32" s="80">
        <v>1</v>
      </c>
      <c r="N32" s="80">
        <v>1</v>
      </c>
      <c r="O32" s="80">
        <v>0.36</v>
      </c>
      <c r="P32" s="80">
        <v>0.39</v>
      </c>
      <c r="Q32" s="44">
        <f>IF(OR(O32="",P32=""),"",AVERAGE(O32,P32))</f>
        <v>0.375</v>
      </c>
      <c r="R32" s="80">
        <v>13.9</v>
      </c>
      <c r="S32" s="80">
        <v>120</v>
      </c>
      <c r="T32" s="16">
        <f t="shared" si="0"/>
        <v>30</v>
      </c>
      <c r="U32" s="80">
        <v>92</v>
      </c>
      <c r="V32" s="16">
        <f t="shared" si="1"/>
        <v>36</v>
      </c>
      <c r="W32" s="80">
        <v>1</v>
      </c>
      <c r="X32" s="80" t="s">
        <v>28</v>
      </c>
      <c r="Y32" s="80" t="s">
        <v>74</v>
      </c>
      <c r="Z32" s="80" t="s">
        <v>55</v>
      </c>
      <c r="AA32" s="80" t="s">
        <v>64</v>
      </c>
      <c r="AB32" s="80" t="s">
        <v>161</v>
      </c>
      <c r="AV32" s="27"/>
    </row>
    <row r="33" spans="1:48" x14ac:dyDescent="0.15">
      <c r="A33" s="80" t="s">
        <v>46</v>
      </c>
      <c r="B33" s="80" t="s">
        <v>160</v>
      </c>
      <c r="C33" s="183">
        <v>2020</v>
      </c>
      <c r="D33" s="184" t="s">
        <v>379</v>
      </c>
      <c r="E33" s="80" t="s">
        <v>382</v>
      </c>
      <c r="F33" s="80" t="s">
        <v>383</v>
      </c>
      <c r="G33" s="80" t="s">
        <v>25</v>
      </c>
      <c r="H33" s="80" t="s">
        <v>113</v>
      </c>
      <c r="I33" s="80" t="s">
        <v>111</v>
      </c>
      <c r="J33" s="80" t="s">
        <v>27</v>
      </c>
      <c r="K33" s="80" t="s">
        <v>112</v>
      </c>
      <c r="L33" s="80">
        <v>2</v>
      </c>
      <c r="N33" s="80">
        <v>1</v>
      </c>
      <c r="O33" s="80">
        <v>0.3</v>
      </c>
      <c r="P33" s="80">
        <v>0.3</v>
      </c>
      <c r="Q33" s="44">
        <f t="shared" si="2"/>
        <v>0.3</v>
      </c>
      <c r="R33" s="80">
        <v>14.9</v>
      </c>
      <c r="S33" s="80">
        <v>126</v>
      </c>
      <c r="T33" s="16">
        <f>IF(H33="","",IF(OR(H33="GREEN",H33="GK"),IF(S33&gt;=$AX$2,VLOOKUP(S33,$AX$2:$AY$12,2,1),""),IF(S33&gt;=$AZ$2,VLOOKUP(S33,$AZ$2:$BA$12,2,1),"")))</f>
        <v>27</v>
      </c>
      <c r="U33" s="80">
        <v>92</v>
      </c>
      <c r="V33" s="16">
        <f t="shared" si="1"/>
        <v>36</v>
      </c>
      <c r="W33" s="80">
        <v>1</v>
      </c>
      <c r="X33" s="80" t="s">
        <v>28</v>
      </c>
      <c r="Y33" s="80" t="s">
        <v>74</v>
      </c>
      <c r="Z33" s="80" t="s">
        <v>55</v>
      </c>
      <c r="AA33" s="80" t="s">
        <v>64</v>
      </c>
      <c r="AB33" s="80" t="s">
        <v>161</v>
      </c>
      <c r="AV33" s="27"/>
    </row>
    <row r="34" spans="1:48" x14ac:dyDescent="0.15">
      <c r="A34" s="80" t="s">
        <v>46</v>
      </c>
      <c r="B34" s="80" t="s">
        <v>160</v>
      </c>
      <c r="C34" s="183">
        <v>2020</v>
      </c>
      <c r="D34" s="184" t="s">
        <v>379</v>
      </c>
      <c r="E34" s="80" t="s">
        <v>382</v>
      </c>
      <c r="F34" s="80" t="s">
        <v>383</v>
      </c>
      <c r="G34" s="80" t="s">
        <v>25</v>
      </c>
      <c r="H34" s="80" t="s">
        <v>113</v>
      </c>
      <c r="I34" s="80" t="s">
        <v>111</v>
      </c>
      <c r="J34" s="80" t="s">
        <v>27</v>
      </c>
      <c r="K34" s="80" t="s">
        <v>112</v>
      </c>
      <c r="L34" s="80">
        <v>3</v>
      </c>
      <c r="N34" s="80">
        <v>1</v>
      </c>
      <c r="O34" s="80">
        <v>0.38</v>
      </c>
      <c r="P34" s="80">
        <v>0.4</v>
      </c>
      <c r="Q34" s="44">
        <f t="shared" si="2"/>
        <v>0.39</v>
      </c>
      <c r="R34" s="80">
        <v>15.4</v>
      </c>
      <c r="S34" s="80">
        <v>120</v>
      </c>
      <c r="T34" s="16">
        <f>IF(H34="","",IF(OR(H34="GREEN",H34="GK"),IF(S34&gt;=$AX$2,VLOOKUP(S34,$AX$2:$AY$12,2,1),""),IF(S34&gt;=$AZ$2,VLOOKUP(S34,$AZ$2:$BA$12,2,1),"")))</f>
        <v>30</v>
      </c>
      <c r="U34" s="80">
        <v>92</v>
      </c>
      <c r="V34" s="16">
        <f t="shared" si="1"/>
        <v>36</v>
      </c>
      <c r="W34" s="80">
        <v>1</v>
      </c>
      <c r="X34" s="80" t="s">
        <v>28</v>
      </c>
      <c r="Y34" s="80" t="s">
        <v>74</v>
      </c>
      <c r="Z34" s="80" t="s">
        <v>55</v>
      </c>
      <c r="AA34" s="80" t="s">
        <v>64</v>
      </c>
      <c r="AB34" s="80" t="s">
        <v>161</v>
      </c>
      <c r="AV34" s="27"/>
    </row>
    <row r="35" spans="1:48" x14ac:dyDescent="0.15">
      <c r="A35" s="80" t="s">
        <v>46</v>
      </c>
      <c r="B35" s="80" t="s">
        <v>160</v>
      </c>
      <c r="C35" s="183">
        <v>2020</v>
      </c>
      <c r="D35" s="184" t="s">
        <v>379</v>
      </c>
      <c r="E35" s="80" t="s">
        <v>392</v>
      </c>
      <c r="F35" s="80" t="s">
        <v>393</v>
      </c>
      <c r="G35" s="80" t="s">
        <v>25</v>
      </c>
      <c r="H35" s="80" t="s">
        <v>167</v>
      </c>
      <c r="I35" s="80" t="s">
        <v>111</v>
      </c>
      <c r="J35" s="80" t="s">
        <v>27</v>
      </c>
      <c r="K35" s="80" t="s">
        <v>112</v>
      </c>
      <c r="L35" s="80">
        <v>1</v>
      </c>
      <c r="N35" s="80">
        <v>5</v>
      </c>
      <c r="O35" s="80">
        <v>0.4</v>
      </c>
      <c r="P35" s="80">
        <v>0.34</v>
      </c>
      <c r="Q35" s="44">
        <f t="shared" si="2"/>
        <v>0.37</v>
      </c>
      <c r="R35" s="80">
        <v>14.6</v>
      </c>
      <c r="S35" s="80">
        <v>109</v>
      </c>
      <c r="T35" s="16">
        <f t="shared" si="0"/>
        <v>33</v>
      </c>
      <c r="U35" s="80">
        <v>480</v>
      </c>
      <c r="V35" s="16">
        <f t="shared" si="1"/>
        <v>16</v>
      </c>
      <c r="W35" s="80">
        <v>4</v>
      </c>
      <c r="X35" s="80" t="s">
        <v>28</v>
      </c>
      <c r="Y35" s="80" t="s">
        <v>43</v>
      </c>
      <c r="Z35" s="80" t="s">
        <v>64</v>
      </c>
      <c r="AA35" s="80" t="s">
        <v>86</v>
      </c>
      <c r="AB35" s="80" t="s">
        <v>161</v>
      </c>
      <c r="AV35" s="27"/>
    </row>
    <row r="36" spans="1:48" x14ac:dyDescent="0.15">
      <c r="A36" s="80" t="s">
        <v>46</v>
      </c>
      <c r="B36" s="80" t="s">
        <v>160</v>
      </c>
      <c r="C36" s="183">
        <v>2020</v>
      </c>
      <c r="D36" s="184" t="s">
        <v>379</v>
      </c>
      <c r="E36" s="80" t="s">
        <v>392</v>
      </c>
      <c r="F36" s="80" t="s">
        <v>393</v>
      </c>
      <c r="G36" s="80" t="s">
        <v>25</v>
      </c>
      <c r="H36" s="80" t="s">
        <v>167</v>
      </c>
      <c r="I36" s="80" t="s">
        <v>111</v>
      </c>
      <c r="J36" s="80" t="s">
        <v>27</v>
      </c>
      <c r="K36" s="80" t="s">
        <v>112</v>
      </c>
      <c r="L36" s="80">
        <v>2</v>
      </c>
      <c r="N36" s="80">
        <v>5</v>
      </c>
      <c r="O36" s="80">
        <v>0.3</v>
      </c>
      <c r="P36" s="80">
        <v>0.3</v>
      </c>
      <c r="Q36" s="44">
        <f t="shared" si="2"/>
        <v>0.3</v>
      </c>
      <c r="R36" s="80">
        <v>17</v>
      </c>
      <c r="S36" s="80">
        <v>111</v>
      </c>
      <c r="T36" s="16">
        <f>IF(H36="","",IF(OR(H36="GREEN",H36="GK"),IF(S36&gt;=$AX$2,VLOOKUP(S36,$AX$2:$AY$12,2,1),""),IF(S36&gt;=$AZ$2,VLOOKUP(S36,$AZ$2:$BA$12,2,1),"")))</f>
        <v>33</v>
      </c>
      <c r="U36" s="80">
        <v>480</v>
      </c>
      <c r="V36" s="16">
        <f t="shared" si="1"/>
        <v>16</v>
      </c>
      <c r="W36" s="80">
        <v>4</v>
      </c>
      <c r="X36" s="80" t="s">
        <v>28</v>
      </c>
      <c r="Y36" s="80" t="s">
        <v>43</v>
      </c>
      <c r="Z36" s="80" t="s">
        <v>64</v>
      </c>
      <c r="AA36" s="80" t="s">
        <v>86</v>
      </c>
      <c r="AB36" s="80" t="s">
        <v>161</v>
      </c>
      <c r="AV36" s="27"/>
    </row>
    <row r="37" spans="1:48" x14ac:dyDescent="0.15">
      <c r="A37" s="80" t="s">
        <v>46</v>
      </c>
      <c r="B37" s="80" t="s">
        <v>160</v>
      </c>
      <c r="C37" s="183">
        <v>2020</v>
      </c>
      <c r="D37" s="184" t="s">
        <v>379</v>
      </c>
      <c r="E37" s="80" t="s">
        <v>392</v>
      </c>
      <c r="F37" s="80" t="s">
        <v>393</v>
      </c>
      <c r="G37" s="80" t="s">
        <v>25</v>
      </c>
      <c r="H37" s="80" t="s">
        <v>167</v>
      </c>
      <c r="I37" s="80" t="s">
        <v>111</v>
      </c>
      <c r="J37" s="80" t="s">
        <v>27</v>
      </c>
      <c r="K37" s="80" t="s">
        <v>112</v>
      </c>
      <c r="L37" s="80">
        <v>3</v>
      </c>
      <c r="N37" s="80">
        <v>5</v>
      </c>
      <c r="O37" s="80">
        <v>0.42</v>
      </c>
      <c r="P37" s="80">
        <v>0.39</v>
      </c>
      <c r="Q37" s="44">
        <f t="shared" si="2"/>
        <v>0.40500000000000003</v>
      </c>
      <c r="R37" s="80">
        <v>14.4</v>
      </c>
      <c r="S37" s="80">
        <v>108</v>
      </c>
      <c r="T37" s="16">
        <f t="shared" si="0"/>
        <v>33</v>
      </c>
      <c r="U37" s="80">
        <v>480</v>
      </c>
      <c r="V37" s="16">
        <f t="shared" si="1"/>
        <v>16</v>
      </c>
      <c r="W37" s="80">
        <v>4</v>
      </c>
      <c r="X37" s="80" t="s">
        <v>28</v>
      </c>
      <c r="Y37" s="80" t="s">
        <v>43</v>
      </c>
      <c r="Z37" s="80" t="s">
        <v>64</v>
      </c>
      <c r="AA37" s="80" t="s">
        <v>86</v>
      </c>
      <c r="AB37" s="80" t="s">
        <v>161</v>
      </c>
      <c r="AV37" s="27"/>
    </row>
    <row r="38" spans="1:48" x14ac:dyDescent="0.15">
      <c r="A38" s="80" t="s">
        <v>46</v>
      </c>
      <c r="B38" s="80" t="s">
        <v>160</v>
      </c>
      <c r="C38" s="183">
        <v>2020</v>
      </c>
      <c r="D38" s="184" t="s">
        <v>379</v>
      </c>
      <c r="E38" s="80" t="s">
        <v>392</v>
      </c>
      <c r="F38" s="80" t="s">
        <v>393</v>
      </c>
      <c r="G38" s="80" t="s">
        <v>25</v>
      </c>
      <c r="H38" s="80" t="s">
        <v>167</v>
      </c>
      <c r="I38" s="80" t="s">
        <v>111</v>
      </c>
      <c r="J38" s="80" t="s">
        <v>27</v>
      </c>
      <c r="K38" s="80" t="s">
        <v>112</v>
      </c>
      <c r="L38" s="80">
        <v>1</v>
      </c>
      <c r="N38" s="80">
        <v>3</v>
      </c>
      <c r="O38" s="80">
        <v>0.25</v>
      </c>
      <c r="P38" s="80">
        <v>0.28000000000000003</v>
      </c>
      <c r="Q38" s="44">
        <f t="shared" si="2"/>
        <v>0.26500000000000001</v>
      </c>
      <c r="R38" s="80">
        <v>15.5</v>
      </c>
      <c r="S38" s="80">
        <v>116</v>
      </c>
      <c r="T38" s="16">
        <f>IF(H38="","",IF(OR(H38="GREEN",H38="GK"),IF(S38&gt;=$AX$2,VLOOKUP(S38,$AX$2:$AY$12,2,1),""),IF(S38&gt;=$AZ$2,VLOOKUP(S38,$AZ$2:$BA$12,2,1),"")))</f>
        <v>30</v>
      </c>
      <c r="U38" s="80">
        <v>299</v>
      </c>
      <c r="V38" s="16">
        <f t="shared" si="1"/>
        <v>16</v>
      </c>
      <c r="W38" s="80">
        <v>3</v>
      </c>
      <c r="X38" s="80" t="s">
        <v>28</v>
      </c>
      <c r="Y38" s="80" t="s">
        <v>43</v>
      </c>
      <c r="Z38" s="80" t="s">
        <v>64</v>
      </c>
      <c r="AA38" s="80" t="s">
        <v>86</v>
      </c>
      <c r="AB38" s="80" t="s">
        <v>161</v>
      </c>
      <c r="AV38" s="28"/>
    </row>
    <row r="39" spans="1:48" x14ac:dyDescent="0.15">
      <c r="A39" s="80" t="s">
        <v>46</v>
      </c>
      <c r="B39" s="80" t="s">
        <v>160</v>
      </c>
      <c r="C39" s="183">
        <v>2020</v>
      </c>
      <c r="D39" s="184" t="s">
        <v>379</v>
      </c>
      <c r="E39" s="80" t="s">
        <v>392</v>
      </c>
      <c r="F39" s="80" t="s">
        <v>393</v>
      </c>
      <c r="G39" s="80" t="s">
        <v>25</v>
      </c>
      <c r="H39" s="80" t="s">
        <v>167</v>
      </c>
      <c r="I39" s="80" t="s">
        <v>111</v>
      </c>
      <c r="J39" s="80" t="s">
        <v>27</v>
      </c>
      <c r="K39" s="80" t="s">
        <v>112</v>
      </c>
      <c r="L39" s="80">
        <v>2</v>
      </c>
      <c r="N39" s="80">
        <v>3</v>
      </c>
      <c r="O39" s="80">
        <v>0.27</v>
      </c>
      <c r="P39" s="80">
        <v>0.22</v>
      </c>
      <c r="Q39" s="44">
        <f t="shared" si="2"/>
        <v>0.245</v>
      </c>
      <c r="R39" s="80">
        <v>16.399999999999999</v>
      </c>
      <c r="S39" s="80">
        <v>122</v>
      </c>
      <c r="T39" s="16">
        <f t="shared" si="0"/>
        <v>27</v>
      </c>
      <c r="U39" s="80">
        <v>299</v>
      </c>
      <c r="V39" s="16">
        <f t="shared" si="1"/>
        <v>16</v>
      </c>
      <c r="W39" s="80">
        <v>3</v>
      </c>
      <c r="X39" s="80" t="s">
        <v>28</v>
      </c>
      <c r="Y39" s="80" t="s">
        <v>43</v>
      </c>
      <c r="Z39" s="80" t="s">
        <v>64</v>
      </c>
      <c r="AA39" s="80" t="s">
        <v>86</v>
      </c>
      <c r="AB39" s="80" t="s">
        <v>161</v>
      </c>
    </row>
    <row r="40" spans="1:48" x14ac:dyDescent="0.15">
      <c r="A40" s="80" t="s">
        <v>46</v>
      </c>
      <c r="B40" s="80" t="s">
        <v>160</v>
      </c>
      <c r="C40" s="183">
        <v>2020</v>
      </c>
      <c r="D40" s="184" t="s">
        <v>379</v>
      </c>
      <c r="E40" s="80" t="s">
        <v>392</v>
      </c>
      <c r="F40" s="80" t="s">
        <v>393</v>
      </c>
      <c r="G40" s="80" t="s">
        <v>25</v>
      </c>
      <c r="H40" s="80" t="s">
        <v>167</v>
      </c>
      <c r="I40" s="80" t="s">
        <v>111</v>
      </c>
      <c r="J40" s="80" t="s">
        <v>27</v>
      </c>
      <c r="K40" s="80" t="s">
        <v>112</v>
      </c>
      <c r="L40" s="80">
        <v>3</v>
      </c>
      <c r="N40" s="80">
        <v>3</v>
      </c>
      <c r="O40" s="80">
        <v>0.23</v>
      </c>
      <c r="P40" s="80">
        <v>0.26</v>
      </c>
      <c r="Q40" s="44">
        <f t="shared" si="2"/>
        <v>0.245</v>
      </c>
      <c r="R40" s="80">
        <v>16.3</v>
      </c>
      <c r="S40" s="80">
        <v>122</v>
      </c>
      <c r="T40" s="16">
        <f t="shared" si="0"/>
        <v>27</v>
      </c>
      <c r="U40" s="80">
        <v>299</v>
      </c>
      <c r="V40" s="16">
        <f t="shared" si="1"/>
        <v>16</v>
      </c>
      <c r="W40" s="80">
        <v>3</v>
      </c>
      <c r="X40" s="80" t="s">
        <v>28</v>
      </c>
      <c r="Y40" s="80" t="s">
        <v>43</v>
      </c>
      <c r="Z40" s="80" t="s">
        <v>64</v>
      </c>
      <c r="AA40" s="80" t="s">
        <v>86</v>
      </c>
      <c r="AB40" s="80" t="s">
        <v>161</v>
      </c>
    </row>
    <row r="41" spans="1:48" x14ac:dyDescent="0.15">
      <c r="A41" s="80" t="s">
        <v>46</v>
      </c>
      <c r="B41" s="80" t="s">
        <v>160</v>
      </c>
      <c r="C41" s="183">
        <v>2020</v>
      </c>
      <c r="D41" s="184" t="s">
        <v>379</v>
      </c>
      <c r="E41" s="80" t="s">
        <v>392</v>
      </c>
      <c r="F41" s="80" t="s">
        <v>393</v>
      </c>
      <c r="G41" s="80" t="s">
        <v>25</v>
      </c>
      <c r="H41" s="80" t="s">
        <v>167</v>
      </c>
      <c r="I41" s="80" t="s">
        <v>111</v>
      </c>
      <c r="J41" s="80" t="s">
        <v>27</v>
      </c>
      <c r="K41" s="80" t="s">
        <v>112</v>
      </c>
      <c r="L41" s="80">
        <v>1</v>
      </c>
      <c r="N41" s="80">
        <v>1</v>
      </c>
      <c r="O41" s="80">
        <v>0.22</v>
      </c>
      <c r="P41" s="80">
        <v>0.25</v>
      </c>
      <c r="Q41" s="44">
        <f t="shared" si="2"/>
        <v>0.23499999999999999</v>
      </c>
      <c r="R41" s="80">
        <v>16.3</v>
      </c>
      <c r="S41" s="80">
        <v>137</v>
      </c>
      <c r="T41" s="16">
        <f t="shared" si="0"/>
        <v>25</v>
      </c>
      <c r="U41" s="80">
        <v>95</v>
      </c>
      <c r="V41" s="16">
        <f t="shared" si="1"/>
        <v>36</v>
      </c>
      <c r="W41" s="80">
        <v>2</v>
      </c>
      <c r="X41" s="80" t="s">
        <v>28</v>
      </c>
      <c r="Y41" s="80" t="s">
        <v>43</v>
      </c>
      <c r="Z41" s="80" t="s">
        <v>64</v>
      </c>
      <c r="AA41" s="80" t="s">
        <v>86</v>
      </c>
      <c r="AB41" s="80" t="s">
        <v>161</v>
      </c>
    </row>
    <row r="42" spans="1:48" x14ac:dyDescent="0.15">
      <c r="A42" s="80" t="s">
        <v>46</v>
      </c>
      <c r="B42" s="80" t="s">
        <v>160</v>
      </c>
      <c r="C42" s="183">
        <v>2020</v>
      </c>
      <c r="D42" s="184" t="s">
        <v>379</v>
      </c>
      <c r="E42" s="80" t="s">
        <v>392</v>
      </c>
      <c r="F42" s="80" t="s">
        <v>393</v>
      </c>
      <c r="G42" s="80" t="s">
        <v>25</v>
      </c>
      <c r="H42" s="80" t="s">
        <v>167</v>
      </c>
      <c r="I42" s="80" t="s">
        <v>111</v>
      </c>
      <c r="J42" s="80" t="s">
        <v>27</v>
      </c>
      <c r="K42" s="80" t="s">
        <v>112</v>
      </c>
      <c r="L42" s="80">
        <v>2</v>
      </c>
      <c r="N42" s="80">
        <v>1</v>
      </c>
      <c r="O42" s="80">
        <v>0.33</v>
      </c>
      <c r="P42" s="80">
        <v>0.39</v>
      </c>
      <c r="Q42" s="44">
        <f t="shared" si="2"/>
        <v>0.36</v>
      </c>
      <c r="R42" s="80">
        <v>14.3</v>
      </c>
      <c r="S42" s="80">
        <v>130</v>
      </c>
      <c r="T42" s="16">
        <f>IF(H42="","",IF(OR(H42="GREEN",H42="GK"),IF(S42&gt;=$AX$2,VLOOKUP(S42,$AX$2:$AY$12,2,1),""),IF(S42&gt;=$AZ$2,VLOOKUP(S42,$AZ$2:$BA$12,2,1),"")))</f>
        <v>25</v>
      </c>
      <c r="U42" s="80">
        <v>95</v>
      </c>
      <c r="V42" s="16">
        <f t="shared" si="1"/>
        <v>36</v>
      </c>
      <c r="W42" s="80">
        <v>2</v>
      </c>
      <c r="X42" s="80" t="s">
        <v>28</v>
      </c>
      <c r="Y42" s="80" t="s">
        <v>43</v>
      </c>
      <c r="Z42" s="80" t="s">
        <v>64</v>
      </c>
      <c r="AA42" s="80" t="s">
        <v>86</v>
      </c>
      <c r="AB42" s="80" t="s">
        <v>161</v>
      </c>
    </row>
    <row r="43" spans="1:48" x14ac:dyDescent="0.15">
      <c r="A43" s="80" t="s">
        <v>46</v>
      </c>
      <c r="B43" s="80" t="s">
        <v>160</v>
      </c>
      <c r="C43" s="183">
        <v>2020</v>
      </c>
      <c r="D43" s="184" t="s">
        <v>379</v>
      </c>
      <c r="E43" s="80" t="s">
        <v>392</v>
      </c>
      <c r="F43" s="80" t="s">
        <v>393</v>
      </c>
      <c r="G43" s="80" t="s">
        <v>25</v>
      </c>
      <c r="H43" s="80" t="s">
        <v>167</v>
      </c>
      <c r="I43" s="80" t="s">
        <v>111</v>
      </c>
      <c r="J43" s="80" t="s">
        <v>27</v>
      </c>
      <c r="K43" s="80" t="s">
        <v>112</v>
      </c>
      <c r="L43" s="80">
        <v>3</v>
      </c>
      <c r="N43" s="80">
        <v>1</v>
      </c>
      <c r="O43" s="80">
        <v>0.35</v>
      </c>
      <c r="P43" s="80">
        <v>0.38</v>
      </c>
      <c r="Q43" s="44">
        <f t="shared" si="2"/>
        <v>0.36499999999999999</v>
      </c>
      <c r="R43" s="80">
        <v>14.7</v>
      </c>
      <c r="S43" s="80">
        <v>132</v>
      </c>
      <c r="T43" s="16">
        <f t="shared" si="0"/>
        <v>25</v>
      </c>
      <c r="U43" s="80">
        <v>95</v>
      </c>
      <c r="V43" s="16">
        <f t="shared" si="1"/>
        <v>36</v>
      </c>
      <c r="W43" s="80">
        <v>2</v>
      </c>
      <c r="X43" s="80" t="s">
        <v>28</v>
      </c>
      <c r="Y43" s="80" t="s">
        <v>43</v>
      </c>
      <c r="Z43" s="80" t="s">
        <v>64</v>
      </c>
      <c r="AA43" s="80" t="s">
        <v>86</v>
      </c>
      <c r="AB43" s="80" t="s">
        <v>161</v>
      </c>
    </row>
    <row r="44" spans="1:48" x14ac:dyDescent="0.15">
      <c r="A44" s="80" t="s">
        <v>46</v>
      </c>
      <c r="B44" s="80" t="s">
        <v>160</v>
      </c>
      <c r="C44" s="183">
        <v>2020</v>
      </c>
      <c r="D44" s="184" t="s">
        <v>379</v>
      </c>
      <c r="E44" s="80" t="s">
        <v>392</v>
      </c>
      <c r="F44" s="80" t="s">
        <v>393</v>
      </c>
      <c r="G44" s="80" t="s">
        <v>25</v>
      </c>
      <c r="H44" s="80" t="s">
        <v>113</v>
      </c>
      <c r="I44" s="80" t="s">
        <v>111</v>
      </c>
      <c r="J44" s="80" t="s">
        <v>27</v>
      </c>
      <c r="K44" s="80" t="s">
        <v>112</v>
      </c>
      <c r="L44" s="80">
        <v>1</v>
      </c>
      <c r="N44" s="80">
        <v>5</v>
      </c>
      <c r="O44" s="80">
        <v>0.25</v>
      </c>
      <c r="P44" s="80">
        <v>0.28999999999999998</v>
      </c>
      <c r="Q44" s="44">
        <f t="shared" si="2"/>
        <v>0.27</v>
      </c>
      <c r="R44" s="80">
        <v>15.3</v>
      </c>
      <c r="S44" s="80">
        <v>87</v>
      </c>
      <c r="T44" s="16">
        <f t="shared" si="0"/>
        <v>36</v>
      </c>
      <c r="U44" s="80">
        <v>380</v>
      </c>
      <c r="V44" s="16">
        <f t="shared" si="1"/>
        <v>16</v>
      </c>
      <c r="W44" s="80">
        <v>4</v>
      </c>
      <c r="X44" s="80" t="s">
        <v>28</v>
      </c>
      <c r="Y44" s="80" t="s">
        <v>43</v>
      </c>
      <c r="Z44" s="80" t="s">
        <v>64</v>
      </c>
      <c r="AA44" s="80" t="s">
        <v>86</v>
      </c>
      <c r="AB44" s="80" t="s">
        <v>161</v>
      </c>
    </row>
    <row r="45" spans="1:48" x14ac:dyDescent="0.15">
      <c r="A45" s="80" t="s">
        <v>46</v>
      </c>
      <c r="B45" s="80" t="s">
        <v>160</v>
      </c>
      <c r="C45" s="183">
        <v>2020</v>
      </c>
      <c r="D45" s="184" t="s">
        <v>379</v>
      </c>
      <c r="E45" s="80" t="s">
        <v>392</v>
      </c>
      <c r="F45" s="80" t="s">
        <v>393</v>
      </c>
      <c r="G45" s="80" t="s">
        <v>25</v>
      </c>
      <c r="H45" s="80" t="s">
        <v>113</v>
      </c>
      <c r="I45" s="80" t="s">
        <v>111</v>
      </c>
      <c r="J45" s="80" t="s">
        <v>27</v>
      </c>
      <c r="K45" s="80" t="s">
        <v>112</v>
      </c>
      <c r="L45" s="80">
        <v>2</v>
      </c>
      <c r="N45" s="80">
        <v>5</v>
      </c>
      <c r="O45" s="80">
        <v>0.24</v>
      </c>
      <c r="P45" s="80">
        <v>0.26</v>
      </c>
      <c r="Q45" s="44">
        <f t="shared" si="2"/>
        <v>0.25</v>
      </c>
      <c r="R45" s="80">
        <v>14.3</v>
      </c>
      <c r="S45" s="80">
        <v>89</v>
      </c>
      <c r="T45" s="16">
        <f>IF(H45="","",IF(OR(H45="GREEN",H45="GK"),IF(S45&gt;=$AX$2,VLOOKUP(S45,$AX$2:$AY$12,2,1),""),IF(S45&gt;=$AZ$2,VLOOKUP(S45,$AZ$2:$BA$12,2,1),"")))</f>
        <v>36</v>
      </c>
      <c r="U45" s="80">
        <v>380</v>
      </c>
      <c r="V45" s="16">
        <f t="shared" si="1"/>
        <v>16</v>
      </c>
      <c r="W45" s="80">
        <v>4</v>
      </c>
      <c r="X45" s="80" t="s">
        <v>28</v>
      </c>
      <c r="Y45" s="80" t="s">
        <v>43</v>
      </c>
      <c r="Z45" s="80" t="s">
        <v>64</v>
      </c>
      <c r="AA45" s="80" t="s">
        <v>86</v>
      </c>
      <c r="AB45" s="80" t="s">
        <v>161</v>
      </c>
    </row>
    <row r="46" spans="1:48" x14ac:dyDescent="0.15">
      <c r="A46" s="80" t="s">
        <v>46</v>
      </c>
      <c r="B46" s="80" t="s">
        <v>160</v>
      </c>
      <c r="C46" s="183">
        <v>2020</v>
      </c>
      <c r="D46" s="184" t="s">
        <v>379</v>
      </c>
      <c r="E46" s="80" t="s">
        <v>392</v>
      </c>
      <c r="F46" s="80" t="s">
        <v>393</v>
      </c>
      <c r="G46" s="80" t="s">
        <v>25</v>
      </c>
      <c r="H46" s="80" t="s">
        <v>113</v>
      </c>
      <c r="I46" s="80" t="s">
        <v>111</v>
      </c>
      <c r="J46" s="80" t="s">
        <v>27</v>
      </c>
      <c r="K46" s="80" t="s">
        <v>112</v>
      </c>
      <c r="L46" s="80">
        <v>3</v>
      </c>
      <c r="N46" s="80">
        <v>5</v>
      </c>
      <c r="O46" s="80">
        <v>0.3</v>
      </c>
      <c r="P46" s="80">
        <v>0.35</v>
      </c>
      <c r="Q46" s="44">
        <f t="shared" si="2"/>
        <v>0.32499999999999996</v>
      </c>
      <c r="R46" s="80">
        <v>13.5</v>
      </c>
      <c r="S46" s="80">
        <v>86</v>
      </c>
      <c r="T46" s="16">
        <f>IF(H46="","",IF(OR(H46="GREEN",H46="GK"),IF(S46&gt;=$AX$2,VLOOKUP(S46,$AX$2:$AY$12,2,1),""),IF(S46&gt;=$AZ$2,VLOOKUP(S46,$AZ$2:$BA$12,2,1),"")))</f>
        <v>36</v>
      </c>
      <c r="U46" s="80">
        <v>380</v>
      </c>
      <c r="V46" s="16">
        <f t="shared" si="1"/>
        <v>16</v>
      </c>
      <c r="W46" s="80">
        <v>4</v>
      </c>
      <c r="X46" s="80" t="s">
        <v>28</v>
      </c>
      <c r="Y46" s="80" t="s">
        <v>43</v>
      </c>
      <c r="Z46" s="80" t="s">
        <v>64</v>
      </c>
      <c r="AA46" s="80" t="s">
        <v>86</v>
      </c>
      <c r="AB46" s="80" t="s">
        <v>161</v>
      </c>
    </row>
    <row r="47" spans="1:48" x14ac:dyDescent="0.15">
      <c r="A47" s="80" t="s">
        <v>46</v>
      </c>
      <c r="B47" s="80" t="s">
        <v>160</v>
      </c>
      <c r="C47" s="183">
        <v>2020</v>
      </c>
      <c r="D47" s="184" t="s">
        <v>379</v>
      </c>
      <c r="E47" s="80" t="s">
        <v>392</v>
      </c>
      <c r="F47" s="80" t="s">
        <v>393</v>
      </c>
      <c r="G47" s="80" t="s">
        <v>25</v>
      </c>
      <c r="H47" s="80" t="s">
        <v>113</v>
      </c>
      <c r="I47" s="80" t="s">
        <v>111</v>
      </c>
      <c r="J47" s="80" t="s">
        <v>27</v>
      </c>
      <c r="K47" s="80" t="s">
        <v>112</v>
      </c>
      <c r="L47" s="80">
        <v>1</v>
      </c>
      <c r="N47" s="80">
        <v>4</v>
      </c>
      <c r="O47" s="80">
        <v>0.33</v>
      </c>
      <c r="P47" s="80">
        <v>0.37</v>
      </c>
      <c r="Q47" s="44">
        <f t="shared" si="2"/>
        <v>0.35</v>
      </c>
      <c r="R47" s="80">
        <v>15.2</v>
      </c>
      <c r="S47" s="80">
        <v>99</v>
      </c>
      <c r="T47" s="16">
        <f t="shared" si="0"/>
        <v>33</v>
      </c>
      <c r="U47" s="80">
        <v>380</v>
      </c>
      <c r="V47" s="16">
        <f t="shared" si="1"/>
        <v>16</v>
      </c>
      <c r="W47" s="80">
        <v>3</v>
      </c>
      <c r="X47" s="80" t="s">
        <v>28</v>
      </c>
      <c r="Y47" s="80" t="s">
        <v>43</v>
      </c>
      <c r="Z47" s="80" t="s">
        <v>64</v>
      </c>
      <c r="AA47" s="80" t="s">
        <v>86</v>
      </c>
      <c r="AB47" s="80" t="s">
        <v>161</v>
      </c>
    </row>
    <row r="48" spans="1:48" x14ac:dyDescent="0.15">
      <c r="A48" s="80" t="s">
        <v>46</v>
      </c>
      <c r="B48" s="80" t="s">
        <v>160</v>
      </c>
      <c r="C48" s="183">
        <v>2020</v>
      </c>
      <c r="D48" s="184" t="s">
        <v>379</v>
      </c>
      <c r="E48" s="80" t="s">
        <v>392</v>
      </c>
      <c r="F48" s="80" t="s">
        <v>393</v>
      </c>
      <c r="G48" s="80" t="s">
        <v>25</v>
      </c>
      <c r="H48" s="80" t="s">
        <v>113</v>
      </c>
      <c r="I48" s="80" t="s">
        <v>111</v>
      </c>
      <c r="J48" s="80" t="s">
        <v>27</v>
      </c>
      <c r="K48" s="80" t="s">
        <v>112</v>
      </c>
      <c r="L48" s="80">
        <v>2</v>
      </c>
      <c r="N48" s="80">
        <v>4</v>
      </c>
      <c r="O48" s="80">
        <v>0.43</v>
      </c>
      <c r="P48" s="80">
        <v>0.35</v>
      </c>
      <c r="Q48" s="44">
        <f t="shared" si="2"/>
        <v>0.39</v>
      </c>
      <c r="R48" s="80">
        <v>15.8</v>
      </c>
      <c r="S48" s="80">
        <v>97</v>
      </c>
      <c r="T48" s="16">
        <f t="shared" si="0"/>
        <v>36</v>
      </c>
      <c r="U48" s="80">
        <v>380</v>
      </c>
      <c r="V48" s="16">
        <f t="shared" si="1"/>
        <v>16</v>
      </c>
      <c r="W48" s="80">
        <v>3</v>
      </c>
      <c r="X48" s="80" t="s">
        <v>28</v>
      </c>
      <c r="Y48" s="80" t="s">
        <v>43</v>
      </c>
      <c r="Z48" s="80" t="s">
        <v>64</v>
      </c>
      <c r="AA48" s="80" t="s">
        <v>86</v>
      </c>
      <c r="AB48" s="80" t="s">
        <v>161</v>
      </c>
    </row>
    <row r="49" spans="1:28" x14ac:dyDescent="0.15">
      <c r="A49" s="80" t="s">
        <v>46</v>
      </c>
      <c r="B49" s="80" t="s">
        <v>160</v>
      </c>
      <c r="C49" s="183">
        <v>2020</v>
      </c>
      <c r="D49" s="184" t="s">
        <v>379</v>
      </c>
      <c r="E49" s="80" t="s">
        <v>392</v>
      </c>
      <c r="F49" s="80" t="s">
        <v>393</v>
      </c>
      <c r="G49" s="80" t="s">
        <v>25</v>
      </c>
      <c r="H49" s="80" t="s">
        <v>113</v>
      </c>
      <c r="I49" s="80" t="s">
        <v>111</v>
      </c>
      <c r="J49" s="80" t="s">
        <v>27</v>
      </c>
      <c r="K49" s="80" t="s">
        <v>112</v>
      </c>
      <c r="L49" s="80">
        <v>3</v>
      </c>
      <c r="N49" s="80">
        <v>4</v>
      </c>
      <c r="O49" s="80">
        <v>0.46</v>
      </c>
      <c r="P49" s="80">
        <v>0.48</v>
      </c>
      <c r="Q49" s="44">
        <f t="shared" si="2"/>
        <v>0.47</v>
      </c>
      <c r="R49" s="80">
        <v>16.2</v>
      </c>
      <c r="S49" s="80">
        <v>104</v>
      </c>
      <c r="T49" s="16">
        <f t="shared" si="0"/>
        <v>33</v>
      </c>
      <c r="U49" s="80">
        <v>380</v>
      </c>
      <c r="V49" s="16">
        <f t="shared" si="1"/>
        <v>16</v>
      </c>
      <c r="W49" s="80">
        <v>3</v>
      </c>
      <c r="X49" s="80" t="s">
        <v>28</v>
      </c>
      <c r="Y49" s="80" t="s">
        <v>43</v>
      </c>
      <c r="Z49" s="80" t="s">
        <v>64</v>
      </c>
      <c r="AA49" s="80" t="s">
        <v>86</v>
      </c>
      <c r="AB49" s="80" t="s">
        <v>161</v>
      </c>
    </row>
    <row r="50" spans="1:28" x14ac:dyDescent="0.15">
      <c r="A50" s="80" t="s">
        <v>46</v>
      </c>
      <c r="B50" s="80" t="s">
        <v>160</v>
      </c>
      <c r="C50" s="183">
        <v>2020</v>
      </c>
      <c r="D50" s="184" t="s">
        <v>379</v>
      </c>
      <c r="E50" s="80" t="s">
        <v>392</v>
      </c>
      <c r="F50" s="80" t="s">
        <v>393</v>
      </c>
      <c r="G50" s="80" t="s">
        <v>25</v>
      </c>
      <c r="H50" s="80" t="s">
        <v>113</v>
      </c>
      <c r="I50" s="80" t="s">
        <v>111</v>
      </c>
      <c r="J50" s="80" t="s">
        <v>27</v>
      </c>
      <c r="K50" s="80" t="s">
        <v>112</v>
      </c>
      <c r="L50" s="80">
        <v>1</v>
      </c>
      <c r="N50" s="80">
        <v>1</v>
      </c>
      <c r="O50" s="80">
        <v>0.33</v>
      </c>
      <c r="P50" s="80">
        <v>0.3</v>
      </c>
      <c r="Q50" s="44">
        <f t="shared" si="2"/>
        <v>0.315</v>
      </c>
      <c r="R50" s="80">
        <v>16.5</v>
      </c>
      <c r="S50" s="80">
        <v>128</v>
      </c>
      <c r="T50" s="16">
        <f>IF(H50="","",IF(OR(H50="GREEN",H50="GK"),IF(S50&gt;=$AX$2,VLOOKUP(S50,$AX$2:$AY$12,2,1),""),IF(S50&gt;=$AZ$2,VLOOKUP(S50,$AZ$2:$BA$12,2,1),"")))</f>
        <v>27</v>
      </c>
      <c r="U50" s="80">
        <v>95</v>
      </c>
      <c r="V50" s="16">
        <f t="shared" si="1"/>
        <v>36</v>
      </c>
      <c r="W50" s="80">
        <v>2</v>
      </c>
      <c r="X50" s="80" t="s">
        <v>28</v>
      </c>
      <c r="Y50" s="80" t="s">
        <v>43</v>
      </c>
      <c r="Z50" s="80" t="s">
        <v>64</v>
      </c>
      <c r="AA50" s="80" t="s">
        <v>86</v>
      </c>
      <c r="AB50" s="80" t="s">
        <v>161</v>
      </c>
    </row>
    <row r="51" spans="1:28" x14ac:dyDescent="0.15">
      <c r="A51" s="80" t="s">
        <v>46</v>
      </c>
      <c r="B51" s="80" t="s">
        <v>160</v>
      </c>
      <c r="C51" s="183">
        <v>2020</v>
      </c>
      <c r="D51" s="184" t="s">
        <v>379</v>
      </c>
      <c r="E51" s="80" t="s">
        <v>392</v>
      </c>
      <c r="F51" s="80" t="s">
        <v>393</v>
      </c>
      <c r="G51" s="80" t="s">
        <v>25</v>
      </c>
      <c r="H51" s="80" t="s">
        <v>113</v>
      </c>
      <c r="I51" s="80" t="s">
        <v>111</v>
      </c>
      <c r="J51" s="80" t="s">
        <v>27</v>
      </c>
      <c r="K51" s="80" t="s">
        <v>112</v>
      </c>
      <c r="L51" s="80">
        <v>2</v>
      </c>
      <c r="N51" s="80">
        <v>1</v>
      </c>
      <c r="O51" s="80">
        <v>0.48</v>
      </c>
      <c r="P51" s="80">
        <v>0.46</v>
      </c>
      <c r="Q51" s="44">
        <f t="shared" si="2"/>
        <v>0.47</v>
      </c>
      <c r="R51" s="80">
        <v>16</v>
      </c>
      <c r="S51" s="80">
        <v>100</v>
      </c>
      <c r="T51" s="16">
        <f t="shared" si="0"/>
        <v>33</v>
      </c>
      <c r="U51" s="80">
        <v>95</v>
      </c>
      <c r="V51" s="16">
        <f t="shared" si="1"/>
        <v>36</v>
      </c>
      <c r="W51" s="80">
        <v>2</v>
      </c>
      <c r="X51" s="80" t="s">
        <v>28</v>
      </c>
      <c r="Y51" s="80" t="s">
        <v>43</v>
      </c>
      <c r="Z51" s="80" t="s">
        <v>64</v>
      </c>
      <c r="AA51" s="80" t="s">
        <v>86</v>
      </c>
      <c r="AB51" s="80" t="s">
        <v>161</v>
      </c>
    </row>
    <row r="52" spans="1:28" x14ac:dyDescent="0.15">
      <c r="A52" s="80" t="s">
        <v>46</v>
      </c>
      <c r="B52" s="80" t="s">
        <v>160</v>
      </c>
      <c r="C52" s="183">
        <v>2020</v>
      </c>
      <c r="D52" s="184" t="s">
        <v>379</v>
      </c>
      <c r="E52" s="80" t="s">
        <v>392</v>
      </c>
      <c r="F52" s="80" t="s">
        <v>393</v>
      </c>
      <c r="G52" s="80" t="s">
        <v>25</v>
      </c>
      <c r="H52" s="80" t="s">
        <v>113</v>
      </c>
      <c r="I52" s="80" t="s">
        <v>111</v>
      </c>
      <c r="J52" s="80" t="s">
        <v>27</v>
      </c>
      <c r="K52" s="80" t="s">
        <v>112</v>
      </c>
      <c r="L52" s="80">
        <v>3</v>
      </c>
      <c r="N52" s="80">
        <v>1</v>
      </c>
      <c r="O52" s="80">
        <v>0.27</v>
      </c>
      <c r="P52" s="80">
        <v>0.33</v>
      </c>
      <c r="Q52" s="44">
        <f t="shared" si="2"/>
        <v>0.30000000000000004</v>
      </c>
      <c r="R52" s="80">
        <v>13.5</v>
      </c>
      <c r="S52" s="80">
        <v>120</v>
      </c>
      <c r="T52" s="16">
        <f t="shared" si="0"/>
        <v>30</v>
      </c>
      <c r="U52" s="80">
        <v>95</v>
      </c>
      <c r="V52" s="16">
        <f t="shared" si="1"/>
        <v>36</v>
      </c>
      <c r="W52" s="80">
        <v>2</v>
      </c>
      <c r="X52" s="80" t="s">
        <v>28</v>
      </c>
      <c r="Y52" s="80" t="s">
        <v>43</v>
      </c>
      <c r="Z52" s="80" t="s">
        <v>64</v>
      </c>
      <c r="AA52" s="80" t="s">
        <v>86</v>
      </c>
      <c r="AB52" s="80" t="s">
        <v>161</v>
      </c>
    </row>
    <row r="53" spans="1:28" x14ac:dyDescent="0.15">
      <c r="A53" s="80" t="s">
        <v>46</v>
      </c>
      <c r="B53" s="80" t="s">
        <v>160</v>
      </c>
      <c r="C53" s="183">
        <v>2020</v>
      </c>
      <c r="D53" s="184" t="s">
        <v>379</v>
      </c>
      <c r="E53" s="80" t="s">
        <v>405</v>
      </c>
      <c r="F53" s="80" t="s">
        <v>393</v>
      </c>
      <c r="G53" s="80" t="s">
        <v>25</v>
      </c>
      <c r="H53" s="80" t="s">
        <v>167</v>
      </c>
      <c r="I53" s="80" t="s">
        <v>111</v>
      </c>
      <c r="J53" s="80" t="s">
        <v>27</v>
      </c>
      <c r="K53" s="80" t="s">
        <v>112</v>
      </c>
      <c r="L53" s="80">
        <v>1</v>
      </c>
      <c r="N53" s="80">
        <v>4</v>
      </c>
      <c r="O53" s="80">
        <v>0.22</v>
      </c>
      <c r="P53" s="80">
        <v>0.23</v>
      </c>
      <c r="Q53" s="44">
        <f t="shared" si="2"/>
        <v>0.22500000000000001</v>
      </c>
      <c r="R53" s="80">
        <v>20</v>
      </c>
      <c r="S53" s="80">
        <v>104</v>
      </c>
      <c r="T53" s="16">
        <f>IF(H53="","",IF(OR(H53="GREEN",H53="GK"),IF(S53&gt;=$AX$2,VLOOKUP(S53,$AX$2:$AY$12,2,1),""),IF(S53&gt;=$AZ$2,VLOOKUP(S53,$AZ$2:$BA$12,2,1),"")))</f>
        <v>33</v>
      </c>
      <c r="U53" s="80">
        <v>598</v>
      </c>
      <c r="V53" s="16">
        <f t="shared" si="1"/>
        <v>16</v>
      </c>
      <c r="W53" s="80">
        <v>1</v>
      </c>
      <c r="X53" s="80" t="s">
        <v>35</v>
      </c>
      <c r="Y53" s="80" t="s">
        <v>64</v>
      </c>
      <c r="Z53" s="80" t="s">
        <v>74</v>
      </c>
      <c r="AA53" s="80" t="s">
        <v>82</v>
      </c>
      <c r="AB53" s="80" t="s">
        <v>161</v>
      </c>
    </row>
    <row r="54" spans="1:28" x14ac:dyDescent="0.15">
      <c r="A54" s="80" t="s">
        <v>46</v>
      </c>
      <c r="B54" s="80" t="s">
        <v>160</v>
      </c>
      <c r="C54" s="183">
        <v>2020</v>
      </c>
      <c r="D54" s="184" t="s">
        <v>379</v>
      </c>
      <c r="E54" s="80" t="s">
        <v>405</v>
      </c>
      <c r="F54" s="80" t="s">
        <v>393</v>
      </c>
      <c r="G54" s="80" t="s">
        <v>25</v>
      </c>
      <c r="H54" s="80" t="s">
        <v>167</v>
      </c>
      <c r="I54" s="80" t="s">
        <v>111</v>
      </c>
      <c r="J54" s="80" t="s">
        <v>27</v>
      </c>
      <c r="K54" s="80" t="s">
        <v>112</v>
      </c>
      <c r="L54" s="80">
        <v>2</v>
      </c>
      <c r="N54" s="80">
        <v>4</v>
      </c>
      <c r="O54" s="80">
        <v>0.25</v>
      </c>
      <c r="P54" s="80">
        <v>0.2</v>
      </c>
      <c r="Q54" s="44">
        <f t="shared" si="2"/>
        <v>0.22500000000000001</v>
      </c>
      <c r="R54" s="80">
        <v>17.8</v>
      </c>
      <c r="S54" s="80">
        <v>106</v>
      </c>
      <c r="T54" s="16">
        <f>IF(H54="","",IF(OR(H54="GREEN",H54="GK"),IF(S54&gt;=$AX$2,VLOOKUP(S54,$AX$2:$AY$12,2,1),""),IF(S54&gt;=$AZ$2,VLOOKUP(S54,$AZ$2:$BA$12,2,1),"")))</f>
        <v>33</v>
      </c>
      <c r="U54" s="80">
        <v>598</v>
      </c>
      <c r="V54" s="16">
        <f t="shared" si="1"/>
        <v>16</v>
      </c>
      <c r="W54" s="80">
        <v>1</v>
      </c>
      <c r="X54" s="80" t="s">
        <v>35</v>
      </c>
      <c r="Y54" s="80" t="s">
        <v>64</v>
      </c>
      <c r="Z54" s="80" t="s">
        <v>74</v>
      </c>
      <c r="AA54" s="80" t="s">
        <v>82</v>
      </c>
      <c r="AB54" s="80" t="s">
        <v>161</v>
      </c>
    </row>
    <row r="55" spans="1:28" x14ac:dyDescent="0.15">
      <c r="A55" s="80" t="s">
        <v>46</v>
      </c>
      <c r="B55" s="80" t="s">
        <v>160</v>
      </c>
      <c r="C55" s="183">
        <v>2020</v>
      </c>
      <c r="D55" s="184" t="s">
        <v>379</v>
      </c>
      <c r="E55" s="80" t="s">
        <v>405</v>
      </c>
      <c r="F55" s="80" t="s">
        <v>393</v>
      </c>
      <c r="G55" s="80" t="s">
        <v>25</v>
      </c>
      <c r="H55" s="80" t="s">
        <v>167</v>
      </c>
      <c r="I55" s="80" t="s">
        <v>111</v>
      </c>
      <c r="J55" s="80" t="s">
        <v>27</v>
      </c>
      <c r="K55" s="80" t="s">
        <v>112</v>
      </c>
      <c r="L55" s="80">
        <v>3</v>
      </c>
      <c r="N55" s="80">
        <v>4</v>
      </c>
      <c r="O55" s="80">
        <v>0.23</v>
      </c>
      <c r="P55" s="80">
        <v>0.23</v>
      </c>
      <c r="Q55" s="44">
        <f t="shared" si="2"/>
        <v>0.23</v>
      </c>
      <c r="R55" s="80">
        <v>18.8</v>
      </c>
      <c r="S55" s="80">
        <v>95</v>
      </c>
      <c r="T55" s="16">
        <f>IF(H55="","",IF(OR(H55="GREEN",H55="GK"),IF(S55&gt;=$AX$2,VLOOKUP(S55,$AX$2:$AY$12,2,1),""),IF(S55&gt;=$AZ$2,VLOOKUP(S55,$AZ$2:$BA$12,2,1),"")))</f>
        <v>36</v>
      </c>
      <c r="U55" s="80">
        <v>598</v>
      </c>
      <c r="V55" s="16">
        <f t="shared" si="1"/>
        <v>16</v>
      </c>
      <c r="W55" s="80">
        <v>1</v>
      </c>
      <c r="X55" s="80" t="s">
        <v>35</v>
      </c>
      <c r="Y55" s="80" t="s">
        <v>64</v>
      </c>
      <c r="Z55" s="80" t="s">
        <v>74</v>
      </c>
      <c r="AA55" s="80" t="s">
        <v>82</v>
      </c>
      <c r="AB55" s="80" t="s">
        <v>161</v>
      </c>
    </row>
    <row r="56" spans="1:28" x14ac:dyDescent="0.15">
      <c r="A56" s="80" t="s">
        <v>46</v>
      </c>
      <c r="B56" s="80" t="s">
        <v>160</v>
      </c>
      <c r="C56" s="183">
        <v>2020</v>
      </c>
      <c r="D56" s="184" t="s">
        <v>379</v>
      </c>
      <c r="E56" s="80" t="s">
        <v>405</v>
      </c>
      <c r="F56" s="80" t="s">
        <v>393</v>
      </c>
      <c r="G56" s="80" t="s">
        <v>25</v>
      </c>
      <c r="H56" s="80" t="s">
        <v>167</v>
      </c>
      <c r="I56" s="80" t="s">
        <v>111</v>
      </c>
      <c r="J56" s="80" t="s">
        <v>27</v>
      </c>
      <c r="K56" s="80" t="s">
        <v>112</v>
      </c>
      <c r="L56" s="80">
        <v>1</v>
      </c>
      <c r="N56" s="80">
        <v>1</v>
      </c>
      <c r="O56" s="80">
        <v>0.24</v>
      </c>
      <c r="P56" s="80">
        <v>0.27</v>
      </c>
      <c r="Q56" s="44">
        <f t="shared" si="2"/>
        <v>0.255</v>
      </c>
      <c r="R56" s="80">
        <v>15.2</v>
      </c>
      <c r="S56" s="80">
        <v>112</v>
      </c>
      <c r="T56" s="16">
        <f t="shared" si="0"/>
        <v>33</v>
      </c>
      <c r="U56" s="80">
        <v>198</v>
      </c>
      <c r="V56" s="16">
        <f t="shared" si="1"/>
        <v>16</v>
      </c>
      <c r="W56" s="80">
        <v>1</v>
      </c>
      <c r="X56" s="80" t="s">
        <v>35</v>
      </c>
      <c r="Y56" s="80" t="s">
        <v>64</v>
      </c>
      <c r="Z56" s="80" t="s">
        <v>74</v>
      </c>
      <c r="AA56" s="80" t="s">
        <v>82</v>
      </c>
      <c r="AB56" s="80" t="s">
        <v>161</v>
      </c>
    </row>
    <row r="57" spans="1:28" x14ac:dyDescent="0.15">
      <c r="A57" s="80" t="s">
        <v>46</v>
      </c>
      <c r="B57" s="80" t="s">
        <v>160</v>
      </c>
      <c r="C57" s="183">
        <v>2020</v>
      </c>
      <c r="D57" s="184" t="s">
        <v>379</v>
      </c>
      <c r="E57" s="80" t="s">
        <v>405</v>
      </c>
      <c r="F57" s="80" t="s">
        <v>393</v>
      </c>
      <c r="G57" s="80" t="s">
        <v>25</v>
      </c>
      <c r="H57" s="80" t="s">
        <v>167</v>
      </c>
      <c r="I57" s="80" t="s">
        <v>111</v>
      </c>
      <c r="J57" s="80" t="s">
        <v>27</v>
      </c>
      <c r="K57" s="80" t="s">
        <v>112</v>
      </c>
      <c r="L57" s="80">
        <v>2</v>
      </c>
      <c r="N57" s="80">
        <v>1</v>
      </c>
      <c r="O57" s="80">
        <v>0.25</v>
      </c>
      <c r="P57" s="80">
        <v>0.26</v>
      </c>
      <c r="Q57" s="44">
        <f t="shared" si="2"/>
        <v>0.255</v>
      </c>
      <c r="R57" s="80">
        <v>15.9</v>
      </c>
      <c r="S57" s="80">
        <v>110</v>
      </c>
      <c r="T57" s="16">
        <f t="shared" si="0"/>
        <v>33</v>
      </c>
      <c r="U57" s="80">
        <v>198</v>
      </c>
      <c r="V57" s="16">
        <f t="shared" si="1"/>
        <v>16</v>
      </c>
      <c r="W57" s="80">
        <v>1</v>
      </c>
      <c r="X57" s="80" t="s">
        <v>35</v>
      </c>
      <c r="Y57" s="80" t="s">
        <v>64</v>
      </c>
      <c r="Z57" s="80" t="s">
        <v>74</v>
      </c>
      <c r="AA57" s="80" t="s">
        <v>82</v>
      </c>
      <c r="AB57" s="80" t="s">
        <v>161</v>
      </c>
    </row>
    <row r="58" spans="1:28" x14ac:dyDescent="0.15">
      <c r="A58" s="80" t="s">
        <v>46</v>
      </c>
      <c r="B58" s="80" t="s">
        <v>160</v>
      </c>
      <c r="C58" s="183">
        <v>2020</v>
      </c>
      <c r="D58" s="184" t="s">
        <v>379</v>
      </c>
      <c r="E58" s="80" t="s">
        <v>405</v>
      </c>
      <c r="F58" s="80" t="s">
        <v>393</v>
      </c>
      <c r="G58" s="80" t="s">
        <v>25</v>
      </c>
      <c r="H58" s="80" t="s">
        <v>167</v>
      </c>
      <c r="I58" s="80" t="s">
        <v>111</v>
      </c>
      <c r="J58" s="80" t="s">
        <v>27</v>
      </c>
      <c r="K58" s="80" t="s">
        <v>112</v>
      </c>
      <c r="L58" s="80">
        <v>3</v>
      </c>
      <c r="N58" s="80">
        <v>1</v>
      </c>
      <c r="O58" s="80">
        <v>0.24</v>
      </c>
      <c r="P58" s="80">
        <v>0.26</v>
      </c>
      <c r="Q58" s="44">
        <f t="shared" si="2"/>
        <v>0.25</v>
      </c>
      <c r="R58" s="80">
        <v>16</v>
      </c>
      <c r="S58" s="80">
        <v>108</v>
      </c>
      <c r="T58" s="16">
        <f>IF(H58="","",IF(OR(H58="GREEN",H58="GK"),IF(S58&gt;=$AX$2,VLOOKUP(S58,$AX$2:$AY$12,2,1),""),IF(S58&gt;=$AZ$2,VLOOKUP(S58,$AZ$2:$BA$12,2,1),"")))</f>
        <v>33</v>
      </c>
      <c r="U58" s="80">
        <v>198</v>
      </c>
      <c r="V58" s="16">
        <f t="shared" si="1"/>
        <v>16</v>
      </c>
      <c r="W58" s="80">
        <v>1</v>
      </c>
      <c r="X58" s="80" t="s">
        <v>35</v>
      </c>
      <c r="Y58" s="80" t="s">
        <v>64</v>
      </c>
      <c r="Z58" s="80" t="s">
        <v>74</v>
      </c>
      <c r="AA58" s="80" t="s">
        <v>82</v>
      </c>
      <c r="AB58" s="80" t="s">
        <v>161</v>
      </c>
    </row>
    <row r="59" spans="1:28" x14ac:dyDescent="0.15">
      <c r="A59" s="80" t="s">
        <v>46</v>
      </c>
      <c r="B59" s="80" t="s">
        <v>160</v>
      </c>
      <c r="C59" s="183">
        <v>2020</v>
      </c>
      <c r="D59" s="184" t="s">
        <v>379</v>
      </c>
      <c r="E59" s="80" t="s">
        <v>405</v>
      </c>
      <c r="F59" s="80" t="s">
        <v>393</v>
      </c>
      <c r="G59" s="80" t="s">
        <v>25</v>
      </c>
      <c r="H59" s="80" t="s">
        <v>113</v>
      </c>
      <c r="I59" s="80" t="s">
        <v>111</v>
      </c>
      <c r="J59" s="80" t="s">
        <v>27</v>
      </c>
      <c r="K59" s="80" t="s">
        <v>112</v>
      </c>
      <c r="L59" s="80">
        <v>1</v>
      </c>
      <c r="N59" s="80">
        <v>4</v>
      </c>
      <c r="O59" s="80">
        <v>0.42</v>
      </c>
      <c r="P59" s="80">
        <v>0.35</v>
      </c>
      <c r="Q59" s="44">
        <f t="shared" si="2"/>
        <v>0.38500000000000001</v>
      </c>
      <c r="R59" s="80">
        <v>13.3</v>
      </c>
      <c r="S59" s="80">
        <v>104</v>
      </c>
      <c r="T59" s="16">
        <f>IF(H59="","",IF(OR(H59="GREEN",H59="GK"),IF(S59&gt;=$AX$2,VLOOKUP(S59,$AX$2:$AY$12,2,1),""),IF(S59&gt;=$AZ$2,VLOOKUP(S59,$AZ$2:$BA$12,2,1),"")))</f>
        <v>33</v>
      </c>
      <c r="U59" s="80">
        <v>498</v>
      </c>
      <c r="V59" s="16">
        <f t="shared" si="1"/>
        <v>16</v>
      </c>
      <c r="W59" s="80">
        <v>1</v>
      </c>
      <c r="X59" s="80" t="s">
        <v>35</v>
      </c>
      <c r="Y59" s="80" t="s">
        <v>64</v>
      </c>
      <c r="Z59" s="80" t="s">
        <v>74</v>
      </c>
      <c r="AA59" s="80" t="s">
        <v>82</v>
      </c>
      <c r="AB59" s="80" t="s">
        <v>161</v>
      </c>
    </row>
    <row r="60" spans="1:28" x14ac:dyDescent="0.15">
      <c r="A60" s="80" t="s">
        <v>46</v>
      </c>
      <c r="B60" s="80" t="s">
        <v>160</v>
      </c>
      <c r="C60" s="183">
        <v>2020</v>
      </c>
      <c r="D60" s="184" t="s">
        <v>379</v>
      </c>
      <c r="E60" s="80" t="s">
        <v>405</v>
      </c>
      <c r="F60" s="80" t="s">
        <v>393</v>
      </c>
      <c r="G60" s="80" t="s">
        <v>25</v>
      </c>
      <c r="H60" s="80" t="s">
        <v>113</v>
      </c>
      <c r="I60" s="80" t="s">
        <v>111</v>
      </c>
      <c r="J60" s="80" t="s">
        <v>27</v>
      </c>
      <c r="K60" s="80" t="s">
        <v>112</v>
      </c>
      <c r="L60" s="80">
        <v>2</v>
      </c>
      <c r="N60" s="80">
        <v>4</v>
      </c>
      <c r="O60" s="80">
        <v>0.44</v>
      </c>
      <c r="P60" s="80">
        <v>0.48</v>
      </c>
      <c r="Q60" s="44">
        <f t="shared" si="2"/>
        <v>0.45999999999999996</v>
      </c>
      <c r="R60" s="80">
        <v>14.5</v>
      </c>
      <c r="S60" s="80">
        <v>105</v>
      </c>
      <c r="T60" s="16">
        <f>IF(H60="","",IF(OR(H60="GREEN",H60="GK"),IF(S60&gt;=$AX$2,VLOOKUP(S60,$AX$2:$AY$12,2,1),""),IF(S60&gt;=$AZ$2,VLOOKUP(S60,$AZ$2:$BA$12,2,1),"")))</f>
        <v>33</v>
      </c>
      <c r="U60" s="80">
        <v>498</v>
      </c>
      <c r="V60" s="16">
        <f t="shared" si="1"/>
        <v>16</v>
      </c>
      <c r="W60" s="80">
        <v>1</v>
      </c>
      <c r="X60" s="80" t="s">
        <v>35</v>
      </c>
      <c r="Y60" s="80" t="s">
        <v>64</v>
      </c>
      <c r="Z60" s="80" t="s">
        <v>74</v>
      </c>
      <c r="AA60" s="80" t="s">
        <v>82</v>
      </c>
      <c r="AB60" s="80" t="s">
        <v>161</v>
      </c>
    </row>
    <row r="61" spans="1:28" x14ac:dyDescent="0.15">
      <c r="A61" s="80" t="s">
        <v>46</v>
      </c>
      <c r="B61" s="80" t="s">
        <v>160</v>
      </c>
      <c r="C61" s="183">
        <v>2020</v>
      </c>
      <c r="D61" s="184" t="s">
        <v>379</v>
      </c>
      <c r="E61" s="80" t="s">
        <v>405</v>
      </c>
      <c r="F61" s="80" t="s">
        <v>393</v>
      </c>
      <c r="G61" s="80" t="s">
        <v>25</v>
      </c>
      <c r="H61" s="80" t="s">
        <v>113</v>
      </c>
      <c r="I61" s="80" t="s">
        <v>111</v>
      </c>
      <c r="J61" s="80" t="s">
        <v>27</v>
      </c>
      <c r="K61" s="80" t="s">
        <v>112</v>
      </c>
      <c r="L61" s="80">
        <v>3</v>
      </c>
      <c r="N61" s="80">
        <v>4</v>
      </c>
      <c r="O61" s="80">
        <v>0.34</v>
      </c>
      <c r="P61" s="80">
        <v>0.42</v>
      </c>
      <c r="Q61" s="44">
        <f t="shared" si="2"/>
        <v>0.38</v>
      </c>
      <c r="R61" s="80">
        <v>15.9</v>
      </c>
      <c r="S61" s="80">
        <v>100</v>
      </c>
      <c r="T61" s="16">
        <f>IF(H61="","",IF(OR(H61="GREEN",H61="GK"),IF(S61&gt;=$AX$2,VLOOKUP(S61,$AX$2:$AY$12,2,1),""),IF(S61&gt;=$AZ$2,VLOOKUP(S61,$AZ$2:$BA$12,2,1),"")))</f>
        <v>33</v>
      </c>
      <c r="U61" s="80">
        <v>498</v>
      </c>
      <c r="V61" s="16">
        <f t="shared" si="1"/>
        <v>16</v>
      </c>
      <c r="W61" s="80">
        <v>1</v>
      </c>
      <c r="X61" s="80" t="s">
        <v>35</v>
      </c>
      <c r="Y61" s="80" t="s">
        <v>64</v>
      </c>
      <c r="Z61" s="80" t="s">
        <v>74</v>
      </c>
      <c r="AA61" s="80" t="s">
        <v>82</v>
      </c>
      <c r="AB61" s="80" t="s">
        <v>161</v>
      </c>
    </row>
    <row r="62" spans="1:28" x14ac:dyDescent="0.15">
      <c r="A62" s="80" t="s">
        <v>46</v>
      </c>
      <c r="B62" s="80" t="s">
        <v>160</v>
      </c>
      <c r="C62" s="183">
        <v>2020</v>
      </c>
      <c r="D62" s="184" t="s">
        <v>379</v>
      </c>
      <c r="E62" s="80" t="s">
        <v>405</v>
      </c>
      <c r="F62" s="80" t="s">
        <v>393</v>
      </c>
      <c r="G62" s="80" t="s">
        <v>25</v>
      </c>
      <c r="H62" s="80" t="s">
        <v>113</v>
      </c>
      <c r="I62" s="80" t="s">
        <v>111</v>
      </c>
      <c r="J62" s="80" t="s">
        <v>27</v>
      </c>
      <c r="K62" s="80" t="s">
        <v>112</v>
      </c>
      <c r="L62" s="80">
        <v>1</v>
      </c>
      <c r="N62" s="80">
        <v>1</v>
      </c>
      <c r="O62" s="80">
        <v>0.38</v>
      </c>
      <c r="P62" s="80">
        <v>0.42</v>
      </c>
      <c r="Q62" s="44">
        <f t="shared" si="2"/>
        <v>0.4</v>
      </c>
      <c r="R62" s="80">
        <v>16.3</v>
      </c>
      <c r="S62" s="80">
        <v>144</v>
      </c>
      <c r="T62" s="16">
        <f>IF(H62="","",IF(OR(H62="GREEN",H62="GK"),IF(S62&gt;=$AX$2,VLOOKUP(S62,$AX$2:$AY$12,2,1),""),IF(S62&gt;=$AZ$2,VLOOKUP(S62,$AZ$2:$BA$12,2,1),"")))</f>
        <v>22</v>
      </c>
      <c r="U62" s="80">
        <v>158</v>
      </c>
      <c r="V62" s="16">
        <f t="shared" si="1"/>
        <v>18</v>
      </c>
      <c r="W62" s="80">
        <v>1</v>
      </c>
      <c r="X62" s="80" t="s">
        <v>35</v>
      </c>
      <c r="Y62" s="80" t="s">
        <v>64</v>
      </c>
      <c r="Z62" s="80" t="s">
        <v>74</v>
      </c>
      <c r="AA62" s="80" t="s">
        <v>82</v>
      </c>
      <c r="AB62" s="80" t="s">
        <v>161</v>
      </c>
    </row>
    <row r="63" spans="1:28" x14ac:dyDescent="0.15">
      <c r="A63" s="80" t="s">
        <v>46</v>
      </c>
      <c r="B63" s="80" t="s">
        <v>160</v>
      </c>
      <c r="C63" s="183">
        <v>2020</v>
      </c>
      <c r="D63" s="184" t="s">
        <v>379</v>
      </c>
      <c r="E63" s="80" t="s">
        <v>405</v>
      </c>
      <c r="F63" s="80" t="s">
        <v>393</v>
      </c>
      <c r="G63" s="80" t="s">
        <v>25</v>
      </c>
      <c r="H63" s="80" t="s">
        <v>113</v>
      </c>
      <c r="I63" s="80" t="s">
        <v>111</v>
      </c>
      <c r="J63" s="80" t="s">
        <v>27</v>
      </c>
      <c r="K63" s="80" t="s">
        <v>112</v>
      </c>
      <c r="L63" s="80">
        <v>2</v>
      </c>
      <c r="N63" s="80">
        <v>1</v>
      </c>
      <c r="O63" s="80">
        <v>0.48</v>
      </c>
      <c r="P63" s="80">
        <v>0.48</v>
      </c>
      <c r="Q63" s="44">
        <f t="shared" si="2"/>
        <v>0.48</v>
      </c>
      <c r="R63" s="80">
        <v>13.6</v>
      </c>
      <c r="S63" s="80">
        <v>151</v>
      </c>
      <c r="T63" s="16">
        <f t="shared" ref="T63:T137" si="3">IF(H63="","",IF(OR(H63="GREEN",H63="GK"),IF(S63&gt;=$AX$2,VLOOKUP(S63,$AX$2:$AY$12,2,1),""),IF(S63&gt;=$AZ$2,VLOOKUP(S63,$AZ$2:$BA$12,2,1),"")))</f>
        <v>22</v>
      </c>
      <c r="U63" s="80">
        <v>158</v>
      </c>
      <c r="V63" s="16">
        <f t="shared" si="1"/>
        <v>18</v>
      </c>
      <c r="W63" s="80">
        <v>1</v>
      </c>
      <c r="X63" s="80" t="s">
        <v>35</v>
      </c>
      <c r="Y63" s="80" t="s">
        <v>64</v>
      </c>
      <c r="Z63" s="80" t="s">
        <v>74</v>
      </c>
      <c r="AA63" s="80" t="s">
        <v>82</v>
      </c>
      <c r="AB63" s="80" t="s">
        <v>161</v>
      </c>
    </row>
    <row r="64" spans="1:28" x14ac:dyDescent="0.15">
      <c r="A64" s="80" t="s">
        <v>46</v>
      </c>
      <c r="B64" s="80" t="s">
        <v>160</v>
      </c>
      <c r="C64" s="183">
        <v>2020</v>
      </c>
      <c r="D64" s="184" t="s">
        <v>379</v>
      </c>
      <c r="E64" s="80" t="s">
        <v>405</v>
      </c>
      <c r="F64" s="80" t="s">
        <v>393</v>
      </c>
      <c r="G64" s="80" t="s">
        <v>25</v>
      </c>
      <c r="H64" s="80" t="s">
        <v>113</v>
      </c>
      <c r="I64" s="80" t="s">
        <v>111</v>
      </c>
      <c r="J64" s="80" t="s">
        <v>27</v>
      </c>
      <c r="K64" s="80" t="s">
        <v>112</v>
      </c>
      <c r="L64" s="80">
        <v>3</v>
      </c>
      <c r="N64" s="80">
        <v>1</v>
      </c>
      <c r="O64" s="80">
        <v>0.39</v>
      </c>
      <c r="P64" s="80">
        <v>0.4</v>
      </c>
      <c r="Q64" s="44">
        <f t="shared" si="2"/>
        <v>0.39500000000000002</v>
      </c>
      <c r="R64" s="80">
        <v>15.1</v>
      </c>
      <c r="S64" s="80">
        <v>138</v>
      </c>
      <c r="T64" s="16">
        <f t="shared" si="3"/>
        <v>22</v>
      </c>
      <c r="U64" s="80">
        <v>158</v>
      </c>
      <c r="V64" s="16">
        <f t="shared" si="1"/>
        <v>18</v>
      </c>
      <c r="W64" s="80">
        <v>1</v>
      </c>
      <c r="X64" s="80" t="s">
        <v>35</v>
      </c>
      <c r="Y64" s="80" t="s">
        <v>64</v>
      </c>
      <c r="Z64" s="80" t="s">
        <v>74</v>
      </c>
      <c r="AA64" s="80" t="s">
        <v>82</v>
      </c>
      <c r="AB64" s="80" t="s">
        <v>161</v>
      </c>
    </row>
    <row r="65" spans="1:28" x14ac:dyDescent="0.15">
      <c r="A65" s="80" t="s">
        <v>46</v>
      </c>
      <c r="B65" s="80" t="s">
        <v>160</v>
      </c>
      <c r="C65" s="183">
        <v>2020</v>
      </c>
      <c r="D65" s="184" t="s">
        <v>379</v>
      </c>
      <c r="E65" s="80" t="s">
        <v>316</v>
      </c>
      <c r="F65" s="80" t="s">
        <v>402</v>
      </c>
      <c r="G65" s="80" t="s">
        <v>25</v>
      </c>
      <c r="H65" s="80" t="s">
        <v>167</v>
      </c>
      <c r="I65" s="80" t="s">
        <v>111</v>
      </c>
      <c r="J65" s="80" t="s">
        <v>27</v>
      </c>
      <c r="K65" s="80" t="s">
        <v>112</v>
      </c>
      <c r="L65" s="80">
        <v>1</v>
      </c>
      <c r="N65" s="80">
        <v>3</v>
      </c>
      <c r="O65" s="80">
        <v>0.37</v>
      </c>
      <c r="P65" s="80">
        <v>0.31</v>
      </c>
      <c r="Q65" s="44">
        <f t="shared" si="2"/>
        <v>0.33999999999999997</v>
      </c>
      <c r="R65" s="80">
        <v>15.9</v>
      </c>
      <c r="S65" s="80">
        <v>158</v>
      </c>
      <c r="T65" s="16">
        <f t="shared" si="3"/>
        <v>18</v>
      </c>
      <c r="U65" s="80">
        <v>398</v>
      </c>
      <c r="V65" s="16">
        <f t="shared" si="1"/>
        <v>16</v>
      </c>
      <c r="W65" s="80">
        <v>2</v>
      </c>
      <c r="X65" s="80" t="s">
        <v>35</v>
      </c>
      <c r="Y65" s="80" t="s">
        <v>64</v>
      </c>
      <c r="Z65" s="80" t="s">
        <v>74</v>
      </c>
      <c r="AA65" s="80" t="s">
        <v>55</v>
      </c>
      <c r="AB65" s="80" t="s">
        <v>161</v>
      </c>
    </row>
    <row r="66" spans="1:28" x14ac:dyDescent="0.15">
      <c r="A66" s="80" t="s">
        <v>46</v>
      </c>
      <c r="B66" s="80" t="s">
        <v>160</v>
      </c>
      <c r="C66" s="183">
        <v>2020</v>
      </c>
      <c r="D66" s="184" t="s">
        <v>379</v>
      </c>
      <c r="E66" s="80" t="s">
        <v>316</v>
      </c>
      <c r="F66" s="80" t="s">
        <v>402</v>
      </c>
      <c r="G66" s="80" t="s">
        <v>25</v>
      </c>
      <c r="H66" s="80" t="s">
        <v>167</v>
      </c>
      <c r="I66" s="80" t="s">
        <v>111</v>
      </c>
      <c r="J66" s="80" t="s">
        <v>27</v>
      </c>
      <c r="K66" s="80" t="s">
        <v>112</v>
      </c>
      <c r="L66" s="80">
        <v>2</v>
      </c>
      <c r="N66" s="80">
        <v>3</v>
      </c>
      <c r="O66" s="80">
        <v>0.48</v>
      </c>
      <c r="P66" s="80">
        <v>0.4</v>
      </c>
      <c r="Q66" s="44">
        <f t="shared" si="2"/>
        <v>0.44</v>
      </c>
      <c r="R66" s="80">
        <v>15.1</v>
      </c>
      <c r="S66" s="80">
        <v>163</v>
      </c>
      <c r="T66" s="16">
        <f t="shared" si="3"/>
        <v>18</v>
      </c>
      <c r="U66" s="80">
        <v>398</v>
      </c>
      <c r="V66" s="16">
        <f t="shared" ref="V66:V152" si="4">IF(J66="","",IF(OR(J66="GREEN",J66="GK"),IF(U66&gt;=$AX$2,VLOOKUP(U66,$AX$2:$AY$12,2,1),""),IF(U66&gt;=$AZ$2,VLOOKUP(U66,$AZ$2:$BA$12,2,1),"")))</f>
        <v>16</v>
      </c>
      <c r="W66" s="80">
        <v>2</v>
      </c>
      <c r="X66" s="80" t="s">
        <v>35</v>
      </c>
      <c r="Y66" s="80" t="s">
        <v>64</v>
      </c>
      <c r="Z66" s="80" t="s">
        <v>74</v>
      </c>
      <c r="AA66" s="80" t="s">
        <v>55</v>
      </c>
      <c r="AB66" s="80" t="s">
        <v>161</v>
      </c>
    </row>
    <row r="67" spans="1:28" x14ac:dyDescent="0.15">
      <c r="A67" s="80" t="s">
        <v>46</v>
      </c>
      <c r="B67" s="80" t="s">
        <v>160</v>
      </c>
      <c r="C67" s="183">
        <v>2020</v>
      </c>
      <c r="D67" s="184" t="s">
        <v>379</v>
      </c>
      <c r="E67" s="80" t="s">
        <v>316</v>
      </c>
      <c r="F67" s="80" t="s">
        <v>402</v>
      </c>
      <c r="G67" s="80" t="s">
        <v>25</v>
      </c>
      <c r="H67" s="80" t="s">
        <v>167</v>
      </c>
      <c r="I67" s="80" t="s">
        <v>111</v>
      </c>
      <c r="J67" s="80" t="s">
        <v>27</v>
      </c>
      <c r="K67" s="80" t="s">
        <v>112</v>
      </c>
      <c r="L67" s="80">
        <v>3</v>
      </c>
      <c r="N67" s="80">
        <v>3</v>
      </c>
      <c r="O67" s="80">
        <v>0.45</v>
      </c>
      <c r="P67" s="80">
        <v>0.42</v>
      </c>
      <c r="Q67" s="44">
        <f t="shared" ref="Q67:Q150" si="5">IF(OR(O67="",P67=""),"",AVERAGE(O67,P67))</f>
        <v>0.435</v>
      </c>
      <c r="R67" s="80">
        <v>15.8</v>
      </c>
      <c r="S67" s="80">
        <v>152</v>
      </c>
      <c r="T67" s="16">
        <f t="shared" si="3"/>
        <v>18</v>
      </c>
      <c r="U67" s="80">
        <v>398</v>
      </c>
      <c r="V67" s="16">
        <f t="shared" si="4"/>
        <v>16</v>
      </c>
      <c r="W67" s="80">
        <v>2</v>
      </c>
      <c r="X67" s="80" t="s">
        <v>35</v>
      </c>
      <c r="Y67" s="80" t="s">
        <v>64</v>
      </c>
      <c r="Z67" s="80" t="s">
        <v>74</v>
      </c>
      <c r="AA67" s="80" t="s">
        <v>55</v>
      </c>
      <c r="AB67" s="80" t="s">
        <v>161</v>
      </c>
    </row>
    <row r="68" spans="1:28" x14ac:dyDescent="0.15">
      <c r="A68" s="80" t="s">
        <v>46</v>
      </c>
      <c r="B68" s="80" t="s">
        <v>160</v>
      </c>
      <c r="C68" s="183">
        <v>2020</v>
      </c>
      <c r="D68" s="184" t="s">
        <v>379</v>
      </c>
      <c r="E68" s="80" t="s">
        <v>316</v>
      </c>
      <c r="F68" s="80" t="s">
        <v>402</v>
      </c>
      <c r="G68" s="80" t="s">
        <v>25</v>
      </c>
      <c r="H68" s="80" t="s">
        <v>167</v>
      </c>
      <c r="I68" s="80" t="s">
        <v>111</v>
      </c>
      <c r="J68" s="80" t="s">
        <v>27</v>
      </c>
      <c r="K68" s="80" t="s">
        <v>112</v>
      </c>
      <c r="L68" s="80">
        <v>1</v>
      </c>
      <c r="N68" s="80">
        <v>1</v>
      </c>
      <c r="O68" s="80">
        <v>0.39</v>
      </c>
      <c r="P68" s="80">
        <v>0.43</v>
      </c>
      <c r="Q68" s="44">
        <f t="shared" si="5"/>
        <v>0.41000000000000003</v>
      </c>
      <c r="R68" s="80">
        <v>14.6</v>
      </c>
      <c r="S68" s="80">
        <v>120</v>
      </c>
      <c r="T68" s="16">
        <f t="shared" si="3"/>
        <v>30</v>
      </c>
      <c r="U68" s="80">
        <v>95</v>
      </c>
      <c r="V68" s="16">
        <f t="shared" si="4"/>
        <v>36</v>
      </c>
      <c r="W68" s="80">
        <v>6</v>
      </c>
      <c r="X68" s="80" t="s">
        <v>35</v>
      </c>
      <c r="Y68" s="80" t="s">
        <v>64</v>
      </c>
      <c r="Z68" s="80" t="s">
        <v>74</v>
      </c>
      <c r="AA68" s="80" t="s">
        <v>55</v>
      </c>
      <c r="AB68" s="80" t="s">
        <v>161</v>
      </c>
    </row>
    <row r="69" spans="1:28" x14ac:dyDescent="0.15">
      <c r="A69" s="80" t="s">
        <v>46</v>
      </c>
      <c r="B69" s="80" t="s">
        <v>160</v>
      </c>
      <c r="C69" s="183">
        <v>2020</v>
      </c>
      <c r="D69" s="184" t="s">
        <v>379</v>
      </c>
      <c r="E69" s="80" t="s">
        <v>316</v>
      </c>
      <c r="F69" s="80" t="s">
        <v>402</v>
      </c>
      <c r="G69" s="80" t="s">
        <v>25</v>
      </c>
      <c r="H69" s="80" t="s">
        <v>167</v>
      </c>
      <c r="I69" s="80" t="s">
        <v>111</v>
      </c>
      <c r="J69" s="80" t="s">
        <v>27</v>
      </c>
      <c r="K69" s="80" t="s">
        <v>112</v>
      </c>
      <c r="L69" s="80">
        <v>2</v>
      </c>
      <c r="N69" s="80">
        <v>1</v>
      </c>
      <c r="O69" s="80">
        <v>0.37</v>
      </c>
      <c r="P69" s="80">
        <v>0.35</v>
      </c>
      <c r="Q69" s="44">
        <f t="shared" si="5"/>
        <v>0.36</v>
      </c>
      <c r="R69" s="80">
        <v>15.4</v>
      </c>
      <c r="S69" s="80">
        <v>118</v>
      </c>
      <c r="T69" s="16">
        <f t="shared" si="3"/>
        <v>30</v>
      </c>
      <c r="U69" s="80">
        <v>95</v>
      </c>
      <c r="V69" s="16">
        <f t="shared" si="4"/>
        <v>36</v>
      </c>
      <c r="W69" s="80">
        <v>6</v>
      </c>
      <c r="X69" s="80" t="s">
        <v>35</v>
      </c>
      <c r="Y69" s="80" t="s">
        <v>64</v>
      </c>
      <c r="Z69" s="80" t="s">
        <v>74</v>
      </c>
      <c r="AA69" s="80" t="s">
        <v>55</v>
      </c>
      <c r="AB69" s="80" t="s">
        <v>161</v>
      </c>
    </row>
    <row r="70" spans="1:28" x14ac:dyDescent="0.15">
      <c r="A70" s="80" t="s">
        <v>46</v>
      </c>
      <c r="B70" s="80" t="s">
        <v>160</v>
      </c>
      <c r="C70" s="183">
        <v>2020</v>
      </c>
      <c r="D70" s="184" t="s">
        <v>379</v>
      </c>
      <c r="E70" s="80" t="s">
        <v>316</v>
      </c>
      <c r="F70" s="80" t="s">
        <v>402</v>
      </c>
      <c r="G70" s="80" t="s">
        <v>25</v>
      </c>
      <c r="H70" s="80" t="s">
        <v>167</v>
      </c>
      <c r="I70" s="80" t="s">
        <v>111</v>
      </c>
      <c r="J70" s="80" t="s">
        <v>27</v>
      </c>
      <c r="K70" s="80" t="s">
        <v>112</v>
      </c>
      <c r="L70" s="80">
        <v>3</v>
      </c>
      <c r="N70" s="80">
        <v>1</v>
      </c>
      <c r="O70" s="80">
        <v>0.34</v>
      </c>
      <c r="P70" s="80">
        <v>0.39</v>
      </c>
      <c r="Q70" s="44">
        <f t="shared" si="5"/>
        <v>0.36499999999999999</v>
      </c>
      <c r="R70" s="80">
        <v>15.2</v>
      </c>
      <c r="S70" s="80">
        <v>118</v>
      </c>
      <c r="T70" s="16">
        <f t="shared" si="3"/>
        <v>30</v>
      </c>
      <c r="U70" s="80">
        <v>95</v>
      </c>
      <c r="V70" s="16">
        <f t="shared" si="4"/>
        <v>36</v>
      </c>
      <c r="W70" s="80">
        <v>6</v>
      </c>
      <c r="X70" s="80" t="s">
        <v>35</v>
      </c>
      <c r="Y70" s="80" t="s">
        <v>64</v>
      </c>
      <c r="Z70" s="80" t="s">
        <v>74</v>
      </c>
      <c r="AA70" s="80" t="s">
        <v>55</v>
      </c>
      <c r="AB70" s="80" t="s">
        <v>161</v>
      </c>
    </row>
    <row r="71" spans="1:28" x14ac:dyDescent="0.15">
      <c r="A71" s="80" t="s">
        <v>46</v>
      </c>
      <c r="B71" s="80" t="s">
        <v>160</v>
      </c>
      <c r="C71" s="183">
        <v>2020</v>
      </c>
      <c r="D71" s="184" t="s">
        <v>379</v>
      </c>
      <c r="E71" s="80" t="s">
        <v>316</v>
      </c>
      <c r="F71" s="80" t="s">
        <v>402</v>
      </c>
      <c r="G71" s="80" t="s">
        <v>25</v>
      </c>
      <c r="H71" s="80" t="s">
        <v>113</v>
      </c>
      <c r="I71" s="80" t="s">
        <v>111</v>
      </c>
      <c r="J71" s="80" t="s">
        <v>27</v>
      </c>
      <c r="K71" s="80" t="s">
        <v>112</v>
      </c>
      <c r="L71" s="80">
        <v>1</v>
      </c>
      <c r="N71" s="80">
        <v>1</v>
      </c>
      <c r="O71" s="80">
        <v>0.41</v>
      </c>
      <c r="P71" s="80">
        <v>0.44</v>
      </c>
      <c r="Q71" s="44">
        <f t="shared" si="5"/>
        <v>0.42499999999999999</v>
      </c>
      <c r="R71" s="80">
        <v>15.5</v>
      </c>
      <c r="S71" s="80">
        <v>122</v>
      </c>
      <c r="T71" s="16">
        <f>IF(H71="","",IF(OR(H71="GREEN",H71="GK"),IF(S71&gt;=$AX$2,VLOOKUP(S71,$AX$2:$AY$12,2,1),""),IF(S71&gt;=$AZ$2,VLOOKUP(S71,$AZ$2:$BA$12,2,1),"")))</f>
        <v>27</v>
      </c>
      <c r="U71" s="80">
        <v>95</v>
      </c>
      <c r="V71" s="16">
        <f t="shared" si="4"/>
        <v>36</v>
      </c>
      <c r="W71" s="80">
        <v>2</v>
      </c>
      <c r="X71" s="80" t="s">
        <v>35</v>
      </c>
      <c r="Y71" s="80" t="s">
        <v>64</v>
      </c>
      <c r="Z71" s="80" t="s">
        <v>74</v>
      </c>
      <c r="AA71" s="80" t="s">
        <v>55</v>
      </c>
      <c r="AB71" s="80" t="s">
        <v>161</v>
      </c>
    </row>
    <row r="72" spans="1:28" x14ac:dyDescent="0.15">
      <c r="A72" s="80" t="s">
        <v>46</v>
      </c>
      <c r="B72" s="80" t="s">
        <v>160</v>
      </c>
      <c r="C72" s="183">
        <v>2020</v>
      </c>
      <c r="D72" s="184" t="s">
        <v>379</v>
      </c>
      <c r="E72" s="80" t="s">
        <v>316</v>
      </c>
      <c r="F72" s="80" t="s">
        <v>402</v>
      </c>
      <c r="G72" s="80" t="s">
        <v>25</v>
      </c>
      <c r="H72" s="80" t="s">
        <v>113</v>
      </c>
      <c r="I72" s="80" t="s">
        <v>111</v>
      </c>
      <c r="J72" s="80" t="s">
        <v>27</v>
      </c>
      <c r="K72" s="80" t="s">
        <v>112</v>
      </c>
      <c r="L72" s="80">
        <v>2</v>
      </c>
      <c r="N72" s="80">
        <v>1</v>
      </c>
      <c r="O72" s="80">
        <v>0.46</v>
      </c>
      <c r="P72" s="80">
        <v>0.45</v>
      </c>
      <c r="Q72" s="44">
        <f t="shared" si="5"/>
        <v>0.45500000000000002</v>
      </c>
      <c r="R72" s="80">
        <v>15.2</v>
      </c>
      <c r="S72" s="80">
        <v>121</v>
      </c>
      <c r="T72" s="16">
        <f>IF(H72="","",IF(OR(H72="GREEN",H72="GK"),IF(S72&gt;=$AX$2,VLOOKUP(S72,$AX$2:$AY$12,2,1),""),IF(S72&gt;=$AZ$2,VLOOKUP(S72,$AZ$2:$BA$12,2,1),"")))</f>
        <v>27</v>
      </c>
      <c r="U72" s="80">
        <v>95</v>
      </c>
      <c r="V72" s="16">
        <f t="shared" si="4"/>
        <v>36</v>
      </c>
      <c r="W72" s="80">
        <v>2</v>
      </c>
      <c r="X72" s="80" t="s">
        <v>35</v>
      </c>
      <c r="Y72" s="80" t="s">
        <v>64</v>
      </c>
      <c r="Z72" s="80" t="s">
        <v>74</v>
      </c>
      <c r="AA72" s="80" t="s">
        <v>55</v>
      </c>
      <c r="AB72" s="80" t="s">
        <v>161</v>
      </c>
    </row>
    <row r="73" spans="1:28" x14ac:dyDescent="0.15">
      <c r="A73" s="80" t="s">
        <v>46</v>
      </c>
      <c r="B73" s="80" t="s">
        <v>160</v>
      </c>
      <c r="C73" s="183">
        <v>2020</v>
      </c>
      <c r="D73" s="184" t="s">
        <v>379</v>
      </c>
      <c r="E73" s="80" t="s">
        <v>316</v>
      </c>
      <c r="F73" s="80" t="s">
        <v>402</v>
      </c>
      <c r="G73" s="80" t="s">
        <v>25</v>
      </c>
      <c r="H73" s="80" t="s">
        <v>113</v>
      </c>
      <c r="I73" s="80" t="s">
        <v>111</v>
      </c>
      <c r="J73" s="80" t="s">
        <v>27</v>
      </c>
      <c r="K73" s="80" t="s">
        <v>112</v>
      </c>
      <c r="L73" s="80">
        <v>3</v>
      </c>
      <c r="N73" s="80">
        <v>1</v>
      </c>
      <c r="O73" s="80">
        <v>0.44</v>
      </c>
      <c r="P73" s="80">
        <v>0.38</v>
      </c>
      <c r="Q73" s="44">
        <f t="shared" si="5"/>
        <v>0.41000000000000003</v>
      </c>
      <c r="R73" s="80">
        <v>16.600000000000001</v>
      </c>
      <c r="S73" s="80">
        <v>120</v>
      </c>
      <c r="T73" s="16">
        <f t="shared" si="3"/>
        <v>30</v>
      </c>
      <c r="U73" s="80">
        <v>95</v>
      </c>
      <c r="V73" s="16">
        <f t="shared" si="4"/>
        <v>36</v>
      </c>
      <c r="W73" s="80">
        <v>2</v>
      </c>
      <c r="X73" s="80" t="s">
        <v>35</v>
      </c>
      <c r="Y73" s="80" t="s">
        <v>64</v>
      </c>
      <c r="Z73" s="80" t="s">
        <v>74</v>
      </c>
      <c r="AA73" s="80" t="s">
        <v>55</v>
      </c>
      <c r="AB73" s="80" t="s">
        <v>161</v>
      </c>
    </row>
    <row r="74" spans="1:28" x14ac:dyDescent="0.15">
      <c r="A74" s="80" t="s">
        <v>46</v>
      </c>
      <c r="B74" s="80" t="s">
        <v>160</v>
      </c>
      <c r="C74" s="183">
        <v>2020</v>
      </c>
      <c r="D74" s="184" t="s">
        <v>379</v>
      </c>
      <c r="E74" s="80" t="s">
        <v>399</v>
      </c>
      <c r="F74" s="80" t="s">
        <v>400</v>
      </c>
      <c r="G74" s="80" t="s">
        <v>25</v>
      </c>
      <c r="H74" s="80" t="s">
        <v>167</v>
      </c>
      <c r="I74" s="80" t="s">
        <v>111</v>
      </c>
      <c r="J74" s="80" t="s">
        <v>27</v>
      </c>
      <c r="K74" s="80" t="s">
        <v>112</v>
      </c>
      <c r="L74" s="80">
        <v>1</v>
      </c>
      <c r="N74" s="80">
        <v>4</v>
      </c>
      <c r="O74" s="80">
        <v>0.33</v>
      </c>
      <c r="P74" s="80">
        <v>0.4</v>
      </c>
      <c r="Q74" s="44">
        <f t="shared" si="5"/>
        <v>0.36499999999999999</v>
      </c>
      <c r="R74" s="80">
        <v>16.5</v>
      </c>
      <c r="S74" s="80">
        <v>113</v>
      </c>
      <c r="T74" s="16">
        <f t="shared" si="3"/>
        <v>30</v>
      </c>
      <c r="U74" s="80">
        <v>399</v>
      </c>
      <c r="V74" s="16">
        <f t="shared" si="4"/>
        <v>16</v>
      </c>
      <c r="W74" s="80">
        <v>3</v>
      </c>
      <c r="X74" s="80" t="s">
        <v>35</v>
      </c>
      <c r="Y74" s="80" t="s">
        <v>55</v>
      </c>
      <c r="Z74" s="80" t="s">
        <v>43</v>
      </c>
      <c r="AA74" s="80" t="s">
        <v>82</v>
      </c>
      <c r="AB74" s="80" t="s">
        <v>161</v>
      </c>
    </row>
    <row r="75" spans="1:28" x14ac:dyDescent="0.15">
      <c r="A75" s="80" t="s">
        <v>46</v>
      </c>
      <c r="B75" s="80" t="s">
        <v>160</v>
      </c>
      <c r="C75" s="183">
        <v>2020</v>
      </c>
      <c r="D75" s="184" t="s">
        <v>379</v>
      </c>
      <c r="E75" s="80" t="s">
        <v>399</v>
      </c>
      <c r="F75" s="80" t="s">
        <v>400</v>
      </c>
      <c r="G75" s="80" t="s">
        <v>25</v>
      </c>
      <c r="H75" s="80" t="s">
        <v>167</v>
      </c>
      <c r="I75" s="80" t="s">
        <v>111</v>
      </c>
      <c r="J75" s="80" t="s">
        <v>27</v>
      </c>
      <c r="K75" s="80" t="s">
        <v>112</v>
      </c>
      <c r="L75" s="80">
        <v>2</v>
      </c>
      <c r="N75" s="80">
        <v>4</v>
      </c>
      <c r="O75" s="80">
        <v>0.28000000000000003</v>
      </c>
      <c r="P75" s="80">
        <v>0.25</v>
      </c>
      <c r="Q75" s="44">
        <f t="shared" si="5"/>
        <v>0.26500000000000001</v>
      </c>
      <c r="R75" s="80">
        <v>18.100000000000001</v>
      </c>
      <c r="S75" s="80">
        <v>115</v>
      </c>
      <c r="T75" s="16">
        <f t="shared" si="3"/>
        <v>30</v>
      </c>
      <c r="U75" s="80">
        <v>399</v>
      </c>
      <c r="V75" s="16">
        <f t="shared" si="4"/>
        <v>16</v>
      </c>
      <c r="W75" s="80">
        <v>3</v>
      </c>
      <c r="X75" s="80" t="s">
        <v>35</v>
      </c>
      <c r="Y75" s="80" t="s">
        <v>55</v>
      </c>
      <c r="Z75" s="80" t="s">
        <v>43</v>
      </c>
      <c r="AA75" s="80" t="s">
        <v>82</v>
      </c>
      <c r="AB75" s="80" t="s">
        <v>161</v>
      </c>
    </row>
    <row r="76" spans="1:28" x14ac:dyDescent="0.15">
      <c r="A76" s="80" t="s">
        <v>46</v>
      </c>
      <c r="B76" s="80" t="s">
        <v>160</v>
      </c>
      <c r="C76" s="183">
        <v>2020</v>
      </c>
      <c r="D76" s="184" t="s">
        <v>379</v>
      </c>
      <c r="E76" s="80" t="s">
        <v>399</v>
      </c>
      <c r="F76" s="80" t="s">
        <v>400</v>
      </c>
      <c r="G76" s="80" t="s">
        <v>25</v>
      </c>
      <c r="H76" s="80" t="s">
        <v>167</v>
      </c>
      <c r="I76" s="80" t="s">
        <v>111</v>
      </c>
      <c r="J76" s="80" t="s">
        <v>27</v>
      </c>
      <c r="K76" s="80" t="s">
        <v>112</v>
      </c>
      <c r="L76" s="80">
        <v>3</v>
      </c>
      <c r="N76" s="80">
        <v>4</v>
      </c>
      <c r="O76" s="80">
        <v>0.31</v>
      </c>
      <c r="P76" s="80">
        <v>0.27</v>
      </c>
      <c r="Q76" s="44">
        <f t="shared" si="5"/>
        <v>0.29000000000000004</v>
      </c>
      <c r="R76" s="80">
        <v>17.3</v>
      </c>
      <c r="S76" s="80">
        <v>110</v>
      </c>
      <c r="T76" s="16">
        <f t="shared" si="3"/>
        <v>33</v>
      </c>
      <c r="U76" s="80">
        <v>399</v>
      </c>
      <c r="V76" s="16">
        <f t="shared" si="4"/>
        <v>16</v>
      </c>
      <c r="W76" s="80">
        <v>3</v>
      </c>
      <c r="X76" s="80" t="s">
        <v>35</v>
      </c>
      <c r="Y76" s="80" t="s">
        <v>55</v>
      </c>
      <c r="Z76" s="80" t="s">
        <v>43</v>
      </c>
      <c r="AA76" s="80" t="s">
        <v>82</v>
      </c>
      <c r="AB76" s="80" t="s">
        <v>161</v>
      </c>
    </row>
    <row r="77" spans="1:28" x14ac:dyDescent="0.15">
      <c r="A77" s="80" t="s">
        <v>46</v>
      </c>
      <c r="B77" s="80" t="s">
        <v>160</v>
      </c>
      <c r="C77" s="183">
        <v>2020</v>
      </c>
      <c r="D77" s="184" t="s">
        <v>379</v>
      </c>
      <c r="E77" s="80" t="s">
        <v>399</v>
      </c>
      <c r="F77" s="80" t="s">
        <v>400</v>
      </c>
      <c r="G77" s="80" t="s">
        <v>25</v>
      </c>
      <c r="H77" s="80" t="s">
        <v>167</v>
      </c>
      <c r="I77" s="80" t="s">
        <v>111</v>
      </c>
      <c r="J77" s="80" t="s">
        <v>27</v>
      </c>
      <c r="K77" s="80" t="s">
        <v>112</v>
      </c>
      <c r="L77" s="80">
        <v>1</v>
      </c>
      <c r="N77" s="80">
        <v>3</v>
      </c>
      <c r="O77" s="80">
        <v>0.33</v>
      </c>
      <c r="P77" s="80">
        <v>0.32</v>
      </c>
      <c r="Q77" s="44">
        <f t="shared" si="5"/>
        <v>0.32500000000000001</v>
      </c>
      <c r="R77" s="80">
        <v>17.899999999999999</v>
      </c>
      <c r="S77" s="80">
        <v>136</v>
      </c>
      <c r="T77" s="16">
        <f t="shared" si="3"/>
        <v>25</v>
      </c>
      <c r="U77" s="80">
        <v>380</v>
      </c>
      <c r="V77" s="16">
        <f t="shared" si="4"/>
        <v>16</v>
      </c>
      <c r="W77" s="80">
        <v>3</v>
      </c>
      <c r="X77" s="80" t="s">
        <v>35</v>
      </c>
      <c r="Y77" s="80" t="s">
        <v>55</v>
      </c>
      <c r="Z77" s="80" t="s">
        <v>43</v>
      </c>
      <c r="AA77" s="80" t="s">
        <v>82</v>
      </c>
      <c r="AB77" s="80" t="s">
        <v>161</v>
      </c>
    </row>
    <row r="78" spans="1:28" x14ac:dyDescent="0.15">
      <c r="A78" s="80" t="s">
        <v>46</v>
      </c>
      <c r="B78" s="80" t="s">
        <v>160</v>
      </c>
      <c r="C78" s="183">
        <v>2020</v>
      </c>
      <c r="D78" s="184" t="s">
        <v>379</v>
      </c>
      <c r="E78" s="80" t="s">
        <v>399</v>
      </c>
      <c r="F78" s="80" t="s">
        <v>400</v>
      </c>
      <c r="G78" s="80" t="s">
        <v>25</v>
      </c>
      <c r="H78" s="80" t="s">
        <v>167</v>
      </c>
      <c r="I78" s="80" t="s">
        <v>111</v>
      </c>
      <c r="J78" s="80" t="s">
        <v>27</v>
      </c>
      <c r="K78" s="80" t="s">
        <v>112</v>
      </c>
      <c r="L78" s="80">
        <v>2</v>
      </c>
      <c r="N78" s="80">
        <v>3</v>
      </c>
      <c r="O78" s="80">
        <v>0.39</v>
      </c>
      <c r="P78" s="80">
        <v>0.36</v>
      </c>
      <c r="Q78" s="44">
        <f t="shared" si="5"/>
        <v>0.375</v>
      </c>
      <c r="R78" s="80">
        <v>15.7</v>
      </c>
      <c r="S78" s="80">
        <v>137</v>
      </c>
      <c r="T78" s="16">
        <f t="shared" si="3"/>
        <v>25</v>
      </c>
      <c r="U78" s="80">
        <v>380</v>
      </c>
      <c r="V78" s="16">
        <f t="shared" si="4"/>
        <v>16</v>
      </c>
      <c r="W78" s="80">
        <v>3</v>
      </c>
      <c r="X78" s="80" t="s">
        <v>35</v>
      </c>
      <c r="Y78" s="80" t="s">
        <v>55</v>
      </c>
      <c r="Z78" s="80" t="s">
        <v>43</v>
      </c>
      <c r="AA78" s="80" t="s">
        <v>82</v>
      </c>
      <c r="AB78" s="80" t="s">
        <v>161</v>
      </c>
    </row>
    <row r="79" spans="1:28" x14ac:dyDescent="0.15">
      <c r="A79" s="80" t="s">
        <v>46</v>
      </c>
      <c r="B79" s="80" t="s">
        <v>160</v>
      </c>
      <c r="C79" s="183">
        <v>2020</v>
      </c>
      <c r="D79" s="184" t="s">
        <v>379</v>
      </c>
      <c r="E79" s="80" t="s">
        <v>399</v>
      </c>
      <c r="F79" s="80" t="s">
        <v>400</v>
      </c>
      <c r="G79" s="80" t="s">
        <v>25</v>
      </c>
      <c r="H79" s="80" t="s">
        <v>167</v>
      </c>
      <c r="I79" s="80" t="s">
        <v>111</v>
      </c>
      <c r="J79" s="80" t="s">
        <v>27</v>
      </c>
      <c r="K79" s="80" t="s">
        <v>112</v>
      </c>
      <c r="L79" s="80">
        <v>3</v>
      </c>
      <c r="N79" s="80">
        <v>3</v>
      </c>
      <c r="O79" s="80">
        <v>0.34</v>
      </c>
      <c r="P79" s="80">
        <v>0.34</v>
      </c>
      <c r="Q79" s="44">
        <f t="shared" si="5"/>
        <v>0.34</v>
      </c>
      <c r="R79" s="80">
        <v>17.5</v>
      </c>
      <c r="S79" s="80">
        <v>134</v>
      </c>
      <c r="T79" s="16">
        <f t="shared" si="3"/>
        <v>25</v>
      </c>
      <c r="U79" s="80">
        <v>380</v>
      </c>
      <c r="V79" s="16">
        <f t="shared" si="4"/>
        <v>16</v>
      </c>
      <c r="W79" s="80">
        <v>3</v>
      </c>
      <c r="X79" s="80" t="s">
        <v>35</v>
      </c>
      <c r="Y79" s="80" t="s">
        <v>55</v>
      </c>
      <c r="Z79" s="80" t="s">
        <v>43</v>
      </c>
      <c r="AA79" s="80" t="s">
        <v>82</v>
      </c>
      <c r="AB79" s="80" t="s">
        <v>161</v>
      </c>
    </row>
    <row r="80" spans="1:28" x14ac:dyDescent="0.15">
      <c r="A80" s="80" t="s">
        <v>46</v>
      </c>
      <c r="B80" s="80" t="s">
        <v>160</v>
      </c>
      <c r="C80" s="183">
        <v>2020</v>
      </c>
      <c r="D80" s="184" t="s">
        <v>379</v>
      </c>
      <c r="E80" s="80" t="s">
        <v>399</v>
      </c>
      <c r="F80" s="80" t="s">
        <v>400</v>
      </c>
      <c r="G80" s="80" t="s">
        <v>25</v>
      </c>
      <c r="H80" s="80" t="s">
        <v>167</v>
      </c>
      <c r="I80" s="80" t="s">
        <v>111</v>
      </c>
      <c r="J80" s="80" t="s">
        <v>27</v>
      </c>
      <c r="K80" s="80" t="s">
        <v>112</v>
      </c>
      <c r="L80" s="80">
        <v>1</v>
      </c>
      <c r="N80" s="80">
        <v>1</v>
      </c>
      <c r="O80" s="80">
        <v>0.35</v>
      </c>
      <c r="P80" s="80">
        <v>0.28999999999999998</v>
      </c>
      <c r="Q80" s="44">
        <f t="shared" si="5"/>
        <v>0.31999999999999995</v>
      </c>
      <c r="R80" s="80">
        <v>17.3</v>
      </c>
      <c r="S80" s="80">
        <v>138</v>
      </c>
      <c r="T80" s="16">
        <f t="shared" si="3"/>
        <v>22</v>
      </c>
      <c r="U80" s="80">
        <v>129</v>
      </c>
      <c r="V80" s="16">
        <f t="shared" si="4"/>
        <v>25</v>
      </c>
      <c r="W80" s="80">
        <v>4</v>
      </c>
      <c r="X80" s="80" t="s">
        <v>35</v>
      </c>
      <c r="Y80" s="80" t="s">
        <v>55</v>
      </c>
      <c r="Z80" s="80" t="s">
        <v>43</v>
      </c>
      <c r="AA80" s="80" t="s">
        <v>82</v>
      </c>
      <c r="AB80" s="80" t="s">
        <v>161</v>
      </c>
    </row>
    <row r="81" spans="1:28" x14ac:dyDescent="0.15">
      <c r="A81" s="80" t="s">
        <v>46</v>
      </c>
      <c r="B81" s="80" t="s">
        <v>160</v>
      </c>
      <c r="C81" s="183">
        <v>2020</v>
      </c>
      <c r="D81" s="184" t="s">
        <v>379</v>
      </c>
      <c r="E81" s="80" t="s">
        <v>399</v>
      </c>
      <c r="F81" s="80" t="s">
        <v>400</v>
      </c>
      <c r="G81" s="80" t="s">
        <v>25</v>
      </c>
      <c r="H81" s="80" t="s">
        <v>167</v>
      </c>
      <c r="I81" s="80" t="s">
        <v>111</v>
      </c>
      <c r="J81" s="80" t="s">
        <v>27</v>
      </c>
      <c r="K81" s="80" t="s">
        <v>112</v>
      </c>
      <c r="L81" s="80">
        <v>2</v>
      </c>
      <c r="N81" s="80">
        <v>1</v>
      </c>
      <c r="O81" s="80">
        <v>0.36</v>
      </c>
      <c r="P81" s="80">
        <v>0.38</v>
      </c>
      <c r="Q81" s="44">
        <f t="shared" si="5"/>
        <v>0.37</v>
      </c>
      <c r="R81" s="80">
        <v>14.4</v>
      </c>
      <c r="S81" s="80">
        <v>135</v>
      </c>
      <c r="T81" s="16">
        <f t="shared" si="3"/>
        <v>25</v>
      </c>
      <c r="U81" s="80">
        <v>129</v>
      </c>
      <c r="V81" s="16">
        <f t="shared" si="4"/>
        <v>25</v>
      </c>
      <c r="W81" s="80">
        <v>4</v>
      </c>
      <c r="X81" s="80" t="s">
        <v>35</v>
      </c>
      <c r="Y81" s="80" t="s">
        <v>55</v>
      </c>
      <c r="Z81" s="80" t="s">
        <v>43</v>
      </c>
      <c r="AA81" s="80" t="s">
        <v>82</v>
      </c>
      <c r="AB81" s="80" t="s">
        <v>161</v>
      </c>
    </row>
    <row r="82" spans="1:28" x14ac:dyDescent="0.15">
      <c r="A82" s="80" t="s">
        <v>46</v>
      </c>
      <c r="B82" s="80" t="s">
        <v>160</v>
      </c>
      <c r="C82" s="183">
        <v>2020</v>
      </c>
      <c r="D82" s="184" t="s">
        <v>379</v>
      </c>
      <c r="E82" s="80" t="s">
        <v>399</v>
      </c>
      <c r="F82" s="80" t="s">
        <v>400</v>
      </c>
      <c r="G82" s="80" t="s">
        <v>25</v>
      </c>
      <c r="H82" s="80" t="s">
        <v>167</v>
      </c>
      <c r="I82" s="80" t="s">
        <v>111</v>
      </c>
      <c r="J82" s="80" t="s">
        <v>27</v>
      </c>
      <c r="K82" s="80" t="s">
        <v>112</v>
      </c>
      <c r="L82" s="80">
        <v>3</v>
      </c>
      <c r="N82" s="80">
        <v>1</v>
      </c>
      <c r="O82" s="80">
        <v>0.34</v>
      </c>
      <c r="P82" s="80">
        <v>0.38</v>
      </c>
      <c r="Q82" s="44">
        <f t="shared" si="5"/>
        <v>0.36</v>
      </c>
      <c r="R82" s="80">
        <v>14.9</v>
      </c>
      <c r="S82" s="80">
        <v>131</v>
      </c>
      <c r="T82" s="16">
        <f t="shared" si="3"/>
        <v>25</v>
      </c>
      <c r="U82" s="80">
        <v>129</v>
      </c>
      <c r="V82" s="16">
        <f t="shared" si="4"/>
        <v>25</v>
      </c>
      <c r="W82" s="80">
        <v>4</v>
      </c>
      <c r="X82" s="80" t="s">
        <v>35</v>
      </c>
      <c r="Y82" s="80" t="s">
        <v>55</v>
      </c>
      <c r="Z82" s="80" t="s">
        <v>43</v>
      </c>
      <c r="AA82" s="80" t="s">
        <v>82</v>
      </c>
      <c r="AB82" s="80" t="s">
        <v>161</v>
      </c>
    </row>
    <row r="83" spans="1:28" x14ac:dyDescent="0.15">
      <c r="A83" s="80" t="s">
        <v>46</v>
      </c>
      <c r="B83" s="80" t="s">
        <v>160</v>
      </c>
      <c r="C83" s="183">
        <v>2020</v>
      </c>
      <c r="D83" s="184" t="s">
        <v>379</v>
      </c>
      <c r="E83" s="80" t="s">
        <v>399</v>
      </c>
      <c r="F83" s="80" t="s">
        <v>400</v>
      </c>
      <c r="G83" s="80" t="s">
        <v>25</v>
      </c>
      <c r="H83" s="80" t="s">
        <v>113</v>
      </c>
      <c r="I83" s="80" t="s">
        <v>111</v>
      </c>
      <c r="J83" s="80" t="s">
        <v>27</v>
      </c>
      <c r="K83" s="80" t="s">
        <v>112</v>
      </c>
      <c r="L83" s="80">
        <v>1</v>
      </c>
      <c r="N83" s="80">
        <v>6</v>
      </c>
      <c r="O83" s="80">
        <v>0.48</v>
      </c>
      <c r="P83" s="80">
        <v>0.47</v>
      </c>
      <c r="Q83" s="44">
        <f t="shared" si="5"/>
        <v>0.47499999999999998</v>
      </c>
      <c r="R83" s="80">
        <v>15.8</v>
      </c>
      <c r="S83" s="80">
        <v>93</v>
      </c>
      <c r="T83" s="16">
        <f t="shared" si="3"/>
        <v>36</v>
      </c>
      <c r="U83" s="80">
        <v>399</v>
      </c>
      <c r="V83" s="16">
        <f t="shared" si="4"/>
        <v>16</v>
      </c>
      <c r="W83" s="80">
        <v>3</v>
      </c>
      <c r="X83" s="80" t="s">
        <v>35</v>
      </c>
      <c r="Y83" s="80" t="s">
        <v>55</v>
      </c>
      <c r="Z83" s="80" t="s">
        <v>43</v>
      </c>
      <c r="AA83" s="80" t="s">
        <v>82</v>
      </c>
      <c r="AB83" s="80" t="s">
        <v>161</v>
      </c>
    </row>
    <row r="84" spans="1:28" x14ac:dyDescent="0.15">
      <c r="A84" s="80" t="s">
        <v>46</v>
      </c>
      <c r="B84" s="80" t="s">
        <v>160</v>
      </c>
      <c r="C84" s="183">
        <v>2020</v>
      </c>
      <c r="D84" s="184" t="s">
        <v>379</v>
      </c>
      <c r="E84" s="80" t="s">
        <v>399</v>
      </c>
      <c r="F84" s="80" t="s">
        <v>400</v>
      </c>
      <c r="G84" s="80" t="s">
        <v>25</v>
      </c>
      <c r="H84" s="80" t="s">
        <v>113</v>
      </c>
      <c r="I84" s="80" t="s">
        <v>111</v>
      </c>
      <c r="J84" s="80" t="s">
        <v>27</v>
      </c>
      <c r="K84" s="80" t="s">
        <v>112</v>
      </c>
      <c r="L84" s="80">
        <v>2</v>
      </c>
      <c r="N84" s="80">
        <v>6</v>
      </c>
      <c r="O84" s="80">
        <v>0.57999999999999996</v>
      </c>
      <c r="P84" s="80">
        <v>0.61</v>
      </c>
      <c r="Q84" s="44">
        <f t="shared" si="5"/>
        <v>0.59499999999999997</v>
      </c>
      <c r="R84" s="80">
        <v>15</v>
      </c>
      <c r="S84" s="80">
        <v>85</v>
      </c>
      <c r="T84" s="16">
        <f t="shared" si="3"/>
        <v>36</v>
      </c>
      <c r="U84" s="80">
        <v>399</v>
      </c>
      <c r="V84" s="16">
        <f t="shared" si="4"/>
        <v>16</v>
      </c>
      <c r="W84" s="80">
        <v>3</v>
      </c>
      <c r="X84" s="80" t="s">
        <v>35</v>
      </c>
      <c r="Y84" s="80" t="s">
        <v>55</v>
      </c>
      <c r="Z84" s="80" t="s">
        <v>43</v>
      </c>
      <c r="AA84" s="80" t="s">
        <v>82</v>
      </c>
      <c r="AB84" s="80" t="s">
        <v>161</v>
      </c>
    </row>
    <row r="85" spans="1:28" x14ac:dyDescent="0.15">
      <c r="A85" s="80" t="s">
        <v>46</v>
      </c>
      <c r="B85" s="80" t="s">
        <v>160</v>
      </c>
      <c r="C85" s="183">
        <v>2020</v>
      </c>
      <c r="D85" s="184" t="s">
        <v>379</v>
      </c>
      <c r="E85" s="80" t="s">
        <v>399</v>
      </c>
      <c r="F85" s="80" t="s">
        <v>400</v>
      </c>
      <c r="G85" s="80" t="s">
        <v>25</v>
      </c>
      <c r="H85" s="80" t="s">
        <v>113</v>
      </c>
      <c r="I85" s="80" t="s">
        <v>111</v>
      </c>
      <c r="J85" s="80" t="s">
        <v>27</v>
      </c>
      <c r="K85" s="80" t="s">
        <v>112</v>
      </c>
      <c r="L85" s="80">
        <v>3</v>
      </c>
      <c r="N85" s="80">
        <v>6</v>
      </c>
      <c r="O85" s="80">
        <v>0.25</v>
      </c>
      <c r="P85" s="80">
        <v>0.28000000000000003</v>
      </c>
      <c r="Q85" s="44">
        <f t="shared" si="5"/>
        <v>0.26500000000000001</v>
      </c>
      <c r="R85" s="80">
        <v>15.5</v>
      </c>
      <c r="S85" s="80">
        <v>85</v>
      </c>
      <c r="T85" s="16">
        <f t="shared" si="3"/>
        <v>36</v>
      </c>
      <c r="U85" s="80">
        <v>399</v>
      </c>
      <c r="V85" s="16">
        <f t="shared" si="4"/>
        <v>16</v>
      </c>
      <c r="W85" s="80">
        <v>3</v>
      </c>
      <c r="X85" s="80" t="s">
        <v>35</v>
      </c>
      <c r="Y85" s="80" t="s">
        <v>55</v>
      </c>
      <c r="Z85" s="80" t="s">
        <v>43</v>
      </c>
      <c r="AA85" s="80" t="s">
        <v>82</v>
      </c>
      <c r="AB85" s="80" t="s">
        <v>161</v>
      </c>
    </row>
    <row r="86" spans="1:28" x14ac:dyDescent="0.15">
      <c r="A86" s="80" t="s">
        <v>46</v>
      </c>
      <c r="B86" s="80" t="s">
        <v>160</v>
      </c>
      <c r="C86" s="183">
        <v>2020</v>
      </c>
      <c r="D86" s="184" t="s">
        <v>379</v>
      </c>
      <c r="E86" s="80" t="s">
        <v>399</v>
      </c>
      <c r="F86" s="80" t="s">
        <v>400</v>
      </c>
      <c r="G86" s="80" t="s">
        <v>25</v>
      </c>
      <c r="H86" s="80" t="s">
        <v>113</v>
      </c>
      <c r="I86" s="80" t="s">
        <v>111</v>
      </c>
      <c r="J86" s="80" t="s">
        <v>27</v>
      </c>
      <c r="K86" s="80" t="s">
        <v>112</v>
      </c>
      <c r="L86" s="80">
        <v>1</v>
      </c>
      <c r="N86" s="80">
        <v>3</v>
      </c>
      <c r="O86" s="80">
        <v>0.23</v>
      </c>
      <c r="P86" s="80">
        <v>0.23</v>
      </c>
      <c r="Q86" s="44">
        <f t="shared" si="5"/>
        <v>0.23</v>
      </c>
      <c r="R86" s="80">
        <v>14.2</v>
      </c>
      <c r="S86" s="80">
        <v>130</v>
      </c>
      <c r="T86" s="16">
        <f t="shared" si="3"/>
        <v>25</v>
      </c>
      <c r="U86" s="80">
        <v>399</v>
      </c>
      <c r="V86" s="16">
        <f t="shared" si="4"/>
        <v>16</v>
      </c>
      <c r="W86" s="80">
        <v>3</v>
      </c>
      <c r="X86" s="80" t="s">
        <v>35</v>
      </c>
      <c r="Y86" s="80" t="s">
        <v>55</v>
      </c>
      <c r="Z86" s="80" t="s">
        <v>43</v>
      </c>
      <c r="AA86" s="80" t="s">
        <v>82</v>
      </c>
      <c r="AB86" s="80" t="s">
        <v>161</v>
      </c>
    </row>
    <row r="87" spans="1:28" x14ac:dyDescent="0.15">
      <c r="A87" s="80" t="s">
        <v>46</v>
      </c>
      <c r="B87" s="80" t="s">
        <v>160</v>
      </c>
      <c r="C87" s="183">
        <v>2020</v>
      </c>
      <c r="D87" s="184" t="s">
        <v>379</v>
      </c>
      <c r="E87" s="80" t="s">
        <v>399</v>
      </c>
      <c r="F87" s="80" t="s">
        <v>400</v>
      </c>
      <c r="G87" s="80" t="s">
        <v>25</v>
      </c>
      <c r="H87" s="80" t="s">
        <v>113</v>
      </c>
      <c r="I87" s="80" t="s">
        <v>111</v>
      </c>
      <c r="J87" s="80" t="s">
        <v>27</v>
      </c>
      <c r="K87" s="80" t="s">
        <v>112</v>
      </c>
      <c r="L87" s="80">
        <v>2</v>
      </c>
      <c r="N87" s="80">
        <v>3</v>
      </c>
      <c r="O87" s="80">
        <v>0.23</v>
      </c>
      <c r="P87" s="80">
        <v>0.24</v>
      </c>
      <c r="Q87" s="44">
        <f t="shared" si="5"/>
        <v>0.23499999999999999</v>
      </c>
      <c r="R87" s="80">
        <v>15.6</v>
      </c>
      <c r="S87" s="80">
        <v>128</v>
      </c>
      <c r="T87" s="16">
        <f t="shared" si="3"/>
        <v>27</v>
      </c>
      <c r="U87" s="80">
        <v>399</v>
      </c>
      <c r="V87" s="16">
        <f t="shared" si="4"/>
        <v>16</v>
      </c>
      <c r="W87" s="80">
        <v>3</v>
      </c>
      <c r="X87" s="80" t="s">
        <v>35</v>
      </c>
      <c r="Y87" s="80" t="s">
        <v>55</v>
      </c>
      <c r="Z87" s="80" t="s">
        <v>43</v>
      </c>
      <c r="AA87" s="80" t="s">
        <v>82</v>
      </c>
      <c r="AB87" s="80" t="s">
        <v>161</v>
      </c>
    </row>
    <row r="88" spans="1:28" x14ac:dyDescent="0.15">
      <c r="A88" s="80" t="s">
        <v>46</v>
      </c>
      <c r="B88" s="80" t="s">
        <v>160</v>
      </c>
      <c r="C88" s="183">
        <v>2020</v>
      </c>
      <c r="D88" s="184" t="s">
        <v>379</v>
      </c>
      <c r="E88" s="80" t="s">
        <v>399</v>
      </c>
      <c r="F88" s="80" t="s">
        <v>400</v>
      </c>
      <c r="G88" s="80" t="s">
        <v>25</v>
      </c>
      <c r="H88" s="80" t="s">
        <v>113</v>
      </c>
      <c r="I88" s="80" t="s">
        <v>111</v>
      </c>
      <c r="J88" s="80" t="s">
        <v>27</v>
      </c>
      <c r="K88" s="80" t="s">
        <v>112</v>
      </c>
      <c r="L88" s="80">
        <v>3</v>
      </c>
      <c r="N88" s="80">
        <v>3</v>
      </c>
      <c r="O88" s="80">
        <v>0.24</v>
      </c>
      <c r="P88" s="80">
        <v>0.21</v>
      </c>
      <c r="Q88" s="44">
        <f t="shared" si="5"/>
        <v>0.22499999999999998</v>
      </c>
      <c r="R88" s="80">
        <v>15.5</v>
      </c>
      <c r="S88" s="80">
        <v>137</v>
      </c>
      <c r="T88" s="16">
        <f t="shared" si="3"/>
        <v>25</v>
      </c>
      <c r="U88" s="80">
        <v>399</v>
      </c>
      <c r="V88" s="16">
        <f t="shared" si="4"/>
        <v>16</v>
      </c>
      <c r="W88" s="80">
        <v>3</v>
      </c>
      <c r="X88" s="80" t="s">
        <v>35</v>
      </c>
      <c r="Y88" s="80" t="s">
        <v>55</v>
      </c>
      <c r="Z88" s="80" t="s">
        <v>43</v>
      </c>
      <c r="AA88" s="80" t="s">
        <v>82</v>
      </c>
      <c r="AB88" s="80" t="s">
        <v>161</v>
      </c>
    </row>
    <row r="89" spans="1:28" x14ac:dyDescent="0.15">
      <c r="A89" s="80" t="s">
        <v>46</v>
      </c>
      <c r="B89" s="80" t="s">
        <v>160</v>
      </c>
      <c r="C89" s="183">
        <v>2020</v>
      </c>
      <c r="D89" s="184" t="s">
        <v>379</v>
      </c>
      <c r="E89" s="80" t="s">
        <v>399</v>
      </c>
      <c r="F89" s="80" t="s">
        <v>400</v>
      </c>
      <c r="G89" s="80" t="s">
        <v>25</v>
      </c>
      <c r="H89" s="80" t="s">
        <v>113</v>
      </c>
      <c r="I89" s="80" t="s">
        <v>111</v>
      </c>
      <c r="J89" s="80" t="s">
        <v>27</v>
      </c>
      <c r="K89" s="80" t="s">
        <v>112</v>
      </c>
      <c r="L89" s="80">
        <v>1</v>
      </c>
      <c r="N89" s="80">
        <v>1</v>
      </c>
      <c r="O89" s="80">
        <v>0.44</v>
      </c>
      <c r="P89" s="80">
        <v>0.45</v>
      </c>
      <c r="Q89" s="44">
        <f t="shared" si="5"/>
        <v>0.44500000000000001</v>
      </c>
      <c r="R89" s="80">
        <v>14.9</v>
      </c>
      <c r="S89" s="80">
        <v>130</v>
      </c>
      <c r="T89" s="16">
        <f t="shared" si="3"/>
        <v>25</v>
      </c>
      <c r="U89" s="80">
        <v>129</v>
      </c>
      <c r="V89" s="16">
        <f t="shared" si="4"/>
        <v>25</v>
      </c>
      <c r="W89" s="80">
        <v>4</v>
      </c>
      <c r="X89" s="80" t="s">
        <v>35</v>
      </c>
      <c r="Y89" s="80" t="s">
        <v>55</v>
      </c>
      <c r="Z89" s="80" t="s">
        <v>43</v>
      </c>
      <c r="AA89" s="80" t="s">
        <v>82</v>
      </c>
      <c r="AB89" s="80" t="s">
        <v>161</v>
      </c>
    </row>
    <row r="90" spans="1:28" x14ac:dyDescent="0.15">
      <c r="A90" s="80" t="s">
        <v>46</v>
      </c>
      <c r="B90" s="80" t="s">
        <v>160</v>
      </c>
      <c r="C90" s="183">
        <v>2020</v>
      </c>
      <c r="D90" s="184" t="s">
        <v>379</v>
      </c>
      <c r="E90" s="80" t="s">
        <v>399</v>
      </c>
      <c r="F90" s="80" t="s">
        <v>400</v>
      </c>
      <c r="G90" s="80" t="s">
        <v>25</v>
      </c>
      <c r="H90" s="80" t="s">
        <v>113</v>
      </c>
      <c r="I90" s="80" t="s">
        <v>111</v>
      </c>
      <c r="J90" s="80" t="s">
        <v>27</v>
      </c>
      <c r="K90" s="80" t="s">
        <v>112</v>
      </c>
      <c r="L90" s="80">
        <v>2</v>
      </c>
      <c r="N90" s="80">
        <v>1</v>
      </c>
      <c r="O90" s="80">
        <v>0.43</v>
      </c>
      <c r="P90" s="80">
        <v>0.38</v>
      </c>
      <c r="Q90" s="44">
        <f t="shared" si="5"/>
        <v>0.40500000000000003</v>
      </c>
      <c r="R90" s="80">
        <v>14.8</v>
      </c>
      <c r="S90" s="80">
        <v>132</v>
      </c>
      <c r="T90" s="16">
        <f t="shared" si="3"/>
        <v>25</v>
      </c>
      <c r="U90" s="80">
        <v>129</v>
      </c>
      <c r="V90" s="16">
        <f t="shared" si="4"/>
        <v>25</v>
      </c>
      <c r="W90" s="80">
        <v>4</v>
      </c>
      <c r="X90" s="80" t="s">
        <v>35</v>
      </c>
      <c r="Y90" s="80" t="s">
        <v>55</v>
      </c>
      <c r="Z90" s="80" t="s">
        <v>43</v>
      </c>
      <c r="AA90" s="80" t="s">
        <v>82</v>
      </c>
      <c r="AB90" s="80" t="s">
        <v>161</v>
      </c>
    </row>
    <row r="91" spans="1:28" x14ac:dyDescent="0.15">
      <c r="A91" s="80" t="s">
        <v>46</v>
      </c>
      <c r="B91" s="80" t="s">
        <v>160</v>
      </c>
      <c r="C91" s="183">
        <v>2020</v>
      </c>
      <c r="D91" s="184" t="s">
        <v>379</v>
      </c>
      <c r="E91" s="80" t="s">
        <v>399</v>
      </c>
      <c r="F91" s="80" t="s">
        <v>400</v>
      </c>
      <c r="G91" s="80" t="s">
        <v>25</v>
      </c>
      <c r="H91" s="80" t="s">
        <v>113</v>
      </c>
      <c r="I91" s="80" t="s">
        <v>111</v>
      </c>
      <c r="J91" s="80" t="s">
        <v>27</v>
      </c>
      <c r="K91" s="80" t="s">
        <v>112</v>
      </c>
      <c r="L91" s="80">
        <v>3</v>
      </c>
      <c r="N91" s="80">
        <v>1</v>
      </c>
      <c r="O91" s="80">
        <v>0.56000000000000005</v>
      </c>
      <c r="P91" s="80">
        <v>0.56999999999999995</v>
      </c>
      <c r="Q91" s="44">
        <f t="shared" si="5"/>
        <v>0.56499999999999995</v>
      </c>
      <c r="R91" s="80">
        <v>15.3</v>
      </c>
      <c r="S91" s="80">
        <v>138</v>
      </c>
      <c r="T91" s="16">
        <f t="shared" si="3"/>
        <v>22</v>
      </c>
      <c r="U91" s="80">
        <v>129</v>
      </c>
      <c r="V91" s="16">
        <f t="shared" si="4"/>
        <v>25</v>
      </c>
      <c r="W91" s="80">
        <v>4</v>
      </c>
      <c r="X91" s="80" t="s">
        <v>35</v>
      </c>
      <c r="Y91" s="80" t="s">
        <v>55</v>
      </c>
      <c r="Z91" s="80" t="s">
        <v>43</v>
      </c>
      <c r="AA91" s="80" t="s">
        <v>82</v>
      </c>
      <c r="AB91" s="80" t="s">
        <v>161</v>
      </c>
    </row>
    <row r="92" spans="1:28" x14ac:dyDescent="0.15">
      <c r="A92" s="80" t="s">
        <v>46</v>
      </c>
      <c r="B92" s="80" t="s">
        <v>160</v>
      </c>
      <c r="C92" s="183">
        <v>2020</v>
      </c>
      <c r="D92" s="184" t="s">
        <v>379</v>
      </c>
      <c r="E92" s="80" t="s">
        <v>388</v>
      </c>
      <c r="F92" s="80" t="s">
        <v>389</v>
      </c>
      <c r="G92" s="80" t="s">
        <v>31</v>
      </c>
      <c r="H92" s="80" t="s">
        <v>167</v>
      </c>
      <c r="I92" s="80" t="s">
        <v>111</v>
      </c>
      <c r="J92" s="80" t="s">
        <v>27</v>
      </c>
      <c r="K92" s="80" t="s">
        <v>112</v>
      </c>
      <c r="L92" s="80">
        <v>1</v>
      </c>
      <c r="N92" s="80">
        <v>1</v>
      </c>
      <c r="O92" s="80">
        <v>0.32</v>
      </c>
      <c r="P92" s="80">
        <v>0.26</v>
      </c>
      <c r="Q92" s="44">
        <f t="shared" si="5"/>
        <v>0.29000000000000004</v>
      </c>
      <c r="R92" s="80">
        <v>18</v>
      </c>
      <c r="S92" s="80">
        <v>117</v>
      </c>
      <c r="T92" s="16">
        <f t="shared" si="3"/>
        <v>30</v>
      </c>
      <c r="U92" s="80">
        <v>98</v>
      </c>
      <c r="V92" s="16">
        <f t="shared" si="4"/>
        <v>36</v>
      </c>
      <c r="W92" s="80">
        <v>1</v>
      </c>
      <c r="X92" s="80" t="s">
        <v>28</v>
      </c>
      <c r="Y92" s="80" t="s">
        <v>55</v>
      </c>
      <c r="Z92" s="80" t="s">
        <v>64</v>
      </c>
      <c r="AA92" s="80" t="s">
        <v>76</v>
      </c>
      <c r="AB92" s="80" t="s">
        <v>161</v>
      </c>
    </row>
    <row r="93" spans="1:28" x14ac:dyDescent="0.15">
      <c r="A93" s="80" t="s">
        <v>46</v>
      </c>
      <c r="B93" s="80" t="s">
        <v>160</v>
      </c>
      <c r="C93" s="183">
        <v>2020</v>
      </c>
      <c r="D93" s="184" t="s">
        <v>379</v>
      </c>
      <c r="E93" s="80" t="s">
        <v>388</v>
      </c>
      <c r="F93" s="80" t="s">
        <v>389</v>
      </c>
      <c r="G93" s="80" t="s">
        <v>31</v>
      </c>
      <c r="H93" s="80" t="s">
        <v>167</v>
      </c>
      <c r="I93" s="80" t="s">
        <v>111</v>
      </c>
      <c r="J93" s="80" t="s">
        <v>27</v>
      </c>
      <c r="K93" s="80" t="s">
        <v>112</v>
      </c>
      <c r="L93" s="80">
        <v>2</v>
      </c>
      <c r="N93" s="80">
        <v>1</v>
      </c>
      <c r="O93" s="80">
        <v>0.26</v>
      </c>
      <c r="P93" s="80">
        <v>0.24</v>
      </c>
      <c r="Q93" s="44">
        <f t="shared" si="5"/>
        <v>0.25</v>
      </c>
      <c r="R93" s="80">
        <v>20</v>
      </c>
      <c r="S93" s="80">
        <v>115</v>
      </c>
      <c r="T93" s="16">
        <f t="shared" si="3"/>
        <v>30</v>
      </c>
      <c r="U93" s="80">
        <v>98</v>
      </c>
      <c r="V93" s="16">
        <f t="shared" si="4"/>
        <v>36</v>
      </c>
      <c r="W93" s="80">
        <v>1</v>
      </c>
      <c r="X93" s="80" t="s">
        <v>28</v>
      </c>
      <c r="Y93" s="80" t="s">
        <v>55</v>
      </c>
      <c r="Z93" s="80" t="s">
        <v>64</v>
      </c>
      <c r="AA93" s="80" t="s">
        <v>76</v>
      </c>
      <c r="AB93" s="80" t="s">
        <v>161</v>
      </c>
    </row>
    <row r="94" spans="1:28" x14ac:dyDescent="0.15">
      <c r="A94" s="80" t="s">
        <v>46</v>
      </c>
      <c r="B94" s="80" t="s">
        <v>160</v>
      </c>
      <c r="C94" s="183">
        <v>2020</v>
      </c>
      <c r="D94" s="184" t="s">
        <v>379</v>
      </c>
      <c r="E94" s="80" t="s">
        <v>388</v>
      </c>
      <c r="F94" s="80" t="s">
        <v>389</v>
      </c>
      <c r="G94" s="80" t="s">
        <v>31</v>
      </c>
      <c r="H94" s="80" t="s">
        <v>167</v>
      </c>
      <c r="I94" s="80" t="s">
        <v>111</v>
      </c>
      <c r="J94" s="80" t="s">
        <v>27</v>
      </c>
      <c r="K94" s="80" t="s">
        <v>112</v>
      </c>
      <c r="L94" s="80">
        <v>3</v>
      </c>
      <c r="N94" s="80">
        <v>1</v>
      </c>
      <c r="O94" s="80">
        <v>0.31</v>
      </c>
      <c r="P94" s="80">
        <v>0.3</v>
      </c>
      <c r="Q94" s="44">
        <f t="shared" si="5"/>
        <v>0.30499999999999999</v>
      </c>
      <c r="R94" s="80">
        <v>18.100000000000001</v>
      </c>
      <c r="S94" s="80">
        <v>116</v>
      </c>
      <c r="T94" s="16">
        <f t="shared" si="3"/>
        <v>30</v>
      </c>
      <c r="U94" s="80">
        <v>98</v>
      </c>
      <c r="V94" s="16">
        <f t="shared" si="4"/>
        <v>36</v>
      </c>
      <c r="W94" s="80">
        <v>1</v>
      </c>
      <c r="X94" s="80" t="s">
        <v>28</v>
      </c>
      <c r="Y94" s="80" t="s">
        <v>55</v>
      </c>
      <c r="Z94" s="80" t="s">
        <v>64</v>
      </c>
      <c r="AA94" s="80" t="s">
        <v>76</v>
      </c>
      <c r="AB94" s="80" t="s">
        <v>161</v>
      </c>
    </row>
    <row r="95" spans="1:28" x14ac:dyDescent="0.15">
      <c r="A95" s="80" t="s">
        <v>46</v>
      </c>
      <c r="B95" s="80" t="s">
        <v>160</v>
      </c>
      <c r="C95" s="183">
        <v>2020</v>
      </c>
      <c r="D95" s="184" t="s">
        <v>379</v>
      </c>
      <c r="E95" s="80" t="s">
        <v>388</v>
      </c>
      <c r="F95" s="80" t="s">
        <v>389</v>
      </c>
      <c r="G95" s="80" t="s">
        <v>31</v>
      </c>
      <c r="H95" s="80" t="s">
        <v>113</v>
      </c>
      <c r="I95" s="80" t="s">
        <v>111</v>
      </c>
      <c r="J95" s="80" t="s">
        <v>27</v>
      </c>
      <c r="K95" s="80" t="s">
        <v>112</v>
      </c>
      <c r="L95" s="80">
        <v>1</v>
      </c>
      <c r="N95" s="80">
        <v>1</v>
      </c>
      <c r="O95" s="80">
        <v>0.56000000000000005</v>
      </c>
      <c r="P95" s="80">
        <v>0.55000000000000004</v>
      </c>
      <c r="Q95" s="44">
        <f t="shared" si="5"/>
        <v>0.55500000000000005</v>
      </c>
      <c r="R95" s="80">
        <v>15.4</v>
      </c>
      <c r="S95" s="80">
        <v>118</v>
      </c>
      <c r="T95" s="16">
        <f t="shared" si="3"/>
        <v>30</v>
      </c>
      <c r="U95" s="80">
        <v>98</v>
      </c>
      <c r="V95" s="16">
        <f t="shared" si="4"/>
        <v>36</v>
      </c>
      <c r="W95" s="80">
        <v>1</v>
      </c>
      <c r="X95" s="80" t="s">
        <v>28</v>
      </c>
      <c r="Y95" s="80" t="s">
        <v>55</v>
      </c>
      <c r="Z95" s="80" t="s">
        <v>64</v>
      </c>
      <c r="AA95" s="80" t="s">
        <v>76</v>
      </c>
      <c r="AB95" s="80" t="s">
        <v>161</v>
      </c>
    </row>
    <row r="96" spans="1:28" x14ac:dyDescent="0.15">
      <c r="A96" s="80" t="s">
        <v>46</v>
      </c>
      <c r="B96" s="80" t="s">
        <v>160</v>
      </c>
      <c r="C96" s="183">
        <v>2020</v>
      </c>
      <c r="D96" s="184" t="s">
        <v>379</v>
      </c>
      <c r="E96" s="80" t="s">
        <v>388</v>
      </c>
      <c r="F96" s="80" t="s">
        <v>389</v>
      </c>
      <c r="G96" s="80" t="s">
        <v>31</v>
      </c>
      <c r="H96" s="80" t="s">
        <v>113</v>
      </c>
      <c r="I96" s="80" t="s">
        <v>111</v>
      </c>
      <c r="J96" s="80" t="s">
        <v>27</v>
      </c>
      <c r="K96" s="80" t="s">
        <v>112</v>
      </c>
      <c r="L96" s="80">
        <v>2</v>
      </c>
      <c r="N96" s="80">
        <v>1</v>
      </c>
      <c r="O96" s="80">
        <v>0.56000000000000005</v>
      </c>
      <c r="P96" s="80">
        <v>0.5</v>
      </c>
      <c r="Q96" s="44">
        <f t="shared" si="5"/>
        <v>0.53</v>
      </c>
      <c r="R96" s="80">
        <v>14</v>
      </c>
      <c r="S96" s="80">
        <v>114</v>
      </c>
      <c r="T96" s="16">
        <f t="shared" si="3"/>
        <v>30</v>
      </c>
      <c r="U96" s="80">
        <v>98</v>
      </c>
      <c r="V96" s="16">
        <f t="shared" si="4"/>
        <v>36</v>
      </c>
      <c r="W96" s="80">
        <v>1</v>
      </c>
      <c r="X96" s="80" t="s">
        <v>28</v>
      </c>
      <c r="Y96" s="80" t="s">
        <v>55</v>
      </c>
      <c r="Z96" s="80" t="s">
        <v>64</v>
      </c>
      <c r="AA96" s="80" t="s">
        <v>76</v>
      </c>
      <c r="AB96" s="80" t="s">
        <v>161</v>
      </c>
    </row>
    <row r="97" spans="1:28" x14ac:dyDescent="0.15">
      <c r="A97" s="80" t="s">
        <v>46</v>
      </c>
      <c r="B97" s="80" t="s">
        <v>160</v>
      </c>
      <c r="C97" s="183">
        <v>2020</v>
      </c>
      <c r="D97" s="184" t="s">
        <v>379</v>
      </c>
      <c r="E97" s="80" t="s">
        <v>388</v>
      </c>
      <c r="F97" s="80" t="s">
        <v>389</v>
      </c>
      <c r="G97" s="80" t="s">
        <v>31</v>
      </c>
      <c r="H97" s="80" t="s">
        <v>113</v>
      </c>
      <c r="I97" s="80" t="s">
        <v>111</v>
      </c>
      <c r="J97" s="80" t="s">
        <v>27</v>
      </c>
      <c r="K97" s="80" t="s">
        <v>112</v>
      </c>
      <c r="L97" s="80">
        <v>3</v>
      </c>
      <c r="N97" s="80">
        <v>1</v>
      </c>
      <c r="O97" s="80">
        <v>0.57999999999999996</v>
      </c>
      <c r="P97" s="80">
        <v>0.63</v>
      </c>
      <c r="Q97" s="44">
        <f t="shared" si="5"/>
        <v>0.60499999999999998</v>
      </c>
      <c r="R97" s="80">
        <v>15.1</v>
      </c>
      <c r="S97" s="80">
        <v>120</v>
      </c>
      <c r="T97" s="16">
        <f>IF(H97="","",IF(OR(H97="GREEN",H97="GK"),IF(S97&gt;=$AX$2,VLOOKUP(S97,$AX$2:$AY$12,2,1),""),IF(S97&gt;=$AZ$2,VLOOKUP(S97,$AZ$2:$BA$12,2,1),"")))</f>
        <v>30</v>
      </c>
      <c r="U97" s="80">
        <v>98</v>
      </c>
      <c r="V97" s="16">
        <f t="shared" si="4"/>
        <v>36</v>
      </c>
      <c r="W97" s="80">
        <v>1</v>
      </c>
      <c r="X97" s="80" t="s">
        <v>28</v>
      </c>
      <c r="Y97" s="80" t="s">
        <v>55</v>
      </c>
      <c r="Z97" s="80" t="s">
        <v>64</v>
      </c>
      <c r="AA97" s="80" t="s">
        <v>76</v>
      </c>
      <c r="AB97" s="80" t="s">
        <v>161</v>
      </c>
    </row>
    <row r="98" spans="1:28" x14ac:dyDescent="0.15">
      <c r="A98" s="80" t="s">
        <v>46</v>
      </c>
      <c r="B98" s="80" t="s">
        <v>160</v>
      </c>
      <c r="C98" s="183">
        <v>2020</v>
      </c>
      <c r="D98" s="184" t="s">
        <v>379</v>
      </c>
      <c r="E98" s="80" t="s">
        <v>406</v>
      </c>
      <c r="F98" s="80" t="s">
        <v>407</v>
      </c>
      <c r="G98" s="80" t="s">
        <v>31</v>
      </c>
      <c r="H98" s="80" t="s">
        <v>167</v>
      </c>
      <c r="I98" s="80" t="s">
        <v>111</v>
      </c>
      <c r="J98" s="80" t="s">
        <v>27</v>
      </c>
      <c r="K98" s="80" t="s">
        <v>112</v>
      </c>
      <c r="L98" s="80">
        <v>1</v>
      </c>
      <c r="N98" s="80">
        <v>4</v>
      </c>
      <c r="O98" s="80">
        <v>0.33</v>
      </c>
      <c r="P98" s="80">
        <v>0.31</v>
      </c>
      <c r="Q98" s="44">
        <f t="shared" si="5"/>
        <v>0.32</v>
      </c>
      <c r="R98" s="80">
        <v>15.9</v>
      </c>
      <c r="S98" s="80">
        <v>120</v>
      </c>
      <c r="T98" s="16">
        <f>IF(H98="","",IF(OR(H98="GREEN",H98="GK"),IF(S98&gt;=$AX$2,VLOOKUP(S98,$AX$2:$AY$12,2,1),""),IF(S98&gt;=$AZ$2,VLOOKUP(S98,$AZ$2:$BA$12,2,1),"")))</f>
        <v>30</v>
      </c>
      <c r="U98" s="80">
        <v>458</v>
      </c>
      <c r="V98" s="16">
        <f t="shared" si="4"/>
        <v>16</v>
      </c>
      <c r="W98" s="80">
        <v>3</v>
      </c>
      <c r="X98" s="80" t="s">
        <v>35</v>
      </c>
      <c r="Y98" s="80" t="s">
        <v>43</v>
      </c>
      <c r="Z98" s="80" t="s">
        <v>64</v>
      </c>
      <c r="AA98" s="80" t="s">
        <v>82</v>
      </c>
      <c r="AB98" s="80" t="s">
        <v>161</v>
      </c>
    </row>
    <row r="99" spans="1:28" x14ac:dyDescent="0.15">
      <c r="A99" s="80" t="s">
        <v>46</v>
      </c>
      <c r="B99" s="80" t="s">
        <v>160</v>
      </c>
      <c r="C99" s="183">
        <v>2020</v>
      </c>
      <c r="D99" s="184" t="s">
        <v>379</v>
      </c>
      <c r="E99" s="80" t="s">
        <v>406</v>
      </c>
      <c r="F99" s="80" t="s">
        <v>407</v>
      </c>
      <c r="G99" s="80" t="s">
        <v>31</v>
      </c>
      <c r="H99" s="80" t="s">
        <v>167</v>
      </c>
      <c r="I99" s="80" t="s">
        <v>111</v>
      </c>
      <c r="J99" s="80" t="s">
        <v>27</v>
      </c>
      <c r="K99" s="80" t="s">
        <v>112</v>
      </c>
      <c r="L99" s="80">
        <v>2</v>
      </c>
      <c r="N99" s="80">
        <v>4</v>
      </c>
      <c r="O99" s="80">
        <v>0.3</v>
      </c>
      <c r="P99" s="80">
        <v>0.32</v>
      </c>
      <c r="Q99" s="16">
        <f>IF(OR(O99="",P99=""),"",AVERAGE(O99,P99))</f>
        <v>0.31</v>
      </c>
      <c r="R99" s="80">
        <v>16.399999999999999</v>
      </c>
      <c r="S99" s="80">
        <v>126</v>
      </c>
      <c r="T99" s="16">
        <f t="shared" si="3"/>
        <v>27</v>
      </c>
      <c r="U99" s="80">
        <v>458</v>
      </c>
      <c r="V99" s="16">
        <f t="shared" si="4"/>
        <v>16</v>
      </c>
      <c r="W99" s="80">
        <v>3</v>
      </c>
      <c r="X99" s="80" t="s">
        <v>35</v>
      </c>
      <c r="Y99" s="80" t="s">
        <v>43</v>
      </c>
      <c r="Z99" s="80" t="s">
        <v>64</v>
      </c>
      <c r="AA99" s="80" t="s">
        <v>82</v>
      </c>
      <c r="AB99" s="80" t="s">
        <v>161</v>
      </c>
    </row>
    <row r="100" spans="1:28" x14ac:dyDescent="0.15">
      <c r="A100" s="80" t="s">
        <v>46</v>
      </c>
      <c r="B100" s="80" t="s">
        <v>160</v>
      </c>
      <c r="C100" s="183">
        <v>2020</v>
      </c>
      <c r="D100" s="184" t="s">
        <v>379</v>
      </c>
      <c r="E100" s="80" t="s">
        <v>406</v>
      </c>
      <c r="F100" s="80" t="s">
        <v>407</v>
      </c>
      <c r="G100" s="80" t="s">
        <v>31</v>
      </c>
      <c r="H100" s="80" t="s">
        <v>167</v>
      </c>
      <c r="I100" s="80" t="s">
        <v>111</v>
      </c>
      <c r="J100" s="80" t="s">
        <v>27</v>
      </c>
      <c r="K100" s="80" t="s">
        <v>112</v>
      </c>
      <c r="L100" s="80">
        <v>3</v>
      </c>
      <c r="N100" s="80">
        <v>4</v>
      </c>
      <c r="O100" s="80">
        <v>0.33</v>
      </c>
      <c r="P100" s="80">
        <v>0.34</v>
      </c>
      <c r="Q100" s="16">
        <f>IF(OR(O100="",P100=""),"",AVERAGE(O100,P100))</f>
        <v>0.33500000000000002</v>
      </c>
      <c r="R100" s="80">
        <v>15.6</v>
      </c>
      <c r="S100" s="80">
        <v>115</v>
      </c>
      <c r="T100" s="16">
        <f t="shared" si="3"/>
        <v>30</v>
      </c>
      <c r="U100" s="80">
        <v>458</v>
      </c>
      <c r="V100" s="16">
        <f t="shared" si="4"/>
        <v>16</v>
      </c>
      <c r="W100" s="80">
        <v>3</v>
      </c>
      <c r="X100" s="80" t="s">
        <v>35</v>
      </c>
      <c r="Y100" s="80" t="s">
        <v>43</v>
      </c>
      <c r="Z100" s="80" t="s">
        <v>64</v>
      </c>
      <c r="AA100" s="80" t="s">
        <v>82</v>
      </c>
      <c r="AB100" s="80" t="s">
        <v>161</v>
      </c>
    </row>
    <row r="101" spans="1:28" x14ac:dyDescent="0.15">
      <c r="A101" s="80" t="s">
        <v>46</v>
      </c>
      <c r="B101" s="80" t="s">
        <v>160</v>
      </c>
      <c r="C101" s="183">
        <v>2020</v>
      </c>
      <c r="D101" s="184" t="s">
        <v>379</v>
      </c>
      <c r="E101" s="80" t="s">
        <v>406</v>
      </c>
      <c r="F101" s="80" t="s">
        <v>407</v>
      </c>
      <c r="G101" s="80" t="s">
        <v>31</v>
      </c>
      <c r="H101" s="80" t="s">
        <v>167</v>
      </c>
      <c r="I101" s="80" t="s">
        <v>111</v>
      </c>
      <c r="J101" s="80" t="s">
        <v>27</v>
      </c>
      <c r="K101" s="80" t="s">
        <v>112</v>
      </c>
      <c r="L101" s="80">
        <v>1</v>
      </c>
      <c r="N101" s="80">
        <v>1</v>
      </c>
      <c r="O101" s="80">
        <v>0.39</v>
      </c>
      <c r="P101" s="80">
        <v>0.33</v>
      </c>
      <c r="Q101" s="16">
        <f>IF(OR(O101="",P101=""),"",AVERAGE(O101,P101))</f>
        <v>0.36</v>
      </c>
      <c r="R101" s="80">
        <v>17.5</v>
      </c>
      <c r="S101" s="80">
        <v>125</v>
      </c>
      <c r="T101" s="16">
        <f t="shared" si="3"/>
        <v>27</v>
      </c>
      <c r="U101" s="80">
        <v>128</v>
      </c>
      <c r="V101" s="16">
        <f t="shared" si="4"/>
        <v>27</v>
      </c>
      <c r="W101" s="80">
        <v>3</v>
      </c>
      <c r="X101" s="80" t="s">
        <v>35</v>
      </c>
      <c r="Y101" s="80" t="s">
        <v>43</v>
      </c>
      <c r="Z101" s="80" t="s">
        <v>64</v>
      </c>
      <c r="AA101" s="80" t="s">
        <v>82</v>
      </c>
      <c r="AB101" s="80" t="s">
        <v>161</v>
      </c>
    </row>
    <row r="102" spans="1:28" x14ac:dyDescent="0.15">
      <c r="A102" s="80" t="s">
        <v>46</v>
      </c>
      <c r="B102" s="80" t="s">
        <v>160</v>
      </c>
      <c r="C102" s="183">
        <v>2020</v>
      </c>
      <c r="D102" s="184" t="s">
        <v>379</v>
      </c>
      <c r="E102" s="80" t="s">
        <v>406</v>
      </c>
      <c r="F102" s="80" t="s">
        <v>407</v>
      </c>
      <c r="G102" s="80" t="s">
        <v>31</v>
      </c>
      <c r="H102" s="80" t="s">
        <v>167</v>
      </c>
      <c r="I102" s="80" t="s">
        <v>111</v>
      </c>
      <c r="J102" s="80" t="s">
        <v>27</v>
      </c>
      <c r="K102" s="80" t="s">
        <v>112</v>
      </c>
      <c r="L102" s="80">
        <v>2</v>
      </c>
      <c r="N102" s="80">
        <v>1</v>
      </c>
      <c r="O102" s="80">
        <v>0.3</v>
      </c>
      <c r="P102" s="80">
        <v>0.35</v>
      </c>
      <c r="Q102" s="16">
        <f>IF(OR(O102="",P102=""),"",AVERAGE(O102,P102))</f>
        <v>0.32499999999999996</v>
      </c>
      <c r="R102" s="80">
        <v>15.8</v>
      </c>
      <c r="S102" s="80">
        <v>132</v>
      </c>
      <c r="T102" s="16">
        <f t="shared" si="3"/>
        <v>25</v>
      </c>
      <c r="U102" s="80">
        <v>128</v>
      </c>
      <c r="V102" s="16">
        <f t="shared" si="4"/>
        <v>27</v>
      </c>
      <c r="W102" s="80">
        <v>3</v>
      </c>
      <c r="X102" s="80" t="s">
        <v>35</v>
      </c>
      <c r="Y102" s="80" t="s">
        <v>43</v>
      </c>
      <c r="Z102" s="80" t="s">
        <v>64</v>
      </c>
      <c r="AA102" s="80" t="s">
        <v>82</v>
      </c>
      <c r="AB102" s="80" t="s">
        <v>161</v>
      </c>
    </row>
    <row r="103" spans="1:28" x14ac:dyDescent="0.15">
      <c r="A103" s="80" t="s">
        <v>46</v>
      </c>
      <c r="B103" s="80" t="s">
        <v>160</v>
      </c>
      <c r="C103" s="183">
        <v>2020</v>
      </c>
      <c r="D103" s="184" t="s">
        <v>379</v>
      </c>
      <c r="E103" s="80" t="s">
        <v>406</v>
      </c>
      <c r="F103" s="80" t="s">
        <v>407</v>
      </c>
      <c r="G103" s="80" t="s">
        <v>31</v>
      </c>
      <c r="H103" s="80" t="s">
        <v>167</v>
      </c>
      <c r="I103" s="80" t="s">
        <v>111</v>
      </c>
      <c r="J103" s="80" t="s">
        <v>27</v>
      </c>
      <c r="K103" s="80" t="s">
        <v>112</v>
      </c>
      <c r="L103" s="80">
        <v>3</v>
      </c>
      <c r="N103" s="80">
        <v>1</v>
      </c>
      <c r="O103" s="80">
        <v>0.32</v>
      </c>
      <c r="P103" s="80">
        <v>0.38</v>
      </c>
      <c r="Q103" s="16">
        <f>IF(OR(O103="",P103=""),"",AVERAGE(O103,P103))</f>
        <v>0.35</v>
      </c>
      <c r="R103" s="80">
        <v>16.2</v>
      </c>
      <c r="S103" s="80">
        <v>128</v>
      </c>
      <c r="T103" s="16">
        <f t="shared" si="3"/>
        <v>27</v>
      </c>
      <c r="U103" s="80">
        <v>128</v>
      </c>
      <c r="V103" s="16">
        <f t="shared" si="4"/>
        <v>27</v>
      </c>
      <c r="W103" s="80">
        <v>3</v>
      </c>
      <c r="X103" s="80" t="s">
        <v>35</v>
      </c>
      <c r="Y103" s="80" t="s">
        <v>43</v>
      </c>
      <c r="Z103" s="80" t="s">
        <v>64</v>
      </c>
      <c r="AA103" s="80" t="s">
        <v>82</v>
      </c>
      <c r="AB103" s="80" t="s">
        <v>161</v>
      </c>
    </row>
    <row r="104" spans="1:28" x14ac:dyDescent="0.15">
      <c r="A104" s="80" t="s">
        <v>46</v>
      </c>
      <c r="B104" s="80" t="s">
        <v>160</v>
      </c>
      <c r="C104" s="183">
        <v>2020</v>
      </c>
      <c r="D104" s="184" t="s">
        <v>379</v>
      </c>
      <c r="E104" s="80" t="s">
        <v>406</v>
      </c>
      <c r="F104" s="80" t="s">
        <v>407</v>
      </c>
      <c r="G104" s="80" t="s">
        <v>31</v>
      </c>
      <c r="H104" s="80" t="s">
        <v>113</v>
      </c>
      <c r="I104" s="80" t="s">
        <v>111</v>
      </c>
      <c r="J104" s="80" t="s">
        <v>27</v>
      </c>
      <c r="K104" s="80" t="s">
        <v>112</v>
      </c>
      <c r="L104" s="80">
        <v>1</v>
      </c>
      <c r="N104" s="80">
        <v>4</v>
      </c>
      <c r="O104" s="80">
        <v>0.53</v>
      </c>
      <c r="P104" s="80">
        <v>0.44</v>
      </c>
      <c r="Q104" s="16">
        <f t="shared" si="5"/>
        <v>0.48499999999999999</v>
      </c>
      <c r="R104" s="80">
        <v>14.7</v>
      </c>
      <c r="S104" s="80">
        <v>130</v>
      </c>
      <c r="T104" s="16">
        <f t="shared" si="3"/>
        <v>25</v>
      </c>
      <c r="U104" s="80">
        <v>398</v>
      </c>
      <c r="V104" s="16">
        <f t="shared" si="4"/>
        <v>16</v>
      </c>
      <c r="W104" s="80">
        <v>3</v>
      </c>
      <c r="X104" s="80" t="s">
        <v>35</v>
      </c>
      <c r="Y104" s="80" t="s">
        <v>43</v>
      </c>
      <c r="Z104" s="80" t="s">
        <v>64</v>
      </c>
      <c r="AA104" s="80" t="s">
        <v>82</v>
      </c>
      <c r="AB104" s="80" t="s">
        <v>161</v>
      </c>
    </row>
    <row r="105" spans="1:28" x14ac:dyDescent="0.15">
      <c r="A105" s="80" t="s">
        <v>46</v>
      </c>
      <c r="B105" s="80" t="s">
        <v>160</v>
      </c>
      <c r="C105" s="183">
        <v>2020</v>
      </c>
      <c r="D105" s="184" t="s">
        <v>379</v>
      </c>
      <c r="E105" s="80" t="s">
        <v>406</v>
      </c>
      <c r="F105" s="80" t="s">
        <v>407</v>
      </c>
      <c r="G105" s="80" t="s">
        <v>31</v>
      </c>
      <c r="H105" s="80" t="s">
        <v>113</v>
      </c>
      <c r="I105" s="80" t="s">
        <v>111</v>
      </c>
      <c r="J105" s="80" t="s">
        <v>27</v>
      </c>
      <c r="K105" s="80" t="s">
        <v>112</v>
      </c>
      <c r="L105" s="80">
        <v>2</v>
      </c>
      <c r="N105" s="80">
        <v>4</v>
      </c>
      <c r="O105" s="80">
        <v>0.43</v>
      </c>
      <c r="P105" s="80">
        <v>0.48</v>
      </c>
      <c r="Q105" s="16">
        <f t="shared" si="5"/>
        <v>0.45499999999999996</v>
      </c>
      <c r="R105" s="80">
        <v>15.1</v>
      </c>
      <c r="S105" s="80">
        <v>131</v>
      </c>
      <c r="T105" s="16">
        <f t="shared" si="3"/>
        <v>25</v>
      </c>
      <c r="U105" s="80">
        <v>398</v>
      </c>
      <c r="V105" s="16">
        <f t="shared" si="4"/>
        <v>16</v>
      </c>
      <c r="W105" s="80">
        <v>3</v>
      </c>
      <c r="X105" s="80" t="s">
        <v>35</v>
      </c>
      <c r="Y105" s="80" t="s">
        <v>43</v>
      </c>
      <c r="Z105" s="80" t="s">
        <v>64</v>
      </c>
      <c r="AA105" s="80" t="s">
        <v>82</v>
      </c>
      <c r="AB105" s="80" t="s">
        <v>161</v>
      </c>
    </row>
    <row r="106" spans="1:28" x14ac:dyDescent="0.15">
      <c r="A106" s="80" t="s">
        <v>46</v>
      </c>
      <c r="B106" s="80" t="s">
        <v>160</v>
      </c>
      <c r="C106" s="183">
        <v>2020</v>
      </c>
      <c r="D106" s="184" t="s">
        <v>379</v>
      </c>
      <c r="E106" s="80" t="s">
        <v>406</v>
      </c>
      <c r="F106" s="80" t="s">
        <v>407</v>
      </c>
      <c r="G106" s="80" t="s">
        <v>31</v>
      </c>
      <c r="H106" s="80" t="s">
        <v>113</v>
      </c>
      <c r="I106" s="80" t="s">
        <v>111</v>
      </c>
      <c r="J106" s="80" t="s">
        <v>27</v>
      </c>
      <c r="K106" s="80" t="s">
        <v>112</v>
      </c>
      <c r="L106" s="80">
        <v>3</v>
      </c>
      <c r="N106" s="80">
        <v>4</v>
      </c>
      <c r="O106" s="80">
        <v>0.42</v>
      </c>
      <c r="P106" s="80">
        <v>0.45</v>
      </c>
      <c r="Q106" s="16">
        <f t="shared" si="5"/>
        <v>0.435</v>
      </c>
      <c r="R106" s="80">
        <v>15.1</v>
      </c>
      <c r="S106" s="80">
        <v>132</v>
      </c>
      <c r="T106" s="16">
        <f t="shared" si="3"/>
        <v>25</v>
      </c>
      <c r="U106" s="80">
        <v>398</v>
      </c>
      <c r="V106" s="16">
        <f t="shared" si="4"/>
        <v>16</v>
      </c>
      <c r="W106" s="80">
        <v>3</v>
      </c>
      <c r="X106" s="80" t="s">
        <v>35</v>
      </c>
      <c r="Y106" s="80" t="s">
        <v>43</v>
      </c>
      <c r="Z106" s="80" t="s">
        <v>64</v>
      </c>
      <c r="AA106" s="80" t="s">
        <v>82</v>
      </c>
      <c r="AB106" s="80" t="s">
        <v>161</v>
      </c>
    </row>
    <row r="107" spans="1:28" x14ac:dyDescent="0.15">
      <c r="A107" s="80" t="s">
        <v>46</v>
      </c>
      <c r="B107" s="80" t="s">
        <v>160</v>
      </c>
      <c r="C107" s="183">
        <v>2020</v>
      </c>
      <c r="D107" s="184" t="s">
        <v>379</v>
      </c>
      <c r="E107" s="80" t="s">
        <v>406</v>
      </c>
      <c r="F107" s="80" t="s">
        <v>407</v>
      </c>
      <c r="G107" s="80" t="s">
        <v>31</v>
      </c>
      <c r="H107" s="80" t="s">
        <v>113</v>
      </c>
      <c r="I107" s="80" t="s">
        <v>111</v>
      </c>
      <c r="J107" s="80" t="s">
        <v>27</v>
      </c>
      <c r="K107" s="80" t="s">
        <v>112</v>
      </c>
      <c r="L107" s="80">
        <v>1</v>
      </c>
      <c r="N107" s="80">
        <v>1</v>
      </c>
      <c r="O107" s="80">
        <v>0.38</v>
      </c>
      <c r="P107" s="80">
        <v>0.42</v>
      </c>
      <c r="Q107" s="16">
        <f t="shared" si="5"/>
        <v>0.4</v>
      </c>
      <c r="R107" s="80">
        <v>16.2</v>
      </c>
      <c r="S107" s="80">
        <v>150</v>
      </c>
      <c r="T107" s="16">
        <f t="shared" si="3"/>
        <v>22</v>
      </c>
      <c r="U107" s="80">
        <v>128</v>
      </c>
      <c r="V107" s="16">
        <f t="shared" si="4"/>
        <v>27</v>
      </c>
      <c r="W107" s="80">
        <v>3</v>
      </c>
      <c r="X107" s="80" t="s">
        <v>35</v>
      </c>
      <c r="Y107" s="80" t="s">
        <v>43</v>
      </c>
      <c r="Z107" s="80" t="s">
        <v>64</v>
      </c>
      <c r="AA107" s="80" t="s">
        <v>82</v>
      </c>
      <c r="AB107" s="80" t="s">
        <v>161</v>
      </c>
    </row>
    <row r="108" spans="1:28" x14ac:dyDescent="0.15">
      <c r="A108" s="80" t="s">
        <v>46</v>
      </c>
      <c r="B108" s="80" t="s">
        <v>160</v>
      </c>
      <c r="C108" s="183">
        <v>2020</v>
      </c>
      <c r="D108" s="184" t="s">
        <v>379</v>
      </c>
      <c r="E108" s="80" t="s">
        <v>406</v>
      </c>
      <c r="F108" s="80" t="s">
        <v>407</v>
      </c>
      <c r="G108" s="80" t="s">
        <v>31</v>
      </c>
      <c r="H108" s="80" t="s">
        <v>113</v>
      </c>
      <c r="I108" s="80" t="s">
        <v>111</v>
      </c>
      <c r="J108" s="80" t="s">
        <v>27</v>
      </c>
      <c r="K108" s="80" t="s">
        <v>112</v>
      </c>
      <c r="L108" s="80">
        <v>2</v>
      </c>
      <c r="N108" s="80">
        <v>1</v>
      </c>
      <c r="O108" s="80">
        <v>0.22</v>
      </c>
      <c r="P108" s="80">
        <v>0.22</v>
      </c>
      <c r="Q108" s="16">
        <f t="shared" si="5"/>
        <v>0.22</v>
      </c>
      <c r="R108" s="80">
        <v>16.100000000000001</v>
      </c>
      <c r="S108" s="80">
        <v>154</v>
      </c>
      <c r="T108" s="16">
        <f t="shared" si="3"/>
        <v>18</v>
      </c>
      <c r="U108" s="80">
        <v>128</v>
      </c>
      <c r="V108" s="16">
        <f t="shared" si="4"/>
        <v>27</v>
      </c>
      <c r="W108" s="80">
        <v>3</v>
      </c>
      <c r="X108" s="80" t="s">
        <v>35</v>
      </c>
      <c r="Y108" s="80" t="s">
        <v>43</v>
      </c>
      <c r="Z108" s="80" t="s">
        <v>64</v>
      </c>
      <c r="AA108" s="80" t="s">
        <v>82</v>
      </c>
      <c r="AB108" s="80" t="s">
        <v>161</v>
      </c>
    </row>
    <row r="109" spans="1:28" x14ac:dyDescent="0.15">
      <c r="A109" s="80" t="s">
        <v>46</v>
      </c>
      <c r="B109" s="80" t="s">
        <v>160</v>
      </c>
      <c r="C109" s="183">
        <v>2020</v>
      </c>
      <c r="D109" s="184" t="s">
        <v>379</v>
      </c>
      <c r="E109" s="80" t="s">
        <v>406</v>
      </c>
      <c r="F109" s="80" t="s">
        <v>407</v>
      </c>
      <c r="G109" s="80" t="s">
        <v>31</v>
      </c>
      <c r="H109" s="80" t="s">
        <v>113</v>
      </c>
      <c r="I109" s="80" t="s">
        <v>111</v>
      </c>
      <c r="J109" s="80" t="s">
        <v>27</v>
      </c>
      <c r="K109" s="80" t="s">
        <v>112</v>
      </c>
      <c r="L109" s="80">
        <v>3</v>
      </c>
      <c r="N109" s="80">
        <v>1</v>
      </c>
      <c r="O109" s="80">
        <v>0.36</v>
      </c>
      <c r="P109" s="80">
        <v>0.33</v>
      </c>
      <c r="Q109" s="16">
        <f t="shared" si="5"/>
        <v>0.34499999999999997</v>
      </c>
      <c r="R109" s="80">
        <v>15.9</v>
      </c>
      <c r="S109" s="80">
        <v>150</v>
      </c>
      <c r="T109" s="16">
        <f t="shared" si="3"/>
        <v>22</v>
      </c>
      <c r="U109" s="80">
        <v>128</v>
      </c>
      <c r="V109" s="16">
        <f t="shared" si="4"/>
        <v>27</v>
      </c>
      <c r="W109" s="80">
        <v>3</v>
      </c>
      <c r="X109" s="80" t="s">
        <v>35</v>
      </c>
      <c r="Y109" s="80" t="s">
        <v>43</v>
      </c>
      <c r="Z109" s="80" t="s">
        <v>64</v>
      </c>
      <c r="AA109" s="80" t="s">
        <v>82</v>
      </c>
      <c r="AB109" s="80" t="s">
        <v>161</v>
      </c>
    </row>
    <row r="110" spans="1:28" x14ac:dyDescent="0.15">
      <c r="A110" s="80" t="s">
        <v>46</v>
      </c>
      <c r="B110" s="80" t="s">
        <v>160</v>
      </c>
      <c r="C110" s="183">
        <v>2020</v>
      </c>
      <c r="D110" s="184" t="s">
        <v>379</v>
      </c>
      <c r="E110" s="80" t="s">
        <v>316</v>
      </c>
      <c r="F110" s="80" t="s">
        <v>397</v>
      </c>
      <c r="G110" s="80" t="s">
        <v>25</v>
      </c>
      <c r="H110" s="80" t="s">
        <v>113</v>
      </c>
      <c r="I110" s="80" t="s">
        <v>111</v>
      </c>
      <c r="J110" s="80" t="s">
        <v>27</v>
      </c>
      <c r="K110" s="80" t="s">
        <v>112</v>
      </c>
      <c r="L110" s="80">
        <v>1</v>
      </c>
      <c r="N110" s="80">
        <v>4</v>
      </c>
      <c r="O110" s="80">
        <v>0.52</v>
      </c>
      <c r="P110" s="80">
        <v>0.43</v>
      </c>
      <c r="Q110" s="16">
        <f t="shared" si="5"/>
        <v>0.47499999999999998</v>
      </c>
      <c r="R110" s="80">
        <v>13.8</v>
      </c>
      <c r="S110" s="80">
        <v>105</v>
      </c>
      <c r="T110" s="16">
        <f t="shared" si="3"/>
        <v>33</v>
      </c>
      <c r="U110" s="80">
        <v>358</v>
      </c>
      <c r="V110" s="16">
        <f t="shared" si="4"/>
        <v>16</v>
      </c>
      <c r="W110" s="80">
        <v>1</v>
      </c>
      <c r="X110" s="80" t="s">
        <v>28</v>
      </c>
      <c r="Y110" s="80" t="s">
        <v>64</v>
      </c>
      <c r="Z110" s="80" t="s">
        <v>55</v>
      </c>
      <c r="AA110" s="80" t="s">
        <v>74</v>
      </c>
      <c r="AB110" s="80" t="s">
        <v>161</v>
      </c>
    </row>
    <row r="111" spans="1:28" x14ac:dyDescent="0.15">
      <c r="A111" s="80" t="s">
        <v>46</v>
      </c>
      <c r="B111" s="80" t="s">
        <v>160</v>
      </c>
      <c r="C111" s="183">
        <v>2020</v>
      </c>
      <c r="D111" s="184" t="s">
        <v>379</v>
      </c>
      <c r="E111" s="80" t="s">
        <v>316</v>
      </c>
      <c r="F111" s="80" t="s">
        <v>397</v>
      </c>
      <c r="G111" s="80" t="s">
        <v>25</v>
      </c>
      <c r="H111" s="80" t="s">
        <v>113</v>
      </c>
      <c r="I111" s="80" t="s">
        <v>111</v>
      </c>
      <c r="J111" s="80" t="s">
        <v>27</v>
      </c>
      <c r="K111" s="80" t="s">
        <v>112</v>
      </c>
      <c r="L111" s="80">
        <v>2</v>
      </c>
      <c r="N111" s="80">
        <v>4</v>
      </c>
      <c r="O111" s="80">
        <v>0.23</v>
      </c>
      <c r="P111" s="80">
        <v>0.32</v>
      </c>
      <c r="Q111" s="16">
        <f t="shared" si="5"/>
        <v>0.27500000000000002</v>
      </c>
      <c r="R111" s="80">
        <v>13.8</v>
      </c>
      <c r="S111" s="80">
        <v>111</v>
      </c>
      <c r="T111" s="16">
        <f t="shared" si="3"/>
        <v>33</v>
      </c>
      <c r="U111" s="80">
        <v>358</v>
      </c>
      <c r="V111" s="16">
        <f t="shared" si="4"/>
        <v>16</v>
      </c>
      <c r="W111" s="80">
        <v>1</v>
      </c>
      <c r="X111" s="80" t="s">
        <v>28</v>
      </c>
      <c r="Y111" s="80" t="s">
        <v>64</v>
      </c>
      <c r="Z111" s="80" t="s">
        <v>55</v>
      </c>
      <c r="AA111" s="80" t="s">
        <v>74</v>
      </c>
      <c r="AB111" s="80" t="s">
        <v>161</v>
      </c>
    </row>
    <row r="112" spans="1:28" x14ac:dyDescent="0.15">
      <c r="A112" s="80" t="s">
        <v>46</v>
      </c>
      <c r="B112" s="80" t="s">
        <v>160</v>
      </c>
      <c r="C112" s="183">
        <v>2020</v>
      </c>
      <c r="D112" s="184" t="s">
        <v>379</v>
      </c>
      <c r="E112" s="80" t="s">
        <v>316</v>
      </c>
      <c r="F112" s="80" t="s">
        <v>397</v>
      </c>
      <c r="G112" s="80" t="s">
        <v>25</v>
      </c>
      <c r="H112" s="80" t="s">
        <v>113</v>
      </c>
      <c r="I112" s="80" t="s">
        <v>111</v>
      </c>
      <c r="J112" s="80" t="s">
        <v>27</v>
      </c>
      <c r="K112" s="80" t="s">
        <v>112</v>
      </c>
      <c r="L112" s="80">
        <v>3</v>
      </c>
      <c r="N112" s="80">
        <v>4</v>
      </c>
      <c r="O112" s="80">
        <v>0.47</v>
      </c>
      <c r="P112" s="80">
        <v>0.41</v>
      </c>
      <c r="Q112" s="16">
        <f t="shared" si="5"/>
        <v>0.43999999999999995</v>
      </c>
      <c r="R112" s="80">
        <v>15.5</v>
      </c>
      <c r="S112" s="80">
        <v>114</v>
      </c>
      <c r="T112" s="16">
        <f t="shared" si="3"/>
        <v>30</v>
      </c>
      <c r="U112" s="80">
        <v>358</v>
      </c>
      <c r="V112" s="16">
        <f t="shared" si="4"/>
        <v>16</v>
      </c>
      <c r="W112" s="80">
        <v>1</v>
      </c>
      <c r="X112" s="80" t="s">
        <v>28</v>
      </c>
      <c r="Y112" s="80" t="s">
        <v>64</v>
      </c>
      <c r="Z112" s="80" t="s">
        <v>55</v>
      </c>
      <c r="AA112" s="80" t="s">
        <v>74</v>
      </c>
      <c r="AB112" s="80" t="s">
        <v>161</v>
      </c>
    </row>
    <row r="113" spans="1:28" x14ac:dyDescent="0.15">
      <c r="A113" s="80" t="s">
        <v>46</v>
      </c>
      <c r="B113" s="80" t="s">
        <v>160</v>
      </c>
      <c r="C113" s="183">
        <v>2020</v>
      </c>
      <c r="D113" s="184" t="s">
        <v>379</v>
      </c>
      <c r="E113" s="80" t="s">
        <v>316</v>
      </c>
      <c r="F113" s="80" t="s">
        <v>397</v>
      </c>
      <c r="G113" s="80" t="s">
        <v>25</v>
      </c>
      <c r="H113" s="80" t="s">
        <v>113</v>
      </c>
      <c r="I113" s="80" t="s">
        <v>111</v>
      </c>
      <c r="J113" s="80" t="s">
        <v>27</v>
      </c>
      <c r="K113" s="80" t="s">
        <v>112</v>
      </c>
      <c r="L113" s="80">
        <v>1</v>
      </c>
      <c r="N113" s="80">
        <v>1</v>
      </c>
      <c r="O113" s="80">
        <v>0.54</v>
      </c>
      <c r="P113" s="80">
        <v>0.41</v>
      </c>
      <c r="Q113" s="16">
        <f t="shared" si="5"/>
        <v>0.47499999999999998</v>
      </c>
      <c r="R113" s="80">
        <v>15.7</v>
      </c>
      <c r="S113" s="80">
        <v>117</v>
      </c>
      <c r="T113" s="16">
        <f t="shared" si="3"/>
        <v>30</v>
      </c>
      <c r="U113" s="80">
        <v>98</v>
      </c>
      <c r="V113" s="16">
        <f t="shared" si="4"/>
        <v>36</v>
      </c>
      <c r="W113" s="80">
        <v>4</v>
      </c>
      <c r="X113" s="80" t="s">
        <v>35</v>
      </c>
      <c r="Y113" s="80" t="s">
        <v>64</v>
      </c>
      <c r="Z113" s="80" t="s">
        <v>55</v>
      </c>
      <c r="AA113" s="80" t="s">
        <v>74</v>
      </c>
      <c r="AB113" s="80" t="s">
        <v>161</v>
      </c>
    </row>
    <row r="114" spans="1:28" x14ac:dyDescent="0.15">
      <c r="A114" s="80" t="s">
        <v>46</v>
      </c>
      <c r="B114" s="80" t="s">
        <v>160</v>
      </c>
      <c r="C114" s="183">
        <v>2020</v>
      </c>
      <c r="D114" s="184" t="s">
        <v>379</v>
      </c>
      <c r="E114" s="80" t="s">
        <v>316</v>
      </c>
      <c r="F114" s="80" t="s">
        <v>397</v>
      </c>
      <c r="G114" s="80" t="s">
        <v>25</v>
      </c>
      <c r="H114" s="80" t="s">
        <v>113</v>
      </c>
      <c r="I114" s="80" t="s">
        <v>111</v>
      </c>
      <c r="J114" s="80" t="s">
        <v>27</v>
      </c>
      <c r="K114" s="80" t="s">
        <v>112</v>
      </c>
      <c r="L114" s="80">
        <v>2</v>
      </c>
      <c r="N114" s="80">
        <v>1</v>
      </c>
      <c r="O114" s="80">
        <v>0.4</v>
      </c>
      <c r="P114" s="80">
        <v>0.43</v>
      </c>
      <c r="Q114" s="16">
        <f t="shared" si="5"/>
        <v>0.41500000000000004</v>
      </c>
      <c r="R114" s="80">
        <v>15.6</v>
      </c>
      <c r="S114" s="80">
        <v>116</v>
      </c>
      <c r="T114" s="16">
        <f t="shared" si="3"/>
        <v>30</v>
      </c>
      <c r="U114" s="80">
        <v>98</v>
      </c>
      <c r="V114" s="16">
        <f t="shared" si="4"/>
        <v>36</v>
      </c>
      <c r="W114" s="80">
        <v>4</v>
      </c>
      <c r="X114" s="80" t="s">
        <v>35</v>
      </c>
      <c r="Y114" s="80" t="s">
        <v>64</v>
      </c>
      <c r="Z114" s="80" t="s">
        <v>55</v>
      </c>
      <c r="AA114" s="80" t="s">
        <v>74</v>
      </c>
      <c r="AB114" s="80" t="s">
        <v>161</v>
      </c>
    </row>
    <row r="115" spans="1:28" x14ac:dyDescent="0.15">
      <c r="A115" s="80" t="s">
        <v>46</v>
      </c>
      <c r="B115" s="80" t="s">
        <v>160</v>
      </c>
      <c r="C115" s="183">
        <v>2020</v>
      </c>
      <c r="D115" s="184" t="s">
        <v>379</v>
      </c>
      <c r="E115" s="80" t="s">
        <v>316</v>
      </c>
      <c r="F115" s="80" t="s">
        <v>397</v>
      </c>
      <c r="G115" s="80" t="s">
        <v>25</v>
      </c>
      <c r="H115" s="80" t="s">
        <v>113</v>
      </c>
      <c r="I115" s="80" t="s">
        <v>111</v>
      </c>
      <c r="J115" s="80" t="s">
        <v>27</v>
      </c>
      <c r="K115" s="80" t="s">
        <v>112</v>
      </c>
      <c r="L115" s="80">
        <v>3</v>
      </c>
      <c r="N115" s="80">
        <v>1</v>
      </c>
      <c r="O115" s="80">
        <v>0.23</v>
      </c>
      <c r="P115" s="80">
        <v>0.23</v>
      </c>
      <c r="Q115" s="16">
        <f t="shared" si="5"/>
        <v>0.23</v>
      </c>
      <c r="R115" s="80">
        <v>14.2</v>
      </c>
      <c r="S115" s="80">
        <v>126</v>
      </c>
      <c r="T115" s="16">
        <f t="shared" si="3"/>
        <v>27</v>
      </c>
      <c r="U115" s="80">
        <v>98</v>
      </c>
      <c r="V115" s="16">
        <f t="shared" si="4"/>
        <v>36</v>
      </c>
      <c r="W115" s="80">
        <v>4</v>
      </c>
      <c r="X115" s="80" t="s">
        <v>35</v>
      </c>
      <c r="Y115" s="80" t="s">
        <v>64</v>
      </c>
      <c r="Z115" s="80" t="s">
        <v>55</v>
      </c>
      <c r="AA115" s="80" t="s">
        <v>74</v>
      </c>
      <c r="AB115" s="80" t="s">
        <v>161</v>
      </c>
    </row>
    <row r="116" spans="1:28" x14ac:dyDescent="0.15">
      <c r="C116" s="183"/>
      <c r="D116" s="184"/>
      <c r="Q116" s="16" t="str">
        <f t="shared" si="5"/>
        <v/>
      </c>
      <c r="T116" s="16" t="str">
        <f t="shared" si="3"/>
        <v/>
      </c>
      <c r="V116" s="16" t="str">
        <f t="shared" si="4"/>
        <v/>
      </c>
    </row>
    <row r="117" spans="1:28" x14ac:dyDescent="0.15">
      <c r="C117" s="183"/>
      <c r="D117" s="184"/>
      <c r="Q117" s="16" t="str">
        <f t="shared" si="5"/>
        <v/>
      </c>
      <c r="T117" s="16" t="str">
        <f t="shared" si="3"/>
        <v/>
      </c>
      <c r="V117" s="16" t="str">
        <f t="shared" si="4"/>
        <v/>
      </c>
    </row>
    <row r="118" spans="1:28" x14ac:dyDescent="0.15">
      <c r="C118" s="183"/>
      <c r="D118" s="184"/>
      <c r="Q118" s="16" t="str">
        <f t="shared" si="5"/>
        <v/>
      </c>
      <c r="T118" s="16" t="str">
        <f t="shared" si="3"/>
        <v/>
      </c>
      <c r="V118" s="16" t="str">
        <f t="shared" si="4"/>
        <v/>
      </c>
    </row>
    <row r="119" spans="1:28" x14ac:dyDescent="0.15">
      <c r="C119" s="183"/>
      <c r="D119" s="184"/>
      <c r="Q119" s="16" t="str">
        <f t="shared" si="5"/>
        <v/>
      </c>
      <c r="T119" s="16" t="str">
        <f t="shared" si="3"/>
        <v/>
      </c>
      <c r="V119" s="16" t="str">
        <f t="shared" si="4"/>
        <v/>
      </c>
    </row>
    <row r="120" spans="1:28" x14ac:dyDescent="0.15">
      <c r="C120" s="183"/>
      <c r="D120" s="184"/>
      <c r="Q120" s="16" t="str">
        <f t="shared" si="5"/>
        <v/>
      </c>
      <c r="T120" s="16" t="str">
        <f t="shared" si="3"/>
        <v/>
      </c>
      <c r="V120" s="16" t="str">
        <f t="shared" si="4"/>
        <v/>
      </c>
    </row>
    <row r="121" spans="1:28" x14ac:dyDescent="0.15">
      <c r="C121" s="183"/>
      <c r="D121" s="184"/>
      <c r="Q121" s="16" t="str">
        <f t="shared" si="5"/>
        <v/>
      </c>
      <c r="T121" s="16" t="str">
        <f t="shared" si="3"/>
        <v/>
      </c>
      <c r="V121" s="16" t="str">
        <f t="shared" si="4"/>
        <v/>
      </c>
    </row>
    <row r="122" spans="1:28" x14ac:dyDescent="0.15">
      <c r="C122" s="183"/>
      <c r="D122" s="184"/>
      <c r="Q122" s="16" t="str">
        <f t="shared" si="5"/>
        <v/>
      </c>
      <c r="T122" s="16" t="str">
        <f t="shared" si="3"/>
        <v/>
      </c>
      <c r="V122" s="16" t="str">
        <f t="shared" si="4"/>
        <v/>
      </c>
    </row>
    <row r="123" spans="1:28" x14ac:dyDescent="0.15">
      <c r="C123" s="183"/>
      <c r="D123" s="184"/>
      <c r="Q123" s="16" t="str">
        <f t="shared" si="5"/>
        <v/>
      </c>
      <c r="T123" s="16" t="str">
        <f t="shared" si="3"/>
        <v/>
      </c>
      <c r="V123" s="16" t="str">
        <f t="shared" si="4"/>
        <v/>
      </c>
    </row>
    <row r="124" spans="1:28" x14ac:dyDescent="0.15">
      <c r="C124" s="183"/>
      <c r="D124" s="184"/>
      <c r="Q124" s="16" t="str">
        <f t="shared" si="5"/>
        <v/>
      </c>
      <c r="T124" s="16" t="str">
        <f t="shared" si="3"/>
        <v/>
      </c>
      <c r="V124" s="16" t="str">
        <f t="shared" si="4"/>
        <v/>
      </c>
    </row>
    <row r="125" spans="1:28" x14ac:dyDescent="0.15">
      <c r="C125" s="183"/>
      <c r="D125" s="184"/>
      <c r="Q125" s="16" t="str">
        <f t="shared" si="5"/>
        <v/>
      </c>
      <c r="T125" s="16" t="str">
        <f t="shared" si="3"/>
        <v/>
      </c>
      <c r="V125" s="16" t="str">
        <f t="shared" si="4"/>
        <v/>
      </c>
    </row>
    <row r="126" spans="1:28" x14ac:dyDescent="0.15">
      <c r="C126" s="183"/>
      <c r="D126" s="184"/>
      <c r="Q126" s="16" t="str">
        <f t="shared" si="5"/>
        <v/>
      </c>
      <c r="T126" s="16" t="str">
        <f t="shared" si="3"/>
        <v/>
      </c>
      <c r="V126" s="16" t="str">
        <f t="shared" si="4"/>
        <v/>
      </c>
    </row>
    <row r="127" spans="1:28" x14ac:dyDescent="0.15">
      <c r="C127" s="183"/>
      <c r="D127" s="184"/>
      <c r="Q127" s="16" t="str">
        <f t="shared" si="5"/>
        <v/>
      </c>
      <c r="T127" s="16" t="str">
        <f t="shared" si="3"/>
        <v/>
      </c>
      <c r="V127" s="16" t="str">
        <f t="shared" si="4"/>
        <v/>
      </c>
    </row>
    <row r="128" spans="1:28" x14ac:dyDescent="0.15">
      <c r="C128" s="183"/>
      <c r="D128" s="184"/>
      <c r="Q128" s="16" t="str">
        <f t="shared" si="5"/>
        <v/>
      </c>
      <c r="T128" s="16" t="str">
        <f t="shared" si="3"/>
        <v/>
      </c>
      <c r="V128" s="16" t="str">
        <f t="shared" si="4"/>
        <v/>
      </c>
    </row>
    <row r="129" spans="3:22" x14ac:dyDescent="0.15">
      <c r="C129" s="183"/>
      <c r="D129" s="184"/>
      <c r="Q129" s="16" t="str">
        <f t="shared" si="5"/>
        <v/>
      </c>
      <c r="T129" s="16" t="str">
        <f t="shared" si="3"/>
        <v/>
      </c>
      <c r="V129" s="16" t="str">
        <f t="shared" si="4"/>
        <v/>
      </c>
    </row>
    <row r="130" spans="3:22" x14ac:dyDescent="0.15">
      <c r="C130" s="183"/>
      <c r="D130" s="184"/>
      <c r="Q130" s="16" t="str">
        <f t="shared" si="5"/>
        <v/>
      </c>
      <c r="T130" s="16" t="str">
        <f t="shared" si="3"/>
        <v/>
      </c>
      <c r="V130" s="16" t="str">
        <f t="shared" si="4"/>
        <v/>
      </c>
    </row>
    <row r="131" spans="3:22" x14ac:dyDescent="0.15">
      <c r="C131" s="183"/>
      <c r="D131" s="184"/>
      <c r="Q131" s="16" t="str">
        <f t="shared" si="5"/>
        <v/>
      </c>
      <c r="T131" s="16" t="str">
        <f t="shared" si="3"/>
        <v/>
      </c>
      <c r="V131" s="16" t="str">
        <f t="shared" si="4"/>
        <v/>
      </c>
    </row>
    <row r="132" spans="3:22" x14ac:dyDescent="0.15">
      <c r="C132" s="183"/>
      <c r="D132" s="184"/>
      <c r="Q132" s="16" t="str">
        <f t="shared" si="5"/>
        <v/>
      </c>
      <c r="T132" s="16" t="str">
        <f t="shared" si="3"/>
        <v/>
      </c>
      <c r="V132" s="16" t="str">
        <f t="shared" si="4"/>
        <v/>
      </c>
    </row>
    <row r="133" spans="3:22" x14ac:dyDescent="0.15">
      <c r="C133" s="183"/>
      <c r="D133" s="184"/>
      <c r="Q133" s="16" t="str">
        <f t="shared" si="5"/>
        <v/>
      </c>
      <c r="T133" s="16" t="str">
        <f t="shared" si="3"/>
        <v/>
      </c>
      <c r="V133" s="16" t="str">
        <f t="shared" si="4"/>
        <v/>
      </c>
    </row>
    <row r="134" spans="3:22" x14ac:dyDescent="0.15">
      <c r="C134" s="183"/>
      <c r="D134" s="184"/>
      <c r="Q134" s="16" t="str">
        <f t="shared" si="5"/>
        <v/>
      </c>
      <c r="T134" s="16" t="str">
        <f t="shared" si="3"/>
        <v/>
      </c>
      <c r="V134" s="16" t="str">
        <f t="shared" si="4"/>
        <v/>
      </c>
    </row>
    <row r="135" spans="3:22" x14ac:dyDescent="0.15">
      <c r="C135" s="183"/>
      <c r="D135" s="184"/>
      <c r="Q135" s="16" t="str">
        <f t="shared" si="5"/>
        <v/>
      </c>
      <c r="T135" s="16" t="str">
        <f t="shared" si="3"/>
        <v/>
      </c>
      <c r="V135" s="16" t="str">
        <f t="shared" si="4"/>
        <v/>
      </c>
    </row>
    <row r="136" spans="3:22" x14ac:dyDescent="0.15">
      <c r="C136" s="183"/>
      <c r="D136" s="184"/>
      <c r="Q136" s="16" t="str">
        <f t="shared" si="5"/>
        <v/>
      </c>
      <c r="T136" s="16" t="str">
        <f t="shared" si="3"/>
        <v/>
      </c>
      <c r="V136" s="16" t="str">
        <f t="shared" si="4"/>
        <v/>
      </c>
    </row>
    <row r="137" spans="3:22" x14ac:dyDescent="0.15">
      <c r="C137" s="183"/>
      <c r="D137" s="184"/>
      <c r="Q137" s="16" t="str">
        <f t="shared" si="5"/>
        <v/>
      </c>
      <c r="T137" s="16" t="str">
        <f t="shared" si="3"/>
        <v/>
      </c>
      <c r="V137" s="16" t="str">
        <f t="shared" si="4"/>
        <v/>
      </c>
    </row>
    <row r="138" spans="3:22" x14ac:dyDescent="0.15">
      <c r="C138" s="183"/>
      <c r="D138" s="184"/>
      <c r="Q138" s="16" t="str">
        <f t="shared" si="5"/>
        <v/>
      </c>
      <c r="T138" s="16" t="str">
        <f t="shared" ref="T138:T152" si="6">IF(H138="","",IF(OR(H138="GREEN",H138="GK"),IF(S138&gt;=$AX$2,VLOOKUP(S138,$AX$2:$AY$12,2,1),""),IF(S138&gt;=$AZ$2,VLOOKUP(S138,$AZ$2:$BA$12,2,1),"")))</f>
        <v/>
      </c>
      <c r="V138" s="16" t="str">
        <f t="shared" si="4"/>
        <v/>
      </c>
    </row>
    <row r="139" spans="3:22" x14ac:dyDescent="0.15">
      <c r="C139" s="183"/>
      <c r="D139" s="184"/>
      <c r="Q139" s="16" t="str">
        <f t="shared" si="5"/>
        <v/>
      </c>
      <c r="T139" s="16" t="str">
        <f t="shared" si="6"/>
        <v/>
      </c>
      <c r="V139" s="16" t="str">
        <f t="shared" si="4"/>
        <v/>
      </c>
    </row>
    <row r="140" spans="3:22" x14ac:dyDescent="0.15">
      <c r="C140" s="183"/>
      <c r="D140" s="184"/>
      <c r="Q140" s="16" t="str">
        <f t="shared" si="5"/>
        <v/>
      </c>
      <c r="T140" s="16" t="str">
        <f t="shared" si="6"/>
        <v/>
      </c>
      <c r="V140" s="16" t="str">
        <f t="shared" si="4"/>
        <v/>
      </c>
    </row>
    <row r="141" spans="3:22" x14ac:dyDescent="0.15">
      <c r="C141" s="183"/>
      <c r="D141" s="184"/>
      <c r="Q141" s="16" t="str">
        <f t="shared" si="5"/>
        <v/>
      </c>
      <c r="T141" s="16" t="str">
        <f t="shared" si="6"/>
        <v/>
      </c>
      <c r="V141" s="16" t="str">
        <f t="shared" si="4"/>
        <v/>
      </c>
    </row>
    <row r="142" spans="3:22" x14ac:dyDescent="0.15">
      <c r="C142" s="183"/>
      <c r="D142" s="184"/>
      <c r="Q142" s="16" t="str">
        <f t="shared" si="5"/>
        <v/>
      </c>
      <c r="T142" s="16" t="str">
        <f t="shared" si="6"/>
        <v/>
      </c>
      <c r="V142" s="16" t="str">
        <f t="shared" si="4"/>
        <v/>
      </c>
    </row>
    <row r="143" spans="3:22" x14ac:dyDescent="0.15">
      <c r="C143" s="183"/>
      <c r="D143" s="184"/>
      <c r="Q143" s="16" t="str">
        <f t="shared" si="5"/>
        <v/>
      </c>
      <c r="T143" s="16" t="str">
        <f t="shared" si="6"/>
        <v/>
      </c>
      <c r="V143" s="16" t="str">
        <f t="shared" si="4"/>
        <v/>
      </c>
    </row>
    <row r="144" spans="3:22" x14ac:dyDescent="0.15">
      <c r="C144" s="183"/>
      <c r="D144" s="184"/>
      <c r="Q144" s="16" t="str">
        <f t="shared" si="5"/>
        <v/>
      </c>
      <c r="T144" s="16" t="str">
        <f t="shared" si="6"/>
        <v/>
      </c>
      <c r="V144" s="16" t="str">
        <f t="shared" si="4"/>
        <v/>
      </c>
    </row>
    <row r="145" spans="3:22" x14ac:dyDescent="0.15">
      <c r="C145" s="183"/>
      <c r="D145" s="184"/>
      <c r="Q145" s="16" t="str">
        <f t="shared" si="5"/>
        <v/>
      </c>
      <c r="T145" s="16" t="str">
        <f t="shared" si="6"/>
        <v/>
      </c>
      <c r="V145" s="16" t="str">
        <f t="shared" si="4"/>
        <v/>
      </c>
    </row>
    <row r="146" spans="3:22" x14ac:dyDescent="0.15">
      <c r="Q146" s="16" t="str">
        <f t="shared" si="5"/>
        <v/>
      </c>
      <c r="T146" s="16" t="str">
        <f t="shared" si="6"/>
        <v/>
      </c>
      <c r="V146" s="16" t="str">
        <f t="shared" si="4"/>
        <v/>
      </c>
    </row>
    <row r="147" spans="3:22" x14ac:dyDescent="0.15">
      <c r="Q147" s="16" t="str">
        <f t="shared" si="5"/>
        <v/>
      </c>
      <c r="T147" s="16" t="str">
        <f t="shared" si="6"/>
        <v/>
      </c>
      <c r="V147" s="16" t="str">
        <f t="shared" si="4"/>
        <v/>
      </c>
    </row>
    <row r="148" spans="3:22" x14ac:dyDescent="0.15">
      <c r="Q148" s="16" t="str">
        <f t="shared" si="5"/>
        <v/>
      </c>
      <c r="T148" s="16" t="str">
        <f t="shared" si="6"/>
        <v/>
      </c>
      <c r="V148" s="16" t="str">
        <f t="shared" si="4"/>
        <v/>
      </c>
    </row>
    <row r="149" spans="3:22" x14ac:dyDescent="0.15">
      <c r="Q149" s="16" t="str">
        <f t="shared" si="5"/>
        <v/>
      </c>
      <c r="T149" s="16" t="str">
        <f t="shared" si="6"/>
        <v/>
      </c>
      <c r="V149" s="16" t="str">
        <f t="shared" si="4"/>
        <v/>
      </c>
    </row>
    <row r="150" spans="3:22" x14ac:dyDescent="0.15">
      <c r="Q150" s="16" t="str">
        <f t="shared" si="5"/>
        <v/>
      </c>
      <c r="T150" s="16" t="str">
        <f t="shared" si="6"/>
        <v/>
      </c>
      <c r="V150" s="16" t="str">
        <f t="shared" si="4"/>
        <v/>
      </c>
    </row>
    <row r="151" spans="3:22" x14ac:dyDescent="0.15">
      <c r="Q151" s="16" t="str">
        <f t="shared" ref="Q151:Q152" si="7">IF(OR(O151="",P151=""),"",AVERAGE(O151,P151))</f>
        <v/>
      </c>
      <c r="T151" s="16" t="str">
        <f t="shared" si="6"/>
        <v/>
      </c>
      <c r="V151" s="16" t="str">
        <f t="shared" si="4"/>
        <v/>
      </c>
    </row>
    <row r="152" spans="3:22" x14ac:dyDescent="0.15">
      <c r="Q152" s="16" t="str">
        <f t="shared" si="7"/>
        <v/>
      </c>
      <c r="T152" s="16" t="str">
        <f t="shared" si="6"/>
        <v/>
      </c>
      <c r="V152" s="16" t="str">
        <f t="shared" si="4"/>
        <v/>
      </c>
    </row>
  </sheetData>
  <autoFilter ref="A1:BA152" xr:uid="{00000000-0009-0000-0000-000005000000}"/>
  <phoneticPr fontId="3"/>
  <dataValidations count="20">
    <dataValidation type="list" allowBlank="1" showInputMessage="1" showErrorMessage="1" sqref="K2:K1000" xr:uid="{39158154-1907-4749-805C-99C8BBFC1686}">
      <formula1>$AR$2:$AR$29</formula1>
    </dataValidation>
    <dataValidation type="list" allowBlank="1" showInputMessage="1" showErrorMessage="1" sqref="J2:J1000" xr:uid="{0F29B24B-DB4B-45FB-8290-A85348C25500}">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231CB441-C892-4C33-BC7A-9368C979AFEC}">
      <formula1>$AR$2:$AR$30</formula1>
    </dataValidation>
    <dataValidation type="list" allowBlank="1" showInputMessage="1" showErrorMessage="1" sqref="H2:H1307" xr:uid="{C3FD18E3-0854-4BCE-9AA1-CC53673874A8}">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85074D1C-1744-45AC-AAFE-5C968CE21C1A}">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C5AA7BA5-9B13-47A3-8019-6159924F2725}">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88EEAFF5-E25A-419B-B663-6EFD97D00C84}">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D870F031-0C4F-4E56-BA8F-40D706BBD057}">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9AC47143-90E3-4BE3-BA54-4565A5E8A83A}">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A68D7EBB-3629-4D59-95D6-82E24A8002F1}">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23AD6BB6-3A23-45EF-B965-BDF1EF9D5FF9}">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8075D95B-69E6-45E6-B7FF-BFD7FE0D8B93}">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1BD89FF0-5A52-4100-B246-99912EB3F117}">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F55F8318-12F6-4BA7-8F9F-AE75B6D62830}">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98F0EB8F-03A2-45DA-A443-9CA2F7C798A1}">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62CC44A0-66D8-4645-9178-5B6D790A13CE}">
      <formula1>#REF!</formula1>
    </dataValidation>
    <dataValidation type="list" allowBlank="1" showInputMessage="1" showErrorMessage="1" sqref="E2:E492" xr:uid="{9B32D3B2-561F-46F5-A521-9BCB1C069F02}">
      <formula1>$AG$2:$AG$11</formula1>
    </dataValidation>
    <dataValidation type="decimal" allowBlank="1" showInputMessage="1" showErrorMessage="1" error="硬度を正しく入力して下さい。" sqref="O2:P492" xr:uid="{77AD8B11-CD8B-4CDB-92A0-B1E3DA5359DB}">
      <formula1>0</formula1>
      <formula2>7</formula2>
    </dataValidation>
    <dataValidation type="list" allowBlank="1" showInputMessage="1" showErrorMessage="1" sqref="F2:F1446" xr:uid="{0B81772B-3EA5-4B6C-8958-CBF0D96166A7}">
      <formula1>$AH$2:$AH$11</formula1>
    </dataValidation>
    <dataValidation type="list" allowBlank="1" showInputMessage="1" showErrorMessage="1" sqref="AC38 Y2:AA583" xr:uid="{EF242B0B-61FB-4AAF-B049-4A68A704DF5A}">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335"/>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80"/>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6" t="s">
        <v>8</v>
      </c>
      <c r="K1" s="86"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7" t="s">
        <v>23</v>
      </c>
      <c r="B2" s="87" t="s">
        <v>160</v>
      </c>
      <c r="C2" s="87">
        <v>2020</v>
      </c>
      <c r="D2" s="45" t="s">
        <v>165</v>
      </c>
      <c r="E2" s="87" t="s">
        <v>166</v>
      </c>
      <c r="F2" s="87" t="s">
        <v>141</v>
      </c>
      <c r="G2" s="87" t="s">
        <v>25</v>
      </c>
      <c r="H2" s="87" t="s">
        <v>113</v>
      </c>
      <c r="I2" s="87" t="s">
        <v>111</v>
      </c>
      <c r="J2" s="81" t="s">
        <v>27</v>
      </c>
      <c r="K2" s="80" t="s">
        <v>112</v>
      </c>
      <c r="L2" s="87">
        <v>1</v>
      </c>
      <c r="M2" s="55"/>
      <c r="N2" s="55">
        <v>1</v>
      </c>
      <c r="O2" s="55">
        <v>1</v>
      </c>
      <c r="P2" s="55">
        <v>1.45</v>
      </c>
      <c r="Q2" s="56">
        <f t="shared" ref="Q2:Q130" si="0">IF(OR(O2="",P2=""),"",AVERAGE(O2,P2))</f>
        <v>1.2250000000000001</v>
      </c>
      <c r="R2" s="57">
        <v>18.399999999999999</v>
      </c>
      <c r="S2" s="54">
        <v>127</v>
      </c>
      <c r="T2" s="58">
        <f t="shared" ref="T2:T130" si="1">IF(H2="","",IF(OR(H2="GREEN",H2="GK"),IF(S2&gt;=$AX$2,VLOOKUP(S2,$AX$2:$AY$7,2,1),""),IF(S2&gt;=$AZ$2,VLOOKUP(S2,$AZ$2:$BA$7,2,1),"")))</f>
        <v>30</v>
      </c>
      <c r="U2" s="46">
        <v>98</v>
      </c>
      <c r="V2" s="58">
        <f t="shared" ref="V2:V130" si="2">IF(OR(N2="",U2="",T2=""),"",U2/N2*T2)</f>
        <v>2940</v>
      </c>
      <c r="W2" s="59">
        <v>3</v>
      </c>
      <c r="X2" s="60" t="s">
        <v>35</v>
      </c>
      <c r="Y2" s="60" t="s">
        <v>74</v>
      </c>
      <c r="Z2" s="60" t="s">
        <v>47</v>
      </c>
      <c r="AA2" s="61" t="s">
        <v>82</v>
      </c>
      <c r="AB2" s="43" t="s">
        <v>161</v>
      </c>
      <c r="AE2" s="17" t="s">
        <v>24</v>
      </c>
      <c r="AG2" s="90" t="s">
        <v>140</v>
      </c>
      <c r="AH2" s="90" t="s">
        <v>141</v>
      </c>
      <c r="AJ2" s="49" t="s">
        <v>25</v>
      </c>
      <c r="AL2" s="88"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7" t="s">
        <v>23</v>
      </c>
      <c r="B3" s="87" t="s">
        <v>160</v>
      </c>
      <c r="C3" s="87">
        <v>2020</v>
      </c>
      <c r="D3" s="45" t="s">
        <v>164</v>
      </c>
      <c r="E3" s="87" t="s">
        <v>166</v>
      </c>
      <c r="F3" s="87" t="s">
        <v>141</v>
      </c>
      <c r="G3" s="87" t="s">
        <v>25</v>
      </c>
      <c r="H3" s="87" t="s">
        <v>113</v>
      </c>
      <c r="I3" s="87" t="s">
        <v>111</v>
      </c>
      <c r="J3" s="81" t="s">
        <v>27</v>
      </c>
      <c r="K3" s="80" t="s">
        <v>112</v>
      </c>
      <c r="L3" s="87">
        <v>2</v>
      </c>
      <c r="N3" s="7">
        <v>1</v>
      </c>
      <c r="O3" s="7">
        <v>1.5</v>
      </c>
      <c r="P3" s="34">
        <v>1</v>
      </c>
      <c r="Q3" s="62">
        <f t="shared" si="0"/>
        <v>1.25</v>
      </c>
      <c r="R3" s="63">
        <v>18.2</v>
      </c>
      <c r="S3" s="63">
        <v>127</v>
      </c>
      <c r="T3" s="16">
        <f t="shared" si="1"/>
        <v>30</v>
      </c>
      <c r="U3" s="64">
        <v>98</v>
      </c>
      <c r="V3" s="65">
        <f t="shared" si="2"/>
        <v>2940</v>
      </c>
      <c r="W3" s="66">
        <v>3</v>
      </c>
      <c r="X3" s="67" t="s">
        <v>35</v>
      </c>
      <c r="Y3" s="67" t="s">
        <v>74</v>
      </c>
      <c r="Z3" s="67" t="s">
        <v>47</v>
      </c>
      <c r="AA3" s="61" t="s">
        <v>82</v>
      </c>
      <c r="AB3" s="43" t="s">
        <v>161</v>
      </c>
      <c r="AE3" s="22" t="s">
        <v>30</v>
      </c>
      <c r="AG3" s="91" t="s">
        <v>142</v>
      </c>
      <c r="AH3" s="91" t="s">
        <v>143</v>
      </c>
      <c r="AJ3" s="68" t="s">
        <v>31</v>
      </c>
      <c r="AL3" s="83" t="s">
        <v>108</v>
      </c>
      <c r="AN3" s="23" t="s">
        <v>32</v>
      </c>
      <c r="AP3" s="23" t="s">
        <v>33</v>
      </c>
      <c r="AR3" s="37" t="s">
        <v>34</v>
      </c>
      <c r="AT3" s="23" t="s">
        <v>35</v>
      </c>
      <c r="AV3" s="23" t="s">
        <v>36</v>
      </c>
      <c r="AX3" s="24">
        <v>72</v>
      </c>
      <c r="AY3" s="25">
        <v>46</v>
      </c>
      <c r="AZ3" s="25">
        <v>71</v>
      </c>
      <c r="BA3" s="26">
        <v>42</v>
      </c>
    </row>
    <row r="4" spans="1:53" x14ac:dyDescent="0.15">
      <c r="A4" s="87" t="s">
        <v>23</v>
      </c>
      <c r="B4" s="87" t="s">
        <v>160</v>
      </c>
      <c r="C4" s="87">
        <v>2020</v>
      </c>
      <c r="D4" s="45" t="s">
        <v>164</v>
      </c>
      <c r="E4" s="87" t="s">
        <v>166</v>
      </c>
      <c r="F4" s="87" t="s">
        <v>141</v>
      </c>
      <c r="G4" s="87" t="s">
        <v>25</v>
      </c>
      <c r="H4" s="87" t="s">
        <v>113</v>
      </c>
      <c r="I4" s="87" t="s">
        <v>111</v>
      </c>
      <c r="J4" s="81" t="s">
        <v>27</v>
      </c>
      <c r="K4" s="80" t="s">
        <v>112</v>
      </c>
      <c r="L4" s="87">
        <v>3</v>
      </c>
      <c r="N4" s="7">
        <v>1</v>
      </c>
      <c r="O4" s="7">
        <v>1</v>
      </c>
      <c r="P4" s="34">
        <v>1.45</v>
      </c>
      <c r="Q4" s="44">
        <f t="shared" si="0"/>
        <v>1.2250000000000001</v>
      </c>
      <c r="R4" s="69">
        <v>17.2</v>
      </c>
      <c r="S4" s="69">
        <v>129</v>
      </c>
      <c r="T4" s="16">
        <f t="shared" si="1"/>
        <v>30</v>
      </c>
      <c r="U4" s="70">
        <v>98</v>
      </c>
      <c r="V4" s="65">
        <f t="shared" si="2"/>
        <v>2940</v>
      </c>
      <c r="W4" s="71">
        <v>3</v>
      </c>
      <c r="X4" s="67" t="s">
        <v>35</v>
      </c>
      <c r="Y4" s="67" t="s">
        <v>74</v>
      </c>
      <c r="Z4" s="67" t="s">
        <v>47</v>
      </c>
      <c r="AA4" s="61" t="s">
        <v>82</v>
      </c>
      <c r="AB4" s="43" t="s">
        <v>161</v>
      </c>
      <c r="AE4" s="22" t="s">
        <v>23</v>
      </c>
      <c r="AG4" s="91" t="s">
        <v>144</v>
      </c>
      <c r="AH4" s="91" t="s">
        <v>145</v>
      </c>
      <c r="AJ4" s="72" t="s">
        <v>37</v>
      </c>
      <c r="AL4" s="83" t="s">
        <v>109</v>
      </c>
      <c r="AN4" s="28" t="s">
        <v>38</v>
      </c>
      <c r="AP4" s="23" t="s">
        <v>130</v>
      </c>
      <c r="AR4" s="37" t="s">
        <v>131</v>
      </c>
      <c r="AT4" s="28"/>
      <c r="AV4" s="23" t="s">
        <v>39</v>
      </c>
      <c r="AX4" s="24">
        <v>75</v>
      </c>
      <c r="AY4" s="25">
        <v>42</v>
      </c>
      <c r="AZ4" s="25">
        <v>76</v>
      </c>
      <c r="BA4" s="26">
        <v>39</v>
      </c>
    </row>
    <row r="5" spans="1:53" x14ac:dyDescent="0.15">
      <c r="A5" s="87" t="s">
        <v>23</v>
      </c>
      <c r="B5" s="87" t="s">
        <v>160</v>
      </c>
      <c r="C5" s="87">
        <v>2020</v>
      </c>
      <c r="D5" s="45" t="s">
        <v>164</v>
      </c>
      <c r="E5" s="87" t="s">
        <v>166</v>
      </c>
      <c r="F5" s="87" t="s">
        <v>141</v>
      </c>
      <c r="G5" s="87" t="s">
        <v>25</v>
      </c>
      <c r="H5" s="87" t="s">
        <v>167</v>
      </c>
      <c r="I5" s="87" t="s">
        <v>111</v>
      </c>
      <c r="J5" s="81" t="s">
        <v>27</v>
      </c>
      <c r="K5" s="80" t="s">
        <v>112</v>
      </c>
      <c r="L5" s="87">
        <v>1</v>
      </c>
      <c r="N5" s="7">
        <v>1</v>
      </c>
      <c r="O5" s="7">
        <v>0.6</v>
      </c>
      <c r="P5" s="36">
        <v>0.75</v>
      </c>
      <c r="Q5" s="44">
        <f t="shared" si="0"/>
        <v>0.67500000000000004</v>
      </c>
      <c r="R5" s="69">
        <v>16.7</v>
      </c>
      <c r="S5" s="69">
        <v>129</v>
      </c>
      <c r="T5" s="16">
        <f t="shared" si="1"/>
        <v>30</v>
      </c>
      <c r="U5" s="70">
        <v>98</v>
      </c>
      <c r="V5" s="65">
        <f t="shared" si="2"/>
        <v>2940</v>
      </c>
      <c r="W5" s="71">
        <v>3</v>
      </c>
      <c r="X5" s="67" t="s">
        <v>35</v>
      </c>
      <c r="Y5" s="67" t="s">
        <v>74</v>
      </c>
      <c r="Z5" s="67" t="s">
        <v>47</v>
      </c>
      <c r="AA5" s="61" t="s">
        <v>82</v>
      </c>
      <c r="AB5" s="43" t="s">
        <v>161</v>
      </c>
      <c r="AE5" s="22" t="s">
        <v>40</v>
      </c>
      <c r="AG5" s="91" t="s">
        <v>146</v>
      </c>
      <c r="AH5" s="91" t="s">
        <v>147</v>
      </c>
      <c r="AJ5" s="73"/>
      <c r="AL5" s="84" t="s">
        <v>132</v>
      </c>
      <c r="AN5" s="29" t="s">
        <v>133</v>
      </c>
      <c r="AP5" s="23" t="s">
        <v>134</v>
      </c>
      <c r="AR5" s="37" t="s">
        <v>42</v>
      </c>
      <c r="AT5" s="47"/>
      <c r="AV5" s="23" t="s">
        <v>43</v>
      </c>
      <c r="AX5" s="24">
        <v>84</v>
      </c>
      <c r="AY5" s="25">
        <v>39</v>
      </c>
      <c r="AZ5" s="25">
        <v>84</v>
      </c>
      <c r="BA5" s="26">
        <v>36</v>
      </c>
    </row>
    <row r="6" spans="1:53" x14ac:dyDescent="0.15">
      <c r="A6" s="87" t="s">
        <v>23</v>
      </c>
      <c r="B6" s="87" t="s">
        <v>160</v>
      </c>
      <c r="C6" s="87">
        <v>2020</v>
      </c>
      <c r="D6" s="45" t="s">
        <v>164</v>
      </c>
      <c r="E6" s="87" t="s">
        <v>166</v>
      </c>
      <c r="F6" s="87" t="s">
        <v>141</v>
      </c>
      <c r="G6" s="87" t="s">
        <v>25</v>
      </c>
      <c r="H6" s="87" t="s">
        <v>167</v>
      </c>
      <c r="I6" s="87" t="s">
        <v>111</v>
      </c>
      <c r="J6" s="81" t="s">
        <v>27</v>
      </c>
      <c r="K6" s="80" t="s">
        <v>112</v>
      </c>
      <c r="L6" s="87">
        <v>2</v>
      </c>
      <c r="N6" s="7">
        <v>1</v>
      </c>
      <c r="O6" s="7">
        <v>0.35</v>
      </c>
      <c r="P6" s="36">
        <v>0.55000000000000004</v>
      </c>
      <c r="Q6" s="44">
        <f t="shared" si="0"/>
        <v>0.45</v>
      </c>
      <c r="R6" s="69">
        <v>16.899999999999999</v>
      </c>
      <c r="S6" s="69">
        <v>129</v>
      </c>
      <c r="T6" s="16">
        <f t="shared" si="1"/>
        <v>30</v>
      </c>
      <c r="U6" s="70">
        <v>98</v>
      </c>
      <c r="V6" s="65">
        <f t="shared" si="2"/>
        <v>2940</v>
      </c>
      <c r="W6" s="71">
        <v>3</v>
      </c>
      <c r="X6" s="67" t="s">
        <v>35</v>
      </c>
      <c r="Y6" s="67" t="s">
        <v>74</v>
      </c>
      <c r="Z6" s="67" t="s">
        <v>47</v>
      </c>
      <c r="AA6" s="61" t="s">
        <v>82</v>
      </c>
      <c r="AB6" s="43" t="s">
        <v>161</v>
      </c>
      <c r="AE6" s="22" t="s">
        <v>44</v>
      </c>
      <c r="AG6" s="91" t="s">
        <v>148</v>
      </c>
      <c r="AH6" s="91" t="s">
        <v>149</v>
      </c>
      <c r="AL6" s="84" t="s">
        <v>135</v>
      </c>
      <c r="AN6" s="29" t="s">
        <v>136</v>
      </c>
      <c r="AP6" s="23" t="s">
        <v>41</v>
      </c>
      <c r="AR6" s="37" t="s">
        <v>46</v>
      </c>
      <c r="AV6" s="23" t="s">
        <v>47</v>
      </c>
      <c r="AX6" s="24">
        <v>97</v>
      </c>
      <c r="AY6" s="25">
        <v>36</v>
      </c>
      <c r="AZ6" s="25">
        <v>99</v>
      </c>
      <c r="BA6" s="26">
        <v>33</v>
      </c>
    </row>
    <row r="7" spans="1:53" x14ac:dyDescent="0.15">
      <c r="A7" s="87" t="s">
        <v>23</v>
      </c>
      <c r="B7" s="87" t="s">
        <v>160</v>
      </c>
      <c r="C7" s="87">
        <v>2020</v>
      </c>
      <c r="D7" s="45" t="s">
        <v>164</v>
      </c>
      <c r="E7" s="87" t="s">
        <v>166</v>
      </c>
      <c r="F7" s="87" t="s">
        <v>141</v>
      </c>
      <c r="G7" s="87" t="s">
        <v>25</v>
      </c>
      <c r="H7" s="87" t="s">
        <v>167</v>
      </c>
      <c r="I7" s="87" t="s">
        <v>111</v>
      </c>
      <c r="J7" s="81" t="s">
        <v>27</v>
      </c>
      <c r="K7" s="80" t="s">
        <v>112</v>
      </c>
      <c r="L7" s="87">
        <v>3</v>
      </c>
      <c r="N7" s="7">
        <v>1</v>
      </c>
      <c r="O7" s="7">
        <v>0.45</v>
      </c>
      <c r="P7" s="36">
        <v>0.5</v>
      </c>
      <c r="Q7" s="44">
        <f t="shared" si="0"/>
        <v>0.47499999999999998</v>
      </c>
      <c r="R7" s="69">
        <v>16</v>
      </c>
      <c r="S7" s="69">
        <v>132</v>
      </c>
      <c r="T7" s="16">
        <f t="shared" si="1"/>
        <v>30</v>
      </c>
      <c r="U7" s="70">
        <v>98</v>
      </c>
      <c r="V7" s="65">
        <f t="shared" si="2"/>
        <v>2940</v>
      </c>
      <c r="W7" s="71">
        <v>3</v>
      </c>
      <c r="X7" s="67" t="s">
        <v>35</v>
      </c>
      <c r="Y7" s="67" t="s">
        <v>74</v>
      </c>
      <c r="Z7" s="67" t="s">
        <v>47</v>
      </c>
      <c r="AA7" s="61" t="s">
        <v>82</v>
      </c>
      <c r="AB7" s="43" t="s">
        <v>161</v>
      </c>
      <c r="AE7" s="22" t="s">
        <v>48</v>
      </c>
      <c r="AG7" s="91" t="s">
        <v>150</v>
      </c>
      <c r="AH7" s="91" t="s">
        <v>147</v>
      </c>
      <c r="AL7" s="89" t="s">
        <v>137</v>
      </c>
      <c r="AP7" s="23" t="s">
        <v>45</v>
      </c>
      <c r="AR7" s="30" t="s">
        <v>102</v>
      </c>
      <c r="AV7" s="23" t="s">
        <v>51</v>
      </c>
      <c r="AX7" s="24">
        <v>109</v>
      </c>
      <c r="AY7" s="25">
        <v>33</v>
      </c>
      <c r="AZ7" s="25">
        <v>113</v>
      </c>
      <c r="BA7" s="26">
        <v>30</v>
      </c>
    </row>
    <row r="8" spans="1:53" x14ac:dyDescent="0.15">
      <c r="A8" s="87" t="s">
        <v>23</v>
      </c>
      <c r="B8" s="87" t="s">
        <v>160</v>
      </c>
      <c r="C8" s="87">
        <v>2020</v>
      </c>
      <c r="D8" s="45" t="s">
        <v>164</v>
      </c>
      <c r="E8" s="87" t="s">
        <v>168</v>
      </c>
      <c r="F8" s="87" t="s">
        <v>143</v>
      </c>
      <c r="G8" s="87" t="s">
        <v>25</v>
      </c>
      <c r="H8" s="87" t="s">
        <v>113</v>
      </c>
      <c r="I8" s="87" t="s">
        <v>111</v>
      </c>
      <c r="J8" s="81" t="s">
        <v>27</v>
      </c>
      <c r="K8" s="80" t="s">
        <v>112</v>
      </c>
      <c r="L8" s="87">
        <v>1</v>
      </c>
      <c r="N8" s="7">
        <v>1</v>
      </c>
      <c r="O8" s="7">
        <v>0.5</v>
      </c>
      <c r="P8" s="7">
        <v>0.55000000000000004</v>
      </c>
      <c r="Q8" s="44">
        <f t="shared" si="0"/>
        <v>0.52500000000000002</v>
      </c>
      <c r="R8" s="69">
        <v>14</v>
      </c>
      <c r="S8" s="69">
        <v>120</v>
      </c>
      <c r="T8" s="16">
        <f t="shared" si="1"/>
        <v>30</v>
      </c>
      <c r="U8" s="74">
        <v>75</v>
      </c>
      <c r="V8" s="65">
        <f t="shared" si="2"/>
        <v>2250</v>
      </c>
      <c r="W8" s="71">
        <v>10</v>
      </c>
      <c r="X8" s="67" t="s">
        <v>35</v>
      </c>
      <c r="Y8" s="75" t="s">
        <v>86</v>
      </c>
      <c r="Z8" s="67" t="s">
        <v>82</v>
      </c>
      <c r="AA8" s="61" t="s">
        <v>74</v>
      </c>
      <c r="AB8" s="43" t="s">
        <v>161</v>
      </c>
      <c r="AE8" s="22" t="s">
        <v>46</v>
      </c>
      <c r="AG8" s="91" t="s">
        <v>151</v>
      </c>
      <c r="AH8" s="91" t="s">
        <v>147</v>
      </c>
      <c r="AL8" s="89" t="s">
        <v>110</v>
      </c>
      <c r="AP8" s="23" t="s">
        <v>49</v>
      </c>
      <c r="AR8" s="37" t="s">
        <v>67</v>
      </c>
      <c r="AV8" s="23" t="s">
        <v>82</v>
      </c>
      <c r="AX8" s="24">
        <v>151</v>
      </c>
      <c r="AY8" s="25">
        <v>22</v>
      </c>
      <c r="AZ8" s="25">
        <v>152</v>
      </c>
      <c r="BA8" s="26">
        <v>18</v>
      </c>
    </row>
    <row r="9" spans="1:53" x14ac:dyDescent="0.15">
      <c r="A9" s="87" t="s">
        <v>23</v>
      </c>
      <c r="B9" s="87" t="s">
        <v>160</v>
      </c>
      <c r="C9" s="87">
        <v>2020</v>
      </c>
      <c r="D9" s="45" t="s">
        <v>164</v>
      </c>
      <c r="E9" s="87" t="s">
        <v>168</v>
      </c>
      <c r="F9" s="87" t="s">
        <v>143</v>
      </c>
      <c r="G9" s="87" t="s">
        <v>25</v>
      </c>
      <c r="H9" s="87" t="s">
        <v>113</v>
      </c>
      <c r="I9" s="87" t="s">
        <v>111</v>
      </c>
      <c r="J9" s="81" t="s">
        <v>27</v>
      </c>
      <c r="K9" s="80" t="s">
        <v>112</v>
      </c>
      <c r="L9" s="87">
        <v>2</v>
      </c>
      <c r="N9" s="7">
        <v>1</v>
      </c>
      <c r="O9" s="7">
        <v>0.7</v>
      </c>
      <c r="P9" s="7">
        <v>0.5</v>
      </c>
      <c r="Q9" s="44">
        <f t="shared" si="0"/>
        <v>0.6</v>
      </c>
      <c r="R9" s="69">
        <v>14.7</v>
      </c>
      <c r="S9" s="69">
        <v>121</v>
      </c>
      <c r="T9" s="16">
        <f t="shared" si="1"/>
        <v>30</v>
      </c>
      <c r="U9" s="74">
        <v>75</v>
      </c>
      <c r="V9" s="65">
        <f t="shared" si="2"/>
        <v>2250</v>
      </c>
      <c r="W9" s="71">
        <v>10</v>
      </c>
      <c r="X9" s="67" t="s">
        <v>35</v>
      </c>
      <c r="Y9" s="75" t="s">
        <v>86</v>
      </c>
      <c r="Z9" s="67" t="s">
        <v>82</v>
      </c>
      <c r="AA9" s="61" t="s">
        <v>74</v>
      </c>
      <c r="AB9" s="43" t="s">
        <v>161</v>
      </c>
      <c r="AE9" s="22" t="s">
        <v>83</v>
      </c>
      <c r="AG9" s="91" t="s">
        <v>152</v>
      </c>
      <c r="AH9" s="91" t="s">
        <v>147</v>
      </c>
      <c r="AL9" s="84" t="s">
        <v>139</v>
      </c>
      <c r="AP9" s="23" t="s">
        <v>80</v>
      </c>
      <c r="AR9" s="30" t="s">
        <v>75</v>
      </c>
      <c r="AV9" s="23" t="s">
        <v>86</v>
      </c>
      <c r="AX9" s="31">
        <v>180</v>
      </c>
      <c r="AY9" s="32">
        <v>18</v>
      </c>
      <c r="AZ9" s="32">
        <v>181</v>
      </c>
      <c r="BA9" s="33">
        <v>16</v>
      </c>
    </row>
    <row r="10" spans="1:53" x14ac:dyDescent="0.15">
      <c r="A10" s="87" t="s">
        <v>23</v>
      </c>
      <c r="B10" s="87" t="s">
        <v>160</v>
      </c>
      <c r="C10" s="87">
        <v>2020</v>
      </c>
      <c r="D10" s="45" t="s">
        <v>164</v>
      </c>
      <c r="E10" s="87" t="s">
        <v>168</v>
      </c>
      <c r="F10" s="87" t="s">
        <v>143</v>
      </c>
      <c r="G10" s="87" t="s">
        <v>25</v>
      </c>
      <c r="H10" s="87" t="s">
        <v>113</v>
      </c>
      <c r="I10" s="87" t="s">
        <v>111</v>
      </c>
      <c r="J10" s="81" t="s">
        <v>27</v>
      </c>
      <c r="K10" s="80" t="s">
        <v>112</v>
      </c>
      <c r="L10" s="87">
        <v>3</v>
      </c>
      <c r="N10" s="7">
        <v>1</v>
      </c>
      <c r="O10" s="7">
        <v>0.55000000000000004</v>
      </c>
      <c r="P10" s="7">
        <v>0.35</v>
      </c>
      <c r="Q10" s="44">
        <f t="shared" si="0"/>
        <v>0.45</v>
      </c>
      <c r="R10" s="69">
        <v>15</v>
      </c>
      <c r="S10" s="69">
        <v>120</v>
      </c>
      <c r="T10" s="16">
        <f t="shared" si="1"/>
        <v>30</v>
      </c>
      <c r="U10" s="74">
        <v>75</v>
      </c>
      <c r="V10" s="65">
        <f t="shared" si="2"/>
        <v>2250</v>
      </c>
      <c r="W10" s="71">
        <v>10</v>
      </c>
      <c r="X10" s="67" t="s">
        <v>35</v>
      </c>
      <c r="Y10" s="75" t="s">
        <v>86</v>
      </c>
      <c r="Z10" s="67" t="s">
        <v>82</v>
      </c>
      <c r="AA10" s="61" t="s">
        <v>74</v>
      </c>
      <c r="AB10" s="43" t="s">
        <v>161</v>
      </c>
      <c r="AE10" s="22" t="s">
        <v>87</v>
      </c>
      <c r="AG10" s="91" t="s">
        <v>153</v>
      </c>
      <c r="AH10" s="91" t="s">
        <v>154</v>
      </c>
      <c r="AL10" s="34"/>
      <c r="AP10" s="23" t="s">
        <v>84</v>
      </c>
      <c r="AR10" s="30" t="s">
        <v>103</v>
      </c>
      <c r="AV10" s="23" t="s">
        <v>90</v>
      </c>
    </row>
    <row r="11" spans="1:53" x14ac:dyDescent="0.15">
      <c r="A11" s="87" t="s">
        <v>23</v>
      </c>
      <c r="B11" s="87" t="s">
        <v>160</v>
      </c>
      <c r="C11" s="87">
        <v>2020</v>
      </c>
      <c r="D11" s="45" t="s">
        <v>164</v>
      </c>
      <c r="E11" s="87" t="s">
        <v>168</v>
      </c>
      <c r="F11" s="87" t="s">
        <v>143</v>
      </c>
      <c r="G11" s="87" t="s">
        <v>25</v>
      </c>
      <c r="H11" s="87" t="s">
        <v>113</v>
      </c>
      <c r="I11" s="87" t="s">
        <v>111</v>
      </c>
      <c r="J11" s="81" t="s">
        <v>27</v>
      </c>
      <c r="K11" s="80" t="s">
        <v>112</v>
      </c>
      <c r="L11" s="87">
        <v>1</v>
      </c>
      <c r="N11" s="7">
        <v>8</v>
      </c>
      <c r="O11" s="7">
        <v>0.95</v>
      </c>
      <c r="P11" s="7">
        <v>0.8</v>
      </c>
      <c r="Q11" s="44">
        <f t="shared" si="0"/>
        <v>0.875</v>
      </c>
      <c r="R11" s="69">
        <v>17.5</v>
      </c>
      <c r="S11" s="69">
        <v>87</v>
      </c>
      <c r="T11" s="16">
        <f t="shared" si="1"/>
        <v>36</v>
      </c>
      <c r="U11" s="74">
        <v>498</v>
      </c>
      <c r="V11" s="65">
        <f t="shared" si="2"/>
        <v>2241</v>
      </c>
      <c r="W11" s="71">
        <v>10</v>
      </c>
      <c r="X11" s="67" t="s">
        <v>35</v>
      </c>
      <c r="Y11" s="75" t="s">
        <v>86</v>
      </c>
      <c r="Z11" s="67" t="s">
        <v>82</v>
      </c>
      <c r="AA11" s="61" t="s">
        <v>74</v>
      </c>
      <c r="AB11" s="43" t="s">
        <v>161</v>
      </c>
      <c r="AE11" s="22" t="s">
        <v>52</v>
      </c>
      <c r="AG11" s="91" t="s">
        <v>148</v>
      </c>
      <c r="AH11" s="91" t="s">
        <v>155</v>
      </c>
      <c r="AL11" s="34"/>
      <c r="AP11" s="23" t="s">
        <v>88</v>
      </c>
      <c r="AR11" s="30" t="s">
        <v>73</v>
      </c>
      <c r="AV11" s="23" t="s">
        <v>55</v>
      </c>
    </row>
    <row r="12" spans="1:53" x14ac:dyDescent="0.15">
      <c r="A12" s="87" t="s">
        <v>23</v>
      </c>
      <c r="B12" s="87" t="s">
        <v>160</v>
      </c>
      <c r="C12" s="87">
        <v>2020</v>
      </c>
      <c r="D12" s="45" t="s">
        <v>164</v>
      </c>
      <c r="E12" s="87" t="s">
        <v>168</v>
      </c>
      <c r="F12" s="87" t="s">
        <v>143</v>
      </c>
      <c r="G12" s="87" t="s">
        <v>25</v>
      </c>
      <c r="H12" s="87" t="s">
        <v>113</v>
      </c>
      <c r="I12" s="87" t="s">
        <v>111</v>
      </c>
      <c r="J12" s="81" t="s">
        <v>27</v>
      </c>
      <c r="K12" s="80" t="s">
        <v>112</v>
      </c>
      <c r="L12" s="87">
        <v>2</v>
      </c>
      <c r="N12" s="80">
        <v>8</v>
      </c>
      <c r="O12" s="7">
        <v>0.65</v>
      </c>
      <c r="P12" s="7">
        <v>0.7</v>
      </c>
      <c r="Q12" s="44">
        <f t="shared" si="0"/>
        <v>0.67500000000000004</v>
      </c>
      <c r="R12" s="69">
        <v>17.7</v>
      </c>
      <c r="S12" s="69">
        <v>85</v>
      </c>
      <c r="T12" s="16">
        <f t="shared" si="1"/>
        <v>36</v>
      </c>
      <c r="U12" s="74">
        <v>498</v>
      </c>
      <c r="V12" s="65">
        <f t="shared" si="2"/>
        <v>2241</v>
      </c>
      <c r="W12" s="71">
        <v>10</v>
      </c>
      <c r="X12" s="67" t="s">
        <v>35</v>
      </c>
      <c r="Y12" s="75" t="s">
        <v>86</v>
      </c>
      <c r="Z12" s="67" t="s">
        <v>82</v>
      </c>
      <c r="AA12" s="61" t="s">
        <v>74</v>
      </c>
      <c r="AB12" s="43" t="s">
        <v>161</v>
      </c>
      <c r="AE12" s="22" t="s">
        <v>56</v>
      </c>
      <c r="AG12" s="82"/>
      <c r="AH12" s="82"/>
      <c r="AL12" s="34"/>
      <c r="AP12" s="23" t="s">
        <v>53</v>
      </c>
      <c r="AR12" s="30" t="s">
        <v>104</v>
      </c>
      <c r="AV12" s="23" t="s">
        <v>58</v>
      </c>
    </row>
    <row r="13" spans="1:53" x14ac:dyDescent="0.15">
      <c r="A13" s="87" t="s">
        <v>23</v>
      </c>
      <c r="B13" s="87" t="s">
        <v>160</v>
      </c>
      <c r="C13" s="87">
        <v>2020</v>
      </c>
      <c r="D13" s="45" t="s">
        <v>164</v>
      </c>
      <c r="E13" s="87" t="s">
        <v>168</v>
      </c>
      <c r="F13" s="87" t="s">
        <v>143</v>
      </c>
      <c r="G13" s="87" t="s">
        <v>25</v>
      </c>
      <c r="H13" s="87" t="s">
        <v>113</v>
      </c>
      <c r="I13" s="87" t="s">
        <v>111</v>
      </c>
      <c r="J13" s="81" t="s">
        <v>27</v>
      </c>
      <c r="K13" s="80" t="s">
        <v>112</v>
      </c>
      <c r="L13" s="87">
        <v>3</v>
      </c>
      <c r="N13" s="80">
        <v>8</v>
      </c>
      <c r="O13" s="7">
        <v>0.85</v>
      </c>
      <c r="P13" s="7">
        <v>0.7</v>
      </c>
      <c r="Q13" s="44">
        <f t="shared" si="0"/>
        <v>0.77499999999999991</v>
      </c>
      <c r="R13" s="69">
        <v>19.100000000000001</v>
      </c>
      <c r="S13" s="69">
        <v>90</v>
      </c>
      <c r="T13" s="16">
        <f t="shared" si="1"/>
        <v>36</v>
      </c>
      <c r="U13" s="74">
        <v>498</v>
      </c>
      <c r="V13" s="65">
        <f t="shared" si="2"/>
        <v>2241</v>
      </c>
      <c r="W13" s="71">
        <v>10</v>
      </c>
      <c r="X13" s="67" t="s">
        <v>35</v>
      </c>
      <c r="Y13" s="75" t="s">
        <v>86</v>
      </c>
      <c r="Z13" s="67" t="s">
        <v>82</v>
      </c>
      <c r="AA13" s="61" t="s">
        <v>74</v>
      </c>
      <c r="AB13" s="43" t="s">
        <v>161</v>
      </c>
      <c r="AE13" s="22" t="s">
        <v>59</v>
      </c>
      <c r="AG13" s="77"/>
      <c r="AH13" s="77"/>
      <c r="AP13" s="23" t="s">
        <v>57</v>
      </c>
      <c r="AR13" s="30" t="s">
        <v>87</v>
      </c>
      <c r="AV13" s="23" t="s">
        <v>61</v>
      </c>
    </row>
    <row r="14" spans="1:53" x14ac:dyDescent="0.15">
      <c r="A14" s="87" t="s">
        <v>23</v>
      </c>
      <c r="B14" s="87" t="s">
        <v>160</v>
      </c>
      <c r="C14" s="87">
        <v>2020</v>
      </c>
      <c r="D14" s="45" t="s">
        <v>164</v>
      </c>
      <c r="E14" s="87" t="s">
        <v>168</v>
      </c>
      <c r="F14" s="87" t="s">
        <v>143</v>
      </c>
      <c r="G14" s="87" t="s">
        <v>25</v>
      </c>
      <c r="H14" s="87" t="s">
        <v>113</v>
      </c>
      <c r="I14" s="87" t="s">
        <v>111</v>
      </c>
      <c r="J14" s="81" t="s">
        <v>27</v>
      </c>
      <c r="K14" s="80" t="s">
        <v>112</v>
      </c>
      <c r="L14" s="87">
        <v>1</v>
      </c>
      <c r="N14" s="7">
        <v>4</v>
      </c>
      <c r="O14" s="7">
        <v>0.85</v>
      </c>
      <c r="P14" s="7">
        <v>0.8</v>
      </c>
      <c r="Q14" s="44">
        <f t="shared" si="0"/>
        <v>0.82499999999999996</v>
      </c>
      <c r="R14" s="69">
        <v>17.2</v>
      </c>
      <c r="S14" s="69">
        <v>102</v>
      </c>
      <c r="T14" s="16">
        <f t="shared" si="1"/>
        <v>33</v>
      </c>
      <c r="U14" s="74">
        <v>298</v>
      </c>
      <c r="V14" s="65">
        <f t="shared" si="2"/>
        <v>2458.5</v>
      </c>
      <c r="W14" s="71">
        <v>10</v>
      </c>
      <c r="X14" s="67" t="s">
        <v>35</v>
      </c>
      <c r="Y14" s="75" t="s">
        <v>86</v>
      </c>
      <c r="Z14" s="67" t="s">
        <v>82</v>
      </c>
      <c r="AA14" s="61" t="s">
        <v>74</v>
      </c>
      <c r="AB14" s="43" t="s">
        <v>161</v>
      </c>
      <c r="AC14" s="34"/>
      <c r="AE14" s="22" t="s">
        <v>62</v>
      </c>
      <c r="AG14" s="47"/>
      <c r="AH14" s="47"/>
      <c r="AP14" s="23" t="s">
        <v>60</v>
      </c>
      <c r="AR14" s="30" t="s">
        <v>105</v>
      </c>
      <c r="AV14" s="23" t="s">
        <v>64</v>
      </c>
    </row>
    <row r="15" spans="1:53" x14ac:dyDescent="0.15">
      <c r="A15" s="87" t="s">
        <v>23</v>
      </c>
      <c r="B15" s="87" t="s">
        <v>160</v>
      </c>
      <c r="C15" s="87">
        <v>2020</v>
      </c>
      <c r="D15" s="45" t="s">
        <v>164</v>
      </c>
      <c r="E15" s="87" t="s">
        <v>168</v>
      </c>
      <c r="F15" s="87" t="s">
        <v>143</v>
      </c>
      <c r="G15" s="87" t="s">
        <v>25</v>
      </c>
      <c r="H15" s="87" t="s">
        <v>113</v>
      </c>
      <c r="I15" s="87" t="s">
        <v>111</v>
      </c>
      <c r="J15" s="81" t="s">
        <v>27</v>
      </c>
      <c r="K15" s="80" t="s">
        <v>112</v>
      </c>
      <c r="L15" s="87">
        <v>2</v>
      </c>
      <c r="N15" s="7">
        <v>4</v>
      </c>
      <c r="O15" s="7">
        <v>0.7</v>
      </c>
      <c r="P15" s="7">
        <v>0.75</v>
      </c>
      <c r="Q15" s="44">
        <f t="shared" si="0"/>
        <v>0.72499999999999998</v>
      </c>
      <c r="R15" s="69">
        <v>13.7</v>
      </c>
      <c r="S15" s="69">
        <v>95</v>
      </c>
      <c r="T15" s="16">
        <f t="shared" si="1"/>
        <v>36</v>
      </c>
      <c r="U15" s="74">
        <v>298</v>
      </c>
      <c r="V15" s="65">
        <f t="shared" si="2"/>
        <v>2682</v>
      </c>
      <c r="W15" s="71">
        <v>10</v>
      </c>
      <c r="X15" s="67" t="s">
        <v>35</v>
      </c>
      <c r="Y15" s="75" t="s">
        <v>86</v>
      </c>
      <c r="Z15" s="67" t="s">
        <v>82</v>
      </c>
      <c r="AA15" s="61" t="s">
        <v>74</v>
      </c>
      <c r="AB15" s="43" t="s">
        <v>161</v>
      </c>
      <c r="AC15" s="34"/>
      <c r="AE15" s="22" t="s">
        <v>65</v>
      </c>
      <c r="AP15" s="23" t="s">
        <v>63</v>
      </c>
      <c r="AR15" s="30" t="s">
        <v>79</v>
      </c>
      <c r="AV15" s="23" t="s">
        <v>91</v>
      </c>
    </row>
    <row r="16" spans="1:53" x14ac:dyDescent="0.15">
      <c r="A16" s="87" t="s">
        <v>23</v>
      </c>
      <c r="B16" s="87" t="s">
        <v>160</v>
      </c>
      <c r="C16" s="87">
        <v>2020</v>
      </c>
      <c r="D16" s="45" t="s">
        <v>164</v>
      </c>
      <c r="E16" s="87" t="s">
        <v>168</v>
      </c>
      <c r="F16" s="87" t="s">
        <v>143</v>
      </c>
      <c r="G16" s="87" t="s">
        <v>25</v>
      </c>
      <c r="H16" s="87" t="s">
        <v>113</v>
      </c>
      <c r="I16" s="87" t="s">
        <v>111</v>
      </c>
      <c r="J16" s="81" t="s">
        <v>27</v>
      </c>
      <c r="K16" s="80" t="s">
        <v>112</v>
      </c>
      <c r="L16" s="87">
        <v>3</v>
      </c>
      <c r="N16" s="7">
        <v>4</v>
      </c>
      <c r="O16" s="7">
        <v>0.7</v>
      </c>
      <c r="P16" s="7">
        <v>0.95</v>
      </c>
      <c r="Q16" s="44">
        <f t="shared" si="0"/>
        <v>0.82499999999999996</v>
      </c>
      <c r="R16" s="69">
        <v>13.7</v>
      </c>
      <c r="S16" s="69">
        <v>91</v>
      </c>
      <c r="T16" s="16">
        <f t="shared" si="1"/>
        <v>36</v>
      </c>
      <c r="U16" s="74">
        <v>298</v>
      </c>
      <c r="V16" s="65">
        <f t="shared" si="2"/>
        <v>2682</v>
      </c>
      <c r="W16" s="71">
        <v>10</v>
      </c>
      <c r="X16" s="67" t="s">
        <v>35</v>
      </c>
      <c r="Y16" s="75" t="s">
        <v>86</v>
      </c>
      <c r="Z16" s="67" t="s">
        <v>82</v>
      </c>
      <c r="AA16" s="61" t="s">
        <v>74</v>
      </c>
      <c r="AB16" s="43" t="s">
        <v>161</v>
      </c>
      <c r="AC16" s="34"/>
      <c r="AE16" s="22" t="s">
        <v>68</v>
      </c>
      <c r="AP16" s="23" t="s">
        <v>66</v>
      </c>
      <c r="AR16" s="37" t="s">
        <v>50</v>
      </c>
      <c r="AV16" s="23" t="s">
        <v>70</v>
      </c>
    </row>
    <row r="17" spans="1:48" x14ac:dyDescent="0.15">
      <c r="A17" s="87" t="s">
        <v>23</v>
      </c>
      <c r="B17" s="87" t="s">
        <v>160</v>
      </c>
      <c r="C17" s="87">
        <v>2020</v>
      </c>
      <c r="D17" s="45" t="s">
        <v>164</v>
      </c>
      <c r="E17" s="87" t="s">
        <v>168</v>
      </c>
      <c r="F17" s="87" t="s">
        <v>143</v>
      </c>
      <c r="G17" s="87" t="s">
        <v>25</v>
      </c>
      <c r="H17" s="87" t="s">
        <v>167</v>
      </c>
      <c r="I17" s="87" t="s">
        <v>111</v>
      </c>
      <c r="J17" s="81" t="s">
        <v>27</v>
      </c>
      <c r="K17" s="80" t="s">
        <v>112</v>
      </c>
      <c r="L17" s="87">
        <v>1</v>
      </c>
      <c r="N17" s="7">
        <v>1</v>
      </c>
      <c r="O17" s="7">
        <v>0.75</v>
      </c>
      <c r="P17" s="7">
        <v>0.5</v>
      </c>
      <c r="Q17" s="44">
        <f t="shared" si="0"/>
        <v>0.625</v>
      </c>
      <c r="R17" s="69">
        <v>19.7</v>
      </c>
      <c r="S17" s="69">
        <v>130</v>
      </c>
      <c r="T17" s="16">
        <f t="shared" si="1"/>
        <v>30</v>
      </c>
      <c r="U17" s="74">
        <v>138</v>
      </c>
      <c r="V17" s="65">
        <f t="shared" si="2"/>
        <v>4140</v>
      </c>
      <c r="W17" s="71">
        <v>10</v>
      </c>
      <c r="X17" s="67" t="s">
        <v>35</v>
      </c>
      <c r="Y17" s="75" t="s">
        <v>86</v>
      </c>
      <c r="Z17" s="67" t="s">
        <v>82</v>
      </c>
      <c r="AA17" s="61" t="s">
        <v>74</v>
      </c>
      <c r="AB17" s="43" t="s">
        <v>161</v>
      </c>
      <c r="AC17" s="34"/>
      <c r="AE17" s="22" t="s">
        <v>71</v>
      </c>
      <c r="AP17" s="39" t="s">
        <v>93</v>
      </c>
      <c r="AR17" s="37" t="s">
        <v>81</v>
      </c>
      <c r="AV17" s="23" t="s">
        <v>72</v>
      </c>
    </row>
    <row r="18" spans="1:48" x14ac:dyDescent="0.15">
      <c r="A18" s="87" t="s">
        <v>23</v>
      </c>
      <c r="B18" s="87" t="s">
        <v>160</v>
      </c>
      <c r="C18" s="87">
        <v>2020</v>
      </c>
      <c r="D18" s="45" t="s">
        <v>164</v>
      </c>
      <c r="E18" s="87" t="s">
        <v>168</v>
      </c>
      <c r="F18" s="87" t="s">
        <v>143</v>
      </c>
      <c r="G18" s="87" t="s">
        <v>25</v>
      </c>
      <c r="H18" s="87" t="s">
        <v>167</v>
      </c>
      <c r="I18" s="87" t="s">
        <v>111</v>
      </c>
      <c r="J18" s="81" t="s">
        <v>27</v>
      </c>
      <c r="K18" s="80" t="s">
        <v>112</v>
      </c>
      <c r="L18" s="87">
        <v>2</v>
      </c>
      <c r="N18" s="7">
        <v>1</v>
      </c>
      <c r="O18" s="7">
        <v>0.5</v>
      </c>
      <c r="P18" s="7">
        <v>0.55000000000000004</v>
      </c>
      <c r="Q18" s="44">
        <f t="shared" si="0"/>
        <v>0.52500000000000002</v>
      </c>
      <c r="R18" s="69">
        <v>19.399999999999999</v>
      </c>
      <c r="S18" s="69">
        <v>125</v>
      </c>
      <c r="T18" s="16">
        <f t="shared" si="1"/>
        <v>30</v>
      </c>
      <c r="U18" s="74">
        <v>138</v>
      </c>
      <c r="V18" s="65">
        <f t="shared" si="2"/>
        <v>4140</v>
      </c>
      <c r="W18" s="71">
        <v>10</v>
      </c>
      <c r="X18" s="67" t="s">
        <v>35</v>
      </c>
      <c r="Y18" s="75" t="s">
        <v>86</v>
      </c>
      <c r="Z18" s="67" t="s">
        <v>82</v>
      </c>
      <c r="AA18" s="61" t="s">
        <v>74</v>
      </c>
      <c r="AB18" s="43" t="s">
        <v>161</v>
      </c>
      <c r="AC18" s="34"/>
      <c r="AE18" s="22" t="s">
        <v>73</v>
      </c>
      <c r="AP18" s="39" t="s">
        <v>94</v>
      </c>
      <c r="AR18" s="37" t="s">
        <v>85</v>
      </c>
      <c r="AV18" s="23" t="s">
        <v>74</v>
      </c>
    </row>
    <row r="19" spans="1:48" x14ac:dyDescent="0.15">
      <c r="A19" s="87" t="s">
        <v>23</v>
      </c>
      <c r="B19" s="87" t="s">
        <v>160</v>
      </c>
      <c r="C19" s="87">
        <v>2020</v>
      </c>
      <c r="D19" s="45" t="s">
        <v>164</v>
      </c>
      <c r="E19" s="87" t="s">
        <v>168</v>
      </c>
      <c r="F19" s="87" t="s">
        <v>143</v>
      </c>
      <c r="G19" s="87" t="s">
        <v>25</v>
      </c>
      <c r="H19" s="87" t="s">
        <v>167</v>
      </c>
      <c r="I19" s="87" t="s">
        <v>111</v>
      </c>
      <c r="J19" s="81" t="s">
        <v>27</v>
      </c>
      <c r="K19" s="80" t="s">
        <v>112</v>
      </c>
      <c r="L19" s="87">
        <v>3</v>
      </c>
      <c r="N19" s="7">
        <v>1</v>
      </c>
      <c r="O19" s="7">
        <v>0.3</v>
      </c>
      <c r="P19" s="7">
        <v>0.3</v>
      </c>
      <c r="Q19" s="44">
        <f t="shared" si="0"/>
        <v>0.3</v>
      </c>
      <c r="R19" s="69">
        <v>18.100000000000001</v>
      </c>
      <c r="S19" s="69">
        <v>121</v>
      </c>
      <c r="T19" s="16">
        <f t="shared" si="1"/>
        <v>30</v>
      </c>
      <c r="U19" s="74">
        <v>138</v>
      </c>
      <c r="V19" s="65">
        <f t="shared" si="2"/>
        <v>4140</v>
      </c>
      <c r="W19" s="71">
        <v>10</v>
      </c>
      <c r="X19" s="67" t="s">
        <v>35</v>
      </c>
      <c r="Y19" s="75" t="s">
        <v>86</v>
      </c>
      <c r="Z19" s="67" t="s">
        <v>82</v>
      </c>
      <c r="AA19" s="61" t="s">
        <v>74</v>
      </c>
      <c r="AB19" s="43" t="s">
        <v>161</v>
      </c>
      <c r="AC19" s="34"/>
      <c r="AE19" s="35" t="s">
        <v>75</v>
      </c>
      <c r="AP19" s="39" t="s">
        <v>95</v>
      </c>
      <c r="AR19" s="30" t="s">
        <v>106</v>
      </c>
      <c r="AV19" s="23" t="s">
        <v>76</v>
      </c>
    </row>
    <row r="20" spans="1:48" x14ac:dyDescent="0.15">
      <c r="A20" s="87" t="s">
        <v>23</v>
      </c>
      <c r="B20" s="87" t="s">
        <v>160</v>
      </c>
      <c r="C20" s="87">
        <v>2020</v>
      </c>
      <c r="D20" s="45" t="s">
        <v>164</v>
      </c>
      <c r="E20" s="87" t="s">
        <v>168</v>
      </c>
      <c r="F20" s="87" t="s">
        <v>143</v>
      </c>
      <c r="G20" s="87" t="s">
        <v>25</v>
      </c>
      <c r="H20" s="87" t="s">
        <v>167</v>
      </c>
      <c r="I20" s="87" t="s">
        <v>111</v>
      </c>
      <c r="J20" s="81" t="s">
        <v>27</v>
      </c>
      <c r="K20" s="80" t="s">
        <v>112</v>
      </c>
      <c r="L20" s="87">
        <v>1</v>
      </c>
      <c r="N20" s="7">
        <v>8</v>
      </c>
      <c r="O20" s="7">
        <v>0.55000000000000004</v>
      </c>
      <c r="P20" s="7">
        <v>0.45</v>
      </c>
      <c r="Q20" s="44">
        <f t="shared" si="0"/>
        <v>0.5</v>
      </c>
      <c r="R20" s="69">
        <v>17.3</v>
      </c>
      <c r="S20" s="78">
        <v>92</v>
      </c>
      <c r="T20" s="16">
        <f t="shared" si="1"/>
        <v>36</v>
      </c>
      <c r="U20" s="74">
        <v>698</v>
      </c>
      <c r="V20" s="65">
        <f t="shared" si="2"/>
        <v>3141</v>
      </c>
      <c r="W20" s="71">
        <v>10</v>
      </c>
      <c r="X20" s="67" t="s">
        <v>35</v>
      </c>
      <c r="Y20" s="75" t="s">
        <v>86</v>
      </c>
      <c r="Z20" s="67" t="s">
        <v>82</v>
      </c>
      <c r="AA20" s="61" t="s">
        <v>74</v>
      </c>
      <c r="AB20" s="43" t="s">
        <v>161</v>
      </c>
      <c r="AE20" s="35"/>
      <c r="AP20" s="39" t="s">
        <v>96</v>
      </c>
      <c r="AR20" s="37" t="s">
        <v>89</v>
      </c>
      <c r="AV20" s="27" t="s">
        <v>114</v>
      </c>
    </row>
    <row r="21" spans="1:48" x14ac:dyDescent="0.15">
      <c r="A21" s="87" t="s">
        <v>23</v>
      </c>
      <c r="B21" s="87" t="s">
        <v>160</v>
      </c>
      <c r="C21" s="87">
        <v>2020</v>
      </c>
      <c r="D21" s="45" t="s">
        <v>164</v>
      </c>
      <c r="E21" s="87" t="s">
        <v>168</v>
      </c>
      <c r="F21" s="87" t="s">
        <v>143</v>
      </c>
      <c r="G21" s="87" t="s">
        <v>25</v>
      </c>
      <c r="H21" s="87" t="s">
        <v>167</v>
      </c>
      <c r="I21" s="87" t="s">
        <v>111</v>
      </c>
      <c r="J21" s="81" t="s">
        <v>27</v>
      </c>
      <c r="K21" s="80" t="s">
        <v>112</v>
      </c>
      <c r="L21" s="87">
        <v>2</v>
      </c>
      <c r="N21" s="7">
        <v>8</v>
      </c>
      <c r="O21" s="7">
        <v>0.5</v>
      </c>
      <c r="P21" s="7">
        <v>0.7</v>
      </c>
      <c r="Q21" s="44">
        <f t="shared" si="0"/>
        <v>0.6</v>
      </c>
      <c r="R21" s="78">
        <v>15.6</v>
      </c>
      <c r="S21" s="69">
        <v>100</v>
      </c>
      <c r="T21" s="16">
        <f t="shared" si="1"/>
        <v>33</v>
      </c>
      <c r="U21" s="74">
        <v>698</v>
      </c>
      <c r="V21" s="65">
        <f t="shared" si="2"/>
        <v>2879.25</v>
      </c>
      <c r="W21" s="71">
        <v>10</v>
      </c>
      <c r="X21" s="67" t="s">
        <v>35</v>
      </c>
      <c r="Y21" s="75" t="s">
        <v>86</v>
      </c>
      <c r="Z21" s="67" t="s">
        <v>82</v>
      </c>
      <c r="AA21" s="61" t="s">
        <v>74</v>
      </c>
      <c r="AB21" s="43" t="s">
        <v>161</v>
      </c>
      <c r="AE21" s="28"/>
      <c r="AP21" s="39" t="s">
        <v>97</v>
      </c>
      <c r="AR21" s="37" t="s">
        <v>54</v>
      </c>
      <c r="AV21" s="27" t="s">
        <v>115</v>
      </c>
    </row>
    <row r="22" spans="1:48" x14ac:dyDescent="0.15">
      <c r="A22" s="87" t="s">
        <v>23</v>
      </c>
      <c r="B22" s="87" t="s">
        <v>160</v>
      </c>
      <c r="C22" s="87">
        <v>2020</v>
      </c>
      <c r="D22" s="45" t="s">
        <v>164</v>
      </c>
      <c r="E22" s="87" t="s">
        <v>168</v>
      </c>
      <c r="F22" s="87" t="s">
        <v>143</v>
      </c>
      <c r="G22" s="87" t="s">
        <v>25</v>
      </c>
      <c r="H22" s="87" t="s">
        <v>167</v>
      </c>
      <c r="I22" s="87" t="s">
        <v>111</v>
      </c>
      <c r="J22" s="81" t="s">
        <v>27</v>
      </c>
      <c r="K22" s="80" t="s">
        <v>112</v>
      </c>
      <c r="L22" s="87">
        <v>3</v>
      </c>
      <c r="N22" s="7">
        <v>8</v>
      </c>
      <c r="O22" s="7">
        <v>0.75</v>
      </c>
      <c r="P22" s="34">
        <v>0.6</v>
      </c>
      <c r="Q22" s="44">
        <f t="shared" si="0"/>
        <v>0.67500000000000004</v>
      </c>
      <c r="R22" s="69">
        <v>16</v>
      </c>
      <c r="S22" s="69">
        <v>93</v>
      </c>
      <c r="T22" s="16">
        <f t="shared" si="1"/>
        <v>36</v>
      </c>
      <c r="U22" s="74">
        <v>698</v>
      </c>
      <c r="V22" s="65">
        <f t="shared" si="2"/>
        <v>3141</v>
      </c>
      <c r="W22" s="71">
        <v>10</v>
      </c>
      <c r="X22" s="67" t="s">
        <v>35</v>
      </c>
      <c r="Y22" s="75" t="s">
        <v>86</v>
      </c>
      <c r="Z22" s="67" t="s">
        <v>82</v>
      </c>
      <c r="AA22" s="61" t="s">
        <v>74</v>
      </c>
      <c r="AB22" s="43" t="s">
        <v>161</v>
      </c>
      <c r="AP22" s="39" t="s">
        <v>98</v>
      </c>
      <c r="AR22" s="37" t="s">
        <v>69</v>
      </c>
      <c r="AV22" s="23"/>
    </row>
    <row r="23" spans="1:48" x14ac:dyDescent="0.15">
      <c r="A23" s="87" t="s">
        <v>23</v>
      </c>
      <c r="B23" s="87" t="s">
        <v>160</v>
      </c>
      <c r="C23" s="87">
        <v>2020</v>
      </c>
      <c r="D23" s="45" t="s">
        <v>164</v>
      </c>
      <c r="E23" s="87" t="s">
        <v>168</v>
      </c>
      <c r="F23" s="87" t="s">
        <v>143</v>
      </c>
      <c r="G23" s="87" t="s">
        <v>25</v>
      </c>
      <c r="H23" s="87" t="s">
        <v>167</v>
      </c>
      <c r="I23" s="87" t="s">
        <v>111</v>
      </c>
      <c r="J23" s="81" t="s">
        <v>27</v>
      </c>
      <c r="K23" s="80" t="s">
        <v>112</v>
      </c>
      <c r="L23" s="87">
        <v>1</v>
      </c>
      <c r="N23" s="7">
        <v>4</v>
      </c>
      <c r="O23" s="7">
        <v>0.3</v>
      </c>
      <c r="P23" s="34">
        <v>0.55000000000000004</v>
      </c>
      <c r="Q23" s="44">
        <f t="shared" si="0"/>
        <v>0.42500000000000004</v>
      </c>
      <c r="R23" s="69">
        <v>17.899999999999999</v>
      </c>
      <c r="S23" s="69">
        <v>98</v>
      </c>
      <c r="T23" s="16">
        <f t="shared" si="1"/>
        <v>36</v>
      </c>
      <c r="U23" s="74">
        <v>498</v>
      </c>
      <c r="V23" s="65">
        <f t="shared" si="2"/>
        <v>4482</v>
      </c>
      <c r="W23" s="71">
        <v>10</v>
      </c>
      <c r="X23" s="67" t="s">
        <v>35</v>
      </c>
      <c r="Y23" s="75" t="s">
        <v>86</v>
      </c>
      <c r="Z23" s="67" t="s">
        <v>82</v>
      </c>
      <c r="AA23" s="61" t="s">
        <v>74</v>
      </c>
      <c r="AB23" s="43" t="s">
        <v>161</v>
      </c>
      <c r="AP23" s="39" t="s">
        <v>116</v>
      </c>
      <c r="AR23" s="37" t="s">
        <v>48</v>
      </c>
      <c r="AV23" s="23"/>
    </row>
    <row r="24" spans="1:48" x14ac:dyDescent="0.15">
      <c r="A24" s="87" t="s">
        <v>23</v>
      </c>
      <c r="B24" s="87" t="s">
        <v>160</v>
      </c>
      <c r="C24" s="87">
        <v>2020</v>
      </c>
      <c r="D24" s="45" t="s">
        <v>164</v>
      </c>
      <c r="E24" s="87" t="s">
        <v>168</v>
      </c>
      <c r="F24" s="87" t="s">
        <v>143</v>
      </c>
      <c r="G24" s="87" t="s">
        <v>25</v>
      </c>
      <c r="H24" s="87" t="s">
        <v>167</v>
      </c>
      <c r="I24" s="87" t="s">
        <v>111</v>
      </c>
      <c r="J24" s="81" t="s">
        <v>27</v>
      </c>
      <c r="K24" s="80" t="s">
        <v>112</v>
      </c>
      <c r="L24" s="87">
        <v>2</v>
      </c>
      <c r="N24" s="7">
        <v>4</v>
      </c>
      <c r="O24" s="7">
        <v>0.75</v>
      </c>
      <c r="P24" s="34">
        <v>0.8</v>
      </c>
      <c r="Q24" s="44">
        <f t="shared" si="0"/>
        <v>0.77500000000000002</v>
      </c>
      <c r="R24" s="69">
        <v>15.4</v>
      </c>
      <c r="S24" s="69">
        <v>98</v>
      </c>
      <c r="T24" s="16">
        <f t="shared" si="1"/>
        <v>36</v>
      </c>
      <c r="U24" s="74">
        <v>498</v>
      </c>
      <c r="V24" s="65">
        <f t="shared" si="2"/>
        <v>4482</v>
      </c>
      <c r="W24" s="71">
        <v>10</v>
      </c>
      <c r="X24" s="67" t="s">
        <v>35</v>
      </c>
      <c r="Y24" s="75" t="s">
        <v>86</v>
      </c>
      <c r="Z24" s="67" t="s">
        <v>82</v>
      </c>
      <c r="AA24" s="61" t="s">
        <v>74</v>
      </c>
      <c r="AB24" s="43" t="s">
        <v>161</v>
      </c>
      <c r="AP24" s="39" t="s">
        <v>117</v>
      </c>
      <c r="AR24" s="37" t="s">
        <v>77</v>
      </c>
      <c r="AV24" s="23"/>
    </row>
    <row r="25" spans="1:48" x14ac:dyDescent="0.15">
      <c r="A25" s="87" t="s">
        <v>23</v>
      </c>
      <c r="B25" s="87" t="s">
        <v>160</v>
      </c>
      <c r="C25" s="87">
        <v>2020</v>
      </c>
      <c r="D25" s="45" t="s">
        <v>164</v>
      </c>
      <c r="E25" s="87" t="s">
        <v>168</v>
      </c>
      <c r="F25" s="87" t="s">
        <v>143</v>
      </c>
      <c r="G25" s="87" t="s">
        <v>25</v>
      </c>
      <c r="H25" s="87" t="s">
        <v>167</v>
      </c>
      <c r="I25" s="87" t="s">
        <v>111</v>
      </c>
      <c r="J25" s="81" t="s">
        <v>27</v>
      </c>
      <c r="K25" s="80" t="s">
        <v>112</v>
      </c>
      <c r="L25" s="87">
        <v>3</v>
      </c>
      <c r="N25" s="7">
        <v>4</v>
      </c>
      <c r="O25" s="7">
        <v>0.55000000000000004</v>
      </c>
      <c r="P25" s="34">
        <v>0.7</v>
      </c>
      <c r="Q25" s="44">
        <f t="shared" si="0"/>
        <v>0.625</v>
      </c>
      <c r="R25" s="69">
        <v>17.600000000000001</v>
      </c>
      <c r="S25" s="69">
        <v>98</v>
      </c>
      <c r="T25" s="16">
        <f t="shared" si="1"/>
        <v>36</v>
      </c>
      <c r="U25" s="74">
        <v>498</v>
      </c>
      <c r="V25" s="65">
        <f t="shared" si="2"/>
        <v>4482</v>
      </c>
      <c r="W25" s="71">
        <v>10</v>
      </c>
      <c r="X25" s="67" t="s">
        <v>35</v>
      </c>
      <c r="Y25" s="75" t="s">
        <v>86</v>
      </c>
      <c r="Z25" s="67" t="s">
        <v>82</v>
      </c>
      <c r="AA25" s="61" t="s">
        <v>74</v>
      </c>
      <c r="AB25" s="43" t="s">
        <v>161</v>
      </c>
      <c r="AP25" s="39" t="s">
        <v>99</v>
      </c>
      <c r="AR25" s="38" t="s">
        <v>78</v>
      </c>
      <c r="AV25" s="23"/>
    </row>
    <row r="26" spans="1:48" x14ac:dyDescent="0.15">
      <c r="A26" s="87" t="s">
        <v>23</v>
      </c>
      <c r="B26" s="87" t="s">
        <v>160</v>
      </c>
      <c r="C26" s="87">
        <v>2020</v>
      </c>
      <c r="D26" s="45" t="s">
        <v>164</v>
      </c>
      <c r="E26" s="87" t="s">
        <v>169</v>
      </c>
      <c r="F26" s="87" t="s">
        <v>145</v>
      </c>
      <c r="G26" s="87" t="s">
        <v>25</v>
      </c>
      <c r="H26" s="87" t="s">
        <v>113</v>
      </c>
      <c r="I26" s="87" t="s">
        <v>111</v>
      </c>
      <c r="J26" s="81" t="s">
        <v>27</v>
      </c>
      <c r="K26" s="80" t="s">
        <v>162</v>
      </c>
      <c r="L26" s="87">
        <v>1</v>
      </c>
      <c r="N26" s="7">
        <v>1</v>
      </c>
      <c r="O26" s="7">
        <v>0.6</v>
      </c>
      <c r="P26" s="36">
        <v>0.75</v>
      </c>
      <c r="Q26" s="44">
        <f t="shared" si="0"/>
        <v>0.67500000000000004</v>
      </c>
      <c r="R26" s="69">
        <v>16.100000000000001</v>
      </c>
      <c r="S26" s="69">
        <v>117</v>
      </c>
      <c r="T26" s="16">
        <f t="shared" si="1"/>
        <v>30</v>
      </c>
      <c r="U26" s="74">
        <v>98</v>
      </c>
      <c r="V26" s="65">
        <f t="shared" si="2"/>
        <v>2940</v>
      </c>
      <c r="W26" s="71">
        <v>7</v>
      </c>
      <c r="X26" s="67" t="s">
        <v>35</v>
      </c>
      <c r="Y26" s="75" t="s">
        <v>86</v>
      </c>
      <c r="Z26" s="67" t="s">
        <v>64</v>
      </c>
      <c r="AA26" s="61" t="s">
        <v>74</v>
      </c>
      <c r="AB26" s="43" t="s">
        <v>161</v>
      </c>
      <c r="AP26" s="39" t="s">
        <v>100</v>
      </c>
      <c r="AR26" s="23" t="s">
        <v>138</v>
      </c>
      <c r="AV26" s="27"/>
    </row>
    <row r="27" spans="1:48" x14ac:dyDescent="0.15">
      <c r="A27" s="87" t="s">
        <v>23</v>
      </c>
      <c r="B27" s="87" t="s">
        <v>160</v>
      </c>
      <c r="C27" s="87">
        <v>2020</v>
      </c>
      <c r="D27" s="45" t="s">
        <v>164</v>
      </c>
      <c r="E27" s="87" t="s">
        <v>169</v>
      </c>
      <c r="F27" s="87" t="s">
        <v>145</v>
      </c>
      <c r="G27" s="87" t="s">
        <v>25</v>
      </c>
      <c r="H27" s="87" t="s">
        <v>113</v>
      </c>
      <c r="I27" s="87" t="s">
        <v>111</v>
      </c>
      <c r="J27" s="81" t="s">
        <v>27</v>
      </c>
      <c r="K27" s="80" t="s">
        <v>162</v>
      </c>
      <c r="L27" s="87">
        <v>2</v>
      </c>
      <c r="N27" s="7">
        <v>1</v>
      </c>
      <c r="O27" s="34">
        <v>0.6</v>
      </c>
      <c r="P27" s="36">
        <v>0.55000000000000004</v>
      </c>
      <c r="Q27" s="44">
        <f t="shared" si="0"/>
        <v>0.57499999999999996</v>
      </c>
      <c r="R27" s="69">
        <v>15.3</v>
      </c>
      <c r="S27" s="69">
        <v>115</v>
      </c>
      <c r="T27" s="16">
        <f t="shared" si="1"/>
        <v>30</v>
      </c>
      <c r="U27" s="74">
        <v>98</v>
      </c>
      <c r="V27" s="65">
        <f t="shared" si="2"/>
        <v>2940</v>
      </c>
      <c r="W27" s="71">
        <v>7</v>
      </c>
      <c r="X27" s="67" t="s">
        <v>35</v>
      </c>
      <c r="Y27" s="75" t="s">
        <v>86</v>
      </c>
      <c r="Z27" s="67" t="s">
        <v>64</v>
      </c>
      <c r="AA27" s="61" t="s">
        <v>74</v>
      </c>
      <c r="AB27" s="43" t="s">
        <v>161</v>
      </c>
      <c r="AP27" s="39" t="s">
        <v>101</v>
      </c>
      <c r="AR27" s="23" t="s">
        <v>159</v>
      </c>
    </row>
    <row r="28" spans="1:48" x14ac:dyDescent="0.15">
      <c r="A28" s="87" t="s">
        <v>23</v>
      </c>
      <c r="B28" s="87" t="s">
        <v>160</v>
      </c>
      <c r="C28" s="87">
        <v>2020</v>
      </c>
      <c r="D28" s="45" t="s">
        <v>164</v>
      </c>
      <c r="E28" s="87" t="s">
        <v>169</v>
      </c>
      <c r="F28" s="87" t="s">
        <v>145</v>
      </c>
      <c r="G28" s="87" t="s">
        <v>25</v>
      </c>
      <c r="H28" s="87" t="s">
        <v>113</v>
      </c>
      <c r="I28" s="87" t="s">
        <v>111</v>
      </c>
      <c r="J28" s="81" t="s">
        <v>27</v>
      </c>
      <c r="K28" s="80" t="s">
        <v>112</v>
      </c>
      <c r="L28" s="87">
        <v>3</v>
      </c>
      <c r="N28" s="7">
        <v>1</v>
      </c>
      <c r="O28" s="34">
        <v>0.2</v>
      </c>
      <c r="P28" s="7">
        <v>0.2</v>
      </c>
      <c r="Q28" s="44">
        <f t="shared" si="0"/>
        <v>0.2</v>
      </c>
      <c r="R28" s="69">
        <v>18.100000000000001</v>
      </c>
      <c r="S28" s="69">
        <v>115</v>
      </c>
      <c r="T28" s="16">
        <f t="shared" si="1"/>
        <v>30</v>
      </c>
      <c r="U28" s="74">
        <v>98</v>
      </c>
      <c r="V28" s="65">
        <f t="shared" si="2"/>
        <v>2940</v>
      </c>
      <c r="W28" s="71">
        <v>7</v>
      </c>
      <c r="X28" s="67" t="s">
        <v>35</v>
      </c>
      <c r="Y28" s="75" t="s">
        <v>86</v>
      </c>
      <c r="Z28" s="67" t="s">
        <v>64</v>
      </c>
      <c r="AA28" s="61" t="s">
        <v>74</v>
      </c>
      <c r="AB28" s="43" t="s">
        <v>161</v>
      </c>
      <c r="AP28" s="85" t="s">
        <v>156</v>
      </c>
      <c r="AR28" s="23" t="s">
        <v>158</v>
      </c>
    </row>
    <row r="29" spans="1:48" x14ac:dyDescent="0.15">
      <c r="A29" s="87" t="s">
        <v>23</v>
      </c>
      <c r="B29" s="87" t="s">
        <v>160</v>
      </c>
      <c r="C29" s="87">
        <v>2020</v>
      </c>
      <c r="D29" s="45" t="s">
        <v>164</v>
      </c>
      <c r="E29" s="87" t="s">
        <v>169</v>
      </c>
      <c r="F29" s="87" t="s">
        <v>145</v>
      </c>
      <c r="G29" s="87" t="s">
        <v>25</v>
      </c>
      <c r="H29" s="87" t="s">
        <v>113</v>
      </c>
      <c r="I29" s="87" t="s">
        <v>111</v>
      </c>
      <c r="J29" s="81" t="s">
        <v>27</v>
      </c>
      <c r="K29" s="80" t="s">
        <v>112</v>
      </c>
      <c r="L29" s="87">
        <v>1</v>
      </c>
      <c r="N29" s="7">
        <v>5</v>
      </c>
      <c r="O29" s="7">
        <v>0.65</v>
      </c>
      <c r="P29" s="7">
        <v>0.25</v>
      </c>
      <c r="Q29" s="44">
        <f t="shared" si="0"/>
        <v>0.45</v>
      </c>
      <c r="R29" s="69">
        <v>14.9</v>
      </c>
      <c r="S29" s="69">
        <v>87</v>
      </c>
      <c r="T29" s="16">
        <f t="shared" si="1"/>
        <v>36</v>
      </c>
      <c r="U29" s="74">
        <v>398</v>
      </c>
      <c r="V29" s="65">
        <f t="shared" si="2"/>
        <v>2865.6</v>
      </c>
      <c r="W29" s="71">
        <v>7</v>
      </c>
      <c r="X29" s="67" t="s">
        <v>35</v>
      </c>
      <c r="Y29" s="76" t="s">
        <v>86</v>
      </c>
      <c r="Z29" s="75" t="s">
        <v>64</v>
      </c>
      <c r="AA29" s="75" t="s">
        <v>74</v>
      </c>
      <c r="AB29" s="43" t="s">
        <v>161</v>
      </c>
      <c r="AP29" s="85" t="s">
        <v>157</v>
      </c>
      <c r="AR29" s="28"/>
    </row>
    <row r="30" spans="1:48" x14ac:dyDescent="0.15">
      <c r="A30" s="87" t="s">
        <v>23</v>
      </c>
      <c r="B30" s="87" t="s">
        <v>160</v>
      </c>
      <c r="C30" s="87">
        <v>2020</v>
      </c>
      <c r="D30" s="45" t="s">
        <v>164</v>
      </c>
      <c r="E30" s="87" t="s">
        <v>169</v>
      </c>
      <c r="F30" s="87" t="s">
        <v>145</v>
      </c>
      <c r="G30" s="87" t="s">
        <v>25</v>
      </c>
      <c r="H30" s="87" t="s">
        <v>113</v>
      </c>
      <c r="I30" s="87" t="s">
        <v>111</v>
      </c>
      <c r="J30" s="81" t="s">
        <v>27</v>
      </c>
      <c r="K30" s="80" t="s">
        <v>112</v>
      </c>
      <c r="L30" s="87">
        <v>2</v>
      </c>
      <c r="N30" s="7">
        <v>5</v>
      </c>
      <c r="O30" s="7">
        <v>0.65</v>
      </c>
      <c r="P30" s="7">
        <v>0.7</v>
      </c>
      <c r="Q30" s="44">
        <f t="shared" si="0"/>
        <v>0.67500000000000004</v>
      </c>
      <c r="R30" s="69">
        <v>14.8</v>
      </c>
      <c r="S30" s="69">
        <v>90</v>
      </c>
      <c r="T30" s="16">
        <f t="shared" si="1"/>
        <v>36</v>
      </c>
      <c r="U30" s="74">
        <v>398</v>
      </c>
      <c r="V30" s="65">
        <f t="shared" si="2"/>
        <v>2865.6</v>
      </c>
      <c r="W30" s="71">
        <v>7</v>
      </c>
      <c r="X30" s="67" t="s">
        <v>35</v>
      </c>
      <c r="Y30" s="76" t="s">
        <v>86</v>
      </c>
      <c r="Z30" s="75" t="s">
        <v>64</v>
      </c>
      <c r="AA30" s="75" t="s">
        <v>74</v>
      </c>
      <c r="AB30" s="43" t="s">
        <v>161</v>
      </c>
      <c r="AP30" s="80" t="s">
        <v>163</v>
      </c>
    </row>
    <row r="31" spans="1:48" x14ac:dyDescent="0.15">
      <c r="A31" s="87" t="s">
        <v>23</v>
      </c>
      <c r="B31" s="87" t="s">
        <v>160</v>
      </c>
      <c r="C31" s="87">
        <v>2020</v>
      </c>
      <c r="D31" s="45" t="s">
        <v>164</v>
      </c>
      <c r="E31" s="87" t="s">
        <v>169</v>
      </c>
      <c r="F31" s="87" t="s">
        <v>145</v>
      </c>
      <c r="G31" s="87" t="s">
        <v>25</v>
      </c>
      <c r="H31" s="87" t="s">
        <v>113</v>
      </c>
      <c r="I31" s="87" t="s">
        <v>111</v>
      </c>
      <c r="J31" s="81" t="s">
        <v>27</v>
      </c>
      <c r="K31" s="80" t="s">
        <v>112</v>
      </c>
      <c r="L31" s="87">
        <v>3</v>
      </c>
      <c r="N31" s="7">
        <v>5</v>
      </c>
      <c r="O31" s="7">
        <v>0.7</v>
      </c>
      <c r="P31" s="7">
        <v>0.75</v>
      </c>
      <c r="Q31" s="44">
        <f t="shared" si="0"/>
        <v>0.72499999999999998</v>
      </c>
      <c r="R31" s="69">
        <v>15.3</v>
      </c>
      <c r="S31" s="69">
        <v>94</v>
      </c>
      <c r="T31" s="16">
        <f t="shared" si="1"/>
        <v>36</v>
      </c>
      <c r="U31" s="74">
        <v>398</v>
      </c>
      <c r="V31" s="65">
        <f t="shared" si="2"/>
        <v>2865.6</v>
      </c>
      <c r="W31" s="71">
        <v>7</v>
      </c>
      <c r="X31" s="67" t="s">
        <v>35</v>
      </c>
      <c r="Y31" s="76" t="s">
        <v>86</v>
      </c>
      <c r="Z31" s="75" t="s">
        <v>64</v>
      </c>
      <c r="AA31" s="75" t="s">
        <v>74</v>
      </c>
      <c r="AB31" s="43" t="s">
        <v>161</v>
      </c>
    </row>
    <row r="32" spans="1:48" ht="14.25" customHeight="1" x14ac:dyDescent="0.15">
      <c r="A32" s="87" t="s">
        <v>23</v>
      </c>
      <c r="B32" s="87" t="s">
        <v>160</v>
      </c>
      <c r="C32" s="87">
        <v>2020</v>
      </c>
      <c r="D32" s="45" t="s">
        <v>164</v>
      </c>
      <c r="E32" s="87" t="s">
        <v>169</v>
      </c>
      <c r="F32" s="87" t="s">
        <v>145</v>
      </c>
      <c r="G32" s="87" t="s">
        <v>25</v>
      </c>
      <c r="H32" s="87" t="s">
        <v>167</v>
      </c>
      <c r="I32" s="87" t="s">
        <v>111</v>
      </c>
      <c r="J32" s="81" t="s">
        <v>27</v>
      </c>
      <c r="K32" s="80" t="s">
        <v>112</v>
      </c>
      <c r="L32" s="87">
        <v>1</v>
      </c>
      <c r="N32" s="7">
        <v>1</v>
      </c>
      <c r="O32" s="7">
        <v>0.5</v>
      </c>
      <c r="P32" s="7">
        <v>0.35</v>
      </c>
      <c r="Q32" s="44">
        <f t="shared" si="0"/>
        <v>0.42499999999999999</v>
      </c>
      <c r="R32" s="69">
        <v>19.5</v>
      </c>
      <c r="S32" s="69">
        <v>121</v>
      </c>
      <c r="T32" s="16">
        <f t="shared" si="1"/>
        <v>30</v>
      </c>
      <c r="U32" s="74">
        <v>128</v>
      </c>
      <c r="V32" s="65">
        <f t="shared" si="2"/>
        <v>3840</v>
      </c>
      <c r="W32" s="71">
        <v>7</v>
      </c>
      <c r="X32" s="67" t="s">
        <v>35</v>
      </c>
      <c r="Y32" s="76" t="s">
        <v>86</v>
      </c>
      <c r="Z32" s="75" t="s">
        <v>64</v>
      </c>
      <c r="AA32" s="75" t="s">
        <v>74</v>
      </c>
      <c r="AB32" s="43" t="s">
        <v>161</v>
      </c>
    </row>
    <row r="33" spans="1:44" x14ac:dyDescent="0.15">
      <c r="A33" s="87" t="s">
        <v>23</v>
      </c>
      <c r="B33" s="87" t="s">
        <v>160</v>
      </c>
      <c r="C33" s="87">
        <v>2020</v>
      </c>
      <c r="D33" s="45" t="s">
        <v>164</v>
      </c>
      <c r="E33" s="87" t="s">
        <v>169</v>
      </c>
      <c r="F33" s="87" t="s">
        <v>145</v>
      </c>
      <c r="G33" s="87" t="s">
        <v>25</v>
      </c>
      <c r="H33" s="87" t="s">
        <v>167</v>
      </c>
      <c r="I33" s="87" t="s">
        <v>111</v>
      </c>
      <c r="J33" s="81" t="s">
        <v>27</v>
      </c>
      <c r="K33" s="80" t="s">
        <v>112</v>
      </c>
      <c r="L33" s="87">
        <v>2</v>
      </c>
      <c r="N33" s="7">
        <v>1</v>
      </c>
      <c r="O33" s="7">
        <v>0.35</v>
      </c>
      <c r="P33" s="7">
        <v>0.35</v>
      </c>
      <c r="Q33" s="44">
        <f t="shared" si="0"/>
        <v>0.35</v>
      </c>
      <c r="R33" s="69">
        <v>17</v>
      </c>
      <c r="S33" s="69">
        <v>126</v>
      </c>
      <c r="T33" s="16">
        <f t="shared" si="1"/>
        <v>30</v>
      </c>
      <c r="U33" s="74">
        <v>128</v>
      </c>
      <c r="V33" s="65">
        <f t="shared" si="2"/>
        <v>3840</v>
      </c>
      <c r="W33" s="71">
        <v>7</v>
      </c>
      <c r="X33" s="67" t="s">
        <v>35</v>
      </c>
      <c r="Y33" s="76" t="s">
        <v>86</v>
      </c>
      <c r="Z33" s="75" t="s">
        <v>64</v>
      </c>
      <c r="AA33" s="75" t="s">
        <v>74</v>
      </c>
      <c r="AB33" s="43" t="s">
        <v>161</v>
      </c>
      <c r="AR33" s="80"/>
    </row>
    <row r="34" spans="1:44" x14ac:dyDescent="0.15">
      <c r="A34" s="87" t="s">
        <v>23</v>
      </c>
      <c r="B34" s="87" t="s">
        <v>160</v>
      </c>
      <c r="C34" s="87">
        <v>2020</v>
      </c>
      <c r="D34" s="45" t="s">
        <v>164</v>
      </c>
      <c r="E34" s="87" t="s">
        <v>169</v>
      </c>
      <c r="F34" s="87" t="s">
        <v>145</v>
      </c>
      <c r="G34" s="87" t="s">
        <v>25</v>
      </c>
      <c r="H34" s="87" t="s">
        <v>167</v>
      </c>
      <c r="I34" s="87" t="s">
        <v>111</v>
      </c>
      <c r="J34" s="81" t="s">
        <v>27</v>
      </c>
      <c r="K34" s="80" t="s">
        <v>112</v>
      </c>
      <c r="L34" s="87">
        <v>3</v>
      </c>
      <c r="N34" s="7">
        <v>1</v>
      </c>
      <c r="O34" s="7">
        <v>0.2</v>
      </c>
      <c r="P34" s="34">
        <v>0.2</v>
      </c>
      <c r="Q34" s="44">
        <f t="shared" si="0"/>
        <v>0.2</v>
      </c>
      <c r="R34" s="69">
        <v>19</v>
      </c>
      <c r="S34" s="69">
        <v>132</v>
      </c>
      <c r="T34" s="16">
        <f t="shared" si="1"/>
        <v>30</v>
      </c>
      <c r="U34" s="74">
        <v>128</v>
      </c>
      <c r="V34" s="65">
        <f t="shared" si="2"/>
        <v>3840</v>
      </c>
      <c r="W34" s="71">
        <v>7</v>
      </c>
      <c r="X34" s="67" t="s">
        <v>35</v>
      </c>
      <c r="Y34" s="76" t="s">
        <v>86</v>
      </c>
      <c r="Z34" s="75" t="s">
        <v>64</v>
      </c>
      <c r="AA34" s="75" t="s">
        <v>74</v>
      </c>
      <c r="AB34" s="43" t="s">
        <v>161</v>
      </c>
      <c r="AR34" s="80"/>
    </row>
    <row r="35" spans="1:44" x14ac:dyDescent="0.15">
      <c r="A35" s="87" t="s">
        <v>23</v>
      </c>
      <c r="B35" s="87" t="s">
        <v>160</v>
      </c>
      <c r="C35" s="87">
        <v>2020</v>
      </c>
      <c r="D35" s="45" t="s">
        <v>164</v>
      </c>
      <c r="E35" s="87" t="s">
        <v>169</v>
      </c>
      <c r="F35" s="87" t="s">
        <v>145</v>
      </c>
      <c r="G35" s="87" t="s">
        <v>25</v>
      </c>
      <c r="H35" s="87" t="s">
        <v>167</v>
      </c>
      <c r="I35" s="87" t="s">
        <v>111</v>
      </c>
      <c r="J35" s="81" t="s">
        <v>27</v>
      </c>
      <c r="K35" s="80" t="s">
        <v>112</v>
      </c>
      <c r="L35" s="87">
        <v>1</v>
      </c>
      <c r="N35" s="7">
        <v>4</v>
      </c>
      <c r="O35" s="7">
        <v>0.2</v>
      </c>
      <c r="P35" s="7">
        <v>0.2</v>
      </c>
      <c r="Q35" s="44">
        <f t="shared" si="0"/>
        <v>0.2</v>
      </c>
      <c r="R35" s="69">
        <v>21</v>
      </c>
      <c r="S35" s="69">
        <v>116</v>
      </c>
      <c r="T35" s="16">
        <f t="shared" si="1"/>
        <v>30</v>
      </c>
      <c r="U35" s="74">
        <v>498</v>
      </c>
      <c r="V35" s="65">
        <f t="shared" si="2"/>
        <v>3735</v>
      </c>
      <c r="W35" s="71">
        <v>7</v>
      </c>
      <c r="X35" s="67" t="s">
        <v>35</v>
      </c>
      <c r="Y35" s="75" t="s">
        <v>86</v>
      </c>
      <c r="Z35" s="75" t="s">
        <v>64</v>
      </c>
      <c r="AA35" s="75" t="s">
        <v>74</v>
      </c>
      <c r="AB35" s="43" t="s">
        <v>161</v>
      </c>
      <c r="AR35" s="80"/>
    </row>
    <row r="36" spans="1:44" x14ac:dyDescent="0.15">
      <c r="A36" s="87" t="s">
        <v>23</v>
      </c>
      <c r="B36" s="87" t="s">
        <v>160</v>
      </c>
      <c r="C36" s="87">
        <v>2020</v>
      </c>
      <c r="D36" s="45" t="s">
        <v>164</v>
      </c>
      <c r="E36" s="87" t="s">
        <v>169</v>
      </c>
      <c r="F36" s="87" t="s">
        <v>145</v>
      </c>
      <c r="G36" s="87" t="s">
        <v>25</v>
      </c>
      <c r="H36" s="87" t="s">
        <v>167</v>
      </c>
      <c r="I36" s="87" t="s">
        <v>111</v>
      </c>
      <c r="J36" s="81" t="s">
        <v>27</v>
      </c>
      <c r="K36" s="80" t="s">
        <v>112</v>
      </c>
      <c r="L36" s="87">
        <v>2</v>
      </c>
      <c r="N36" s="7">
        <v>4</v>
      </c>
      <c r="O36" s="7">
        <v>0.3</v>
      </c>
      <c r="P36" s="7">
        <v>0.35</v>
      </c>
      <c r="Q36" s="44">
        <f t="shared" si="0"/>
        <v>0.32499999999999996</v>
      </c>
      <c r="R36" s="69">
        <v>18</v>
      </c>
      <c r="S36" s="69">
        <v>110</v>
      </c>
      <c r="T36" s="16">
        <f t="shared" si="1"/>
        <v>33</v>
      </c>
      <c r="U36" s="74">
        <v>498</v>
      </c>
      <c r="V36" s="65">
        <f t="shared" si="2"/>
        <v>4108.5</v>
      </c>
      <c r="W36" s="71">
        <v>7</v>
      </c>
      <c r="X36" s="67" t="s">
        <v>35</v>
      </c>
      <c r="Y36" s="75" t="s">
        <v>86</v>
      </c>
      <c r="Z36" s="75" t="s">
        <v>64</v>
      </c>
      <c r="AA36" s="75" t="s">
        <v>74</v>
      </c>
      <c r="AB36" s="43" t="s">
        <v>161</v>
      </c>
      <c r="AR36" s="80"/>
    </row>
    <row r="37" spans="1:44" x14ac:dyDescent="0.15">
      <c r="A37" s="87" t="s">
        <v>23</v>
      </c>
      <c r="B37" s="87" t="s">
        <v>160</v>
      </c>
      <c r="C37" s="87">
        <v>2020</v>
      </c>
      <c r="D37" s="45" t="s">
        <v>164</v>
      </c>
      <c r="E37" s="87" t="s">
        <v>169</v>
      </c>
      <c r="F37" s="87" t="s">
        <v>145</v>
      </c>
      <c r="G37" s="87" t="s">
        <v>25</v>
      </c>
      <c r="H37" s="87" t="s">
        <v>167</v>
      </c>
      <c r="I37" s="87" t="s">
        <v>111</v>
      </c>
      <c r="J37" s="81" t="s">
        <v>27</v>
      </c>
      <c r="K37" s="80" t="s">
        <v>112</v>
      </c>
      <c r="L37" s="87">
        <v>3</v>
      </c>
      <c r="N37" s="7">
        <v>4</v>
      </c>
      <c r="O37" s="7">
        <v>0.45</v>
      </c>
      <c r="P37" s="7">
        <v>0.6</v>
      </c>
      <c r="Q37" s="44">
        <f t="shared" si="0"/>
        <v>0.52500000000000002</v>
      </c>
      <c r="R37" s="69">
        <v>16.5</v>
      </c>
      <c r="S37" s="69">
        <v>114</v>
      </c>
      <c r="T37" s="16">
        <f t="shared" si="1"/>
        <v>30</v>
      </c>
      <c r="U37" s="74">
        <v>498</v>
      </c>
      <c r="V37" s="65">
        <f t="shared" si="2"/>
        <v>3735</v>
      </c>
      <c r="W37" s="71">
        <v>7</v>
      </c>
      <c r="X37" s="67" t="s">
        <v>35</v>
      </c>
      <c r="Y37" s="75" t="s">
        <v>86</v>
      </c>
      <c r="Z37" s="75" t="s">
        <v>64</v>
      </c>
      <c r="AA37" s="75" t="s">
        <v>74</v>
      </c>
      <c r="AB37" s="43" t="s">
        <v>161</v>
      </c>
      <c r="AR37" s="80"/>
    </row>
    <row r="38" spans="1:44" x14ac:dyDescent="0.15">
      <c r="A38" s="87" t="s">
        <v>23</v>
      </c>
      <c r="B38" s="87" t="s">
        <v>160</v>
      </c>
      <c r="C38" s="87">
        <v>2020</v>
      </c>
      <c r="D38" s="45" t="s">
        <v>164</v>
      </c>
      <c r="E38" s="87" t="s">
        <v>146</v>
      </c>
      <c r="F38" s="87" t="s">
        <v>147</v>
      </c>
      <c r="G38" s="87" t="s">
        <v>25</v>
      </c>
      <c r="H38" s="87" t="s">
        <v>113</v>
      </c>
      <c r="I38" s="87" t="s">
        <v>111</v>
      </c>
      <c r="J38" s="81" t="s">
        <v>27</v>
      </c>
      <c r="K38" s="80" t="s">
        <v>112</v>
      </c>
      <c r="L38" s="87">
        <v>1</v>
      </c>
      <c r="N38" s="7">
        <v>1</v>
      </c>
      <c r="O38" s="7">
        <v>1.2</v>
      </c>
      <c r="P38" s="7">
        <v>1</v>
      </c>
      <c r="Q38" s="44">
        <f t="shared" si="0"/>
        <v>1.1000000000000001</v>
      </c>
      <c r="R38" s="69">
        <v>14.3</v>
      </c>
      <c r="S38" s="69">
        <v>118</v>
      </c>
      <c r="T38" s="16">
        <f t="shared" si="1"/>
        <v>30</v>
      </c>
      <c r="U38" s="74">
        <v>98</v>
      </c>
      <c r="V38" s="65">
        <f t="shared" si="2"/>
        <v>2940</v>
      </c>
      <c r="W38" s="71">
        <v>8</v>
      </c>
      <c r="X38" s="67" t="s">
        <v>35</v>
      </c>
      <c r="Y38" s="75" t="s">
        <v>64</v>
      </c>
      <c r="Z38" s="75" t="s">
        <v>43</v>
      </c>
      <c r="AA38" s="75" t="s">
        <v>74</v>
      </c>
      <c r="AB38" s="43" t="s">
        <v>161</v>
      </c>
      <c r="AR38" s="80"/>
    </row>
    <row r="39" spans="1:44" x14ac:dyDescent="0.15">
      <c r="A39" s="87" t="s">
        <v>23</v>
      </c>
      <c r="B39" s="87" t="s">
        <v>160</v>
      </c>
      <c r="C39" s="87">
        <v>2020</v>
      </c>
      <c r="D39" s="45" t="s">
        <v>164</v>
      </c>
      <c r="E39" s="87" t="s">
        <v>146</v>
      </c>
      <c r="F39" s="87" t="s">
        <v>147</v>
      </c>
      <c r="G39" s="87" t="s">
        <v>25</v>
      </c>
      <c r="H39" s="87" t="s">
        <v>113</v>
      </c>
      <c r="I39" s="87" t="s">
        <v>111</v>
      </c>
      <c r="J39" s="81" t="s">
        <v>27</v>
      </c>
      <c r="K39" s="80" t="s">
        <v>112</v>
      </c>
      <c r="L39" s="87">
        <v>2</v>
      </c>
      <c r="N39" s="7">
        <v>1</v>
      </c>
      <c r="O39" s="7">
        <v>0.95</v>
      </c>
      <c r="P39" s="7">
        <v>0.95</v>
      </c>
      <c r="Q39" s="44">
        <f t="shared" si="0"/>
        <v>0.95</v>
      </c>
      <c r="R39" s="69">
        <v>15.3</v>
      </c>
      <c r="S39" s="69">
        <v>122</v>
      </c>
      <c r="T39" s="16">
        <f t="shared" si="1"/>
        <v>30</v>
      </c>
      <c r="U39" s="74">
        <v>98</v>
      </c>
      <c r="V39" s="65">
        <f t="shared" si="2"/>
        <v>2940</v>
      </c>
      <c r="W39" s="71">
        <v>8</v>
      </c>
      <c r="X39" s="67" t="s">
        <v>35</v>
      </c>
      <c r="Y39" s="75" t="s">
        <v>64</v>
      </c>
      <c r="Z39" s="75" t="s">
        <v>43</v>
      </c>
      <c r="AA39" s="75" t="s">
        <v>74</v>
      </c>
      <c r="AB39" s="43" t="s">
        <v>161</v>
      </c>
      <c r="AR39" s="80"/>
    </row>
    <row r="40" spans="1:44" ht="12.75" customHeight="1" x14ac:dyDescent="0.15">
      <c r="A40" s="87" t="s">
        <v>23</v>
      </c>
      <c r="B40" s="87" t="s">
        <v>160</v>
      </c>
      <c r="C40" s="87">
        <v>2020</v>
      </c>
      <c r="D40" s="45" t="s">
        <v>164</v>
      </c>
      <c r="E40" s="87" t="s">
        <v>146</v>
      </c>
      <c r="F40" s="87" t="s">
        <v>147</v>
      </c>
      <c r="G40" s="87" t="s">
        <v>25</v>
      </c>
      <c r="H40" s="87" t="s">
        <v>113</v>
      </c>
      <c r="I40" s="87" t="s">
        <v>111</v>
      </c>
      <c r="J40" s="81" t="s">
        <v>27</v>
      </c>
      <c r="K40" s="80" t="s">
        <v>112</v>
      </c>
      <c r="L40" s="87">
        <v>3</v>
      </c>
      <c r="N40" s="7">
        <v>1</v>
      </c>
      <c r="O40" s="7">
        <v>0.75</v>
      </c>
      <c r="P40" s="7">
        <v>1.2</v>
      </c>
      <c r="Q40" s="44">
        <f t="shared" si="0"/>
        <v>0.97499999999999998</v>
      </c>
      <c r="R40" s="69">
        <v>16.899999999999999</v>
      </c>
      <c r="S40" s="69">
        <v>117</v>
      </c>
      <c r="T40" s="16">
        <f t="shared" si="1"/>
        <v>30</v>
      </c>
      <c r="U40" s="74">
        <v>98</v>
      </c>
      <c r="V40" s="65">
        <f t="shared" si="2"/>
        <v>2940</v>
      </c>
      <c r="W40" s="71">
        <v>8</v>
      </c>
      <c r="X40" s="67" t="s">
        <v>35</v>
      </c>
      <c r="Y40" s="75" t="s">
        <v>64</v>
      </c>
      <c r="Z40" s="75" t="s">
        <v>43</v>
      </c>
      <c r="AA40" s="75" t="s">
        <v>74</v>
      </c>
      <c r="AB40" s="43" t="s">
        <v>161</v>
      </c>
      <c r="AR40" s="80"/>
    </row>
    <row r="41" spans="1:44" ht="12.75" customHeight="1" x14ac:dyDescent="0.15">
      <c r="A41" s="87" t="s">
        <v>23</v>
      </c>
      <c r="B41" s="87" t="s">
        <v>160</v>
      </c>
      <c r="C41" s="87">
        <v>2020</v>
      </c>
      <c r="D41" s="45" t="s">
        <v>164</v>
      </c>
      <c r="E41" s="87" t="s">
        <v>146</v>
      </c>
      <c r="F41" s="87" t="s">
        <v>147</v>
      </c>
      <c r="G41" s="87" t="s">
        <v>25</v>
      </c>
      <c r="H41" s="87" t="s">
        <v>113</v>
      </c>
      <c r="I41" s="87" t="s">
        <v>111</v>
      </c>
      <c r="J41" s="81" t="s">
        <v>27</v>
      </c>
      <c r="K41" s="80" t="s">
        <v>112</v>
      </c>
      <c r="L41" s="87">
        <v>1</v>
      </c>
      <c r="N41" s="7">
        <v>8</v>
      </c>
      <c r="O41" s="7">
        <v>0.7</v>
      </c>
      <c r="P41" s="7">
        <v>0.75</v>
      </c>
      <c r="Q41" s="44">
        <f t="shared" si="0"/>
        <v>0.72499999999999998</v>
      </c>
      <c r="R41" s="69">
        <v>15.6</v>
      </c>
      <c r="S41" s="69">
        <v>101</v>
      </c>
      <c r="T41" s="16">
        <f t="shared" si="1"/>
        <v>33</v>
      </c>
      <c r="U41" s="74">
        <v>480</v>
      </c>
      <c r="V41" s="65">
        <f t="shared" si="2"/>
        <v>1980</v>
      </c>
      <c r="W41" s="47">
        <v>8</v>
      </c>
      <c r="X41" s="67" t="s">
        <v>35</v>
      </c>
      <c r="Y41" s="79" t="s">
        <v>64</v>
      </c>
      <c r="Z41" s="79" t="s">
        <v>43</v>
      </c>
      <c r="AA41" s="79" t="s">
        <v>74</v>
      </c>
      <c r="AB41" s="43" t="s">
        <v>161</v>
      </c>
      <c r="AR41" s="80"/>
    </row>
    <row r="42" spans="1:44" ht="12.75" customHeight="1" x14ac:dyDescent="0.15">
      <c r="A42" s="87" t="s">
        <v>23</v>
      </c>
      <c r="B42" s="87" t="s">
        <v>160</v>
      </c>
      <c r="C42" s="87">
        <v>2020</v>
      </c>
      <c r="D42" s="45" t="s">
        <v>164</v>
      </c>
      <c r="E42" s="87" t="s">
        <v>146</v>
      </c>
      <c r="F42" s="87" t="s">
        <v>147</v>
      </c>
      <c r="G42" s="87" t="s">
        <v>25</v>
      </c>
      <c r="H42" s="87" t="s">
        <v>113</v>
      </c>
      <c r="I42" s="87" t="s">
        <v>111</v>
      </c>
      <c r="J42" s="81" t="s">
        <v>27</v>
      </c>
      <c r="K42" s="80" t="s">
        <v>112</v>
      </c>
      <c r="L42" s="87">
        <v>2</v>
      </c>
      <c r="N42" s="7">
        <v>8</v>
      </c>
      <c r="O42" s="7">
        <v>0.6</v>
      </c>
      <c r="P42" s="7">
        <v>1.05</v>
      </c>
      <c r="Q42" s="44">
        <f t="shared" si="0"/>
        <v>0.82499999999999996</v>
      </c>
      <c r="R42" s="69">
        <v>15.3</v>
      </c>
      <c r="S42" s="69">
        <v>106</v>
      </c>
      <c r="T42" s="16">
        <f t="shared" si="1"/>
        <v>33</v>
      </c>
      <c r="U42" s="74">
        <v>480</v>
      </c>
      <c r="V42" s="65">
        <f t="shared" si="2"/>
        <v>1980</v>
      </c>
      <c r="W42" s="47">
        <v>8</v>
      </c>
      <c r="X42" s="67" t="s">
        <v>35</v>
      </c>
      <c r="Y42" s="79" t="s">
        <v>64</v>
      </c>
      <c r="Z42" s="79" t="s">
        <v>43</v>
      </c>
      <c r="AA42" s="79" t="s">
        <v>74</v>
      </c>
      <c r="AB42" s="43" t="s">
        <v>161</v>
      </c>
      <c r="AR42" s="80"/>
    </row>
    <row r="43" spans="1:44" ht="12.75" customHeight="1" x14ac:dyDescent="0.15">
      <c r="A43" s="87" t="s">
        <v>23</v>
      </c>
      <c r="B43" s="87" t="s">
        <v>160</v>
      </c>
      <c r="C43" s="87">
        <v>2020</v>
      </c>
      <c r="D43" s="45" t="s">
        <v>164</v>
      </c>
      <c r="E43" s="87" t="s">
        <v>146</v>
      </c>
      <c r="F43" s="87" t="s">
        <v>147</v>
      </c>
      <c r="G43" s="87" t="s">
        <v>25</v>
      </c>
      <c r="H43" s="87" t="s">
        <v>113</v>
      </c>
      <c r="I43" s="87" t="s">
        <v>111</v>
      </c>
      <c r="J43" s="81" t="s">
        <v>27</v>
      </c>
      <c r="K43" s="80" t="s">
        <v>112</v>
      </c>
      <c r="L43" s="87">
        <v>3</v>
      </c>
      <c r="N43" s="7">
        <v>8</v>
      </c>
      <c r="O43" s="7">
        <v>1.05</v>
      </c>
      <c r="P43" s="7">
        <v>1.05</v>
      </c>
      <c r="Q43" s="44">
        <f t="shared" si="0"/>
        <v>1.05</v>
      </c>
      <c r="R43" s="69">
        <v>16.100000000000001</v>
      </c>
      <c r="S43" s="69">
        <v>104</v>
      </c>
      <c r="T43" s="16">
        <f t="shared" si="1"/>
        <v>33</v>
      </c>
      <c r="U43" s="74">
        <v>480</v>
      </c>
      <c r="V43" s="65">
        <f t="shared" si="2"/>
        <v>1980</v>
      </c>
      <c r="W43" s="47">
        <v>8</v>
      </c>
      <c r="X43" s="67" t="s">
        <v>35</v>
      </c>
      <c r="Y43" s="79" t="s">
        <v>64</v>
      </c>
      <c r="Z43" s="79" t="s">
        <v>43</v>
      </c>
      <c r="AA43" s="79" t="s">
        <v>74</v>
      </c>
      <c r="AB43" s="43" t="s">
        <v>161</v>
      </c>
      <c r="AR43" s="80"/>
    </row>
    <row r="44" spans="1:44" x14ac:dyDescent="0.15">
      <c r="A44" s="87" t="s">
        <v>23</v>
      </c>
      <c r="B44" s="87" t="s">
        <v>160</v>
      </c>
      <c r="C44" s="87">
        <v>2020</v>
      </c>
      <c r="D44" s="45" t="s">
        <v>164</v>
      </c>
      <c r="E44" s="87" t="s">
        <v>146</v>
      </c>
      <c r="F44" s="87" t="s">
        <v>147</v>
      </c>
      <c r="G44" s="87" t="s">
        <v>25</v>
      </c>
      <c r="H44" s="87" t="s">
        <v>167</v>
      </c>
      <c r="I44" s="87" t="s">
        <v>111</v>
      </c>
      <c r="J44" s="81" t="s">
        <v>27</v>
      </c>
      <c r="K44" s="80" t="s">
        <v>112</v>
      </c>
      <c r="L44" s="87">
        <v>1</v>
      </c>
      <c r="N44" s="7">
        <v>1</v>
      </c>
      <c r="O44" s="7">
        <v>0.55000000000000004</v>
      </c>
      <c r="P44" s="7">
        <v>0.6</v>
      </c>
      <c r="Q44" s="44">
        <f t="shared" si="0"/>
        <v>0.57499999999999996</v>
      </c>
      <c r="R44" s="69">
        <v>18.100000000000001</v>
      </c>
      <c r="S44" s="69">
        <v>130</v>
      </c>
      <c r="T44" s="16">
        <f t="shared" si="1"/>
        <v>30</v>
      </c>
      <c r="U44" s="74">
        <v>98</v>
      </c>
      <c r="V44" s="65">
        <f t="shared" si="2"/>
        <v>2940</v>
      </c>
      <c r="W44" s="7">
        <v>8</v>
      </c>
      <c r="X44" s="67" t="s">
        <v>35</v>
      </c>
      <c r="Y44" s="79" t="s">
        <v>64</v>
      </c>
      <c r="Z44" s="79" t="s">
        <v>43</v>
      </c>
      <c r="AA44" s="79" t="s">
        <v>74</v>
      </c>
      <c r="AB44" s="43" t="s">
        <v>161</v>
      </c>
      <c r="AR44" s="80"/>
    </row>
    <row r="45" spans="1:44" x14ac:dyDescent="0.15">
      <c r="A45" s="87" t="s">
        <v>23</v>
      </c>
      <c r="B45" s="87" t="s">
        <v>160</v>
      </c>
      <c r="C45" s="87">
        <v>2020</v>
      </c>
      <c r="D45" s="45" t="s">
        <v>164</v>
      </c>
      <c r="E45" s="87" t="s">
        <v>146</v>
      </c>
      <c r="F45" s="87" t="s">
        <v>147</v>
      </c>
      <c r="G45" s="87" t="s">
        <v>25</v>
      </c>
      <c r="H45" s="87" t="s">
        <v>167</v>
      </c>
      <c r="I45" s="87" t="s">
        <v>111</v>
      </c>
      <c r="J45" s="81" t="s">
        <v>27</v>
      </c>
      <c r="K45" s="80" t="s">
        <v>112</v>
      </c>
      <c r="L45" s="87">
        <v>2</v>
      </c>
      <c r="N45" s="7">
        <v>1</v>
      </c>
      <c r="O45" s="7">
        <v>0.6</v>
      </c>
      <c r="P45" s="7">
        <v>0.45</v>
      </c>
      <c r="Q45" s="44">
        <f t="shared" si="0"/>
        <v>0.52500000000000002</v>
      </c>
      <c r="R45" s="69">
        <v>18.600000000000001</v>
      </c>
      <c r="S45" s="69">
        <v>133</v>
      </c>
      <c r="T45" s="16">
        <f t="shared" si="1"/>
        <v>30</v>
      </c>
      <c r="U45" s="74">
        <v>98</v>
      </c>
      <c r="V45" s="65">
        <f t="shared" si="2"/>
        <v>2940</v>
      </c>
      <c r="W45" s="7">
        <v>8</v>
      </c>
      <c r="X45" s="67" t="s">
        <v>35</v>
      </c>
      <c r="Y45" s="79" t="s">
        <v>64</v>
      </c>
      <c r="Z45" s="79" t="s">
        <v>43</v>
      </c>
      <c r="AA45" s="79" t="s">
        <v>74</v>
      </c>
      <c r="AB45" s="43" t="s">
        <v>161</v>
      </c>
      <c r="AR45" s="80"/>
    </row>
    <row r="46" spans="1:44" x14ac:dyDescent="0.15">
      <c r="A46" s="87" t="s">
        <v>23</v>
      </c>
      <c r="B46" s="87" t="s">
        <v>160</v>
      </c>
      <c r="C46" s="87">
        <v>2020</v>
      </c>
      <c r="D46" s="45" t="s">
        <v>164</v>
      </c>
      <c r="E46" s="87" t="s">
        <v>146</v>
      </c>
      <c r="F46" s="87" t="s">
        <v>147</v>
      </c>
      <c r="G46" s="87" t="s">
        <v>25</v>
      </c>
      <c r="H46" s="87" t="s">
        <v>167</v>
      </c>
      <c r="I46" s="87" t="s">
        <v>111</v>
      </c>
      <c r="J46" s="81" t="s">
        <v>27</v>
      </c>
      <c r="K46" s="80" t="s">
        <v>112</v>
      </c>
      <c r="L46" s="87">
        <v>3</v>
      </c>
      <c r="N46" s="7">
        <v>1</v>
      </c>
      <c r="O46" s="7">
        <v>0.55000000000000004</v>
      </c>
      <c r="P46" s="7">
        <v>0.55000000000000004</v>
      </c>
      <c r="Q46" s="44">
        <f t="shared" si="0"/>
        <v>0.55000000000000004</v>
      </c>
      <c r="R46" s="69">
        <v>17.7</v>
      </c>
      <c r="S46" s="69">
        <v>130</v>
      </c>
      <c r="T46" s="16">
        <f t="shared" si="1"/>
        <v>30</v>
      </c>
      <c r="U46" s="74">
        <v>98</v>
      </c>
      <c r="V46" s="65">
        <f t="shared" si="2"/>
        <v>2940</v>
      </c>
      <c r="W46" s="7">
        <v>8</v>
      </c>
      <c r="X46" s="67" t="s">
        <v>35</v>
      </c>
      <c r="Y46" s="79" t="s">
        <v>64</v>
      </c>
      <c r="Z46" s="79" t="s">
        <v>43</v>
      </c>
      <c r="AA46" s="79" t="s">
        <v>74</v>
      </c>
      <c r="AB46" s="43" t="s">
        <v>161</v>
      </c>
      <c r="AR46" s="80"/>
    </row>
    <row r="47" spans="1:44" x14ac:dyDescent="0.15">
      <c r="A47" s="87" t="s">
        <v>23</v>
      </c>
      <c r="B47" s="87" t="s">
        <v>160</v>
      </c>
      <c r="C47" s="87">
        <v>2020</v>
      </c>
      <c r="D47" s="45" t="s">
        <v>164</v>
      </c>
      <c r="E47" s="87" t="s">
        <v>146</v>
      </c>
      <c r="F47" s="87" t="s">
        <v>147</v>
      </c>
      <c r="G47" s="87" t="s">
        <v>25</v>
      </c>
      <c r="H47" s="87" t="s">
        <v>107</v>
      </c>
      <c r="I47" s="87" t="s">
        <v>111</v>
      </c>
      <c r="J47" s="81" t="s">
        <v>163</v>
      </c>
      <c r="K47" s="80" t="s">
        <v>34</v>
      </c>
      <c r="L47" s="87">
        <v>1</v>
      </c>
      <c r="N47" s="7">
        <v>8</v>
      </c>
      <c r="O47" s="7">
        <v>0.2</v>
      </c>
      <c r="P47" s="7">
        <v>0.2</v>
      </c>
      <c r="Q47" s="44">
        <f t="shared" si="0"/>
        <v>0.2</v>
      </c>
      <c r="R47" s="69">
        <v>13.3</v>
      </c>
      <c r="S47" s="69">
        <v>83</v>
      </c>
      <c r="T47" s="16">
        <f t="shared" si="1"/>
        <v>39</v>
      </c>
      <c r="U47" s="7">
        <v>380</v>
      </c>
      <c r="V47" s="65">
        <f t="shared" si="2"/>
        <v>1852.5</v>
      </c>
      <c r="W47" s="7">
        <v>8</v>
      </c>
      <c r="X47" s="67" t="s">
        <v>35</v>
      </c>
      <c r="Y47" s="7" t="s">
        <v>64</v>
      </c>
      <c r="Z47" s="7" t="s">
        <v>43</v>
      </c>
      <c r="AA47" s="7" t="s">
        <v>74</v>
      </c>
      <c r="AB47" s="43" t="s">
        <v>161</v>
      </c>
      <c r="AR47" s="80"/>
    </row>
    <row r="48" spans="1:44" x14ac:dyDescent="0.15">
      <c r="A48" s="87" t="s">
        <v>23</v>
      </c>
      <c r="B48" s="87" t="s">
        <v>160</v>
      </c>
      <c r="C48" s="87">
        <v>2020</v>
      </c>
      <c r="D48" s="45" t="s">
        <v>164</v>
      </c>
      <c r="E48" s="87" t="s">
        <v>146</v>
      </c>
      <c r="F48" s="87" t="s">
        <v>147</v>
      </c>
      <c r="G48" s="87" t="s">
        <v>25</v>
      </c>
      <c r="H48" s="87" t="s">
        <v>107</v>
      </c>
      <c r="I48" s="87" t="s">
        <v>111</v>
      </c>
      <c r="J48" s="81" t="s">
        <v>163</v>
      </c>
      <c r="K48" s="80" t="s">
        <v>34</v>
      </c>
      <c r="L48" s="87">
        <v>2</v>
      </c>
      <c r="N48" s="7">
        <v>8</v>
      </c>
      <c r="O48" s="7">
        <v>0.3</v>
      </c>
      <c r="P48" s="7">
        <v>0.2</v>
      </c>
      <c r="Q48" s="44">
        <f t="shared" si="0"/>
        <v>0.25</v>
      </c>
      <c r="R48" s="69">
        <v>12.5</v>
      </c>
      <c r="S48" s="69">
        <v>84</v>
      </c>
      <c r="T48" s="16">
        <f t="shared" si="1"/>
        <v>36</v>
      </c>
      <c r="U48" s="7">
        <v>380</v>
      </c>
      <c r="V48" s="65">
        <f t="shared" si="2"/>
        <v>1710</v>
      </c>
      <c r="W48" s="7">
        <v>8</v>
      </c>
      <c r="X48" s="67" t="s">
        <v>35</v>
      </c>
      <c r="Y48" s="7" t="s">
        <v>64</v>
      </c>
      <c r="Z48" s="7" t="s">
        <v>43</v>
      </c>
      <c r="AA48" s="7" t="s">
        <v>74</v>
      </c>
      <c r="AB48" s="43" t="s">
        <v>161</v>
      </c>
      <c r="AR48" s="80"/>
    </row>
    <row r="49" spans="1:44" x14ac:dyDescent="0.15">
      <c r="A49" s="87" t="s">
        <v>23</v>
      </c>
      <c r="B49" s="87" t="s">
        <v>160</v>
      </c>
      <c r="C49" s="87">
        <v>2020</v>
      </c>
      <c r="D49" s="45" t="s">
        <v>164</v>
      </c>
      <c r="E49" s="87" t="s">
        <v>146</v>
      </c>
      <c r="F49" s="87" t="s">
        <v>147</v>
      </c>
      <c r="G49" s="87" t="s">
        <v>25</v>
      </c>
      <c r="H49" s="87" t="s">
        <v>107</v>
      </c>
      <c r="I49" s="87" t="s">
        <v>111</v>
      </c>
      <c r="J49" s="81" t="s">
        <v>163</v>
      </c>
      <c r="K49" s="80" t="s">
        <v>34</v>
      </c>
      <c r="L49" s="87">
        <v>3</v>
      </c>
      <c r="N49" s="7">
        <v>8</v>
      </c>
      <c r="O49" s="7">
        <v>0.45</v>
      </c>
      <c r="P49" s="7">
        <v>0.5</v>
      </c>
      <c r="Q49" s="44">
        <f t="shared" si="0"/>
        <v>0.47499999999999998</v>
      </c>
      <c r="R49" s="69">
        <v>14.8</v>
      </c>
      <c r="S49" s="69">
        <v>84</v>
      </c>
      <c r="T49" s="16">
        <f t="shared" si="1"/>
        <v>36</v>
      </c>
      <c r="U49" s="7">
        <v>380</v>
      </c>
      <c r="V49" s="65">
        <f t="shared" si="2"/>
        <v>1710</v>
      </c>
      <c r="W49" s="7">
        <v>8</v>
      </c>
      <c r="X49" s="67" t="s">
        <v>35</v>
      </c>
      <c r="Y49" s="7" t="s">
        <v>64</v>
      </c>
      <c r="Z49" s="7" t="s">
        <v>43</v>
      </c>
      <c r="AA49" s="7" t="s">
        <v>74</v>
      </c>
      <c r="AB49" s="43" t="s">
        <v>161</v>
      </c>
      <c r="AR49" s="80"/>
    </row>
    <row r="50" spans="1:44" x14ac:dyDescent="0.15">
      <c r="A50" s="87" t="s">
        <v>23</v>
      </c>
      <c r="B50" s="87" t="s">
        <v>160</v>
      </c>
      <c r="C50" s="87">
        <v>2020</v>
      </c>
      <c r="D50" s="45" t="s">
        <v>164</v>
      </c>
      <c r="E50" s="87" t="s">
        <v>170</v>
      </c>
      <c r="F50" s="87" t="s">
        <v>149</v>
      </c>
      <c r="G50" s="87" t="s">
        <v>25</v>
      </c>
      <c r="H50" s="87" t="s">
        <v>113</v>
      </c>
      <c r="I50" s="87" t="s">
        <v>111</v>
      </c>
      <c r="J50" s="81" t="s">
        <v>27</v>
      </c>
      <c r="K50" s="80" t="s">
        <v>112</v>
      </c>
      <c r="L50" s="87">
        <v>1</v>
      </c>
      <c r="N50" s="7">
        <v>1</v>
      </c>
      <c r="O50" s="7">
        <v>0.2</v>
      </c>
      <c r="P50" s="7">
        <v>0.2</v>
      </c>
      <c r="Q50" s="44">
        <f t="shared" si="0"/>
        <v>0.2</v>
      </c>
      <c r="R50" s="7">
        <v>17.2</v>
      </c>
      <c r="S50" s="7">
        <v>118</v>
      </c>
      <c r="T50" s="16">
        <f t="shared" si="1"/>
        <v>30</v>
      </c>
      <c r="U50" s="7">
        <v>108</v>
      </c>
      <c r="V50" s="65">
        <f t="shared" si="2"/>
        <v>3240</v>
      </c>
      <c r="W50" s="7">
        <v>14</v>
      </c>
      <c r="X50" s="67" t="s">
        <v>35</v>
      </c>
      <c r="Y50" s="7" t="s">
        <v>82</v>
      </c>
      <c r="Z50" s="7" t="s">
        <v>64</v>
      </c>
      <c r="AA50" s="7" t="s">
        <v>43</v>
      </c>
      <c r="AB50" s="43" t="s">
        <v>161</v>
      </c>
      <c r="AR50" s="80"/>
    </row>
    <row r="51" spans="1:44" x14ac:dyDescent="0.15">
      <c r="A51" s="87" t="s">
        <v>23</v>
      </c>
      <c r="B51" s="87" t="s">
        <v>160</v>
      </c>
      <c r="C51" s="87">
        <v>2020</v>
      </c>
      <c r="D51" s="45" t="s">
        <v>164</v>
      </c>
      <c r="E51" s="87" t="s">
        <v>170</v>
      </c>
      <c r="F51" s="87" t="s">
        <v>149</v>
      </c>
      <c r="G51" s="87" t="s">
        <v>25</v>
      </c>
      <c r="H51" s="87" t="s">
        <v>113</v>
      </c>
      <c r="I51" s="87" t="s">
        <v>111</v>
      </c>
      <c r="J51" s="81" t="s">
        <v>27</v>
      </c>
      <c r="K51" s="80" t="s">
        <v>112</v>
      </c>
      <c r="L51" s="87">
        <v>2</v>
      </c>
      <c r="N51" s="7">
        <v>1</v>
      </c>
      <c r="O51" s="7">
        <v>0.5</v>
      </c>
      <c r="P51" s="7">
        <v>0.7</v>
      </c>
      <c r="Q51" s="44">
        <f t="shared" si="0"/>
        <v>0.6</v>
      </c>
      <c r="R51" s="7">
        <v>16</v>
      </c>
      <c r="S51" s="7">
        <v>125</v>
      </c>
      <c r="T51" s="16">
        <f t="shared" si="1"/>
        <v>30</v>
      </c>
      <c r="U51" s="7">
        <v>108</v>
      </c>
      <c r="V51" s="65">
        <f t="shared" si="2"/>
        <v>3240</v>
      </c>
      <c r="W51" s="80">
        <v>14</v>
      </c>
      <c r="X51" s="67" t="s">
        <v>35</v>
      </c>
      <c r="Y51" s="7" t="s">
        <v>82</v>
      </c>
      <c r="Z51" s="7" t="s">
        <v>64</v>
      </c>
      <c r="AA51" s="7" t="s">
        <v>43</v>
      </c>
      <c r="AB51" s="43" t="s">
        <v>161</v>
      </c>
      <c r="AR51" s="80"/>
    </row>
    <row r="52" spans="1:44" x14ac:dyDescent="0.15">
      <c r="A52" s="87" t="s">
        <v>23</v>
      </c>
      <c r="B52" s="87" t="s">
        <v>160</v>
      </c>
      <c r="C52" s="87">
        <v>2020</v>
      </c>
      <c r="D52" s="45" t="s">
        <v>164</v>
      </c>
      <c r="E52" s="87" t="s">
        <v>170</v>
      </c>
      <c r="F52" s="87" t="s">
        <v>149</v>
      </c>
      <c r="G52" s="87" t="s">
        <v>25</v>
      </c>
      <c r="H52" s="87" t="s">
        <v>113</v>
      </c>
      <c r="I52" s="87" t="s">
        <v>111</v>
      </c>
      <c r="J52" s="81" t="s">
        <v>27</v>
      </c>
      <c r="K52" s="80" t="s">
        <v>112</v>
      </c>
      <c r="L52" s="87">
        <v>3</v>
      </c>
      <c r="N52" s="7">
        <v>1</v>
      </c>
      <c r="O52" s="7">
        <v>0.65</v>
      </c>
      <c r="P52" s="7">
        <v>0.65</v>
      </c>
      <c r="Q52" s="44">
        <f t="shared" si="0"/>
        <v>0.65</v>
      </c>
      <c r="R52" s="7">
        <v>14.9</v>
      </c>
      <c r="S52" s="7">
        <v>127</v>
      </c>
      <c r="T52" s="16">
        <f t="shared" si="1"/>
        <v>30</v>
      </c>
      <c r="U52" s="7">
        <v>108</v>
      </c>
      <c r="V52" s="65">
        <f t="shared" si="2"/>
        <v>3240</v>
      </c>
      <c r="W52" s="80">
        <v>14</v>
      </c>
      <c r="X52" s="67" t="s">
        <v>35</v>
      </c>
      <c r="Y52" s="7" t="s">
        <v>82</v>
      </c>
      <c r="Z52" s="7" t="s">
        <v>64</v>
      </c>
      <c r="AA52" s="7" t="s">
        <v>43</v>
      </c>
      <c r="AB52" s="43" t="s">
        <v>161</v>
      </c>
      <c r="AR52" s="80"/>
    </row>
    <row r="53" spans="1:44" x14ac:dyDescent="0.15">
      <c r="A53" s="87" t="s">
        <v>23</v>
      </c>
      <c r="B53" s="87" t="s">
        <v>160</v>
      </c>
      <c r="C53" s="87">
        <v>2020</v>
      </c>
      <c r="D53" s="45" t="s">
        <v>164</v>
      </c>
      <c r="E53" s="87" t="s">
        <v>170</v>
      </c>
      <c r="F53" s="87" t="s">
        <v>149</v>
      </c>
      <c r="G53" s="87" t="s">
        <v>25</v>
      </c>
      <c r="H53" s="87" t="s">
        <v>113</v>
      </c>
      <c r="I53" s="87" t="s">
        <v>111</v>
      </c>
      <c r="J53" s="81" t="s">
        <v>27</v>
      </c>
      <c r="K53" s="80" t="s">
        <v>112</v>
      </c>
      <c r="L53" s="87">
        <v>1</v>
      </c>
      <c r="N53" s="7">
        <v>8</v>
      </c>
      <c r="O53" s="7">
        <v>0.7</v>
      </c>
      <c r="P53" s="7">
        <v>0.8</v>
      </c>
      <c r="Q53" s="44">
        <f t="shared" si="0"/>
        <v>0.75</v>
      </c>
      <c r="R53" s="7">
        <v>16.7</v>
      </c>
      <c r="S53" s="7">
        <v>130</v>
      </c>
      <c r="T53" s="16">
        <f t="shared" si="1"/>
        <v>30</v>
      </c>
      <c r="U53" s="7">
        <v>598</v>
      </c>
      <c r="V53" s="65">
        <f t="shared" si="2"/>
        <v>2242.5</v>
      </c>
      <c r="W53" s="80">
        <v>14</v>
      </c>
      <c r="X53" s="67" t="s">
        <v>35</v>
      </c>
      <c r="Y53" s="7" t="s">
        <v>82</v>
      </c>
      <c r="Z53" s="7" t="s">
        <v>64</v>
      </c>
      <c r="AA53" s="7" t="s">
        <v>43</v>
      </c>
      <c r="AB53" s="43" t="s">
        <v>161</v>
      </c>
      <c r="AR53" s="80"/>
    </row>
    <row r="54" spans="1:44" x14ac:dyDescent="0.15">
      <c r="A54" s="87" t="s">
        <v>23</v>
      </c>
      <c r="B54" s="87" t="s">
        <v>160</v>
      </c>
      <c r="C54" s="87">
        <v>2020</v>
      </c>
      <c r="D54" s="45" t="s">
        <v>164</v>
      </c>
      <c r="E54" s="87" t="s">
        <v>170</v>
      </c>
      <c r="F54" s="87" t="s">
        <v>149</v>
      </c>
      <c r="G54" s="87" t="s">
        <v>25</v>
      </c>
      <c r="H54" s="87" t="s">
        <v>113</v>
      </c>
      <c r="I54" s="87" t="s">
        <v>111</v>
      </c>
      <c r="J54" s="81" t="s">
        <v>27</v>
      </c>
      <c r="K54" s="80" t="s">
        <v>112</v>
      </c>
      <c r="L54" s="87">
        <v>2</v>
      </c>
      <c r="N54" s="7">
        <v>8</v>
      </c>
      <c r="O54" s="7">
        <v>0.7</v>
      </c>
      <c r="P54" s="7">
        <v>0.75</v>
      </c>
      <c r="Q54" s="44">
        <f t="shared" si="0"/>
        <v>0.72499999999999998</v>
      </c>
      <c r="R54" s="7">
        <v>15.9</v>
      </c>
      <c r="S54" s="7">
        <v>124</v>
      </c>
      <c r="T54" s="16">
        <f t="shared" si="1"/>
        <v>30</v>
      </c>
      <c r="U54" s="7">
        <v>598</v>
      </c>
      <c r="V54" s="65">
        <f t="shared" si="2"/>
        <v>2242.5</v>
      </c>
      <c r="W54" s="80">
        <v>14</v>
      </c>
      <c r="X54" s="67" t="s">
        <v>35</v>
      </c>
      <c r="Y54" s="7" t="s">
        <v>82</v>
      </c>
      <c r="Z54" s="7" t="s">
        <v>64</v>
      </c>
      <c r="AA54" s="7" t="s">
        <v>43</v>
      </c>
      <c r="AB54" s="43" t="s">
        <v>161</v>
      </c>
      <c r="AR54" s="80"/>
    </row>
    <row r="55" spans="1:44" x14ac:dyDescent="0.15">
      <c r="A55" s="87" t="s">
        <v>23</v>
      </c>
      <c r="B55" s="87" t="s">
        <v>160</v>
      </c>
      <c r="C55" s="87">
        <v>2020</v>
      </c>
      <c r="D55" s="45" t="s">
        <v>164</v>
      </c>
      <c r="E55" s="87" t="s">
        <v>170</v>
      </c>
      <c r="F55" s="87" t="s">
        <v>149</v>
      </c>
      <c r="G55" s="87" t="s">
        <v>25</v>
      </c>
      <c r="H55" s="87" t="s">
        <v>113</v>
      </c>
      <c r="I55" s="87" t="s">
        <v>111</v>
      </c>
      <c r="J55" s="81" t="s">
        <v>27</v>
      </c>
      <c r="K55" s="80" t="s">
        <v>112</v>
      </c>
      <c r="L55" s="87">
        <v>3</v>
      </c>
      <c r="N55" s="7">
        <v>8</v>
      </c>
      <c r="O55" s="7">
        <v>0.7</v>
      </c>
      <c r="P55" s="7">
        <v>0.7</v>
      </c>
      <c r="Q55" s="44">
        <f t="shared" si="0"/>
        <v>0.7</v>
      </c>
      <c r="R55" s="7">
        <v>16.600000000000001</v>
      </c>
      <c r="S55" s="7">
        <v>123</v>
      </c>
      <c r="T55" s="16">
        <f t="shared" si="1"/>
        <v>30</v>
      </c>
      <c r="U55" s="7">
        <v>598</v>
      </c>
      <c r="V55" s="65">
        <f t="shared" si="2"/>
        <v>2242.5</v>
      </c>
      <c r="W55" s="80">
        <v>14</v>
      </c>
      <c r="X55" s="67" t="s">
        <v>35</v>
      </c>
      <c r="Y55" s="7" t="s">
        <v>82</v>
      </c>
      <c r="Z55" s="7" t="s">
        <v>64</v>
      </c>
      <c r="AA55" s="7" t="s">
        <v>43</v>
      </c>
      <c r="AB55" s="43" t="s">
        <v>161</v>
      </c>
      <c r="AR55" s="80"/>
    </row>
    <row r="56" spans="1:44" x14ac:dyDescent="0.15">
      <c r="A56" s="87" t="s">
        <v>23</v>
      </c>
      <c r="B56" s="87" t="s">
        <v>160</v>
      </c>
      <c r="C56" s="87">
        <v>2020</v>
      </c>
      <c r="D56" s="45" t="s">
        <v>164</v>
      </c>
      <c r="E56" s="87" t="s">
        <v>170</v>
      </c>
      <c r="F56" s="87" t="s">
        <v>149</v>
      </c>
      <c r="G56" s="87" t="s">
        <v>25</v>
      </c>
      <c r="H56" s="87" t="s">
        <v>167</v>
      </c>
      <c r="I56" s="87" t="s">
        <v>111</v>
      </c>
      <c r="J56" s="81" t="s">
        <v>27</v>
      </c>
      <c r="K56" s="80" t="s">
        <v>112</v>
      </c>
      <c r="L56" s="87">
        <v>1</v>
      </c>
      <c r="N56" s="7">
        <v>1</v>
      </c>
      <c r="O56" s="7">
        <v>0.55000000000000004</v>
      </c>
      <c r="P56" s="7">
        <v>0.7</v>
      </c>
      <c r="Q56" s="44">
        <f t="shared" si="0"/>
        <v>0.625</v>
      </c>
      <c r="R56" s="7">
        <v>17.899999999999999</v>
      </c>
      <c r="S56" s="7">
        <v>120</v>
      </c>
      <c r="T56" s="16">
        <f t="shared" si="1"/>
        <v>30</v>
      </c>
      <c r="U56" s="7">
        <v>108</v>
      </c>
      <c r="V56" s="65">
        <f t="shared" si="2"/>
        <v>3240</v>
      </c>
      <c r="W56" s="80">
        <v>14</v>
      </c>
      <c r="X56" s="67" t="s">
        <v>35</v>
      </c>
      <c r="Y56" s="7" t="s">
        <v>82</v>
      </c>
      <c r="Z56" s="7" t="s">
        <v>64</v>
      </c>
      <c r="AA56" s="7" t="s">
        <v>43</v>
      </c>
      <c r="AB56" s="43" t="s">
        <v>161</v>
      </c>
      <c r="AR56" s="80"/>
    </row>
    <row r="57" spans="1:44" x14ac:dyDescent="0.15">
      <c r="A57" s="87" t="s">
        <v>23</v>
      </c>
      <c r="B57" s="87" t="s">
        <v>160</v>
      </c>
      <c r="C57" s="87">
        <v>2020</v>
      </c>
      <c r="D57" s="45" t="s">
        <v>164</v>
      </c>
      <c r="E57" s="87" t="s">
        <v>170</v>
      </c>
      <c r="F57" s="87" t="s">
        <v>149</v>
      </c>
      <c r="G57" s="87" t="s">
        <v>25</v>
      </c>
      <c r="H57" s="87" t="s">
        <v>167</v>
      </c>
      <c r="I57" s="87" t="s">
        <v>111</v>
      </c>
      <c r="J57" s="81" t="s">
        <v>27</v>
      </c>
      <c r="K57" s="80" t="s">
        <v>112</v>
      </c>
      <c r="L57" s="87">
        <v>2</v>
      </c>
      <c r="N57" s="7">
        <v>1</v>
      </c>
      <c r="O57" s="7">
        <v>0.4</v>
      </c>
      <c r="P57" s="7">
        <v>0.3</v>
      </c>
      <c r="Q57" s="44">
        <f t="shared" si="0"/>
        <v>0.35</v>
      </c>
      <c r="R57" s="7">
        <v>17.899999999999999</v>
      </c>
      <c r="S57" s="7">
        <v>119</v>
      </c>
      <c r="T57" s="16">
        <f t="shared" si="1"/>
        <v>30</v>
      </c>
      <c r="U57" s="7">
        <v>108</v>
      </c>
      <c r="V57" s="65">
        <f t="shared" si="2"/>
        <v>3240</v>
      </c>
      <c r="W57" s="80">
        <v>14</v>
      </c>
      <c r="X57" s="67" t="s">
        <v>35</v>
      </c>
      <c r="Y57" s="7" t="s">
        <v>82</v>
      </c>
      <c r="Z57" s="7" t="s">
        <v>64</v>
      </c>
      <c r="AA57" s="7" t="s">
        <v>43</v>
      </c>
      <c r="AB57" s="43" t="s">
        <v>161</v>
      </c>
      <c r="AR57" s="80"/>
    </row>
    <row r="58" spans="1:44" x14ac:dyDescent="0.15">
      <c r="A58" s="87" t="s">
        <v>23</v>
      </c>
      <c r="B58" s="87" t="s">
        <v>160</v>
      </c>
      <c r="C58" s="87">
        <v>2020</v>
      </c>
      <c r="D58" s="45" t="s">
        <v>164</v>
      </c>
      <c r="E58" s="87" t="s">
        <v>170</v>
      </c>
      <c r="F58" s="87" t="s">
        <v>149</v>
      </c>
      <c r="G58" s="87" t="s">
        <v>25</v>
      </c>
      <c r="H58" s="87" t="s">
        <v>167</v>
      </c>
      <c r="I58" s="87" t="s">
        <v>111</v>
      </c>
      <c r="J58" s="81" t="s">
        <v>27</v>
      </c>
      <c r="K58" s="80" t="s">
        <v>112</v>
      </c>
      <c r="L58" s="87">
        <v>3</v>
      </c>
      <c r="N58" s="7">
        <v>1</v>
      </c>
      <c r="O58" s="7">
        <v>0.35</v>
      </c>
      <c r="P58" s="7">
        <v>0.2</v>
      </c>
      <c r="Q58" s="44">
        <f t="shared" si="0"/>
        <v>0.27500000000000002</v>
      </c>
      <c r="R58" s="7">
        <v>18.5</v>
      </c>
      <c r="S58" s="7">
        <v>117</v>
      </c>
      <c r="T58" s="16">
        <f t="shared" si="1"/>
        <v>30</v>
      </c>
      <c r="U58" s="7">
        <v>108</v>
      </c>
      <c r="V58" s="65">
        <f t="shared" si="2"/>
        <v>3240</v>
      </c>
      <c r="W58" s="80">
        <v>14</v>
      </c>
      <c r="X58" s="67" t="s">
        <v>35</v>
      </c>
      <c r="Y58" s="7" t="s">
        <v>82</v>
      </c>
      <c r="Z58" s="7" t="s">
        <v>64</v>
      </c>
      <c r="AA58" s="7" t="s">
        <v>43</v>
      </c>
      <c r="AB58" s="43" t="s">
        <v>161</v>
      </c>
      <c r="AR58" s="80"/>
    </row>
    <row r="59" spans="1:44" s="80" customFormat="1" x14ac:dyDescent="0.15">
      <c r="A59" s="87" t="s">
        <v>23</v>
      </c>
      <c r="B59" s="87" t="s">
        <v>160</v>
      </c>
      <c r="C59" s="87">
        <v>2020</v>
      </c>
      <c r="D59" s="45" t="s">
        <v>164</v>
      </c>
      <c r="E59" s="87" t="s">
        <v>170</v>
      </c>
      <c r="F59" s="87" t="s">
        <v>149</v>
      </c>
      <c r="G59" s="87" t="s">
        <v>25</v>
      </c>
      <c r="H59" s="87" t="s">
        <v>167</v>
      </c>
      <c r="I59" s="87" t="s">
        <v>111</v>
      </c>
      <c r="J59" s="81" t="s">
        <v>27</v>
      </c>
      <c r="K59" s="80" t="s">
        <v>112</v>
      </c>
      <c r="L59" s="87">
        <v>1</v>
      </c>
      <c r="N59" s="80">
        <v>8</v>
      </c>
      <c r="O59" s="80">
        <v>0.3</v>
      </c>
      <c r="P59" s="80">
        <v>0.35</v>
      </c>
      <c r="Q59" s="44">
        <f t="shared" si="0"/>
        <v>0.32499999999999996</v>
      </c>
      <c r="R59" s="80">
        <v>17.5</v>
      </c>
      <c r="S59" s="80">
        <v>113</v>
      </c>
      <c r="T59" s="16">
        <f t="shared" si="1"/>
        <v>30</v>
      </c>
      <c r="U59" s="80">
        <v>798</v>
      </c>
      <c r="V59" s="65">
        <f t="shared" si="2"/>
        <v>2992.5</v>
      </c>
      <c r="W59" s="80">
        <v>14</v>
      </c>
      <c r="X59" s="67" t="s">
        <v>35</v>
      </c>
      <c r="Y59" s="80" t="s">
        <v>82</v>
      </c>
      <c r="Z59" s="80" t="s">
        <v>64</v>
      </c>
      <c r="AA59" s="80" t="s">
        <v>43</v>
      </c>
      <c r="AB59" s="43" t="s">
        <v>161</v>
      </c>
      <c r="AI59" s="48"/>
      <c r="AJ59" s="48"/>
      <c r="AK59" s="48"/>
      <c r="AL59" s="48"/>
      <c r="AM59" s="48"/>
    </row>
    <row r="60" spans="1:44" s="80" customFormat="1" x14ac:dyDescent="0.15">
      <c r="A60" s="87" t="s">
        <v>23</v>
      </c>
      <c r="B60" s="87" t="s">
        <v>160</v>
      </c>
      <c r="C60" s="87">
        <v>2020</v>
      </c>
      <c r="D60" s="45" t="s">
        <v>164</v>
      </c>
      <c r="E60" s="87" t="s">
        <v>170</v>
      </c>
      <c r="F60" s="87" t="s">
        <v>149</v>
      </c>
      <c r="G60" s="87" t="s">
        <v>25</v>
      </c>
      <c r="H60" s="87" t="s">
        <v>167</v>
      </c>
      <c r="I60" s="87" t="s">
        <v>111</v>
      </c>
      <c r="J60" s="81" t="s">
        <v>27</v>
      </c>
      <c r="K60" s="80" t="s">
        <v>112</v>
      </c>
      <c r="L60" s="87">
        <v>2</v>
      </c>
      <c r="N60" s="80">
        <v>8</v>
      </c>
      <c r="O60" s="80">
        <v>0.4</v>
      </c>
      <c r="P60" s="80">
        <v>0.6</v>
      </c>
      <c r="Q60" s="44">
        <f t="shared" si="0"/>
        <v>0.5</v>
      </c>
      <c r="R60" s="80">
        <v>15.4</v>
      </c>
      <c r="S60" s="80">
        <v>110</v>
      </c>
      <c r="T60" s="16">
        <f t="shared" si="1"/>
        <v>33</v>
      </c>
      <c r="U60" s="80">
        <v>798</v>
      </c>
      <c r="V60" s="65">
        <f t="shared" si="2"/>
        <v>3291.75</v>
      </c>
      <c r="W60" s="80">
        <v>14</v>
      </c>
      <c r="X60" s="67" t="s">
        <v>35</v>
      </c>
      <c r="Y60" s="80" t="s">
        <v>82</v>
      </c>
      <c r="Z60" s="80" t="s">
        <v>64</v>
      </c>
      <c r="AA60" s="80" t="s">
        <v>43</v>
      </c>
      <c r="AB60" s="43" t="s">
        <v>161</v>
      </c>
      <c r="AI60" s="48"/>
      <c r="AJ60" s="48"/>
      <c r="AK60" s="48"/>
      <c r="AL60" s="48"/>
      <c r="AM60" s="48"/>
    </row>
    <row r="61" spans="1:44" s="80" customFormat="1" x14ac:dyDescent="0.15">
      <c r="A61" s="87" t="s">
        <v>23</v>
      </c>
      <c r="B61" s="87" t="s">
        <v>160</v>
      </c>
      <c r="C61" s="87">
        <v>2020</v>
      </c>
      <c r="D61" s="45" t="s">
        <v>164</v>
      </c>
      <c r="E61" s="87" t="s">
        <v>170</v>
      </c>
      <c r="F61" s="87" t="s">
        <v>149</v>
      </c>
      <c r="G61" s="87" t="s">
        <v>25</v>
      </c>
      <c r="H61" s="87" t="s">
        <v>167</v>
      </c>
      <c r="I61" s="87" t="s">
        <v>111</v>
      </c>
      <c r="J61" s="81" t="s">
        <v>27</v>
      </c>
      <c r="K61" s="80" t="s">
        <v>112</v>
      </c>
      <c r="L61" s="87">
        <v>3</v>
      </c>
      <c r="N61" s="80">
        <v>8</v>
      </c>
      <c r="O61" s="80">
        <v>0.5</v>
      </c>
      <c r="P61" s="80">
        <v>0.55000000000000004</v>
      </c>
      <c r="Q61" s="44">
        <f t="shared" si="0"/>
        <v>0.52500000000000002</v>
      </c>
      <c r="R61" s="80">
        <v>16.7</v>
      </c>
      <c r="S61" s="80">
        <v>111</v>
      </c>
      <c r="T61" s="16">
        <f t="shared" si="1"/>
        <v>33</v>
      </c>
      <c r="U61" s="80">
        <v>798</v>
      </c>
      <c r="V61" s="65">
        <f t="shared" si="2"/>
        <v>3291.75</v>
      </c>
      <c r="W61" s="80">
        <v>14</v>
      </c>
      <c r="X61" s="67" t="s">
        <v>35</v>
      </c>
      <c r="Y61" s="80" t="s">
        <v>82</v>
      </c>
      <c r="Z61" s="80" t="s">
        <v>64</v>
      </c>
      <c r="AA61" s="80" t="s">
        <v>43</v>
      </c>
      <c r="AB61" s="43" t="s">
        <v>161</v>
      </c>
      <c r="AI61" s="48"/>
      <c r="AJ61" s="48"/>
      <c r="AK61" s="48"/>
      <c r="AL61" s="48"/>
      <c r="AM61" s="48"/>
    </row>
    <row r="62" spans="1:44" s="80" customFormat="1" x14ac:dyDescent="0.15">
      <c r="A62" s="87" t="s">
        <v>23</v>
      </c>
      <c r="B62" s="87" t="s">
        <v>160</v>
      </c>
      <c r="C62" s="87">
        <v>2020</v>
      </c>
      <c r="D62" s="45" t="s">
        <v>164</v>
      </c>
      <c r="E62" s="87" t="s">
        <v>171</v>
      </c>
      <c r="F62" s="87" t="s">
        <v>147</v>
      </c>
      <c r="G62" s="87" t="s">
        <v>25</v>
      </c>
      <c r="H62" s="87" t="s">
        <v>113</v>
      </c>
      <c r="I62" s="87" t="s">
        <v>111</v>
      </c>
      <c r="J62" s="81" t="s">
        <v>27</v>
      </c>
      <c r="K62" s="80" t="s">
        <v>112</v>
      </c>
      <c r="L62" s="87">
        <v>1</v>
      </c>
      <c r="N62" s="80">
        <v>1</v>
      </c>
      <c r="O62" s="80">
        <v>0.85</v>
      </c>
      <c r="P62" s="80">
        <v>0.85</v>
      </c>
      <c r="Q62" s="44">
        <f t="shared" si="0"/>
        <v>0.85</v>
      </c>
      <c r="R62" s="80">
        <v>17.899999999999999</v>
      </c>
      <c r="S62" s="80">
        <v>128</v>
      </c>
      <c r="T62" s="16">
        <f t="shared" si="1"/>
        <v>30</v>
      </c>
      <c r="U62" s="80">
        <v>98</v>
      </c>
      <c r="V62" s="65">
        <f t="shared" si="2"/>
        <v>2940</v>
      </c>
      <c r="W62" s="80">
        <v>24</v>
      </c>
      <c r="X62" s="67" t="s">
        <v>35</v>
      </c>
      <c r="Y62" s="80" t="s">
        <v>86</v>
      </c>
      <c r="Z62" s="80" t="s">
        <v>64</v>
      </c>
      <c r="AA62" s="80" t="s">
        <v>43</v>
      </c>
      <c r="AB62" s="43" t="s">
        <v>161</v>
      </c>
      <c r="AI62" s="48"/>
      <c r="AJ62" s="48"/>
      <c r="AK62" s="48"/>
      <c r="AL62" s="48"/>
      <c r="AM62" s="48"/>
    </row>
    <row r="63" spans="1:44" s="80" customFormat="1" x14ac:dyDescent="0.15">
      <c r="A63" s="87" t="s">
        <v>23</v>
      </c>
      <c r="B63" s="87" t="s">
        <v>160</v>
      </c>
      <c r="C63" s="87">
        <v>2020</v>
      </c>
      <c r="D63" s="45" t="s">
        <v>164</v>
      </c>
      <c r="E63" s="87" t="s">
        <v>171</v>
      </c>
      <c r="F63" s="87" t="s">
        <v>147</v>
      </c>
      <c r="G63" s="87" t="s">
        <v>25</v>
      </c>
      <c r="H63" s="87" t="s">
        <v>113</v>
      </c>
      <c r="I63" s="87" t="s">
        <v>111</v>
      </c>
      <c r="J63" s="81" t="s">
        <v>27</v>
      </c>
      <c r="K63" s="80" t="s">
        <v>112</v>
      </c>
      <c r="L63" s="87">
        <v>2</v>
      </c>
      <c r="N63" s="80">
        <v>1</v>
      </c>
      <c r="O63" s="80">
        <v>0.95</v>
      </c>
      <c r="P63" s="80">
        <v>0.95</v>
      </c>
      <c r="Q63" s="44">
        <f t="shared" si="0"/>
        <v>0.95</v>
      </c>
      <c r="R63" s="80">
        <v>15.7</v>
      </c>
      <c r="S63" s="80">
        <v>130</v>
      </c>
      <c r="T63" s="16">
        <f t="shared" si="1"/>
        <v>30</v>
      </c>
      <c r="U63" s="80">
        <v>98</v>
      </c>
      <c r="V63" s="65">
        <f t="shared" si="2"/>
        <v>2940</v>
      </c>
      <c r="W63" s="80">
        <v>24</v>
      </c>
      <c r="X63" s="67" t="s">
        <v>35</v>
      </c>
      <c r="Y63" s="80" t="s">
        <v>86</v>
      </c>
      <c r="Z63" s="80" t="s">
        <v>64</v>
      </c>
      <c r="AA63" s="80" t="s">
        <v>43</v>
      </c>
      <c r="AB63" s="43" t="s">
        <v>161</v>
      </c>
      <c r="AI63" s="48"/>
      <c r="AJ63" s="48"/>
      <c r="AK63" s="48"/>
      <c r="AL63" s="48"/>
      <c r="AM63" s="48"/>
    </row>
    <row r="64" spans="1:44" s="80" customFormat="1" x14ac:dyDescent="0.15">
      <c r="A64" s="87" t="s">
        <v>23</v>
      </c>
      <c r="B64" s="87" t="s">
        <v>160</v>
      </c>
      <c r="C64" s="87">
        <v>2020</v>
      </c>
      <c r="D64" s="45" t="s">
        <v>164</v>
      </c>
      <c r="E64" s="87" t="s">
        <v>171</v>
      </c>
      <c r="F64" s="87" t="s">
        <v>147</v>
      </c>
      <c r="G64" s="87" t="s">
        <v>25</v>
      </c>
      <c r="H64" s="87" t="s">
        <v>113</v>
      </c>
      <c r="I64" s="87" t="s">
        <v>111</v>
      </c>
      <c r="J64" s="81" t="s">
        <v>27</v>
      </c>
      <c r="K64" s="80" t="s">
        <v>112</v>
      </c>
      <c r="L64" s="87">
        <v>3</v>
      </c>
      <c r="N64" s="80">
        <v>1</v>
      </c>
      <c r="O64" s="80">
        <v>0.75</v>
      </c>
      <c r="P64" s="80">
        <v>0.5</v>
      </c>
      <c r="Q64" s="44">
        <f t="shared" si="0"/>
        <v>0.625</v>
      </c>
      <c r="R64" s="80">
        <v>15.4</v>
      </c>
      <c r="S64" s="80">
        <v>130</v>
      </c>
      <c r="T64" s="16">
        <f t="shared" si="1"/>
        <v>30</v>
      </c>
      <c r="U64" s="80">
        <v>98</v>
      </c>
      <c r="V64" s="65">
        <f t="shared" si="2"/>
        <v>2940</v>
      </c>
      <c r="W64" s="80">
        <v>24</v>
      </c>
      <c r="X64" s="67" t="s">
        <v>35</v>
      </c>
      <c r="Y64" s="80" t="s">
        <v>86</v>
      </c>
      <c r="Z64" s="80" t="s">
        <v>64</v>
      </c>
      <c r="AA64" s="80" t="s">
        <v>43</v>
      </c>
      <c r="AB64" s="43" t="s">
        <v>161</v>
      </c>
      <c r="AI64" s="48"/>
      <c r="AJ64" s="48"/>
      <c r="AK64" s="48"/>
      <c r="AL64" s="48"/>
      <c r="AM64" s="48"/>
    </row>
    <row r="65" spans="1:39" s="80" customFormat="1" x14ac:dyDescent="0.15">
      <c r="A65" s="87" t="s">
        <v>23</v>
      </c>
      <c r="B65" s="87" t="s">
        <v>160</v>
      </c>
      <c r="C65" s="87">
        <v>2020</v>
      </c>
      <c r="D65" s="45" t="s">
        <v>164</v>
      </c>
      <c r="E65" s="87" t="s">
        <v>171</v>
      </c>
      <c r="F65" s="87" t="s">
        <v>147</v>
      </c>
      <c r="G65" s="87" t="s">
        <v>25</v>
      </c>
      <c r="H65" s="87" t="s">
        <v>113</v>
      </c>
      <c r="I65" s="87" t="s">
        <v>172</v>
      </c>
      <c r="J65" s="81" t="s">
        <v>27</v>
      </c>
      <c r="K65" s="80" t="s">
        <v>112</v>
      </c>
      <c r="L65" s="87">
        <v>1</v>
      </c>
      <c r="N65" s="80">
        <v>4</v>
      </c>
      <c r="O65" s="80">
        <v>0.25</v>
      </c>
      <c r="P65" s="80">
        <v>0.3</v>
      </c>
      <c r="Q65" s="44">
        <f t="shared" si="0"/>
        <v>0.27500000000000002</v>
      </c>
      <c r="R65" s="80">
        <v>14.8</v>
      </c>
      <c r="S65" s="80">
        <v>94</v>
      </c>
      <c r="T65" s="16">
        <f t="shared" si="1"/>
        <v>36</v>
      </c>
      <c r="U65" s="80">
        <v>398</v>
      </c>
      <c r="V65" s="65">
        <f t="shared" si="2"/>
        <v>3582</v>
      </c>
      <c r="W65" s="80">
        <v>24</v>
      </c>
      <c r="X65" s="67" t="s">
        <v>35</v>
      </c>
      <c r="Y65" s="80" t="s">
        <v>86</v>
      </c>
      <c r="Z65" s="80" t="s">
        <v>64</v>
      </c>
      <c r="AA65" s="80" t="s">
        <v>43</v>
      </c>
      <c r="AB65" s="43" t="s">
        <v>161</v>
      </c>
      <c r="AI65" s="48"/>
      <c r="AJ65" s="48"/>
      <c r="AK65" s="48"/>
      <c r="AL65" s="48"/>
      <c r="AM65" s="48"/>
    </row>
    <row r="66" spans="1:39" s="80" customFormat="1" x14ac:dyDescent="0.15">
      <c r="A66" s="87" t="s">
        <v>23</v>
      </c>
      <c r="B66" s="87" t="s">
        <v>160</v>
      </c>
      <c r="C66" s="87">
        <v>2020</v>
      </c>
      <c r="D66" s="45" t="s">
        <v>164</v>
      </c>
      <c r="E66" s="87" t="s">
        <v>171</v>
      </c>
      <c r="F66" s="87" t="s">
        <v>147</v>
      </c>
      <c r="G66" s="87" t="s">
        <v>25</v>
      </c>
      <c r="H66" s="87" t="s">
        <v>113</v>
      </c>
      <c r="I66" s="87" t="s">
        <v>172</v>
      </c>
      <c r="J66" s="81" t="s">
        <v>27</v>
      </c>
      <c r="K66" s="80" t="s">
        <v>112</v>
      </c>
      <c r="L66" s="87">
        <v>2</v>
      </c>
      <c r="N66" s="80">
        <v>4</v>
      </c>
      <c r="O66" s="80">
        <v>0.2</v>
      </c>
      <c r="P66" s="80">
        <v>0.2</v>
      </c>
      <c r="Q66" s="44">
        <f t="shared" si="0"/>
        <v>0.2</v>
      </c>
      <c r="R66" s="80">
        <v>14.8</v>
      </c>
      <c r="S66" s="80">
        <v>93</v>
      </c>
      <c r="T66" s="16">
        <f t="shared" si="1"/>
        <v>36</v>
      </c>
      <c r="U66" s="80">
        <v>398</v>
      </c>
      <c r="V66" s="65">
        <f t="shared" si="2"/>
        <v>3582</v>
      </c>
      <c r="W66" s="80">
        <v>24</v>
      </c>
      <c r="X66" s="67" t="s">
        <v>35</v>
      </c>
      <c r="Y66" s="80" t="s">
        <v>86</v>
      </c>
      <c r="Z66" s="80" t="s">
        <v>64</v>
      </c>
      <c r="AA66" s="80" t="s">
        <v>43</v>
      </c>
      <c r="AB66" s="43" t="s">
        <v>161</v>
      </c>
      <c r="AI66" s="48"/>
      <c r="AJ66" s="48"/>
      <c r="AK66" s="48"/>
      <c r="AL66" s="48"/>
      <c r="AM66" s="48"/>
    </row>
    <row r="67" spans="1:39" s="80" customFormat="1" x14ac:dyDescent="0.15">
      <c r="A67" s="87" t="s">
        <v>23</v>
      </c>
      <c r="B67" s="87" t="s">
        <v>160</v>
      </c>
      <c r="C67" s="87">
        <v>2020</v>
      </c>
      <c r="D67" s="45" t="s">
        <v>164</v>
      </c>
      <c r="E67" s="87" t="s">
        <v>171</v>
      </c>
      <c r="F67" s="87" t="s">
        <v>147</v>
      </c>
      <c r="G67" s="87" t="s">
        <v>25</v>
      </c>
      <c r="H67" s="87" t="s">
        <v>113</v>
      </c>
      <c r="I67" s="87" t="s">
        <v>172</v>
      </c>
      <c r="J67" s="81" t="s">
        <v>27</v>
      </c>
      <c r="K67" s="80" t="s">
        <v>112</v>
      </c>
      <c r="L67" s="87">
        <v>3</v>
      </c>
      <c r="N67" s="80">
        <v>4</v>
      </c>
      <c r="O67" s="80">
        <v>0.5</v>
      </c>
      <c r="P67" s="80">
        <v>0.45</v>
      </c>
      <c r="Q67" s="44">
        <f t="shared" si="0"/>
        <v>0.47499999999999998</v>
      </c>
      <c r="R67" s="80">
        <v>14.6</v>
      </c>
      <c r="S67" s="80">
        <v>87</v>
      </c>
      <c r="T67" s="16">
        <f t="shared" si="1"/>
        <v>36</v>
      </c>
      <c r="U67" s="80">
        <v>398</v>
      </c>
      <c r="V67" s="65">
        <f t="shared" si="2"/>
        <v>3582</v>
      </c>
      <c r="W67" s="80">
        <v>24</v>
      </c>
      <c r="X67" s="67" t="s">
        <v>35</v>
      </c>
      <c r="Y67" s="80" t="s">
        <v>86</v>
      </c>
      <c r="Z67" s="80" t="s">
        <v>64</v>
      </c>
      <c r="AA67" s="80" t="s">
        <v>43</v>
      </c>
      <c r="AB67" s="43" t="s">
        <v>161</v>
      </c>
      <c r="AI67" s="48"/>
      <c r="AJ67" s="48"/>
      <c r="AK67" s="48"/>
      <c r="AL67" s="48"/>
      <c r="AM67" s="48"/>
    </row>
    <row r="68" spans="1:39" s="80" customFormat="1" x14ac:dyDescent="0.15">
      <c r="A68" s="87" t="s">
        <v>23</v>
      </c>
      <c r="B68" s="87" t="s">
        <v>160</v>
      </c>
      <c r="C68" s="87">
        <v>2020</v>
      </c>
      <c r="D68" s="45" t="s">
        <v>164</v>
      </c>
      <c r="E68" s="87" t="s">
        <v>171</v>
      </c>
      <c r="F68" s="87" t="s">
        <v>147</v>
      </c>
      <c r="G68" s="87" t="s">
        <v>25</v>
      </c>
      <c r="H68" s="87" t="s">
        <v>113</v>
      </c>
      <c r="I68" s="87" t="s">
        <v>111</v>
      </c>
      <c r="J68" s="81" t="s">
        <v>27</v>
      </c>
      <c r="K68" s="80" t="s">
        <v>112</v>
      </c>
      <c r="L68" s="87">
        <v>1</v>
      </c>
      <c r="N68" s="80">
        <v>7</v>
      </c>
      <c r="O68" s="80">
        <v>0.65</v>
      </c>
      <c r="P68" s="80">
        <v>0.7</v>
      </c>
      <c r="Q68" s="44">
        <f t="shared" si="0"/>
        <v>0.67500000000000004</v>
      </c>
      <c r="R68" s="80">
        <v>15.4</v>
      </c>
      <c r="S68" s="80">
        <v>103</v>
      </c>
      <c r="T68" s="16">
        <f t="shared" si="1"/>
        <v>33</v>
      </c>
      <c r="U68" s="80">
        <v>598</v>
      </c>
      <c r="V68" s="65">
        <f t="shared" si="2"/>
        <v>2819.1428571428573</v>
      </c>
      <c r="W68" s="80">
        <v>24</v>
      </c>
      <c r="X68" s="67" t="s">
        <v>35</v>
      </c>
      <c r="Y68" s="80" t="s">
        <v>86</v>
      </c>
      <c r="Z68" s="80" t="s">
        <v>64</v>
      </c>
      <c r="AA68" s="80" t="s">
        <v>43</v>
      </c>
      <c r="AB68" s="43" t="s">
        <v>161</v>
      </c>
      <c r="AI68" s="48"/>
      <c r="AJ68" s="48"/>
      <c r="AK68" s="48"/>
      <c r="AL68" s="48"/>
      <c r="AM68" s="48"/>
    </row>
    <row r="69" spans="1:39" s="80" customFormat="1" x14ac:dyDescent="0.15">
      <c r="A69" s="87" t="s">
        <v>23</v>
      </c>
      <c r="B69" s="87" t="s">
        <v>160</v>
      </c>
      <c r="C69" s="87">
        <v>2020</v>
      </c>
      <c r="D69" s="45" t="s">
        <v>164</v>
      </c>
      <c r="E69" s="87" t="s">
        <v>171</v>
      </c>
      <c r="F69" s="87" t="s">
        <v>147</v>
      </c>
      <c r="G69" s="87" t="s">
        <v>25</v>
      </c>
      <c r="H69" s="87" t="s">
        <v>113</v>
      </c>
      <c r="I69" s="87" t="s">
        <v>111</v>
      </c>
      <c r="J69" s="81" t="s">
        <v>27</v>
      </c>
      <c r="K69" s="80" t="s">
        <v>112</v>
      </c>
      <c r="L69" s="87">
        <v>2</v>
      </c>
      <c r="N69" s="80">
        <v>7</v>
      </c>
      <c r="O69" s="80">
        <v>0.8</v>
      </c>
      <c r="P69" s="80">
        <v>0.55000000000000004</v>
      </c>
      <c r="Q69" s="44">
        <f t="shared" si="0"/>
        <v>0.67500000000000004</v>
      </c>
      <c r="R69" s="80">
        <v>16.2</v>
      </c>
      <c r="S69" s="80">
        <v>96</v>
      </c>
      <c r="T69" s="16">
        <f t="shared" si="1"/>
        <v>36</v>
      </c>
      <c r="U69" s="80">
        <v>598</v>
      </c>
      <c r="V69" s="65">
        <f t="shared" si="2"/>
        <v>3075.4285714285716</v>
      </c>
      <c r="W69" s="80">
        <v>24</v>
      </c>
      <c r="X69" s="67" t="s">
        <v>35</v>
      </c>
      <c r="Y69" s="80" t="s">
        <v>86</v>
      </c>
      <c r="Z69" s="80" t="s">
        <v>64</v>
      </c>
      <c r="AA69" s="80" t="s">
        <v>43</v>
      </c>
      <c r="AB69" s="43" t="s">
        <v>161</v>
      </c>
      <c r="AI69" s="48"/>
      <c r="AJ69" s="48"/>
      <c r="AK69" s="48"/>
      <c r="AL69" s="48"/>
      <c r="AM69" s="48"/>
    </row>
    <row r="70" spans="1:39" s="80" customFormat="1" x14ac:dyDescent="0.15">
      <c r="A70" s="87" t="s">
        <v>23</v>
      </c>
      <c r="B70" s="87" t="s">
        <v>160</v>
      </c>
      <c r="C70" s="87">
        <v>2020</v>
      </c>
      <c r="D70" s="45" t="s">
        <v>164</v>
      </c>
      <c r="E70" s="87" t="s">
        <v>171</v>
      </c>
      <c r="F70" s="87" t="s">
        <v>147</v>
      </c>
      <c r="G70" s="87" t="s">
        <v>25</v>
      </c>
      <c r="H70" s="87" t="s">
        <v>113</v>
      </c>
      <c r="I70" s="87" t="s">
        <v>111</v>
      </c>
      <c r="J70" s="81" t="s">
        <v>27</v>
      </c>
      <c r="K70" s="80" t="s">
        <v>112</v>
      </c>
      <c r="L70" s="87">
        <v>3</v>
      </c>
      <c r="N70" s="80">
        <v>7</v>
      </c>
      <c r="O70" s="80">
        <v>0.7</v>
      </c>
      <c r="P70" s="80">
        <v>0.65</v>
      </c>
      <c r="Q70" s="44">
        <f t="shared" si="0"/>
        <v>0.67500000000000004</v>
      </c>
      <c r="R70" s="80">
        <v>17.2</v>
      </c>
      <c r="S70" s="80">
        <v>96</v>
      </c>
      <c r="T70" s="16">
        <f t="shared" si="1"/>
        <v>36</v>
      </c>
      <c r="U70" s="80">
        <v>598</v>
      </c>
      <c r="V70" s="65">
        <f t="shared" si="2"/>
        <v>3075.4285714285716</v>
      </c>
      <c r="W70" s="80">
        <v>24</v>
      </c>
      <c r="X70" s="67" t="s">
        <v>35</v>
      </c>
      <c r="Y70" s="80" t="s">
        <v>86</v>
      </c>
      <c r="Z70" s="80" t="s">
        <v>64</v>
      </c>
      <c r="AA70" s="80" t="s">
        <v>43</v>
      </c>
      <c r="AB70" s="43" t="s">
        <v>161</v>
      </c>
      <c r="AI70" s="48"/>
      <c r="AJ70" s="48"/>
      <c r="AK70" s="48"/>
      <c r="AL70" s="48"/>
      <c r="AM70" s="48"/>
    </row>
    <row r="71" spans="1:39" s="80" customFormat="1" x14ac:dyDescent="0.15">
      <c r="A71" s="87" t="s">
        <v>23</v>
      </c>
      <c r="B71" s="87" t="s">
        <v>160</v>
      </c>
      <c r="C71" s="87">
        <v>2020</v>
      </c>
      <c r="D71" s="45" t="s">
        <v>164</v>
      </c>
      <c r="E71" s="87" t="s">
        <v>171</v>
      </c>
      <c r="F71" s="87" t="s">
        <v>147</v>
      </c>
      <c r="G71" s="87" t="s">
        <v>25</v>
      </c>
      <c r="H71" s="87" t="s">
        <v>167</v>
      </c>
      <c r="I71" s="87" t="s">
        <v>111</v>
      </c>
      <c r="J71" s="81" t="s">
        <v>27</v>
      </c>
      <c r="K71" s="80" t="s">
        <v>112</v>
      </c>
      <c r="L71" s="87">
        <v>1</v>
      </c>
      <c r="N71" s="80">
        <v>1</v>
      </c>
      <c r="O71" s="80">
        <v>0.4</v>
      </c>
      <c r="P71" s="80">
        <v>0.4</v>
      </c>
      <c r="Q71" s="44">
        <f t="shared" si="0"/>
        <v>0.4</v>
      </c>
      <c r="R71" s="80">
        <v>19.100000000000001</v>
      </c>
      <c r="S71" s="80">
        <v>130</v>
      </c>
      <c r="T71" s="16">
        <f t="shared" si="1"/>
        <v>30</v>
      </c>
      <c r="U71" s="80">
        <v>98</v>
      </c>
      <c r="V71" s="65">
        <f t="shared" si="2"/>
        <v>2940</v>
      </c>
      <c r="W71" s="80">
        <v>24</v>
      </c>
      <c r="X71" s="67" t="s">
        <v>35</v>
      </c>
      <c r="Y71" s="80" t="s">
        <v>86</v>
      </c>
      <c r="Z71" s="80" t="s">
        <v>64</v>
      </c>
      <c r="AA71" s="80" t="s">
        <v>43</v>
      </c>
      <c r="AB71" s="43" t="s">
        <v>161</v>
      </c>
      <c r="AI71" s="48"/>
      <c r="AJ71" s="48"/>
      <c r="AK71" s="48"/>
      <c r="AL71" s="48"/>
      <c r="AM71" s="48"/>
    </row>
    <row r="72" spans="1:39" s="80" customFormat="1" x14ac:dyDescent="0.15">
      <c r="A72" s="87" t="s">
        <v>23</v>
      </c>
      <c r="B72" s="87" t="s">
        <v>160</v>
      </c>
      <c r="C72" s="87">
        <v>2020</v>
      </c>
      <c r="D72" s="45" t="s">
        <v>164</v>
      </c>
      <c r="E72" s="87" t="s">
        <v>171</v>
      </c>
      <c r="F72" s="87" t="s">
        <v>147</v>
      </c>
      <c r="G72" s="87" t="s">
        <v>25</v>
      </c>
      <c r="H72" s="87" t="s">
        <v>167</v>
      </c>
      <c r="I72" s="87" t="s">
        <v>111</v>
      </c>
      <c r="J72" s="81" t="s">
        <v>27</v>
      </c>
      <c r="K72" s="80" t="s">
        <v>112</v>
      </c>
      <c r="L72" s="87">
        <v>2</v>
      </c>
      <c r="N72" s="80">
        <v>1</v>
      </c>
      <c r="O72" s="80">
        <v>0.7</v>
      </c>
      <c r="P72" s="80">
        <v>0.6</v>
      </c>
      <c r="Q72" s="44">
        <f t="shared" si="0"/>
        <v>0.64999999999999991</v>
      </c>
      <c r="R72" s="80">
        <v>17.8</v>
      </c>
      <c r="S72" s="80">
        <v>130</v>
      </c>
      <c r="T72" s="16">
        <f t="shared" si="1"/>
        <v>30</v>
      </c>
      <c r="U72" s="80">
        <v>98</v>
      </c>
      <c r="V72" s="65">
        <f t="shared" si="2"/>
        <v>2940</v>
      </c>
      <c r="W72" s="80">
        <v>24</v>
      </c>
      <c r="X72" s="67" t="s">
        <v>35</v>
      </c>
      <c r="Y72" s="80" t="s">
        <v>86</v>
      </c>
      <c r="Z72" s="80" t="s">
        <v>64</v>
      </c>
      <c r="AA72" s="80" t="s">
        <v>43</v>
      </c>
      <c r="AB72" s="43" t="s">
        <v>161</v>
      </c>
      <c r="AI72" s="48"/>
      <c r="AJ72" s="48"/>
      <c r="AK72" s="48"/>
      <c r="AL72" s="48"/>
      <c r="AM72" s="48"/>
    </row>
    <row r="73" spans="1:39" s="80" customFormat="1" x14ac:dyDescent="0.15">
      <c r="A73" s="87" t="s">
        <v>23</v>
      </c>
      <c r="B73" s="87" t="s">
        <v>160</v>
      </c>
      <c r="C73" s="87">
        <v>2020</v>
      </c>
      <c r="D73" s="45" t="s">
        <v>164</v>
      </c>
      <c r="E73" s="87" t="s">
        <v>171</v>
      </c>
      <c r="F73" s="87" t="s">
        <v>147</v>
      </c>
      <c r="G73" s="87" t="s">
        <v>25</v>
      </c>
      <c r="H73" s="87" t="s">
        <v>167</v>
      </c>
      <c r="I73" s="87" t="s">
        <v>111</v>
      </c>
      <c r="J73" s="81" t="s">
        <v>27</v>
      </c>
      <c r="K73" s="80" t="s">
        <v>112</v>
      </c>
      <c r="L73" s="87">
        <v>3</v>
      </c>
      <c r="N73" s="80">
        <v>1</v>
      </c>
      <c r="O73" s="80">
        <v>0.7</v>
      </c>
      <c r="P73" s="80">
        <v>0.75</v>
      </c>
      <c r="Q73" s="44">
        <f t="shared" si="0"/>
        <v>0.72499999999999998</v>
      </c>
      <c r="R73" s="80">
        <v>18.2</v>
      </c>
      <c r="S73" s="80">
        <v>124</v>
      </c>
      <c r="T73" s="16">
        <f t="shared" si="1"/>
        <v>30</v>
      </c>
      <c r="U73" s="80">
        <v>98</v>
      </c>
      <c r="V73" s="65">
        <f t="shared" si="2"/>
        <v>2940</v>
      </c>
      <c r="W73" s="80">
        <v>24</v>
      </c>
      <c r="X73" s="67" t="s">
        <v>35</v>
      </c>
      <c r="Y73" s="80" t="s">
        <v>86</v>
      </c>
      <c r="Z73" s="80" t="s">
        <v>64</v>
      </c>
      <c r="AA73" s="80" t="s">
        <v>43</v>
      </c>
      <c r="AB73" s="43" t="s">
        <v>161</v>
      </c>
      <c r="AI73" s="48"/>
      <c r="AJ73" s="48"/>
      <c r="AK73" s="48"/>
      <c r="AL73" s="48"/>
      <c r="AM73" s="48"/>
    </row>
    <row r="74" spans="1:39" s="80" customFormat="1" x14ac:dyDescent="0.15">
      <c r="A74" s="87" t="s">
        <v>23</v>
      </c>
      <c r="B74" s="87" t="s">
        <v>160</v>
      </c>
      <c r="C74" s="87">
        <v>2020</v>
      </c>
      <c r="D74" s="45" t="s">
        <v>164</v>
      </c>
      <c r="E74" s="87" t="s">
        <v>171</v>
      </c>
      <c r="F74" s="87" t="s">
        <v>147</v>
      </c>
      <c r="G74" s="87" t="s">
        <v>25</v>
      </c>
      <c r="H74" s="87" t="s">
        <v>167</v>
      </c>
      <c r="I74" s="87" t="s">
        <v>111</v>
      </c>
      <c r="J74" s="81" t="s">
        <v>27</v>
      </c>
      <c r="K74" s="80" t="s">
        <v>112</v>
      </c>
      <c r="L74" s="87">
        <v>1</v>
      </c>
      <c r="N74" s="80">
        <v>1</v>
      </c>
      <c r="O74" s="80">
        <v>0.45</v>
      </c>
      <c r="P74" s="80">
        <v>0.4</v>
      </c>
      <c r="Q74" s="44">
        <f t="shared" si="0"/>
        <v>0.42500000000000004</v>
      </c>
      <c r="R74" s="80">
        <v>17.3</v>
      </c>
      <c r="S74" s="80">
        <v>173</v>
      </c>
      <c r="T74" s="16">
        <f t="shared" si="1"/>
        <v>30</v>
      </c>
      <c r="U74" s="80">
        <v>298</v>
      </c>
      <c r="V74" s="65">
        <f t="shared" si="2"/>
        <v>8940</v>
      </c>
      <c r="W74" s="80">
        <v>24</v>
      </c>
      <c r="X74" s="67" t="s">
        <v>35</v>
      </c>
      <c r="Y74" s="80" t="s">
        <v>86</v>
      </c>
      <c r="Z74" s="80" t="s">
        <v>64</v>
      </c>
      <c r="AA74" s="80" t="s">
        <v>43</v>
      </c>
      <c r="AB74" s="43" t="s">
        <v>161</v>
      </c>
      <c r="AI74" s="48"/>
      <c r="AJ74" s="48"/>
      <c r="AK74" s="48"/>
      <c r="AL74" s="48"/>
      <c r="AM74" s="48"/>
    </row>
    <row r="75" spans="1:39" s="80" customFormat="1" x14ac:dyDescent="0.15">
      <c r="A75" s="87" t="s">
        <v>23</v>
      </c>
      <c r="B75" s="87" t="s">
        <v>160</v>
      </c>
      <c r="C75" s="87">
        <v>2020</v>
      </c>
      <c r="D75" s="45" t="s">
        <v>164</v>
      </c>
      <c r="E75" s="87" t="s">
        <v>171</v>
      </c>
      <c r="F75" s="87" t="s">
        <v>147</v>
      </c>
      <c r="G75" s="87" t="s">
        <v>25</v>
      </c>
      <c r="H75" s="87" t="s">
        <v>167</v>
      </c>
      <c r="I75" s="87" t="s">
        <v>111</v>
      </c>
      <c r="J75" s="81" t="s">
        <v>27</v>
      </c>
      <c r="K75" s="80" t="s">
        <v>112</v>
      </c>
      <c r="L75" s="87">
        <v>2</v>
      </c>
      <c r="N75" s="80">
        <v>1</v>
      </c>
      <c r="O75" s="80">
        <v>0.45</v>
      </c>
      <c r="P75" s="80">
        <v>0.45</v>
      </c>
      <c r="Q75" s="44">
        <f t="shared" si="0"/>
        <v>0.45</v>
      </c>
      <c r="R75" s="80">
        <v>17.7</v>
      </c>
      <c r="S75" s="80">
        <v>160</v>
      </c>
      <c r="T75" s="16">
        <f t="shared" si="1"/>
        <v>30</v>
      </c>
      <c r="U75" s="80">
        <v>298</v>
      </c>
      <c r="V75" s="65">
        <f t="shared" si="2"/>
        <v>8940</v>
      </c>
      <c r="W75" s="80">
        <v>24</v>
      </c>
      <c r="X75" s="67" t="s">
        <v>35</v>
      </c>
      <c r="Y75" s="80" t="s">
        <v>86</v>
      </c>
      <c r="Z75" s="80" t="s">
        <v>64</v>
      </c>
      <c r="AA75" s="80" t="s">
        <v>43</v>
      </c>
      <c r="AB75" s="43" t="s">
        <v>161</v>
      </c>
      <c r="AI75" s="48"/>
      <c r="AJ75" s="48"/>
      <c r="AK75" s="48"/>
      <c r="AL75" s="48"/>
      <c r="AM75" s="48"/>
    </row>
    <row r="76" spans="1:39" s="80" customFormat="1" x14ac:dyDescent="0.15">
      <c r="A76" s="87" t="s">
        <v>23</v>
      </c>
      <c r="B76" s="87" t="s">
        <v>160</v>
      </c>
      <c r="C76" s="87">
        <v>2020</v>
      </c>
      <c r="D76" s="45" t="s">
        <v>164</v>
      </c>
      <c r="E76" s="87" t="s">
        <v>171</v>
      </c>
      <c r="F76" s="87" t="s">
        <v>147</v>
      </c>
      <c r="G76" s="87" t="s">
        <v>25</v>
      </c>
      <c r="H76" s="87" t="s">
        <v>167</v>
      </c>
      <c r="I76" s="87" t="s">
        <v>111</v>
      </c>
      <c r="J76" s="81" t="s">
        <v>27</v>
      </c>
      <c r="K76" s="80" t="s">
        <v>112</v>
      </c>
      <c r="L76" s="87">
        <v>3</v>
      </c>
      <c r="N76" s="80">
        <v>1</v>
      </c>
      <c r="O76" s="80">
        <v>0.3</v>
      </c>
      <c r="P76" s="80">
        <v>0.2</v>
      </c>
      <c r="Q76" s="44">
        <f t="shared" si="0"/>
        <v>0.25</v>
      </c>
      <c r="R76" s="80">
        <v>18.899999999999999</v>
      </c>
      <c r="S76" s="80">
        <v>155</v>
      </c>
      <c r="T76" s="16">
        <f t="shared" si="1"/>
        <v>30</v>
      </c>
      <c r="U76" s="80">
        <v>298</v>
      </c>
      <c r="V76" s="65">
        <f t="shared" si="2"/>
        <v>8940</v>
      </c>
      <c r="W76" s="80">
        <v>24</v>
      </c>
      <c r="X76" s="67" t="s">
        <v>35</v>
      </c>
      <c r="Y76" s="80" t="s">
        <v>86</v>
      </c>
      <c r="Z76" s="80" t="s">
        <v>64</v>
      </c>
      <c r="AA76" s="80" t="s">
        <v>43</v>
      </c>
      <c r="AB76" s="43" t="s">
        <v>161</v>
      </c>
      <c r="AI76" s="48"/>
      <c r="AJ76" s="48"/>
      <c r="AK76" s="48"/>
      <c r="AL76" s="48"/>
      <c r="AM76" s="48"/>
    </row>
    <row r="77" spans="1:39" s="80" customFormat="1" x14ac:dyDescent="0.15">
      <c r="A77" s="87" t="s">
        <v>23</v>
      </c>
      <c r="B77" s="87" t="s">
        <v>160</v>
      </c>
      <c r="C77" s="87">
        <v>2020</v>
      </c>
      <c r="D77" s="45" t="s">
        <v>164</v>
      </c>
      <c r="E77" s="87" t="s">
        <v>171</v>
      </c>
      <c r="F77" s="87" t="s">
        <v>147</v>
      </c>
      <c r="G77" s="87" t="s">
        <v>25</v>
      </c>
      <c r="H77" s="87" t="s">
        <v>377</v>
      </c>
      <c r="I77" s="87" t="s">
        <v>111</v>
      </c>
      <c r="J77" s="81" t="s">
        <v>27</v>
      </c>
      <c r="K77" s="80" t="s">
        <v>112</v>
      </c>
      <c r="L77" s="87">
        <v>1</v>
      </c>
      <c r="N77" s="80">
        <v>8</v>
      </c>
      <c r="O77" s="80">
        <v>0.35</v>
      </c>
      <c r="P77" s="80">
        <v>0.3</v>
      </c>
      <c r="Q77" s="44">
        <f t="shared" si="0"/>
        <v>0.32499999999999996</v>
      </c>
      <c r="R77" s="80">
        <v>18.5</v>
      </c>
      <c r="S77" s="80">
        <v>112</v>
      </c>
      <c r="T77" s="16">
        <f t="shared" si="1"/>
        <v>33</v>
      </c>
      <c r="U77" s="80">
        <v>980</v>
      </c>
      <c r="V77" s="65">
        <f t="shared" si="2"/>
        <v>4042.5</v>
      </c>
      <c r="W77" s="80">
        <v>24</v>
      </c>
      <c r="X77" s="67" t="s">
        <v>35</v>
      </c>
      <c r="Y77" s="80" t="s">
        <v>86</v>
      </c>
      <c r="Z77" s="80" t="s">
        <v>64</v>
      </c>
      <c r="AA77" s="80" t="s">
        <v>43</v>
      </c>
      <c r="AB77" s="43" t="s">
        <v>161</v>
      </c>
      <c r="AI77" s="48"/>
      <c r="AJ77" s="48"/>
      <c r="AK77" s="48"/>
      <c r="AL77" s="48"/>
      <c r="AM77" s="48"/>
    </row>
    <row r="78" spans="1:39" s="80" customFormat="1" x14ac:dyDescent="0.15">
      <c r="A78" s="87" t="s">
        <v>23</v>
      </c>
      <c r="B78" s="87" t="s">
        <v>160</v>
      </c>
      <c r="C78" s="87">
        <v>2020</v>
      </c>
      <c r="D78" s="45" t="s">
        <v>164</v>
      </c>
      <c r="E78" s="87" t="s">
        <v>171</v>
      </c>
      <c r="F78" s="87" t="s">
        <v>147</v>
      </c>
      <c r="G78" s="87" t="s">
        <v>25</v>
      </c>
      <c r="H78" s="87" t="s">
        <v>167</v>
      </c>
      <c r="I78" s="87" t="s">
        <v>111</v>
      </c>
      <c r="J78" s="81" t="s">
        <v>27</v>
      </c>
      <c r="K78" s="80" t="s">
        <v>112</v>
      </c>
      <c r="L78" s="87">
        <v>2</v>
      </c>
      <c r="N78" s="80">
        <v>8</v>
      </c>
      <c r="O78" s="80">
        <v>0.3</v>
      </c>
      <c r="P78" s="80">
        <v>0.35</v>
      </c>
      <c r="Q78" s="44">
        <f t="shared" si="0"/>
        <v>0.32499999999999996</v>
      </c>
      <c r="R78" s="80">
        <v>18</v>
      </c>
      <c r="S78" s="80">
        <v>112</v>
      </c>
      <c r="T78" s="16">
        <f t="shared" si="1"/>
        <v>33</v>
      </c>
      <c r="U78" s="80">
        <v>980</v>
      </c>
      <c r="V78" s="65">
        <f t="shared" si="2"/>
        <v>4042.5</v>
      </c>
      <c r="W78" s="80">
        <v>24</v>
      </c>
      <c r="X78" s="67" t="s">
        <v>35</v>
      </c>
      <c r="Y78" s="80" t="s">
        <v>86</v>
      </c>
      <c r="Z78" s="80" t="s">
        <v>64</v>
      </c>
      <c r="AA78" s="80" t="s">
        <v>43</v>
      </c>
      <c r="AB78" s="43" t="s">
        <v>161</v>
      </c>
      <c r="AI78" s="48"/>
      <c r="AJ78" s="48"/>
      <c r="AK78" s="48"/>
      <c r="AL78" s="48"/>
      <c r="AM78" s="48"/>
    </row>
    <row r="79" spans="1:39" s="80" customFormat="1" x14ac:dyDescent="0.15">
      <c r="A79" s="87" t="s">
        <v>23</v>
      </c>
      <c r="B79" s="87" t="s">
        <v>160</v>
      </c>
      <c r="C79" s="87">
        <v>2020</v>
      </c>
      <c r="D79" s="45" t="s">
        <v>164</v>
      </c>
      <c r="E79" s="87" t="s">
        <v>171</v>
      </c>
      <c r="F79" s="87" t="s">
        <v>147</v>
      </c>
      <c r="G79" s="87" t="s">
        <v>25</v>
      </c>
      <c r="H79" s="87" t="s">
        <v>167</v>
      </c>
      <c r="I79" s="87" t="s">
        <v>111</v>
      </c>
      <c r="J79" s="81" t="s">
        <v>27</v>
      </c>
      <c r="K79" s="80" t="s">
        <v>112</v>
      </c>
      <c r="L79" s="87">
        <v>3</v>
      </c>
      <c r="N79" s="80">
        <v>8</v>
      </c>
      <c r="O79" s="80">
        <v>0.3</v>
      </c>
      <c r="P79" s="80">
        <v>0.25</v>
      </c>
      <c r="Q79" s="44">
        <f t="shared" si="0"/>
        <v>0.27500000000000002</v>
      </c>
      <c r="R79" s="80">
        <v>17.8</v>
      </c>
      <c r="S79" s="80">
        <v>110</v>
      </c>
      <c r="T79" s="16">
        <f t="shared" si="1"/>
        <v>33</v>
      </c>
      <c r="U79" s="80">
        <v>980</v>
      </c>
      <c r="V79" s="65">
        <f t="shared" si="2"/>
        <v>4042.5</v>
      </c>
      <c r="W79" s="80">
        <v>24</v>
      </c>
      <c r="X79" s="67" t="s">
        <v>35</v>
      </c>
      <c r="Y79" s="80" t="s">
        <v>86</v>
      </c>
      <c r="Z79" s="80" t="s">
        <v>64</v>
      </c>
      <c r="AA79" s="80" t="s">
        <v>43</v>
      </c>
      <c r="AB79" s="43" t="s">
        <v>161</v>
      </c>
      <c r="AI79" s="48"/>
      <c r="AJ79" s="48"/>
      <c r="AK79" s="48"/>
      <c r="AL79" s="48"/>
      <c r="AM79" s="48"/>
    </row>
    <row r="80" spans="1:39" s="80" customFormat="1" x14ac:dyDescent="0.15">
      <c r="A80" s="87" t="s">
        <v>23</v>
      </c>
      <c r="B80" s="87" t="s">
        <v>160</v>
      </c>
      <c r="C80" s="87">
        <v>2020</v>
      </c>
      <c r="D80" s="45" t="s">
        <v>164</v>
      </c>
      <c r="E80" s="87" t="s">
        <v>171</v>
      </c>
      <c r="F80" s="87" t="s">
        <v>147</v>
      </c>
      <c r="G80" s="87" t="s">
        <v>25</v>
      </c>
      <c r="H80" s="87" t="s">
        <v>167</v>
      </c>
      <c r="I80" s="87" t="s">
        <v>172</v>
      </c>
      <c r="J80" s="81" t="s">
        <v>27</v>
      </c>
      <c r="K80" s="80" t="s">
        <v>112</v>
      </c>
      <c r="L80" s="87">
        <v>1</v>
      </c>
      <c r="N80" s="80">
        <v>4</v>
      </c>
      <c r="O80" s="80">
        <v>0.6</v>
      </c>
      <c r="P80" s="80">
        <v>0.5</v>
      </c>
      <c r="Q80" s="44">
        <f t="shared" si="0"/>
        <v>0.55000000000000004</v>
      </c>
      <c r="R80" s="80">
        <v>18.8</v>
      </c>
      <c r="S80" s="80">
        <v>100</v>
      </c>
      <c r="T80" s="16">
        <f t="shared" si="1"/>
        <v>33</v>
      </c>
      <c r="U80" s="80">
        <v>598</v>
      </c>
      <c r="V80" s="65">
        <f t="shared" si="2"/>
        <v>4933.5</v>
      </c>
      <c r="W80" s="80">
        <v>24</v>
      </c>
      <c r="X80" s="80" t="s">
        <v>35</v>
      </c>
      <c r="Y80" s="80" t="s">
        <v>86</v>
      </c>
      <c r="Z80" s="80" t="s">
        <v>64</v>
      </c>
      <c r="AA80" s="80" t="s">
        <v>43</v>
      </c>
      <c r="AB80" s="43" t="s">
        <v>161</v>
      </c>
      <c r="AI80" s="48"/>
      <c r="AJ80" s="48"/>
      <c r="AK80" s="48"/>
      <c r="AL80" s="48"/>
      <c r="AM80" s="48"/>
    </row>
    <row r="81" spans="1:39" s="80" customFormat="1" x14ac:dyDescent="0.15">
      <c r="A81" s="87" t="s">
        <v>23</v>
      </c>
      <c r="B81" s="87" t="s">
        <v>160</v>
      </c>
      <c r="C81" s="87">
        <v>2020</v>
      </c>
      <c r="D81" s="45" t="s">
        <v>164</v>
      </c>
      <c r="E81" s="87" t="s">
        <v>171</v>
      </c>
      <c r="F81" s="87" t="s">
        <v>147</v>
      </c>
      <c r="G81" s="87" t="s">
        <v>25</v>
      </c>
      <c r="H81" s="87" t="s">
        <v>167</v>
      </c>
      <c r="I81" s="87" t="s">
        <v>172</v>
      </c>
      <c r="J81" s="81" t="s">
        <v>27</v>
      </c>
      <c r="K81" s="80" t="s">
        <v>112</v>
      </c>
      <c r="L81" s="87">
        <v>2</v>
      </c>
      <c r="N81" s="80">
        <v>4</v>
      </c>
      <c r="O81" s="80">
        <v>0.55000000000000004</v>
      </c>
      <c r="P81" s="80">
        <v>0.55000000000000004</v>
      </c>
      <c r="Q81" s="44">
        <f t="shared" si="0"/>
        <v>0.55000000000000004</v>
      </c>
      <c r="R81" s="80">
        <v>18.399999999999999</v>
      </c>
      <c r="S81" s="80">
        <v>95</v>
      </c>
      <c r="T81" s="16">
        <f t="shared" si="1"/>
        <v>36</v>
      </c>
      <c r="U81" s="80">
        <v>598</v>
      </c>
      <c r="V81" s="65">
        <f t="shared" si="2"/>
        <v>5382</v>
      </c>
      <c r="W81" s="80">
        <v>24</v>
      </c>
      <c r="X81" s="80" t="s">
        <v>35</v>
      </c>
      <c r="Y81" s="80" t="s">
        <v>86</v>
      </c>
      <c r="Z81" s="80" t="s">
        <v>64</v>
      </c>
      <c r="AA81" s="80" t="s">
        <v>43</v>
      </c>
      <c r="AB81" s="43" t="s">
        <v>161</v>
      </c>
      <c r="AI81" s="48"/>
      <c r="AJ81" s="48"/>
      <c r="AK81" s="48"/>
      <c r="AL81" s="48"/>
      <c r="AM81" s="48"/>
    </row>
    <row r="82" spans="1:39" s="80" customFormat="1" x14ac:dyDescent="0.15">
      <c r="A82" s="87" t="s">
        <v>23</v>
      </c>
      <c r="B82" s="87" t="s">
        <v>160</v>
      </c>
      <c r="C82" s="87">
        <v>2020</v>
      </c>
      <c r="D82" s="45" t="s">
        <v>164</v>
      </c>
      <c r="E82" s="87" t="s">
        <v>171</v>
      </c>
      <c r="F82" s="87" t="s">
        <v>147</v>
      </c>
      <c r="G82" s="87" t="s">
        <v>25</v>
      </c>
      <c r="H82" s="87" t="s">
        <v>167</v>
      </c>
      <c r="I82" s="87" t="s">
        <v>172</v>
      </c>
      <c r="J82" s="81" t="s">
        <v>27</v>
      </c>
      <c r="K82" s="80" t="s">
        <v>112</v>
      </c>
      <c r="L82" s="87">
        <v>3</v>
      </c>
      <c r="N82" s="80">
        <v>4</v>
      </c>
      <c r="O82" s="80">
        <v>0.7</v>
      </c>
      <c r="P82" s="80">
        <v>0.55000000000000004</v>
      </c>
      <c r="Q82" s="44">
        <f t="shared" si="0"/>
        <v>0.625</v>
      </c>
      <c r="R82" s="80">
        <v>16.3</v>
      </c>
      <c r="S82" s="80">
        <v>103</v>
      </c>
      <c r="T82" s="16">
        <f t="shared" si="1"/>
        <v>33</v>
      </c>
      <c r="U82" s="80">
        <v>598</v>
      </c>
      <c r="V82" s="65">
        <f t="shared" si="2"/>
        <v>4933.5</v>
      </c>
      <c r="W82" s="80">
        <v>24</v>
      </c>
      <c r="X82" s="80" t="s">
        <v>35</v>
      </c>
      <c r="Y82" s="80" t="s">
        <v>86</v>
      </c>
      <c r="Z82" s="80" t="s">
        <v>64</v>
      </c>
      <c r="AA82" s="80" t="s">
        <v>43</v>
      </c>
      <c r="AB82" s="43" t="s">
        <v>161</v>
      </c>
      <c r="AI82" s="48"/>
      <c r="AJ82" s="48"/>
      <c r="AK82" s="48"/>
      <c r="AL82" s="48"/>
      <c r="AM82" s="48"/>
    </row>
    <row r="83" spans="1:39" s="80" customFormat="1" x14ac:dyDescent="0.15">
      <c r="A83" s="87" t="s">
        <v>23</v>
      </c>
      <c r="B83" s="87" t="s">
        <v>160</v>
      </c>
      <c r="C83" s="87">
        <v>2020</v>
      </c>
      <c r="D83" s="45" t="s">
        <v>164</v>
      </c>
      <c r="E83" s="87" t="s">
        <v>171</v>
      </c>
      <c r="F83" s="87" t="s">
        <v>147</v>
      </c>
      <c r="G83" s="87" t="s">
        <v>25</v>
      </c>
      <c r="H83" s="87" t="s">
        <v>167</v>
      </c>
      <c r="I83" s="87" t="s">
        <v>111</v>
      </c>
      <c r="J83" s="81" t="s">
        <v>27</v>
      </c>
      <c r="K83" s="80" t="s">
        <v>112</v>
      </c>
      <c r="L83" s="87">
        <v>1</v>
      </c>
      <c r="N83" s="80">
        <v>4</v>
      </c>
      <c r="O83" s="80">
        <v>0.7</v>
      </c>
      <c r="P83" s="80">
        <v>0.75</v>
      </c>
      <c r="Q83" s="44">
        <f t="shared" si="0"/>
        <v>0.72499999999999998</v>
      </c>
      <c r="R83" s="80">
        <v>17.100000000000001</v>
      </c>
      <c r="S83" s="80">
        <v>94</v>
      </c>
      <c r="T83" s="16">
        <f t="shared" si="1"/>
        <v>36</v>
      </c>
      <c r="U83" s="80">
        <v>498</v>
      </c>
      <c r="V83" s="65">
        <f t="shared" si="2"/>
        <v>4482</v>
      </c>
      <c r="W83" s="80">
        <v>24</v>
      </c>
      <c r="X83" s="80" t="s">
        <v>35</v>
      </c>
      <c r="Y83" s="80" t="s">
        <v>86</v>
      </c>
      <c r="Z83" s="80" t="s">
        <v>64</v>
      </c>
      <c r="AA83" s="80" t="s">
        <v>43</v>
      </c>
      <c r="AB83" s="43" t="s">
        <v>161</v>
      </c>
      <c r="AI83" s="48"/>
      <c r="AJ83" s="48"/>
      <c r="AK83" s="48"/>
      <c r="AL83" s="48"/>
      <c r="AM83" s="48"/>
    </row>
    <row r="84" spans="1:39" s="80" customFormat="1" x14ac:dyDescent="0.15">
      <c r="A84" s="87" t="s">
        <v>23</v>
      </c>
      <c r="B84" s="87" t="s">
        <v>160</v>
      </c>
      <c r="C84" s="87">
        <v>2020</v>
      </c>
      <c r="D84" s="45" t="s">
        <v>164</v>
      </c>
      <c r="E84" s="87" t="s">
        <v>171</v>
      </c>
      <c r="F84" s="87" t="s">
        <v>147</v>
      </c>
      <c r="G84" s="87" t="s">
        <v>25</v>
      </c>
      <c r="H84" s="87" t="s">
        <v>167</v>
      </c>
      <c r="I84" s="87" t="s">
        <v>111</v>
      </c>
      <c r="J84" s="81" t="s">
        <v>27</v>
      </c>
      <c r="K84" s="80" t="s">
        <v>112</v>
      </c>
      <c r="L84" s="87">
        <v>2</v>
      </c>
      <c r="N84" s="80">
        <v>4</v>
      </c>
      <c r="O84" s="80">
        <v>0.65</v>
      </c>
      <c r="P84" s="80">
        <v>0.55000000000000004</v>
      </c>
      <c r="Q84" s="44">
        <f t="shared" si="0"/>
        <v>0.60000000000000009</v>
      </c>
      <c r="R84" s="80">
        <v>14.7</v>
      </c>
      <c r="S84" s="80">
        <v>105</v>
      </c>
      <c r="T84" s="16">
        <f t="shared" si="1"/>
        <v>33</v>
      </c>
      <c r="U84" s="80">
        <v>498</v>
      </c>
      <c r="V84" s="65">
        <f t="shared" si="2"/>
        <v>4108.5</v>
      </c>
      <c r="W84" s="80">
        <v>24</v>
      </c>
      <c r="X84" s="80" t="s">
        <v>35</v>
      </c>
      <c r="Y84" s="80" t="s">
        <v>86</v>
      </c>
      <c r="Z84" s="80" t="s">
        <v>64</v>
      </c>
      <c r="AA84" s="80" t="s">
        <v>43</v>
      </c>
      <c r="AB84" s="43" t="s">
        <v>161</v>
      </c>
      <c r="AI84" s="48"/>
      <c r="AJ84" s="48"/>
      <c r="AK84" s="48"/>
      <c r="AL84" s="48"/>
      <c r="AM84" s="48"/>
    </row>
    <row r="85" spans="1:39" s="80" customFormat="1" x14ac:dyDescent="0.15">
      <c r="A85" s="87" t="s">
        <v>23</v>
      </c>
      <c r="B85" s="87" t="s">
        <v>160</v>
      </c>
      <c r="C85" s="87">
        <v>2020</v>
      </c>
      <c r="D85" s="45" t="s">
        <v>164</v>
      </c>
      <c r="E85" s="87" t="s">
        <v>171</v>
      </c>
      <c r="F85" s="87" t="s">
        <v>147</v>
      </c>
      <c r="G85" s="87" t="s">
        <v>25</v>
      </c>
      <c r="H85" s="87" t="s">
        <v>167</v>
      </c>
      <c r="I85" s="87" t="s">
        <v>111</v>
      </c>
      <c r="J85" s="81" t="s">
        <v>27</v>
      </c>
      <c r="K85" s="80" t="s">
        <v>112</v>
      </c>
      <c r="L85" s="87">
        <v>3</v>
      </c>
      <c r="N85" s="80">
        <v>4</v>
      </c>
      <c r="O85" s="80">
        <v>0.75</v>
      </c>
      <c r="P85" s="80">
        <v>0.85</v>
      </c>
      <c r="Q85" s="44">
        <f t="shared" si="0"/>
        <v>0.8</v>
      </c>
      <c r="R85" s="80">
        <v>17.100000000000001</v>
      </c>
      <c r="S85" s="80">
        <v>99</v>
      </c>
      <c r="T85" s="16">
        <f t="shared" si="1"/>
        <v>33</v>
      </c>
      <c r="U85" s="80">
        <v>498</v>
      </c>
      <c r="V85" s="65">
        <f t="shared" si="2"/>
        <v>4108.5</v>
      </c>
      <c r="W85" s="80">
        <v>24</v>
      </c>
      <c r="X85" s="80" t="s">
        <v>35</v>
      </c>
      <c r="Y85" s="80" t="s">
        <v>86</v>
      </c>
      <c r="Z85" s="80" t="s">
        <v>64</v>
      </c>
      <c r="AA85" s="80" t="s">
        <v>43</v>
      </c>
      <c r="AB85" s="43" t="s">
        <v>161</v>
      </c>
      <c r="AI85" s="48"/>
      <c r="AJ85" s="48"/>
      <c r="AK85" s="48"/>
      <c r="AL85" s="48"/>
      <c r="AM85" s="48"/>
    </row>
    <row r="86" spans="1:39" s="80" customFormat="1" x14ac:dyDescent="0.15">
      <c r="A86" s="87" t="s">
        <v>23</v>
      </c>
      <c r="B86" s="87" t="s">
        <v>160</v>
      </c>
      <c r="C86" s="87">
        <v>2020</v>
      </c>
      <c r="D86" s="45" t="s">
        <v>164</v>
      </c>
      <c r="E86" s="87" t="s">
        <v>151</v>
      </c>
      <c r="F86" s="87" t="s">
        <v>147</v>
      </c>
      <c r="G86" s="87" t="s">
        <v>25</v>
      </c>
      <c r="H86" s="87" t="s">
        <v>113</v>
      </c>
      <c r="I86" s="87" t="s">
        <v>111</v>
      </c>
      <c r="J86" s="81" t="s">
        <v>27</v>
      </c>
      <c r="K86" s="80" t="s">
        <v>112</v>
      </c>
      <c r="L86" s="87">
        <v>1</v>
      </c>
      <c r="N86" s="80">
        <v>1</v>
      </c>
      <c r="O86" s="80">
        <v>0.4</v>
      </c>
      <c r="P86" s="80">
        <v>0.6</v>
      </c>
      <c r="Q86" s="44">
        <f t="shared" si="0"/>
        <v>0.5</v>
      </c>
      <c r="R86" s="80">
        <v>18.2</v>
      </c>
      <c r="S86" s="80">
        <v>119</v>
      </c>
      <c r="T86" s="16">
        <f t="shared" si="1"/>
        <v>30</v>
      </c>
      <c r="U86" s="80">
        <v>92</v>
      </c>
      <c r="V86" s="65">
        <f t="shared" si="2"/>
        <v>2760</v>
      </c>
      <c r="W86" s="80">
        <v>13</v>
      </c>
      <c r="X86" s="80" t="s">
        <v>35</v>
      </c>
      <c r="Y86" s="80" t="s">
        <v>86</v>
      </c>
      <c r="Z86" s="80" t="s">
        <v>64</v>
      </c>
      <c r="AA86" s="80" t="s">
        <v>43</v>
      </c>
      <c r="AB86" s="43" t="s">
        <v>161</v>
      </c>
      <c r="AI86" s="48"/>
      <c r="AJ86" s="48"/>
      <c r="AK86" s="48"/>
      <c r="AL86" s="48"/>
      <c r="AM86" s="48"/>
    </row>
    <row r="87" spans="1:39" s="80" customFormat="1" x14ac:dyDescent="0.15">
      <c r="A87" s="87" t="s">
        <v>23</v>
      </c>
      <c r="B87" s="87" t="s">
        <v>160</v>
      </c>
      <c r="C87" s="87">
        <v>2020</v>
      </c>
      <c r="D87" s="45" t="s">
        <v>164</v>
      </c>
      <c r="E87" s="87" t="s">
        <v>151</v>
      </c>
      <c r="F87" s="87" t="s">
        <v>147</v>
      </c>
      <c r="G87" s="87" t="s">
        <v>25</v>
      </c>
      <c r="H87" s="87" t="s">
        <v>378</v>
      </c>
      <c r="I87" s="87" t="s">
        <v>111</v>
      </c>
      <c r="J87" s="81" t="s">
        <v>27</v>
      </c>
      <c r="K87" s="80" t="s">
        <v>112</v>
      </c>
      <c r="L87" s="87">
        <v>2</v>
      </c>
      <c r="N87" s="80">
        <v>1</v>
      </c>
      <c r="O87" s="80">
        <v>0.6</v>
      </c>
      <c r="P87" s="80">
        <v>0.7</v>
      </c>
      <c r="Q87" s="44">
        <f t="shared" si="0"/>
        <v>0.64999999999999991</v>
      </c>
      <c r="R87" s="80">
        <v>13.3</v>
      </c>
      <c r="S87" s="80">
        <v>124</v>
      </c>
      <c r="T87" s="16">
        <f t="shared" si="1"/>
        <v>30</v>
      </c>
      <c r="U87" s="80">
        <v>92</v>
      </c>
      <c r="V87" s="65">
        <f t="shared" si="2"/>
        <v>2760</v>
      </c>
      <c r="W87" s="80">
        <v>13</v>
      </c>
      <c r="X87" s="80" t="s">
        <v>35</v>
      </c>
      <c r="Y87" s="80" t="s">
        <v>86</v>
      </c>
      <c r="Z87" s="80" t="s">
        <v>64</v>
      </c>
      <c r="AA87" s="80" t="s">
        <v>43</v>
      </c>
      <c r="AB87" s="43" t="s">
        <v>161</v>
      </c>
      <c r="AI87" s="48"/>
      <c r="AJ87" s="48"/>
      <c r="AK87" s="48"/>
      <c r="AL87" s="48"/>
      <c r="AM87" s="48"/>
    </row>
    <row r="88" spans="1:39" s="80" customFormat="1" x14ac:dyDescent="0.15">
      <c r="A88" s="87" t="s">
        <v>23</v>
      </c>
      <c r="B88" s="87" t="s">
        <v>160</v>
      </c>
      <c r="C88" s="87">
        <v>2020</v>
      </c>
      <c r="D88" s="45" t="s">
        <v>164</v>
      </c>
      <c r="E88" s="87" t="s">
        <v>151</v>
      </c>
      <c r="F88" s="87" t="s">
        <v>147</v>
      </c>
      <c r="G88" s="87" t="s">
        <v>25</v>
      </c>
      <c r="H88" s="87" t="s">
        <v>113</v>
      </c>
      <c r="I88" s="87" t="s">
        <v>111</v>
      </c>
      <c r="J88" s="81" t="s">
        <v>27</v>
      </c>
      <c r="K88" s="80" t="s">
        <v>112</v>
      </c>
      <c r="L88" s="87">
        <v>3</v>
      </c>
      <c r="N88" s="80">
        <v>1</v>
      </c>
      <c r="O88" s="80">
        <v>0.75</v>
      </c>
      <c r="P88" s="80">
        <v>1</v>
      </c>
      <c r="Q88" s="44">
        <f t="shared" si="0"/>
        <v>0.875</v>
      </c>
      <c r="R88" s="80">
        <v>17.3</v>
      </c>
      <c r="S88" s="80">
        <v>118</v>
      </c>
      <c r="T88" s="16">
        <f t="shared" si="1"/>
        <v>30</v>
      </c>
      <c r="U88" s="80">
        <v>92</v>
      </c>
      <c r="V88" s="65">
        <f t="shared" si="2"/>
        <v>2760</v>
      </c>
      <c r="W88" s="80">
        <v>13</v>
      </c>
      <c r="X88" s="80" t="s">
        <v>35</v>
      </c>
      <c r="Y88" s="80" t="s">
        <v>86</v>
      </c>
      <c r="Z88" s="80" t="s">
        <v>64</v>
      </c>
      <c r="AA88" s="80" t="s">
        <v>43</v>
      </c>
      <c r="AB88" s="43" t="s">
        <v>161</v>
      </c>
      <c r="AI88" s="48"/>
      <c r="AJ88" s="48"/>
      <c r="AK88" s="48"/>
      <c r="AL88" s="48"/>
      <c r="AM88" s="48"/>
    </row>
    <row r="89" spans="1:39" s="80" customFormat="1" x14ac:dyDescent="0.15">
      <c r="A89" s="87" t="s">
        <v>23</v>
      </c>
      <c r="B89" s="87" t="s">
        <v>160</v>
      </c>
      <c r="C89" s="87">
        <v>2020</v>
      </c>
      <c r="D89" s="45" t="s">
        <v>164</v>
      </c>
      <c r="E89" s="87" t="s">
        <v>151</v>
      </c>
      <c r="F89" s="87" t="s">
        <v>147</v>
      </c>
      <c r="G89" s="87" t="s">
        <v>25</v>
      </c>
      <c r="H89" s="87" t="s">
        <v>113</v>
      </c>
      <c r="I89" s="87" t="s">
        <v>111</v>
      </c>
      <c r="J89" s="81" t="s">
        <v>27</v>
      </c>
      <c r="K89" s="80" t="s">
        <v>112</v>
      </c>
      <c r="L89" s="87">
        <v>1</v>
      </c>
      <c r="N89" s="80">
        <v>5</v>
      </c>
      <c r="O89" s="80">
        <v>1</v>
      </c>
      <c r="P89" s="80">
        <v>0.9</v>
      </c>
      <c r="Q89" s="44">
        <f t="shared" si="0"/>
        <v>0.95</v>
      </c>
      <c r="R89" s="80">
        <v>15.4</v>
      </c>
      <c r="S89" s="80">
        <v>105</v>
      </c>
      <c r="T89" s="16">
        <f t="shared" si="1"/>
        <v>33</v>
      </c>
      <c r="U89" s="80">
        <v>357</v>
      </c>
      <c r="V89" s="65">
        <f t="shared" si="2"/>
        <v>2356.2000000000003</v>
      </c>
      <c r="W89" s="80">
        <v>13</v>
      </c>
      <c r="X89" s="80" t="s">
        <v>35</v>
      </c>
      <c r="Y89" s="80" t="s">
        <v>86</v>
      </c>
      <c r="Z89" s="80" t="s">
        <v>64</v>
      </c>
      <c r="AA89" s="80" t="s">
        <v>43</v>
      </c>
      <c r="AB89" s="43" t="s">
        <v>161</v>
      </c>
      <c r="AI89" s="48"/>
      <c r="AJ89" s="48"/>
      <c r="AK89" s="48"/>
      <c r="AL89" s="48"/>
      <c r="AM89" s="48"/>
    </row>
    <row r="90" spans="1:39" s="80" customFormat="1" x14ac:dyDescent="0.15">
      <c r="A90" s="87" t="s">
        <v>23</v>
      </c>
      <c r="B90" s="87" t="s">
        <v>160</v>
      </c>
      <c r="C90" s="87">
        <v>2020</v>
      </c>
      <c r="D90" s="45" t="s">
        <v>164</v>
      </c>
      <c r="E90" s="87" t="s">
        <v>151</v>
      </c>
      <c r="F90" s="87" t="s">
        <v>147</v>
      </c>
      <c r="G90" s="87" t="s">
        <v>25</v>
      </c>
      <c r="H90" s="87" t="s">
        <v>113</v>
      </c>
      <c r="I90" s="87" t="s">
        <v>111</v>
      </c>
      <c r="J90" s="81" t="s">
        <v>27</v>
      </c>
      <c r="K90" s="80" t="s">
        <v>112</v>
      </c>
      <c r="L90" s="87">
        <v>2</v>
      </c>
      <c r="N90" s="80">
        <v>5</v>
      </c>
      <c r="O90" s="80">
        <v>0.95</v>
      </c>
      <c r="P90" s="80">
        <v>1.25</v>
      </c>
      <c r="Q90" s="44">
        <f t="shared" si="0"/>
        <v>1.1000000000000001</v>
      </c>
      <c r="R90" s="80">
        <v>14.6</v>
      </c>
      <c r="S90" s="80">
        <v>97</v>
      </c>
      <c r="T90" s="16">
        <f t="shared" si="1"/>
        <v>36</v>
      </c>
      <c r="U90" s="80">
        <v>357</v>
      </c>
      <c r="V90" s="65">
        <f t="shared" si="2"/>
        <v>2570.4</v>
      </c>
      <c r="W90" s="80">
        <v>13</v>
      </c>
      <c r="X90" s="80" t="s">
        <v>35</v>
      </c>
      <c r="Y90" s="80" t="s">
        <v>86</v>
      </c>
      <c r="Z90" s="80" t="s">
        <v>64</v>
      </c>
      <c r="AA90" s="80" t="s">
        <v>43</v>
      </c>
      <c r="AB90" s="43" t="s">
        <v>161</v>
      </c>
      <c r="AI90" s="48"/>
      <c r="AJ90" s="48"/>
      <c r="AK90" s="48"/>
      <c r="AL90" s="48"/>
      <c r="AM90" s="48"/>
    </row>
    <row r="91" spans="1:39" s="80" customFormat="1" x14ac:dyDescent="0.15">
      <c r="A91" s="87" t="s">
        <v>23</v>
      </c>
      <c r="B91" s="87" t="s">
        <v>160</v>
      </c>
      <c r="C91" s="87">
        <v>2020</v>
      </c>
      <c r="D91" s="45" t="s">
        <v>164</v>
      </c>
      <c r="E91" s="87" t="s">
        <v>151</v>
      </c>
      <c r="F91" s="87" t="s">
        <v>147</v>
      </c>
      <c r="G91" s="87" t="s">
        <v>25</v>
      </c>
      <c r="H91" s="87" t="s">
        <v>113</v>
      </c>
      <c r="I91" s="87" t="s">
        <v>111</v>
      </c>
      <c r="J91" s="81" t="s">
        <v>27</v>
      </c>
      <c r="K91" s="80" t="s">
        <v>112</v>
      </c>
      <c r="L91" s="87">
        <v>3</v>
      </c>
      <c r="N91" s="80">
        <v>5</v>
      </c>
      <c r="O91" s="80">
        <v>0.95</v>
      </c>
      <c r="P91" s="80">
        <v>0.7</v>
      </c>
      <c r="Q91" s="44">
        <f t="shared" si="0"/>
        <v>0.82499999999999996</v>
      </c>
      <c r="R91" s="80">
        <v>15.6</v>
      </c>
      <c r="S91" s="80">
        <v>97</v>
      </c>
      <c r="T91" s="16">
        <f t="shared" si="1"/>
        <v>36</v>
      </c>
      <c r="U91" s="80">
        <v>357</v>
      </c>
      <c r="V91" s="65">
        <f t="shared" si="2"/>
        <v>2570.4</v>
      </c>
      <c r="W91" s="80">
        <v>13</v>
      </c>
      <c r="X91" s="80" t="s">
        <v>35</v>
      </c>
      <c r="Y91" s="80" t="s">
        <v>86</v>
      </c>
      <c r="Z91" s="80" t="s">
        <v>64</v>
      </c>
      <c r="AA91" s="80" t="s">
        <v>43</v>
      </c>
      <c r="AB91" s="43" t="s">
        <v>161</v>
      </c>
      <c r="AI91" s="48"/>
      <c r="AJ91" s="48"/>
      <c r="AK91" s="48"/>
      <c r="AL91" s="48"/>
      <c r="AM91" s="48"/>
    </row>
    <row r="92" spans="1:39" s="80" customFormat="1" x14ac:dyDescent="0.15">
      <c r="A92" s="87" t="s">
        <v>23</v>
      </c>
      <c r="B92" s="87" t="s">
        <v>160</v>
      </c>
      <c r="C92" s="87">
        <v>2020</v>
      </c>
      <c r="D92" s="45" t="s">
        <v>164</v>
      </c>
      <c r="E92" s="87" t="s">
        <v>151</v>
      </c>
      <c r="F92" s="87" t="s">
        <v>147</v>
      </c>
      <c r="G92" s="87" t="s">
        <v>25</v>
      </c>
      <c r="H92" s="87" t="s">
        <v>167</v>
      </c>
      <c r="I92" s="87" t="s">
        <v>111</v>
      </c>
      <c r="J92" s="81" t="s">
        <v>27</v>
      </c>
      <c r="K92" s="80" t="s">
        <v>112</v>
      </c>
      <c r="L92" s="87">
        <v>1</v>
      </c>
      <c r="N92" s="80">
        <v>1</v>
      </c>
      <c r="O92" s="80">
        <v>0.55000000000000004</v>
      </c>
      <c r="P92" s="80">
        <v>0.6</v>
      </c>
      <c r="Q92" s="44">
        <f t="shared" si="0"/>
        <v>0.57499999999999996</v>
      </c>
      <c r="R92" s="80">
        <v>18.600000000000001</v>
      </c>
      <c r="S92" s="80">
        <v>130</v>
      </c>
      <c r="T92" s="16">
        <f t="shared" si="1"/>
        <v>30</v>
      </c>
      <c r="U92" s="80">
        <v>92</v>
      </c>
      <c r="V92" s="65">
        <f t="shared" si="2"/>
        <v>2760</v>
      </c>
      <c r="W92" s="80">
        <v>13</v>
      </c>
      <c r="X92" s="80" t="s">
        <v>35</v>
      </c>
      <c r="Y92" s="80" t="s">
        <v>86</v>
      </c>
      <c r="Z92" s="80" t="s">
        <v>64</v>
      </c>
      <c r="AA92" s="80" t="s">
        <v>43</v>
      </c>
      <c r="AB92" s="43" t="s">
        <v>161</v>
      </c>
      <c r="AI92" s="48"/>
      <c r="AJ92" s="48"/>
      <c r="AK92" s="48"/>
      <c r="AL92" s="48"/>
      <c r="AM92" s="48"/>
    </row>
    <row r="93" spans="1:39" s="80" customFormat="1" x14ac:dyDescent="0.15">
      <c r="A93" s="87" t="s">
        <v>23</v>
      </c>
      <c r="B93" s="87" t="s">
        <v>160</v>
      </c>
      <c r="C93" s="87">
        <v>2020</v>
      </c>
      <c r="D93" s="45" t="s">
        <v>164</v>
      </c>
      <c r="E93" s="87" t="s">
        <v>151</v>
      </c>
      <c r="F93" s="87" t="s">
        <v>147</v>
      </c>
      <c r="G93" s="87" t="s">
        <v>25</v>
      </c>
      <c r="H93" s="87" t="s">
        <v>167</v>
      </c>
      <c r="I93" s="87" t="s">
        <v>111</v>
      </c>
      <c r="J93" s="81" t="s">
        <v>27</v>
      </c>
      <c r="K93" s="80" t="s">
        <v>112</v>
      </c>
      <c r="L93" s="87">
        <v>2</v>
      </c>
      <c r="N93" s="80">
        <v>1</v>
      </c>
      <c r="O93" s="80">
        <v>0.6</v>
      </c>
      <c r="P93" s="80">
        <v>0.55000000000000004</v>
      </c>
      <c r="Q93" s="44">
        <f t="shared" si="0"/>
        <v>0.57499999999999996</v>
      </c>
      <c r="R93" s="80">
        <v>16.8</v>
      </c>
      <c r="S93" s="80">
        <v>131</v>
      </c>
      <c r="T93" s="16">
        <f t="shared" si="1"/>
        <v>30</v>
      </c>
      <c r="U93" s="80">
        <v>92</v>
      </c>
      <c r="V93" s="65">
        <f t="shared" si="2"/>
        <v>2760</v>
      </c>
      <c r="W93" s="80">
        <v>13</v>
      </c>
      <c r="X93" s="80" t="s">
        <v>35</v>
      </c>
      <c r="Y93" s="80" t="s">
        <v>86</v>
      </c>
      <c r="Z93" s="80" t="s">
        <v>64</v>
      </c>
      <c r="AA93" s="80" t="s">
        <v>43</v>
      </c>
      <c r="AB93" s="43" t="s">
        <v>161</v>
      </c>
      <c r="AI93" s="48"/>
      <c r="AJ93" s="48"/>
      <c r="AK93" s="48"/>
      <c r="AL93" s="48"/>
      <c r="AM93" s="48"/>
    </row>
    <row r="94" spans="1:39" s="80" customFormat="1" x14ac:dyDescent="0.15">
      <c r="A94" s="87" t="s">
        <v>23</v>
      </c>
      <c r="B94" s="87" t="s">
        <v>160</v>
      </c>
      <c r="C94" s="87">
        <v>2020</v>
      </c>
      <c r="D94" s="45" t="s">
        <v>164</v>
      </c>
      <c r="E94" s="87" t="s">
        <v>151</v>
      </c>
      <c r="F94" s="87" t="s">
        <v>147</v>
      </c>
      <c r="G94" s="87" t="s">
        <v>25</v>
      </c>
      <c r="H94" s="87" t="s">
        <v>167</v>
      </c>
      <c r="I94" s="87" t="s">
        <v>111</v>
      </c>
      <c r="J94" s="81" t="s">
        <v>27</v>
      </c>
      <c r="K94" s="80" t="s">
        <v>112</v>
      </c>
      <c r="L94" s="87">
        <v>3</v>
      </c>
      <c r="N94" s="80">
        <v>1</v>
      </c>
      <c r="O94" s="80">
        <v>0.5</v>
      </c>
      <c r="P94" s="80">
        <v>0.5</v>
      </c>
      <c r="Q94" s="44">
        <f t="shared" si="0"/>
        <v>0.5</v>
      </c>
      <c r="R94" s="80">
        <v>16.5</v>
      </c>
      <c r="S94" s="80">
        <v>136</v>
      </c>
      <c r="T94" s="16">
        <f t="shared" si="1"/>
        <v>30</v>
      </c>
      <c r="U94" s="80">
        <v>92</v>
      </c>
      <c r="V94" s="65">
        <f t="shared" si="2"/>
        <v>2760</v>
      </c>
      <c r="W94" s="80">
        <v>13</v>
      </c>
      <c r="X94" s="80" t="s">
        <v>35</v>
      </c>
      <c r="Y94" s="80" t="s">
        <v>86</v>
      </c>
      <c r="Z94" s="80" t="s">
        <v>64</v>
      </c>
      <c r="AA94" s="80" t="s">
        <v>43</v>
      </c>
      <c r="AB94" s="43" t="s">
        <v>161</v>
      </c>
      <c r="AI94" s="48"/>
      <c r="AJ94" s="48"/>
      <c r="AK94" s="48"/>
      <c r="AL94" s="48"/>
      <c r="AM94" s="48"/>
    </row>
    <row r="95" spans="1:39" s="80" customFormat="1" x14ac:dyDescent="0.15">
      <c r="A95" s="87" t="s">
        <v>23</v>
      </c>
      <c r="B95" s="87" t="s">
        <v>160</v>
      </c>
      <c r="C95" s="87">
        <v>2020</v>
      </c>
      <c r="D95" s="45" t="s">
        <v>164</v>
      </c>
      <c r="E95" s="87" t="s">
        <v>151</v>
      </c>
      <c r="F95" s="87" t="s">
        <v>147</v>
      </c>
      <c r="G95" s="87" t="s">
        <v>25</v>
      </c>
      <c r="H95" s="87" t="s">
        <v>167</v>
      </c>
      <c r="I95" s="87" t="s">
        <v>111</v>
      </c>
      <c r="J95" s="81" t="s">
        <v>27</v>
      </c>
      <c r="K95" s="80" t="s">
        <v>112</v>
      </c>
      <c r="L95" s="87">
        <v>1</v>
      </c>
      <c r="N95" s="80">
        <v>4</v>
      </c>
      <c r="O95" s="80">
        <v>0.45</v>
      </c>
      <c r="P95" s="80">
        <v>0.55000000000000004</v>
      </c>
      <c r="Q95" s="44">
        <f t="shared" si="0"/>
        <v>0.5</v>
      </c>
      <c r="R95" s="80">
        <v>16.5</v>
      </c>
      <c r="S95" s="80">
        <v>91</v>
      </c>
      <c r="T95" s="16">
        <f t="shared" si="1"/>
        <v>36</v>
      </c>
      <c r="U95" s="80">
        <v>357</v>
      </c>
      <c r="V95" s="65">
        <f t="shared" si="2"/>
        <v>3213</v>
      </c>
      <c r="W95" s="80">
        <v>13</v>
      </c>
      <c r="X95" s="80" t="s">
        <v>35</v>
      </c>
      <c r="Y95" s="80" t="s">
        <v>86</v>
      </c>
      <c r="Z95" s="80" t="s">
        <v>64</v>
      </c>
      <c r="AA95" s="80" t="s">
        <v>43</v>
      </c>
      <c r="AB95" s="43" t="s">
        <v>161</v>
      </c>
      <c r="AI95" s="48"/>
      <c r="AJ95" s="48"/>
      <c r="AK95" s="48"/>
      <c r="AL95" s="48"/>
      <c r="AM95" s="48"/>
    </row>
    <row r="96" spans="1:39" s="80" customFormat="1" x14ac:dyDescent="0.15">
      <c r="A96" s="87" t="s">
        <v>23</v>
      </c>
      <c r="B96" s="87" t="s">
        <v>160</v>
      </c>
      <c r="C96" s="87">
        <v>2020</v>
      </c>
      <c r="D96" s="45" t="s">
        <v>164</v>
      </c>
      <c r="E96" s="87" t="s">
        <v>151</v>
      </c>
      <c r="F96" s="87" t="s">
        <v>147</v>
      </c>
      <c r="G96" s="87" t="s">
        <v>25</v>
      </c>
      <c r="H96" s="87" t="s">
        <v>167</v>
      </c>
      <c r="I96" s="87" t="s">
        <v>111</v>
      </c>
      <c r="J96" s="81" t="s">
        <v>27</v>
      </c>
      <c r="K96" s="80" t="s">
        <v>112</v>
      </c>
      <c r="L96" s="87">
        <v>2</v>
      </c>
      <c r="N96" s="80">
        <v>4</v>
      </c>
      <c r="O96" s="80">
        <v>0.2</v>
      </c>
      <c r="P96" s="80">
        <v>0.45</v>
      </c>
      <c r="Q96" s="44">
        <f t="shared" si="0"/>
        <v>0.32500000000000001</v>
      </c>
      <c r="R96" s="80">
        <v>18.899999999999999</v>
      </c>
      <c r="S96" s="80">
        <v>89</v>
      </c>
      <c r="T96" s="16">
        <f t="shared" si="1"/>
        <v>36</v>
      </c>
      <c r="U96" s="80">
        <v>357</v>
      </c>
      <c r="V96" s="65">
        <f t="shared" si="2"/>
        <v>3213</v>
      </c>
      <c r="W96" s="80">
        <v>13</v>
      </c>
      <c r="X96" s="80" t="s">
        <v>35</v>
      </c>
      <c r="Y96" s="80" t="s">
        <v>86</v>
      </c>
      <c r="Z96" s="80" t="s">
        <v>64</v>
      </c>
      <c r="AA96" s="80" t="s">
        <v>43</v>
      </c>
      <c r="AB96" s="43" t="s">
        <v>161</v>
      </c>
      <c r="AI96" s="48"/>
      <c r="AJ96" s="48"/>
      <c r="AK96" s="48"/>
      <c r="AL96" s="48"/>
      <c r="AM96" s="48"/>
    </row>
    <row r="97" spans="1:39" s="80" customFormat="1" x14ac:dyDescent="0.15">
      <c r="A97" s="87" t="s">
        <v>23</v>
      </c>
      <c r="B97" s="87" t="s">
        <v>160</v>
      </c>
      <c r="C97" s="87">
        <v>2020</v>
      </c>
      <c r="D97" s="45" t="s">
        <v>164</v>
      </c>
      <c r="E97" s="87" t="s">
        <v>151</v>
      </c>
      <c r="F97" s="87" t="s">
        <v>147</v>
      </c>
      <c r="G97" s="87" t="s">
        <v>25</v>
      </c>
      <c r="H97" s="87" t="s">
        <v>167</v>
      </c>
      <c r="I97" s="87" t="s">
        <v>111</v>
      </c>
      <c r="J97" s="81" t="s">
        <v>27</v>
      </c>
      <c r="K97" s="80" t="s">
        <v>112</v>
      </c>
      <c r="L97" s="87">
        <v>3</v>
      </c>
      <c r="N97" s="80">
        <v>4</v>
      </c>
      <c r="O97" s="80">
        <v>0.35</v>
      </c>
      <c r="P97" s="80">
        <v>0.55000000000000004</v>
      </c>
      <c r="Q97" s="44">
        <f t="shared" si="0"/>
        <v>0.45</v>
      </c>
      <c r="R97" s="80">
        <v>17.399999999999999</v>
      </c>
      <c r="S97" s="80">
        <v>91</v>
      </c>
      <c r="T97" s="16">
        <f t="shared" si="1"/>
        <v>36</v>
      </c>
      <c r="U97" s="80">
        <v>357</v>
      </c>
      <c r="V97" s="65">
        <f t="shared" si="2"/>
        <v>3213</v>
      </c>
      <c r="W97" s="80">
        <v>13</v>
      </c>
      <c r="X97" s="80" t="s">
        <v>35</v>
      </c>
      <c r="Y97" s="80" t="s">
        <v>86</v>
      </c>
      <c r="Z97" s="80" t="s">
        <v>64</v>
      </c>
      <c r="AA97" s="80" t="s">
        <v>43</v>
      </c>
      <c r="AB97" s="43" t="s">
        <v>161</v>
      </c>
      <c r="AI97" s="48"/>
      <c r="AJ97" s="48"/>
      <c r="AK97" s="48"/>
      <c r="AL97" s="48"/>
      <c r="AM97" s="48"/>
    </row>
    <row r="98" spans="1:39" s="80" customFormat="1" x14ac:dyDescent="0.15">
      <c r="A98" s="87" t="s">
        <v>23</v>
      </c>
      <c r="B98" s="87" t="s">
        <v>160</v>
      </c>
      <c r="C98" s="87">
        <v>2020</v>
      </c>
      <c r="D98" s="45" t="s">
        <v>164</v>
      </c>
      <c r="E98" s="87" t="s">
        <v>152</v>
      </c>
      <c r="F98" s="87" t="s">
        <v>147</v>
      </c>
      <c r="G98" s="87" t="s">
        <v>25</v>
      </c>
      <c r="H98" s="87" t="s">
        <v>113</v>
      </c>
      <c r="I98" s="87" t="s">
        <v>111</v>
      </c>
      <c r="J98" s="81" t="s">
        <v>27</v>
      </c>
      <c r="K98" s="80" t="s">
        <v>112</v>
      </c>
      <c r="L98" s="87">
        <v>1</v>
      </c>
      <c r="N98" s="80">
        <v>1</v>
      </c>
      <c r="O98" s="80">
        <v>0.7</v>
      </c>
      <c r="P98" s="80">
        <v>0.8</v>
      </c>
      <c r="Q98" s="44">
        <f t="shared" si="0"/>
        <v>0.75</v>
      </c>
      <c r="R98" s="80">
        <v>16.2</v>
      </c>
      <c r="S98" s="80">
        <v>126</v>
      </c>
      <c r="T98" s="16">
        <f t="shared" si="1"/>
        <v>30</v>
      </c>
      <c r="U98" s="80">
        <v>132</v>
      </c>
      <c r="V98" s="65">
        <f t="shared" si="2"/>
        <v>3960</v>
      </c>
      <c r="W98" s="80">
        <v>13</v>
      </c>
      <c r="X98" s="80" t="s">
        <v>35</v>
      </c>
      <c r="Y98" s="80" t="s">
        <v>55</v>
      </c>
      <c r="Z98" s="80" t="s">
        <v>64</v>
      </c>
      <c r="AA98" s="80" t="s">
        <v>74</v>
      </c>
      <c r="AB98" s="43" t="s">
        <v>161</v>
      </c>
      <c r="AI98" s="48"/>
      <c r="AJ98" s="48"/>
      <c r="AK98" s="48"/>
      <c r="AL98" s="48"/>
      <c r="AM98" s="48"/>
    </row>
    <row r="99" spans="1:39" s="80" customFormat="1" x14ac:dyDescent="0.15">
      <c r="A99" s="87" t="s">
        <v>23</v>
      </c>
      <c r="B99" s="87" t="s">
        <v>160</v>
      </c>
      <c r="C99" s="87">
        <v>2020</v>
      </c>
      <c r="D99" s="45" t="s">
        <v>164</v>
      </c>
      <c r="E99" s="87" t="s">
        <v>152</v>
      </c>
      <c r="F99" s="87" t="s">
        <v>147</v>
      </c>
      <c r="G99" s="87" t="s">
        <v>25</v>
      </c>
      <c r="H99" s="87" t="s">
        <v>113</v>
      </c>
      <c r="I99" s="87" t="s">
        <v>111</v>
      </c>
      <c r="J99" s="81" t="s">
        <v>27</v>
      </c>
      <c r="K99" s="80" t="s">
        <v>112</v>
      </c>
      <c r="L99" s="87">
        <v>2</v>
      </c>
      <c r="N99" s="80">
        <v>1</v>
      </c>
      <c r="O99" s="80">
        <v>0.2</v>
      </c>
      <c r="P99" s="80">
        <v>0.55000000000000004</v>
      </c>
      <c r="Q99" s="44">
        <f t="shared" si="0"/>
        <v>0.375</v>
      </c>
      <c r="R99" s="80">
        <v>17.399999999999999</v>
      </c>
      <c r="S99" s="80">
        <v>120</v>
      </c>
      <c r="T99" s="16">
        <f t="shared" si="1"/>
        <v>30</v>
      </c>
      <c r="U99" s="80">
        <v>132</v>
      </c>
      <c r="V99" s="65">
        <f t="shared" si="2"/>
        <v>3960</v>
      </c>
      <c r="W99" s="80">
        <v>13</v>
      </c>
      <c r="X99" s="80" t="s">
        <v>35</v>
      </c>
      <c r="Y99" s="80" t="s">
        <v>55</v>
      </c>
      <c r="Z99" s="80" t="s">
        <v>64</v>
      </c>
      <c r="AA99" s="80" t="s">
        <v>74</v>
      </c>
      <c r="AB99" s="43" t="s">
        <v>161</v>
      </c>
      <c r="AI99" s="48"/>
      <c r="AJ99" s="48"/>
      <c r="AK99" s="48"/>
      <c r="AL99" s="48"/>
      <c r="AM99" s="48"/>
    </row>
    <row r="100" spans="1:39" s="80" customFormat="1" x14ac:dyDescent="0.15">
      <c r="A100" s="87" t="s">
        <v>23</v>
      </c>
      <c r="B100" s="87" t="s">
        <v>160</v>
      </c>
      <c r="C100" s="87">
        <v>2020</v>
      </c>
      <c r="D100" s="45" t="s">
        <v>164</v>
      </c>
      <c r="E100" s="87" t="s">
        <v>152</v>
      </c>
      <c r="F100" s="87" t="s">
        <v>147</v>
      </c>
      <c r="G100" s="87" t="s">
        <v>25</v>
      </c>
      <c r="H100" s="87" t="s">
        <v>113</v>
      </c>
      <c r="I100" s="87" t="s">
        <v>111</v>
      </c>
      <c r="J100" s="81" t="s">
        <v>27</v>
      </c>
      <c r="K100" s="80" t="s">
        <v>112</v>
      </c>
      <c r="L100" s="87">
        <v>3</v>
      </c>
      <c r="N100" s="80">
        <v>1</v>
      </c>
      <c r="O100" s="80">
        <v>0.45</v>
      </c>
      <c r="P100" s="80">
        <v>0.35</v>
      </c>
      <c r="Q100" s="44">
        <f t="shared" si="0"/>
        <v>0.4</v>
      </c>
      <c r="R100" s="80">
        <v>15</v>
      </c>
      <c r="S100" s="80">
        <v>122</v>
      </c>
      <c r="T100" s="16">
        <f t="shared" si="1"/>
        <v>30</v>
      </c>
      <c r="U100" s="80">
        <v>132</v>
      </c>
      <c r="V100" s="65">
        <f t="shared" si="2"/>
        <v>3960</v>
      </c>
      <c r="W100" s="80">
        <v>13</v>
      </c>
      <c r="X100" s="80" t="s">
        <v>35</v>
      </c>
      <c r="Y100" s="80" t="s">
        <v>55</v>
      </c>
      <c r="Z100" s="80" t="s">
        <v>64</v>
      </c>
      <c r="AA100" s="80" t="s">
        <v>74</v>
      </c>
      <c r="AB100" s="43" t="s">
        <v>161</v>
      </c>
      <c r="AI100" s="48"/>
      <c r="AJ100" s="48"/>
      <c r="AK100" s="48"/>
      <c r="AL100" s="48"/>
      <c r="AM100" s="48"/>
    </row>
    <row r="101" spans="1:39" s="80" customFormat="1" x14ac:dyDescent="0.15">
      <c r="A101" s="87" t="s">
        <v>23</v>
      </c>
      <c r="B101" s="87" t="s">
        <v>160</v>
      </c>
      <c r="C101" s="87">
        <v>2020</v>
      </c>
      <c r="D101" s="45" t="s">
        <v>164</v>
      </c>
      <c r="E101" s="87" t="s">
        <v>152</v>
      </c>
      <c r="F101" s="87" t="s">
        <v>147</v>
      </c>
      <c r="G101" s="87" t="s">
        <v>25</v>
      </c>
      <c r="H101" s="87" t="s">
        <v>113</v>
      </c>
      <c r="I101" s="87" t="s">
        <v>111</v>
      </c>
      <c r="J101" s="81" t="s">
        <v>27</v>
      </c>
      <c r="K101" s="80" t="s">
        <v>112</v>
      </c>
      <c r="L101" s="87">
        <v>1</v>
      </c>
      <c r="N101" s="80">
        <v>4</v>
      </c>
      <c r="O101" s="80">
        <v>0.2</v>
      </c>
      <c r="P101" s="80">
        <v>0.3</v>
      </c>
      <c r="Q101" s="44">
        <f t="shared" si="0"/>
        <v>0.25</v>
      </c>
      <c r="R101" s="80">
        <v>17.3</v>
      </c>
      <c r="S101" s="80">
        <v>103</v>
      </c>
      <c r="T101" s="16">
        <f t="shared" si="1"/>
        <v>33</v>
      </c>
      <c r="U101" s="80">
        <v>398</v>
      </c>
      <c r="V101" s="65">
        <f t="shared" si="2"/>
        <v>3283.5</v>
      </c>
      <c r="W101" s="80">
        <v>13</v>
      </c>
      <c r="X101" s="80" t="s">
        <v>35</v>
      </c>
      <c r="Y101" s="80" t="s">
        <v>55</v>
      </c>
      <c r="Z101" s="80" t="s">
        <v>64</v>
      </c>
      <c r="AA101" s="80" t="s">
        <v>74</v>
      </c>
      <c r="AB101" s="43" t="s">
        <v>161</v>
      </c>
      <c r="AI101" s="48"/>
      <c r="AJ101" s="48"/>
      <c r="AK101" s="48"/>
      <c r="AL101" s="48"/>
      <c r="AM101" s="48"/>
    </row>
    <row r="102" spans="1:39" s="80" customFormat="1" x14ac:dyDescent="0.15">
      <c r="A102" s="87" t="s">
        <v>23</v>
      </c>
      <c r="B102" s="87" t="s">
        <v>160</v>
      </c>
      <c r="C102" s="87">
        <v>2020</v>
      </c>
      <c r="D102" s="45" t="s">
        <v>164</v>
      </c>
      <c r="E102" s="87" t="s">
        <v>152</v>
      </c>
      <c r="F102" s="87" t="s">
        <v>147</v>
      </c>
      <c r="G102" s="87" t="s">
        <v>25</v>
      </c>
      <c r="H102" s="87" t="s">
        <v>113</v>
      </c>
      <c r="I102" s="87" t="s">
        <v>111</v>
      </c>
      <c r="J102" s="81" t="s">
        <v>27</v>
      </c>
      <c r="K102" s="80" t="s">
        <v>112</v>
      </c>
      <c r="L102" s="87">
        <v>2</v>
      </c>
      <c r="N102" s="80">
        <v>4</v>
      </c>
      <c r="O102" s="80">
        <v>0.25</v>
      </c>
      <c r="P102" s="80">
        <v>0.5</v>
      </c>
      <c r="Q102" s="44">
        <f t="shared" si="0"/>
        <v>0.375</v>
      </c>
      <c r="R102" s="80">
        <v>17.600000000000001</v>
      </c>
      <c r="S102" s="80">
        <v>104</v>
      </c>
      <c r="T102" s="16">
        <f t="shared" si="1"/>
        <v>33</v>
      </c>
      <c r="U102" s="80">
        <v>398</v>
      </c>
      <c r="V102" s="65">
        <f t="shared" si="2"/>
        <v>3283.5</v>
      </c>
      <c r="W102" s="80">
        <v>13</v>
      </c>
      <c r="X102" s="80" t="s">
        <v>35</v>
      </c>
      <c r="Y102" s="80" t="s">
        <v>55</v>
      </c>
      <c r="Z102" s="80" t="s">
        <v>64</v>
      </c>
      <c r="AA102" s="80" t="s">
        <v>74</v>
      </c>
      <c r="AB102" s="43" t="s">
        <v>161</v>
      </c>
      <c r="AI102" s="48"/>
      <c r="AJ102" s="48"/>
      <c r="AK102" s="48"/>
      <c r="AL102" s="48"/>
      <c r="AM102" s="48"/>
    </row>
    <row r="103" spans="1:39" s="80" customFormat="1" x14ac:dyDescent="0.15">
      <c r="A103" s="87" t="s">
        <v>23</v>
      </c>
      <c r="B103" s="87" t="s">
        <v>160</v>
      </c>
      <c r="C103" s="87">
        <v>2020</v>
      </c>
      <c r="D103" s="45" t="s">
        <v>164</v>
      </c>
      <c r="E103" s="87" t="s">
        <v>152</v>
      </c>
      <c r="F103" s="87" t="s">
        <v>147</v>
      </c>
      <c r="G103" s="87" t="s">
        <v>25</v>
      </c>
      <c r="H103" s="87" t="s">
        <v>113</v>
      </c>
      <c r="I103" s="87" t="s">
        <v>111</v>
      </c>
      <c r="J103" s="81" t="s">
        <v>27</v>
      </c>
      <c r="K103" s="80" t="s">
        <v>112</v>
      </c>
      <c r="L103" s="87">
        <v>3</v>
      </c>
      <c r="N103" s="80">
        <v>4</v>
      </c>
      <c r="O103" s="80">
        <v>0.2</v>
      </c>
      <c r="P103" s="80">
        <v>0.2</v>
      </c>
      <c r="Q103" s="44">
        <f t="shared" si="0"/>
        <v>0.2</v>
      </c>
      <c r="R103" s="80">
        <v>16.5</v>
      </c>
      <c r="S103" s="80">
        <v>103</v>
      </c>
      <c r="T103" s="16">
        <f t="shared" si="1"/>
        <v>33</v>
      </c>
      <c r="U103" s="80">
        <v>398</v>
      </c>
      <c r="V103" s="65">
        <f t="shared" si="2"/>
        <v>3283.5</v>
      </c>
      <c r="W103" s="80">
        <v>13</v>
      </c>
      <c r="X103" s="80" t="s">
        <v>35</v>
      </c>
      <c r="Y103" s="80" t="s">
        <v>55</v>
      </c>
      <c r="Z103" s="80" t="s">
        <v>64</v>
      </c>
      <c r="AA103" s="80" t="s">
        <v>74</v>
      </c>
      <c r="AB103" s="43" t="s">
        <v>161</v>
      </c>
      <c r="AI103" s="48"/>
      <c r="AJ103" s="48"/>
      <c r="AK103" s="48"/>
      <c r="AL103" s="48"/>
      <c r="AM103" s="48"/>
    </row>
    <row r="104" spans="1:39" s="80" customFormat="1" x14ac:dyDescent="0.15">
      <c r="A104" s="87" t="s">
        <v>23</v>
      </c>
      <c r="B104" s="87" t="s">
        <v>160</v>
      </c>
      <c r="C104" s="87">
        <v>2020</v>
      </c>
      <c r="D104" s="45" t="s">
        <v>164</v>
      </c>
      <c r="E104" s="87" t="s">
        <v>152</v>
      </c>
      <c r="F104" s="87" t="s">
        <v>147</v>
      </c>
      <c r="G104" s="87" t="s">
        <v>25</v>
      </c>
      <c r="H104" s="87" t="s">
        <v>113</v>
      </c>
      <c r="I104" s="87" t="s">
        <v>172</v>
      </c>
      <c r="J104" s="81" t="s">
        <v>27</v>
      </c>
      <c r="K104" s="80" t="s">
        <v>112</v>
      </c>
      <c r="L104" s="87">
        <v>1</v>
      </c>
      <c r="N104" s="80">
        <v>2</v>
      </c>
      <c r="O104" s="80">
        <v>0.4</v>
      </c>
      <c r="P104" s="80">
        <v>0.4</v>
      </c>
      <c r="Q104" s="44">
        <f t="shared" si="0"/>
        <v>0.4</v>
      </c>
      <c r="R104" s="80">
        <v>15.4</v>
      </c>
      <c r="S104" s="80">
        <v>121</v>
      </c>
      <c r="T104" s="16">
        <f t="shared" si="1"/>
        <v>30</v>
      </c>
      <c r="U104" s="80">
        <v>298</v>
      </c>
      <c r="V104" s="65">
        <f t="shared" si="2"/>
        <v>4470</v>
      </c>
      <c r="W104" s="80">
        <v>13</v>
      </c>
      <c r="X104" s="80" t="s">
        <v>35</v>
      </c>
      <c r="Y104" s="80" t="s">
        <v>55</v>
      </c>
      <c r="Z104" s="80" t="s">
        <v>64</v>
      </c>
      <c r="AA104" s="80" t="s">
        <v>74</v>
      </c>
      <c r="AB104" s="43" t="s">
        <v>161</v>
      </c>
      <c r="AI104" s="48"/>
      <c r="AJ104" s="48"/>
      <c r="AK104" s="48"/>
      <c r="AL104" s="48"/>
      <c r="AM104" s="48"/>
    </row>
    <row r="105" spans="1:39" s="80" customFormat="1" x14ac:dyDescent="0.15">
      <c r="A105" s="87" t="s">
        <v>23</v>
      </c>
      <c r="B105" s="87" t="s">
        <v>160</v>
      </c>
      <c r="C105" s="87">
        <v>2020</v>
      </c>
      <c r="D105" s="45" t="s">
        <v>164</v>
      </c>
      <c r="E105" s="87" t="s">
        <v>152</v>
      </c>
      <c r="F105" s="87" t="s">
        <v>147</v>
      </c>
      <c r="G105" s="87" t="s">
        <v>25</v>
      </c>
      <c r="H105" s="87" t="s">
        <v>113</v>
      </c>
      <c r="I105" s="87" t="s">
        <v>172</v>
      </c>
      <c r="J105" s="81" t="s">
        <v>27</v>
      </c>
      <c r="K105" s="80" t="s">
        <v>112</v>
      </c>
      <c r="L105" s="87">
        <v>2</v>
      </c>
      <c r="N105" s="80">
        <v>2</v>
      </c>
      <c r="O105" s="80">
        <v>0.4</v>
      </c>
      <c r="P105" s="80">
        <v>0.45</v>
      </c>
      <c r="Q105" s="44">
        <f t="shared" si="0"/>
        <v>0.42500000000000004</v>
      </c>
      <c r="R105" s="80">
        <v>14.1</v>
      </c>
      <c r="S105" s="80">
        <v>124</v>
      </c>
      <c r="T105" s="16">
        <f t="shared" si="1"/>
        <v>30</v>
      </c>
      <c r="U105" s="80">
        <v>298</v>
      </c>
      <c r="V105" s="65">
        <f t="shared" si="2"/>
        <v>4470</v>
      </c>
      <c r="W105" s="80">
        <v>13</v>
      </c>
      <c r="X105" s="80" t="s">
        <v>35</v>
      </c>
      <c r="Y105" s="80" t="s">
        <v>55</v>
      </c>
      <c r="Z105" s="80" t="s">
        <v>64</v>
      </c>
      <c r="AA105" s="80" t="s">
        <v>74</v>
      </c>
      <c r="AB105" s="43" t="s">
        <v>161</v>
      </c>
      <c r="AI105" s="48"/>
      <c r="AJ105" s="48"/>
      <c r="AK105" s="48"/>
      <c r="AL105" s="48"/>
      <c r="AM105" s="48"/>
    </row>
    <row r="106" spans="1:39" s="80" customFormat="1" x14ac:dyDescent="0.15">
      <c r="A106" s="87" t="s">
        <v>23</v>
      </c>
      <c r="B106" s="87" t="s">
        <v>160</v>
      </c>
      <c r="C106" s="87">
        <v>2020</v>
      </c>
      <c r="D106" s="45" t="s">
        <v>164</v>
      </c>
      <c r="E106" s="87" t="s">
        <v>152</v>
      </c>
      <c r="F106" s="87" t="s">
        <v>147</v>
      </c>
      <c r="G106" s="87" t="s">
        <v>25</v>
      </c>
      <c r="H106" s="87" t="s">
        <v>113</v>
      </c>
      <c r="I106" s="87" t="s">
        <v>172</v>
      </c>
      <c r="J106" s="81" t="s">
        <v>27</v>
      </c>
      <c r="K106" s="80" t="s">
        <v>112</v>
      </c>
      <c r="L106" s="87">
        <v>3</v>
      </c>
      <c r="N106" s="80">
        <v>2</v>
      </c>
      <c r="O106" s="80">
        <v>0.55000000000000004</v>
      </c>
      <c r="P106" s="80">
        <v>0.45</v>
      </c>
      <c r="Q106" s="44">
        <f t="shared" si="0"/>
        <v>0.5</v>
      </c>
      <c r="R106" s="80">
        <v>13.9</v>
      </c>
      <c r="S106" s="80">
        <v>116</v>
      </c>
      <c r="T106" s="16">
        <f t="shared" si="1"/>
        <v>30</v>
      </c>
      <c r="U106" s="80">
        <v>298</v>
      </c>
      <c r="V106" s="65">
        <f t="shared" si="2"/>
        <v>4470</v>
      </c>
      <c r="W106" s="80">
        <v>13</v>
      </c>
      <c r="X106" s="80" t="s">
        <v>35</v>
      </c>
      <c r="Y106" s="80" t="s">
        <v>55</v>
      </c>
      <c r="Z106" s="80" t="s">
        <v>64</v>
      </c>
      <c r="AA106" s="80" t="s">
        <v>74</v>
      </c>
      <c r="AB106" s="43" t="s">
        <v>161</v>
      </c>
      <c r="AI106" s="48"/>
      <c r="AJ106" s="48"/>
      <c r="AK106" s="48"/>
      <c r="AL106" s="48"/>
      <c r="AM106" s="48"/>
    </row>
    <row r="107" spans="1:39" s="80" customFormat="1" x14ac:dyDescent="0.15">
      <c r="A107" s="87" t="s">
        <v>23</v>
      </c>
      <c r="B107" s="87" t="s">
        <v>160</v>
      </c>
      <c r="C107" s="87">
        <v>2020</v>
      </c>
      <c r="D107" s="45" t="s">
        <v>164</v>
      </c>
      <c r="E107" s="87" t="s">
        <v>152</v>
      </c>
      <c r="F107" s="87" t="s">
        <v>147</v>
      </c>
      <c r="G107" s="87" t="s">
        <v>25</v>
      </c>
      <c r="H107" s="87" t="s">
        <v>167</v>
      </c>
      <c r="I107" s="87" t="s">
        <v>111</v>
      </c>
      <c r="J107" s="81" t="s">
        <v>27</v>
      </c>
      <c r="K107" s="80" t="s">
        <v>112</v>
      </c>
      <c r="L107" s="87">
        <v>1</v>
      </c>
      <c r="N107" s="80">
        <v>1</v>
      </c>
      <c r="O107" s="80">
        <v>0.2</v>
      </c>
      <c r="P107" s="80">
        <v>0.45</v>
      </c>
      <c r="Q107" s="44">
        <f t="shared" si="0"/>
        <v>0.32500000000000001</v>
      </c>
      <c r="R107" s="80">
        <v>19</v>
      </c>
      <c r="S107" s="80">
        <v>120</v>
      </c>
      <c r="T107" s="16">
        <f t="shared" si="1"/>
        <v>30</v>
      </c>
      <c r="U107" s="80">
        <v>132</v>
      </c>
      <c r="V107" s="65">
        <f t="shared" si="2"/>
        <v>3960</v>
      </c>
      <c r="W107" s="80">
        <v>13</v>
      </c>
      <c r="X107" s="80" t="s">
        <v>35</v>
      </c>
      <c r="Y107" s="80" t="s">
        <v>55</v>
      </c>
      <c r="Z107" s="80" t="s">
        <v>64</v>
      </c>
      <c r="AA107" s="80" t="s">
        <v>74</v>
      </c>
      <c r="AB107" s="43" t="s">
        <v>161</v>
      </c>
      <c r="AI107" s="48"/>
      <c r="AJ107" s="48"/>
      <c r="AK107" s="48"/>
      <c r="AL107" s="48"/>
      <c r="AM107" s="48"/>
    </row>
    <row r="108" spans="1:39" s="80" customFormat="1" x14ac:dyDescent="0.15">
      <c r="A108" s="87" t="s">
        <v>23</v>
      </c>
      <c r="B108" s="87" t="s">
        <v>160</v>
      </c>
      <c r="C108" s="87">
        <v>2020</v>
      </c>
      <c r="D108" s="45" t="s">
        <v>164</v>
      </c>
      <c r="E108" s="87" t="s">
        <v>152</v>
      </c>
      <c r="F108" s="87" t="s">
        <v>147</v>
      </c>
      <c r="G108" s="87" t="s">
        <v>25</v>
      </c>
      <c r="H108" s="87" t="s">
        <v>167</v>
      </c>
      <c r="I108" s="87" t="s">
        <v>111</v>
      </c>
      <c r="J108" s="81" t="s">
        <v>27</v>
      </c>
      <c r="K108" s="80" t="s">
        <v>112</v>
      </c>
      <c r="L108" s="87">
        <v>2</v>
      </c>
      <c r="N108" s="80">
        <v>1</v>
      </c>
      <c r="O108" s="80">
        <v>0.4</v>
      </c>
      <c r="P108" s="80">
        <v>0.5</v>
      </c>
      <c r="Q108" s="44">
        <f t="shared" si="0"/>
        <v>0.45</v>
      </c>
      <c r="R108" s="80">
        <v>17</v>
      </c>
      <c r="S108" s="80">
        <v>124</v>
      </c>
      <c r="T108" s="16">
        <f t="shared" si="1"/>
        <v>30</v>
      </c>
      <c r="U108" s="80">
        <v>132</v>
      </c>
      <c r="V108" s="65">
        <f t="shared" si="2"/>
        <v>3960</v>
      </c>
      <c r="W108" s="80">
        <v>13</v>
      </c>
      <c r="X108" s="80" t="s">
        <v>35</v>
      </c>
      <c r="Y108" s="80" t="s">
        <v>55</v>
      </c>
      <c r="Z108" s="80" t="s">
        <v>64</v>
      </c>
      <c r="AA108" s="80" t="s">
        <v>74</v>
      </c>
      <c r="AB108" s="43" t="s">
        <v>161</v>
      </c>
      <c r="AI108" s="48"/>
      <c r="AJ108" s="48"/>
      <c r="AK108" s="48"/>
      <c r="AL108" s="48"/>
      <c r="AM108" s="48"/>
    </row>
    <row r="109" spans="1:39" s="80" customFormat="1" x14ac:dyDescent="0.15">
      <c r="A109" s="87" t="s">
        <v>23</v>
      </c>
      <c r="B109" s="87" t="s">
        <v>160</v>
      </c>
      <c r="C109" s="87">
        <v>2020</v>
      </c>
      <c r="D109" s="45" t="s">
        <v>164</v>
      </c>
      <c r="E109" s="87" t="s">
        <v>152</v>
      </c>
      <c r="F109" s="87" t="s">
        <v>147</v>
      </c>
      <c r="G109" s="87" t="s">
        <v>25</v>
      </c>
      <c r="H109" s="87" t="s">
        <v>167</v>
      </c>
      <c r="I109" s="87" t="s">
        <v>111</v>
      </c>
      <c r="J109" s="81" t="s">
        <v>27</v>
      </c>
      <c r="K109" s="80" t="s">
        <v>112</v>
      </c>
      <c r="L109" s="87">
        <v>3</v>
      </c>
      <c r="N109" s="80">
        <v>1</v>
      </c>
      <c r="O109" s="80">
        <v>0.5</v>
      </c>
      <c r="P109" s="80">
        <v>0.45</v>
      </c>
      <c r="Q109" s="44">
        <f t="shared" si="0"/>
        <v>0.47499999999999998</v>
      </c>
      <c r="R109" s="80">
        <v>17.8</v>
      </c>
      <c r="S109" s="80">
        <v>124</v>
      </c>
      <c r="T109" s="16">
        <f t="shared" si="1"/>
        <v>30</v>
      </c>
      <c r="U109" s="80">
        <v>132</v>
      </c>
      <c r="V109" s="65">
        <f t="shared" si="2"/>
        <v>3960</v>
      </c>
      <c r="W109" s="80">
        <v>13</v>
      </c>
      <c r="X109" s="80" t="s">
        <v>35</v>
      </c>
      <c r="Y109" s="80" t="s">
        <v>55</v>
      </c>
      <c r="Z109" s="80" t="s">
        <v>64</v>
      </c>
      <c r="AA109" s="80" t="s">
        <v>74</v>
      </c>
      <c r="AB109" s="43" t="s">
        <v>161</v>
      </c>
      <c r="AI109" s="48"/>
      <c r="AJ109" s="48"/>
      <c r="AK109" s="48"/>
      <c r="AL109" s="48"/>
      <c r="AM109" s="48"/>
    </row>
    <row r="110" spans="1:39" s="80" customFormat="1" x14ac:dyDescent="0.15">
      <c r="A110" s="87" t="s">
        <v>23</v>
      </c>
      <c r="B110" s="87" t="s">
        <v>160</v>
      </c>
      <c r="C110" s="87">
        <v>2020</v>
      </c>
      <c r="D110" s="45" t="s">
        <v>164</v>
      </c>
      <c r="E110" s="87" t="s">
        <v>152</v>
      </c>
      <c r="F110" s="87" t="s">
        <v>147</v>
      </c>
      <c r="G110" s="87" t="s">
        <v>25</v>
      </c>
      <c r="H110" s="87" t="s">
        <v>167</v>
      </c>
      <c r="I110" s="87" t="s">
        <v>111</v>
      </c>
      <c r="J110" s="81" t="s">
        <v>27</v>
      </c>
      <c r="K110" s="80" t="s">
        <v>112</v>
      </c>
      <c r="L110" s="87">
        <v>1</v>
      </c>
      <c r="N110" s="80">
        <v>4</v>
      </c>
      <c r="O110" s="80">
        <v>0.4</v>
      </c>
      <c r="P110" s="80">
        <v>0.35</v>
      </c>
      <c r="Q110" s="44">
        <f t="shared" si="0"/>
        <v>0.375</v>
      </c>
      <c r="R110" s="80">
        <v>17.5</v>
      </c>
      <c r="S110" s="80">
        <v>102</v>
      </c>
      <c r="T110" s="16">
        <f t="shared" si="1"/>
        <v>33</v>
      </c>
      <c r="U110" s="80">
        <v>498</v>
      </c>
      <c r="V110" s="65">
        <f t="shared" si="2"/>
        <v>4108.5</v>
      </c>
      <c r="W110" s="80">
        <v>13</v>
      </c>
      <c r="X110" s="80" t="s">
        <v>35</v>
      </c>
      <c r="Y110" s="80" t="s">
        <v>55</v>
      </c>
      <c r="Z110" s="80" t="s">
        <v>64</v>
      </c>
      <c r="AA110" s="80" t="s">
        <v>74</v>
      </c>
      <c r="AB110" s="43" t="s">
        <v>161</v>
      </c>
      <c r="AI110" s="48"/>
      <c r="AJ110" s="48"/>
      <c r="AK110" s="48"/>
      <c r="AL110" s="48"/>
      <c r="AM110" s="48"/>
    </row>
    <row r="111" spans="1:39" s="80" customFormat="1" x14ac:dyDescent="0.15">
      <c r="A111" s="87" t="s">
        <v>23</v>
      </c>
      <c r="B111" s="87" t="s">
        <v>160</v>
      </c>
      <c r="C111" s="87">
        <v>2020</v>
      </c>
      <c r="D111" s="45" t="s">
        <v>164</v>
      </c>
      <c r="E111" s="87" t="s">
        <v>152</v>
      </c>
      <c r="F111" s="87" t="s">
        <v>147</v>
      </c>
      <c r="G111" s="87" t="s">
        <v>25</v>
      </c>
      <c r="H111" s="87" t="s">
        <v>167</v>
      </c>
      <c r="I111" s="87" t="s">
        <v>111</v>
      </c>
      <c r="J111" s="81" t="s">
        <v>27</v>
      </c>
      <c r="K111" s="80" t="s">
        <v>112</v>
      </c>
      <c r="L111" s="87">
        <v>2</v>
      </c>
      <c r="N111" s="80">
        <v>4</v>
      </c>
      <c r="O111" s="80">
        <v>0.55000000000000004</v>
      </c>
      <c r="P111" s="80">
        <v>0.55000000000000004</v>
      </c>
      <c r="Q111" s="44">
        <f t="shared" si="0"/>
        <v>0.55000000000000004</v>
      </c>
      <c r="R111" s="80">
        <v>15.9</v>
      </c>
      <c r="S111" s="80">
        <v>99</v>
      </c>
      <c r="T111" s="16">
        <f t="shared" si="1"/>
        <v>33</v>
      </c>
      <c r="U111" s="80">
        <v>498</v>
      </c>
      <c r="V111" s="65">
        <f t="shared" si="2"/>
        <v>4108.5</v>
      </c>
      <c r="W111" s="80">
        <v>13</v>
      </c>
      <c r="X111" s="80" t="s">
        <v>35</v>
      </c>
      <c r="Y111" s="80" t="s">
        <v>55</v>
      </c>
      <c r="Z111" s="80" t="s">
        <v>64</v>
      </c>
      <c r="AA111" s="80" t="s">
        <v>74</v>
      </c>
      <c r="AB111" s="43" t="s">
        <v>161</v>
      </c>
      <c r="AI111" s="48"/>
      <c r="AJ111" s="48"/>
      <c r="AK111" s="48"/>
      <c r="AL111" s="48"/>
      <c r="AM111" s="48"/>
    </row>
    <row r="112" spans="1:39" s="80" customFormat="1" x14ac:dyDescent="0.15">
      <c r="A112" s="87" t="s">
        <v>23</v>
      </c>
      <c r="B112" s="87" t="s">
        <v>160</v>
      </c>
      <c r="C112" s="87">
        <v>2020</v>
      </c>
      <c r="D112" s="45" t="s">
        <v>164</v>
      </c>
      <c r="E112" s="87" t="s">
        <v>152</v>
      </c>
      <c r="F112" s="87" t="s">
        <v>147</v>
      </c>
      <c r="G112" s="87" t="s">
        <v>25</v>
      </c>
      <c r="H112" s="87" t="s">
        <v>167</v>
      </c>
      <c r="I112" s="87" t="s">
        <v>111</v>
      </c>
      <c r="J112" s="81" t="s">
        <v>27</v>
      </c>
      <c r="K112" s="80" t="s">
        <v>112</v>
      </c>
      <c r="L112" s="87">
        <v>3</v>
      </c>
      <c r="N112" s="80">
        <v>4</v>
      </c>
      <c r="O112" s="80">
        <v>0.45</v>
      </c>
      <c r="P112" s="80">
        <v>0.5</v>
      </c>
      <c r="Q112" s="44">
        <f t="shared" si="0"/>
        <v>0.47499999999999998</v>
      </c>
      <c r="R112" s="80">
        <v>18</v>
      </c>
      <c r="S112" s="80">
        <v>104</v>
      </c>
      <c r="T112" s="16">
        <f t="shared" si="1"/>
        <v>33</v>
      </c>
      <c r="U112" s="80">
        <v>498</v>
      </c>
      <c r="V112" s="65">
        <f t="shared" si="2"/>
        <v>4108.5</v>
      </c>
      <c r="W112" s="80">
        <v>13</v>
      </c>
      <c r="X112" s="80" t="s">
        <v>35</v>
      </c>
      <c r="Y112" s="80" t="s">
        <v>55</v>
      </c>
      <c r="Z112" s="80" t="s">
        <v>64</v>
      </c>
      <c r="AA112" s="80" t="s">
        <v>74</v>
      </c>
      <c r="AB112" s="43" t="s">
        <v>161</v>
      </c>
      <c r="AI112" s="48"/>
      <c r="AJ112" s="48"/>
      <c r="AK112" s="48"/>
      <c r="AL112" s="48"/>
      <c r="AM112" s="48"/>
    </row>
    <row r="113" spans="1:39" s="80" customFormat="1" x14ac:dyDescent="0.15">
      <c r="A113" s="87" t="s">
        <v>23</v>
      </c>
      <c r="B113" s="87" t="s">
        <v>160</v>
      </c>
      <c r="C113" s="87">
        <v>2020</v>
      </c>
      <c r="D113" s="45" t="s">
        <v>164</v>
      </c>
      <c r="E113" s="87" t="s">
        <v>152</v>
      </c>
      <c r="F113" s="87" t="s">
        <v>147</v>
      </c>
      <c r="G113" s="87" t="s">
        <v>25</v>
      </c>
      <c r="H113" s="87" t="s">
        <v>167</v>
      </c>
      <c r="I113" s="87" t="s">
        <v>172</v>
      </c>
      <c r="J113" s="81" t="s">
        <v>27</v>
      </c>
      <c r="K113" s="80" t="s">
        <v>112</v>
      </c>
      <c r="L113" s="87">
        <v>1</v>
      </c>
      <c r="N113" s="80">
        <v>2</v>
      </c>
      <c r="O113" s="80">
        <v>0.65</v>
      </c>
      <c r="P113" s="80">
        <v>0.8</v>
      </c>
      <c r="Q113" s="44">
        <f t="shared" si="0"/>
        <v>0.72500000000000009</v>
      </c>
      <c r="R113" s="80">
        <v>16.899999999999999</v>
      </c>
      <c r="S113" s="80">
        <v>123</v>
      </c>
      <c r="T113" s="16">
        <f t="shared" si="1"/>
        <v>30</v>
      </c>
      <c r="U113" s="80">
        <v>358</v>
      </c>
      <c r="V113" s="65">
        <f t="shared" si="2"/>
        <v>5370</v>
      </c>
      <c r="W113" s="80">
        <v>13</v>
      </c>
      <c r="X113" s="80" t="s">
        <v>35</v>
      </c>
      <c r="Y113" s="80" t="s">
        <v>55</v>
      </c>
      <c r="Z113" s="80" t="s">
        <v>64</v>
      </c>
      <c r="AA113" s="80" t="s">
        <v>74</v>
      </c>
      <c r="AB113" s="43" t="s">
        <v>161</v>
      </c>
      <c r="AI113" s="48"/>
      <c r="AJ113" s="48"/>
      <c r="AK113" s="48"/>
      <c r="AL113" s="48"/>
      <c r="AM113" s="48"/>
    </row>
    <row r="114" spans="1:39" s="80" customFormat="1" x14ac:dyDescent="0.15">
      <c r="A114" s="87" t="s">
        <v>23</v>
      </c>
      <c r="B114" s="87" t="s">
        <v>160</v>
      </c>
      <c r="C114" s="87">
        <v>2020</v>
      </c>
      <c r="D114" s="45" t="s">
        <v>164</v>
      </c>
      <c r="E114" s="87" t="s">
        <v>152</v>
      </c>
      <c r="F114" s="87" t="s">
        <v>147</v>
      </c>
      <c r="G114" s="87" t="s">
        <v>25</v>
      </c>
      <c r="H114" s="87" t="s">
        <v>167</v>
      </c>
      <c r="I114" s="87" t="s">
        <v>172</v>
      </c>
      <c r="J114" s="81" t="s">
        <v>27</v>
      </c>
      <c r="K114" s="80" t="s">
        <v>112</v>
      </c>
      <c r="L114" s="87">
        <v>2</v>
      </c>
      <c r="N114" s="80">
        <v>2</v>
      </c>
      <c r="O114" s="80">
        <v>0.75</v>
      </c>
      <c r="P114" s="80">
        <v>0.6</v>
      </c>
      <c r="Q114" s="44">
        <f t="shared" si="0"/>
        <v>0.67500000000000004</v>
      </c>
      <c r="R114" s="80">
        <v>16.899999999999999</v>
      </c>
      <c r="S114" s="80">
        <v>120</v>
      </c>
      <c r="T114" s="16">
        <f t="shared" si="1"/>
        <v>30</v>
      </c>
      <c r="U114" s="80">
        <v>358</v>
      </c>
      <c r="V114" s="65">
        <f t="shared" si="2"/>
        <v>5370</v>
      </c>
      <c r="W114" s="80">
        <v>13</v>
      </c>
      <c r="X114" s="80" t="s">
        <v>35</v>
      </c>
      <c r="Y114" s="80" t="s">
        <v>55</v>
      </c>
      <c r="Z114" s="80" t="s">
        <v>64</v>
      </c>
      <c r="AA114" s="80" t="s">
        <v>74</v>
      </c>
      <c r="AB114" s="43" t="s">
        <v>161</v>
      </c>
      <c r="AI114" s="48"/>
      <c r="AJ114" s="48"/>
      <c r="AK114" s="48"/>
      <c r="AL114" s="48"/>
      <c r="AM114" s="48"/>
    </row>
    <row r="115" spans="1:39" s="80" customFormat="1" x14ac:dyDescent="0.15">
      <c r="A115" s="87" t="s">
        <v>23</v>
      </c>
      <c r="B115" s="87" t="s">
        <v>160</v>
      </c>
      <c r="C115" s="87">
        <v>2020</v>
      </c>
      <c r="D115" s="45" t="s">
        <v>164</v>
      </c>
      <c r="E115" s="87" t="s">
        <v>152</v>
      </c>
      <c r="F115" s="87" t="s">
        <v>147</v>
      </c>
      <c r="G115" s="87" t="s">
        <v>25</v>
      </c>
      <c r="H115" s="87" t="s">
        <v>167</v>
      </c>
      <c r="I115" s="87" t="s">
        <v>172</v>
      </c>
      <c r="J115" s="81" t="s">
        <v>27</v>
      </c>
      <c r="K115" s="80" t="s">
        <v>112</v>
      </c>
      <c r="L115" s="87">
        <v>3</v>
      </c>
      <c r="N115" s="80">
        <v>2</v>
      </c>
      <c r="O115" s="80">
        <v>0.6</v>
      </c>
      <c r="P115" s="80">
        <v>0.65</v>
      </c>
      <c r="Q115" s="44">
        <f t="shared" si="0"/>
        <v>0.625</v>
      </c>
      <c r="R115" s="80">
        <v>18.600000000000001</v>
      </c>
      <c r="S115" s="80">
        <v>123</v>
      </c>
      <c r="T115" s="16">
        <f t="shared" si="1"/>
        <v>30</v>
      </c>
      <c r="U115" s="80">
        <v>358</v>
      </c>
      <c r="V115" s="65">
        <f t="shared" si="2"/>
        <v>5370</v>
      </c>
      <c r="W115" s="80">
        <v>13</v>
      </c>
      <c r="X115" s="80" t="s">
        <v>35</v>
      </c>
      <c r="Y115" s="80" t="s">
        <v>55</v>
      </c>
      <c r="Z115" s="80" t="s">
        <v>64</v>
      </c>
      <c r="AA115" s="80" t="s">
        <v>74</v>
      </c>
      <c r="AB115" s="43" t="s">
        <v>161</v>
      </c>
      <c r="AI115" s="48"/>
      <c r="AJ115" s="48"/>
      <c r="AK115" s="48"/>
      <c r="AL115" s="48"/>
      <c r="AM115" s="48"/>
    </row>
    <row r="116" spans="1:39" s="80" customFormat="1" x14ac:dyDescent="0.15">
      <c r="A116" s="87" t="s">
        <v>23</v>
      </c>
      <c r="B116" s="87" t="s">
        <v>160</v>
      </c>
      <c r="C116" s="87">
        <v>2020</v>
      </c>
      <c r="D116" s="45" t="s">
        <v>164</v>
      </c>
      <c r="E116" s="87" t="s">
        <v>153</v>
      </c>
      <c r="F116" s="87" t="s">
        <v>154</v>
      </c>
      <c r="G116" s="87" t="s">
        <v>31</v>
      </c>
      <c r="H116" s="87" t="s">
        <v>113</v>
      </c>
      <c r="I116" s="87" t="s">
        <v>111</v>
      </c>
      <c r="J116" s="81" t="s">
        <v>27</v>
      </c>
      <c r="K116" s="80" t="s">
        <v>112</v>
      </c>
      <c r="L116" s="87">
        <v>1</v>
      </c>
      <c r="N116" s="80">
        <v>4</v>
      </c>
      <c r="O116" s="80">
        <v>0.5</v>
      </c>
      <c r="P116" s="80">
        <v>0.4</v>
      </c>
      <c r="Q116" s="44">
        <f t="shared" si="0"/>
        <v>0.45</v>
      </c>
      <c r="R116" s="80">
        <v>18.3</v>
      </c>
      <c r="S116" s="80">
        <v>100</v>
      </c>
      <c r="T116" s="16">
        <f t="shared" si="1"/>
        <v>33</v>
      </c>
      <c r="U116" s="80">
        <v>499</v>
      </c>
      <c r="V116" s="65">
        <f t="shared" si="2"/>
        <v>4116.75</v>
      </c>
      <c r="W116" s="81">
        <v>1</v>
      </c>
      <c r="X116" s="67" t="s">
        <v>28</v>
      </c>
      <c r="Y116" s="80" t="s">
        <v>74</v>
      </c>
      <c r="Z116" s="80" t="s">
        <v>64</v>
      </c>
      <c r="AA116" s="80" t="s">
        <v>55</v>
      </c>
      <c r="AB116" s="43" t="s">
        <v>161</v>
      </c>
      <c r="AI116" s="48"/>
      <c r="AJ116" s="48"/>
      <c r="AK116" s="48"/>
      <c r="AL116" s="48"/>
      <c r="AM116" s="48"/>
    </row>
    <row r="117" spans="1:39" s="80" customFormat="1" x14ac:dyDescent="0.15">
      <c r="A117" s="87" t="s">
        <v>23</v>
      </c>
      <c r="B117" s="87" t="s">
        <v>160</v>
      </c>
      <c r="C117" s="87">
        <v>2020</v>
      </c>
      <c r="D117" s="45" t="s">
        <v>164</v>
      </c>
      <c r="E117" s="87" t="s">
        <v>153</v>
      </c>
      <c r="F117" s="87" t="s">
        <v>154</v>
      </c>
      <c r="G117" s="87" t="s">
        <v>31</v>
      </c>
      <c r="H117" s="87" t="s">
        <v>113</v>
      </c>
      <c r="I117" s="87" t="s">
        <v>111</v>
      </c>
      <c r="J117" s="81" t="s">
        <v>27</v>
      </c>
      <c r="K117" s="80" t="s">
        <v>112</v>
      </c>
      <c r="L117" s="87">
        <v>2</v>
      </c>
      <c r="N117" s="80">
        <v>4</v>
      </c>
      <c r="O117" s="80">
        <v>0.25</v>
      </c>
      <c r="P117" s="80">
        <v>0.2</v>
      </c>
      <c r="Q117" s="44">
        <f t="shared" si="0"/>
        <v>0.22500000000000001</v>
      </c>
      <c r="R117" s="80">
        <v>18</v>
      </c>
      <c r="S117" s="80">
        <v>105</v>
      </c>
      <c r="T117" s="16">
        <f t="shared" si="1"/>
        <v>33</v>
      </c>
      <c r="U117" s="80">
        <v>499</v>
      </c>
      <c r="V117" s="65">
        <f t="shared" si="2"/>
        <v>4116.75</v>
      </c>
      <c r="W117" s="81">
        <v>1</v>
      </c>
      <c r="X117" s="67" t="s">
        <v>28</v>
      </c>
      <c r="Y117" s="80" t="s">
        <v>74</v>
      </c>
      <c r="Z117" s="80" t="s">
        <v>64</v>
      </c>
      <c r="AA117" s="80" t="s">
        <v>55</v>
      </c>
      <c r="AB117" s="43" t="s">
        <v>161</v>
      </c>
      <c r="AI117" s="48"/>
      <c r="AJ117" s="48"/>
      <c r="AK117" s="48"/>
      <c r="AL117" s="48"/>
      <c r="AM117" s="48"/>
    </row>
    <row r="118" spans="1:39" s="80" customFormat="1" x14ac:dyDescent="0.15">
      <c r="A118" s="87" t="s">
        <v>23</v>
      </c>
      <c r="B118" s="87" t="s">
        <v>160</v>
      </c>
      <c r="C118" s="87">
        <v>2020</v>
      </c>
      <c r="D118" s="45" t="s">
        <v>164</v>
      </c>
      <c r="E118" s="87" t="s">
        <v>153</v>
      </c>
      <c r="F118" s="87" t="s">
        <v>154</v>
      </c>
      <c r="G118" s="87" t="s">
        <v>31</v>
      </c>
      <c r="H118" s="87" t="s">
        <v>113</v>
      </c>
      <c r="I118" s="87" t="s">
        <v>111</v>
      </c>
      <c r="J118" s="81" t="s">
        <v>27</v>
      </c>
      <c r="K118" s="80" t="s">
        <v>112</v>
      </c>
      <c r="L118" s="87">
        <v>3</v>
      </c>
      <c r="N118" s="80">
        <v>4</v>
      </c>
      <c r="O118" s="80">
        <v>0.2</v>
      </c>
      <c r="P118" s="80">
        <v>0.25</v>
      </c>
      <c r="Q118" s="44">
        <f t="shared" si="0"/>
        <v>0.22500000000000001</v>
      </c>
      <c r="R118" s="80">
        <v>18.5</v>
      </c>
      <c r="S118" s="80">
        <v>94</v>
      </c>
      <c r="T118" s="16">
        <f t="shared" si="1"/>
        <v>36</v>
      </c>
      <c r="U118" s="80">
        <v>499</v>
      </c>
      <c r="V118" s="65">
        <f t="shared" si="2"/>
        <v>4491</v>
      </c>
      <c r="W118" s="81">
        <v>1</v>
      </c>
      <c r="X118" s="67" t="s">
        <v>28</v>
      </c>
      <c r="Y118" s="80" t="s">
        <v>74</v>
      </c>
      <c r="Z118" s="80" t="s">
        <v>64</v>
      </c>
      <c r="AA118" s="80" t="s">
        <v>55</v>
      </c>
      <c r="AB118" s="43" t="s">
        <v>161</v>
      </c>
      <c r="AI118" s="48"/>
      <c r="AJ118" s="48"/>
      <c r="AK118" s="48"/>
      <c r="AL118" s="48"/>
      <c r="AM118" s="48"/>
    </row>
    <row r="119" spans="1:39" s="80" customFormat="1" x14ac:dyDescent="0.15">
      <c r="A119" s="87" t="s">
        <v>23</v>
      </c>
      <c r="B119" s="87" t="s">
        <v>160</v>
      </c>
      <c r="C119" s="87">
        <v>2020</v>
      </c>
      <c r="D119" s="45" t="s">
        <v>164</v>
      </c>
      <c r="E119" s="87" t="s">
        <v>153</v>
      </c>
      <c r="F119" s="87" t="s">
        <v>154</v>
      </c>
      <c r="G119" s="87" t="s">
        <v>31</v>
      </c>
      <c r="H119" s="87" t="s">
        <v>167</v>
      </c>
      <c r="I119" s="87" t="s">
        <v>111</v>
      </c>
      <c r="J119" s="81" t="s">
        <v>27</v>
      </c>
      <c r="K119" s="80" t="s">
        <v>112</v>
      </c>
      <c r="L119" s="87">
        <v>1</v>
      </c>
      <c r="N119" s="80">
        <v>4</v>
      </c>
      <c r="O119" s="80">
        <v>0.3</v>
      </c>
      <c r="P119" s="80">
        <v>0.3</v>
      </c>
      <c r="Q119" s="44">
        <f t="shared" si="0"/>
        <v>0.3</v>
      </c>
      <c r="R119" s="80">
        <v>14.8</v>
      </c>
      <c r="S119" s="80">
        <v>95</v>
      </c>
      <c r="T119" s="16">
        <f t="shared" si="1"/>
        <v>36</v>
      </c>
      <c r="U119" s="80">
        <v>599</v>
      </c>
      <c r="V119" s="65">
        <f t="shared" si="2"/>
        <v>5391</v>
      </c>
      <c r="W119" s="81">
        <v>1</v>
      </c>
      <c r="X119" s="67" t="s">
        <v>28</v>
      </c>
      <c r="Y119" s="80" t="s">
        <v>74</v>
      </c>
      <c r="Z119" s="80" t="s">
        <v>64</v>
      </c>
      <c r="AA119" s="80" t="s">
        <v>55</v>
      </c>
      <c r="AB119" s="43" t="s">
        <v>161</v>
      </c>
      <c r="AI119" s="48"/>
      <c r="AJ119" s="48"/>
      <c r="AK119" s="48"/>
      <c r="AL119" s="48"/>
      <c r="AM119" s="48"/>
    </row>
    <row r="120" spans="1:39" s="80" customFormat="1" x14ac:dyDescent="0.15">
      <c r="A120" s="87" t="s">
        <v>23</v>
      </c>
      <c r="B120" s="87" t="s">
        <v>160</v>
      </c>
      <c r="C120" s="87">
        <v>2020</v>
      </c>
      <c r="D120" s="45" t="s">
        <v>164</v>
      </c>
      <c r="E120" s="87" t="s">
        <v>153</v>
      </c>
      <c r="F120" s="87" t="s">
        <v>154</v>
      </c>
      <c r="G120" s="87" t="s">
        <v>31</v>
      </c>
      <c r="H120" s="87" t="s">
        <v>167</v>
      </c>
      <c r="I120" s="87" t="s">
        <v>111</v>
      </c>
      <c r="J120" s="81" t="s">
        <v>27</v>
      </c>
      <c r="K120" s="80" t="s">
        <v>112</v>
      </c>
      <c r="L120" s="87">
        <v>2</v>
      </c>
      <c r="N120" s="80">
        <v>4</v>
      </c>
      <c r="O120" s="80">
        <v>0.35</v>
      </c>
      <c r="P120" s="80">
        <v>0.2</v>
      </c>
      <c r="Q120" s="44">
        <f t="shared" si="0"/>
        <v>0.27500000000000002</v>
      </c>
      <c r="R120" s="80">
        <v>18.2</v>
      </c>
      <c r="S120" s="80">
        <v>93</v>
      </c>
      <c r="T120" s="16">
        <f t="shared" si="1"/>
        <v>36</v>
      </c>
      <c r="U120" s="80">
        <v>599</v>
      </c>
      <c r="V120" s="65">
        <f t="shared" si="2"/>
        <v>5391</v>
      </c>
      <c r="W120" s="81">
        <v>1</v>
      </c>
      <c r="X120" s="67" t="s">
        <v>28</v>
      </c>
      <c r="Y120" s="80" t="s">
        <v>74</v>
      </c>
      <c r="Z120" s="80" t="s">
        <v>64</v>
      </c>
      <c r="AA120" s="80" t="s">
        <v>55</v>
      </c>
      <c r="AB120" s="43" t="s">
        <v>161</v>
      </c>
      <c r="AI120" s="48"/>
      <c r="AJ120" s="48"/>
      <c r="AK120" s="48"/>
      <c r="AL120" s="48"/>
      <c r="AM120" s="48"/>
    </row>
    <row r="121" spans="1:39" s="80" customFormat="1" x14ac:dyDescent="0.15">
      <c r="A121" s="87" t="s">
        <v>23</v>
      </c>
      <c r="B121" s="87" t="s">
        <v>160</v>
      </c>
      <c r="C121" s="87">
        <v>2020</v>
      </c>
      <c r="D121" s="45" t="s">
        <v>164</v>
      </c>
      <c r="E121" s="87" t="s">
        <v>153</v>
      </c>
      <c r="F121" s="87" t="s">
        <v>154</v>
      </c>
      <c r="G121" s="87" t="s">
        <v>31</v>
      </c>
      <c r="H121" s="87" t="s">
        <v>167</v>
      </c>
      <c r="I121" s="87" t="s">
        <v>111</v>
      </c>
      <c r="J121" s="81" t="s">
        <v>27</v>
      </c>
      <c r="K121" s="80" t="s">
        <v>112</v>
      </c>
      <c r="L121" s="87">
        <v>3</v>
      </c>
      <c r="N121" s="80">
        <v>4</v>
      </c>
      <c r="O121" s="80">
        <v>0.3</v>
      </c>
      <c r="P121" s="80">
        <v>0.25</v>
      </c>
      <c r="Q121" s="44">
        <f t="shared" si="0"/>
        <v>0.27500000000000002</v>
      </c>
      <c r="R121" s="80">
        <v>15.9</v>
      </c>
      <c r="S121" s="80">
        <v>96</v>
      </c>
      <c r="T121" s="16">
        <f t="shared" si="1"/>
        <v>36</v>
      </c>
      <c r="U121" s="80">
        <v>599</v>
      </c>
      <c r="V121" s="65">
        <f t="shared" si="2"/>
        <v>5391</v>
      </c>
      <c r="W121" s="81">
        <v>1</v>
      </c>
      <c r="X121" s="67" t="s">
        <v>28</v>
      </c>
      <c r="Y121" s="80" t="s">
        <v>74</v>
      </c>
      <c r="Z121" s="80" t="s">
        <v>64</v>
      </c>
      <c r="AA121" s="80" t="s">
        <v>55</v>
      </c>
      <c r="AB121" s="43" t="s">
        <v>161</v>
      </c>
      <c r="AI121" s="48"/>
      <c r="AJ121" s="48"/>
      <c r="AK121" s="48"/>
      <c r="AL121" s="48"/>
      <c r="AM121" s="48"/>
    </row>
    <row r="122" spans="1:39" s="80" customFormat="1" x14ac:dyDescent="0.15">
      <c r="A122" s="87" t="s">
        <v>23</v>
      </c>
      <c r="B122" s="87" t="s">
        <v>160</v>
      </c>
      <c r="C122" s="87">
        <v>2020</v>
      </c>
      <c r="D122" s="45" t="s">
        <v>164</v>
      </c>
      <c r="E122" s="87" t="s">
        <v>170</v>
      </c>
      <c r="F122" s="87" t="s">
        <v>147</v>
      </c>
      <c r="G122" s="87" t="s">
        <v>25</v>
      </c>
      <c r="H122" s="87" t="s">
        <v>173</v>
      </c>
      <c r="I122" s="87" t="s">
        <v>111</v>
      </c>
      <c r="J122" s="81" t="s">
        <v>27</v>
      </c>
      <c r="K122" s="80" t="s">
        <v>112</v>
      </c>
      <c r="L122" s="87">
        <v>1</v>
      </c>
      <c r="N122" s="80">
        <v>1</v>
      </c>
      <c r="O122" s="80">
        <v>0.55000000000000004</v>
      </c>
      <c r="P122" s="80">
        <v>0.8</v>
      </c>
      <c r="Q122" s="44">
        <f t="shared" si="0"/>
        <v>0.67500000000000004</v>
      </c>
      <c r="R122" s="80">
        <v>16.399999999999999</v>
      </c>
      <c r="S122" s="80">
        <v>130</v>
      </c>
      <c r="T122" s="16">
        <f t="shared" si="1"/>
        <v>30</v>
      </c>
      <c r="U122" s="80">
        <v>98</v>
      </c>
      <c r="V122" s="65">
        <f t="shared" si="2"/>
        <v>2940</v>
      </c>
      <c r="W122" s="80">
        <v>9</v>
      </c>
      <c r="X122" s="67" t="s">
        <v>35</v>
      </c>
      <c r="Y122" s="80" t="s">
        <v>82</v>
      </c>
      <c r="Z122" s="80" t="s">
        <v>72</v>
      </c>
      <c r="AA122" s="80" t="s">
        <v>64</v>
      </c>
      <c r="AB122" s="43" t="s">
        <v>161</v>
      </c>
      <c r="AI122" s="48"/>
      <c r="AJ122" s="48"/>
      <c r="AK122" s="48"/>
      <c r="AL122" s="48"/>
      <c r="AM122" s="48"/>
    </row>
    <row r="123" spans="1:39" s="80" customFormat="1" x14ac:dyDescent="0.15">
      <c r="A123" s="87" t="s">
        <v>23</v>
      </c>
      <c r="B123" s="87" t="s">
        <v>160</v>
      </c>
      <c r="C123" s="87">
        <v>2020</v>
      </c>
      <c r="D123" s="45" t="s">
        <v>164</v>
      </c>
      <c r="E123" s="87" t="s">
        <v>170</v>
      </c>
      <c r="F123" s="87" t="s">
        <v>147</v>
      </c>
      <c r="G123" s="87" t="s">
        <v>25</v>
      </c>
      <c r="H123" s="87" t="s">
        <v>173</v>
      </c>
      <c r="I123" s="87" t="s">
        <v>111</v>
      </c>
      <c r="J123" s="81" t="s">
        <v>27</v>
      </c>
      <c r="K123" s="80" t="s">
        <v>112</v>
      </c>
      <c r="L123" s="87">
        <v>2</v>
      </c>
      <c r="N123" s="80">
        <v>1</v>
      </c>
      <c r="O123" s="80">
        <v>0.9</v>
      </c>
      <c r="P123" s="80">
        <v>1.05</v>
      </c>
      <c r="Q123" s="44">
        <f t="shared" si="0"/>
        <v>0.97500000000000009</v>
      </c>
      <c r="R123" s="80">
        <v>15.8</v>
      </c>
      <c r="S123" s="80">
        <v>128</v>
      </c>
      <c r="T123" s="16">
        <f t="shared" si="1"/>
        <v>30</v>
      </c>
      <c r="U123" s="80">
        <v>98</v>
      </c>
      <c r="V123" s="65">
        <f t="shared" si="2"/>
        <v>2940</v>
      </c>
      <c r="W123" s="80">
        <v>9</v>
      </c>
      <c r="X123" s="67" t="s">
        <v>35</v>
      </c>
      <c r="Y123" s="80" t="s">
        <v>82</v>
      </c>
      <c r="Z123" s="80" t="s">
        <v>72</v>
      </c>
      <c r="AA123" s="80" t="s">
        <v>64</v>
      </c>
      <c r="AB123" s="43" t="s">
        <v>161</v>
      </c>
      <c r="AI123" s="48"/>
      <c r="AJ123" s="48"/>
      <c r="AK123" s="48"/>
      <c r="AL123" s="48"/>
      <c r="AM123" s="48"/>
    </row>
    <row r="124" spans="1:39" s="80" customFormat="1" x14ac:dyDescent="0.15">
      <c r="A124" s="87" t="s">
        <v>23</v>
      </c>
      <c r="B124" s="87" t="s">
        <v>160</v>
      </c>
      <c r="C124" s="87">
        <v>2020</v>
      </c>
      <c r="D124" s="45" t="s">
        <v>164</v>
      </c>
      <c r="E124" s="87" t="s">
        <v>170</v>
      </c>
      <c r="F124" s="87" t="s">
        <v>147</v>
      </c>
      <c r="G124" s="87" t="s">
        <v>25</v>
      </c>
      <c r="H124" s="87" t="s">
        <v>173</v>
      </c>
      <c r="I124" s="87" t="s">
        <v>111</v>
      </c>
      <c r="J124" s="81" t="s">
        <v>27</v>
      </c>
      <c r="K124" s="80" t="s">
        <v>112</v>
      </c>
      <c r="L124" s="87">
        <v>3</v>
      </c>
      <c r="N124" s="80">
        <v>1</v>
      </c>
      <c r="O124" s="80">
        <v>0.6</v>
      </c>
      <c r="P124" s="80">
        <v>0.9</v>
      </c>
      <c r="Q124" s="44">
        <f t="shared" si="0"/>
        <v>0.75</v>
      </c>
      <c r="R124" s="80">
        <v>16.8</v>
      </c>
      <c r="S124" s="80">
        <v>132</v>
      </c>
      <c r="T124" s="16">
        <f t="shared" si="1"/>
        <v>30</v>
      </c>
      <c r="U124" s="80">
        <v>98</v>
      </c>
      <c r="V124" s="65">
        <f t="shared" si="2"/>
        <v>2940</v>
      </c>
      <c r="W124" s="80">
        <v>9</v>
      </c>
      <c r="X124" s="67" t="s">
        <v>35</v>
      </c>
      <c r="Y124" s="80" t="s">
        <v>82</v>
      </c>
      <c r="Z124" s="80" t="s">
        <v>72</v>
      </c>
      <c r="AA124" s="80" t="s">
        <v>64</v>
      </c>
      <c r="AB124" s="43" t="s">
        <v>161</v>
      </c>
      <c r="AI124" s="48"/>
      <c r="AJ124" s="48"/>
      <c r="AK124" s="48"/>
      <c r="AL124" s="48"/>
      <c r="AM124" s="48"/>
    </row>
    <row r="125" spans="1:39" s="80" customFormat="1" x14ac:dyDescent="0.15">
      <c r="A125" s="87" t="s">
        <v>23</v>
      </c>
      <c r="B125" s="87" t="s">
        <v>160</v>
      </c>
      <c r="C125" s="87">
        <v>2020</v>
      </c>
      <c r="D125" s="45" t="s">
        <v>164</v>
      </c>
      <c r="E125" s="87" t="s">
        <v>170</v>
      </c>
      <c r="F125" s="87" t="s">
        <v>147</v>
      </c>
      <c r="G125" s="87" t="s">
        <v>25</v>
      </c>
      <c r="H125" s="87" t="s">
        <v>167</v>
      </c>
      <c r="I125" s="87" t="s">
        <v>111</v>
      </c>
      <c r="J125" s="81" t="s">
        <v>27</v>
      </c>
      <c r="K125" s="80" t="s">
        <v>112</v>
      </c>
      <c r="L125" s="87">
        <v>1</v>
      </c>
      <c r="N125" s="80">
        <v>1</v>
      </c>
      <c r="O125" s="80">
        <v>0.75</v>
      </c>
      <c r="P125" s="80">
        <v>0.75</v>
      </c>
      <c r="Q125" s="44">
        <f t="shared" si="0"/>
        <v>0.75</v>
      </c>
      <c r="R125" s="80">
        <v>18.100000000000001</v>
      </c>
      <c r="S125" s="80">
        <v>130</v>
      </c>
      <c r="T125" s="16">
        <f t="shared" si="1"/>
        <v>30</v>
      </c>
      <c r="U125" s="80">
        <v>98</v>
      </c>
      <c r="V125" s="65">
        <f t="shared" si="2"/>
        <v>2940</v>
      </c>
      <c r="W125" s="80">
        <v>9</v>
      </c>
      <c r="X125" s="67" t="s">
        <v>35</v>
      </c>
      <c r="Y125" s="80" t="s">
        <v>82</v>
      </c>
      <c r="Z125" s="80" t="s">
        <v>72</v>
      </c>
      <c r="AA125" s="80" t="s">
        <v>64</v>
      </c>
      <c r="AB125" s="43" t="s">
        <v>161</v>
      </c>
      <c r="AI125" s="48"/>
      <c r="AJ125" s="48"/>
      <c r="AK125" s="48"/>
      <c r="AL125" s="48"/>
      <c r="AM125" s="48"/>
    </row>
    <row r="126" spans="1:39" s="80" customFormat="1" x14ac:dyDescent="0.15">
      <c r="A126" s="87" t="s">
        <v>23</v>
      </c>
      <c r="B126" s="87" t="s">
        <v>160</v>
      </c>
      <c r="C126" s="87">
        <v>2020</v>
      </c>
      <c r="D126" s="45" t="s">
        <v>164</v>
      </c>
      <c r="E126" s="87" t="s">
        <v>170</v>
      </c>
      <c r="F126" s="87" t="s">
        <v>147</v>
      </c>
      <c r="G126" s="87" t="s">
        <v>25</v>
      </c>
      <c r="H126" s="87" t="s">
        <v>167</v>
      </c>
      <c r="I126" s="87" t="s">
        <v>111</v>
      </c>
      <c r="J126" s="81" t="s">
        <v>27</v>
      </c>
      <c r="K126" s="80" t="s">
        <v>112</v>
      </c>
      <c r="L126" s="87">
        <v>2</v>
      </c>
      <c r="N126" s="80">
        <v>1</v>
      </c>
      <c r="O126" s="80">
        <v>0.6</v>
      </c>
      <c r="P126" s="80">
        <v>0.2</v>
      </c>
      <c r="Q126" s="44">
        <f t="shared" si="0"/>
        <v>0.4</v>
      </c>
      <c r="R126" s="80">
        <v>18.399999999999999</v>
      </c>
      <c r="S126" s="80">
        <v>127</v>
      </c>
      <c r="T126" s="16">
        <f t="shared" si="1"/>
        <v>30</v>
      </c>
      <c r="U126" s="80">
        <v>98</v>
      </c>
      <c r="V126" s="65">
        <f t="shared" si="2"/>
        <v>2940</v>
      </c>
      <c r="W126" s="80">
        <v>9</v>
      </c>
      <c r="X126" s="67" t="s">
        <v>35</v>
      </c>
      <c r="Y126" s="80" t="s">
        <v>82</v>
      </c>
      <c r="Z126" s="80" t="s">
        <v>72</v>
      </c>
      <c r="AA126" s="80" t="s">
        <v>64</v>
      </c>
      <c r="AB126" s="43" t="s">
        <v>161</v>
      </c>
      <c r="AI126" s="48"/>
      <c r="AJ126" s="48"/>
      <c r="AK126" s="48"/>
      <c r="AL126" s="48"/>
      <c r="AM126" s="48"/>
    </row>
    <row r="127" spans="1:39" s="80" customFormat="1" x14ac:dyDescent="0.15">
      <c r="A127" s="87" t="s">
        <v>23</v>
      </c>
      <c r="B127" s="87" t="s">
        <v>160</v>
      </c>
      <c r="C127" s="87">
        <v>2020</v>
      </c>
      <c r="D127" s="45" t="s">
        <v>164</v>
      </c>
      <c r="E127" s="87" t="s">
        <v>170</v>
      </c>
      <c r="F127" s="87" t="s">
        <v>147</v>
      </c>
      <c r="G127" s="87" t="s">
        <v>25</v>
      </c>
      <c r="H127" s="87" t="s">
        <v>167</v>
      </c>
      <c r="I127" s="87" t="s">
        <v>111</v>
      </c>
      <c r="J127" s="81" t="s">
        <v>27</v>
      </c>
      <c r="K127" s="80" t="s">
        <v>112</v>
      </c>
      <c r="L127" s="87">
        <v>3</v>
      </c>
      <c r="N127" s="80">
        <v>1</v>
      </c>
      <c r="O127" s="80">
        <v>0.7</v>
      </c>
      <c r="P127" s="80">
        <v>0.6</v>
      </c>
      <c r="Q127" s="44">
        <f t="shared" si="0"/>
        <v>0.64999999999999991</v>
      </c>
      <c r="R127" s="80">
        <v>16.899999999999999</v>
      </c>
      <c r="S127" s="80">
        <v>130</v>
      </c>
      <c r="T127" s="16">
        <f t="shared" si="1"/>
        <v>30</v>
      </c>
      <c r="U127" s="80">
        <v>98</v>
      </c>
      <c r="V127" s="65">
        <f t="shared" si="2"/>
        <v>2940</v>
      </c>
      <c r="W127" s="80">
        <v>9</v>
      </c>
      <c r="X127" s="67" t="s">
        <v>35</v>
      </c>
      <c r="Y127" s="80" t="s">
        <v>82</v>
      </c>
      <c r="Z127" s="80" t="s">
        <v>72</v>
      </c>
      <c r="AA127" s="80" t="s">
        <v>64</v>
      </c>
      <c r="AB127" s="43" t="s">
        <v>161</v>
      </c>
      <c r="AI127" s="48"/>
      <c r="AJ127" s="48"/>
      <c r="AK127" s="48"/>
      <c r="AL127" s="48"/>
      <c r="AM127" s="48"/>
    </row>
    <row r="128" spans="1:39" s="80" customFormat="1" x14ac:dyDescent="0.15">
      <c r="A128" s="87" t="s">
        <v>23</v>
      </c>
      <c r="B128" s="87" t="s">
        <v>160</v>
      </c>
      <c r="C128" s="87">
        <v>2020</v>
      </c>
      <c r="D128" s="45" t="s">
        <v>164</v>
      </c>
      <c r="E128" s="87" t="s">
        <v>170</v>
      </c>
      <c r="F128" s="87" t="s">
        <v>147</v>
      </c>
      <c r="G128" s="87" t="s">
        <v>25</v>
      </c>
      <c r="H128" s="87" t="s">
        <v>167</v>
      </c>
      <c r="I128" s="87" t="s">
        <v>111</v>
      </c>
      <c r="J128" s="81" t="s">
        <v>27</v>
      </c>
      <c r="K128" s="80" t="s">
        <v>112</v>
      </c>
      <c r="L128" s="87">
        <v>1</v>
      </c>
      <c r="N128" s="80">
        <v>6</v>
      </c>
      <c r="O128" s="80">
        <v>0.5</v>
      </c>
      <c r="P128" s="80">
        <v>0.45</v>
      </c>
      <c r="Q128" s="44">
        <f t="shared" si="0"/>
        <v>0.47499999999999998</v>
      </c>
      <c r="R128" s="80">
        <v>18.3</v>
      </c>
      <c r="S128" s="80">
        <v>130</v>
      </c>
      <c r="T128" s="16">
        <f t="shared" si="1"/>
        <v>30</v>
      </c>
      <c r="U128" s="80">
        <v>580</v>
      </c>
      <c r="V128" s="65">
        <f t="shared" si="2"/>
        <v>2900</v>
      </c>
      <c r="W128" s="80">
        <v>9</v>
      </c>
      <c r="X128" s="67" t="s">
        <v>35</v>
      </c>
      <c r="Y128" s="80" t="s">
        <v>82</v>
      </c>
      <c r="Z128" s="80" t="s">
        <v>72</v>
      </c>
      <c r="AA128" s="80" t="s">
        <v>64</v>
      </c>
      <c r="AB128" s="43" t="s">
        <v>161</v>
      </c>
      <c r="AI128" s="48"/>
      <c r="AJ128" s="48"/>
      <c r="AK128" s="48"/>
      <c r="AL128" s="48"/>
      <c r="AM128" s="48"/>
    </row>
    <row r="129" spans="1:39" s="80" customFormat="1" x14ac:dyDescent="0.15">
      <c r="A129" s="87" t="s">
        <v>23</v>
      </c>
      <c r="B129" s="87" t="s">
        <v>160</v>
      </c>
      <c r="C129" s="87">
        <v>2020</v>
      </c>
      <c r="D129" s="45" t="s">
        <v>164</v>
      </c>
      <c r="E129" s="87" t="s">
        <v>170</v>
      </c>
      <c r="F129" s="87" t="s">
        <v>147</v>
      </c>
      <c r="G129" s="87" t="s">
        <v>25</v>
      </c>
      <c r="H129" s="87" t="s">
        <v>167</v>
      </c>
      <c r="I129" s="87" t="s">
        <v>111</v>
      </c>
      <c r="J129" s="81" t="s">
        <v>27</v>
      </c>
      <c r="K129" s="80" t="s">
        <v>112</v>
      </c>
      <c r="L129" s="87">
        <v>2</v>
      </c>
      <c r="N129" s="80">
        <v>6</v>
      </c>
      <c r="O129" s="80">
        <v>0.6</v>
      </c>
      <c r="P129" s="80">
        <v>0.6</v>
      </c>
      <c r="Q129" s="44">
        <f t="shared" si="0"/>
        <v>0.6</v>
      </c>
      <c r="R129" s="80">
        <v>18.100000000000001</v>
      </c>
      <c r="S129" s="80">
        <v>129</v>
      </c>
      <c r="T129" s="16">
        <f t="shared" si="1"/>
        <v>30</v>
      </c>
      <c r="U129" s="80">
        <v>580</v>
      </c>
      <c r="V129" s="65">
        <f t="shared" si="2"/>
        <v>2900</v>
      </c>
      <c r="W129" s="80">
        <v>9</v>
      </c>
      <c r="X129" s="67" t="s">
        <v>35</v>
      </c>
      <c r="Y129" s="80" t="s">
        <v>82</v>
      </c>
      <c r="Z129" s="80" t="s">
        <v>72</v>
      </c>
      <c r="AA129" s="80" t="s">
        <v>64</v>
      </c>
      <c r="AB129" s="43" t="s">
        <v>161</v>
      </c>
      <c r="AI129" s="48"/>
      <c r="AJ129" s="48"/>
      <c r="AK129" s="48"/>
      <c r="AL129" s="48"/>
      <c r="AM129" s="48"/>
    </row>
    <row r="130" spans="1:39" s="80" customFormat="1" x14ac:dyDescent="0.15">
      <c r="A130" s="87" t="s">
        <v>23</v>
      </c>
      <c r="B130" s="87" t="s">
        <v>160</v>
      </c>
      <c r="C130" s="87">
        <v>2020</v>
      </c>
      <c r="D130" s="45" t="s">
        <v>164</v>
      </c>
      <c r="E130" s="87" t="s">
        <v>170</v>
      </c>
      <c r="F130" s="87" t="s">
        <v>147</v>
      </c>
      <c r="G130" s="87" t="s">
        <v>25</v>
      </c>
      <c r="H130" s="87" t="s">
        <v>167</v>
      </c>
      <c r="I130" s="87" t="s">
        <v>111</v>
      </c>
      <c r="J130" s="81" t="s">
        <v>27</v>
      </c>
      <c r="K130" s="80" t="s">
        <v>112</v>
      </c>
      <c r="L130" s="87">
        <v>3</v>
      </c>
      <c r="N130" s="80">
        <v>6</v>
      </c>
      <c r="O130" s="80">
        <v>0.35</v>
      </c>
      <c r="P130" s="80">
        <v>0.55000000000000004</v>
      </c>
      <c r="Q130" s="44">
        <f t="shared" si="0"/>
        <v>0.45</v>
      </c>
      <c r="R130" s="80">
        <v>18.2</v>
      </c>
      <c r="S130" s="80">
        <v>128</v>
      </c>
      <c r="T130" s="16">
        <f t="shared" si="1"/>
        <v>30</v>
      </c>
      <c r="U130" s="80">
        <v>580</v>
      </c>
      <c r="V130" s="65">
        <f t="shared" si="2"/>
        <v>2900</v>
      </c>
      <c r="W130" s="80">
        <v>9</v>
      </c>
      <c r="X130" s="67" t="s">
        <v>35</v>
      </c>
      <c r="Y130" s="80" t="s">
        <v>82</v>
      </c>
      <c r="Z130" s="80" t="s">
        <v>72</v>
      </c>
      <c r="AA130" s="80" t="s">
        <v>64</v>
      </c>
      <c r="AB130" s="43" t="s">
        <v>161</v>
      </c>
      <c r="AI130" s="48"/>
      <c r="AJ130" s="48"/>
      <c r="AK130" s="48"/>
      <c r="AL130" s="48"/>
      <c r="AM130" s="48"/>
    </row>
    <row r="131" spans="1:39" x14ac:dyDescent="0.15">
      <c r="A131" s="92"/>
      <c r="B131" s="93"/>
      <c r="C131" s="93"/>
      <c r="D131" s="94"/>
      <c r="E131" s="93"/>
      <c r="F131" s="93"/>
      <c r="G131" s="93"/>
      <c r="H131" s="93"/>
      <c r="I131" s="93"/>
      <c r="J131" s="81"/>
      <c r="Q131" s="44"/>
    </row>
    <row r="132" spans="1:39" x14ac:dyDescent="0.15">
      <c r="A132" s="92"/>
      <c r="B132" s="93"/>
      <c r="C132" s="93"/>
      <c r="D132" s="94"/>
      <c r="E132" s="93"/>
      <c r="F132" s="93"/>
      <c r="G132" s="93"/>
      <c r="H132" s="93"/>
      <c r="I132" s="93"/>
      <c r="J132" s="81"/>
      <c r="Q132" s="44"/>
    </row>
    <row r="133" spans="1:39" x14ac:dyDescent="0.15">
      <c r="A133" s="92"/>
      <c r="B133" s="93"/>
      <c r="C133" s="93"/>
      <c r="D133" s="94"/>
      <c r="E133" s="93"/>
      <c r="F133" s="93"/>
      <c r="G133" s="93"/>
      <c r="H133" s="93"/>
      <c r="I133" s="93"/>
      <c r="J133" s="81"/>
      <c r="Q133" s="44"/>
    </row>
    <row r="134" spans="1:39" x14ac:dyDescent="0.15">
      <c r="A134" s="92"/>
      <c r="B134" s="93"/>
      <c r="C134" s="93"/>
      <c r="D134" s="94"/>
      <c r="E134" s="93"/>
      <c r="F134" s="93"/>
      <c r="G134" s="93"/>
      <c r="H134" s="93"/>
      <c r="I134" s="93"/>
      <c r="J134" s="81"/>
      <c r="Q134" s="44"/>
    </row>
    <row r="135" spans="1:39" x14ac:dyDescent="0.15">
      <c r="A135" s="92"/>
      <c r="B135" s="93"/>
      <c r="C135" s="93"/>
      <c r="D135" s="94"/>
      <c r="E135" s="93"/>
      <c r="F135" s="93"/>
      <c r="G135" s="93"/>
      <c r="H135" s="93"/>
      <c r="I135" s="93"/>
      <c r="J135" s="81"/>
      <c r="Q135" s="44"/>
    </row>
    <row r="136" spans="1:39" x14ac:dyDescent="0.15">
      <c r="A136" s="92"/>
      <c r="B136" s="93"/>
      <c r="C136" s="93"/>
      <c r="D136" s="94"/>
      <c r="E136" s="93"/>
      <c r="F136" s="93"/>
      <c r="G136" s="93"/>
      <c r="H136" s="93"/>
      <c r="I136" s="93"/>
      <c r="J136" s="81"/>
      <c r="Q136" s="44"/>
    </row>
    <row r="137" spans="1:39" x14ac:dyDescent="0.15">
      <c r="A137" s="92"/>
      <c r="B137" s="93"/>
      <c r="C137" s="93"/>
      <c r="D137" s="94"/>
      <c r="E137" s="93"/>
      <c r="F137" s="93"/>
      <c r="G137" s="93"/>
      <c r="H137" s="93"/>
      <c r="I137" s="93"/>
      <c r="J137" s="81"/>
      <c r="Q137" s="44"/>
    </row>
    <row r="138" spans="1:39" x14ac:dyDescent="0.15">
      <c r="A138" s="92"/>
      <c r="B138" s="93"/>
      <c r="C138" s="93"/>
      <c r="D138" s="94"/>
      <c r="E138" s="93"/>
      <c r="F138" s="93"/>
      <c r="G138" s="93"/>
      <c r="H138" s="93"/>
      <c r="I138" s="93"/>
      <c r="J138" s="81"/>
      <c r="Q138" s="44"/>
    </row>
    <row r="139" spans="1:39" x14ac:dyDescent="0.15">
      <c r="A139" s="92"/>
      <c r="B139" s="93"/>
      <c r="C139" s="93"/>
      <c r="D139" s="94"/>
      <c r="E139" s="93"/>
      <c r="F139" s="93"/>
      <c r="G139" s="93"/>
      <c r="H139" s="93"/>
      <c r="I139" s="93"/>
      <c r="J139" s="81"/>
      <c r="Q139" s="44"/>
    </row>
    <row r="140" spans="1:39" x14ac:dyDescent="0.15">
      <c r="A140" s="92"/>
      <c r="B140" s="93"/>
      <c r="C140" s="93"/>
      <c r="D140" s="94"/>
      <c r="E140" s="93"/>
      <c r="F140" s="93"/>
      <c r="G140" s="93"/>
      <c r="H140" s="93"/>
      <c r="I140" s="93"/>
      <c r="J140" s="81"/>
      <c r="Q140" s="44"/>
    </row>
    <row r="141" spans="1:39" x14ac:dyDescent="0.15">
      <c r="A141" s="92"/>
      <c r="B141" s="93"/>
      <c r="C141" s="93"/>
      <c r="D141" s="94"/>
      <c r="E141" s="93"/>
      <c r="F141" s="93"/>
      <c r="G141" s="93"/>
      <c r="H141" s="93"/>
      <c r="I141" s="93"/>
      <c r="J141" s="81"/>
      <c r="Q141" s="44"/>
    </row>
    <row r="142" spans="1:39" x14ac:dyDescent="0.15">
      <c r="A142" s="92"/>
      <c r="B142" s="93"/>
      <c r="C142" s="93"/>
      <c r="D142" s="94"/>
      <c r="E142" s="93"/>
      <c r="F142" s="93"/>
      <c r="G142" s="93"/>
      <c r="H142" s="93"/>
      <c r="I142" s="93"/>
      <c r="J142" s="81"/>
      <c r="Q142" s="44"/>
    </row>
    <row r="143" spans="1:39" x14ac:dyDescent="0.15">
      <c r="A143" s="92"/>
      <c r="B143" s="93"/>
      <c r="C143" s="93"/>
      <c r="D143" s="94"/>
      <c r="E143" s="93"/>
      <c r="F143" s="93"/>
      <c r="G143" s="93"/>
      <c r="H143" s="93"/>
      <c r="I143" s="93"/>
      <c r="J143" s="81"/>
      <c r="Q143" s="44"/>
    </row>
    <row r="144" spans="1:39" x14ac:dyDescent="0.15">
      <c r="A144" s="92"/>
      <c r="B144" s="93"/>
      <c r="C144" s="93"/>
      <c r="D144" s="94"/>
      <c r="E144" s="93"/>
      <c r="F144" s="93"/>
      <c r="G144" s="93"/>
      <c r="H144" s="93"/>
      <c r="I144" s="93"/>
      <c r="J144" s="81"/>
      <c r="Q144" s="44"/>
    </row>
    <row r="145" spans="1:17" x14ac:dyDescent="0.15">
      <c r="A145" s="92"/>
      <c r="B145" s="93"/>
      <c r="C145" s="93"/>
      <c r="D145" s="94"/>
      <c r="E145" s="93"/>
      <c r="F145" s="93"/>
      <c r="G145" s="93"/>
      <c r="H145" s="93"/>
      <c r="I145" s="93"/>
      <c r="J145" s="81"/>
      <c r="Q145" s="44"/>
    </row>
    <row r="146" spans="1:17" x14ac:dyDescent="0.15">
      <c r="A146" s="92"/>
      <c r="B146" s="93"/>
      <c r="C146" s="93"/>
      <c r="D146" s="94"/>
      <c r="E146" s="93"/>
      <c r="F146" s="93"/>
      <c r="G146" s="93"/>
      <c r="H146" s="93"/>
      <c r="I146" s="93"/>
      <c r="J146" s="81"/>
      <c r="Q146" s="44"/>
    </row>
    <row r="147" spans="1:17" x14ac:dyDescent="0.15">
      <c r="A147" s="92"/>
      <c r="B147" s="93"/>
      <c r="C147" s="93"/>
      <c r="D147" s="94"/>
      <c r="E147" s="93"/>
      <c r="F147" s="93"/>
      <c r="G147" s="93"/>
      <c r="H147" s="93"/>
      <c r="I147" s="93"/>
      <c r="J147" s="81"/>
      <c r="Q147" s="44"/>
    </row>
    <row r="148" spans="1:17" x14ac:dyDescent="0.15">
      <c r="A148" s="92"/>
      <c r="B148" s="93"/>
      <c r="C148" s="93"/>
      <c r="D148" s="94"/>
      <c r="E148" s="93"/>
      <c r="F148" s="93"/>
      <c r="G148" s="93"/>
      <c r="H148" s="93"/>
      <c r="I148" s="93"/>
      <c r="J148" s="81"/>
      <c r="Q148" s="44"/>
    </row>
    <row r="149" spans="1:17" x14ac:dyDescent="0.15">
      <c r="A149" s="92"/>
      <c r="B149" s="93"/>
      <c r="C149" s="93"/>
      <c r="D149" s="94"/>
      <c r="E149" s="93"/>
      <c r="F149" s="93"/>
      <c r="G149" s="93"/>
      <c r="H149" s="93"/>
      <c r="I149" s="93"/>
      <c r="J149" s="81"/>
      <c r="Q149" s="44"/>
    </row>
    <row r="150" spans="1:17" x14ac:dyDescent="0.15">
      <c r="A150" s="92"/>
      <c r="B150" s="93"/>
      <c r="C150" s="93"/>
      <c r="D150" s="94"/>
      <c r="E150" s="93"/>
      <c r="F150" s="93"/>
      <c r="G150" s="93"/>
      <c r="H150" s="93"/>
      <c r="I150" s="93"/>
      <c r="J150" s="81"/>
      <c r="Q150" s="44"/>
    </row>
    <row r="151" spans="1:17" x14ac:dyDescent="0.15">
      <c r="A151" s="92"/>
      <c r="B151" s="93"/>
      <c r="C151" s="93"/>
      <c r="D151" s="94"/>
      <c r="E151" s="93"/>
      <c r="F151" s="93"/>
      <c r="G151" s="93"/>
      <c r="H151" s="93"/>
      <c r="I151" s="93"/>
      <c r="J151" s="81"/>
      <c r="Q151" s="44"/>
    </row>
    <row r="152" spans="1:17" x14ac:dyDescent="0.15">
      <c r="A152" s="92"/>
      <c r="B152" s="93"/>
      <c r="C152" s="93"/>
      <c r="D152" s="94"/>
      <c r="E152" s="93"/>
      <c r="F152" s="93"/>
      <c r="G152" s="93"/>
      <c r="H152" s="93"/>
      <c r="I152" s="93"/>
      <c r="J152" s="81"/>
      <c r="Q152" s="44"/>
    </row>
    <row r="153" spans="1:17" x14ac:dyDescent="0.15">
      <c r="A153" s="92"/>
      <c r="B153" s="93"/>
      <c r="C153" s="93"/>
      <c r="D153" s="94"/>
      <c r="E153" s="93"/>
      <c r="F153" s="93"/>
      <c r="G153" s="93"/>
      <c r="H153" s="93"/>
      <c r="I153" s="93"/>
      <c r="J153" s="81"/>
      <c r="Q153" s="44"/>
    </row>
    <row r="154" spans="1:17" x14ac:dyDescent="0.15">
      <c r="A154" s="92"/>
      <c r="B154" s="93"/>
      <c r="C154" s="93"/>
      <c r="D154" s="94"/>
      <c r="E154" s="93"/>
      <c r="F154" s="93"/>
      <c r="G154" s="93"/>
      <c r="H154" s="93"/>
      <c r="I154" s="93"/>
      <c r="J154" s="81"/>
      <c r="Q154" s="44"/>
    </row>
    <row r="155" spans="1:17" x14ac:dyDescent="0.15">
      <c r="A155" s="92"/>
      <c r="B155" s="93"/>
      <c r="C155" s="93"/>
      <c r="D155" s="94"/>
      <c r="E155" s="93"/>
      <c r="F155" s="93"/>
      <c r="G155" s="93"/>
      <c r="H155" s="93"/>
      <c r="I155" s="93"/>
      <c r="J155" s="81"/>
      <c r="Q155" s="44"/>
    </row>
    <row r="156" spans="1:17" x14ac:dyDescent="0.15">
      <c r="A156" s="92"/>
      <c r="B156" s="93"/>
      <c r="C156" s="93"/>
      <c r="D156" s="94"/>
      <c r="E156" s="93"/>
      <c r="F156" s="93"/>
      <c r="G156" s="93"/>
      <c r="H156" s="93"/>
      <c r="I156" s="93"/>
      <c r="J156" s="81"/>
      <c r="Q156" s="44"/>
    </row>
    <row r="157" spans="1:17" x14ac:dyDescent="0.15">
      <c r="A157" s="92"/>
      <c r="B157" s="93"/>
      <c r="C157" s="93"/>
      <c r="D157" s="94"/>
      <c r="E157" s="93"/>
      <c r="F157" s="93"/>
      <c r="G157" s="93"/>
      <c r="H157" s="93"/>
      <c r="I157" s="93"/>
      <c r="J157" s="81"/>
      <c r="Q157" s="44"/>
    </row>
    <row r="158" spans="1:17" x14ac:dyDescent="0.15">
      <c r="A158" s="92"/>
      <c r="B158" s="93"/>
      <c r="C158" s="93"/>
      <c r="D158" s="94"/>
      <c r="E158" s="93"/>
      <c r="F158" s="93"/>
      <c r="G158" s="93"/>
      <c r="H158" s="93"/>
      <c r="I158" s="93"/>
      <c r="J158" s="81"/>
      <c r="Q158" s="44"/>
    </row>
    <row r="159" spans="1:17" x14ac:dyDescent="0.15">
      <c r="A159" s="92"/>
      <c r="B159" s="93"/>
      <c r="C159" s="93"/>
      <c r="D159" s="94"/>
      <c r="E159" s="93"/>
      <c r="F159" s="93"/>
      <c r="G159" s="93"/>
      <c r="H159" s="93"/>
      <c r="I159" s="93"/>
      <c r="J159" s="81"/>
      <c r="Q159" s="44"/>
    </row>
    <row r="160" spans="1:17" x14ac:dyDescent="0.15">
      <c r="A160" s="92"/>
      <c r="B160" s="93"/>
      <c r="C160" s="93"/>
      <c r="D160" s="94"/>
      <c r="E160" s="93"/>
      <c r="F160" s="93"/>
      <c r="G160" s="93"/>
      <c r="H160" s="93"/>
      <c r="I160" s="93"/>
      <c r="J160" s="81"/>
      <c r="Q160" s="44"/>
    </row>
    <row r="161" spans="1:17" x14ac:dyDescent="0.15">
      <c r="A161" s="92"/>
      <c r="B161" s="93"/>
      <c r="C161" s="93"/>
      <c r="D161" s="94"/>
      <c r="E161" s="93"/>
      <c r="F161" s="93"/>
      <c r="G161" s="93"/>
      <c r="H161" s="93"/>
      <c r="I161" s="93"/>
      <c r="J161" s="81"/>
      <c r="Q161" s="44"/>
    </row>
    <row r="162" spans="1:17" x14ac:dyDescent="0.15">
      <c r="A162" s="92"/>
      <c r="B162" s="93"/>
      <c r="C162" s="93"/>
      <c r="D162" s="94"/>
      <c r="E162" s="93"/>
      <c r="F162" s="93"/>
      <c r="G162" s="93"/>
      <c r="H162" s="93"/>
      <c r="I162" s="93"/>
      <c r="J162" s="81"/>
      <c r="Q162" s="44"/>
    </row>
    <row r="163" spans="1:17" x14ac:dyDescent="0.15">
      <c r="A163" s="92"/>
      <c r="B163" s="93"/>
      <c r="C163" s="93"/>
      <c r="D163" s="94"/>
      <c r="E163" s="93"/>
      <c r="F163" s="93"/>
      <c r="G163" s="93"/>
      <c r="H163" s="93"/>
      <c r="I163" s="93"/>
      <c r="J163" s="81"/>
      <c r="Q163" s="44"/>
    </row>
    <row r="164" spans="1:17" x14ac:dyDescent="0.15">
      <c r="A164" s="92"/>
      <c r="B164" s="93"/>
      <c r="C164" s="93"/>
      <c r="D164" s="94"/>
      <c r="E164" s="93"/>
      <c r="F164" s="93"/>
      <c r="G164" s="93"/>
      <c r="H164" s="93"/>
      <c r="I164" s="93"/>
      <c r="J164" s="81"/>
      <c r="Q164" s="44"/>
    </row>
    <row r="165" spans="1:17" x14ac:dyDescent="0.15">
      <c r="A165" s="92"/>
      <c r="B165" s="93"/>
      <c r="C165" s="93"/>
      <c r="D165" s="94"/>
      <c r="E165" s="93"/>
      <c r="F165" s="93"/>
      <c r="G165" s="93"/>
      <c r="H165" s="93"/>
      <c r="I165" s="93"/>
      <c r="J165" s="81"/>
      <c r="Q165" s="44"/>
    </row>
    <row r="166" spans="1:17" x14ac:dyDescent="0.15">
      <c r="A166" s="92"/>
      <c r="B166" s="93"/>
      <c r="C166" s="93"/>
      <c r="D166" s="94"/>
      <c r="E166" s="93"/>
      <c r="F166" s="93"/>
      <c r="G166" s="93"/>
      <c r="H166" s="93"/>
      <c r="I166" s="93"/>
      <c r="J166" s="81"/>
      <c r="Q166" s="44"/>
    </row>
    <row r="167" spans="1:17" x14ac:dyDescent="0.15">
      <c r="A167" s="92"/>
      <c r="B167" s="93"/>
      <c r="C167" s="93"/>
      <c r="D167" s="94"/>
      <c r="E167" s="93"/>
      <c r="F167" s="93"/>
      <c r="G167" s="93"/>
      <c r="H167" s="93"/>
      <c r="I167" s="93"/>
      <c r="J167" s="81"/>
      <c r="Q167" s="44"/>
    </row>
    <row r="168" spans="1:17" x14ac:dyDescent="0.15">
      <c r="A168" s="92"/>
      <c r="B168" s="93"/>
      <c r="C168" s="93"/>
      <c r="D168" s="94"/>
      <c r="E168" s="93"/>
      <c r="F168" s="93"/>
      <c r="G168" s="93"/>
      <c r="H168" s="93"/>
      <c r="I168" s="93"/>
      <c r="J168" s="81"/>
      <c r="Q168" s="44"/>
    </row>
    <row r="169" spans="1:17" x14ac:dyDescent="0.15">
      <c r="A169" s="92"/>
      <c r="B169" s="93"/>
      <c r="C169" s="93"/>
      <c r="D169" s="94"/>
      <c r="E169" s="93"/>
      <c r="F169" s="93"/>
      <c r="G169" s="93"/>
      <c r="H169" s="93"/>
      <c r="I169" s="93"/>
      <c r="J169" s="81"/>
      <c r="Q169" s="44"/>
    </row>
    <row r="170" spans="1:17" x14ac:dyDescent="0.15">
      <c r="A170" s="92"/>
      <c r="B170" s="93"/>
      <c r="C170" s="93"/>
      <c r="D170" s="94"/>
      <c r="E170" s="93"/>
      <c r="F170" s="93"/>
      <c r="G170" s="93"/>
      <c r="H170" s="93"/>
      <c r="I170" s="93"/>
      <c r="J170" s="81"/>
      <c r="Q170" s="44"/>
    </row>
    <row r="171" spans="1:17" x14ac:dyDescent="0.15">
      <c r="A171" s="92"/>
      <c r="B171" s="93"/>
      <c r="C171" s="93"/>
      <c r="D171" s="94"/>
      <c r="E171" s="93"/>
      <c r="F171" s="93"/>
      <c r="G171" s="93"/>
      <c r="H171" s="93"/>
      <c r="I171" s="93"/>
      <c r="J171" s="81"/>
      <c r="Q171" s="44"/>
    </row>
    <row r="172" spans="1:17" x14ac:dyDescent="0.15">
      <c r="A172" s="92"/>
      <c r="B172" s="93"/>
      <c r="C172" s="93"/>
      <c r="D172" s="94"/>
      <c r="E172" s="93"/>
      <c r="F172" s="93"/>
      <c r="G172" s="93"/>
      <c r="H172" s="93"/>
      <c r="I172" s="93"/>
      <c r="J172" s="81"/>
      <c r="Q172" s="44"/>
    </row>
    <row r="173" spans="1:17" x14ac:dyDescent="0.15">
      <c r="A173" s="92"/>
      <c r="B173" s="93"/>
      <c r="C173" s="93"/>
      <c r="D173" s="94"/>
      <c r="E173" s="93"/>
      <c r="F173" s="93"/>
      <c r="G173" s="93"/>
      <c r="H173" s="93"/>
      <c r="I173" s="93"/>
      <c r="J173" s="81"/>
      <c r="Q173" s="44"/>
    </row>
    <row r="174" spans="1:17" x14ac:dyDescent="0.15">
      <c r="A174" s="92"/>
      <c r="B174" s="93"/>
      <c r="C174" s="93"/>
      <c r="D174" s="94"/>
      <c r="E174" s="93"/>
      <c r="F174" s="93"/>
      <c r="G174" s="93"/>
      <c r="H174" s="93"/>
      <c r="I174" s="93"/>
      <c r="J174" s="81"/>
      <c r="Q174" s="44"/>
    </row>
    <row r="175" spans="1:17" x14ac:dyDescent="0.15">
      <c r="A175" s="92"/>
      <c r="B175" s="93"/>
      <c r="C175" s="93"/>
      <c r="D175" s="94"/>
      <c r="E175" s="93"/>
      <c r="F175" s="93"/>
      <c r="G175" s="93"/>
      <c r="H175" s="93"/>
      <c r="I175" s="93"/>
      <c r="J175" s="81"/>
      <c r="Q175" s="44"/>
    </row>
    <row r="176" spans="1:17" x14ac:dyDescent="0.15">
      <c r="A176" s="92"/>
      <c r="B176" s="93"/>
      <c r="C176" s="93"/>
      <c r="D176" s="94"/>
      <c r="E176" s="93"/>
      <c r="F176" s="93"/>
      <c r="G176" s="93"/>
      <c r="H176" s="93"/>
      <c r="I176" s="93"/>
      <c r="J176" s="81"/>
      <c r="Q176" s="44"/>
    </row>
    <row r="177" spans="1:17" x14ac:dyDescent="0.15">
      <c r="A177" s="92"/>
      <c r="B177" s="93"/>
      <c r="C177" s="93"/>
      <c r="D177" s="94"/>
      <c r="E177" s="93"/>
      <c r="F177" s="93"/>
      <c r="G177" s="93"/>
      <c r="H177" s="93"/>
      <c r="I177" s="93"/>
      <c r="J177" s="81"/>
      <c r="Q177" s="44"/>
    </row>
    <row r="178" spans="1:17" x14ac:dyDescent="0.15">
      <c r="A178" s="92"/>
      <c r="B178" s="93"/>
      <c r="C178" s="93"/>
      <c r="D178" s="94"/>
      <c r="E178" s="93"/>
      <c r="F178" s="93"/>
      <c r="G178" s="93"/>
      <c r="H178" s="93"/>
      <c r="I178" s="93"/>
      <c r="J178" s="81"/>
      <c r="Q178" s="44"/>
    </row>
    <row r="179" spans="1:17" x14ac:dyDescent="0.15">
      <c r="A179" s="92"/>
      <c r="B179" s="93"/>
      <c r="C179" s="93"/>
      <c r="D179" s="94"/>
      <c r="E179" s="93"/>
      <c r="F179" s="93"/>
      <c r="G179" s="93"/>
      <c r="H179" s="93"/>
      <c r="I179" s="93"/>
      <c r="J179" s="81"/>
      <c r="Q179" s="44"/>
    </row>
    <row r="180" spans="1:17" x14ac:dyDescent="0.15">
      <c r="A180" s="92"/>
      <c r="B180" s="93"/>
      <c r="C180" s="93"/>
      <c r="D180" s="94"/>
      <c r="E180" s="93"/>
      <c r="F180" s="93"/>
      <c r="G180" s="93"/>
      <c r="H180" s="93"/>
      <c r="I180" s="93"/>
      <c r="J180" s="81"/>
      <c r="Q180" s="44"/>
    </row>
    <row r="181" spans="1:17" x14ac:dyDescent="0.15">
      <c r="A181" s="92"/>
      <c r="B181" s="93"/>
      <c r="C181" s="93"/>
      <c r="D181" s="94"/>
      <c r="E181" s="93"/>
      <c r="F181" s="93"/>
      <c r="G181" s="93"/>
      <c r="H181" s="93"/>
      <c r="I181" s="93"/>
      <c r="J181" s="81"/>
      <c r="Q181" s="44"/>
    </row>
    <row r="182" spans="1:17" x14ac:dyDescent="0.15">
      <c r="A182" s="92"/>
      <c r="B182" s="93"/>
      <c r="C182" s="93"/>
      <c r="D182" s="94"/>
      <c r="E182" s="93"/>
      <c r="F182" s="93"/>
      <c r="G182" s="93"/>
      <c r="H182" s="93"/>
      <c r="I182" s="93"/>
      <c r="J182" s="81"/>
      <c r="Q182" s="44"/>
    </row>
    <row r="183" spans="1:17" x14ac:dyDescent="0.15">
      <c r="A183" s="92"/>
      <c r="B183" s="93"/>
      <c r="C183" s="93"/>
      <c r="D183" s="94"/>
      <c r="E183" s="93"/>
      <c r="F183" s="93"/>
      <c r="G183" s="93"/>
      <c r="H183" s="93"/>
      <c r="I183" s="93"/>
      <c r="J183" s="81"/>
      <c r="Q183" s="44"/>
    </row>
    <row r="184" spans="1:17" x14ac:dyDescent="0.15">
      <c r="A184" s="92"/>
      <c r="B184" s="93"/>
      <c r="C184" s="93"/>
      <c r="D184" s="94"/>
      <c r="E184" s="93"/>
      <c r="F184" s="93"/>
      <c r="G184" s="93"/>
      <c r="H184" s="93"/>
      <c r="I184" s="93"/>
      <c r="J184" s="81"/>
      <c r="Q184" s="44"/>
    </row>
    <row r="185" spans="1:17" x14ac:dyDescent="0.15">
      <c r="A185" s="92"/>
      <c r="B185" s="93"/>
      <c r="C185" s="93"/>
      <c r="D185" s="94"/>
      <c r="E185" s="93"/>
      <c r="F185" s="93"/>
      <c r="G185" s="93"/>
      <c r="H185" s="93"/>
      <c r="I185" s="93"/>
      <c r="J185" s="81"/>
      <c r="Q185" s="44"/>
    </row>
    <row r="186" spans="1:17" x14ac:dyDescent="0.15">
      <c r="A186" s="92"/>
      <c r="B186" s="93"/>
      <c r="C186" s="93"/>
      <c r="D186" s="94"/>
      <c r="E186" s="93"/>
      <c r="F186" s="93"/>
      <c r="G186" s="93"/>
      <c r="H186" s="93"/>
      <c r="I186" s="93"/>
      <c r="J186" s="81"/>
      <c r="Q186" s="44"/>
    </row>
    <row r="187" spans="1:17" x14ac:dyDescent="0.15">
      <c r="A187" s="92"/>
      <c r="B187" s="93"/>
      <c r="C187" s="93"/>
      <c r="D187" s="94"/>
      <c r="E187" s="93"/>
      <c r="F187" s="93"/>
      <c r="G187" s="93"/>
      <c r="H187" s="93"/>
      <c r="I187" s="93"/>
      <c r="J187" s="81"/>
      <c r="Q187" s="44"/>
    </row>
    <row r="188" spans="1:17" x14ac:dyDescent="0.15">
      <c r="A188" s="92"/>
      <c r="B188" s="93"/>
      <c r="C188" s="93"/>
      <c r="D188" s="94"/>
      <c r="E188" s="93"/>
      <c r="F188" s="93"/>
      <c r="G188" s="93"/>
      <c r="H188" s="93"/>
      <c r="I188" s="93"/>
      <c r="J188" s="81"/>
      <c r="Q188" s="44"/>
    </row>
    <row r="189" spans="1:17" x14ac:dyDescent="0.15">
      <c r="A189" s="92"/>
      <c r="B189" s="93"/>
      <c r="C189" s="93"/>
      <c r="D189" s="94"/>
      <c r="E189" s="93"/>
      <c r="F189" s="93"/>
      <c r="G189" s="93"/>
      <c r="H189" s="93"/>
      <c r="I189" s="93"/>
      <c r="J189" s="81"/>
      <c r="Q189" s="44"/>
    </row>
    <row r="190" spans="1:17" x14ac:dyDescent="0.15">
      <c r="A190" s="92"/>
      <c r="B190" s="93"/>
      <c r="C190" s="93"/>
      <c r="D190" s="94"/>
      <c r="E190" s="93"/>
      <c r="F190" s="93"/>
      <c r="G190" s="93"/>
      <c r="H190" s="93"/>
      <c r="I190" s="93"/>
      <c r="J190" s="81"/>
      <c r="Q190" s="44"/>
    </row>
    <row r="191" spans="1:17" x14ac:dyDescent="0.15">
      <c r="A191" s="92"/>
      <c r="B191" s="93"/>
      <c r="C191" s="93"/>
      <c r="D191" s="94"/>
      <c r="E191" s="93"/>
      <c r="F191" s="93"/>
      <c r="G191" s="93"/>
      <c r="H191" s="93"/>
      <c r="I191" s="93"/>
      <c r="J191" s="81"/>
      <c r="Q191" s="44"/>
    </row>
    <row r="192" spans="1:17" x14ac:dyDescent="0.15">
      <c r="A192" s="92"/>
      <c r="B192" s="93"/>
      <c r="C192" s="93"/>
      <c r="D192" s="94"/>
      <c r="E192" s="93"/>
      <c r="F192" s="93"/>
      <c r="G192" s="93"/>
      <c r="H192" s="93"/>
      <c r="I192" s="93"/>
      <c r="J192" s="81"/>
      <c r="Q192" s="44"/>
    </row>
    <row r="193" spans="1:17" x14ac:dyDescent="0.15">
      <c r="A193" s="92"/>
      <c r="B193" s="93"/>
      <c r="C193" s="93"/>
      <c r="D193" s="94"/>
      <c r="E193" s="93"/>
      <c r="F193" s="93"/>
      <c r="G193" s="93"/>
      <c r="H193" s="93"/>
      <c r="I193" s="93"/>
      <c r="J193" s="81"/>
      <c r="Q193" s="44"/>
    </row>
    <row r="194" spans="1:17" x14ac:dyDescent="0.15">
      <c r="A194" s="92"/>
      <c r="B194" s="93"/>
      <c r="C194" s="93"/>
      <c r="D194" s="94"/>
      <c r="E194" s="93"/>
      <c r="F194" s="93"/>
      <c r="G194" s="93"/>
      <c r="H194" s="93"/>
      <c r="I194" s="93"/>
      <c r="J194" s="81"/>
      <c r="Q194" s="44"/>
    </row>
    <row r="195" spans="1:17" x14ac:dyDescent="0.15">
      <c r="A195" s="92"/>
      <c r="B195" s="93"/>
      <c r="C195" s="93"/>
      <c r="D195" s="94"/>
      <c r="E195" s="93"/>
      <c r="F195" s="93"/>
      <c r="G195" s="93"/>
      <c r="H195" s="93"/>
      <c r="I195" s="93"/>
      <c r="J195" s="81"/>
      <c r="Q195" s="44"/>
    </row>
    <row r="196" spans="1:17" x14ac:dyDescent="0.15">
      <c r="A196" s="92"/>
      <c r="B196" s="93"/>
      <c r="C196" s="93"/>
      <c r="D196" s="94"/>
      <c r="E196" s="93"/>
      <c r="F196" s="93"/>
      <c r="G196" s="93"/>
      <c r="H196" s="93"/>
      <c r="I196" s="93"/>
      <c r="J196" s="81"/>
      <c r="Q196" s="44"/>
    </row>
    <row r="197" spans="1:17" x14ac:dyDescent="0.15">
      <c r="A197" s="92"/>
      <c r="B197" s="93"/>
      <c r="C197" s="93"/>
      <c r="D197" s="94"/>
      <c r="E197" s="93"/>
      <c r="F197" s="93"/>
      <c r="G197" s="93"/>
      <c r="H197" s="93"/>
      <c r="I197" s="93"/>
      <c r="J197" s="81"/>
      <c r="Q197" s="44"/>
    </row>
    <row r="198" spans="1:17" x14ac:dyDescent="0.15">
      <c r="A198" s="92"/>
      <c r="B198" s="93"/>
      <c r="C198" s="93"/>
      <c r="D198" s="94"/>
      <c r="E198" s="93"/>
      <c r="F198" s="93"/>
      <c r="G198" s="93"/>
      <c r="H198" s="93"/>
      <c r="I198" s="93"/>
      <c r="J198" s="81"/>
      <c r="Q198" s="44"/>
    </row>
    <row r="199" spans="1:17" x14ac:dyDescent="0.15">
      <c r="A199" s="92"/>
      <c r="B199" s="93"/>
      <c r="C199" s="93"/>
      <c r="D199" s="94"/>
      <c r="E199" s="93"/>
      <c r="F199" s="93"/>
      <c r="G199" s="93"/>
      <c r="H199" s="93"/>
      <c r="I199" s="93"/>
      <c r="J199" s="81"/>
      <c r="Q199" s="44"/>
    </row>
    <row r="200" spans="1:17" x14ac:dyDescent="0.15">
      <c r="A200" s="92"/>
      <c r="B200" s="93"/>
      <c r="C200" s="93"/>
      <c r="D200" s="94"/>
      <c r="E200" s="93"/>
      <c r="F200" s="93"/>
      <c r="G200" s="93"/>
      <c r="H200" s="93"/>
      <c r="I200" s="93"/>
      <c r="J200" s="81"/>
      <c r="Q200" s="44"/>
    </row>
    <row r="201" spans="1:17" x14ac:dyDescent="0.15">
      <c r="A201" s="92"/>
      <c r="B201" s="93"/>
      <c r="C201" s="93"/>
      <c r="D201" s="94"/>
      <c r="E201" s="93"/>
      <c r="F201" s="93"/>
      <c r="G201" s="93"/>
      <c r="H201" s="93"/>
      <c r="I201" s="93"/>
      <c r="J201" s="81"/>
      <c r="Q201" s="44"/>
    </row>
    <row r="202" spans="1:17" x14ac:dyDescent="0.15">
      <c r="A202" s="92"/>
      <c r="B202" s="93"/>
      <c r="C202" s="93"/>
      <c r="D202" s="94"/>
      <c r="E202" s="93"/>
      <c r="F202" s="93"/>
      <c r="G202" s="93"/>
      <c r="H202" s="93"/>
      <c r="I202" s="93"/>
      <c r="J202" s="81"/>
      <c r="Q202" s="44"/>
    </row>
    <row r="203" spans="1:17" x14ac:dyDescent="0.15">
      <c r="A203" s="92"/>
      <c r="B203" s="93"/>
      <c r="C203" s="93"/>
      <c r="D203" s="94"/>
      <c r="E203" s="93"/>
      <c r="F203" s="93"/>
      <c r="G203" s="93"/>
      <c r="H203" s="93"/>
      <c r="I203" s="93"/>
      <c r="J203" s="81"/>
      <c r="Q203" s="44"/>
    </row>
    <row r="204" spans="1:17" x14ac:dyDescent="0.15">
      <c r="A204" s="92"/>
      <c r="B204" s="93"/>
      <c r="C204" s="93"/>
      <c r="D204" s="94"/>
      <c r="E204" s="93"/>
      <c r="F204" s="93"/>
      <c r="G204" s="93"/>
      <c r="H204" s="93"/>
      <c r="I204" s="93"/>
      <c r="J204" s="81"/>
      <c r="Q204" s="44"/>
    </row>
    <row r="205" spans="1:17" x14ac:dyDescent="0.15">
      <c r="A205" s="92"/>
      <c r="B205" s="93"/>
      <c r="C205" s="93"/>
      <c r="D205" s="94"/>
      <c r="E205" s="93"/>
      <c r="F205" s="93"/>
      <c r="G205" s="93"/>
      <c r="H205" s="93"/>
      <c r="I205" s="93"/>
      <c r="J205" s="81"/>
      <c r="Q205" s="44"/>
    </row>
    <row r="206" spans="1:17" x14ac:dyDescent="0.15">
      <c r="A206" s="92"/>
      <c r="B206" s="93"/>
      <c r="C206" s="93"/>
      <c r="D206" s="94"/>
      <c r="E206" s="93"/>
      <c r="F206" s="93"/>
      <c r="G206" s="93"/>
      <c r="H206" s="93"/>
      <c r="I206" s="93"/>
      <c r="J206" s="81"/>
      <c r="Q206" s="44"/>
    </row>
    <row r="207" spans="1:17" x14ac:dyDescent="0.15">
      <c r="A207" s="92"/>
      <c r="B207" s="93"/>
      <c r="C207" s="93"/>
      <c r="D207" s="94"/>
      <c r="E207" s="93"/>
      <c r="F207" s="93"/>
      <c r="G207" s="93"/>
      <c r="H207" s="93"/>
      <c r="I207" s="93"/>
      <c r="J207" s="81"/>
      <c r="Q207" s="44"/>
    </row>
    <row r="208" spans="1:17" x14ac:dyDescent="0.15">
      <c r="A208" s="92"/>
      <c r="B208" s="93"/>
      <c r="C208" s="93"/>
      <c r="D208" s="94"/>
      <c r="E208" s="93"/>
      <c r="F208" s="93"/>
      <c r="G208" s="93"/>
      <c r="H208" s="93"/>
      <c r="I208" s="93"/>
      <c r="J208" s="81"/>
      <c r="Q208" s="44"/>
    </row>
    <row r="209" spans="1:17" x14ac:dyDescent="0.15">
      <c r="A209" s="92"/>
      <c r="B209" s="93"/>
      <c r="C209" s="93"/>
      <c r="D209" s="94"/>
      <c r="E209" s="93"/>
      <c r="F209" s="93"/>
      <c r="G209" s="93"/>
      <c r="H209" s="93"/>
      <c r="I209" s="93"/>
      <c r="J209" s="81"/>
      <c r="Q209" s="44"/>
    </row>
    <row r="210" spans="1:17" x14ac:dyDescent="0.15">
      <c r="A210" s="92"/>
      <c r="B210" s="93"/>
      <c r="C210" s="93"/>
      <c r="D210" s="94"/>
      <c r="E210" s="93"/>
      <c r="F210" s="93"/>
      <c r="G210" s="93"/>
      <c r="H210" s="93"/>
      <c r="I210" s="93"/>
      <c r="J210" s="81"/>
      <c r="Q210" s="44"/>
    </row>
    <row r="211" spans="1:17" x14ac:dyDescent="0.15">
      <c r="A211" s="92"/>
      <c r="B211" s="93"/>
      <c r="C211" s="93"/>
      <c r="D211" s="94"/>
      <c r="E211" s="93"/>
      <c r="F211" s="93"/>
      <c r="G211" s="93"/>
      <c r="H211" s="93"/>
      <c r="I211" s="93"/>
      <c r="J211" s="81"/>
      <c r="Q211" s="44"/>
    </row>
    <row r="212" spans="1:17" x14ac:dyDescent="0.15">
      <c r="A212" s="92"/>
      <c r="B212" s="93"/>
      <c r="C212" s="93"/>
      <c r="D212" s="94"/>
      <c r="E212" s="93"/>
      <c r="F212" s="93"/>
      <c r="G212" s="93"/>
      <c r="H212" s="93"/>
      <c r="I212" s="93"/>
      <c r="J212" s="81"/>
      <c r="Q212" s="44"/>
    </row>
    <row r="213" spans="1:17" x14ac:dyDescent="0.15">
      <c r="A213" s="92"/>
      <c r="B213" s="93"/>
      <c r="C213" s="93"/>
      <c r="D213" s="94"/>
      <c r="E213" s="93"/>
      <c r="F213" s="93"/>
      <c r="G213" s="93"/>
      <c r="H213" s="93"/>
      <c r="I213" s="93"/>
      <c r="J213" s="81"/>
      <c r="Q213" s="44"/>
    </row>
    <row r="214" spans="1:17" x14ac:dyDescent="0.15">
      <c r="A214" s="92"/>
      <c r="B214" s="93"/>
      <c r="C214" s="93"/>
      <c r="D214" s="94"/>
      <c r="E214" s="93"/>
      <c r="F214" s="93"/>
      <c r="G214" s="93"/>
      <c r="H214" s="93"/>
      <c r="I214" s="93"/>
      <c r="J214" s="81"/>
      <c r="Q214" s="44"/>
    </row>
    <row r="215" spans="1:17" x14ac:dyDescent="0.15">
      <c r="A215" s="92"/>
      <c r="B215" s="93"/>
      <c r="C215" s="93"/>
      <c r="D215" s="94"/>
      <c r="E215" s="93"/>
      <c r="F215" s="93"/>
      <c r="G215" s="93"/>
      <c r="H215" s="93"/>
      <c r="I215" s="93"/>
      <c r="J215" s="81"/>
      <c r="Q215" s="44"/>
    </row>
    <row r="216" spans="1:17" x14ac:dyDescent="0.15">
      <c r="A216" s="92"/>
      <c r="B216" s="93"/>
      <c r="C216" s="93"/>
      <c r="D216" s="94"/>
      <c r="E216" s="93"/>
      <c r="F216" s="93"/>
      <c r="G216" s="93"/>
      <c r="H216" s="93"/>
      <c r="I216" s="93"/>
      <c r="J216" s="81"/>
      <c r="Q216" s="44"/>
    </row>
    <row r="217" spans="1:17" x14ac:dyDescent="0.15">
      <c r="A217" s="92"/>
      <c r="B217" s="93"/>
      <c r="C217" s="93"/>
      <c r="D217" s="94"/>
      <c r="E217" s="93"/>
      <c r="F217" s="93"/>
      <c r="G217" s="93"/>
      <c r="H217" s="93"/>
      <c r="I217" s="93"/>
      <c r="J217" s="81"/>
      <c r="Q217" s="44"/>
    </row>
    <row r="218" spans="1:17" x14ac:dyDescent="0.15">
      <c r="A218" s="92"/>
      <c r="B218" s="93"/>
      <c r="C218" s="93"/>
      <c r="D218" s="94"/>
      <c r="E218" s="93"/>
      <c r="F218" s="93"/>
      <c r="G218" s="93"/>
      <c r="H218" s="93"/>
      <c r="I218" s="93"/>
      <c r="J218" s="81"/>
      <c r="Q218" s="44"/>
    </row>
    <row r="219" spans="1:17" x14ac:dyDescent="0.15">
      <c r="A219" s="92"/>
      <c r="B219" s="93"/>
      <c r="C219" s="93"/>
      <c r="D219" s="94"/>
      <c r="E219" s="93"/>
      <c r="F219" s="93"/>
      <c r="G219" s="93"/>
      <c r="H219" s="93"/>
      <c r="I219" s="93"/>
      <c r="J219" s="81"/>
      <c r="Q219" s="44"/>
    </row>
    <row r="220" spans="1:17" x14ac:dyDescent="0.15">
      <c r="A220" s="92"/>
      <c r="B220" s="93"/>
      <c r="C220" s="93"/>
      <c r="D220" s="94"/>
      <c r="E220" s="93"/>
      <c r="F220" s="93"/>
      <c r="G220" s="93"/>
      <c r="H220" s="93"/>
      <c r="I220" s="93"/>
      <c r="J220" s="81"/>
      <c r="Q220" s="44"/>
    </row>
    <row r="221" spans="1:17" x14ac:dyDescent="0.15">
      <c r="A221" s="92"/>
      <c r="B221" s="93"/>
      <c r="C221" s="93"/>
      <c r="D221" s="94"/>
      <c r="E221" s="93"/>
      <c r="F221" s="93"/>
      <c r="G221" s="93"/>
      <c r="H221" s="93"/>
      <c r="I221" s="93"/>
      <c r="J221" s="81"/>
      <c r="Q221" s="44"/>
    </row>
    <row r="222" spans="1:17" x14ac:dyDescent="0.15">
      <c r="A222" s="92"/>
      <c r="B222" s="93"/>
      <c r="C222" s="93"/>
      <c r="D222" s="94"/>
      <c r="E222" s="93"/>
      <c r="F222" s="93"/>
      <c r="G222" s="93"/>
      <c r="H222" s="93"/>
      <c r="I222" s="93"/>
      <c r="J222" s="81"/>
      <c r="Q222" s="44"/>
    </row>
    <row r="223" spans="1:17" x14ac:dyDescent="0.15">
      <c r="A223" s="92"/>
      <c r="B223" s="93"/>
      <c r="C223" s="93"/>
      <c r="D223" s="94"/>
      <c r="E223" s="93"/>
      <c r="F223" s="93"/>
      <c r="G223" s="93"/>
      <c r="H223" s="93"/>
      <c r="I223" s="93"/>
      <c r="J223" s="81"/>
      <c r="Q223" s="44"/>
    </row>
    <row r="224" spans="1:17" x14ac:dyDescent="0.15">
      <c r="A224" s="92"/>
      <c r="B224" s="93"/>
      <c r="C224" s="93"/>
      <c r="D224" s="94"/>
      <c r="E224" s="93"/>
      <c r="F224" s="93"/>
      <c r="G224" s="93"/>
      <c r="H224" s="93"/>
      <c r="I224" s="93"/>
      <c r="J224" s="81"/>
      <c r="Q224" s="44"/>
    </row>
    <row r="225" spans="1:17" x14ac:dyDescent="0.15">
      <c r="A225" s="92"/>
      <c r="B225" s="93"/>
      <c r="C225" s="93"/>
      <c r="D225" s="94"/>
      <c r="E225" s="93"/>
      <c r="F225" s="93"/>
      <c r="G225" s="93"/>
      <c r="H225" s="93"/>
      <c r="I225" s="93"/>
      <c r="J225" s="81"/>
      <c r="Q225" s="44"/>
    </row>
    <row r="226" spans="1:17" x14ac:dyDescent="0.15">
      <c r="A226" s="92"/>
      <c r="B226" s="93"/>
      <c r="C226" s="93"/>
      <c r="D226" s="94"/>
      <c r="E226" s="93"/>
      <c r="F226" s="93"/>
      <c r="G226" s="93"/>
      <c r="H226" s="93"/>
      <c r="I226" s="93"/>
      <c r="J226" s="81"/>
      <c r="Q226" s="44"/>
    </row>
    <row r="227" spans="1:17" x14ac:dyDescent="0.15">
      <c r="A227" s="92"/>
      <c r="B227" s="93"/>
      <c r="C227" s="93"/>
      <c r="D227" s="94"/>
      <c r="E227" s="93"/>
      <c r="F227" s="93"/>
      <c r="G227" s="93"/>
      <c r="H227" s="93"/>
      <c r="I227" s="93"/>
      <c r="J227" s="81"/>
      <c r="Q227" s="44"/>
    </row>
    <row r="228" spans="1:17" x14ac:dyDescent="0.15">
      <c r="A228" s="92"/>
      <c r="B228" s="93"/>
      <c r="C228" s="93"/>
      <c r="D228" s="94"/>
      <c r="E228" s="93"/>
      <c r="F228" s="93"/>
      <c r="G228" s="93"/>
      <c r="H228" s="93"/>
      <c r="I228" s="93"/>
      <c r="J228" s="81"/>
      <c r="Q228" s="44"/>
    </row>
    <row r="229" spans="1:17" x14ac:dyDescent="0.15">
      <c r="A229" s="92"/>
      <c r="B229" s="93"/>
      <c r="C229" s="93"/>
      <c r="D229" s="94"/>
      <c r="E229" s="93"/>
      <c r="F229" s="93"/>
      <c r="G229" s="93"/>
      <c r="H229" s="93"/>
      <c r="I229" s="93"/>
      <c r="J229" s="81"/>
      <c r="Q229" s="44"/>
    </row>
    <row r="230" spans="1:17" x14ac:dyDescent="0.15">
      <c r="A230" s="92"/>
      <c r="B230" s="93"/>
      <c r="C230" s="93"/>
      <c r="D230" s="94"/>
      <c r="E230" s="93"/>
      <c r="F230" s="93"/>
      <c r="G230" s="93"/>
      <c r="H230" s="93"/>
      <c r="I230" s="93"/>
      <c r="J230" s="81"/>
      <c r="Q230" s="44"/>
    </row>
    <row r="231" spans="1:17" x14ac:dyDescent="0.15">
      <c r="A231" s="92"/>
      <c r="B231" s="93"/>
      <c r="C231" s="93"/>
      <c r="D231" s="94"/>
      <c r="E231" s="93"/>
      <c r="F231" s="93"/>
      <c r="G231" s="93"/>
      <c r="H231" s="93"/>
      <c r="I231" s="93"/>
      <c r="J231" s="81"/>
      <c r="Q231" s="44"/>
    </row>
    <row r="232" spans="1:17" x14ac:dyDescent="0.15">
      <c r="A232" s="92"/>
      <c r="B232" s="93"/>
      <c r="C232" s="93"/>
      <c r="D232" s="94"/>
      <c r="E232" s="93"/>
      <c r="F232" s="93"/>
      <c r="G232" s="93"/>
      <c r="H232" s="93"/>
      <c r="I232" s="93"/>
      <c r="J232" s="81"/>
      <c r="Q232" s="44"/>
    </row>
    <row r="233" spans="1:17" x14ac:dyDescent="0.15">
      <c r="A233" s="92"/>
      <c r="B233" s="93"/>
      <c r="C233" s="93"/>
      <c r="D233" s="94"/>
      <c r="E233" s="93"/>
      <c r="F233" s="93"/>
      <c r="G233" s="93"/>
      <c r="H233" s="93"/>
      <c r="I233" s="93"/>
      <c r="J233" s="81"/>
      <c r="Q233" s="44"/>
    </row>
    <row r="234" spans="1:17" x14ac:dyDescent="0.15">
      <c r="A234" s="92"/>
      <c r="B234" s="93"/>
      <c r="C234" s="93"/>
      <c r="D234" s="94"/>
      <c r="E234" s="93"/>
      <c r="F234" s="93"/>
      <c r="G234" s="93"/>
      <c r="H234" s="93"/>
      <c r="I234" s="93"/>
      <c r="J234" s="81"/>
      <c r="Q234" s="44"/>
    </row>
    <row r="235" spans="1:17" x14ac:dyDescent="0.15">
      <c r="A235" s="92"/>
      <c r="B235" s="93"/>
      <c r="C235" s="93"/>
      <c r="D235" s="94"/>
      <c r="E235" s="93"/>
      <c r="F235" s="93"/>
      <c r="G235" s="93"/>
      <c r="H235" s="93"/>
      <c r="I235" s="93"/>
      <c r="J235" s="81"/>
      <c r="Q235" s="44"/>
    </row>
    <row r="236" spans="1:17" x14ac:dyDescent="0.15">
      <c r="A236" s="92"/>
      <c r="B236" s="93"/>
      <c r="C236" s="93"/>
      <c r="D236" s="94"/>
      <c r="E236" s="93"/>
      <c r="F236" s="93"/>
      <c r="G236" s="93"/>
      <c r="H236" s="93"/>
      <c r="I236" s="93"/>
      <c r="J236" s="81"/>
      <c r="Q236" s="44"/>
    </row>
    <row r="237" spans="1:17" x14ac:dyDescent="0.15">
      <c r="A237" s="92"/>
      <c r="B237" s="93"/>
      <c r="C237" s="93"/>
      <c r="D237" s="94"/>
      <c r="E237" s="93"/>
      <c r="F237" s="93"/>
      <c r="G237" s="93"/>
      <c r="H237" s="93"/>
      <c r="I237" s="93"/>
      <c r="J237" s="81"/>
      <c r="Q237" s="44"/>
    </row>
    <row r="238" spans="1:17" x14ac:dyDescent="0.15">
      <c r="A238" s="92"/>
      <c r="B238" s="93"/>
      <c r="C238" s="93"/>
      <c r="D238" s="94"/>
      <c r="E238" s="93"/>
      <c r="F238" s="93"/>
      <c r="G238" s="93"/>
      <c r="H238" s="93"/>
      <c r="I238" s="93"/>
      <c r="J238" s="81"/>
      <c r="Q238" s="44"/>
    </row>
    <row r="239" spans="1:17" x14ac:dyDescent="0.15">
      <c r="A239" s="92"/>
      <c r="B239" s="93"/>
      <c r="C239" s="93"/>
      <c r="D239" s="94"/>
      <c r="E239" s="93"/>
      <c r="F239" s="93"/>
      <c r="G239" s="93"/>
      <c r="H239" s="93"/>
      <c r="I239" s="93"/>
      <c r="J239" s="81"/>
      <c r="Q239" s="44"/>
    </row>
    <row r="240" spans="1:17" x14ac:dyDescent="0.15">
      <c r="A240" s="92"/>
      <c r="B240" s="93"/>
      <c r="C240" s="93"/>
      <c r="D240" s="94"/>
      <c r="E240" s="93"/>
      <c r="F240" s="93"/>
      <c r="G240" s="93"/>
      <c r="H240" s="93"/>
      <c r="I240" s="93"/>
      <c r="J240" s="81"/>
      <c r="Q240" s="44"/>
    </row>
    <row r="241" spans="1:17" x14ac:dyDescent="0.15">
      <c r="A241" s="92"/>
      <c r="B241" s="93"/>
      <c r="C241" s="93"/>
      <c r="D241" s="94"/>
      <c r="E241" s="93"/>
      <c r="F241" s="93"/>
      <c r="G241" s="93"/>
      <c r="H241" s="93"/>
      <c r="I241" s="93"/>
      <c r="J241" s="81"/>
      <c r="Q241" s="44"/>
    </row>
    <row r="242" spans="1:17" x14ac:dyDescent="0.15">
      <c r="A242" s="92"/>
      <c r="B242" s="93"/>
      <c r="C242" s="93"/>
      <c r="D242" s="94"/>
      <c r="E242" s="93"/>
      <c r="F242" s="93"/>
      <c r="G242" s="93"/>
      <c r="H242" s="93"/>
      <c r="I242" s="93"/>
      <c r="J242" s="81"/>
      <c r="Q242" s="44"/>
    </row>
    <row r="243" spans="1:17" x14ac:dyDescent="0.15">
      <c r="A243" s="92"/>
      <c r="B243" s="93"/>
      <c r="C243" s="93"/>
      <c r="D243" s="94"/>
      <c r="E243" s="93"/>
      <c r="F243" s="93"/>
      <c r="G243" s="93"/>
      <c r="H243" s="93"/>
      <c r="I243" s="93"/>
      <c r="J243" s="81"/>
      <c r="Q243" s="44"/>
    </row>
    <row r="244" spans="1:17" x14ac:dyDescent="0.15">
      <c r="A244" s="92"/>
      <c r="B244" s="93"/>
      <c r="C244" s="93"/>
      <c r="D244" s="94"/>
      <c r="E244" s="93"/>
      <c r="F244" s="93"/>
      <c r="G244" s="93"/>
      <c r="H244" s="93"/>
      <c r="I244" s="93"/>
      <c r="J244" s="81"/>
      <c r="Q244" s="44"/>
    </row>
    <row r="245" spans="1:17" x14ac:dyDescent="0.15">
      <c r="A245" s="92"/>
      <c r="B245" s="93"/>
      <c r="C245" s="93"/>
      <c r="D245" s="94"/>
      <c r="E245" s="93"/>
      <c r="F245" s="93"/>
      <c r="G245" s="93"/>
      <c r="H245" s="93"/>
      <c r="I245" s="93"/>
      <c r="J245" s="81"/>
      <c r="Q245" s="44"/>
    </row>
    <row r="246" spans="1:17" x14ac:dyDescent="0.15">
      <c r="A246" s="92"/>
      <c r="B246" s="93"/>
      <c r="C246" s="93"/>
      <c r="D246" s="94"/>
      <c r="E246" s="93"/>
      <c r="F246" s="93"/>
      <c r="G246" s="93"/>
      <c r="H246" s="93"/>
      <c r="I246" s="93"/>
      <c r="J246" s="81"/>
      <c r="Q246" s="44"/>
    </row>
    <row r="247" spans="1:17" x14ac:dyDescent="0.15">
      <c r="A247" s="92"/>
      <c r="B247" s="93"/>
      <c r="C247" s="93"/>
      <c r="D247" s="94"/>
      <c r="E247" s="93"/>
      <c r="F247" s="93"/>
      <c r="G247" s="93"/>
      <c r="H247" s="93"/>
      <c r="I247" s="93"/>
      <c r="J247" s="81"/>
      <c r="Q247" s="44"/>
    </row>
    <row r="248" spans="1:17" x14ac:dyDescent="0.15">
      <c r="A248" s="92"/>
      <c r="B248" s="93"/>
      <c r="C248" s="93"/>
      <c r="D248" s="94"/>
      <c r="E248" s="93"/>
      <c r="F248" s="93"/>
      <c r="G248" s="93"/>
      <c r="H248" s="93"/>
      <c r="I248" s="93"/>
      <c r="J248" s="81"/>
      <c r="Q248" s="44"/>
    </row>
    <row r="249" spans="1:17" x14ac:dyDescent="0.15">
      <c r="A249" s="92"/>
      <c r="B249" s="93"/>
      <c r="C249" s="93"/>
      <c r="D249" s="94"/>
      <c r="E249" s="93"/>
      <c r="F249" s="93"/>
      <c r="G249" s="93"/>
      <c r="H249" s="93"/>
      <c r="I249" s="93"/>
      <c r="J249" s="81"/>
      <c r="Q249" s="44"/>
    </row>
    <row r="250" spans="1:17" x14ac:dyDescent="0.15">
      <c r="A250" s="92"/>
      <c r="B250" s="93"/>
      <c r="C250" s="93"/>
      <c r="D250" s="94"/>
      <c r="E250" s="93"/>
      <c r="F250" s="93"/>
      <c r="G250" s="93"/>
      <c r="H250" s="93"/>
      <c r="I250" s="93"/>
      <c r="J250" s="81"/>
      <c r="Q250" s="44"/>
    </row>
    <row r="251" spans="1:17" x14ac:dyDescent="0.15">
      <c r="A251" s="92"/>
      <c r="B251" s="93"/>
      <c r="C251" s="93"/>
      <c r="D251" s="94"/>
      <c r="E251" s="93"/>
      <c r="F251" s="93"/>
      <c r="G251" s="93"/>
      <c r="H251" s="93"/>
      <c r="I251" s="93"/>
      <c r="J251" s="81"/>
      <c r="Q251" s="44"/>
    </row>
    <row r="252" spans="1:17" x14ac:dyDescent="0.15">
      <c r="A252" s="92"/>
      <c r="B252" s="93"/>
      <c r="C252" s="93"/>
      <c r="D252" s="94"/>
      <c r="E252" s="93"/>
      <c r="F252" s="93"/>
      <c r="G252" s="93"/>
      <c r="H252" s="93"/>
      <c r="I252" s="93"/>
      <c r="J252" s="81"/>
      <c r="Q252" s="44"/>
    </row>
    <row r="253" spans="1:17" x14ac:dyDescent="0.15">
      <c r="A253" s="92"/>
      <c r="B253" s="93"/>
      <c r="C253" s="93"/>
      <c r="D253" s="94"/>
      <c r="E253" s="93"/>
      <c r="F253" s="93"/>
      <c r="G253" s="93"/>
      <c r="H253" s="93"/>
      <c r="I253" s="93"/>
      <c r="J253" s="81"/>
      <c r="Q253" s="44"/>
    </row>
    <row r="254" spans="1:17" x14ac:dyDescent="0.15">
      <c r="A254" s="92"/>
      <c r="B254" s="93"/>
      <c r="C254" s="93"/>
      <c r="D254" s="94"/>
      <c r="E254" s="93"/>
      <c r="F254" s="93"/>
      <c r="G254" s="93"/>
      <c r="H254" s="93"/>
      <c r="I254" s="93"/>
      <c r="J254" s="81"/>
      <c r="Q254" s="44"/>
    </row>
    <row r="255" spans="1:17" x14ac:dyDescent="0.15">
      <c r="A255" s="92"/>
      <c r="B255" s="93"/>
      <c r="C255" s="93"/>
      <c r="D255" s="94"/>
      <c r="E255" s="93"/>
      <c r="F255" s="93"/>
      <c r="G255" s="93"/>
      <c r="H255" s="93"/>
      <c r="I255" s="93"/>
      <c r="J255" s="81"/>
      <c r="Q255" s="44"/>
    </row>
    <row r="256" spans="1:17" x14ac:dyDescent="0.15">
      <c r="A256" s="92"/>
      <c r="B256" s="93"/>
      <c r="C256" s="93"/>
      <c r="D256" s="94"/>
      <c r="E256" s="93"/>
      <c r="F256" s="93"/>
      <c r="G256" s="93"/>
      <c r="H256" s="93"/>
      <c r="I256" s="93"/>
      <c r="J256" s="81"/>
      <c r="Q256" s="44"/>
    </row>
    <row r="257" spans="1:17" x14ac:dyDescent="0.15">
      <c r="A257" s="92"/>
      <c r="B257" s="93"/>
      <c r="C257" s="93"/>
      <c r="D257" s="94"/>
      <c r="E257" s="93"/>
      <c r="F257" s="93"/>
      <c r="G257" s="93"/>
      <c r="H257" s="93"/>
      <c r="I257" s="93"/>
      <c r="J257" s="81"/>
      <c r="Q257" s="44"/>
    </row>
    <row r="258" spans="1:17" x14ac:dyDescent="0.15">
      <c r="A258" s="92"/>
      <c r="B258" s="93"/>
      <c r="C258" s="93"/>
      <c r="D258" s="94"/>
      <c r="E258" s="93"/>
      <c r="F258" s="93"/>
      <c r="G258" s="93"/>
      <c r="H258" s="93"/>
      <c r="I258" s="93"/>
      <c r="J258" s="81"/>
      <c r="Q258" s="44"/>
    </row>
    <row r="259" spans="1:17" x14ac:dyDescent="0.15">
      <c r="A259" s="92"/>
      <c r="B259" s="93"/>
      <c r="C259" s="93"/>
      <c r="D259" s="94"/>
      <c r="E259" s="93"/>
      <c r="F259" s="93"/>
      <c r="G259" s="93"/>
      <c r="H259" s="93"/>
      <c r="I259" s="93"/>
      <c r="J259" s="81"/>
      <c r="Q259" s="44"/>
    </row>
    <row r="260" spans="1:17" x14ac:dyDescent="0.15">
      <c r="A260" s="92"/>
      <c r="B260" s="93"/>
      <c r="C260" s="93"/>
      <c r="D260" s="94"/>
      <c r="E260" s="93"/>
      <c r="F260" s="93"/>
      <c r="G260" s="93"/>
      <c r="H260" s="93"/>
      <c r="I260" s="93"/>
      <c r="J260" s="81"/>
      <c r="Q260" s="44"/>
    </row>
    <row r="261" spans="1:17" x14ac:dyDescent="0.15">
      <c r="A261" s="92"/>
      <c r="B261" s="93"/>
      <c r="C261" s="93"/>
      <c r="D261" s="94"/>
      <c r="E261" s="93"/>
      <c r="F261" s="93"/>
      <c r="G261" s="93"/>
      <c r="H261" s="93"/>
      <c r="I261" s="93"/>
      <c r="J261" s="81"/>
      <c r="Q261" s="44"/>
    </row>
    <row r="262" spans="1:17" x14ac:dyDescent="0.15">
      <c r="A262" s="92"/>
      <c r="B262" s="93"/>
      <c r="C262" s="93"/>
      <c r="D262" s="94"/>
      <c r="E262" s="93"/>
      <c r="F262" s="93"/>
      <c r="G262" s="93"/>
      <c r="H262" s="93"/>
      <c r="I262" s="93"/>
      <c r="J262" s="81"/>
      <c r="Q262" s="44"/>
    </row>
    <row r="263" spans="1:17" x14ac:dyDescent="0.15">
      <c r="A263" s="92"/>
      <c r="B263" s="93"/>
      <c r="C263" s="93"/>
      <c r="D263" s="94"/>
      <c r="E263" s="93"/>
      <c r="F263" s="93"/>
      <c r="G263" s="93"/>
      <c r="H263" s="93"/>
      <c r="I263" s="93"/>
      <c r="J263" s="81"/>
      <c r="Q263" s="44"/>
    </row>
    <row r="264" spans="1:17" x14ac:dyDescent="0.15">
      <c r="A264" s="92"/>
      <c r="B264" s="93"/>
      <c r="C264" s="93"/>
      <c r="D264" s="94"/>
      <c r="E264" s="93"/>
      <c r="F264" s="93"/>
      <c r="G264" s="93"/>
      <c r="H264" s="93"/>
      <c r="I264" s="93"/>
      <c r="J264" s="81"/>
      <c r="Q264" s="44"/>
    </row>
    <row r="265" spans="1:17" x14ac:dyDescent="0.15">
      <c r="A265" s="92"/>
      <c r="B265" s="93"/>
      <c r="C265" s="93"/>
      <c r="D265" s="94"/>
      <c r="E265" s="93"/>
      <c r="F265" s="93"/>
      <c r="G265" s="93"/>
      <c r="H265" s="93"/>
      <c r="I265" s="93"/>
      <c r="J265" s="81"/>
      <c r="Q265" s="44"/>
    </row>
    <row r="266" spans="1:17" x14ac:dyDescent="0.15">
      <c r="A266" s="92"/>
      <c r="B266" s="93"/>
      <c r="C266" s="93"/>
      <c r="D266" s="94"/>
      <c r="E266" s="93"/>
      <c r="F266" s="93"/>
      <c r="G266" s="93"/>
      <c r="H266" s="93"/>
      <c r="I266" s="93"/>
      <c r="J266" s="81"/>
      <c r="Q266" s="44"/>
    </row>
    <row r="267" spans="1:17" x14ac:dyDescent="0.15">
      <c r="A267" s="92"/>
      <c r="B267" s="93"/>
      <c r="C267" s="93"/>
      <c r="D267" s="94"/>
      <c r="E267" s="93"/>
      <c r="F267" s="93"/>
      <c r="G267" s="93"/>
      <c r="H267" s="93"/>
      <c r="I267" s="93"/>
      <c r="J267" s="81"/>
      <c r="Q267" s="44"/>
    </row>
    <row r="268" spans="1:17" x14ac:dyDescent="0.15">
      <c r="A268" s="92"/>
      <c r="B268" s="93"/>
      <c r="C268" s="93"/>
      <c r="D268" s="94"/>
      <c r="E268" s="93"/>
      <c r="F268" s="93"/>
      <c r="G268" s="93"/>
      <c r="H268" s="93"/>
      <c r="I268" s="93"/>
      <c r="J268" s="81"/>
      <c r="Q268" s="44"/>
    </row>
    <row r="269" spans="1:17" x14ac:dyDescent="0.15">
      <c r="A269" s="92"/>
      <c r="B269" s="93"/>
      <c r="C269" s="93"/>
      <c r="D269" s="94"/>
      <c r="E269" s="93"/>
      <c r="F269" s="93"/>
      <c r="G269" s="93"/>
      <c r="H269" s="93"/>
      <c r="I269" s="93"/>
      <c r="J269" s="81"/>
      <c r="Q269" s="44"/>
    </row>
    <row r="270" spans="1:17" x14ac:dyDescent="0.15">
      <c r="A270" s="92"/>
      <c r="B270" s="93"/>
      <c r="C270" s="93"/>
      <c r="D270" s="94"/>
      <c r="E270" s="93"/>
      <c r="F270" s="93"/>
      <c r="G270" s="93"/>
      <c r="H270" s="93"/>
      <c r="I270" s="93"/>
      <c r="J270" s="81"/>
      <c r="Q270" s="44"/>
    </row>
    <row r="271" spans="1:17" x14ac:dyDescent="0.15">
      <c r="A271" s="92"/>
      <c r="B271" s="93"/>
      <c r="C271" s="93"/>
      <c r="D271" s="94"/>
      <c r="E271" s="93"/>
      <c r="F271" s="93"/>
      <c r="G271" s="93"/>
      <c r="H271" s="93"/>
      <c r="I271" s="93"/>
      <c r="J271" s="81"/>
      <c r="Q271" s="44"/>
    </row>
    <row r="272" spans="1:17" x14ac:dyDescent="0.15">
      <c r="A272" s="92"/>
      <c r="B272" s="93"/>
      <c r="C272" s="93"/>
      <c r="D272" s="94"/>
      <c r="E272" s="93"/>
      <c r="F272" s="93"/>
      <c r="G272" s="93"/>
      <c r="H272" s="93"/>
      <c r="I272" s="93"/>
      <c r="J272" s="81"/>
      <c r="Q272" s="44"/>
    </row>
    <row r="273" spans="1:17" x14ac:dyDescent="0.15">
      <c r="A273" s="92"/>
      <c r="B273" s="93"/>
      <c r="C273" s="93"/>
      <c r="D273" s="94"/>
      <c r="E273" s="93"/>
      <c r="F273" s="93"/>
      <c r="G273" s="93"/>
      <c r="H273" s="93"/>
      <c r="I273" s="93"/>
      <c r="J273" s="81"/>
      <c r="Q273" s="44"/>
    </row>
    <row r="274" spans="1:17" x14ac:dyDescent="0.15">
      <c r="A274" s="92"/>
      <c r="B274" s="93"/>
      <c r="C274" s="93"/>
      <c r="D274" s="94"/>
      <c r="E274" s="93"/>
      <c r="F274" s="93"/>
      <c r="G274" s="93"/>
      <c r="H274" s="93"/>
      <c r="I274" s="93"/>
      <c r="J274" s="81"/>
      <c r="Q274" s="44"/>
    </row>
    <row r="275" spans="1:17" x14ac:dyDescent="0.15">
      <c r="A275" s="92"/>
      <c r="B275" s="93"/>
      <c r="C275" s="93"/>
      <c r="D275" s="94"/>
      <c r="E275" s="93"/>
      <c r="F275" s="93"/>
      <c r="G275" s="93"/>
      <c r="H275" s="93"/>
      <c r="I275" s="93"/>
      <c r="J275" s="81"/>
      <c r="Q275" s="44"/>
    </row>
    <row r="276" spans="1:17" x14ac:dyDescent="0.15">
      <c r="A276" s="92"/>
      <c r="B276" s="93"/>
      <c r="C276" s="93"/>
      <c r="D276" s="94"/>
      <c r="E276" s="93"/>
      <c r="F276" s="93"/>
      <c r="G276" s="93"/>
      <c r="H276" s="93"/>
      <c r="I276" s="93"/>
      <c r="J276" s="81"/>
      <c r="Q276" s="44"/>
    </row>
    <row r="277" spans="1:17" x14ac:dyDescent="0.15">
      <c r="A277" s="92"/>
      <c r="B277" s="93"/>
      <c r="C277" s="93"/>
      <c r="D277" s="94"/>
      <c r="E277" s="93"/>
      <c r="F277" s="93"/>
      <c r="G277" s="93"/>
      <c r="H277" s="93"/>
      <c r="I277" s="93"/>
      <c r="J277" s="81"/>
      <c r="Q277" s="44"/>
    </row>
    <row r="278" spans="1:17" x14ac:dyDescent="0.15">
      <c r="A278" s="92"/>
      <c r="B278" s="93"/>
      <c r="C278" s="93"/>
      <c r="D278" s="94"/>
      <c r="E278" s="93"/>
      <c r="F278" s="93"/>
      <c r="G278" s="93"/>
      <c r="H278" s="93"/>
      <c r="I278" s="93"/>
      <c r="J278" s="81"/>
      <c r="Q278" s="44"/>
    </row>
    <row r="279" spans="1:17" x14ac:dyDescent="0.15">
      <c r="A279" s="92"/>
      <c r="B279" s="93"/>
      <c r="C279" s="93"/>
      <c r="D279" s="94"/>
      <c r="E279" s="93"/>
      <c r="F279" s="93"/>
      <c r="G279" s="93"/>
      <c r="H279" s="93"/>
      <c r="I279" s="93"/>
      <c r="J279" s="81"/>
      <c r="Q279" s="44"/>
    </row>
    <row r="280" spans="1:17" x14ac:dyDescent="0.15">
      <c r="A280" s="92"/>
      <c r="B280" s="93"/>
      <c r="C280" s="93"/>
      <c r="D280" s="94"/>
      <c r="E280" s="93"/>
      <c r="F280" s="93"/>
      <c r="G280" s="93"/>
      <c r="H280" s="93"/>
      <c r="I280" s="93"/>
      <c r="J280" s="81"/>
      <c r="Q280" s="44"/>
    </row>
    <row r="281" spans="1:17" x14ac:dyDescent="0.15">
      <c r="A281" s="92"/>
      <c r="B281" s="93"/>
      <c r="C281" s="93"/>
      <c r="D281" s="94"/>
      <c r="E281" s="93"/>
      <c r="F281" s="93"/>
      <c r="G281" s="93"/>
      <c r="H281" s="93"/>
      <c r="I281" s="93"/>
      <c r="J281" s="81"/>
      <c r="Q281" s="44"/>
    </row>
    <row r="282" spans="1:17" x14ac:dyDescent="0.15">
      <c r="A282" s="92"/>
      <c r="B282" s="93"/>
      <c r="C282" s="93"/>
      <c r="D282" s="94"/>
      <c r="E282" s="93"/>
      <c r="F282" s="93"/>
      <c r="G282" s="93"/>
      <c r="H282" s="93"/>
      <c r="I282" s="93"/>
      <c r="J282" s="81"/>
      <c r="Q282" s="44"/>
    </row>
    <row r="283" spans="1:17" x14ac:dyDescent="0.15">
      <c r="A283" s="92"/>
      <c r="B283" s="93"/>
      <c r="C283" s="93"/>
      <c r="D283" s="94"/>
      <c r="E283" s="93"/>
      <c r="F283" s="93"/>
      <c r="G283" s="93"/>
      <c r="H283" s="93"/>
      <c r="I283" s="93"/>
      <c r="J283" s="81"/>
      <c r="Q283" s="44"/>
    </row>
    <row r="284" spans="1:17" x14ac:dyDescent="0.15">
      <c r="A284" s="92"/>
      <c r="B284" s="93"/>
      <c r="C284" s="93"/>
      <c r="D284" s="94"/>
      <c r="E284" s="93"/>
      <c r="F284" s="93"/>
      <c r="G284" s="93"/>
      <c r="H284" s="93"/>
      <c r="I284" s="93"/>
      <c r="J284" s="81"/>
      <c r="Q284" s="44"/>
    </row>
    <row r="285" spans="1:17" x14ac:dyDescent="0.15">
      <c r="A285" s="92"/>
      <c r="B285" s="93"/>
      <c r="C285" s="93"/>
      <c r="D285" s="94"/>
      <c r="E285" s="93"/>
      <c r="F285" s="93"/>
      <c r="G285" s="93"/>
      <c r="H285" s="93"/>
      <c r="I285" s="93"/>
      <c r="J285" s="81"/>
      <c r="Q285" s="44"/>
    </row>
    <row r="286" spans="1:17" x14ac:dyDescent="0.15">
      <c r="A286" s="92"/>
      <c r="B286" s="93"/>
      <c r="C286" s="93"/>
      <c r="D286" s="94"/>
      <c r="E286" s="93"/>
      <c r="F286" s="93"/>
      <c r="G286" s="93"/>
      <c r="H286" s="93"/>
      <c r="I286" s="93"/>
      <c r="J286" s="81"/>
      <c r="Q286" s="44"/>
    </row>
    <row r="287" spans="1:17" x14ac:dyDescent="0.15">
      <c r="A287" s="92"/>
      <c r="B287" s="93"/>
      <c r="C287" s="93"/>
      <c r="D287" s="94"/>
      <c r="E287" s="93"/>
      <c r="F287" s="93"/>
      <c r="G287" s="93"/>
      <c r="H287" s="93"/>
      <c r="I287" s="93"/>
      <c r="J287" s="81"/>
      <c r="Q287" s="44"/>
    </row>
    <row r="288" spans="1:17" x14ac:dyDescent="0.15">
      <c r="A288" s="92"/>
      <c r="B288" s="93"/>
      <c r="C288" s="93"/>
      <c r="D288" s="94"/>
      <c r="E288" s="93"/>
      <c r="F288" s="93"/>
      <c r="G288" s="93"/>
      <c r="H288" s="93"/>
      <c r="I288" s="93"/>
      <c r="J288" s="81"/>
      <c r="Q288" s="44"/>
    </row>
    <row r="289" spans="1:17" x14ac:dyDescent="0.15">
      <c r="A289" s="92"/>
      <c r="B289" s="93"/>
      <c r="C289" s="93"/>
      <c r="D289" s="94"/>
      <c r="E289" s="93"/>
      <c r="F289" s="93"/>
      <c r="G289" s="93"/>
      <c r="H289" s="93"/>
      <c r="I289" s="93"/>
      <c r="J289" s="81"/>
      <c r="Q289" s="44"/>
    </row>
    <row r="290" spans="1:17" x14ac:dyDescent="0.15">
      <c r="A290" s="92"/>
      <c r="B290" s="93"/>
      <c r="C290" s="93"/>
      <c r="D290" s="94"/>
      <c r="E290" s="93"/>
      <c r="F290" s="93"/>
      <c r="G290" s="93"/>
      <c r="H290" s="93"/>
      <c r="I290" s="93"/>
      <c r="J290" s="81"/>
      <c r="Q290" s="44"/>
    </row>
    <row r="291" spans="1:17" x14ac:dyDescent="0.15">
      <c r="A291" s="92"/>
      <c r="B291" s="93"/>
      <c r="C291" s="93"/>
      <c r="D291" s="94"/>
      <c r="E291" s="93"/>
      <c r="F291" s="93"/>
      <c r="G291" s="93"/>
      <c r="H291" s="93"/>
      <c r="I291" s="93"/>
      <c r="J291" s="81"/>
      <c r="Q291" s="44"/>
    </row>
    <row r="292" spans="1:17" x14ac:dyDescent="0.15">
      <c r="A292" s="92"/>
      <c r="B292" s="93"/>
      <c r="C292" s="93"/>
      <c r="D292" s="94"/>
      <c r="E292" s="93"/>
      <c r="F292" s="93"/>
      <c r="G292" s="93"/>
      <c r="H292" s="93"/>
      <c r="I292" s="93"/>
      <c r="J292" s="81"/>
      <c r="Q292" s="44"/>
    </row>
    <row r="293" spans="1:17" x14ac:dyDescent="0.15">
      <c r="A293" s="92"/>
      <c r="B293" s="93"/>
      <c r="C293" s="93"/>
      <c r="D293" s="94"/>
      <c r="E293" s="93"/>
      <c r="F293" s="93"/>
      <c r="G293" s="93"/>
      <c r="H293" s="93"/>
      <c r="I293" s="93"/>
      <c r="J293" s="81"/>
      <c r="Q293" s="44"/>
    </row>
    <row r="294" spans="1:17" x14ac:dyDescent="0.15">
      <c r="A294" s="92"/>
      <c r="B294" s="93"/>
      <c r="C294" s="93"/>
      <c r="D294" s="94"/>
      <c r="E294" s="93"/>
      <c r="F294" s="93"/>
      <c r="G294" s="93"/>
      <c r="H294" s="93"/>
      <c r="I294" s="93"/>
      <c r="J294" s="81"/>
      <c r="Q294" s="44"/>
    </row>
    <row r="295" spans="1:17" x14ac:dyDescent="0.15">
      <c r="A295" s="92"/>
      <c r="B295" s="93"/>
      <c r="C295" s="93"/>
      <c r="D295" s="94"/>
      <c r="E295" s="93"/>
      <c r="F295" s="93"/>
      <c r="G295" s="93"/>
      <c r="H295" s="93"/>
      <c r="I295" s="93"/>
      <c r="J295" s="81"/>
      <c r="Q295" s="44"/>
    </row>
    <row r="296" spans="1:17" x14ac:dyDescent="0.15">
      <c r="A296" s="92"/>
      <c r="B296" s="93"/>
      <c r="C296" s="93"/>
      <c r="D296" s="94"/>
      <c r="E296" s="93"/>
      <c r="F296" s="93"/>
      <c r="G296" s="93"/>
      <c r="H296" s="93"/>
      <c r="I296" s="93"/>
      <c r="J296" s="81"/>
      <c r="Q296" s="44"/>
    </row>
    <row r="297" spans="1:17" x14ac:dyDescent="0.15">
      <c r="A297" s="92"/>
      <c r="B297" s="93"/>
      <c r="C297" s="93"/>
      <c r="D297" s="94"/>
      <c r="E297" s="93"/>
      <c r="F297" s="93"/>
      <c r="G297" s="93"/>
      <c r="H297" s="93"/>
      <c r="I297" s="93"/>
      <c r="J297" s="81"/>
      <c r="Q297" s="44"/>
    </row>
    <row r="298" spans="1:17" x14ac:dyDescent="0.15">
      <c r="A298" s="92"/>
      <c r="B298" s="93"/>
      <c r="C298" s="93"/>
      <c r="D298" s="94"/>
      <c r="E298" s="93"/>
      <c r="F298" s="93"/>
      <c r="G298" s="93"/>
      <c r="H298" s="93"/>
      <c r="I298" s="93"/>
      <c r="J298" s="81"/>
      <c r="Q298" s="44"/>
    </row>
    <row r="299" spans="1:17" x14ac:dyDescent="0.15">
      <c r="A299" s="92"/>
      <c r="B299" s="93"/>
      <c r="C299" s="93"/>
      <c r="D299" s="94"/>
      <c r="E299" s="93"/>
      <c r="F299" s="93"/>
      <c r="G299" s="93"/>
      <c r="H299" s="93"/>
      <c r="I299" s="93"/>
      <c r="J299" s="81"/>
      <c r="Q299" s="44"/>
    </row>
    <row r="300" spans="1:17" x14ac:dyDescent="0.15">
      <c r="A300" s="92"/>
      <c r="B300" s="93"/>
      <c r="C300" s="93"/>
      <c r="D300" s="94"/>
      <c r="E300" s="93"/>
      <c r="F300" s="93"/>
      <c r="G300" s="93"/>
      <c r="H300" s="93"/>
      <c r="I300" s="93"/>
      <c r="J300" s="81"/>
      <c r="Q300" s="44"/>
    </row>
    <row r="301" spans="1:17" x14ac:dyDescent="0.15">
      <c r="A301" s="92"/>
      <c r="B301" s="93"/>
      <c r="C301" s="93"/>
      <c r="D301" s="94"/>
      <c r="E301" s="93"/>
      <c r="F301" s="93"/>
      <c r="G301" s="93"/>
      <c r="H301" s="93"/>
      <c r="I301" s="93"/>
      <c r="J301" s="81"/>
      <c r="Q301" s="44"/>
    </row>
    <row r="302" spans="1:17" x14ac:dyDescent="0.15">
      <c r="A302" s="92"/>
      <c r="B302" s="93"/>
      <c r="C302" s="93"/>
      <c r="D302" s="94"/>
      <c r="E302" s="93"/>
      <c r="F302" s="93"/>
      <c r="G302" s="93"/>
      <c r="H302" s="93"/>
      <c r="I302" s="93"/>
      <c r="J302" s="81"/>
      <c r="Q302" s="44"/>
    </row>
    <row r="303" spans="1:17" x14ac:dyDescent="0.15">
      <c r="A303" s="92"/>
      <c r="B303" s="93"/>
      <c r="C303" s="93"/>
      <c r="D303" s="94"/>
      <c r="E303" s="93"/>
      <c r="F303" s="93"/>
      <c r="G303" s="93"/>
      <c r="H303" s="93"/>
      <c r="I303" s="93"/>
      <c r="J303" s="81"/>
      <c r="Q303" s="44"/>
    </row>
    <row r="304" spans="1:17" x14ac:dyDescent="0.15">
      <c r="A304" s="92"/>
      <c r="B304" s="93"/>
      <c r="C304" s="93"/>
      <c r="D304" s="94"/>
      <c r="E304" s="93"/>
      <c r="F304" s="93"/>
      <c r="G304" s="93"/>
      <c r="H304" s="93"/>
      <c r="I304" s="93"/>
      <c r="J304" s="81"/>
      <c r="Q304" s="44"/>
    </row>
    <row r="305" spans="1:17" x14ac:dyDescent="0.15">
      <c r="A305" s="92"/>
      <c r="B305" s="93"/>
      <c r="C305" s="93"/>
      <c r="D305" s="94"/>
      <c r="E305" s="93"/>
      <c r="F305" s="93"/>
      <c r="G305" s="93"/>
      <c r="H305" s="93"/>
      <c r="I305" s="93"/>
      <c r="J305" s="81"/>
      <c r="Q305" s="44"/>
    </row>
    <row r="306" spans="1:17" x14ac:dyDescent="0.15">
      <c r="A306" s="92"/>
      <c r="B306" s="93"/>
      <c r="C306" s="93"/>
      <c r="D306" s="94"/>
      <c r="E306" s="93"/>
      <c r="F306" s="93"/>
      <c r="G306" s="93"/>
      <c r="H306" s="93"/>
      <c r="I306" s="93"/>
      <c r="J306" s="81"/>
      <c r="Q306" s="44"/>
    </row>
    <row r="307" spans="1:17" x14ac:dyDescent="0.15">
      <c r="A307" s="92"/>
      <c r="B307" s="93"/>
      <c r="C307" s="93"/>
      <c r="D307" s="94"/>
      <c r="E307" s="93"/>
      <c r="F307" s="93"/>
      <c r="G307" s="93"/>
      <c r="H307" s="93"/>
      <c r="I307" s="93"/>
      <c r="J307" s="81"/>
      <c r="Q307" s="44"/>
    </row>
    <row r="308" spans="1:17" x14ac:dyDescent="0.15">
      <c r="A308" s="92"/>
      <c r="B308" s="93"/>
      <c r="C308" s="93"/>
      <c r="D308" s="94"/>
      <c r="E308" s="93"/>
      <c r="F308" s="93"/>
      <c r="G308" s="93"/>
      <c r="H308" s="93"/>
      <c r="I308" s="93"/>
      <c r="J308" s="81"/>
      <c r="Q308" s="44"/>
    </row>
    <row r="309" spans="1:17" x14ac:dyDescent="0.15">
      <c r="A309" s="92"/>
      <c r="B309" s="93"/>
      <c r="C309" s="93"/>
      <c r="D309" s="94"/>
      <c r="E309" s="93"/>
      <c r="F309" s="93"/>
      <c r="G309" s="93"/>
      <c r="H309" s="93"/>
      <c r="I309" s="93"/>
      <c r="J309" s="81"/>
      <c r="Q309" s="44"/>
    </row>
    <row r="310" spans="1:17" x14ac:dyDescent="0.15">
      <c r="A310" s="92"/>
      <c r="B310" s="93"/>
      <c r="C310" s="93"/>
      <c r="D310" s="94"/>
      <c r="E310" s="93"/>
      <c r="F310" s="93"/>
      <c r="G310" s="93"/>
      <c r="H310" s="93"/>
      <c r="I310" s="93"/>
      <c r="J310" s="81"/>
    </row>
    <row r="311" spans="1:17" x14ac:dyDescent="0.15">
      <c r="A311" s="92"/>
      <c r="B311" s="93"/>
      <c r="C311" s="93"/>
      <c r="D311" s="94"/>
      <c r="E311" s="93"/>
      <c r="F311" s="93"/>
      <c r="G311" s="93"/>
      <c r="H311" s="93"/>
      <c r="I311" s="93"/>
      <c r="J311" s="81"/>
    </row>
    <row r="312" spans="1:17" x14ac:dyDescent="0.15">
      <c r="A312" s="92"/>
      <c r="B312" s="93"/>
      <c r="C312" s="93"/>
      <c r="D312" s="94"/>
      <c r="E312" s="93"/>
      <c r="F312" s="93"/>
      <c r="G312" s="93"/>
      <c r="H312" s="93"/>
      <c r="I312" s="93"/>
      <c r="J312" s="81"/>
    </row>
    <row r="313" spans="1:17" x14ac:dyDescent="0.15">
      <c r="A313" s="92"/>
      <c r="B313" s="93"/>
      <c r="C313" s="93"/>
      <c r="D313" s="94"/>
      <c r="E313" s="93"/>
      <c r="F313" s="93"/>
      <c r="G313" s="93"/>
      <c r="H313" s="93"/>
      <c r="I313" s="93"/>
      <c r="J313" s="81"/>
    </row>
    <row r="314" spans="1:17" x14ac:dyDescent="0.15">
      <c r="A314" s="92"/>
      <c r="B314" s="93"/>
      <c r="C314" s="93"/>
      <c r="D314" s="94"/>
      <c r="E314" s="93"/>
      <c r="F314" s="93"/>
      <c r="G314" s="93"/>
      <c r="H314" s="93"/>
      <c r="I314" s="93"/>
      <c r="J314" s="81"/>
    </row>
    <row r="315" spans="1:17" x14ac:dyDescent="0.15">
      <c r="A315" s="92"/>
      <c r="B315" s="93"/>
      <c r="C315" s="93"/>
      <c r="D315" s="94"/>
      <c r="E315" s="93"/>
      <c r="F315" s="93"/>
      <c r="G315" s="93"/>
      <c r="H315" s="93"/>
      <c r="I315" s="93"/>
      <c r="J315" s="81"/>
    </row>
    <row r="316" spans="1:17" x14ac:dyDescent="0.15">
      <c r="A316" s="92"/>
      <c r="B316" s="93"/>
      <c r="C316" s="93"/>
      <c r="D316" s="94"/>
      <c r="E316" s="93"/>
      <c r="F316" s="93"/>
      <c r="G316" s="93"/>
      <c r="H316" s="93"/>
      <c r="I316" s="93"/>
      <c r="J316" s="81"/>
    </row>
    <row r="317" spans="1:17" x14ac:dyDescent="0.15">
      <c r="A317" s="92"/>
      <c r="B317" s="93"/>
      <c r="C317" s="93"/>
      <c r="D317" s="94"/>
      <c r="E317" s="93"/>
      <c r="F317" s="93"/>
      <c r="G317" s="93"/>
      <c r="H317" s="93"/>
      <c r="I317" s="93"/>
      <c r="J317" s="81"/>
    </row>
    <row r="318" spans="1:17" x14ac:dyDescent="0.15">
      <c r="A318" s="92"/>
      <c r="B318" s="93"/>
      <c r="C318" s="93"/>
      <c r="D318" s="94"/>
      <c r="E318" s="93"/>
      <c r="F318" s="93"/>
      <c r="G318" s="93"/>
      <c r="H318" s="93"/>
      <c r="I318" s="93"/>
      <c r="J318" s="81"/>
    </row>
    <row r="319" spans="1:17" x14ac:dyDescent="0.15">
      <c r="A319" s="92"/>
      <c r="B319" s="93"/>
      <c r="C319" s="93"/>
      <c r="D319" s="94"/>
      <c r="E319" s="93"/>
      <c r="F319" s="93"/>
      <c r="G319" s="93"/>
      <c r="H319" s="93"/>
      <c r="I319" s="93"/>
      <c r="J319" s="81"/>
    </row>
    <row r="320" spans="1:17" x14ac:dyDescent="0.15">
      <c r="A320" s="92"/>
      <c r="B320" s="93"/>
      <c r="C320" s="93"/>
      <c r="D320" s="94"/>
      <c r="E320" s="93"/>
      <c r="F320" s="93"/>
      <c r="G320" s="93"/>
      <c r="H320" s="93"/>
      <c r="I320" s="93"/>
      <c r="J320" s="81"/>
    </row>
    <row r="321" spans="1:10" x14ac:dyDescent="0.15">
      <c r="A321" s="92"/>
      <c r="B321" s="93"/>
      <c r="C321" s="93"/>
      <c r="D321" s="94"/>
      <c r="E321" s="93"/>
      <c r="F321" s="93"/>
      <c r="G321" s="93"/>
      <c r="H321" s="93"/>
      <c r="I321" s="93"/>
      <c r="J321" s="81"/>
    </row>
    <row r="322" spans="1:10" x14ac:dyDescent="0.15">
      <c r="A322" s="92"/>
      <c r="B322" s="93"/>
      <c r="C322" s="93"/>
      <c r="D322" s="94"/>
      <c r="E322" s="93"/>
      <c r="F322" s="93"/>
      <c r="G322" s="93"/>
      <c r="H322" s="93"/>
      <c r="I322" s="93"/>
      <c r="J322" s="81"/>
    </row>
    <row r="323" spans="1:10" x14ac:dyDescent="0.15">
      <c r="A323" s="92"/>
      <c r="B323" s="93"/>
      <c r="C323" s="93"/>
      <c r="D323" s="94"/>
      <c r="E323" s="93"/>
      <c r="F323" s="93"/>
      <c r="G323" s="93"/>
      <c r="H323" s="93"/>
      <c r="I323" s="93"/>
      <c r="J323" s="81"/>
    </row>
    <row r="324" spans="1:10" x14ac:dyDescent="0.15">
      <c r="A324" s="92"/>
      <c r="B324" s="93"/>
      <c r="C324" s="93"/>
      <c r="D324" s="94"/>
      <c r="E324" s="93"/>
      <c r="F324" s="93"/>
      <c r="G324" s="93"/>
      <c r="H324" s="93"/>
      <c r="I324" s="93"/>
      <c r="J324" s="81"/>
    </row>
    <row r="325" spans="1:10" x14ac:dyDescent="0.15">
      <c r="A325" s="92"/>
      <c r="B325" s="93"/>
      <c r="C325" s="93"/>
      <c r="D325" s="94"/>
      <c r="E325" s="93"/>
      <c r="F325" s="93"/>
      <c r="G325" s="93"/>
      <c r="H325" s="93"/>
      <c r="I325" s="93"/>
      <c r="J325" s="81"/>
    </row>
    <row r="326" spans="1:10" x14ac:dyDescent="0.15">
      <c r="A326" s="92"/>
      <c r="B326" s="93"/>
      <c r="C326" s="93"/>
      <c r="D326" s="94"/>
      <c r="E326" s="93"/>
      <c r="F326" s="93"/>
      <c r="G326" s="93"/>
      <c r="H326" s="93"/>
      <c r="I326" s="93"/>
      <c r="J326" s="81"/>
    </row>
    <row r="327" spans="1:10" x14ac:dyDescent="0.15">
      <c r="A327" s="92"/>
      <c r="B327" s="93"/>
      <c r="C327" s="93"/>
      <c r="D327" s="94"/>
      <c r="E327" s="93"/>
      <c r="F327" s="93"/>
      <c r="G327" s="93"/>
      <c r="H327" s="93"/>
      <c r="I327" s="93"/>
      <c r="J327" s="81"/>
    </row>
    <row r="328" spans="1:10" x14ac:dyDescent="0.15">
      <c r="A328" s="92"/>
      <c r="B328" s="93"/>
      <c r="C328" s="93"/>
      <c r="D328" s="94"/>
      <c r="E328" s="93"/>
      <c r="F328" s="93"/>
      <c r="G328" s="93"/>
      <c r="H328" s="93"/>
      <c r="I328" s="93"/>
      <c r="J328" s="81"/>
    </row>
    <row r="329" spans="1:10" x14ac:dyDescent="0.15">
      <c r="A329" s="92"/>
      <c r="B329" s="93"/>
      <c r="C329" s="93"/>
      <c r="D329" s="94"/>
      <c r="E329" s="93"/>
      <c r="F329" s="93"/>
      <c r="G329" s="93"/>
      <c r="H329" s="93"/>
      <c r="I329" s="93"/>
      <c r="J329" s="81"/>
    </row>
    <row r="330" spans="1:10" x14ac:dyDescent="0.15">
      <c r="A330" s="92"/>
      <c r="B330" s="93"/>
      <c r="C330" s="93"/>
      <c r="D330" s="94"/>
      <c r="E330" s="93"/>
      <c r="F330" s="93"/>
      <c r="G330" s="93"/>
      <c r="H330" s="93"/>
      <c r="I330" s="93"/>
      <c r="J330" s="81"/>
    </row>
    <row r="331" spans="1:10" x14ac:dyDescent="0.15">
      <c r="A331" s="92"/>
      <c r="B331" s="93"/>
      <c r="C331" s="93"/>
      <c r="D331" s="94"/>
      <c r="E331" s="93"/>
      <c r="F331" s="93"/>
      <c r="G331" s="93"/>
      <c r="H331" s="93"/>
      <c r="I331" s="93"/>
      <c r="J331" s="81"/>
    </row>
    <row r="332" spans="1:10" x14ac:dyDescent="0.15">
      <c r="A332" s="92"/>
      <c r="B332" s="93"/>
      <c r="C332" s="93"/>
      <c r="D332" s="94"/>
      <c r="E332" s="93"/>
      <c r="F332" s="93"/>
      <c r="G332" s="93"/>
      <c r="H332" s="93"/>
      <c r="I332" s="93"/>
      <c r="J332" s="81"/>
    </row>
    <row r="333" spans="1:10" x14ac:dyDescent="0.15">
      <c r="A333" s="92"/>
      <c r="B333" s="93"/>
      <c r="C333" s="93"/>
      <c r="D333" s="94"/>
      <c r="E333" s="93"/>
      <c r="F333" s="93"/>
      <c r="G333" s="93"/>
      <c r="H333" s="93"/>
      <c r="I333" s="93"/>
      <c r="J333" s="81"/>
    </row>
    <row r="334" spans="1:10" x14ac:dyDescent="0.15">
      <c r="A334" s="92"/>
      <c r="B334" s="93"/>
      <c r="C334" s="93"/>
      <c r="D334" s="94"/>
      <c r="E334" s="93"/>
      <c r="F334" s="93"/>
      <c r="G334" s="93"/>
      <c r="H334" s="93"/>
      <c r="I334" s="93"/>
      <c r="J334" s="81"/>
    </row>
    <row r="335" spans="1:10" x14ac:dyDescent="0.15">
      <c r="A335" s="92"/>
      <c r="B335" s="93"/>
      <c r="C335" s="93"/>
      <c r="D335" s="94"/>
      <c r="E335" s="93"/>
      <c r="F335" s="93"/>
      <c r="G335" s="93"/>
      <c r="H335" s="93"/>
      <c r="I335" s="93"/>
      <c r="J335" s="81"/>
    </row>
    <row r="336" spans="1:10" x14ac:dyDescent="0.15">
      <c r="A336" s="92"/>
      <c r="B336" s="93"/>
      <c r="C336" s="93"/>
      <c r="D336" s="94"/>
      <c r="E336" s="93"/>
      <c r="F336" s="93"/>
      <c r="G336" s="93"/>
      <c r="H336" s="93"/>
      <c r="I336" s="93"/>
      <c r="J336" s="81"/>
    </row>
    <row r="337" spans="1:10" x14ac:dyDescent="0.15">
      <c r="A337" s="92"/>
      <c r="B337" s="93"/>
      <c r="C337" s="93"/>
      <c r="D337" s="94"/>
      <c r="E337" s="93"/>
      <c r="F337" s="93"/>
      <c r="G337" s="93"/>
      <c r="H337" s="93"/>
      <c r="I337" s="93"/>
      <c r="J337" s="81"/>
    </row>
    <row r="338" spans="1:10" x14ac:dyDescent="0.15">
      <c r="A338" s="92"/>
      <c r="B338" s="93"/>
      <c r="C338" s="93"/>
      <c r="D338" s="94"/>
      <c r="E338" s="93"/>
      <c r="F338" s="93"/>
      <c r="G338" s="93"/>
      <c r="H338" s="93"/>
      <c r="I338" s="93"/>
      <c r="J338" s="81"/>
    </row>
    <row r="339" spans="1:10" x14ac:dyDescent="0.15">
      <c r="A339" s="92"/>
      <c r="B339" s="93"/>
      <c r="C339" s="93"/>
      <c r="D339" s="94"/>
      <c r="E339" s="93"/>
      <c r="F339" s="93"/>
      <c r="G339" s="93"/>
      <c r="H339" s="93"/>
      <c r="I339" s="93"/>
      <c r="J339" s="81"/>
    </row>
    <row r="340" spans="1:10" x14ac:dyDescent="0.15">
      <c r="A340" s="92"/>
      <c r="B340" s="93"/>
      <c r="C340" s="93"/>
      <c r="D340" s="94"/>
      <c r="E340" s="93"/>
      <c r="F340" s="93"/>
      <c r="G340" s="93"/>
      <c r="H340" s="93"/>
      <c r="I340" s="93"/>
      <c r="J340" s="81"/>
    </row>
    <row r="341" spans="1:10" x14ac:dyDescent="0.15">
      <c r="A341" s="92"/>
      <c r="B341" s="93"/>
      <c r="C341" s="93"/>
      <c r="D341" s="94"/>
      <c r="E341" s="93"/>
      <c r="F341" s="93"/>
      <c r="G341" s="93"/>
      <c r="H341" s="93"/>
      <c r="I341" s="93"/>
      <c r="J341" s="81"/>
    </row>
    <row r="342" spans="1:10" x14ac:dyDescent="0.15">
      <c r="A342" s="92"/>
      <c r="B342" s="93"/>
      <c r="C342" s="93"/>
      <c r="D342" s="94"/>
      <c r="E342" s="93"/>
      <c r="F342" s="93"/>
      <c r="G342" s="93"/>
      <c r="H342" s="93"/>
      <c r="I342" s="93"/>
      <c r="J342" s="81"/>
    </row>
    <row r="343" spans="1:10" x14ac:dyDescent="0.15">
      <c r="A343" s="92"/>
      <c r="B343" s="93"/>
      <c r="C343" s="93"/>
      <c r="D343" s="94"/>
      <c r="E343" s="93"/>
      <c r="F343" s="93"/>
      <c r="G343" s="93"/>
      <c r="H343" s="93"/>
      <c r="I343" s="93"/>
      <c r="J343" s="81"/>
    </row>
    <row r="344" spans="1:10" x14ac:dyDescent="0.15">
      <c r="A344" s="92"/>
      <c r="B344" s="93"/>
      <c r="C344" s="93"/>
      <c r="D344" s="94"/>
      <c r="E344" s="93"/>
      <c r="F344" s="93"/>
      <c r="G344" s="93"/>
      <c r="H344" s="93"/>
      <c r="I344" s="93"/>
      <c r="J344" s="81"/>
    </row>
    <row r="345" spans="1:10" x14ac:dyDescent="0.15">
      <c r="A345" s="92"/>
      <c r="B345" s="93"/>
      <c r="C345" s="93"/>
      <c r="D345" s="94"/>
      <c r="E345" s="93"/>
      <c r="F345" s="93"/>
      <c r="G345" s="93"/>
      <c r="H345" s="93"/>
      <c r="I345" s="93"/>
      <c r="J345" s="81"/>
    </row>
    <row r="346" spans="1:10" x14ac:dyDescent="0.15">
      <c r="A346" s="92"/>
      <c r="B346" s="93"/>
      <c r="C346" s="93"/>
      <c r="D346" s="94"/>
      <c r="E346" s="93"/>
      <c r="F346" s="93"/>
      <c r="G346" s="93"/>
      <c r="H346" s="93"/>
      <c r="I346" s="93"/>
      <c r="J346" s="81"/>
    </row>
    <row r="347" spans="1:10" x14ac:dyDescent="0.15">
      <c r="A347" s="92"/>
      <c r="B347" s="93"/>
      <c r="C347" s="93"/>
      <c r="D347" s="94"/>
      <c r="E347" s="93"/>
      <c r="F347" s="93"/>
      <c r="G347" s="93"/>
      <c r="H347" s="93"/>
      <c r="I347" s="93"/>
      <c r="J347" s="81"/>
    </row>
    <row r="348" spans="1:10" x14ac:dyDescent="0.15">
      <c r="A348" s="92"/>
      <c r="B348" s="93"/>
      <c r="C348" s="93"/>
      <c r="D348" s="94"/>
      <c r="E348" s="93"/>
      <c r="F348" s="93"/>
      <c r="G348" s="93"/>
      <c r="H348" s="93"/>
      <c r="I348" s="93"/>
      <c r="J348" s="81"/>
    </row>
    <row r="349" spans="1:10" x14ac:dyDescent="0.15">
      <c r="A349" s="92"/>
      <c r="B349" s="93"/>
      <c r="C349" s="93"/>
      <c r="D349" s="94"/>
      <c r="E349" s="93"/>
      <c r="F349" s="93"/>
      <c r="G349" s="93"/>
      <c r="H349" s="93"/>
      <c r="I349" s="93"/>
      <c r="J349" s="81"/>
    </row>
    <row r="350" spans="1:10" x14ac:dyDescent="0.15">
      <c r="A350" s="92"/>
      <c r="B350" s="93"/>
      <c r="C350" s="93"/>
      <c r="D350" s="94"/>
      <c r="E350" s="93"/>
      <c r="F350" s="93"/>
      <c r="G350" s="93"/>
      <c r="H350" s="93"/>
      <c r="I350" s="93"/>
      <c r="J350" s="81"/>
    </row>
    <row r="351" spans="1:10" x14ac:dyDescent="0.15">
      <c r="A351" s="92"/>
      <c r="B351" s="93"/>
      <c r="C351" s="93"/>
      <c r="D351" s="94"/>
      <c r="E351" s="93"/>
      <c r="F351" s="93"/>
      <c r="G351" s="93"/>
      <c r="H351" s="93"/>
      <c r="I351" s="93"/>
      <c r="J351" s="81"/>
    </row>
    <row r="352" spans="1:10" x14ac:dyDescent="0.15">
      <c r="A352" s="92"/>
      <c r="B352" s="93"/>
      <c r="C352" s="93"/>
      <c r="D352" s="94"/>
      <c r="E352" s="93"/>
      <c r="F352" s="93"/>
      <c r="G352" s="93"/>
      <c r="H352" s="93"/>
      <c r="I352" s="93"/>
      <c r="J352" s="81"/>
    </row>
    <row r="353" spans="1:10" x14ac:dyDescent="0.15">
      <c r="A353" s="92"/>
      <c r="B353" s="93"/>
      <c r="C353" s="93"/>
      <c r="D353" s="94"/>
      <c r="E353" s="93"/>
      <c r="F353" s="93"/>
      <c r="G353" s="93"/>
      <c r="H353" s="93"/>
      <c r="I353" s="93"/>
      <c r="J353" s="81"/>
    </row>
    <row r="354" spans="1:10" x14ac:dyDescent="0.15">
      <c r="A354" s="92"/>
      <c r="B354" s="93"/>
      <c r="C354" s="93"/>
      <c r="D354" s="94"/>
      <c r="E354" s="93"/>
      <c r="F354" s="93"/>
      <c r="G354" s="93"/>
      <c r="H354" s="93"/>
      <c r="I354" s="93"/>
      <c r="J354" s="81"/>
    </row>
    <row r="355" spans="1:10" x14ac:dyDescent="0.15">
      <c r="A355" s="92"/>
      <c r="B355" s="93"/>
      <c r="C355" s="93"/>
      <c r="D355" s="94"/>
      <c r="E355" s="93"/>
      <c r="F355" s="93"/>
      <c r="G355" s="93"/>
      <c r="H355" s="93"/>
      <c r="I355" s="93"/>
      <c r="J355" s="81"/>
    </row>
    <row r="356" spans="1:10" x14ac:dyDescent="0.15">
      <c r="A356" s="92"/>
      <c r="B356" s="93"/>
      <c r="C356" s="93"/>
      <c r="D356" s="94"/>
      <c r="E356" s="93"/>
      <c r="F356" s="93"/>
      <c r="G356" s="93"/>
      <c r="H356" s="93"/>
      <c r="I356" s="93"/>
      <c r="J356" s="81"/>
    </row>
    <row r="357" spans="1:10" x14ac:dyDescent="0.15">
      <c r="A357" s="92"/>
      <c r="B357" s="93"/>
      <c r="C357" s="93"/>
      <c r="D357" s="94"/>
      <c r="E357" s="93"/>
      <c r="F357" s="93"/>
      <c r="G357" s="93"/>
      <c r="H357" s="93"/>
      <c r="I357" s="93"/>
      <c r="J357" s="81"/>
    </row>
    <row r="358" spans="1:10" x14ac:dyDescent="0.15">
      <c r="A358" s="92"/>
      <c r="B358" s="93"/>
      <c r="C358" s="93"/>
      <c r="D358" s="94"/>
      <c r="E358" s="93"/>
      <c r="F358" s="93"/>
      <c r="G358" s="93"/>
      <c r="H358" s="93"/>
      <c r="I358" s="93"/>
      <c r="J358" s="81"/>
    </row>
    <row r="359" spans="1:10" x14ac:dyDescent="0.15">
      <c r="A359" s="92"/>
      <c r="B359" s="93"/>
      <c r="C359" s="93"/>
      <c r="D359" s="94"/>
      <c r="E359" s="93"/>
      <c r="F359" s="93"/>
      <c r="G359" s="93"/>
      <c r="H359" s="93"/>
      <c r="I359" s="93"/>
      <c r="J359" s="81"/>
    </row>
    <row r="360" spans="1:10" x14ac:dyDescent="0.15">
      <c r="A360" s="92"/>
      <c r="B360" s="93"/>
      <c r="C360" s="93"/>
      <c r="D360" s="94"/>
      <c r="E360" s="93"/>
      <c r="F360" s="93"/>
      <c r="G360" s="93"/>
      <c r="H360" s="93"/>
      <c r="I360" s="93"/>
      <c r="J360" s="81"/>
    </row>
    <row r="361" spans="1:10" x14ac:dyDescent="0.15">
      <c r="A361" s="92"/>
      <c r="B361" s="93"/>
      <c r="C361" s="93"/>
      <c r="D361" s="94"/>
      <c r="E361" s="93"/>
      <c r="F361" s="93"/>
      <c r="G361" s="93"/>
      <c r="H361" s="93"/>
      <c r="I361" s="93"/>
      <c r="J361" s="81"/>
    </row>
    <row r="362" spans="1:10" x14ac:dyDescent="0.15">
      <c r="A362" s="92"/>
      <c r="B362" s="93"/>
      <c r="C362" s="93"/>
      <c r="D362" s="94"/>
      <c r="E362" s="93"/>
      <c r="F362" s="93"/>
      <c r="G362" s="93"/>
      <c r="H362" s="93"/>
      <c r="I362" s="93"/>
      <c r="J362" s="81"/>
    </row>
    <row r="363" spans="1:10" x14ac:dyDescent="0.15">
      <c r="A363" s="92"/>
      <c r="B363" s="93"/>
      <c r="C363" s="93"/>
      <c r="D363" s="94"/>
      <c r="E363" s="93"/>
      <c r="F363" s="93"/>
      <c r="G363" s="93"/>
      <c r="H363" s="93"/>
      <c r="I363" s="93"/>
      <c r="J363" s="81"/>
    </row>
    <row r="364" spans="1:10" x14ac:dyDescent="0.15">
      <c r="A364" s="92"/>
      <c r="B364" s="93"/>
      <c r="C364" s="93"/>
      <c r="D364" s="94"/>
      <c r="E364" s="93"/>
      <c r="F364" s="93"/>
      <c r="G364" s="93"/>
      <c r="H364" s="93"/>
      <c r="I364" s="93"/>
      <c r="J364" s="81"/>
    </row>
    <row r="365" spans="1:10" x14ac:dyDescent="0.15">
      <c r="A365" s="92"/>
      <c r="B365" s="93"/>
      <c r="C365" s="93"/>
      <c r="D365" s="94"/>
      <c r="E365" s="93"/>
      <c r="F365" s="93"/>
      <c r="G365" s="93"/>
      <c r="H365" s="93"/>
      <c r="I365" s="93"/>
      <c r="J365" s="81"/>
    </row>
    <row r="366" spans="1:10" x14ac:dyDescent="0.15">
      <c r="A366" s="92"/>
      <c r="B366" s="93"/>
      <c r="C366" s="93"/>
      <c r="D366" s="94"/>
      <c r="E366" s="93"/>
      <c r="F366" s="93"/>
      <c r="G366" s="93"/>
      <c r="H366" s="93"/>
      <c r="I366" s="93"/>
      <c r="J366" s="81"/>
    </row>
    <row r="367" spans="1:10" x14ac:dyDescent="0.15">
      <c r="A367" s="92"/>
      <c r="B367" s="93"/>
      <c r="C367" s="93"/>
      <c r="D367" s="94"/>
      <c r="E367" s="93"/>
      <c r="F367" s="93"/>
      <c r="G367" s="93"/>
      <c r="H367" s="93"/>
      <c r="I367" s="93"/>
      <c r="J367" s="81"/>
    </row>
    <row r="368" spans="1:10" x14ac:dyDescent="0.15">
      <c r="A368" s="92"/>
      <c r="B368" s="93"/>
      <c r="C368" s="93"/>
      <c r="D368" s="94"/>
      <c r="E368" s="93"/>
      <c r="F368" s="93"/>
      <c r="G368" s="93"/>
      <c r="H368" s="93"/>
      <c r="I368" s="93"/>
      <c r="J368" s="81"/>
    </row>
    <row r="369" spans="1:10" x14ac:dyDescent="0.15">
      <c r="A369" s="92"/>
      <c r="B369" s="93"/>
      <c r="C369" s="93"/>
      <c r="D369" s="94"/>
      <c r="E369" s="93"/>
      <c r="F369" s="93"/>
      <c r="G369" s="93"/>
      <c r="H369" s="93"/>
      <c r="I369" s="93"/>
      <c r="J369" s="81"/>
    </row>
    <row r="370" spans="1:10" x14ac:dyDescent="0.15">
      <c r="A370" s="92"/>
      <c r="B370" s="93"/>
      <c r="C370" s="93"/>
      <c r="D370" s="94"/>
      <c r="E370" s="93"/>
      <c r="F370" s="93"/>
      <c r="G370" s="93"/>
      <c r="H370" s="93"/>
      <c r="I370" s="93"/>
      <c r="J370" s="81"/>
    </row>
    <row r="371" spans="1:10" x14ac:dyDescent="0.15">
      <c r="A371" s="92"/>
      <c r="B371" s="93"/>
      <c r="C371" s="93"/>
      <c r="D371" s="94"/>
      <c r="E371" s="93"/>
      <c r="F371" s="93"/>
      <c r="G371" s="93"/>
      <c r="H371" s="93"/>
      <c r="I371" s="93"/>
      <c r="J371" s="81"/>
    </row>
    <row r="372" spans="1:10" x14ac:dyDescent="0.15">
      <c r="A372" s="92"/>
      <c r="B372" s="93"/>
      <c r="C372" s="93"/>
      <c r="D372" s="94"/>
      <c r="E372" s="93"/>
      <c r="F372" s="93"/>
      <c r="G372" s="93"/>
      <c r="H372" s="93"/>
      <c r="I372" s="93"/>
      <c r="J372" s="81"/>
    </row>
    <row r="373" spans="1:10" x14ac:dyDescent="0.15">
      <c r="A373" s="92"/>
      <c r="B373" s="93"/>
      <c r="C373" s="93"/>
      <c r="D373" s="94"/>
      <c r="E373" s="93"/>
      <c r="F373" s="93"/>
      <c r="G373" s="93"/>
      <c r="H373" s="93"/>
      <c r="I373" s="93"/>
      <c r="J373" s="81"/>
    </row>
    <row r="374" spans="1:10" x14ac:dyDescent="0.15">
      <c r="A374" s="92"/>
      <c r="B374" s="93"/>
      <c r="C374" s="93"/>
      <c r="D374" s="94"/>
      <c r="E374" s="93"/>
      <c r="F374" s="93"/>
      <c r="G374" s="93"/>
      <c r="H374" s="93"/>
      <c r="I374" s="93"/>
      <c r="J374" s="81"/>
    </row>
    <row r="375" spans="1:10" x14ac:dyDescent="0.15">
      <c r="A375" s="92"/>
      <c r="B375" s="93"/>
      <c r="C375" s="93"/>
      <c r="D375" s="94"/>
      <c r="E375" s="93"/>
      <c r="F375" s="93"/>
      <c r="G375" s="93"/>
      <c r="H375" s="93"/>
      <c r="I375" s="93"/>
      <c r="J375" s="81"/>
    </row>
    <row r="376" spans="1:10" x14ac:dyDescent="0.15">
      <c r="A376" s="92"/>
      <c r="B376" s="93"/>
      <c r="C376" s="93"/>
      <c r="D376" s="94"/>
      <c r="E376" s="93"/>
      <c r="F376" s="93"/>
      <c r="G376" s="93"/>
      <c r="H376" s="93"/>
      <c r="I376" s="93"/>
      <c r="J376" s="81"/>
    </row>
    <row r="377" spans="1:10" x14ac:dyDescent="0.15">
      <c r="A377" s="92"/>
      <c r="B377" s="93"/>
      <c r="C377" s="93"/>
      <c r="D377" s="94"/>
      <c r="E377" s="93"/>
      <c r="F377" s="93"/>
      <c r="G377" s="93"/>
      <c r="H377" s="93"/>
      <c r="I377" s="93"/>
      <c r="J377" s="81"/>
    </row>
    <row r="378" spans="1:10" x14ac:dyDescent="0.15">
      <c r="A378" s="92"/>
      <c r="B378" s="93"/>
      <c r="C378" s="93"/>
      <c r="D378" s="94"/>
      <c r="E378" s="93"/>
      <c r="F378" s="93"/>
      <c r="G378" s="93"/>
      <c r="H378" s="93"/>
      <c r="I378" s="93"/>
      <c r="J378" s="81"/>
    </row>
    <row r="379" spans="1:10" x14ac:dyDescent="0.15">
      <c r="A379" s="92"/>
      <c r="B379" s="93"/>
      <c r="C379" s="93"/>
      <c r="D379" s="94"/>
      <c r="E379" s="93"/>
      <c r="F379" s="93"/>
      <c r="G379" s="93"/>
      <c r="H379" s="93"/>
      <c r="I379" s="93"/>
      <c r="J379" s="81"/>
    </row>
    <row r="380" spans="1:10" x14ac:dyDescent="0.15">
      <c r="A380" s="92"/>
      <c r="B380" s="93"/>
      <c r="C380" s="93"/>
      <c r="D380" s="94"/>
      <c r="E380" s="93"/>
      <c r="F380" s="93"/>
      <c r="G380" s="93"/>
      <c r="H380" s="93"/>
      <c r="I380" s="93"/>
      <c r="J380" s="81"/>
    </row>
    <row r="381" spans="1:10" x14ac:dyDescent="0.15">
      <c r="A381" s="92"/>
      <c r="B381" s="93"/>
      <c r="C381" s="93"/>
      <c r="D381" s="94"/>
      <c r="E381" s="93"/>
      <c r="F381" s="93"/>
      <c r="G381" s="93"/>
      <c r="H381" s="93"/>
      <c r="I381" s="93"/>
      <c r="J381" s="81"/>
    </row>
    <row r="382" spans="1:10" x14ac:dyDescent="0.15">
      <c r="A382" s="92"/>
      <c r="B382" s="93"/>
      <c r="C382" s="93"/>
      <c r="D382" s="94"/>
      <c r="E382" s="93"/>
      <c r="F382" s="93"/>
      <c r="G382" s="93"/>
      <c r="H382" s="93"/>
      <c r="I382" s="93"/>
      <c r="J382" s="81"/>
    </row>
    <row r="383" spans="1:10" x14ac:dyDescent="0.15">
      <c r="A383" s="92"/>
      <c r="B383" s="93"/>
      <c r="C383" s="93"/>
      <c r="D383" s="94"/>
      <c r="E383" s="93"/>
      <c r="F383" s="93"/>
      <c r="G383" s="93"/>
      <c r="H383" s="93"/>
      <c r="I383" s="93"/>
      <c r="J383" s="81"/>
    </row>
    <row r="384" spans="1:10" x14ac:dyDescent="0.15">
      <c r="A384" s="92"/>
      <c r="B384" s="93"/>
      <c r="C384" s="93"/>
      <c r="D384" s="94"/>
      <c r="E384" s="93"/>
      <c r="F384" s="93"/>
      <c r="G384" s="93"/>
      <c r="H384" s="93"/>
      <c r="I384" s="93"/>
      <c r="J384" s="81"/>
    </row>
    <row r="385" spans="1:10" x14ac:dyDescent="0.15">
      <c r="A385" s="92"/>
      <c r="B385" s="93"/>
      <c r="C385" s="93"/>
      <c r="D385" s="94"/>
      <c r="E385" s="93"/>
      <c r="F385" s="93"/>
      <c r="G385" s="93"/>
      <c r="H385" s="93"/>
      <c r="I385" s="93"/>
      <c r="J385" s="81"/>
    </row>
    <row r="386" spans="1:10" x14ac:dyDescent="0.15">
      <c r="A386" s="92"/>
      <c r="B386" s="93"/>
      <c r="C386" s="93"/>
      <c r="D386" s="94"/>
      <c r="E386" s="93"/>
      <c r="F386" s="93"/>
      <c r="G386" s="93"/>
      <c r="H386" s="93"/>
      <c r="I386" s="93"/>
      <c r="J386" s="81"/>
    </row>
    <row r="387" spans="1:10" x14ac:dyDescent="0.15">
      <c r="A387" s="92"/>
      <c r="B387" s="93"/>
      <c r="C387" s="93"/>
      <c r="D387" s="94"/>
      <c r="E387" s="93"/>
      <c r="F387" s="93"/>
      <c r="G387" s="93"/>
      <c r="H387" s="93"/>
      <c r="I387" s="93"/>
      <c r="J387" s="81"/>
    </row>
    <row r="388" spans="1:10" x14ac:dyDescent="0.15">
      <c r="A388" s="92"/>
      <c r="B388" s="93"/>
      <c r="C388" s="93"/>
      <c r="D388" s="94"/>
      <c r="E388" s="93"/>
      <c r="F388" s="93"/>
      <c r="G388" s="93"/>
      <c r="H388" s="93"/>
      <c r="I388" s="93"/>
      <c r="J388" s="81"/>
    </row>
    <row r="389" spans="1:10" x14ac:dyDescent="0.15">
      <c r="A389" s="92"/>
      <c r="B389" s="93"/>
      <c r="C389" s="93"/>
      <c r="D389" s="94"/>
      <c r="E389" s="93"/>
      <c r="F389" s="93"/>
      <c r="G389" s="93"/>
      <c r="H389" s="93"/>
      <c r="I389" s="93"/>
      <c r="J389" s="81"/>
    </row>
    <row r="390" spans="1:10" x14ac:dyDescent="0.15">
      <c r="A390" s="92"/>
      <c r="B390" s="93"/>
      <c r="C390" s="93"/>
      <c r="D390" s="94"/>
      <c r="E390" s="93"/>
      <c r="F390" s="93"/>
      <c r="G390" s="93"/>
      <c r="H390" s="93"/>
      <c r="I390" s="93"/>
      <c r="J390" s="81"/>
    </row>
    <row r="391" spans="1:10" x14ac:dyDescent="0.15">
      <c r="A391" s="92"/>
      <c r="B391" s="93"/>
      <c r="C391" s="93"/>
      <c r="D391" s="94"/>
      <c r="E391" s="93"/>
      <c r="F391" s="93"/>
      <c r="G391" s="93"/>
      <c r="H391" s="93"/>
      <c r="I391" s="93"/>
      <c r="J391" s="81"/>
    </row>
    <row r="392" spans="1:10" x14ac:dyDescent="0.15">
      <c r="A392" s="92"/>
      <c r="B392" s="93"/>
      <c r="C392" s="93"/>
      <c r="D392" s="94"/>
      <c r="E392" s="93"/>
      <c r="F392" s="93"/>
      <c r="G392" s="93"/>
      <c r="H392" s="93"/>
      <c r="I392" s="93"/>
      <c r="J392" s="81"/>
    </row>
    <row r="393" spans="1:10" x14ac:dyDescent="0.15">
      <c r="A393" s="92"/>
      <c r="B393" s="93"/>
      <c r="C393" s="93"/>
      <c r="D393" s="94"/>
      <c r="E393" s="93"/>
      <c r="F393" s="93"/>
      <c r="G393" s="93"/>
      <c r="H393" s="93"/>
      <c r="I393" s="93"/>
      <c r="J393" s="81"/>
    </row>
    <row r="394" spans="1:10" x14ac:dyDescent="0.15">
      <c r="A394" s="92"/>
      <c r="B394" s="93"/>
      <c r="C394" s="93"/>
      <c r="D394" s="94"/>
      <c r="E394" s="93"/>
      <c r="F394" s="93"/>
      <c r="G394" s="93"/>
      <c r="H394" s="93"/>
      <c r="I394" s="93"/>
      <c r="J394" s="81"/>
    </row>
    <row r="395" spans="1:10" x14ac:dyDescent="0.15">
      <c r="A395" s="92"/>
      <c r="B395" s="93"/>
      <c r="C395" s="93"/>
      <c r="D395" s="94"/>
      <c r="E395" s="93"/>
      <c r="F395" s="93"/>
      <c r="G395" s="93"/>
      <c r="H395" s="93"/>
      <c r="I395" s="93"/>
      <c r="J395" s="81"/>
    </row>
    <row r="396" spans="1:10" x14ac:dyDescent="0.15">
      <c r="A396" s="92"/>
      <c r="B396" s="93"/>
      <c r="C396" s="93"/>
      <c r="D396" s="94"/>
      <c r="E396" s="93"/>
      <c r="F396" s="93"/>
      <c r="G396" s="93"/>
      <c r="H396" s="93"/>
      <c r="I396" s="93"/>
      <c r="J396" s="81"/>
    </row>
    <row r="397" spans="1:10" x14ac:dyDescent="0.15">
      <c r="A397" s="92"/>
      <c r="B397" s="93"/>
      <c r="C397" s="93"/>
      <c r="D397" s="94"/>
      <c r="E397" s="93"/>
      <c r="F397" s="93"/>
      <c r="G397" s="93"/>
      <c r="H397" s="93"/>
      <c r="I397" s="93"/>
      <c r="J397" s="81"/>
    </row>
    <row r="398" spans="1:10" x14ac:dyDescent="0.15">
      <c r="A398" s="92"/>
      <c r="B398" s="93"/>
      <c r="C398" s="93"/>
      <c r="D398" s="94"/>
      <c r="E398" s="93"/>
      <c r="F398" s="93"/>
      <c r="G398" s="93"/>
      <c r="H398" s="93"/>
      <c r="I398" s="93"/>
      <c r="J398" s="81"/>
    </row>
    <row r="399" spans="1:10" x14ac:dyDescent="0.15">
      <c r="A399" s="92"/>
      <c r="B399" s="93"/>
      <c r="C399" s="93"/>
      <c r="D399" s="94"/>
      <c r="E399" s="93"/>
      <c r="F399" s="93"/>
      <c r="G399" s="93"/>
      <c r="H399" s="93"/>
      <c r="I399" s="93"/>
      <c r="J399" s="81"/>
    </row>
    <row r="400" spans="1:10" x14ac:dyDescent="0.15">
      <c r="A400" s="92"/>
      <c r="B400" s="93"/>
      <c r="C400" s="93"/>
      <c r="D400" s="94"/>
      <c r="E400" s="93"/>
      <c r="F400" s="93"/>
      <c r="G400" s="93"/>
      <c r="H400" s="93"/>
      <c r="I400" s="93"/>
      <c r="J400" s="81"/>
    </row>
    <row r="401" spans="1:10" x14ac:dyDescent="0.15">
      <c r="A401" s="92"/>
      <c r="B401" s="93"/>
      <c r="C401" s="93"/>
      <c r="D401" s="94"/>
      <c r="E401" s="93"/>
      <c r="F401" s="93"/>
      <c r="G401" s="93"/>
      <c r="H401" s="93"/>
      <c r="I401" s="93"/>
      <c r="J401" s="81"/>
    </row>
    <row r="402" spans="1:10" x14ac:dyDescent="0.15">
      <c r="A402" s="92"/>
      <c r="B402" s="93"/>
      <c r="C402" s="93"/>
      <c r="D402" s="94"/>
      <c r="E402" s="93"/>
      <c r="F402" s="93"/>
      <c r="G402" s="93"/>
      <c r="H402" s="93"/>
      <c r="I402" s="93"/>
      <c r="J402" s="81"/>
    </row>
    <row r="403" spans="1:10" x14ac:dyDescent="0.15">
      <c r="A403" s="92"/>
      <c r="B403" s="93"/>
      <c r="C403" s="93"/>
      <c r="D403" s="94"/>
      <c r="E403" s="93"/>
      <c r="F403" s="93"/>
      <c r="G403" s="93"/>
      <c r="H403" s="93"/>
      <c r="I403" s="93"/>
      <c r="J403" s="81"/>
    </row>
    <row r="404" spans="1:10" x14ac:dyDescent="0.15">
      <c r="A404" s="92"/>
      <c r="B404" s="93"/>
      <c r="C404" s="93"/>
      <c r="D404" s="94"/>
      <c r="E404" s="93"/>
      <c r="F404" s="93"/>
      <c r="G404" s="93"/>
      <c r="H404" s="93"/>
      <c r="I404" s="93"/>
      <c r="J404" s="81"/>
    </row>
    <row r="405" spans="1:10" x14ac:dyDescent="0.15">
      <c r="A405" s="92"/>
      <c r="B405" s="93"/>
      <c r="C405" s="93"/>
      <c r="D405" s="94"/>
      <c r="E405" s="93"/>
      <c r="F405" s="93"/>
      <c r="G405" s="93"/>
      <c r="H405" s="93"/>
      <c r="I405" s="93"/>
      <c r="J405" s="81"/>
    </row>
    <row r="406" spans="1:10" x14ac:dyDescent="0.15">
      <c r="A406" s="92"/>
      <c r="B406" s="93"/>
      <c r="C406" s="93"/>
      <c r="D406" s="94"/>
      <c r="E406" s="93"/>
      <c r="F406" s="93"/>
      <c r="G406" s="93"/>
      <c r="H406" s="93"/>
      <c r="I406" s="93"/>
      <c r="J406" s="81"/>
    </row>
    <row r="407" spans="1:10" x14ac:dyDescent="0.15">
      <c r="A407" s="92"/>
      <c r="B407" s="93"/>
      <c r="C407" s="93"/>
      <c r="D407" s="94"/>
      <c r="E407" s="93"/>
      <c r="F407" s="93"/>
      <c r="G407" s="93"/>
      <c r="H407" s="93"/>
      <c r="I407" s="93"/>
      <c r="J407" s="81"/>
    </row>
    <row r="408" spans="1:10" x14ac:dyDescent="0.15">
      <c r="A408" s="92"/>
      <c r="B408" s="93"/>
      <c r="C408" s="93"/>
      <c r="D408" s="94"/>
      <c r="E408" s="93"/>
      <c r="F408" s="93"/>
      <c r="G408" s="93"/>
      <c r="H408" s="93"/>
      <c r="I408" s="93"/>
      <c r="J408" s="81"/>
    </row>
    <row r="409" spans="1:10" x14ac:dyDescent="0.15">
      <c r="A409" s="92"/>
      <c r="B409" s="93"/>
      <c r="C409" s="93"/>
      <c r="D409" s="94"/>
      <c r="E409" s="93"/>
      <c r="F409" s="93"/>
      <c r="G409" s="93"/>
      <c r="H409" s="93"/>
      <c r="I409" s="93"/>
      <c r="J409" s="81"/>
    </row>
    <row r="410" spans="1:10" x14ac:dyDescent="0.15">
      <c r="A410" s="92"/>
      <c r="B410" s="93"/>
      <c r="C410" s="93"/>
      <c r="D410" s="94"/>
      <c r="E410" s="93"/>
      <c r="F410" s="93"/>
      <c r="G410" s="93"/>
      <c r="H410" s="93"/>
      <c r="I410" s="93"/>
      <c r="J410" s="81"/>
    </row>
    <row r="411" spans="1:10" x14ac:dyDescent="0.15">
      <c r="A411" s="92"/>
      <c r="B411" s="93"/>
      <c r="C411" s="93"/>
      <c r="D411" s="94"/>
      <c r="E411" s="93"/>
      <c r="F411" s="93"/>
      <c r="G411" s="93"/>
      <c r="H411" s="93"/>
      <c r="I411" s="93"/>
      <c r="J411" s="81"/>
    </row>
    <row r="412" spans="1:10" x14ac:dyDescent="0.15">
      <c r="A412" s="92"/>
      <c r="B412" s="93"/>
      <c r="C412" s="93"/>
      <c r="D412" s="94"/>
      <c r="E412" s="93"/>
      <c r="F412" s="93"/>
      <c r="G412" s="93"/>
      <c r="H412" s="93"/>
      <c r="I412" s="93"/>
      <c r="J412" s="81"/>
    </row>
    <row r="413" spans="1:10" x14ac:dyDescent="0.15">
      <c r="A413" s="92"/>
      <c r="B413" s="93"/>
      <c r="C413" s="93"/>
      <c r="D413" s="94"/>
      <c r="E413" s="93"/>
      <c r="F413" s="93"/>
      <c r="G413" s="93"/>
      <c r="H413" s="93"/>
      <c r="I413" s="93"/>
      <c r="J413" s="81"/>
    </row>
    <row r="414" spans="1:10" x14ac:dyDescent="0.15">
      <c r="A414" s="92"/>
      <c r="B414" s="93"/>
      <c r="C414" s="93"/>
      <c r="D414" s="94"/>
      <c r="E414" s="93"/>
      <c r="F414" s="93"/>
      <c r="G414" s="93"/>
      <c r="H414" s="93"/>
      <c r="I414" s="93"/>
      <c r="J414" s="81"/>
    </row>
    <row r="415" spans="1:10" x14ac:dyDescent="0.15">
      <c r="A415" s="92"/>
      <c r="B415" s="93"/>
      <c r="C415" s="93"/>
      <c r="D415" s="94"/>
      <c r="E415" s="93"/>
      <c r="F415" s="93"/>
      <c r="G415" s="93"/>
      <c r="H415" s="93"/>
      <c r="I415" s="93"/>
      <c r="J415" s="81"/>
    </row>
    <row r="416" spans="1:10" x14ac:dyDescent="0.15">
      <c r="A416" s="92"/>
      <c r="B416" s="93"/>
      <c r="C416" s="93"/>
      <c r="D416" s="94"/>
      <c r="E416" s="93"/>
      <c r="F416" s="93"/>
      <c r="G416" s="93"/>
      <c r="H416" s="93"/>
      <c r="I416" s="93"/>
      <c r="J416" s="81"/>
    </row>
    <row r="417" spans="1:10" x14ac:dyDescent="0.15">
      <c r="A417" s="92"/>
      <c r="B417" s="93"/>
      <c r="C417" s="93"/>
      <c r="D417" s="94"/>
      <c r="E417" s="93"/>
      <c r="F417" s="93"/>
      <c r="G417" s="93"/>
      <c r="H417" s="93"/>
      <c r="I417" s="93"/>
      <c r="J417" s="81"/>
    </row>
    <row r="418" spans="1:10" x14ac:dyDescent="0.15">
      <c r="A418" s="92"/>
      <c r="B418" s="93"/>
      <c r="C418" s="93"/>
      <c r="D418" s="94"/>
      <c r="E418" s="93"/>
      <c r="F418" s="93"/>
      <c r="G418" s="93"/>
      <c r="H418" s="93"/>
      <c r="I418" s="93"/>
      <c r="J418" s="81"/>
    </row>
    <row r="419" spans="1:10" x14ac:dyDescent="0.15">
      <c r="A419" s="92"/>
      <c r="B419" s="93"/>
      <c r="C419" s="93"/>
      <c r="D419" s="94"/>
      <c r="E419" s="93"/>
      <c r="F419" s="93"/>
      <c r="G419" s="93"/>
      <c r="H419" s="93"/>
      <c r="I419" s="93"/>
      <c r="J419" s="81"/>
    </row>
    <row r="420" spans="1:10" x14ac:dyDescent="0.15">
      <c r="A420" s="92"/>
      <c r="B420" s="93"/>
      <c r="C420" s="93"/>
      <c r="D420" s="94"/>
      <c r="E420" s="93"/>
      <c r="F420" s="93"/>
      <c r="G420" s="93"/>
      <c r="H420" s="93"/>
      <c r="I420" s="93"/>
      <c r="J420" s="81"/>
    </row>
    <row r="421" spans="1:10" x14ac:dyDescent="0.15">
      <c r="A421" s="92"/>
      <c r="B421" s="93"/>
      <c r="C421" s="93"/>
      <c r="D421" s="94"/>
      <c r="E421" s="93"/>
      <c r="F421" s="93"/>
      <c r="G421" s="93"/>
      <c r="H421" s="93"/>
      <c r="I421" s="93"/>
      <c r="J421" s="81"/>
    </row>
    <row r="422" spans="1:10" x14ac:dyDescent="0.15">
      <c r="A422" s="92"/>
      <c r="B422" s="93"/>
      <c r="C422" s="93"/>
      <c r="D422" s="94"/>
      <c r="E422" s="93"/>
      <c r="F422" s="93"/>
      <c r="G422" s="93"/>
      <c r="H422" s="93"/>
      <c r="I422" s="93"/>
      <c r="J422" s="81"/>
    </row>
    <row r="423" spans="1:10" x14ac:dyDescent="0.15">
      <c r="A423" s="92"/>
      <c r="B423" s="93"/>
      <c r="C423" s="93"/>
      <c r="D423" s="94"/>
      <c r="E423" s="93"/>
      <c r="F423" s="93"/>
      <c r="G423" s="93"/>
      <c r="H423" s="93"/>
      <c r="I423" s="93"/>
      <c r="J423" s="81"/>
    </row>
    <row r="424" spans="1:10" x14ac:dyDescent="0.15">
      <c r="A424" s="92"/>
      <c r="B424" s="93"/>
      <c r="C424" s="93"/>
      <c r="D424" s="94"/>
      <c r="E424" s="93"/>
      <c r="F424" s="93"/>
      <c r="G424" s="93"/>
      <c r="H424" s="93"/>
      <c r="I424" s="93"/>
      <c r="J424" s="81"/>
    </row>
    <row r="425" spans="1:10" x14ac:dyDescent="0.15">
      <c r="A425" s="92"/>
      <c r="B425" s="93"/>
      <c r="C425" s="93"/>
      <c r="D425" s="94"/>
      <c r="E425" s="93"/>
      <c r="F425" s="93"/>
      <c r="G425" s="93"/>
      <c r="H425" s="93"/>
      <c r="I425" s="93"/>
      <c r="J425" s="81"/>
    </row>
    <row r="426" spans="1:10" x14ac:dyDescent="0.15">
      <c r="A426" s="92"/>
      <c r="B426" s="93"/>
      <c r="C426" s="93"/>
      <c r="D426" s="94"/>
      <c r="E426" s="93"/>
      <c r="F426" s="93"/>
      <c r="G426" s="93"/>
      <c r="H426" s="93"/>
      <c r="I426" s="93"/>
      <c r="J426" s="81"/>
    </row>
    <row r="427" spans="1:10" x14ac:dyDescent="0.15">
      <c r="A427" s="92"/>
      <c r="B427" s="93"/>
      <c r="C427" s="93"/>
      <c r="D427" s="94"/>
      <c r="E427" s="93"/>
      <c r="F427" s="93"/>
      <c r="G427" s="93"/>
      <c r="H427" s="93"/>
      <c r="I427" s="93"/>
      <c r="J427" s="81"/>
    </row>
    <row r="428" spans="1:10" x14ac:dyDescent="0.15">
      <c r="A428" s="92"/>
      <c r="B428" s="93"/>
      <c r="C428" s="93"/>
      <c r="D428" s="94"/>
      <c r="E428" s="93"/>
      <c r="F428" s="93"/>
      <c r="G428" s="93"/>
      <c r="H428" s="93"/>
      <c r="I428" s="93"/>
      <c r="J428" s="81"/>
    </row>
    <row r="429" spans="1:10" x14ac:dyDescent="0.15">
      <c r="A429" s="92"/>
      <c r="B429" s="93"/>
      <c r="C429" s="93"/>
      <c r="D429" s="94"/>
      <c r="E429" s="93"/>
      <c r="F429" s="93"/>
      <c r="G429" s="93"/>
      <c r="H429" s="93"/>
      <c r="I429" s="93"/>
      <c r="J429" s="81"/>
    </row>
    <row r="430" spans="1:10" x14ac:dyDescent="0.15">
      <c r="A430" s="92"/>
      <c r="B430" s="93"/>
      <c r="C430" s="93"/>
      <c r="D430" s="94"/>
      <c r="E430" s="93"/>
      <c r="F430" s="93"/>
      <c r="G430" s="93"/>
      <c r="H430" s="93"/>
      <c r="I430" s="93"/>
      <c r="J430" s="81"/>
    </row>
    <row r="431" spans="1:10" x14ac:dyDescent="0.15">
      <c r="A431" s="92"/>
      <c r="B431" s="93"/>
      <c r="C431" s="93"/>
      <c r="D431" s="94"/>
      <c r="E431" s="93"/>
      <c r="F431" s="93"/>
      <c r="G431" s="93"/>
      <c r="H431" s="93"/>
      <c r="I431" s="93"/>
      <c r="J431" s="81"/>
    </row>
    <row r="432" spans="1:10" x14ac:dyDescent="0.15">
      <c r="A432" s="92"/>
      <c r="B432" s="93"/>
      <c r="C432" s="93"/>
      <c r="D432" s="94"/>
      <c r="E432" s="93"/>
      <c r="F432" s="93"/>
      <c r="G432" s="93"/>
      <c r="H432" s="93"/>
      <c r="I432" s="93"/>
      <c r="J432" s="81"/>
    </row>
    <row r="433" spans="1:10" x14ac:dyDescent="0.15">
      <c r="A433" s="92"/>
      <c r="B433" s="93"/>
      <c r="C433" s="93"/>
      <c r="D433" s="94"/>
      <c r="E433" s="93"/>
      <c r="F433" s="93"/>
      <c r="G433" s="93"/>
      <c r="H433" s="93"/>
      <c r="I433" s="93"/>
      <c r="J433" s="81"/>
    </row>
    <row r="434" spans="1:10" x14ac:dyDescent="0.15">
      <c r="A434" s="92"/>
      <c r="B434" s="93"/>
      <c r="C434" s="93"/>
      <c r="D434" s="94"/>
      <c r="E434" s="93"/>
      <c r="F434" s="93"/>
      <c r="G434" s="93"/>
      <c r="H434" s="93"/>
      <c r="I434" s="93"/>
      <c r="J434" s="81"/>
    </row>
    <row r="435" spans="1:10" x14ac:dyDescent="0.15">
      <c r="A435" s="92"/>
      <c r="B435" s="93"/>
      <c r="C435" s="93"/>
      <c r="D435" s="94"/>
      <c r="E435" s="93"/>
      <c r="F435" s="93"/>
      <c r="G435" s="93"/>
      <c r="H435" s="93"/>
      <c r="I435" s="93"/>
      <c r="J435" s="81"/>
    </row>
    <row r="436" spans="1:10" x14ac:dyDescent="0.15">
      <c r="A436" s="92"/>
      <c r="B436" s="93"/>
      <c r="C436" s="93"/>
      <c r="D436" s="94"/>
      <c r="E436" s="93"/>
      <c r="F436" s="93"/>
      <c r="G436" s="93"/>
      <c r="H436" s="93"/>
      <c r="I436" s="93"/>
      <c r="J436" s="81"/>
    </row>
    <row r="437" spans="1:10" x14ac:dyDescent="0.15">
      <c r="A437" s="92"/>
      <c r="B437" s="93"/>
      <c r="C437" s="93"/>
      <c r="D437" s="94"/>
      <c r="E437" s="93"/>
      <c r="F437" s="93"/>
      <c r="G437" s="93"/>
      <c r="H437" s="93"/>
      <c r="I437" s="93"/>
      <c r="J437" s="81"/>
    </row>
    <row r="438" spans="1:10" x14ac:dyDescent="0.15">
      <c r="A438" s="92"/>
      <c r="B438" s="93"/>
      <c r="C438" s="93"/>
      <c r="D438" s="94"/>
      <c r="E438" s="93"/>
      <c r="F438" s="93"/>
      <c r="G438" s="93"/>
      <c r="H438" s="93"/>
      <c r="I438" s="93"/>
      <c r="J438" s="81"/>
    </row>
    <row r="439" spans="1:10" x14ac:dyDescent="0.15">
      <c r="A439" s="92"/>
      <c r="B439" s="93"/>
      <c r="C439" s="93"/>
      <c r="D439" s="94"/>
      <c r="E439" s="93"/>
      <c r="F439" s="93"/>
      <c r="G439" s="93"/>
      <c r="H439" s="93"/>
      <c r="I439" s="93"/>
      <c r="J439" s="81"/>
    </row>
    <row r="440" spans="1:10" x14ac:dyDescent="0.15">
      <c r="A440" s="92"/>
      <c r="B440" s="93"/>
      <c r="C440" s="93"/>
      <c r="D440" s="94"/>
      <c r="E440" s="93"/>
      <c r="F440" s="93"/>
      <c r="G440" s="93"/>
      <c r="H440" s="93"/>
      <c r="I440" s="93"/>
      <c r="J440" s="81"/>
    </row>
    <row r="441" spans="1:10" x14ac:dyDescent="0.15">
      <c r="A441" s="92"/>
      <c r="B441" s="93"/>
      <c r="C441" s="93"/>
      <c r="D441" s="94"/>
      <c r="E441" s="93"/>
      <c r="F441" s="93"/>
      <c r="G441" s="93"/>
      <c r="H441" s="93"/>
      <c r="I441" s="93"/>
      <c r="J441" s="81"/>
    </row>
    <row r="442" spans="1:10" x14ac:dyDescent="0.15">
      <c r="A442" s="92"/>
      <c r="B442" s="93"/>
      <c r="C442" s="93"/>
      <c r="D442" s="94"/>
      <c r="E442" s="93"/>
      <c r="F442" s="93"/>
      <c r="G442" s="93"/>
      <c r="H442" s="93"/>
      <c r="I442" s="93"/>
      <c r="J442" s="81"/>
    </row>
    <row r="443" spans="1:10" x14ac:dyDescent="0.15">
      <c r="A443" s="92"/>
      <c r="B443" s="93"/>
      <c r="C443" s="93"/>
      <c r="D443" s="94"/>
      <c r="E443" s="93"/>
      <c r="F443" s="93"/>
      <c r="G443" s="93"/>
      <c r="H443" s="93"/>
      <c r="I443" s="93"/>
      <c r="J443" s="81"/>
    </row>
    <row r="444" spans="1:10" x14ac:dyDescent="0.15">
      <c r="A444" s="92"/>
      <c r="B444" s="93"/>
      <c r="C444" s="93"/>
      <c r="D444" s="94"/>
      <c r="E444" s="93"/>
      <c r="F444" s="93"/>
      <c r="G444" s="93"/>
      <c r="H444" s="93"/>
      <c r="I444" s="93"/>
      <c r="J444" s="81"/>
    </row>
    <row r="445" spans="1:10" x14ac:dyDescent="0.15">
      <c r="A445" s="92"/>
      <c r="B445" s="93"/>
      <c r="C445" s="93"/>
      <c r="D445" s="94"/>
      <c r="E445" s="93"/>
      <c r="F445" s="93"/>
      <c r="G445" s="93"/>
      <c r="H445" s="93"/>
      <c r="I445" s="93"/>
      <c r="J445" s="81"/>
    </row>
    <row r="446" spans="1:10" x14ac:dyDescent="0.15">
      <c r="A446" s="92"/>
      <c r="B446" s="93"/>
      <c r="C446" s="93"/>
      <c r="D446" s="94"/>
      <c r="E446" s="93"/>
      <c r="F446" s="93"/>
      <c r="G446" s="93"/>
      <c r="H446" s="93"/>
      <c r="I446" s="93"/>
      <c r="J446" s="81"/>
    </row>
    <row r="447" spans="1:10" x14ac:dyDescent="0.15">
      <c r="A447" s="92"/>
      <c r="B447" s="93"/>
      <c r="C447" s="93"/>
      <c r="D447" s="94"/>
      <c r="E447" s="93"/>
      <c r="F447" s="93"/>
      <c r="G447" s="93"/>
      <c r="H447" s="93"/>
      <c r="I447" s="93"/>
      <c r="J447" s="81"/>
    </row>
    <row r="448" spans="1:10" x14ac:dyDescent="0.15">
      <c r="A448" s="92"/>
      <c r="B448" s="93"/>
      <c r="C448" s="93"/>
      <c r="D448" s="94"/>
      <c r="E448" s="93"/>
      <c r="F448" s="93"/>
      <c r="G448" s="93"/>
      <c r="H448" s="93"/>
      <c r="I448" s="93"/>
      <c r="J448" s="81"/>
    </row>
    <row r="449" spans="1:10" x14ac:dyDescent="0.15">
      <c r="A449" s="92"/>
      <c r="B449" s="93"/>
      <c r="C449" s="93"/>
      <c r="D449" s="94"/>
      <c r="E449" s="93"/>
      <c r="F449" s="93"/>
      <c r="G449" s="93"/>
      <c r="H449" s="93"/>
      <c r="I449" s="93"/>
      <c r="J449" s="81"/>
    </row>
    <row r="450" spans="1:10" x14ac:dyDescent="0.15">
      <c r="A450" s="92"/>
      <c r="B450" s="93"/>
      <c r="C450" s="93"/>
      <c r="D450" s="94"/>
      <c r="E450" s="93"/>
      <c r="F450" s="93"/>
      <c r="G450" s="93"/>
      <c r="H450" s="93"/>
      <c r="I450" s="93"/>
      <c r="J450" s="81"/>
    </row>
    <row r="451" spans="1:10" x14ac:dyDescent="0.15">
      <c r="A451" s="92"/>
      <c r="B451" s="93"/>
      <c r="C451" s="93"/>
      <c r="D451" s="94"/>
      <c r="E451" s="93"/>
      <c r="F451" s="93"/>
      <c r="G451" s="93"/>
      <c r="H451" s="93"/>
      <c r="I451" s="93"/>
      <c r="J451" s="81"/>
    </row>
    <row r="452" spans="1:10" x14ac:dyDescent="0.15">
      <c r="A452" s="92"/>
      <c r="B452" s="93"/>
      <c r="C452" s="93"/>
      <c r="D452" s="94"/>
      <c r="E452" s="93"/>
      <c r="F452" s="93"/>
      <c r="G452" s="93"/>
      <c r="H452" s="93"/>
      <c r="I452" s="93"/>
      <c r="J452" s="81"/>
    </row>
    <row r="453" spans="1:10" x14ac:dyDescent="0.15">
      <c r="A453" s="92"/>
      <c r="B453" s="93"/>
      <c r="C453" s="93"/>
      <c r="D453" s="94"/>
      <c r="E453" s="93"/>
      <c r="F453" s="93"/>
      <c r="G453" s="93"/>
      <c r="H453" s="93"/>
      <c r="I453" s="93"/>
      <c r="J453" s="81"/>
    </row>
    <row r="454" spans="1:10" x14ac:dyDescent="0.15">
      <c r="A454" s="92"/>
      <c r="B454" s="93"/>
      <c r="C454" s="93"/>
      <c r="D454" s="94"/>
      <c r="E454" s="93"/>
      <c r="F454" s="93"/>
      <c r="G454" s="93"/>
      <c r="H454" s="93"/>
      <c r="I454" s="93"/>
      <c r="J454" s="81"/>
    </row>
    <row r="455" spans="1:10" x14ac:dyDescent="0.15">
      <c r="A455" s="92"/>
      <c r="B455" s="93"/>
      <c r="C455" s="93"/>
      <c r="D455" s="94"/>
      <c r="E455" s="93"/>
      <c r="F455" s="93"/>
      <c r="G455" s="93"/>
      <c r="H455" s="93"/>
      <c r="I455" s="93"/>
      <c r="J455" s="81"/>
    </row>
    <row r="456" spans="1:10" x14ac:dyDescent="0.15">
      <c r="A456" s="92"/>
      <c r="B456" s="93"/>
      <c r="C456" s="93"/>
      <c r="D456" s="94"/>
      <c r="E456" s="93"/>
      <c r="F456" s="93"/>
      <c r="G456" s="93"/>
      <c r="H456" s="93"/>
      <c r="I456" s="93"/>
      <c r="J456" s="81"/>
    </row>
    <row r="457" spans="1:10" x14ac:dyDescent="0.15">
      <c r="A457" s="92"/>
      <c r="B457" s="93"/>
      <c r="C457" s="93"/>
      <c r="D457" s="94"/>
      <c r="E457" s="93"/>
      <c r="F457" s="93"/>
      <c r="G457" s="93"/>
      <c r="H457" s="93"/>
      <c r="I457" s="93"/>
      <c r="J457" s="81"/>
    </row>
    <row r="458" spans="1:10" x14ac:dyDescent="0.15">
      <c r="A458" s="92"/>
      <c r="B458" s="93"/>
      <c r="C458" s="93"/>
      <c r="D458" s="94"/>
      <c r="E458" s="93"/>
      <c r="F458" s="93"/>
      <c r="G458" s="93"/>
      <c r="H458" s="93"/>
      <c r="I458" s="93"/>
      <c r="J458" s="81"/>
    </row>
    <row r="459" spans="1:10" x14ac:dyDescent="0.15">
      <c r="A459" s="92"/>
      <c r="B459" s="93"/>
      <c r="C459" s="93"/>
      <c r="D459" s="94"/>
      <c r="E459" s="93"/>
      <c r="F459" s="93"/>
      <c r="G459" s="93"/>
      <c r="H459" s="93"/>
      <c r="I459" s="93"/>
      <c r="J459" s="81"/>
    </row>
    <row r="460" spans="1:10" x14ac:dyDescent="0.15">
      <c r="A460" s="92"/>
      <c r="B460" s="93"/>
      <c r="C460" s="93"/>
      <c r="D460" s="94"/>
      <c r="E460" s="93"/>
      <c r="F460" s="93"/>
      <c r="G460" s="93"/>
      <c r="H460" s="93"/>
      <c r="I460" s="93"/>
      <c r="J460" s="81"/>
    </row>
    <row r="461" spans="1:10" x14ac:dyDescent="0.15">
      <c r="A461" s="92"/>
      <c r="B461" s="93"/>
      <c r="C461" s="93"/>
      <c r="D461" s="94"/>
      <c r="E461" s="93"/>
      <c r="F461" s="93"/>
      <c r="G461" s="93"/>
      <c r="H461" s="93"/>
      <c r="I461" s="93"/>
      <c r="J461" s="81"/>
    </row>
    <row r="462" spans="1:10" x14ac:dyDescent="0.15">
      <c r="A462" s="92"/>
      <c r="B462" s="93"/>
      <c r="C462" s="93"/>
      <c r="D462" s="94"/>
      <c r="E462" s="93"/>
      <c r="F462" s="93"/>
      <c r="G462" s="93"/>
      <c r="H462" s="93"/>
      <c r="I462" s="93"/>
      <c r="J462" s="81"/>
    </row>
    <row r="463" spans="1:10" x14ac:dyDescent="0.15">
      <c r="A463" s="92"/>
      <c r="B463" s="93"/>
      <c r="C463" s="93"/>
      <c r="D463" s="94"/>
      <c r="E463" s="93"/>
      <c r="F463" s="93"/>
      <c r="G463" s="93"/>
      <c r="H463" s="93"/>
      <c r="I463" s="93"/>
      <c r="J463" s="81"/>
    </row>
    <row r="464" spans="1:10" x14ac:dyDescent="0.15">
      <c r="A464" s="92"/>
      <c r="B464" s="93"/>
      <c r="C464" s="93"/>
      <c r="D464" s="94"/>
      <c r="E464" s="93"/>
      <c r="F464" s="93"/>
      <c r="G464" s="93"/>
      <c r="H464" s="93"/>
      <c r="I464" s="93"/>
      <c r="J464" s="81"/>
    </row>
    <row r="465" spans="1:10" x14ac:dyDescent="0.15">
      <c r="A465" s="92"/>
      <c r="B465" s="93"/>
      <c r="C465" s="93"/>
      <c r="D465" s="94"/>
      <c r="E465" s="93"/>
      <c r="F465" s="93"/>
      <c r="G465" s="93"/>
      <c r="H465" s="93"/>
      <c r="I465" s="93"/>
      <c r="J465" s="81"/>
    </row>
    <row r="466" spans="1:10" x14ac:dyDescent="0.15">
      <c r="A466" s="92"/>
      <c r="B466" s="93"/>
      <c r="C466" s="93"/>
      <c r="D466" s="94"/>
      <c r="E466" s="93"/>
      <c r="F466" s="93"/>
      <c r="G466" s="93"/>
      <c r="H466" s="93"/>
      <c r="I466" s="93"/>
      <c r="J466" s="81"/>
    </row>
    <row r="467" spans="1:10" x14ac:dyDescent="0.15">
      <c r="A467" s="92"/>
      <c r="B467" s="93"/>
      <c r="C467" s="93"/>
      <c r="D467" s="94"/>
      <c r="E467" s="93"/>
      <c r="F467" s="93"/>
      <c r="G467" s="93"/>
      <c r="H467" s="93"/>
      <c r="I467" s="93"/>
      <c r="J467" s="81"/>
    </row>
    <row r="468" spans="1:10" x14ac:dyDescent="0.15">
      <c r="A468" s="92"/>
      <c r="B468" s="93"/>
      <c r="C468" s="93"/>
      <c r="D468" s="94"/>
      <c r="E468" s="93"/>
      <c r="F468" s="93"/>
      <c r="G468" s="93"/>
      <c r="H468" s="93"/>
      <c r="I468" s="93"/>
      <c r="J468" s="81"/>
    </row>
    <row r="469" spans="1:10" x14ac:dyDescent="0.15">
      <c r="A469" s="92"/>
      <c r="B469" s="93"/>
      <c r="C469" s="93"/>
      <c r="D469" s="94"/>
      <c r="E469" s="93"/>
      <c r="F469" s="93"/>
      <c r="G469" s="93"/>
      <c r="H469" s="93"/>
      <c r="I469" s="93"/>
      <c r="J469" s="81"/>
    </row>
    <row r="470" spans="1:10" x14ac:dyDescent="0.15">
      <c r="A470" s="92"/>
      <c r="B470" s="93"/>
      <c r="C470" s="93"/>
      <c r="D470" s="94"/>
      <c r="E470" s="93"/>
      <c r="F470" s="93"/>
      <c r="G470" s="93"/>
      <c r="H470" s="93"/>
      <c r="I470" s="93"/>
      <c r="J470" s="81"/>
    </row>
    <row r="471" spans="1:10" x14ac:dyDescent="0.15">
      <c r="A471" s="92"/>
      <c r="B471" s="93"/>
      <c r="C471" s="93"/>
      <c r="D471" s="94"/>
      <c r="E471" s="93"/>
      <c r="F471" s="93"/>
      <c r="G471" s="93"/>
      <c r="H471" s="93"/>
      <c r="I471" s="93"/>
      <c r="J471" s="81"/>
    </row>
    <row r="472" spans="1:10" x14ac:dyDescent="0.15">
      <c r="A472" s="92"/>
      <c r="B472" s="93"/>
      <c r="C472" s="93"/>
      <c r="D472" s="94"/>
      <c r="E472" s="93"/>
      <c r="F472" s="93"/>
      <c r="G472" s="93"/>
      <c r="H472" s="93"/>
      <c r="I472" s="93"/>
      <c r="J472" s="81"/>
    </row>
    <row r="473" spans="1:10" x14ac:dyDescent="0.15">
      <c r="A473" s="92"/>
      <c r="B473" s="93"/>
      <c r="C473" s="93"/>
      <c r="D473" s="94"/>
      <c r="E473" s="93"/>
      <c r="F473" s="93"/>
      <c r="G473" s="93"/>
      <c r="H473" s="93"/>
      <c r="I473" s="93"/>
      <c r="J473" s="81"/>
    </row>
    <row r="474" spans="1:10" x14ac:dyDescent="0.15">
      <c r="A474" s="92"/>
      <c r="B474" s="93"/>
      <c r="C474" s="93"/>
      <c r="D474" s="94"/>
      <c r="E474" s="93"/>
      <c r="F474" s="93"/>
      <c r="G474" s="93"/>
      <c r="H474" s="93"/>
      <c r="I474" s="93"/>
      <c r="J474" s="81"/>
    </row>
    <row r="475" spans="1:10" x14ac:dyDescent="0.15">
      <c r="A475" s="92"/>
      <c r="B475" s="93"/>
      <c r="C475" s="93"/>
      <c r="D475" s="94"/>
      <c r="E475" s="93"/>
      <c r="F475" s="93"/>
      <c r="G475" s="93"/>
      <c r="H475" s="93"/>
      <c r="I475" s="93"/>
      <c r="J475" s="81"/>
    </row>
    <row r="476" spans="1:10" x14ac:dyDescent="0.15">
      <c r="A476" s="92"/>
      <c r="B476" s="93"/>
      <c r="C476" s="93"/>
      <c r="D476" s="94"/>
      <c r="E476" s="93"/>
      <c r="F476" s="93"/>
      <c r="G476" s="93"/>
      <c r="H476" s="93"/>
      <c r="I476" s="93"/>
      <c r="J476" s="81"/>
    </row>
    <row r="477" spans="1:10" x14ac:dyDescent="0.15">
      <c r="A477" s="92"/>
      <c r="B477" s="93"/>
      <c r="C477" s="93"/>
      <c r="D477" s="94"/>
      <c r="E477" s="93"/>
      <c r="F477" s="93"/>
      <c r="G477" s="93"/>
      <c r="H477" s="93"/>
      <c r="I477" s="93"/>
      <c r="J477" s="81"/>
    </row>
    <row r="478" spans="1:10" x14ac:dyDescent="0.15">
      <c r="A478" s="92"/>
      <c r="B478" s="93"/>
      <c r="C478" s="93"/>
      <c r="D478" s="94"/>
      <c r="E478" s="93"/>
      <c r="F478" s="93"/>
      <c r="G478" s="93"/>
      <c r="H478" s="93"/>
      <c r="I478" s="93"/>
      <c r="J478" s="81"/>
    </row>
    <row r="479" spans="1:10" x14ac:dyDescent="0.15">
      <c r="A479" s="92"/>
      <c r="B479" s="93"/>
      <c r="C479" s="93"/>
      <c r="D479" s="94"/>
      <c r="E479" s="93"/>
      <c r="F479" s="93"/>
      <c r="G479" s="93"/>
      <c r="H479" s="93"/>
      <c r="I479" s="93"/>
      <c r="J479" s="81"/>
    </row>
    <row r="480" spans="1:10" x14ac:dyDescent="0.15">
      <c r="A480" s="92"/>
      <c r="B480" s="93"/>
      <c r="C480" s="93"/>
      <c r="D480" s="94"/>
      <c r="E480" s="93"/>
      <c r="F480" s="93"/>
      <c r="G480" s="93"/>
      <c r="H480" s="93"/>
      <c r="I480" s="93"/>
      <c r="J480" s="81"/>
    </row>
    <row r="481" spans="1:10" x14ac:dyDescent="0.15">
      <c r="A481" s="92"/>
      <c r="B481" s="93"/>
      <c r="C481" s="93"/>
      <c r="D481" s="94"/>
      <c r="E481" s="93"/>
      <c r="F481" s="93"/>
      <c r="G481" s="93"/>
      <c r="H481" s="93"/>
      <c r="I481" s="93"/>
      <c r="J481" s="81"/>
    </row>
    <row r="482" spans="1:10" x14ac:dyDescent="0.15">
      <c r="A482" s="92"/>
      <c r="B482" s="93"/>
      <c r="C482" s="93"/>
      <c r="D482" s="94"/>
      <c r="E482" s="93"/>
      <c r="F482" s="93"/>
      <c r="G482" s="93"/>
      <c r="H482" s="93"/>
      <c r="I482" s="93"/>
      <c r="J482" s="81"/>
    </row>
    <row r="483" spans="1:10" x14ac:dyDescent="0.15">
      <c r="A483" s="92"/>
      <c r="B483" s="93"/>
      <c r="C483" s="93"/>
      <c r="D483" s="94"/>
      <c r="E483" s="93"/>
      <c r="F483" s="93"/>
      <c r="G483" s="93"/>
      <c r="H483" s="93"/>
      <c r="I483" s="93"/>
      <c r="J483" s="81"/>
    </row>
    <row r="484" spans="1:10" x14ac:dyDescent="0.15">
      <c r="A484" s="92"/>
      <c r="B484" s="93"/>
      <c r="C484" s="93"/>
      <c r="D484" s="94"/>
      <c r="E484" s="93"/>
      <c r="F484" s="93"/>
      <c r="G484" s="93"/>
      <c r="H484" s="93"/>
      <c r="I484" s="93"/>
      <c r="J484" s="81"/>
    </row>
    <row r="485" spans="1:10" x14ac:dyDescent="0.15">
      <c r="A485" s="92"/>
      <c r="B485" s="93"/>
      <c r="C485" s="93"/>
      <c r="D485" s="94"/>
      <c r="E485" s="93"/>
      <c r="F485" s="93"/>
      <c r="G485" s="93"/>
      <c r="H485" s="93"/>
      <c r="I485" s="93"/>
      <c r="J485" s="81"/>
    </row>
    <row r="486" spans="1:10" x14ac:dyDescent="0.15">
      <c r="A486" s="92"/>
      <c r="B486" s="93"/>
      <c r="C486" s="93"/>
      <c r="D486" s="94"/>
      <c r="E486" s="93"/>
      <c r="F486" s="93"/>
      <c r="G486" s="93"/>
      <c r="H486" s="93"/>
      <c r="I486" s="93"/>
      <c r="J486" s="81"/>
    </row>
    <row r="487" spans="1:10" x14ac:dyDescent="0.15">
      <c r="A487" s="92"/>
      <c r="B487" s="93"/>
      <c r="C487" s="93"/>
      <c r="D487" s="94"/>
      <c r="E487" s="93"/>
      <c r="F487" s="93"/>
      <c r="G487" s="93"/>
      <c r="H487" s="93"/>
      <c r="I487" s="93"/>
      <c r="J487" s="81"/>
    </row>
    <row r="488" spans="1:10" x14ac:dyDescent="0.15">
      <c r="A488" s="92"/>
      <c r="B488" s="93"/>
      <c r="C488" s="93"/>
      <c r="D488" s="94"/>
      <c r="E488" s="93"/>
      <c r="F488" s="93"/>
      <c r="G488" s="93"/>
      <c r="H488" s="93"/>
      <c r="I488" s="93"/>
      <c r="J488" s="81"/>
    </row>
    <row r="489" spans="1:10" x14ac:dyDescent="0.15">
      <c r="A489" s="92"/>
      <c r="B489" s="93"/>
      <c r="C489" s="93"/>
      <c r="D489" s="94"/>
      <c r="E489" s="93"/>
      <c r="F489" s="93"/>
      <c r="G489" s="93"/>
      <c r="H489" s="93"/>
      <c r="I489" s="93"/>
      <c r="J489" s="81"/>
    </row>
    <row r="490" spans="1:10" x14ac:dyDescent="0.15">
      <c r="A490" s="92"/>
      <c r="B490" s="93"/>
      <c r="C490" s="93"/>
      <c r="D490" s="94"/>
      <c r="E490" s="93"/>
      <c r="F490" s="93"/>
      <c r="G490" s="93"/>
      <c r="H490" s="93"/>
      <c r="I490" s="93"/>
      <c r="J490" s="81"/>
    </row>
    <row r="491" spans="1:10" x14ac:dyDescent="0.15">
      <c r="A491" s="92"/>
      <c r="B491" s="93"/>
      <c r="C491" s="93"/>
      <c r="D491" s="94"/>
      <c r="E491" s="93"/>
      <c r="F491" s="93"/>
      <c r="G491" s="93"/>
      <c r="H491" s="93"/>
      <c r="I491" s="93"/>
      <c r="J491" s="81"/>
    </row>
    <row r="492" spans="1:10" x14ac:dyDescent="0.15">
      <c r="A492" s="92"/>
      <c r="B492" s="93"/>
      <c r="C492" s="93"/>
      <c r="D492" s="94"/>
      <c r="E492" s="93"/>
      <c r="F492" s="93"/>
      <c r="G492" s="93"/>
      <c r="H492" s="93"/>
      <c r="I492" s="93"/>
      <c r="J492" s="81"/>
    </row>
    <row r="493" spans="1:10" x14ac:dyDescent="0.15">
      <c r="A493" s="92"/>
      <c r="B493" s="93"/>
      <c r="C493" s="93"/>
      <c r="D493" s="94"/>
      <c r="E493" s="93"/>
      <c r="F493" s="93"/>
      <c r="G493" s="93"/>
      <c r="H493" s="93"/>
      <c r="I493" s="93"/>
      <c r="J493" s="81"/>
    </row>
    <row r="494" spans="1:10" x14ac:dyDescent="0.15">
      <c r="A494" s="92"/>
      <c r="B494" s="93"/>
      <c r="C494" s="93"/>
      <c r="D494" s="94"/>
      <c r="E494" s="93"/>
      <c r="F494" s="93"/>
      <c r="G494" s="93"/>
      <c r="H494" s="93"/>
      <c r="I494" s="93"/>
      <c r="J494" s="81"/>
    </row>
    <row r="495" spans="1:10" x14ac:dyDescent="0.15">
      <c r="A495" s="92"/>
      <c r="B495" s="93"/>
      <c r="C495" s="93"/>
      <c r="D495" s="94"/>
      <c r="E495" s="93"/>
      <c r="F495" s="93"/>
      <c r="G495" s="93"/>
      <c r="H495" s="93"/>
      <c r="I495" s="93"/>
      <c r="J495" s="81"/>
    </row>
    <row r="496" spans="1:10" x14ac:dyDescent="0.15">
      <c r="A496" s="92"/>
      <c r="B496" s="93"/>
      <c r="C496" s="93"/>
      <c r="D496" s="94"/>
      <c r="E496" s="93"/>
      <c r="F496" s="93"/>
      <c r="G496" s="93"/>
      <c r="H496" s="93"/>
      <c r="I496" s="93"/>
      <c r="J496" s="81"/>
    </row>
    <row r="497" spans="1:10" x14ac:dyDescent="0.15">
      <c r="A497" s="92"/>
      <c r="B497" s="93"/>
      <c r="C497" s="93"/>
      <c r="D497" s="94"/>
      <c r="E497" s="93"/>
      <c r="F497" s="93"/>
      <c r="G497" s="93"/>
      <c r="H497" s="93"/>
      <c r="I497" s="93"/>
      <c r="J497" s="81"/>
    </row>
    <row r="498" spans="1:10" x14ac:dyDescent="0.15">
      <c r="A498" s="92"/>
      <c r="B498" s="93"/>
      <c r="C498" s="93"/>
      <c r="D498" s="94"/>
      <c r="E498" s="93"/>
      <c r="F498" s="93"/>
      <c r="G498" s="93"/>
      <c r="H498" s="93"/>
      <c r="I498" s="93"/>
      <c r="J498" s="81"/>
    </row>
    <row r="499" spans="1:10" x14ac:dyDescent="0.15">
      <c r="A499" s="92"/>
      <c r="B499" s="93"/>
      <c r="C499" s="93"/>
      <c r="D499" s="94"/>
      <c r="E499" s="93"/>
      <c r="F499" s="93"/>
      <c r="G499" s="93"/>
      <c r="H499" s="93"/>
      <c r="I499" s="93"/>
      <c r="J499" s="81"/>
    </row>
    <row r="500" spans="1:10" x14ac:dyDescent="0.15">
      <c r="A500" s="92"/>
      <c r="B500" s="93"/>
      <c r="C500" s="93"/>
      <c r="D500" s="94"/>
      <c r="E500" s="93"/>
      <c r="F500" s="93"/>
      <c r="G500" s="93"/>
      <c r="H500" s="93"/>
      <c r="I500" s="93"/>
      <c r="J500" s="81"/>
    </row>
    <row r="501" spans="1:10" x14ac:dyDescent="0.15">
      <c r="A501" s="92"/>
      <c r="B501" s="93"/>
      <c r="C501" s="93"/>
      <c r="D501" s="94"/>
      <c r="E501" s="93"/>
      <c r="F501" s="93"/>
      <c r="G501" s="93"/>
      <c r="H501" s="93"/>
      <c r="I501" s="93"/>
      <c r="J501" s="81"/>
    </row>
    <row r="502" spans="1:10" x14ac:dyDescent="0.15">
      <c r="A502" s="92"/>
      <c r="B502" s="93"/>
      <c r="C502" s="93"/>
      <c r="D502" s="94"/>
      <c r="E502" s="93"/>
      <c r="F502" s="93"/>
      <c r="G502" s="93"/>
      <c r="H502" s="93"/>
      <c r="I502" s="93"/>
      <c r="J502" s="81"/>
    </row>
    <row r="503" spans="1:10" x14ac:dyDescent="0.15">
      <c r="A503" s="92"/>
      <c r="B503" s="93"/>
      <c r="C503" s="93"/>
      <c r="D503" s="94"/>
      <c r="E503" s="93"/>
      <c r="F503" s="93"/>
      <c r="G503" s="93"/>
      <c r="H503" s="93"/>
      <c r="I503" s="93"/>
      <c r="J503" s="81"/>
    </row>
    <row r="504" spans="1:10" x14ac:dyDescent="0.15">
      <c r="A504" s="92"/>
      <c r="B504" s="93"/>
      <c r="C504" s="93"/>
      <c r="D504" s="94"/>
      <c r="E504" s="93"/>
      <c r="F504" s="93"/>
      <c r="G504" s="93"/>
      <c r="H504" s="93"/>
      <c r="I504" s="93"/>
      <c r="J504" s="81"/>
    </row>
    <row r="505" spans="1:10" x14ac:dyDescent="0.15">
      <c r="A505" s="92"/>
      <c r="B505" s="93"/>
      <c r="C505" s="93"/>
      <c r="D505" s="94"/>
      <c r="E505" s="93"/>
      <c r="F505" s="93"/>
      <c r="G505" s="93"/>
      <c r="H505" s="93"/>
      <c r="I505" s="93"/>
      <c r="J505" s="81"/>
    </row>
    <row r="506" spans="1:10" x14ac:dyDescent="0.15">
      <c r="A506" s="92"/>
      <c r="B506" s="93"/>
      <c r="C506" s="93"/>
      <c r="D506" s="94"/>
      <c r="E506" s="93"/>
      <c r="F506" s="93"/>
      <c r="G506" s="93"/>
      <c r="H506" s="93"/>
      <c r="I506" s="93"/>
      <c r="J506" s="81"/>
    </row>
    <row r="507" spans="1:10" x14ac:dyDescent="0.15">
      <c r="A507" s="92"/>
      <c r="B507" s="93"/>
      <c r="C507" s="93"/>
      <c r="D507" s="94"/>
      <c r="E507" s="93"/>
      <c r="F507" s="93"/>
      <c r="G507" s="93"/>
      <c r="H507" s="93"/>
      <c r="I507" s="93"/>
      <c r="J507" s="81"/>
    </row>
    <row r="508" spans="1:10" x14ac:dyDescent="0.15">
      <c r="A508" s="92"/>
      <c r="B508" s="93"/>
      <c r="C508" s="93"/>
      <c r="D508" s="94"/>
      <c r="E508" s="93"/>
      <c r="F508" s="93"/>
      <c r="G508" s="93"/>
      <c r="H508" s="93"/>
      <c r="I508" s="93"/>
      <c r="J508" s="81"/>
    </row>
    <row r="509" spans="1:10" x14ac:dyDescent="0.15">
      <c r="A509" s="92"/>
      <c r="B509" s="93"/>
      <c r="C509" s="93"/>
      <c r="D509" s="94"/>
      <c r="E509" s="93"/>
      <c r="F509" s="93"/>
      <c r="G509" s="93"/>
      <c r="H509" s="93"/>
      <c r="I509" s="93"/>
      <c r="J509" s="81"/>
    </row>
    <row r="510" spans="1:10" x14ac:dyDescent="0.15">
      <c r="A510" s="92"/>
      <c r="B510" s="93"/>
      <c r="C510" s="93"/>
      <c r="D510" s="94"/>
      <c r="E510" s="93"/>
      <c r="F510" s="93"/>
      <c r="G510" s="93"/>
      <c r="H510" s="93"/>
      <c r="I510" s="93"/>
      <c r="J510" s="81"/>
    </row>
    <row r="511" spans="1:10" x14ac:dyDescent="0.15">
      <c r="A511" s="92"/>
      <c r="B511" s="93"/>
      <c r="C511" s="93"/>
      <c r="D511" s="94"/>
      <c r="E511" s="93"/>
      <c r="F511" s="93"/>
      <c r="G511" s="93"/>
      <c r="H511" s="93"/>
      <c r="I511" s="93"/>
      <c r="J511" s="81"/>
    </row>
    <row r="512" spans="1:10" x14ac:dyDescent="0.15">
      <c r="A512" s="92"/>
      <c r="B512" s="93"/>
      <c r="C512" s="93"/>
      <c r="D512" s="94"/>
      <c r="E512" s="93"/>
      <c r="F512" s="93"/>
      <c r="G512" s="93"/>
      <c r="H512" s="93"/>
      <c r="I512" s="93"/>
      <c r="J512" s="81"/>
    </row>
    <row r="513" spans="1:10" x14ac:dyDescent="0.15">
      <c r="A513" s="92"/>
      <c r="B513" s="93"/>
      <c r="C513" s="93"/>
      <c r="D513" s="94"/>
      <c r="E513" s="93"/>
      <c r="F513" s="93"/>
      <c r="G513" s="93"/>
      <c r="H513" s="93"/>
      <c r="I513" s="93"/>
      <c r="J513" s="81"/>
    </row>
    <row r="514" spans="1:10" x14ac:dyDescent="0.15">
      <c r="A514" s="92"/>
      <c r="B514" s="93"/>
      <c r="C514" s="93"/>
      <c r="D514" s="94"/>
      <c r="E514" s="93"/>
      <c r="F514" s="93"/>
      <c r="G514" s="93"/>
      <c r="H514" s="93"/>
      <c r="I514" s="93"/>
      <c r="J514" s="81"/>
    </row>
    <row r="515" spans="1:10" x14ac:dyDescent="0.15">
      <c r="A515" s="92"/>
      <c r="B515" s="93"/>
      <c r="C515" s="93"/>
      <c r="D515" s="94"/>
      <c r="E515" s="93"/>
      <c r="F515" s="93"/>
      <c r="G515" s="93"/>
      <c r="H515" s="93"/>
      <c r="I515" s="93"/>
      <c r="J515" s="81"/>
    </row>
    <row r="516" spans="1:10" x14ac:dyDescent="0.15">
      <c r="A516" s="92"/>
      <c r="B516" s="93"/>
      <c r="C516" s="93"/>
      <c r="D516" s="94"/>
      <c r="E516" s="93"/>
      <c r="F516" s="93"/>
      <c r="G516" s="93"/>
      <c r="H516" s="93"/>
      <c r="I516" s="93"/>
      <c r="J516" s="81"/>
    </row>
    <row r="517" spans="1:10" x14ac:dyDescent="0.15">
      <c r="A517" s="92"/>
      <c r="B517" s="93"/>
      <c r="C517" s="93"/>
      <c r="D517" s="94"/>
      <c r="E517" s="93"/>
      <c r="F517" s="93"/>
      <c r="G517" s="93"/>
      <c r="H517" s="93"/>
      <c r="I517" s="93"/>
      <c r="J517" s="81"/>
    </row>
    <row r="518" spans="1:10" x14ac:dyDescent="0.15">
      <c r="A518" s="92"/>
      <c r="B518" s="93"/>
      <c r="C518" s="93"/>
      <c r="D518" s="94"/>
      <c r="E518" s="93"/>
      <c r="F518" s="93"/>
      <c r="G518" s="93"/>
      <c r="H518" s="93"/>
      <c r="I518" s="93"/>
      <c r="J518" s="81"/>
    </row>
    <row r="519" spans="1:10" x14ac:dyDescent="0.15">
      <c r="A519" s="92"/>
      <c r="B519" s="93"/>
      <c r="C519" s="93"/>
      <c r="D519" s="94"/>
      <c r="E519" s="93"/>
      <c r="F519" s="93"/>
      <c r="G519" s="93"/>
      <c r="H519" s="93"/>
      <c r="I519" s="93"/>
      <c r="J519" s="81"/>
    </row>
    <row r="520" spans="1:10" x14ac:dyDescent="0.15">
      <c r="A520" s="92"/>
      <c r="B520" s="93"/>
      <c r="C520" s="93"/>
      <c r="D520" s="94"/>
      <c r="E520" s="93"/>
      <c r="F520" s="93"/>
      <c r="G520" s="93"/>
      <c r="H520" s="93"/>
      <c r="I520" s="93"/>
      <c r="J520" s="81"/>
    </row>
    <row r="521" spans="1:10" x14ac:dyDescent="0.15">
      <c r="A521" s="92"/>
      <c r="B521" s="93"/>
      <c r="C521" s="93"/>
      <c r="D521" s="94"/>
      <c r="E521" s="93"/>
      <c r="F521" s="93"/>
      <c r="G521" s="93"/>
      <c r="H521" s="93"/>
      <c r="I521" s="93"/>
      <c r="J521" s="81"/>
    </row>
    <row r="522" spans="1:10" x14ac:dyDescent="0.15">
      <c r="A522" s="92"/>
      <c r="B522" s="93"/>
      <c r="C522" s="93"/>
      <c r="D522" s="94"/>
      <c r="E522" s="93"/>
      <c r="F522" s="93"/>
      <c r="G522" s="93"/>
      <c r="H522" s="93"/>
      <c r="I522" s="93"/>
      <c r="J522" s="81"/>
    </row>
    <row r="523" spans="1:10" x14ac:dyDescent="0.15">
      <c r="A523" s="92"/>
      <c r="B523" s="93"/>
      <c r="C523" s="93"/>
      <c r="D523" s="94"/>
      <c r="E523" s="93"/>
      <c r="F523" s="93"/>
      <c r="G523" s="93"/>
      <c r="H523" s="93"/>
      <c r="I523" s="93"/>
      <c r="J523" s="81"/>
    </row>
    <row r="524" spans="1:10" x14ac:dyDescent="0.15">
      <c r="A524" s="92"/>
      <c r="B524" s="93"/>
      <c r="C524" s="93"/>
      <c r="D524" s="94"/>
      <c r="E524" s="93"/>
      <c r="F524" s="93"/>
      <c r="G524" s="93"/>
      <c r="H524" s="93"/>
      <c r="I524" s="93"/>
      <c r="J524" s="81"/>
    </row>
    <row r="525" spans="1:10" x14ac:dyDescent="0.15">
      <c r="A525" s="92"/>
      <c r="B525" s="93"/>
      <c r="C525" s="93"/>
      <c r="D525" s="94"/>
      <c r="E525" s="93"/>
      <c r="F525" s="93"/>
      <c r="G525" s="93"/>
      <c r="H525" s="93"/>
      <c r="I525" s="93"/>
      <c r="J525" s="81"/>
    </row>
    <row r="526" spans="1:10" x14ac:dyDescent="0.15">
      <c r="A526" s="92"/>
      <c r="B526" s="93"/>
      <c r="C526" s="93"/>
      <c r="D526" s="94"/>
      <c r="E526" s="93"/>
      <c r="F526" s="93"/>
      <c r="G526" s="93"/>
      <c r="H526" s="93"/>
      <c r="I526" s="93"/>
      <c r="J526" s="81"/>
    </row>
    <row r="527" spans="1:10" x14ac:dyDescent="0.15">
      <c r="A527" s="92"/>
      <c r="B527" s="93"/>
      <c r="C527" s="93"/>
      <c r="D527" s="94"/>
      <c r="E527" s="93"/>
      <c r="F527" s="93"/>
      <c r="G527" s="93"/>
      <c r="H527" s="93"/>
      <c r="I527" s="93"/>
      <c r="J527" s="81"/>
    </row>
    <row r="528" spans="1:10" x14ac:dyDescent="0.15">
      <c r="A528" s="92"/>
      <c r="B528" s="93"/>
      <c r="C528" s="93"/>
      <c r="D528" s="94"/>
      <c r="E528" s="93"/>
      <c r="F528" s="93"/>
      <c r="G528" s="93"/>
      <c r="H528" s="93"/>
      <c r="I528" s="93"/>
      <c r="J528" s="81"/>
    </row>
    <row r="529" spans="1:10" x14ac:dyDescent="0.15">
      <c r="A529" s="92"/>
      <c r="B529" s="93"/>
      <c r="C529" s="93"/>
      <c r="D529" s="94"/>
      <c r="E529" s="93"/>
      <c r="F529" s="93"/>
      <c r="G529" s="93"/>
      <c r="H529" s="93"/>
      <c r="I529" s="93"/>
      <c r="J529" s="81"/>
    </row>
    <row r="530" spans="1:10" x14ac:dyDescent="0.15">
      <c r="A530" s="92"/>
      <c r="B530" s="93"/>
      <c r="C530" s="93"/>
      <c r="D530" s="94"/>
      <c r="E530" s="93"/>
      <c r="F530" s="93"/>
      <c r="G530" s="93"/>
      <c r="H530" s="93"/>
      <c r="I530" s="93"/>
      <c r="J530" s="81"/>
    </row>
    <row r="531" spans="1:10" x14ac:dyDescent="0.15">
      <c r="A531" s="92"/>
      <c r="B531" s="93"/>
      <c r="C531" s="93"/>
      <c r="D531" s="94"/>
      <c r="E531" s="93"/>
      <c r="F531" s="93"/>
      <c r="G531" s="93"/>
      <c r="H531" s="93"/>
      <c r="I531" s="93"/>
      <c r="J531" s="81"/>
    </row>
    <row r="532" spans="1:10" x14ac:dyDescent="0.15">
      <c r="A532" s="92"/>
      <c r="B532" s="93"/>
      <c r="C532" s="93"/>
      <c r="D532" s="94"/>
      <c r="E532" s="93"/>
      <c r="F532" s="93"/>
      <c r="G532" s="93"/>
      <c r="H532" s="93"/>
      <c r="I532" s="93"/>
      <c r="J532" s="81"/>
    </row>
    <row r="533" spans="1:10" x14ac:dyDescent="0.15">
      <c r="A533" s="92"/>
      <c r="B533" s="93"/>
      <c r="C533" s="93"/>
      <c r="D533" s="94"/>
      <c r="E533" s="93"/>
      <c r="F533" s="93"/>
      <c r="G533" s="93"/>
      <c r="H533" s="93"/>
      <c r="I533" s="93"/>
      <c r="J533" s="81"/>
    </row>
    <row r="534" spans="1:10" x14ac:dyDescent="0.15">
      <c r="A534" s="92"/>
      <c r="B534" s="93"/>
      <c r="C534" s="93"/>
      <c r="D534" s="94"/>
      <c r="E534" s="93"/>
      <c r="F534" s="93"/>
      <c r="G534" s="93"/>
      <c r="H534" s="93"/>
      <c r="I534" s="93"/>
      <c r="J534" s="81"/>
    </row>
    <row r="535" spans="1:10" x14ac:dyDescent="0.15">
      <c r="A535" s="92"/>
      <c r="B535" s="93"/>
      <c r="C535" s="93"/>
      <c r="D535" s="94"/>
      <c r="E535" s="93"/>
      <c r="F535" s="93"/>
      <c r="G535" s="93"/>
      <c r="H535" s="93"/>
      <c r="I535" s="93"/>
      <c r="J535" s="81"/>
    </row>
    <row r="536" spans="1:10" x14ac:dyDescent="0.15">
      <c r="A536" s="92"/>
      <c r="B536" s="93"/>
      <c r="C536" s="93"/>
      <c r="D536" s="94"/>
      <c r="E536" s="93"/>
      <c r="F536" s="93"/>
      <c r="G536" s="93"/>
      <c r="H536" s="93"/>
      <c r="I536" s="93"/>
      <c r="J536" s="81"/>
    </row>
    <row r="537" spans="1:10" x14ac:dyDescent="0.15">
      <c r="A537" s="92"/>
      <c r="B537" s="93"/>
      <c r="C537" s="93"/>
      <c r="D537" s="94"/>
      <c r="E537" s="93"/>
      <c r="F537" s="93"/>
      <c r="G537" s="93"/>
      <c r="H537" s="93"/>
      <c r="I537" s="93"/>
      <c r="J537" s="81"/>
    </row>
    <row r="538" spans="1:10" x14ac:dyDescent="0.15">
      <c r="A538" s="92"/>
      <c r="B538" s="93"/>
      <c r="C538" s="93"/>
      <c r="D538" s="94"/>
      <c r="E538" s="93"/>
      <c r="F538" s="93"/>
      <c r="G538" s="93"/>
      <c r="H538" s="93"/>
      <c r="I538" s="93"/>
      <c r="J538" s="81"/>
    </row>
    <row r="539" spans="1:10" x14ac:dyDescent="0.15">
      <c r="A539" s="92"/>
      <c r="B539" s="93"/>
      <c r="C539" s="93"/>
      <c r="D539" s="94"/>
      <c r="E539" s="93"/>
      <c r="F539" s="93"/>
      <c r="G539" s="93"/>
      <c r="H539" s="93"/>
      <c r="I539" s="93"/>
      <c r="J539" s="81"/>
    </row>
    <row r="540" spans="1:10" x14ac:dyDescent="0.15">
      <c r="A540" s="92"/>
      <c r="B540" s="93"/>
      <c r="C540" s="93"/>
      <c r="D540" s="94"/>
      <c r="E540" s="93"/>
      <c r="F540" s="93"/>
      <c r="G540" s="93"/>
      <c r="H540" s="93"/>
      <c r="I540" s="93"/>
      <c r="J540" s="81"/>
    </row>
    <row r="541" spans="1:10" x14ac:dyDescent="0.15">
      <c r="A541" s="92"/>
      <c r="B541" s="93"/>
      <c r="C541" s="93"/>
      <c r="D541" s="94"/>
      <c r="E541" s="93"/>
      <c r="F541" s="93"/>
      <c r="G541" s="93"/>
      <c r="H541" s="93"/>
      <c r="I541" s="93"/>
      <c r="J541" s="81"/>
    </row>
    <row r="542" spans="1:10" x14ac:dyDescent="0.15">
      <c r="A542" s="92"/>
      <c r="B542" s="93"/>
      <c r="C542" s="93"/>
      <c r="D542" s="94"/>
      <c r="E542" s="93"/>
      <c r="F542" s="93"/>
      <c r="G542" s="93"/>
      <c r="H542" s="93"/>
      <c r="I542" s="93"/>
      <c r="J542" s="81"/>
    </row>
    <row r="543" spans="1:10" x14ac:dyDescent="0.15">
      <c r="A543" s="92"/>
      <c r="B543" s="93"/>
      <c r="C543" s="93"/>
      <c r="D543" s="94"/>
      <c r="E543" s="93"/>
      <c r="F543" s="93"/>
      <c r="G543" s="93"/>
      <c r="H543" s="93"/>
      <c r="I543" s="93"/>
      <c r="J543" s="81"/>
    </row>
    <row r="544" spans="1:10" x14ac:dyDescent="0.15">
      <c r="A544" s="92"/>
      <c r="B544" s="93"/>
      <c r="C544" s="93"/>
      <c r="D544" s="94"/>
      <c r="E544" s="93"/>
      <c r="F544" s="93"/>
      <c r="G544" s="93"/>
      <c r="H544" s="93"/>
      <c r="I544" s="93"/>
      <c r="J544" s="81"/>
    </row>
    <row r="545" spans="1:10" x14ac:dyDescent="0.15">
      <c r="A545" s="92"/>
      <c r="B545" s="93"/>
      <c r="C545" s="93"/>
      <c r="D545" s="94"/>
      <c r="E545" s="93"/>
      <c r="F545" s="93"/>
      <c r="G545" s="93"/>
      <c r="H545" s="93"/>
      <c r="I545" s="93"/>
      <c r="J545" s="81"/>
    </row>
    <row r="546" spans="1:10" x14ac:dyDescent="0.15">
      <c r="A546" s="92"/>
      <c r="B546" s="93"/>
      <c r="C546" s="93"/>
      <c r="D546" s="94"/>
      <c r="E546" s="93"/>
      <c r="F546" s="93"/>
      <c r="G546" s="93"/>
      <c r="H546" s="93"/>
      <c r="I546" s="93"/>
      <c r="J546" s="81"/>
    </row>
    <row r="547" spans="1:10" x14ac:dyDescent="0.15">
      <c r="A547" s="92"/>
      <c r="B547" s="93"/>
      <c r="C547" s="93"/>
      <c r="D547" s="94"/>
      <c r="E547" s="93"/>
      <c r="F547" s="93"/>
      <c r="G547" s="93"/>
      <c r="H547" s="93"/>
      <c r="I547" s="93"/>
      <c r="J547" s="81"/>
    </row>
    <row r="548" spans="1:10" x14ac:dyDescent="0.15">
      <c r="A548" s="92"/>
      <c r="B548" s="93"/>
      <c r="C548" s="93"/>
      <c r="D548" s="94"/>
      <c r="E548" s="93"/>
      <c r="F548" s="93"/>
      <c r="G548" s="93"/>
      <c r="H548" s="93"/>
      <c r="I548" s="93"/>
      <c r="J548" s="81"/>
    </row>
    <row r="549" spans="1:10" x14ac:dyDescent="0.15">
      <c r="A549" s="92"/>
      <c r="B549" s="93"/>
      <c r="C549" s="93"/>
      <c r="D549" s="94"/>
      <c r="E549" s="93"/>
      <c r="F549" s="93"/>
      <c r="G549" s="93"/>
      <c r="H549" s="93"/>
      <c r="I549" s="93"/>
      <c r="J549" s="81"/>
    </row>
    <row r="550" spans="1:10" x14ac:dyDescent="0.15">
      <c r="A550" s="92"/>
      <c r="B550" s="93"/>
      <c r="C550" s="93"/>
      <c r="D550" s="94"/>
      <c r="E550" s="93"/>
      <c r="F550" s="93"/>
      <c r="G550" s="93"/>
      <c r="H550" s="93"/>
      <c r="I550" s="93"/>
      <c r="J550" s="81"/>
    </row>
    <row r="551" spans="1:10" x14ac:dyDescent="0.15">
      <c r="A551" s="92"/>
      <c r="B551" s="93"/>
      <c r="C551" s="93"/>
      <c r="D551" s="94"/>
      <c r="E551" s="93"/>
      <c r="F551" s="93"/>
      <c r="G551" s="93"/>
      <c r="H551" s="93"/>
      <c r="I551" s="93"/>
      <c r="J551" s="81"/>
    </row>
    <row r="552" spans="1:10" x14ac:dyDescent="0.15">
      <c r="A552" s="92"/>
      <c r="B552" s="93"/>
      <c r="C552" s="93"/>
      <c r="D552" s="94"/>
      <c r="E552" s="93"/>
      <c r="F552" s="93"/>
      <c r="G552" s="93"/>
      <c r="H552" s="93"/>
      <c r="I552" s="93"/>
      <c r="J552" s="81"/>
    </row>
    <row r="553" spans="1:10" x14ac:dyDescent="0.15">
      <c r="A553" s="92"/>
      <c r="B553" s="93"/>
      <c r="C553" s="93"/>
      <c r="D553" s="94"/>
      <c r="E553" s="93"/>
      <c r="F553" s="93"/>
      <c r="G553" s="93"/>
      <c r="H553" s="93"/>
      <c r="I553" s="93"/>
      <c r="J553" s="81"/>
    </row>
    <row r="554" spans="1:10" x14ac:dyDescent="0.15">
      <c r="A554" s="92"/>
      <c r="B554" s="93"/>
      <c r="C554" s="93"/>
      <c r="D554" s="94"/>
      <c r="E554" s="93"/>
      <c r="F554" s="93"/>
      <c r="G554" s="93"/>
      <c r="H554" s="93"/>
      <c r="I554" s="93"/>
      <c r="J554" s="81"/>
    </row>
    <row r="555" spans="1:10" x14ac:dyDescent="0.15">
      <c r="A555" s="92"/>
      <c r="B555" s="93"/>
      <c r="C555" s="93"/>
      <c r="D555" s="94"/>
      <c r="E555" s="93"/>
      <c r="F555" s="93"/>
      <c r="G555" s="93"/>
      <c r="H555" s="93"/>
      <c r="I555" s="93"/>
      <c r="J555" s="81"/>
    </row>
    <row r="556" spans="1:10" x14ac:dyDescent="0.15">
      <c r="A556" s="92"/>
      <c r="B556" s="93"/>
      <c r="C556" s="93"/>
      <c r="D556" s="94"/>
      <c r="E556" s="93"/>
      <c r="F556" s="93"/>
      <c r="G556" s="93"/>
      <c r="H556" s="93"/>
      <c r="I556" s="93"/>
      <c r="J556" s="81"/>
    </row>
    <row r="557" spans="1:10" x14ac:dyDescent="0.15">
      <c r="A557" s="92"/>
      <c r="B557" s="93"/>
      <c r="C557" s="93"/>
      <c r="D557" s="94"/>
      <c r="E557" s="93"/>
      <c r="F557" s="93"/>
      <c r="G557" s="93"/>
      <c r="H557" s="93"/>
      <c r="I557" s="93"/>
      <c r="J557" s="81"/>
    </row>
    <row r="558" spans="1:10" x14ac:dyDescent="0.15">
      <c r="A558" s="92"/>
      <c r="B558" s="93"/>
      <c r="C558" s="93"/>
      <c r="D558" s="94"/>
      <c r="E558" s="93"/>
      <c r="F558" s="93"/>
      <c r="G558" s="93"/>
      <c r="H558" s="93"/>
      <c r="I558" s="93"/>
      <c r="J558" s="81"/>
    </row>
    <row r="559" spans="1:10" x14ac:dyDescent="0.15">
      <c r="A559" s="92"/>
      <c r="B559" s="93"/>
      <c r="C559" s="93"/>
      <c r="D559" s="94"/>
      <c r="E559" s="93"/>
      <c r="F559" s="93"/>
      <c r="G559" s="93"/>
      <c r="H559" s="93"/>
      <c r="I559" s="93"/>
      <c r="J559" s="81"/>
    </row>
    <row r="560" spans="1:10" x14ac:dyDescent="0.15">
      <c r="A560" s="92"/>
      <c r="B560" s="93"/>
      <c r="C560" s="93"/>
      <c r="D560" s="94"/>
      <c r="E560" s="93"/>
      <c r="F560" s="93"/>
      <c r="G560" s="93"/>
      <c r="H560" s="93"/>
      <c r="I560" s="93"/>
      <c r="J560" s="81"/>
    </row>
    <row r="561" spans="1:10" x14ac:dyDescent="0.15">
      <c r="A561" s="92"/>
      <c r="B561" s="93"/>
      <c r="C561" s="93"/>
      <c r="D561" s="94"/>
      <c r="E561" s="93"/>
      <c r="F561" s="93"/>
      <c r="G561" s="93"/>
      <c r="H561" s="93"/>
      <c r="I561" s="93"/>
      <c r="J561" s="81"/>
    </row>
    <row r="562" spans="1:10" x14ac:dyDescent="0.15">
      <c r="A562" s="92"/>
      <c r="B562" s="93"/>
      <c r="C562" s="93"/>
      <c r="D562" s="94"/>
      <c r="E562" s="93"/>
      <c r="F562" s="93"/>
      <c r="G562" s="93"/>
      <c r="H562" s="93"/>
      <c r="I562" s="93"/>
      <c r="J562" s="81"/>
    </row>
    <row r="563" spans="1:10" x14ac:dyDescent="0.15">
      <c r="A563" s="92"/>
      <c r="B563" s="93"/>
      <c r="C563" s="93"/>
      <c r="D563" s="94"/>
      <c r="E563" s="93"/>
      <c r="F563" s="93"/>
      <c r="G563" s="93"/>
      <c r="H563" s="93"/>
      <c r="I563" s="93"/>
      <c r="J563" s="81"/>
    </row>
    <row r="564" spans="1:10" x14ac:dyDescent="0.15">
      <c r="A564" s="92"/>
      <c r="B564" s="93"/>
      <c r="C564" s="93"/>
      <c r="D564" s="94"/>
      <c r="E564" s="93"/>
      <c r="F564" s="93"/>
      <c r="G564" s="93"/>
      <c r="H564" s="93"/>
      <c r="I564" s="93"/>
      <c r="J564" s="81"/>
    </row>
    <row r="565" spans="1:10" x14ac:dyDescent="0.15">
      <c r="A565" s="92"/>
      <c r="B565" s="93"/>
      <c r="C565" s="93"/>
      <c r="D565" s="94"/>
      <c r="E565" s="93"/>
      <c r="F565" s="93"/>
      <c r="G565" s="93"/>
      <c r="H565" s="93"/>
      <c r="I565" s="93"/>
      <c r="J565" s="81"/>
    </row>
    <row r="566" spans="1:10" x14ac:dyDescent="0.15">
      <c r="A566" s="92"/>
      <c r="B566" s="93"/>
      <c r="C566" s="93"/>
      <c r="D566" s="94"/>
      <c r="E566" s="93"/>
      <c r="F566" s="93"/>
      <c r="G566" s="93"/>
      <c r="H566" s="93"/>
      <c r="I566" s="93"/>
      <c r="J566" s="81"/>
    </row>
    <row r="567" spans="1:10" x14ac:dyDescent="0.15">
      <c r="A567" s="92"/>
      <c r="B567" s="93"/>
      <c r="C567" s="93"/>
      <c r="D567" s="94"/>
      <c r="E567" s="93"/>
      <c r="F567" s="93"/>
      <c r="G567" s="93"/>
      <c r="H567" s="93"/>
      <c r="I567" s="93"/>
      <c r="J567" s="81"/>
    </row>
    <row r="568" spans="1:10" x14ac:dyDescent="0.15">
      <c r="A568" s="92"/>
      <c r="B568" s="93"/>
      <c r="C568" s="93"/>
      <c r="D568" s="94"/>
      <c r="E568" s="93"/>
      <c r="F568" s="93"/>
      <c r="G568" s="93"/>
      <c r="H568" s="93"/>
      <c r="I568" s="93"/>
      <c r="J568" s="81"/>
    </row>
    <row r="569" spans="1:10" x14ac:dyDescent="0.15">
      <c r="A569" s="92"/>
      <c r="B569" s="93"/>
      <c r="C569" s="93"/>
      <c r="D569" s="94"/>
      <c r="E569" s="93"/>
      <c r="F569" s="93"/>
      <c r="G569" s="93"/>
      <c r="H569" s="93"/>
      <c r="I569" s="93"/>
      <c r="J569" s="81"/>
    </row>
    <row r="570" spans="1:10" x14ac:dyDescent="0.15">
      <c r="A570" s="92"/>
      <c r="B570" s="93"/>
      <c r="C570" s="93"/>
      <c r="D570" s="94"/>
      <c r="E570" s="93"/>
      <c r="F570" s="93"/>
      <c r="G570" s="93"/>
      <c r="H570" s="93"/>
      <c r="I570" s="93"/>
      <c r="J570" s="81"/>
    </row>
    <row r="571" spans="1:10" x14ac:dyDescent="0.15">
      <c r="A571" s="92"/>
      <c r="B571" s="93"/>
      <c r="C571" s="93"/>
      <c r="D571" s="94"/>
      <c r="E571" s="93"/>
      <c r="F571" s="93"/>
      <c r="G571" s="93"/>
      <c r="H571" s="93"/>
      <c r="I571" s="93"/>
      <c r="J571" s="81"/>
    </row>
    <row r="572" spans="1:10" x14ac:dyDescent="0.15">
      <c r="A572" s="92"/>
      <c r="B572" s="93"/>
      <c r="C572" s="93"/>
      <c r="D572" s="94"/>
      <c r="E572" s="93"/>
      <c r="F572" s="93"/>
      <c r="G572" s="93"/>
      <c r="H572" s="93"/>
      <c r="I572" s="93"/>
      <c r="J572" s="81"/>
    </row>
    <row r="573" spans="1:10" x14ac:dyDescent="0.15">
      <c r="A573" s="92"/>
      <c r="B573" s="93"/>
      <c r="C573" s="93"/>
      <c r="D573" s="94"/>
      <c r="E573" s="93"/>
      <c r="F573" s="93"/>
      <c r="G573" s="93"/>
      <c r="H573" s="93"/>
      <c r="I573" s="93"/>
      <c r="J573" s="81"/>
    </row>
    <row r="574" spans="1:10" x14ac:dyDescent="0.15">
      <c r="A574" s="92"/>
      <c r="B574" s="93"/>
      <c r="C574" s="93"/>
      <c r="D574" s="94"/>
      <c r="E574" s="93"/>
      <c r="F574" s="93"/>
      <c r="G574" s="93"/>
      <c r="H574" s="93"/>
      <c r="I574" s="93"/>
      <c r="J574" s="81"/>
    </row>
    <row r="575" spans="1:10" x14ac:dyDescent="0.15">
      <c r="A575" s="92"/>
      <c r="B575" s="93"/>
      <c r="C575" s="93"/>
      <c r="D575" s="94"/>
      <c r="E575" s="93"/>
      <c r="F575" s="93"/>
      <c r="G575" s="93"/>
      <c r="H575" s="93"/>
      <c r="I575" s="93"/>
      <c r="J575" s="81"/>
    </row>
    <row r="576" spans="1:10" x14ac:dyDescent="0.15">
      <c r="A576" s="92"/>
      <c r="B576" s="93"/>
      <c r="C576" s="93"/>
      <c r="D576" s="94"/>
      <c r="E576" s="93"/>
      <c r="F576" s="93"/>
      <c r="G576" s="93"/>
      <c r="H576" s="93"/>
      <c r="I576" s="93"/>
      <c r="J576" s="81"/>
    </row>
    <row r="577" spans="1:10" x14ac:dyDescent="0.15">
      <c r="A577" s="92"/>
      <c r="B577" s="93"/>
      <c r="C577" s="93"/>
      <c r="D577" s="94"/>
      <c r="E577" s="93"/>
      <c r="F577" s="93"/>
      <c r="G577" s="93"/>
      <c r="H577" s="93"/>
      <c r="I577" s="93"/>
      <c r="J577" s="81"/>
    </row>
    <row r="578" spans="1:10" x14ac:dyDescent="0.15">
      <c r="A578" s="92"/>
      <c r="B578" s="93"/>
      <c r="C578" s="93"/>
      <c r="D578" s="94"/>
      <c r="E578" s="93"/>
      <c r="F578" s="93"/>
      <c r="G578" s="93"/>
      <c r="H578" s="93"/>
      <c r="I578" s="93"/>
      <c r="J578" s="81"/>
    </row>
    <row r="579" spans="1:10" x14ac:dyDescent="0.15">
      <c r="A579" s="92"/>
      <c r="B579" s="93"/>
      <c r="C579" s="93"/>
      <c r="D579" s="94"/>
      <c r="E579" s="93"/>
      <c r="F579" s="93"/>
      <c r="G579" s="93"/>
      <c r="H579" s="93"/>
      <c r="I579" s="93"/>
      <c r="J579" s="81"/>
    </row>
    <row r="580" spans="1:10" x14ac:dyDescent="0.15">
      <c r="A580" s="92"/>
      <c r="B580" s="93"/>
      <c r="C580" s="93"/>
      <c r="D580" s="94"/>
      <c r="E580" s="93"/>
      <c r="F580" s="93"/>
      <c r="G580" s="93"/>
      <c r="H580" s="93"/>
      <c r="I580" s="93"/>
      <c r="J580" s="81"/>
    </row>
    <row r="581" spans="1:10" x14ac:dyDescent="0.15">
      <c r="A581" s="92"/>
      <c r="B581" s="93"/>
      <c r="C581" s="93"/>
      <c r="D581" s="94"/>
      <c r="E581" s="93"/>
      <c r="F581" s="93"/>
      <c r="G581" s="93"/>
      <c r="H581" s="93"/>
      <c r="I581" s="93"/>
      <c r="J581" s="81"/>
    </row>
    <row r="582" spans="1:10" x14ac:dyDescent="0.15">
      <c r="A582" s="92"/>
      <c r="B582" s="93"/>
      <c r="C582" s="93"/>
      <c r="D582" s="94"/>
      <c r="E582" s="93"/>
      <c r="F582" s="93"/>
      <c r="G582" s="93"/>
      <c r="H582" s="93"/>
      <c r="I582" s="93"/>
      <c r="J582" s="81"/>
    </row>
    <row r="583" spans="1:10" x14ac:dyDescent="0.15">
      <c r="A583" s="92"/>
      <c r="B583" s="93"/>
      <c r="C583" s="93"/>
      <c r="D583" s="94"/>
      <c r="E583" s="93"/>
      <c r="F583" s="93"/>
      <c r="G583" s="93"/>
      <c r="H583" s="93"/>
      <c r="I583" s="93"/>
      <c r="J583" s="81"/>
    </row>
    <row r="584" spans="1:10" x14ac:dyDescent="0.15">
      <c r="A584" s="92"/>
      <c r="B584" s="93"/>
      <c r="C584" s="93"/>
      <c r="D584" s="94"/>
      <c r="E584" s="93"/>
      <c r="F584" s="93"/>
      <c r="G584" s="93"/>
      <c r="H584" s="93"/>
      <c r="I584" s="93"/>
      <c r="J584" s="81"/>
    </row>
    <row r="585" spans="1:10" x14ac:dyDescent="0.15">
      <c r="A585" s="92"/>
      <c r="B585" s="93"/>
      <c r="C585" s="93"/>
      <c r="D585" s="94"/>
      <c r="E585" s="93"/>
      <c r="F585" s="93"/>
      <c r="G585" s="93"/>
      <c r="H585" s="93"/>
      <c r="I585" s="93"/>
      <c r="J585" s="81"/>
    </row>
    <row r="586" spans="1:10" x14ac:dyDescent="0.15">
      <c r="A586" s="92"/>
      <c r="B586" s="93"/>
      <c r="C586" s="93"/>
      <c r="D586" s="94"/>
      <c r="E586" s="93"/>
      <c r="F586" s="93"/>
      <c r="G586" s="93"/>
      <c r="H586" s="93"/>
      <c r="I586" s="93"/>
      <c r="J586" s="81"/>
    </row>
    <row r="587" spans="1:10" x14ac:dyDescent="0.15">
      <c r="A587" s="92"/>
      <c r="B587" s="93"/>
      <c r="C587" s="93"/>
      <c r="D587" s="94"/>
      <c r="E587" s="93"/>
      <c r="F587" s="93"/>
      <c r="G587" s="93"/>
      <c r="H587" s="93"/>
      <c r="I587" s="93"/>
      <c r="J587" s="81"/>
    </row>
    <row r="588" spans="1:10" x14ac:dyDescent="0.15">
      <c r="A588" s="92"/>
      <c r="B588" s="93"/>
      <c r="C588" s="93"/>
      <c r="D588" s="94"/>
      <c r="E588" s="93"/>
      <c r="F588" s="93"/>
      <c r="G588" s="93"/>
      <c r="H588" s="93"/>
      <c r="I588" s="93"/>
      <c r="J588" s="81"/>
    </row>
    <row r="589" spans="1:10" x14ac:dyDescent="0.15">
      <c r="A589" s="92"/>
      <c r="B589" s="93"/>
      <c r="C589" s="93"/>
      <c r="D589" s="94"/>
      <c r="E589" s="93"/>
      <c r="F589" s="93"/>
      <c r="G589" s="93"/>
      <c r="H589" s="93"/>
      <c r="I589" s="93"/>
      <c r="J589" s="81"/>
    </row>
    <row r="590" spans="1:10" x14ac:dyDescent="0.15">
      <c r="A590" s="92"/>
      <c r="B590" s="93"/>
      <c r="C590" s="93"/>
      <c r="D590" s="94"/>
      <c r="E590" s="93"/>
      <c r="F590" s="93"/>
      <c r="G590" s="93"/>
      <c r="H590" s="93"/>
      <c r="I590" s="93"/>
      <c r="J590" s="81"/>
    </row>
    <row r="591" spans="1:10" x14ac:dyDescent="0.15">
      <c r="A591" s="92"/>
      <c r="B591" s="93"/>
      <c r="C591" s="93"/>
      <c r="D591" s="94"/>
      <c r="E591" s="93"/>
      <c r="F591" s="93"/>
      <c r="G591" s="93"/>
      <c r="H591" s="93"/>
      <c r="I591" s="93"/>
      <c r="J591" s="81"/>
    </row>
    <row r="592" spans="1:10" x14ac:dyDescent="0.15">
      <c r="A592" s="92"/>
      <c r="B592" s="93"/>
      <c r="C592" s="93"/>
      <c r="D592" s="94"/>
      <c r="E592" s="93"/>
      <c r="F592" s="93"/>
      <c r="G592" s="93"/>
      <c r="H592" s="93"/>
      <c r="I592" s="93"/>
      <c r="J592" s="81"/>
    </row>
    <row r="593" spans="1:10" x14ac:dyDescent="0.15">
      <c r="A593" s="92"/>
      <c r="B593" s="93"/>
      <c r="C593" s="93"/>
      <c r="D593" s="94"/>
      <c r="E593" s="93"/>
      <c r="F593" s="93"/>
      <c r="G593" s="93"/>
      <c r="H593" s="93"/>
      <c r="I593" s="93"/>
      <c r="J593" s="81"/>
    </row>
    <row r="594" spans="1:10" x14ac:dyDescent="0.15">
      <c r="A594" s="92"/>
      <c r="B594" s="93"/>
      <c r="C594" s="93"/>
      <c r="D594" s="94"/>
      <c r="E594" s="93"/>
      <c r="F594" s="93"/>
      <c r="G594" s="93"/>
      <c r="H594" s="93"/>
      <c r="I594" s="93"/>
      <c r="J594" s="81"/>
    </row>
    <row r="595" spans="1:10" x14ac:dyDescent="0.15">
      <c r="A595" s="92"/>
      <c r="B595" s="93"/>
      <c r="C595" s="93"/>
      <c r="D595" s="94"/>
      <c r="E595" s="93"/>
      <c r="F595" s="93"/>
      <c r="G595" s="93"/>
      <c r="H595" s="93"/>
      <c r="I595" s="93"/>
      <c r="J595" s="81"/>
    </row>
    <row r="596" spans="1:10" x14ac:dyDescent="0.15">
      <c r="A596" s="92"/>
      <c r="B596" s="93"/>
      <c r="C596" s="93"/>
      <c r="D596" s="94"/>
      <c r="E596" s="93"/>
      <c r="F596" s="93"/>
      <c r="G596" s="93"/>
      <c r="H596" s="93"/>
      <c r="I596" s="93"/>
      <c r="J596" s="81"/>
    </row>
    <row r="597" spans="1:10" x14ac:dyDescent="0.15">
      <c r="A597" s="92"/>
      <c r="B597" s="93"/>
      <c r="C597" s="93"/>
      <c r="D597" s="94"/>
      <c r="E597" s="93"/>
      <c r="F597" s="93"/>
      <c r="G597" s="93"/>
      <c r="H597" s="93"/>
      <c r="I597" s="93"/>
      <c r="J597" s="81"/>
    </row>
    <row r="598" spans="1:10" x14ac:dyDescent="0.15">
      <c r="A598" s="92"/>
      <c r="B598" s="93"/>
      <c r="C598" s="93"/>
      <c r="D598" s="94"/>
      <c r="E598" s="93"/>
      <c r="F598" s="93"/>
      <c r="G598" s="93"/>
      <c r="H598" s="93"/>
      <c r="I598" s="93"/>
      <c r="J598" s="81"/>
    </row>
    <row r="599" spans="1:10" x14ac:dyDescent="0.15">
      <c r="A599" s="92"/>
      <c r="B599" s="93"/>
      <c r="C599" s="93"/>
      <c r="D599" s="94"/>
      <c r="E599" s="93"/>
      <c r="F599" s="93"/>
      <c r="G599" s="93"/>
      <c r="H599" s="93"/>
      <c r="I599" s="93"/>
      <c r="J599" s="81"/>
    </row>
    <row r="600" spans="1:10" x14ac:dyDescent="0.15">
      <c r="A600" s="92"/>
      <c r="B600" s="93"/>
      <c r="C600" s="93"/>
      <c r="D600" s="94"/>
      <c r="E600" s="93"/>
      <c r="F600" s="93"/>
      <c r="G600" s="93"/>
      <c r="H600" s="93"/>
      <c r="I600" s="93"/>
      <c r="J600" s="81"/>
    </row>
    <row r="601" spans="1:10" x14ac:dyDescent="0.15">
      <c r="A601" s="92"/>
      <c r="B601" s="93"/>
      <c r="C601" s="93"/>
      <c r="D601" s="94"/>
      <c r="E601" s="93"/>
      <c r="F601" s="93"/>
      <c r="G601" s="93"/>
      <c r="H601" s="93"/>
      <c r="I601" s="93"/>
      <c r="J601" s="81"/>
    </row>
    <row r="602" spans="1:10" x14ac:dyDescent="0.15">
      <c r="A602" s="92"/>
      <c r="B602" s="93"/>
      <c r="C602" s="93"/>
      <c r="D602" s="94"/>
      <c r="E602" s="93"/>
      <c r="F602" s="93"/>
      <c r="G602" s="93"/>
      <c r="H602" s="93"/>
      <c r="I602" s="93"/>
      <c r="J602" s="81"/>
    </row>
    <row r="603" spans="1:10" x14ac:dyDescent="0.15">
      <c r="A603" s="92"/>
      <c r="B603" s="93"/>
      <c r="C603" s="93"/>
      <c r="D603" s="94"/>
      <c r="E603" s="93"/>
      <c r="F603" s="93"/>
      <c r="G603" s="93"/>
      <c r="H603" s="93"/>
      <c r="I603" s="93"/>
      <c r="J603" s="81"/>
    </row>
    <row r="604" spans="1:10" x14ac:dyDescent="0.15">
      <c r="A604" s="92"/>
      <c r="B604" s="93"/>
      <c r="C604" s="93"/>
      <c r="D604" s="94"/>
      <c r="E604" s="93"/>
      <c r="F604" s="93"/>
      <c r="G604" s="93"/>
      <c r="H604" s="93"/>
      <c r="I604" s="93"/>
      <c r="J604" s="81"/>
    </row>
    <row r="605" spans="1:10" x14ac:dyDescent="0.15">
      <c r="A605" s="92"/>
      <c r="B605" s="93"/>
      <c r="C605" s="93"/>
      <c r="D605" s="94"/>
      <c r="E605" s="93"/>
      <c r="F605" s="93"/>
      <c r="G605" s="93"/>
      <c r="H605" s="93"/>
      <c r="I605" s="93"/>
      <c r="J605" s="81"/>
    </row>
    <row r="606" spans="1:10" x14ac:dyDescent="0.15">
      <c r="A606" s="92"/>
      <c r="B606" s="93"/>
      <c r="C606" s="93"/>
      <c r="D606" s="94"/>
      <c r="E606" s="93"/>
      <c r="F606" s="93"/>
      <c r="G606" s="93"/>
      <c r="H606" s="93"/>
      <c r="I606" s="93"/>
      <c r="J606" s="81"/>
    </row>
    <row r="607" spans="1:10" x14ac:dyDescent="0.15">
      <c r="A607" s="92"/>
      <c r="B607" s="93"/>
      <c r="C607" s="93"/>
      <c r="D607" s="94"/>
      <c r="E607" s="93"/>
      <c r="F607" s="93"/>
      <c r="G607" s="93"/>
      <c r="H607" s="93"/>
      <c r="I607" s="93"/>
      <c r="J607" s="81"/>
    </row>
    <row r="608" spans="1:10" x14ac:dyDescent="0.15">
      <c r="A608" s="92"/>
      <c r="B608" s="93"/>
      <c r="C608" s="93"/>
      <c r="D608" s="94"/>
      <c r="E608" s="93"/>
      <c r="F608" s="93"/>
      <c r="G608" s="93"/>
      <c r="H608" s="93"/>
      <c r="I608" s="93"/>
      <c r="J608" s="81"/>
    </row>
    <row r="609" spans="1:10" x14ac:dyDescent="0.15">
      <c r="A609" s="92"/>
      <c r="B609" s="93"/>
      <c r="C609" s="93"/>
      <c r="D609" s="94"/>
      <c r="E609" s="93"/>
      <c r="F609" s="93"/>
      <c r="G609" s="93"/>
      <c r="H609" s="93"/>
      <c r="I609" s="93"/>
      <c r="J609" s="81"/>
    </row>
    <row r="610" spans="1:10" x14ac:dyDescent="0.15">
      <c r="A610" s="92"/>
      <c r="B610" s="93"/>
      <c r="C610" s="93"/>
      <c r="D610" s="94"/>
      <c r="E610" s="93"/>
      <c r="F610" s="93"/>
      <c r="G610" s="93"/>
      <c r="H610" s="93"/>
      <c r="I610" s="93"/>
      <c r="J610" s="81"/>
    </row>
    <row r="611" spans="1:10" x14ac:dyDescent="0.15">
      <c r="A611" s="92"/>
      <c r="B611" s="93"/>
      <c r="C611" s="93"/>
      <c r="D611" s="94"/>
      <c r="E611" s="93"/>
      <c r="F611" s="93"/>
      <c r="G611" s="93"/>
      <c r="H611" s="93"/>
      <c r="I611" s="93"/>
      <c r="J611" s="81"/>
    </row>
    <row r="612" spans="1:10" x14ac:dyDescent="0.15">
      <c r="A612" s="92"/>
      <c r="B612" s="93"/>
      <c r="C612" s="93"/>
      <c r="D612" s="94"/>
      <c r="E612" s="93"/>
      <c r="F612" s="93"/>
      <c r="G612" s="93"/>
      <c r="H612" s="93"/>
      <c r="I612" s="93"/>
      <c r="J612" s="81"/>
    </row>
    <row r="613" spans="1:10" x14ac:dyDescent="0.15">
      <c r="A613" s="92"/>
      <c r="B613" s="93"/>
      <c r="C613" s="93"/>
      <c r="D613" s="94"/>
      <c r="E613" s="93"/>
      <c r="F613" s="93"/>
      <c r="G613" s="93"/>
      <c r="H613" s="93"/>
      <c r="I613" s="93"/>
      <c r="J613" s="81"/>
    </row>
    <row r="614" spans="1:10" x14ac:dyDescent="0.15">
      <c r="A614" s="92"/>
      <c r="B614" s="93"/>
      <c r="C614" s="93"/>
      <c r="D614" s="94"/>
      <c r="E614" s="93"/>
      <c r="F614" s="93"/>
      <c r="G614" s="93"/>
      <c r="H614" s="93"/>
      <c r="I614" s="93"/>
      <c r="J614" s="81"/>
    </row>
    <row r="615" spans="1:10" x14ac:dyDescent="0.15">
      <c r="A615" s="92"/>
      <c r="B615" s="93"/>
      <c r="C615" s="93"/>
      <c r="D615" s="94"/>
      <c r="E615" s="93"/>
      <c r="F615" s="93"/>
      <c r="G615" s="93"/>
      <c r="H615" s="93"/>
      <c r="I615" s="93"/>
      <c r="J615" s="81"/>
    </row>
    <row r="616" spans="1:10" x14ac:dyDescent="0.15">
      <c r="A616" s="92"/>
      <c r="B616" s="93"/>
      <c r="C616" s="93"/>
      <c r="D616" s="94"/>
      <c r="E616" s="93"/>
      <c r="F616" s="93"/>
      <c r="G616" s="93"/>
      <c r="H616" s="93"/>
      <c r="I616" s="93"/>
      <c r="J616" s="81"/>
    </row>
    <row r="617" spans="1:10" x14ac:dyDescent="0.15">
      <c r="A617" s="92"/>
      <c r="B617" s="93"/>
      <c r="C617" s="93"/>
      <c r="D617" s="94"/>
      <c r="E617" s="93"/>
      <c r="F617" s="93"/>
      <c r="G617" s="93"/>
      <c r="H617" s="93"/>
      <c r="I617" s="93"/>
      <c r="J617" s="81"/>
    </row>
    <row r="618" spans="1:10" x14ac:dyDescent="0.15">
      <c r="A618" s="92"/>
      <c r="B618" s="93"/>
      <c r="C618" s="93"/>
      <c r="D618" s="94"/>
      <c r="E618" s="93"/>
      <c r="F618" s="93"/>
      <c r="G618" s="93"/>
      <c r="H618" s="93"/>
      <c r="I618" s="93"/>
      <c r="J618" s="81"/>
    </row>
    <row r="619" spans="1:10" x14ac:dyDescent="0.15">
      <c r="A619" s="92"/>
      <c r="B619" s="93"/>
      <c r="C619" s="93"/>
      <c r="D619" s="94"/>
      <c r="E619" s="93"/>
      <c r="F619" s="93"/>
      <c r="G619" s="93"/>
      <c r="H619" s="93"/>
      <c r="I619" s="93"/>
      <c r="J619" s="81"/>
    </row>
    <row r="620" spans="1:10" x14ac:dyDescent="0.15">
      <c r="A620" s="92"/>
      <c r="B620" s="93"/>
      <c r="C620" s="93"/>
      <c r="D620" s="94"/>
      <c r="E620" s="93"/>
      <c r="F620" s="93"/>
      <c r="G620" s="93"/>
      <c r="H620" s="93"/>
      <c r="I620" s="93"/>
      <c r="J620" s="81"/>
    </row>
    <row r="621" spans="1:10" x14ac:dyDescent="0.15">
      <c r="A621" s="92"/>
      <c r="B621" s="93"/>
      <c r="C621" s="93"/>
      <c r="D621" s="94"/>
      <c r="E621" s="93"/>
      <c r="F621" s="93"/>
      <c r="G621" s="93"/>
      <c r="H621" s="93"/>
      <c r="I621" s="93"/>
      <c r="J621" s="81"/>
    </row>
    <row r="622" spans="1:10" x14ac:dyDescent="0.15">
      <c r="A622" s="92"/>
      <c r="B622" s="93"/>
      <c r="C622" s="93"/>
      <c r="D622" s="94"/>
      <c r="E622" s="93"/>
      <c r="F622" s="93"/>
      <c r="G622" s="93"/>
      <c r="H622" s="93"/>
      <c r="I622" s="93"/>
      <c r="J622" s="81"/>
    </row>
    <row r="623" spans="1:10" x14ac:dyDescent="0.15">
      <c r="A623" s="92"/>
      <c r="B623" s="93"/>
      <c r="C623" s="93"/>
      <c r="D623" s="94"/>
      <c r="E623" s="93"/>
      <c r="F623" s="93"/>
      <c r="G623" s="93"/>
      <c r="H623" s="93"/>
      <c r="I623" s="93"/>
      <c r="J623" s="81"/>
    </row>
    <row r="624" spans="1:10" x14ac:dyDescent="0.15">
      <c r="A624" s="92"/>
      <c r="B624" s="93"/>
      <c r="C624" s="93"/>
      <c r="D624" s="94"/>
      <c r="E624" s="93"/>
      <c r="F624" s="93"/>
      <c r="G624" s="93"/>
      <c r="H624" s="93"/>
      <c r="I624" s="93"/>
      <c r="J624" s="81"/>
    </row>
    <row r="625" spans="1:10" x14ac:dyDescent="0.15">
      <c r="A625" s="92"/>
      <c r="B625" s="93"/>
      <c r="C625" s="93"/>
      <c r="D625" s="94"/>
      <c r="E625" s="93"/>
      <c r="F625" s="93"/>
      <c r="G625" s="93"/>
      <c r="H625" s="93"/>
      <c r="I625" s="93"/>
      <c r="J625" s="81"/>
    </row>
    <row r="626" spans="1:10" x14ac:dyDescent="0.15">
      <c r="A626" s="92"/>
      <c r="B626" s="93"/>
      <c r="C626" s="93"/>
      <c r="D626" s="94"/>
      <c r="E626" s="93"/>
      <c r="F626" s="93"/>
      <c r="G626" s="93"/>
      <c r="H626" s="93"/>
      <c r="I626" s="93"/>
      <c r="J626" s="81"/>
    </row>
    <row r="627" spans="1:10" x14ac:dyDescent="0.15">
      <c r="A627" s="92"/>
      <c r="B627" s="93"/>
      <c r="C627" s="93"/>
      <c r="D627" s="94"/>
      <c r="E627" s="93"/>
      <c r="F627" s="93"/>
      <c r="G627" s="93"/>
      <c r="H627" s="93"/>
      <c r="I627" s="93"/>
      <c r="J627" s="81"/>
    </row>
    <row r="628" spans="1:10" x14ac:dyDescent="0.15">
      <c r="A628" s="92"/>
      <c r="B628" s="93"/>
      <c r="C628" s="93"/>
      <c r="D628" s="94"/>
      <c r="E628" s="93"/>
      <c r="F628" s="93"/>
      <c r="G628" s="93"/>
      <c r="H628" s="93"/>
      <c r="I628" s="93"/>
      <c r="J628" s="81"/>
    </row>
    <row r="629" spans="1:10" x14ac:dyDescent="0.15">
      <c r="A629" s="92"/>
      <c r="B629" s="93"/>
      <c r="C629" s="93"/>
      <c r="D629" s="94"/>
      <c r="E629" s="93"/>
      <c r="F629" s="93"/>
      <c r="G629" s="93"/>
      <c r="H629" s="93"/>
      <c r="I629" s="93"/>
      <c r="J629" s="81"/>
    </row>
    <row r="630" spans="1:10" x14ac:dyDescent="0.15">
      <c r="A630" s="92"/>
      <c r="B630" s="93"/>
      <c r="C630" s="93"/>
      <c r="D630" s="94"/>
      <c r="E630" s="93"/>
      <c r="F630" s="93"/>
      <c r="G630" s="93"/>
      <c r="H630" s="93"/>
      <c r="I630" s="93"/>
      <c r="J630" s="81"/>
    </row>
    <row r="631" spans="1:10" x14ac:dyDescent="0.15">
      <c r="A631" s="92"/>
      <c r="B631" s="93"/>
      <c r="C631" s="93"/>
      <c r="D631" s="94"/>
      <c r="E631" s="93"/>
      <c r="F631" s="93"/>
      <c r="G631" s="93"/>
      <c r="H631" s="93"/>
      <c r="I631" s="93"/>
      <c r="J631" s="81"/>
    </row>
    <row r="632" spans="1:10" x14ac:dyDescent="0.15">
      <c r="A632" s="92"/>
      <c r="B632" s="93"/>
      <c r="C632" s="93"/>
      <c r="D632" s="94"/>
      <c r="E632" s="93"/>
      <c r="F632" s="93"/>
      <c r="G632" s="93"/>
      <c r="H632" s="93"/>
      <c r="I632" s="93"/>
      <c r="J632" s="81"/>
    </row>
    <row r="633" spans="1:10" x14ac:dyDescent="0.15">
      <c r="A633" s="92"/>
      <c r="B633" s="93"/>
      <c r="C633" s="93"/>
      <c r="D633" s="94"/>
      <c r="E633" s="93"/>
      <c r="F633" s="93"/>
      <c r="G633" s="93"/>
      <c r="H633" s="93"/>
      <c r="I633" s="93"/>
      <c r="J633" s="81"/>
    </row>
    <row r="634" spans="1:10" x14ac:dyDescent="0.15">
      <c r="A634" s="92"/>
      <c r="B634" s="93"/>
      <c r="C634" s="93"/>
      <c r="D634" s="94"/>
      <c r="E634" s="93"/>
      <c r="F634" s="93"/>
      <c r="G634" s="93"/>
      <c r="H634" s="93"/>
      <c r="I634" s="93"/>
      <c r="J634" s="81"/>
    </row>
    <row r="635" spans="1:10" x14ac:dyDescent="0.15">
      <c r="A635" s="92"/>
      <c r="B635" s="93"/>
      <c r="C635" s="93"/>
      <c r="D635" s="94"/>
      <c r="E635" s="93"/>
      <c r="F635" s="93"/>
      <c r="G635" s="93"/>
      <c r="H635" s="93"/>
      <c r="I635" s="93"/>
      <c r="J635" s="81"/>
    </row>
    <row r="636" spans="1:10" x14ac:dyDescent="0.15">
      <c r="A636" s="92"/>
      <c r="B636" s="93"/>
      <c r="C636" s="93"/>
      <c r="D636" s="94"/>
      <c r="E636" s="93"/>
      <c r="F636" s="93"/>
      <c r="G636" s="93"/>
      <c r="H636" s="93"/>
      <c r="I636" s="93"/>
      <c r="J636" s="81"/>
    </row>
    <row r="637" spans="1:10" x14ac:dyDescent="0.15">
      <c r="A637" s="92"/>
      <c r="B637" s="93"/>
      <c r="C637" s="93"/>
      <c r="D637" s="94"/>
      <c r="E637" s="93"/>
      <c r="F637" s="93"/>
      <c r="G637" s="93"/>
      <c r="H637" s="93"/>
      <c r="I637" s="93"/>
      <c r="J637" s="81"/>
    </row>
    <row r="638" spans="1:10" x14ac:dyDescent="0.15">
      <c r="A638" s="92"/>
      <c r="B638" s="93"/>
      <c r="C638" s="93"/>
      <c r="D638" s="94"/>
      <c r="E638" s="93"/>
      <c r="F638" s="93"/>
      <c r="G638" s="93"/>
      <c r="H638" s="93"/>
      <c r="I638" s="93"/>
      <c r="J638" s="81"/>
    </row>
    <row r="639" spans="1:10" x14ac:dyDescent="0.15">
      <c r="A639" s="92"/>
      <c r="B639" s="93"/>
      <c r="C639" s="93"/>
      <c r="D639" s="94"/>
      <c r="E639" s="93"/>
      <c r="F639" s="93"/>
      <c r="G639" s="93"/>
      <c r="H639" s="93"/>
      <c r="I639" s="93"/>
      <c r="J639" s="81"/>
    </row>
    <row r="640" spans="1:10" x14ac:dyDescent="0.15">
      <c r="A640" s="92"/>
      <c r="B640" s="93"/>
      <c r="C640" s="93"/>
      <c r="D640" s="94"/>
      <c r="E640" s="93"/>
      <c r="F640" s="93"/>
      <c r="G640" s="93"/>
      <c r="H640" s="93"/>
      <c r="I640" s="93"/>
      <c r="J640" s="81"/>
    </row>
    <row r="641" spans="1:10" x14ac:dyDescent="0.15">
      <c r="A641" s="92"/>
      <c r="B641" s="93"/>
      <c r="C641" s="93"/>
      <c r="D641" s="94"/>
      <c r="E641" s="93"/>
      <c r="F641" s="93"/>
      <c r="G641" s="93"/>
      <c r="H641" s="93"/>
      <c r="I641" s="93"/>
      <c r="J641" s="81"/>
    </row>
    <row r="642" spans="1:10" x14ac:dyDescent="0.15">
      <c r="A642" s="92"/>
      <c r="B642" s="93"/>
      <c r="C642" s="93"/>
      <c r="D642" s="94"/>
      <c r="E642" s="93"/>
      <c r="F642" s="93"/>
      <c r="G642" s="93"/>
      <c r="H642" s="93"/>
      <c r="I642" s="93"/>
      <c r="J642" s="81"/>
    </row>
    <row r="643" spans="1:10" x14ac:dyDescent="0.15">
      <c r="A643" s="92"/>
      <c r="B643" s="93"/>
      <c r="C643" s="93"/>
      <c r="D643" s="94"/>
      <c r="E643" s="93"/>
      <c r="F643" s="93"/>
      <c r="G643" s="93"/>
      <c r="H643" s="93"/>
      <c r="I643" s="93"/>
      <c r="J643" s="81"/>
    </row>
    <row r="644" spans="1:10" x14ac:dyDescent="0.15">
      <c r="A644" s="92"/>
      <c r="B644" s="93"/>
      <c r="C644" s="93"/>
      <c r="D644" s="94"/>
      <c r="E644" s="93"/>
      <c r="F644" s="93"/>
      <c r="G644" s="93"/>
      <c r="H644" s="93"/>
      <c r="I644" s="93"/>
      <c r="J644" s="81"/>
    </row>
    <row r="645" spans="1:10" x14ac:dyDescent="0.15">
      <c r="A645" s="92"/>
      <c r="B645" s="93"/>
      <c r="C645" s="93"/>
      <c r="D645" s="94"/>
      <c r="E645" s="93"/>
      <c r="F645" s="93"/>
      <c r="G645" s="93"/>
      <c r="H645" s="93"/>
      <c r="I645" s="93"/>
      <c r="J645" s="81"/>
    </row>
    <row r="646" spans="1:10" x14ac:dyDescent="0.15">
      <c r="A646" s="92"/>
      <c r="B646" s="93"/>
      <c r="C646" s="93"/>
      <c r="D646" s="94"/>
      <c r="E646" s="93"/>
      <c r="F646" s="93"/>
      <c r="G646" s="93"/>
      <c r="H646" s="93"/>
      <c r="I646" s="93"/>
      <c r="J646" s="81"/>
    </row>
    <row r="647" spans="1:10" x14ac:dyDescent="0.15">
      <c r="A647" s="92"/>
      <c r="B647" s="93"/>
      <c r="C647" s="93"/>
      <c r="D647" s="94"/>
      <c r="E647" s="93"/>
      <c r="F647" s="93"/>
      <c r="G647" s="93"/>
      <c r="H647" s="93"/>
      <c r="I647" s="93"/>
      <c r="J647" s="81"/>
    </row>
    <row r="648" spans="1:10" x14ac:dyDescent="0.15">
      <c r="A648" s="92"/>
      <c r="B648" s="93"/>
      <c r="C648" s="93"/>
      <c r="D648" s="94"/>
      <c r="E648" s="93"/>
      <c r="F648" s="93"/>
      <c r="G648" s="93"/>
      <c r="H648" s="93"/>
      <c r="I648" s="93"/>
      <c r="J648" s="81"/>
    </row>
    <row r="649" spans="1:10" x14ac:dyDescent="0.15">
      <c r="A649" s="92"/>
      <c r="B649" s="93"/>
      <c r="C649" s="93"/>
      <c r="D649" s="94"/>
      <c r="E649" s="93"/>
      <c r="F649" s="93"/>
      <c r="G649" s="93"/>
      <c r="H649" s="93"/>
      <c r="I649" s="93"/>
      <c r="J649" s="81"/>
    </row>
    <row r="650" spans="1:10" x14ac:dyDescent="0.15">
      <c r="A650" s="92"/>
      <c r="B650" s="93"/>
      <c r="C650" s="93"/>
      <c r="D650" s="94"/>
      <c r="E650" s="93"/>
      <c r="F650" s="93"/>
      <c r="G650" s="93"/>
      <c r="H650" s="93"/>
      <c r="I650" s="93"/>
      <c r="J650" s="81"/>
    </row>
    <row r="651" spans="1:10" x14ac:dyDescent="0.15">
      <c r="A651" s="92"/>
      <c r="B651" s="93"/>
      <c r="C651" s="93"/>
      <c r="D651" s="94"/>
      <c r="E651" s="93"/>
      <c r="F651" s="93"/>
      <c r="G651" s="93"/>
      <c r="H651" s="93"/>
      <c r="I651" s="93"/>
      <c r="J651" s="81"/>
    </row>
    <row r="652" spans="1:10" x14ac:dyDescent="0.15">
      <c r="A652" s="92"/>
      <c r="B652" s="93"/>
      <c r="C652" s="93"/>
      <c r="D652" s="94"/>
      <c r="E652" s="93"/>
      <c r="F652" s="93"/>
      <c r="G652" s="93"/>
      <c r="H652" s="93"/>
      <c r="I652" s="93"/>
      <c r="J652" s="81"/>
    </row>
    <row r="653" spans="1:10" x14ac:dyDescent="0.15">
      <c r="A653" s="92"/>
      <c r="B653" s="93"/>
      <c r="C653" s="93"/>
      <c r="D653" s="94"/>
      <c r="E653" s="93"/>
      <c r="F653" s="93"/>
      <c r="G653" s="93"/>
      <c r="H653" s="93"/>
      <c r="I653" s="93"/>
      <c r="J653" s="81"/>
    </row>
    <row r="654" spans="1:10" x14ac:dyDescent="0.15">
      <c r="A654" s="92"/>
      <c r="B654" s="93"/>
      <c r="C654" s="93"/>
      <c r="D654" s="94"/>
      <c r="E654" s="93"/>
      <c r="F654" s="93"/>
      <c r="G654" s="93"/>
      <c r="H654" s="93"/>
      <c r="I654" s="93"/>
      <c r="J654" s="81"/>
    </row>
    <row r="655" spans="1:10" x14ac:dyDescent="0.15">
      <c r="A655" s="92"/>
      <c r="B655" s="93"/>
      <c r="C655" s="93"/>
      <c r="D655" s="94"/>
      <c r="E655" s="93"/>
      <c r="F655" s="93"/>
      <c r="G655" s="93"/>
      <c r="H655" s="93"/>
      <c r="I655" s="93"/>
      <c r="J655" s="81"/>
    </row>
    <row r="656" spans="1:10" x14ac:dyDescent="0.15">
      <c r="A656" s="92"/>
      <c r="B656" s="93"/>
      <c r="C656" s="93"/>
      <c r="D656" s="94"/>
      <c r="E656" s="93"/>
      <c r="F656" s="93"/>
      <c r="G656" s="93"/>
      <c r="H656" s="93"/>
      <c r="I656" s="93"/>
      <c r="J656" s="81"/>
    </row>
    <row r="657" spans="1:10" x14ac:dyDescent="0.15">
      <c r="A657" s="92"/>
      <c r="B657" s="93"/>
      <c r="C657" s="93"/>
      <c r="D657" s="94"/>
      <c r="E657" s="93"/>
      <c r="F657" s="93"/>
      <c r="G657" s="93"/>
      <c r="H657" s="93"/>
      <c r="I657" s="93"/>
      <c r="J657" s="81"/>
    </row>
    <row r="658" spans="1:10" x14ac:dyDescent="0.15">
      <c r="A658" s="92"/>
      <c r="B658" s="93"/>
      <c r="C658" s="93"/>
      <c r="D658" s="94"/>
      <c r="E658" s="93"/>
      <c r="F658" s="93"/>
      <c r="G658" s="93"/>
      <c r="H658" s="93"/>
      <c r="I658" s="93"/>
      <c r="J658" s="81"/>
    </row>
    <row r="659" spans="1:10" x14ac:dyDescent="0.15">
      <c r="A659" s="92"/>
      <c r="B659" s="93"/>
      <c r="C659" s="93"/>
      <c r="D659" s="94"/>
      <c r="E659" s="93"/>
      <c r="F659" s="93"/>
      <c r="G659" s="93"/>
      <c r="H659" s="93"/>
      <c r="I659" s="93"/>
      <c r="J659" s="81"/>
    </row>
    <row r="660" spans="1:10" x14ac:dyDescent="0.15">
      <c r="A660" s="92"/>
      <c r="B660" s="93"/>
      <c r="C660" s="93"/>
      <c r="D660" s="94"/>
      <c r="E660" s="93"/>
      <c r="F660" s="93"/>
      <c r="G660" s="93"/>
      <c r="H660" s="93"/>
      <c r="I660" s="93"/>
      <c r="J660" s="81"/>
    </row>
    <row r="661" spans="1:10" x14ac:dyDescent="0.15">
      <c r="A661" s="92"/>
      <c r="B661" s="93"/>
      <c r="C661" s="93"/>
      <c r="D661" s="94"/>
      <c r="E661" s="93"/>
      <c r="F661" s="93"/>
      <c r="G661" s="93"/>
      <c r="H661" s="93"/>
      <c r="I661" s="93"/>
      <c r="J661" s="81"/>
    </row>
    <row r="662" spans="1:10" x14ac:dyDescent="0.15">
      <c r="A662" s="92"/>
      <c r="B662" s="93"/>
      <c r="C662" s="93"/>
      <c r="D662" s="94"/>
      <c r="E662" s="93"/>
      <c r="F662" s="93"/>
      <c r="G662" s="93"/>
      <c r="H662" s="93"/>
      <c r="I662" s="93"/>
      <c r="J662" s="81"/>
    </row>
    <row r="663" spans="1:10" x14ac:dyDescent="0.15">
      <c r="A663" s="92"/>
      <c r="B663" s="93"/>
      <c r="C663" s="93"/>
      <c r="D663" s="94"/>
      <c r="E663" s="93"/>
      <c r="F663" s="93"/>
      <c r="G663" s="93"/>
      <c r="H663" s="93"/>
      <c r="I663" s="93"/>
      <c r="J663" s="81"/>
    </row>
    <row r="664" spans="1:10" x14ac:dyDescent="0.15">
      <c r="A664" s="92"/>
      <c r="B664" s="93"/>
      <c r="C664" s="93"/>
      <c r="D664" s="94"/>
      <c r="E664" s="93"/>
      <c r="F664" s="93"/>
      <c r="G664" s="93"/>
      <c r="H664" s="93"/>
      <c r="I664" s="93"/>
      <c r="J664" s="81"/>
    </row>
    <row r="665" spans="1:10" x14ac:dyDescent="0.15">
      <c r="A665" s="92"/>
      <c r="B665" s="93"/>
      <c r="C665" s="93"/>
      <c r="D665" s="94"/>
      <c r="E665" s="93"/>
      <c r="F665" s="93"/>
      <c r="G665" s="93"/>
      <c r="H665" s="93"/>
      <c r="I665" s="93"/>
      <c r="J665" s="81"/>
    </row>
    <row r="666" spans="1:10" x14ac:dyDescent="0.15">
      <c r="A666" s="92"/>
      <c r="B666" s="93"/>
      <c r="C666" s="93"/>
      <c r="D666" s="94"/>
      <c r="E666" s="93"/>
      <c r="F666" s="93"/>
      <c r="G666" s="93"/>
      <c r="H666" s="93"/>
      <c r="I666" s="93"/>
      <c r="J666" s="81"/>
    </row>
    <row r="667" spans="1:10" x14ac:dyDescent="0.15">
      <c r="A667" s="92"/>
      <c r="B667" s="93"/>
      <c r="C667" s="93"/>
      <c r="D667" s="94"/>
      <c r="E667" s="93"/>
      <c r="F667" s="93"/>
      <c r="G667" s="93"/>
      <c r="H667" s="93"/>
      <c r="I667" s="93"/>
      <c r="J667" s="81"/>
    </row>
    <row r="668" spans="1:10" x14ac:dyDescent="0.15">
      <c r="A668" s="92"/>
      <c r="B668" s="93"/>
      <c r="C668" s="93"/>
      <c r="D668" s="94"/>
      <c r="E668" s="93"/>
      <c r="F668" s="93"/>
      <c r="G668" s="93"/>
      <c r="H668" s="93"/>
      <c r="I668" s="93"/>
      <c r="J668" s="81"/>
    </row>
    <row r="669" spans="1:10" x14ac:dyDescent="0.15">
      <c r="A669" s="92"/>
      <c r="B669" s="93"/>
      <c r="C669" s="93"/>
      <c r="D669" s="94"/>
      <c r="E669" s="93"/>
      <c r="F669" s="93"/>
      <c r="G669" s="93"/>
      <c r="H669" s="93"/>
      <c r="I669" s="93"/>
      <c r="J669" s="81"/>
    </row>
    <row r="670" spans="1:10" x14ac:dyDescent="0.15">
      <c r="A670" s="92"/>
      <c r="B670" s="93"/>
      <c r="C670" s="93"/>
      <c r="D670" s="94"/>
      <c r="E670" s="93"/>
      <c r="F670" s="93"/>
      <c r="G670" s="93"/>
      <c r="H670" s="93"/>
      <c r="I670" s="93"/>
      <c r="J670" s="81"/>
    </row>
    <row r="671" spans="1:10" x14ac:dyDescent="0.15">
      <c r="A671" s="92"/>
      <c r="B671" s="93"/>
      <c r="C671" s="93"/>
      <c r="D671" s="94"/>
      <c r="E671" s="93"/>
      <c r="F671" s="93"/>
      <c r="G671" s="93"/>
      <c r="H671" s="93"/>
      <c r="I671" s="93"/>
      <c r="J671" s="81"/>
    </row>
    <row r="672" spans="1:10" x14ac:dyDescent="0.15">
      <c r="A672" s="92"/>
      <c r="B672" s="93"/>
      <c r="C672" s="93"/>
      <c r="D672" s="94"/>
      <c r="E672" s="93"/>
      <c r="F672" s="93"/>
      <c r="G672" s="93"/>
      <c r="H672" s="93"/>
      <c r="I672" s="93"/>
      <c r="J672" s="81"/>
    </row>
    <row r="673" spans="1:10" x14ac:dyDescent="0.15">
      <c r="A673" s="92"/>
      <c r="B673" s="93"/>
      <c r="C673" s="93"/>
      <c r="D673" s="94"/>
      <c r="E673" s="93"/>
      <c r="F673" s="93"/>
      <c r="G673" s="93"/>
      <c r="H673" s="93"/>
      <c r="I673" s="93"/>
      <c r="J673" s="81"/>
    </row>
    <row r="674" spans="1:10" x14ac:dyDescent="0.15">
      <c r="A674" s="92"/>
      <c r="B674" s="93"/>
      <c r="C674" s="93"/>
      <c r="D674" s="94"/>
      <c r="E674" s="93"/>
      <c r="F674" s="93"/>
      <c r="G674" s="93"/>
      <c r="H674" s="93"/>
      <c r="I674" s="93"/>
      <c r="J674" s="81"/>
    </row>
    <row r="675" spans="1:10" x14ac:dyDescent="0.15">
      <c r="A675" s="92"/>
      <c r="B675" s="93"/>
      <c r="C675" s="93"/>
      <c r="D675" s="94"/>
      <c r="E675" s="93"/>
      <c r="F675" s="93"/>
      <c r="G675" s="93"/>
      <c r="H675" s="93"/>
      <c r="I675" s="93"/>
      <c r="J675" s="81"/>
    </row>
    <row r="676" spans="1:10" x14ac:dyDescent="0.15">
      <c r="A676" s="92"/>
      <c r="B676" s="93"/>
      <c r="C676" s="93"/>
      <c r="D676" s="94"/>
      <c r="E676" s="93"/>
      <c r="F676" s="93"/>
      <c r="G676" s="93"/>
      <c r="H676" s="93"/>
      <c r="I676" s="93"/>
      <c r="J676" s="81"/>
    </row>
    <row r="677" spans="1:10" x14ac:dyDescent="0.15">
      <c r="A677" s="92"/>
      <c r="B677" s="93"/>
      <c r="C677" s="93"/>
      <c r="D677" s="94"/>
      <c r="E677" s="93"/>
      <c r="F677" s="93"/>
      <c r="G677" s="93"/>
      <c r="H677" s="93"/>
      <c r="I677" s="93"/>
      <c r="J677" s="81"/>
    </row>
    <row r="678" spans="1:10" x14ac:dyDescent="0.15">
      <c r="A678" s="92"/>
      <c r="B678" s="93"/>
      <c r="C678" s="93"/>
      <c r="D678" s="94"/>
      <c r="E678" s="93"/>
      <c r="F678" s="93"/>
      <c r="G678" s="93"/>
      <c r="H678" s="93"/>
      <c r="I678" s="93"/>
      <c r="J678" s="81"/>
    </row>
    <row r="679" spans="1:10" x14ac:dyDescent="0.15">
      <c r="A679" s="92"/>
      <c r="B679" s="93"/>
      <c r="C679" s="93"/>
      <c r="D679" s="94"/>
      <c r="E679" s="93"/>
      <c r="F679" s="93"/>
      <c r="G679" s="93"/>
      <c r="H679" s="93"/>
      <c r="I679" s="93"/>
      <c r="J679" s="81"/>
    </row>
    <row r="680" spans="1:10" x14ac:dyDescent="0.15">
      <c r="A680" s="92"/>
      <c r="B680" s="93"/>
      <c r="C680" s="93"/>
      <c r="D680" s="94"/>
      <c r="E680" s="93"/>
      <c r="F680" s="93"/>
      <c r="G680" s="93"/>
      <c r="H680" s="93"/>
      <c r="I680" s="93"/>
      <c r="J680" s="81"/>
    </row>
    <row r="681" spans="1:10" x14ac:dyDescent="0.15">
      <c r="A681" s="92"/>
      <c r="B681" s="93"/>
      <c r="C681" s="93"/>
      <c r="D681" s="94"/>
      <c r="E681" s="93"/>
      <c r="F681" s="93"/>
      <c r="G681" s="93"/>
      <c r="H681" s="93"/>
      <c r="I681" s="93"/>
      <c r="J681" s="81"/>
    </row>
    <row r="682" spans="1:10" x14ac:dyDescent="0.15">
      <c r="A682" s="92"/>
      <c r="B682" s="93"/>
      <c r="C682" s="93"/>
      <c r="D682" s="94"/>
      <c r="E682" s="93"/>
      <c r="F682" s="93"/>
      <c r="G682" s="93"/>
      <c r="H682" s="93"/>
      <c r="I682" s="93"/>
      <c r="J682" s="81"/>
    </row>
    <row r="683" spans="1:10" x14ac:dyDescent="0.15">
      <c r="A683" s="92"/>
      <c r="B683" s="93"/>
      <c r="C683" s="93"/>
      <c r="D683" s="94"/>
      <c r="E683" s="93"/>
      <c r="F683" s="93"/>
      <c r="G683" s="93"/>
      <c r="H683" s="93"/>
      <c r="I683" s="93"/>
      <c r="J683" s="81"/>
    </row>
    <row r="684" spans="1:10" x14ac:dyDescent="0.15">
      <c r="A684" s="92"/>
      <c r="B684" s="93"/>
      <c r="C684" s="93"/>
      <c r="D684" s="94"/>
      <c r="E684" s="93"/>
      <c r="F684" s="93"/>
      <c r="G684" s="93"/>
      <c r="H684" s="93"/>
      <c r="I684" s="93"/>
      <c r="J684" s="81"/>
    </row>
    <row r="685" spans="1:10" x14ac:dyDescent="0.15">
      <c r="A685" s="92"/>
      <c r="B685" s="93"/>
      <c r="C685" s="93"/>
      <c r="D685" s="94"/>
      <c r="E685" s="93"/>
      <c r="F685" s="93"/>
      <c r="G685" s="93"/>
      <c r="H685" s="93"/>
      <c r="I685" s="93"/>
      <c r="J685" s="81"/>
    </row>
    <row r="686" spans="1:10" x14ac:dyDescent="0.15">
      <c r="A686" s="92"/>
      <c r="B686" s="93"/>
      <c r="C686" s="93"/>
      <c r="D686" s="94"/>
      <c r="E686" s="93"/>
      <c r="F686" s="93"/>
      <c r="G686" s="93"/>
      <c r="H686" s="93"/>
      <c r="I686" s="93"/>
      <c r="J686" s="81"/>
    </row>
    <row r="687" spans="1:10" x14ac:dyDescent="0.15">
      <c r="A687" s="92"/>
      <c r="B687" s="93"/>
      <c r="C687" s="93"/>
      <c r="D687" s="94"/>
      <c r="E687" s="93"/>
      <c r="F687" s="93"/>
      <c r="G687" s="93"/>
      <c r="H687" s="93"/>
      <c r="I687" s="93"/>
      <c r="J687" s="81"/>
    </row>
    <row r="688" spans="1:10" x14ac:dyDescent="0.15">
      <c r="A688" s="92"/>
      <c r="B688" s="93"/>
      <c r="C688" s="93"/>
      <c r="D688" s="94"/>
      <c r="E688" s="93"/>
      <c r="F688" s="93"/>
      <c r="G688" s="93"/>
      <c r="H688" s="93"/>
      <c r="I688" s="93"/>
      <c r="J688" s="81"/>
    </row>
    <row r="689" spans="1:10" x14ac:dyDescent="0.15">
      <c r="A689" s="92"/>
      <c r="B689" s="93"/>
      <c r="C689" s="93"/>
      <c r="D689" s="94"/>
      <c r="E689" s="93"/>
      <c r="F689" s="93"/>
      <c r="G689" s="93"/>
      <c r="H689" s="93"/>
      <c r="I689" s="93"/>
      <c r="J689" s="81"/>
    </row>
    <row r="690" spans="1:10" x14ac:dyDescent="0.15">
      <c r="A690" s="92"/>
      <c r="B690" s="93"/>
      <c r="C690" s="93"/>
      <c r="D690" s="94"/>
      <c r="E690" s="93"/>
      <c r="F690" s="93"/>
      <c r="G690" s="93"/>
      <c r="H690" s="93"/>
      <c r="I690" s="93"/>
      <c r="J690" s="81"/>
    </row>
    <row r="691" spans="1:10" x14ac:dyDescent="0.15">
      <c r="A691" s="92"/>
      <c r="B691" s="93"/>
      <c r="C691" s="93"/>
      <c r="D691" s="94"/>
      <c r="E691" s="93"/>
      <c r="F691" s="93"/>
      <c r="G691" s="93"/>
      <c r="H691" s="93"/>
      <c r="I691" s="93"/>
      <c r="J691" s="81"/>
    </row>
    <row r="692" spans="1:10" x14ac:dyDescent="0.15">
      <c r="A692" s="92"/>
      <c r="B692" s="93"/>
      <c r="C692" s="93"/>
      <c r="D692" s="94"/>
      <c r="E692" s="93"/>
      <c r="F692" s="93"/>
      <c r="G692" s="93"/>
      <c r="H692" s="93"/>
      <c r="I692" s="93"/>
      <c r="J692" s="81"/>
    </row>
    <row r="693" spans="1:10" x14ac:dyDescent="0.15">
      <c r="A693" s="92"/>
      <c r="B693" s="93"/>
      <c r="C693" s="93"/>
      <c r="D693" s="94"/>
      <c r="E693" s="93"/>
      <c r="F693" s="93"/>
      <c r="G693" s="93"/>
      <c r="H693" s="93"/>
      <c r="I693" s="93"/>
      <c r="J693" s="81"/>
    </row>
    <row r="694" spans="1:10" x14ac:dyDescent="0.15">
      <c r="A694" s="92"/>
      <c r="B694" s="93"/>
      <c r="C694" s="93"/>
      <c r="D694" s="94"/>
      <c r="E694" s="93"/>
      <c r="F694" s="93"/>
      <c r="G694" s="93"/>
      <c r="H694" s="93"/>
      <c r="I694" s="93"/>
      <c r="J694" s="81"/>
    </row>
    <row r="695" spans="1:10" x14ac:dyDescent="0.15">
      <c r="A695" s="92"/>
      <c r="B695" s="93"/>
      <c r="C695" s="93"/>
      <c r="D695" s="94"/>
      <c r="E695" s="93"/>
      <c r="F695" s="93"/>
      <c r="G695" s="93"/>
      <c r="H695" s="93"/>
      <c r="I695" s="93"/>
      <c r="J695" s="81"/>
    </row>
    <row r="696" spans="1:10" x14ac:dyDescent="0.15">
      <c r="A696" s="92"/>
      <c r="B696" s="93"/>
      <c r="C696" s="93"/>
      <c r="D696" s="94"/>
      <c r="E696" s="93"/>
      <c r="F696" s="93"/>
      <c r="G696" s="93"/>
      <c r="H696" s="93"/>
      <c r="I696" s="93"/>
      <c r="J696" s="81"/>
    </row>
    <row r="697" spans="1:10" x14ac:dyDescent="0.15">
      <c r="A697" s="92"/>
      <c r="B697" s="93"/>
      <c r="C697" s="93"/>
      <c r="D697" s="94"/>
      <c r="E697" s="93"/>
      <c r="F697" s="93"/>
      <c r="G697" s="93"/>
      <c r="H697" s="93"/>
      <c r="I697" s="93"/>
      <c r="J697" s="81"/>
    </row>
    <row r="698" spans="1:10" x14ac:dyDescent="0.15">
      <c r="A698" s="92"/>
      <c r="B698" s="93"/>
      <c r="C698" s="93"/>
      <c r="D698" s="94"/>
      <c r="E698" s="93"/>
      <c r="F698" s="93"/>
      <c r="G698" s="93"/>
      <c r="H698" s="93"/>
      <c r="I698" s="93"/>
      <c r="J698" s="81"/>
    </row>
    <row r="699" spans="1:10" x14ac:dyDescent="0.15">
      <c r="A699" s="92"/>
      <c r="B699" s="93"/>
      <c r="C699" s="93"/>
      <c r="D699" s="94"/>
      <c r="E699" s="93"/>
      <c r="F699" s="93"/>
      <c r="G699" s="93"/>
      <c r="H699" s="93"/>
      <c r="I699" s="93"/>
      <c r="J699" s="81"/>
    </row>
    <row r="700" spans="1:10" x14ac:dyDescent="0.15">
      <c r="A700" s="92"/>
      <c r="B700" s="93"/>
      <c r="C700" s="93"/>
      <c r="D700" s="94"/>
      <c r="E700" s="93"/>
      <c r="F700" s="93"/>
      <c r="G700" s="93"/>
      <c r="H700" s="93"/>
      <c r="I700" s="93"/>
      <c r="J700" s="81"/>
    </row>
    <row r="701" spans="1:10" x14ac:dyDescent="0.15">
      <c r="A701" s="92"/>
      <c r="B701" s="93"/>
      <c r="C701" s="93"/>
      <c r="D701" s="94"/>
      <c r="E701" s="93"/>
      <c r="F701" s="93"/>
      <c r="G701" s="93"/>
      <c r="H701" s="93"/>
      <c r="I701" s="93"/>
      <c r="J701" s="81"/>
    </row>
    <row r="702" spans="1:10" x14ac:dyDescent="0.15">
      <c r="A702" s="92"/>
      <c r="B702" s="93"/>
      <c r="C702" s="93"/>
      <c r="D702" s="94"/>
      <c r="E702" s="93"/>
      <c r="F702" s="93"/>
      <c r="G702" s="93"/>
      <c r="H702" s="93"/>
      <c r="I702" s="93"/>
      <c r="J702" s="81"/>
    </row>
    <row r="703" spans="1:10" x14ac:dyDescent="0.15">
      <c r="A703" s="92"/>
      <c r="B703" s="93"/>
      <c r="C703" s="93"/>
      <c r="D703" s="94"/>
      <c r="E703" s="93"/>
      <c r="F703" s="93"/>
      <c r="G703" s="93"/>
      <c r="H703" s="93"/>
      <c r="I703" s="93"/>
      <c r="J703" s="81"/>
    </row>
    <row r="704" spans="1:10" x14ac:dyDescent="0.15">
      <c r="A704" s="92"/>
      <c r="B704" s="93"/>
      <c r="C704" s="93"/>
      <c r="D704" s="94"/>
      <c r="E704" s="93"/>
      <c r="F704" s="93"/>
      <c r="G704" s="93"/>
      <c r="H704" s="93"/>
      <c r="I704" s="93"/>
      <c r="J704" s="81"/>
    </row>
    <row r="705" spans="1:10" x14ac:dyDescent="0.15">
      <c r="A705" s="92"/>
      <c r="B705" s="93"/>
      <c r="C705" s="93"/>
      <c r="D705" s="94"/>
      <c r="E705" s="93"/>
      <c r="F705" s="93"/>
      <c r="G705" s="93"/>
      <c r="H705" s="93"/>
      <c r="I705" s="93"/>
      <c r="J705" s="81"/>
    </row>
    <row r="706" spans="1:10" x14ac:dyDescent="0.15">
      <c r="A706" s="92"/>
      <c r="B706" s="93"/>
      <c r="C706" s="93"/>
      <c r="D706" s="94"/>
      <c r="E706" s="93"/>
      <c r="F706" s="93"/>
      <c r="G706" s="93"/>
      <c r="H706" s="93"/>
      <c r="I706" s="93"/>
      <c r="J706" s="81"/>
    </row>
    <row r="707" spans="1:10" x14ac:dyDescent="0.15">
      <c r="A707" s="92"/>
      <c r="B707" s="93"/>
      <c r="C707" s="93"/>
      <c r="D707" s="94"/>
      <c r="E707" s="93"/>
      <c r="F707" s="93"/>
      <c r="G707" s="93"/>
      <c r="H707" s="93"/>
      <c r="I707" s="93"/>
      <c r="J707" s="81"/>
    </row>
    <row r="708" spans="1:10" x14ac:dyDescent="0.15">
      <c r="A708" s="92"/>
      <c r="B708" s="93"/>
      <c r="C708" s="93"/>
      <c r="D708" s="94"/>
      <c r="E708" s="93"/>
      <c r="F708" s="93"/>
      <c r="G708" s="93"/>
      <c r="H708" s="93"/>
      <c r="I708" s="93"/>
      <c r="J708" s="81"/>
    </row>
    <row r="709" spans="1:10" x14ac:dyDescent="0.15">
      <c r="A709" s="92"/>
      <c r="B709" s="93"/>
      <c r="C709" s="93"/>
      <c r="D709" s="94"/>
      <c r="E709" s="93"/>
      <c r="F709" s="93"/>
      <c r="G709" s="93"/>
      <c r="H709" s="93"/>
      <c r="I709" s="93"/>
      <c r="J709" s="81"/>
    </row>
    <row r="710" spans="1:10" x14ac:dyDescent="0.15">
      <c r="A710" s="92"/>
      <c r="B710" s="93"/>
      <c r="C710" s="93"/>
      <c r="D710" s="94"/>
      <c r="E710" s="93"/>
      <c r="F710" s="93"/>
      <c r="G710" s="93"/>
      <c r="H710" s="93"/>
      <c r="I710" s="93"/>
      <c r="J710" s="81"/>
    </row>
    <row r="711" spans="1:10" x14ac:dyDescent="0.15">
      <c r="A711" s="92"/>
      <c r="B711" s="93"/>
      <c r="C711" s="93"/>
      <c r="D711" s="94"/>
      <c r="E711" s="93"/>
      <c r="F711" s="93"/>
      <c r="G711" s="93"/>
      <c r="H711" s="93"/>
      <c r="I711" s="93"/>
      <c r="J711" s="81"/>
    </row>
    <row r="712" spans="1:10" x14ac:dyDescent="0.15">
      <c r="A712" s="92"/>
      <c r="B712" s="93"/>
      <c r="C712" s="93"/>
      <c r="D712" s="94"/>
      <c r="E712" s="93"/>
      <c r="F712" s="93"/>
      <c r="G712" s="93"/>
      <c r="H712" s="93"/>
      <c r="I712" s="93"/>
      <c r="J712" s="81"/>
    </row>
    <row r="713" spans="1:10" x14ac:dyDescent="0.15">
      <c r="A713" s="92"/>
      <c r="B713" s="93"/>
      <c r="C713" s="93"/>
      <c r="D713" s="94"/>
      <c r="E713" s="93"/>
      <c r="F713" s="93"/>
      <c r="G713" s="93"/>
      <c r="H713" s="93"/>
      <c r="I713" s="93"/>
      <c r="J713" s="81"/>
    </row>
    <row r="714" spans="1:10" x14ac:dyDescent="0.15">
      <c r="A714" s="92"/>
      <c r="B714" s="93"/>
      <c r="C714" s="93"/>
      <c r="D714" s="94"/>
      <c r="E714" s="93"/>
      <c r="F714" s="93"/>
      <c r="G714" s="93"/>
      <c r="H714" s="93"/>
      <c r="I714" s="93"/>
      <c r="J714" s="81"/>
    </row>
    <row r="715" spans="1:10" x14ac:dyDescent="0.15">
      <c r="A715" s="92"/>
      <c r="B715" s="93"/>
      <c r="C715" s="93"/>
      <c r="D715" s="94"/>
      <c r="E715" s="93"/>
      <c r="F715" s="93"/>
      <c r="G715" s="93"/>
      <c r="H715" s="93"/>
      <c r="I715" s="93"/>
      <c r="J715" s="81"/>
    </row>
    <row r="716" spans="1:10" x14ac:dyDescent="0.15">
      <c r="A716" s="92"/>
      <c r="B716" s="93"/>
      <c r="C716" s="93"/>
      <c r="D716" s="94"/>
      <c r="E716" s="93"/>
      <c r="F716" s="93"/>
      <c r="G716" s="93"/>
      <c r="H716" s="93"/>
      <c r="I716" s="93"/>
      <c r="J716" s="81"/>
    </row>
    <row r="717" spans="1:10" x14ac:dyDescent="0.15">
      <c r="A717" s="92"/>
      <c r="B717" s="93"/>
      <c r="C717" s="93"/>
      <c r="D717" s="94"/>
      <c r="E717" s="93"/>
      <c r="F717" s="93"/>
      <c r="G717" s="93"/>
      <c r="H717" s="93"/>
      <c r="I717" s="93"/>
      <c r="J717" s="81"/>
    </row>
    <row r="718" spans="1:10" x14ac:dyDescent="0.15">
      <c r="A718" s="92"/>
      <c r="B718" s="93"/>
      <c r="C718" s="93"/>
      <c r="D718" s="94"/>
      <c r="E718" s="93"/>
      <c r="F718" s="93"/>
      <c r="G718" s="93"/>
      <c r="H718" s="93"/>
      <c r="I718" s="93"/>
      <c r="J718" s="81"/>
    </row>
    <row r="719" spans="1:10" x14ac:dyDescent="0.15">
      <c r="A719" s="92"/>
      <c r="B719" s="93"/>
      <c r="C719" s="93"/>
      <c r="D719" s="94"/>
      <c r="E719" s="93"/>
      <c r="F719" s="93"/>
      <c r="G719" s="93"/>
      <c r="H719" s="93"/>
      <c r="I719" s="93"/>
      <c r="J719" s="81"/>
    </row>
    <row r="720" spans="1:10" x14ac:dyDescent="0.15">
      <c r="A720" s="92"/>
      <c r="B720" s="93"/>
      <c r="C720" s="93"/>
      <c r="D720" s="94"/>
      <c r="E720" s="93"/>
      <c r="F720" s="93"/>
      <c r="G720" s="93"/>
      <c r="H720" s="93"/>
      <c r="I720" s="93"/>
      <c r="J720" s="81"/>
    </row>
    <row r="721" spans="1:10" x14ac:dyDescent="0.15">
      <c r="A721" s="92"/>
      <c r="B721" s="93"/>
      <c r="C721" s="93"/>
      <c r="D721" s="94"/>
      <c r="E721" s="93"/>
      <c r="F721" s="93"/>
      <c r="G721" s="93"/>
      <c r="H721" s="93"/>
      <c r="I721" s="93"/>
      <c r="J721" s="81"/>
    </row>
    <row r="722" spans="1:10" x14ac:dyDescent="0.15">
      <c r="A722" s="92"/>
      <c r="B722" s="93"/>
      <c r="C722" s="93"/>
      <c r="D722" s="94"/>
      <c r="E722" s="93"/>
      <c r="F722" s="93"/>
      <c r="G722" s="93"/>
      <c r="H722" s="93"/>
      <c r="I722" s="93"/>
      <c r="J722" s="81"/>
    </row>
    <row r="723" spans="1:10" x14ac:dyDescent="0.15">
      <c r="A723" s="92"/>
      <c r="B723" s="93"/>
      <c r="C723" s="93"/>
      <c r="D723" s="94"/>
      <c r="E723" s="93"/>
      <c r="F723" s="93"/>
      <c r="G723" s="93"/>
      <c r="H723" s="93"/>
      <c r="I723" s="93"/>
      <c r="J723" s="81"/>
    </row>
    <row r="724" spans="1:10" x14ac:dyDescent="0.15">
      <c r="A724" s="92"/>
      <c r="B724" s="93"/>
      <c r="C724" s="93"/>
      <c r="D724" s="94"/>
      <c r="E724" s="93"/>
      <c r="F724" s="93"/>
      <c r="G724" s="93"/>
      <c r="H724" s="93"/>
      <c r="I724" s="93"/>
      <c r="J724" s="81"/>
    </row>
    <row r="725" spans="1:10" x14ac:dyDescent="0.15">
      <c r="A725" s="92"/>
      <c r="B725" s="93"/>
      <c r="C725" s="93"/>
      <c r="D725" s="94"/>
      <c r="E725" s="93"/>
      <c r="F725" s="93"/>
      <c r="G725" s="93"/>
      <c r="H725" s="93"/>
      <c r="I725" s="93"/>
      <c r="J725" s="81"/>
    </row>
    <row r="726" spans="1:10" x14ac:dyDescent="0.15">
      <c r="A726" s="92"/>
      <c r="B726" s="93"/>
      <c r="C726" s="93"/>
      <c r="D726" s="94"/>
      <c r="E726" s="93"/>
      <c r="F726" s="93"/>
      <c r="G726" s="93"/>
      <c r="H726" s="93"/>
      <c r="I726" s="93"/>
      <c r="J726" s="81"/>
    </row>
    <row r="727" spans="1:10" x14ac:dyDescent="0.15">
      <c r="A727" s="92"/>
      <c r="B727" s="93"/>
      <c r="C727" s="93"/>
      <c r="D727" s="94"/>
      <c r="E727" s="93"/>
      <c r="F727" s="93"/>
      <c r="G727" s="93"/>
      <c r="H727" s="93"/>
      <c r="I727" s="93"/>
      <c r="J727" s="81"/>
    </row>
    <row r="728" spans="1:10" x14ac:dyDescent="0.15">
      <c r="A728" s="92"/>
      <c r="B728" s="93"/>
      <c r="C728" s="93"/>
      <c r="D728" s="94"/>
      <c r="E728" s="93"/>
      <c r="F728" s="93"/>
      <c r="G728" s="93"/>
      <c r="H728" s="93"/>
      <c r="I728" s="93"/>
      <c r="J728" s="81"/>
    </row>
    <row r="729" spans="1:10" x14ac:dyDescent="0.15">
      <c r="A729" s="92"/>
      <c r="B729" s="93"/>
      <c r="C729" s="93"/>
      <c r="D729" s="94"/>
      <c r="E729" s="93"/>
      <c r="F729" s="93"/>
      <c r="G729" s="93"/>
      <c r="H729" s="93"/>
      <c r="I729" s="93"/>
      <c r="J729" s="81"/>
    </row>
    <row r="730" spans="1:10" x14ac:dyDescent="0.15">
      <c r="A730" s="92"/>
      <c r="B730" s="93"/>
      <c r="C730" s="93"/>
      <c r="D730" s="94"/>
      <c r="E730" s="93"/>
      <c r="F730" s="93"/>
      <c r="G730" s="93"/>
      <c r="H730" s="93"/>
      <c r="I730" s="93"/>
      <c r="J730" s="81"/>
    </row>
    <row r="731" spans="1:10" x14ac:dyDescent="0.15">
      <c r="A731" s="92"/>
      <c r="B731" s="93"/>
      <c r="C731" s="93"/>
      <c r="D731" s="94"/>
      <c r="E731" s="93"/>
      <c r="F731" s="93"/>
      <c r="G731" s="93"/>
      <c r="H731" s="93"/>
      <c r="I731" s="93"/>
      <c r="J731" s="81"/>
    </row>
    <row r="732" spans="1:10" x14ac:dyDescent="0.15">
      <c r="A732" s="92"/>
      <c r="B732" s="93"/>
      <c r="C732" s="93"/>
      <c r="D732" s="94"/>
      <c r="E732" s="93"/>
      <c r="F732" s="93"/>
      <c r="G732" s="93"/>
      <c r="H732" s="93"/>
      <c r="I732" s="93"/>
      <c r="J732" s="81"/>
    </row>
    <row r="733" spans="1:10" x14ac:dyDescent="0.15">
      <c r="A733" s="92"/>
      <c r="B733" s="93"/>
      <c r="C733" s="93"/>
      <c r="D733" s="94"/>
      <c r="E733" s="93"/>
      <c r="F733" s="93"/>
      <c r="G733" s="93"/>
      <c r="H733" s="93"/>
      <c r="I733" s="93"/>
      <c r="J733" s="81"/>
    </row>
    <row r="734" spans="1:10" x14ac:dyDescent="0.15">
      <c r="A734" s="92"/>
      <c r="B734" s="93"/>
      <c r="C734" s="93"/>
      <c r="D734" s="94"/>
      <c r="E734" s="93"/>
      <c r="F734" s="93"/>
      <c r="G734" s="93"/>
      <c r="H734" s="93"/>
      <c r="I734" s="93"/>
      <c r="J734" s="81"/>
    </row>
    <row r="735" spans="1:10" x14ac:dyDescent="0.15">
      <c r="A735" s="92"/>
      <c r="B735" s="93"/>
      <c r="C735" s="93"/>
      <c r="D735" s="94"/>
      <c r="E735" s="93"/>
      <c r="F735" s="93"/>
      <c r="G735" s="93"/>
      <c r="H735" s="93"/>
      <c r="I735" s="93"/>
      <c r="J735" s="81"/>
    </row>
    <row r="736" spans="1:10" x14ac:dyDescent="0.15">
      <c r="A736" s="92"/>
      <c r="B736" s="93"/>
      <c r="C736" s="93"/>
      <c r="D736" s="94"/>
      <c r="E736" s="93"/>
      <c r="F736" s="93"/>
      <c r="G736" s="93"/>
      <c r="H736" s="93"/>
      <c r="I736" s="93"/>
      <c r="J736" s="81"/>
    </row>
    <row r="737" spans="1:10" x14ac:dyDescent="0.15">
      <c r="A737" s="92"/>
      <c r="B737" s="93"/>
      <c r="C737" s="93"/>
      <c r="D737" s="94"/>
      <c r="E737" s="93"/>
      <c r="F737" s="93"/>
      <c r="G737" s="93"/>
      <c r="H737" s="93"/>
      <c r="I737" s="93"/>
      <c r="J737" s="81"/>
    </row>
    <row r="738" spans="1:10" x14ac:dyDescent="0.15">
      <c r="A738" s="92"/>
      <c r="B738" s="93"/>
      <c r="C738" s="93"/>
      <c r="D738" s="94"/>
      <c r="E738" s="93"/>
      <c r="F738" s="93"/>
      <c r="G738" s="93"/>
      <c r="H738" s="93"/>
      <c r="I738" s="93"/>
      <c r="J738" s="81"/>
    </row>
    <row r="739" spans="1:10" x14ac:dyDescent="0.15">
      <c r="A739" s="92"/>
      <c r="B739" s="93"/>
      <c r="C739" s="93"/>
      <c r="D739" s="94"/>
      <c r="E739" s="93"/>
      <c r="F739" s="93"/>
      <c r="G739" s="93"/>
      <c r="H739" s="93"/>
      <c r="I739" s="93"/>
      <c r="J739" s="81"/>
    </row>
    <row r="740" spans="1:10" x14ac:dyDescent="0.15">
      <c r="A740" s="92"/>
      <c r="B740" s="93"/>
      <c r="C740" s="93"/>
      <c r="D740" s="94"/>
      <c r="E740" s="93"/>
      <c r="F740" s="93"/>
      <c r="G740" s="93"/>
      <c r="H740" s="93"/>
      <c r="I740" s="93"/>
      <c r="J740" s="81"/>
    </row>
    <row r="741" spans="1:10" x14ac:dyDescent="0.15">
      <c r="A741" s="92"/>
      <c r="B741" s="93"/>
      <c r="C741" s="93"/>
      <c r="D741" s="94"/>
      <c r="E741" s="93"/>
      <c r="F741" s="93"/>
      <c r="G741" s="93"/>
      <c r="H741" s="93"/>
      <c r="I741" s="93"/>
      <c r="J741" s="81"/>
    </row>
    <row r="742" spans="1:10" x14ac:dyDescent="0.15">
      <c r="A742" s="92"/>
      <c r="B742" s="93"/>
      <c r="C742" s="93"/>
      <c r="D742" s="94"/>
      <c r="E742" s="93"/>
      <c r="F742" s="93"/>
      <c r="G742" s="93"/>
      <c r="H742" s="93"/>
      <c r="I742" s="93"/>
      <c r="J742" s="81"/>
    </row>
    <row r="743" spans="1:10" x14ac:dyDescent="0.15">
      <c r="A743" s="92"/>
      <c r="B743" s="93"/>
      <c r="C743" s="93"/>
      <c r="D743" s="94"/>
      <c r="E743" s="93"/>
      <c r="F743" s="93"/>
      <c r="G743" s="93"/>
      <c r="H743" s="93"/>
      <c r="I743" s="93"/>
      <c r="J743" s="81"/>
    </row>
    <row r="744" spans="1:10" x14ac:dyDescent="0.15">
      <c r="A744" s="92"/>
      <c r="B744" s="93"/>
      <c r="C744" s="93"/>
      <c r="D744" s="94"/>
      <c r="E744" s="93"/>
      <c r="F744" s="93"/>
      <c r="G744" s="93"/>
      <c r="H744" s="93"/>
      <c r="I744" s="93"/>
      <c r="J744" s="81"/>
    </row>
    <row r="745" spans="1:10" x14ac:dyDescent="0.15">
      <c r="A745" s="92"/>
      <c r="B745" s="93"/>
      <c r="C745" s="93"/>
      <c r="D745" s="94"/>
      <c r="E745" s="93"/>
      <c r="F745" s="93"/>
      <c r="G745" s="93"/>
      <c r="H745" s="93"/>
      <c r="I745" s="93"/>
      <c r="J745" s="81"/>
    </row>
    <row r="746" spans="1:10" x14ac:dyDescent="0.15">
      <c r="A746" s="92"/>
      <c r="B746" s="93"/>
      <c r="C746" s="93"/>
      <c r="D746" s="94"/>
      <c r="E746" s="93"/>
      <c r="F746" s="93"/>
      <c r="G746" s="93"/>
      <c r="H746" s="93"/>
      <c r="I746" s="93"/>
      <c r="J746" s="81"/>
    </row>
    <row r="747" spans="1:10" x14ac:dyDescent="0.15">
      <c r="A747" s="92"/>
      <c r="B747" s="93"/>
      <c r="C747" s="93"/>
      <c r="D747" s="94"/>
      <c r="E747" s="93"/>
      <c r="F747" s="93"/>
      <c r="G747" s="93"/>
      <c r="H747" s="93"/>
      <c r="I747" s="93"/>
      <c r="J747" s="81"/>
    </row>
    <row r="748" spans="1:10" x14ac:dyDescent="0.15">
      <c r="A748" s="92"/>
      <c r="B748" s="93"/>
      <c r="C748" s="93"/>
      <c r="D748" s="94"/>
      <c r="E748" s="93"/>
      <c r="F748" s="93"/>
      <c r="G748" s="93"/>
      <c r="H748" s="93"/>
      <c r="I748" s="93"/>
      <c r="J748" s="81"/>
    </row>
    <row r="749" spans="1:10" x14ac:dyDescent="0.15">
      <c r="A749" s="92"/>
      <c r="B749" s="93"/>
      <c r="C749" s="93"/>
      <c r="D749" s="94"/>
      <c r="E749" s="93"/>
      <c r="F749" s="93"/>
      <c r="G749" s="93"/>
      <c r="H749" s="93"/>
      <c r="I749" s="93"/>
      <c r="J749" s="81"/>
    </row>
    <row r="750" spans="1:10" x14ac:dyDescent="0.15">
      <c r="A750" s="92"/>
      <c r="B750" s="93"/>
      <c r="C750" s="93"/>
      <c r="D750" s="94"/>
      <c r="E750" s="93"/>
      <c r="F750" s="93"/>
      <c r="G750" s="93"/>
      <c r="H750" s="93"/>
      <c r="I750" s="93"/>
      <c r="J750" s="81"/>
    </row>
    <row r="751" spans="1:10" x14ac:dyDescent="0.15">
      <c r="A751" s="92"/>
      <c r="B751" s="93"/>
      <c r="C751" s="93"/>
      <c r="D751" s="94"/>
      <c r="E751" s="93"/>
      <c r="F751" s="93"/>
      <c r="G751" s="93"/>
      <c r="H751" s="93"/>
      <c r="I751" s="93"/>
      <c r="J751" s="81"/>
    </row>
    <row r="752" spans="1:10" x14ac:dyDescent="0.15">
      <c r="A752" s="92"/>
      <c r="B752" s="93"/>
      <c r="C752" s="93"/>
      <c r="D752" s="94"/>
      <c r="E752" s="93"/>
      <c r="F752" s="93"/>
      <c r="G752" s="93"/>
      <c r="H752" s="93"/>
      <c r="I752" s="93"/>
      <c r="J752" s="81"/>
    </row>
    <row r="753" spans="1:10" x14ac:dyDescent="0.15">
      <c r="A753" s="92"/>
      <c r="B753" s="93"/>
      <c r="C753" s="93"/>
      <c r="D753" s="94"/>
      <c r="E753" s="93"/>
      <c r="F753" s="93"/>
      <c r="G753" s="93"/>
      <c r="H753" s="93"/>
      <c r="I753" s="93"/>
      <c r="J753" s="81"/>
    </row>
    <row r="754" spans="1:10" x14ac:dyDescent="0.15">
      <c r="A754" s="92"/>
      <c r="B754" s="93"/>
      <c r="C754" s="93"/>
      <c r="D754" s="94"/>
      <c r="E754" s="93"/>
      <c r="F754" s="93"/>
      <c r="G754" s="93"/>
      <c r="H754" s="93"/>
      <c r="I754" s="93"/>
      <c r="J754" s="81"/>
    </row>
    <row r="755" spans="1:10" x14ac:dyDescent="0.15">
      <c r="A755" s="92"/>
      <c r="B755" s="93"/>
      <c r="C755" s="93"/>
      <c r="D755" s="94"/>
      <c r="E755" s="93"/>
      <c r="F755" s="93"/>
      <c r="G755" s="93"/>
      <c r="H755" s="93"/>
      <c r="I755" s="93"/>
      <c r="J755" s="81"/>
    </row>
    <row r="756" spans="1:10" x14ac:dyDescent="0.15">
      <c r="A756" s="92"/>
      <c r="B756" s="93"/>
      <c r="C756" s="93"/>
      <c r="D756" s="94"/>
      <c r="E756" s="93"/>
      <c r="F756" s="93"/>
      <c r="G756" s="93"/>
      <c r="H756" s="93"/>
      <c r="I756" s="93"/>
      <c r="J756" s="81"/>
    </row>
    <row r="757" spans="1:10" x14ac:dyDescent="0.15">
      <c r="A757" s="92"/>
      <c r="B757" s="93"/>
      <c r="C757" s="93"/>
      <c r="D757" s="94"/>
      <c r="E757" s="93"/>
      <c r="F757" s="93"/>
      <c r="G757" s="93"/>
      <c r="H757" s="93"/>
      <c r="I757" s="93"/>
      <c r="J757" s="81"/>
    </row>
    <row r="758" spans="1:10" x14ac:dyDescent="0.15">
      <c r="A758" s="92"/>
      <c r="B758" s="93"/>
      <c r="C758" s="93"/>
      <c r="D758" s="94"/>
      <c r="E758" s="93"/>
      <c r="F758" s="93"/>
      <c r="G758" s="93"/>
      <c r="H758" s="93"/>
      <c r="I758" s="93"/>
      <c r="J758" s="81"/>
    </row>
    <row r="759" spans="1:10" x14ac:dyDescent="0.15">
      <c r="A759" s="92"/>
      <c r="B759" s="93"/>
      <c r="C759" s="93"/>
      <c r="D759" s="94"/>
      <c r="E759" s="93"/>
      <c r="F759" s="93"/>
      <c r="G759" s="93"/>
      <c r="H759" s="93"/>
      <c r="I759" s="93"/>
      <c r="J759" s="81"/>
    </row>
    <row r="760" spans="1:10" x14ac:dyDescent="0.15">
      <c r="A760" s="92"/>
      <c r="B760" s="93"/>
      <c r="C760" s="93"/>
      <c r="D760" s="94"/>
      <c r="E760" s="93"/>
      <c r="F760" s="93"/>
      <c r="G760" s="93"/>
      <c r="H760" s="93"/>
      <c r="I760" s="93"/>
      <c r="J760" s="81"/>
    </row>
    <row r="761" spans="1:10" x14ac:dyDescent="0.15">
      <c r="A761" s="92"/>
      <c r="B761" s="93"/>
      <c r="C761" s="93"/>
      <c r="D761" s="94"/>
      <c r="E761" s="93"/>
      <c r="F761" s="93"/>
      <c r="G761" s="93"/>
      <c r="H761" s="93"/>
      <c r="I761" s="93"/>
      <c r="J761" s="81"/>
    </row>
    <row r="762" spans="1:10" x14ac:dyDescent="0.15">
      <c r="A762" s="92"/>
      <c r="B762" s="93"/>
      <c r="C762" s="93"/>
      <c r="D762" s="94"/>
      <c r="E762" s="93"/>
      <c r="F762" s="93"/>
      <c r="G762" s="93"/>
      <c r="H762" s="93"/>
      <c r="I762" s="93"/>
      <c r="J762" s="81"/>
    </row>
    <row r="763" spans="1:10" x14ac:dyDescent="0.15">
      <c r="A763" s="92"/>
      <c r="B763" s="93"/>
      <c r="C763" s="93"/>
      <c r="D763" s="94"/>
      <c r="E763" s="93"/>
      <c r="F763" s="93"/>
      <c r="G763" s="93"/>
      <c r="H763" s="93"/>
      <c r="I763" s="93"/>
      <c r="J763" s="81"/>
    </row>
    <row r="764" spans="1:10" x14ac:dyDescent="0.15">
      <c r="A764" s="92"/>
      <c r="B764" s="93"/>
      <c r="C764" s="93"/>
      <c r="D764" s="94"/>
      <c r="E764" s="93"/>
      <c r="F764" s="93"/>
      <c r="G764" s="93"/>
      <c r="H764" s="93"/>
      <c r="I764" s="93"/>
      <c r="J764" s="81"/>
    </row>
    <row r="765" spans="1:10" x14ac:dyDescent="0.15">
      <c r="A765" s="92"/>
      <c r="B765" s="93"/>
      <c r="C765" s="93"/>
      <c r="D765" s="94"/>
      <c r="E765" s="93"/>
      <c r="F765" s="93"/>
      <c r="G765" s="93"/>
      <c r="H765" s="93"/>
      <c r="I765" s="93"/>
      <c r="J765" s="81"/>
    </row>
    <row r="766" spans="1:10" x14ac:dyDescent="0.15">
      <c r="A766" s="92"/>
      <c r="B766" s="93"/>
      <c r="C766" s="93"/>
      <c r="D766" s="94"/>
      <c r="E766" s="93"/>
      <c r="F766" s="93"/>
      <c r="G766" s="93"/>
      <c r="H766" s="93"/>
      <c r="I766" s="93"/>
      <c r="J766" s="81"/>
    </row>
    <row r="767" spans="1:10" x14ac:dyDescent="0.15">
      <c r="A767" s="92"/>
      <c r="B767" s="93"/>
      <c r="C767" s="93"/>
      <c r="D767" s="94"/>
      <c r="E767" s="93"/>
      <c r="F767" s="93"/>
      <c r="G767" s="93"/>
      <c r="H767" s="93"/>
      <c r="I767" s="93"/>
      <c r="J767" s="81"/>
    </row>
    <row r="768" spans="1:10" x14ac:dyDescent="0.15">
      <c r="A768" s="92"/>
      <c r="B768" s="93"/>
      <c r="C768" s="93"/>
      <c r="D768" s="94"/>
      <c r="E768" s="93"/>
      <c r="F768" s="93"/>
      <c r="G768" s="93"/>
      <c r="H768" s="93"/>
      <c r="I768" s="93"/>
      <c r="J768" s="81"/>
    </row>
    <row r="769" spans="1:10" x14ac:dyDescent="0.15">
      <c r="A769" s="92"/>
      <c r="B769" s="93"/>
      <c r="C769" s="93"/>
      <c r="D769" s="94"/>
      <c r="E769" s="93"/>
      <c r="F769" s="93"/>
      <c r="G769" s="93"/>
      <c r="H769" s="93"/>
      <c r="I769" s="93"/>
      <c r="J769" s="81"/>
    </row>
    <row r="770" spans="1:10" x14ac:dyDescent="0.15">
      <c r="A770" s="92"/>
      <c r="B770" s="93"/>
      <c r="C770" s="93"/>
      <c r="D770" s="94"/>
      <c r="E770" s="93"/>
      <c r="F770" s="93"/>
      <c r="G770" s="93"/>
      <c r="H770" s="93"/>
      <c r="I770" s="93"/>
      <c r="J770" s="81"/>
    </row>
    <row r="771" spans="1:10" x14ac:dyDescent="0.15">
      <c r="A771" s="92"/>
      <c r="B771" s="93"/>
      <c r="C771" s="93"/>
      <c r="D771" s="94"/>
      <c r="E771" s="93"/>
      <c r="F771" s="93"/>
      <c r="G771" s="93"/>
      <c r="H771" s="93"/>
      <c r="I771" s="93"/>
      <c r="J771" s="81"/>
    </row>
    <row r="772" spans="1:10" x14ac:dyDescent="0.15">
      <c r="A772" s="92"/>
      <c r="B772" s="93"/>
      <c r="C772" s="93"/>
      <c r="D772" s="94"/>
      <c r="E772" s="93"/>
      <c r="F772" s="93"/>
      <c r="G772" s="93"/>
      <c r="H772" s="93"/>
      <c r="I772" s="93"/>
      <c r="J772" s="81"/>
    </row>
    <row r="773" spans="1:10" x14ac:dyDescent="0.15">
      <c r="A773" s="92"/>
      <c r="B773" s="93"/>
      <c r="C773" s="93"/>
      <c r="D773" s="94"/>
      <c r="E773" s="93"/>
      <c r="F773" s="93"/>
      <c r="G773" s="93"/>
      <c r="H773" s="93"/>
      <c r="I773" s="93"/>
      <c r="J773" s="81"/>
    </row>
    <row r="774" spans="1:10" x14ac:dyDescent="0.15">
      <c r="A774" s="92"/>
      <c r="B774" s="93"/>
      <c r="C774" s="93"/>
      <c r="D774" s="94"/>
      <c r="E774" s="93"/>
      <c r="F774" s="93"/>
      <c r="G774" s="93"/>
      <c r="H774" s="93"/>
      <c r="I774" s="93"/>
      <c r="J774" s="81"/>
    </row>
    <row r="775" spans="1:10" x14ac:dyDescent="0.15">
      <c r="A775" s="92"/>
      <c r="B775" s="93"/>
      <c r="C775" s="93"/>
      <c r="D775" s="94"/>
      <c r="E775" s="93"/>
      <c r="F775" s="93"/>
      <c r="G775" s="93"/>
      <c r="H775" s="93"/>
      <c r="I775" s="93"/>
      <c r="J775" s="81"/>
    </row>
    <row r="776" spans="1:10" x14ac:dyDescent="0.15">
      <c r="A776" s="92"/>
      <c r="B776" s="93"/>
      <c r="C776" s="93"/>
      <c r="D776" s="94"/>
      <c r="E776" s="93"/>
      <c r="F776" s="93"/>
      <c r="G776" s="93"/>
      <c r="H776" s="93"/>
      <c r="I776" s="93"/>
      <c r="J776" s="81"/>
    </row>
    <row r="777" spans="1:10" x14ac:dyDescent="0.15">
      <c r="A777" s="92"/>
      <c r="B777" s="93"/>
      <c r="C777" s="93"/>
      <c r="D777" s="94"/>
      <c r="E777" s="93"/>
      <c r="F777" s="93"/>
      <c r="G777" s="93"/>
      <c r="H777" s="93"/>
      <c r="I777" s="93"/>
      <c r="J777" s="81"/>
    </row>
    <row r="778" spans="1:10" x14ac:dyDescent="0.15">
      <c r="A778" s="92"/>
      <c r="B778" s="93"/>
      <c r="C778" s="93"/>
      <c r="D778" s="94"/>
      <c r="E778" s="93"/>
      <c r="F778" s="93"/>
      <c r="G778" s="93"/>
      <c r="H778" s="93"/>
      <c r="I778" s="93"/>
      <c r="J778" s="81"/>
    </row>
    <row r="779" spans="1:10" x14ac:dyDescent="0.15">
      <c r="A779" s="92"/>
      <c r="B779" s="93"/>
      <c r="C779" s="93"/>
      <c r="D779" s="94"/>
      <c r="E779" s="93"/>
      <c r="F779" s="93"/>
      <c r="G779" s="93"/>
      <c r="H779" s="93"/>
      <c r="I779" s="93"/>
      <c r="J779" s="81"/>
    </row>
    <row r="780" spans="1:10" x14ac:dyDescent="0.15">
      <c r="A780" s="92"/>
      <c r="B780" s="93"/>
      <c r="C780" s="93"/>
      <c r="D780" s="94"/>
      <c r="E780" s="93"/>
      <c r="F780" s="93"/>
      <c r="G780" s="93"/>
      <c r="H780" s="93"/>
      <c r="I780" s="93"/>
      <c r="J780" s="81"/>
    </row>
    <row r="781" spans="1:10" x14ac:dyDescent="0.15">
      <c r="A781" s="92"/>
      <c r="B781" s="93"/>
      <c r="C781" s="93"/>
      <c r="D781" s="94"/>
      <c r="E781" s="93"/>
      <c r="F781" s="93"/>
      <c r="G781" s="93"/>
      <c r="H781" s="93"/>
      <c r="I781" s="93"/>
      <c r="J781" s="81"/>
    </row>
    <row r="782" spans="1:10" x14ac:dyDescent="0.15">
      <c r="A782" s="92"/>
      <c r="B782" s="93"/>
      <c r="C782" s="93"/>
      <c r="D782" s="94"/>
      <c r="E782" s="93"/>
      <c r="F782" s="93"/>
      <c r="G782" s="93"/>
      <c r="H782" s="93"/>
      <c r="I782" s="93"/>
      <c r="J782" s="81"/>
    </row>
    <row r="783" spans="1:10" x14ac:dyDescent="0.15">
      <c r="A783" s="92"/>
      <c r="B783" s="93"/>
      <c r="C783" s="93"/>
      <c r="D783" s="94"/>
      <c r="E783" s="93"/>
      <c r="F783" s="93"/>
      <c r="G783" s="93"/>
      <c r="H783" s="93"/>
      <c r="I783" s="93"/>
      <c r="J783" s="81"/>
    </row>
    <row r="784" spans="1:10" x14ac:dyDescent="0.15">
      <c r="A784" s="92"/>
      <c r="B784" s="93"/>
      <c r="C784" s="93"/>
      <c r="D784" s="94"/>
      <c r="E784" s="93"/>
      <c r="F784" s="93"/>
      <c r="G784" s="93"/>
      <c r="H784" s="93"/>
      <c r="I784" s="93"/>
      <c r="J784" s="81"/>
    </row>
    <row r="785" spans="1:10" x14ac:dyDescent="0.15">
      <c r="A785" s="92"/>
      <c r="B785" s="93"/>
      <c r="C785" s="93"/>
      <c r="D785" s="94"/>
      <c r="E785" s="93"/>
      <c r="F785" s="93"/>
      <c r="G785" s="93"/>
      <c r="H785" s="93"/>
      <c r="I785" s="93"/>
      <c r="J785" s="81"/>
    </row>
    <row r="786" spans="1:10" x14ac:dyDescent="0.15">
      <c r="A786" s="92"/>
      <c r="B786" s="93"/>
      <c r="C786" s="93"/>
      <c r="D786" s="94"/>
      <c r="E786" s="93"/>
      <c r="F786" s="93"/>
      <c r="G786" s="93"/>
      <c r="H786" s="93"/>
      <c r="I786" s="93"/>
      <c r="J786" s="81"/>
    </row>
    <row r="787" spans="1:10" x14ac:dyDescent="0.15">
      <c r="A787" s="92"/>
      <c r="B787" s="93"/>
      <c r="C787" s="93"/>
      <c r="D787" s="94"/>
      <c r="E787" s="93"/>
      <c r="F787" s="93"/>
      <c r="G787" s="93"/>
      <c r="H787" s="93"/>
      <c r="I787" s="93"/>
      <c r="J787" s="81"/>
    </row>
    <row r="788" spans="1:10" x14ac:dyDescent="0.15">
      <c r="A788" s="92"/>
      <c r="B788" s="93"/>
      <c r="C788" s="93"/>
      <c r="D788" s="94"/>
      <c r="E788" s="93"/>
      <c r="F788" s="93"/>
      <c r="G788" s="93"/>
      <c r="H788" s="93"/>
      <c r="I788" s="93"/>
      <c r="J788" s="81"/>
    </row>
    <row r="789" spans="1:10" x14ac:dyDescent="0.15">
      <c r="A789" s="92"/>
      <c r="B789" s="93"/>
      <c r="C789" s="93"/>
      <c r="D789" s="94"/>
      <c r="E789" s="93"/>
      <c r="F789" s="93"/>
      <c r="G789" s="93"/>
      <c r="H789" s="93"/>
      <c r="I789" s="93"/>
      <c r="J789" s="81"/>
    </row>
    <row r="790" spans="1:10" x14ac:dyDescent="0.15">
      <c r="A790" s="92"/>
      <c r="B790" s="93"/>
      <c r="C790" s="93"/>
      <c r="D790" s="94"/>
      <c r="E790" s="93"/>
      <c r="F790" s="93"/>
      <c r="G790" s="93"/>
      <c r="H790" s="93"/>
      <c r="I790" s="93"/>
      <c r="J790" s="81"/>
    </row>
    <row r="791" spans="1:10" x14ac:dyDescent="0.15">
      <c r="A791" s="92"/>
      <c r="B791" s="93"/>
      <c r="C791" s="93"/>
      <c r="D791" s="94"/>
      <c r="E791" s="93"/>
      <c r="F791" s="93"/>
      <c r="G791" s="93"/>
      <c r="H791" s="93"/>
      <c r="I791" s="93"/>
      <c r="J791" s="81"/>
    </row>
    <row r="792" spans="1:10" x14ac:dyDescent="0.15">
      <c r="A792" s="92"/>
      <c r="B792" s="93"/>
      <c r="C792" s="93"/>
      <c r="D792" s="94"/>
      <c r="E792" s="93"/>
      <c r="F792" s="93"/>
      <c r="G792" s="93"/>
      <c r="H792" s="93"/>
      <c r="I792" s="93"/>
      <c r="J792" s="81"/>
    </row>
    <row r="793" spans="1:10" x14ac:dyDescent="0.15">
      <c r="A793" s="92"/>
      <c r="B793" s="93"/>
      <c r="C793" s="93"/>
      <c r="D793" s="94"/>
      <c r="E793" s="93"/>
      <c r="F793" s="93"/>
      <c r="G793" s="93"/>
      <c r="H793" s="93"/>
      <c r="I793" s="93"/>
      <c r="J793" s="81"/>
    </row>
    <row r="794" spans="1:10" x14ac:dyDescent="0.15">
      <c r="A794" s="92"/>
      <c r="B794" s="93"/>
      <c r="C794" s="93"/>
      <c r="D794" s="94"/>
      <c r="E794" s="93"/>
      <c r="F794" s="93"/>
      <c r="G794" s="93"/>
      <c r="H794" s="93"/>
      <c r="I794" s="93"/>
      <c r="J794" s="81"/>
    </row>
    <row r="795" spans="1:10" x14ac:dyDescent="0.15">
      <c r="A795" s="92"/>
      <c r="B795" s="93"/>
      <c r="C795" s="93"/>
      <c r="D795" s="94"/>
      <c r="E795" s="93"/>
      <c r="F795" s="93"/>
      <c r="G795" s="93"/>
      <c r="H795" s="93"/>
      <c r="I795" s="93"/>
      <c r="J795" s="81"/>
    </row>
    <row r="796" spans="1:10" x14ac:dyDescent="0.15">
      <c r="A796" s="92"/>
      <c r="B796" s="93"/>
      <c r="C796" s="93"/>
      <c r="D796" s="94"/>
      <c r="E796" s="93"/>
      <c r="F796" s="93"/>
      <c r="G796" s="93"/>
      <c r="H796" s="93"/>
      <c r="I796" s="93"/>
      <c r="J796" s="81"/>
    </row>
    <row r="797" spans="1:10" x14ac:dyDescent="0.15">
      <c r="A797" s="92"/>
      <c r="B797" s="93"/>
      <c r="C797" s="93"/>
      <c r="D797" s="94"/>
      <c r="E797" s="93"/>
      <c r="F797" s="93"/>
      <c r="G797" s="93"/>
      <c r="H797" s="93"/>
      <c r="I797" s="93"/>
      <c r="J797" s="81"/>
    </row>
    <row r="798" spans="1:10" x14ac:dyDescent="0.15">
      <c r="A798" s="92"/>
      <c r="B798" s="93"/>
      <c r="C798" s="93"/>
      <c r="D798" s="94"/>
      <c r="E798" s="93"/>
      <c r="F798" s="93"/>
      <c r="G798" s="93"/>
      <c r="H798" s="93"/>
      <c r="I798" s="93"/>
      <c r="J798" s="81"/>
    </row>
    <row r="799" spans="1:10" x14ac:dyDescent="0.15">
      <c r="A799" s="92"/>
      <c r="B799" s="93"/>
      <c r="C799" s="93"/>
      <c r="D799" s="94"/>
      <c r="E799" s="93"/>
      <c r="F799" s="93"/>
      <c r="G799" s="93"/>
      <c r="H799" s="93"/>
      <c r="I799" s="93"/>
      <c r="J799" s="81"/>
    </row>
    <row r="800" spans="1:10" x14ac:dyDescent="0.15">
      <c r="A800" s="92"/>
      <c r="B800" s="93"/>
      <c r="C800" s="93"/>
      <c r="D800" s="94"/>
      <c r="E800" s="93"/>
      <c r="F800" s="93"/>
      <c r="G800" s="93"/>
      <c r="H800" s="93"/>
      <c r="I800" s="93"/>
      <c r="J800" s="81"/>
    </row>
    <row r="801" spans="1:10" x14ac:dyDescent="0.15">
      <c r="A801" s="92"/>
      <c r="B801" s="93"/>
      <c r="C801" s="93"/>
      <c r="D801" s="94"/>
      <c r="E801" s="93"/>
      <c r="F801" s="93"/>
      <c r="G801" s="93"/>
      <c r="H801" s="93"/>
      <c r="I801" s="93"/>
      <c r="J801" s="81"/>
    </row>
    <row r="802" spans="1:10" x14ac:dyDescent="0.15">
      <c r="A802" s="92"/>
      <c r="B802" s="93"/>
      <c r="C802" s="93"/>
      <c r="D802" s="94"/>
      <c r="E802" s="93"/>
      <c r="F802" s="93"/>
      <c r="G802" s="93"/>
      <c r="H802" s="93"/>
      <c r="I802" s="93"/>
      <c r="J802" s="81"/>
    </row>
    <row r="803" spans="1:10" x14ac:dyDescent="0.15">
      <c r="A803" s="92"/>
      <c r="B803" s="93"/>
      <c r="C803" s="93"/>
      <c r="D803" s="94"/>
      <c r="E803" s="93"/>
      <c r="F803" s="93"/>
      <c r="G803" s="93"/>
      <c r="H803" s="93"/>
      <c r="I803" s="93"/>
      <c r="J803" s="81"/>
    </row>
    <row r="804" spans="1:10" x14ac:dyDescent="0.15">
      <c r="A804" s="92"/>
      <c r="B804" s="93"/>
      <c r="C804" s="93"/>
      <c r="D804" s="94"/>
      <c r="E804" s="93"/>
      <c r="F804" s="93"/>
      <c r="G804" s="93"/>
      <c r="H804" s="93"/>
      <c r="I804" s="93"/>
      <c r="J804" s="81"/>
    </row>
    <row r="805" spans="1:10" x14ac:dyDescent="0.15">
      <c r="A805" s="92"/>
      <c r="B805" s="93"/>
      <c r="C805" s="93"/>
      <c r="D805" s="94"/>
      <c r="E805" s="93"/>
      <c r="F805" s="93"/>
      <c r="G805" s="93"/>
      <c r="H805" s="93"/>
      <c r="I805" s="93"/>
      <c r="J805" s="81"/>
    </row>
    <row r="806" spans="1:10" x14ac:dyDescent="0.15">
      <c r="A806" s="92"/>
      <c r="B806" s="93"/>
      <c r="C806" s="93"/>
      <c r="D806" s="94"/>
      <c r="E806" s="93"/>
      <c r="F806" s="93"/>
      <c r="G806" s="93"/>
      <c r="H806" s="93"/>
      <c r="I806" s="93"/>
      <c r="J806" s="81"/>
    </row>
    <row r="807" spans="1:10" x14ac:dyDescent="0.15">
      <c r="A807" s="92"/>
      <c r="B807" s="93"/>
      <c r="C807" s="93"/>
      <c r="D807" s="94"/>
      <c r="E807" s="93"/>
      <c r="F807" s="93"/>
      <c r="G807" s="93"/>
      <c r="H807" s="93"/>
      <c r="I807" s="93"/>
      <c r="J807" s="81"/>
    </row>
    <row r="808" spans="1:10" x14ac:dyDescent="0.15">
      <c r="A808" s="92"/>
      <c r="B808" s="93"/>
      <c r="C808" s="93"/>
      <c r="D808" s="94"/>
      <c r="E808" s="93"/>
      <c r="F808" s="93"/>
      <c r="G808" s="93"/>
      <c r="H808" s="93"/>
      <c r="I808" s="93"/>
      <c r="J808" s="81"/>
    </row>
    <row r="809" spans="1:10" x14ac:dyDescent="0.15">
      <c r="A809" s="92"/>
      <c r="B809" s="93"/>
      <c r="C809" s="93"/>
      <c r="D809" s="94"/>
      <c r="E809" s="93"/>
      <c r="F809" s="93"/>
      <c r="G809" s="93"/>
      <c r="H809" s="93"/>
      <c r="I809" s="93"/>
      <c r="J809" s="81"/>
    </row>
    <row r="810" spans="1:10" x14ac:dyDescent="0.15">
      <c r="A810" s="92"/>
      <c r="B810" s="93"/>
      <c r="C810" s="93"/>
      <c r="D810" s="94"/>
      <c r="E810" s="93"/>
      <c r="F810" s="93"/>
      <c r="G810" s="93"/>
      <c r="H810" s="93"/>
      <c r="I810" s="93"/>
      <c r="J810" s="81"/>
    </row>
    <row r="811" spans="1:10" x14ac:dyDescent="0.15">
      <c r="A811" s="92"/>
      <c r="B811" s="93"/>
      <c r="C811" s="93"/>
      <c r="D811" s="94"/>
      <c r="E811" s="93"/>
      <c r="F811" s="93"/>
      <c r="G811" s="93"/>
      <c r="H811" s="93"/>
      <c r="I811" s="93"/>
      <c r="J811" s="81"/>
    </row>
    <row r="812" spans="1:10" x14ac:dyDescent="0.15">
      <c r="A812" s="92"/>
      <c r="B812" s="93"/>
      <c r="C812" s="93"/>
      <c r="D812" s="94"/>
      <c r="E812" s="93"/>
      <c r="F812" s="93"/>
      <c r="G812" s="93"/>
      <c r="H812" s="93"/>
      <c r="I812" s="93"/>
      <c r="J812" s="81"/>
    </row>
    <row r="813" spans="1:10" x14ac:dyDescent="0.15">
      <c r="A813" s="92"/>
      <c r="B813" s="93"/>
      <c r="C813" s="93"/>
      <c r="D813" s="94"/>
      <c r="E813" s="93"/>
      <c r="F813" s="93"/>
      <c r="G813" s="93"/>
      <c r="H813" s="93"/>
      <c r="I813" s="93"/>
      <c r="J813" s="81"/>
    </row>
    <row r="814" spans="1:10" x14ac:dyDescent="0.15">
      <c r="A814" s="92"/>
      <c r="B814" s="93"/>
      <c r="C814" s="93"/>
      <c r="D814" s="94"/>
      <c r="E814" s="93"/>
      <c r="F814" s="93"/>
      <c r="G814" s="93"/>
      <c r="H814" s="93"/>
      <c r="I814" s="93"/>
      <c r="J814" s="81"/>
    </row>
    <row r="815" spans="1:10" x14ac:dyDescent="0.15">
      <c r="A815" s="92"/>
      <c r="B815" s="93"/>
      <c r="C815" s="93"/>
      <c r="D815" s="94"/>
      <c r="E815" s="93"/>
      <c r="F815" s="93"/>
      <c r="G815" s="93"/>
      <c r="H815" s="93"/>
      <c r="I815" s="93"/>
      <c r="J815" s="81"/>
    </row>
    <row r="816" spans="1:10" x14ac:dyDescent="0.15">
      <c r="A816" s="92"/>
      <c r="B816" s="93"/>
      <c r="C816" s="93"/>
      <c r="D816" s="94"/>
      <c r="E816" s="93"/>
      <c r="F816" s="93"/>
      <c r="G816" s="93"/>
      <c r="H816" s="93"/>
      <c r="I816" s="93"/>
      <c r="J816" s="81"/>
    </row>
    <row r="817" spans="1:10" x14ac:dyDescent="0.15">
      <c r="A817" s="92"/>
      <c r="B817" s="93"/>
      <c r="C817" s="93"/>
      <c r="D817" s="94"/>
      <c r="E817" s="93"/>
      <c r="F817" s="93"/>
      <c r="G817" s="93"/>
      <c r="H817" s="93"/>
      <c r="I817" s="93"/>
      <c r="J817" s="81"/>
    </row>
    <row r="818" spans="1:10" x14ac:dyDescent="0.15">
      <c r="A818" s="92"/>
      <c r="B818" s="93"/>
      <c r="C818" s="93"/>
      <c r="D818" s="94"/>
      <c r="E818" s="93"/>
      <c r="F818" s="93"/>
      <c r="G818" s="93"/>
      <c r="H818" s="93"/>
      <c r="I818" s="93"/>
      <c r="J818" s="81"/>
    </row>
    <row r="819" spans="1:10" x14ac:dyDescent="0.15">
      <c r="A819" s="92"/>
      <c r="B819" s="93"/>
      <c r="C819" s="93"/>
      <c r="D819" s="94"/>
      <c r="E819" s="93"/>
      <c r="F819" s="93"/>
      <c r="G819" s="93"/>
      <c r="H819" s="93"/>
      <c r="I819" s="93"/>
      <c r="J819" s="81"/>
    </row>
    <row r="820" spans="1:10" x14ac:dyDescent="0.15">
      <c r="A820" s="92"/>
      <c r="B820" s="93"/>
      <c r="C820" s="93"/>
      <c r="D820" s="94"/>
      <c r="E820" s="93"/>
      <c r="F820" s="93"/>
      <c r="G820" s="93"/>
      <c r="H820" s="93"/>
      <c r="I820" s="93"/>
      <c r="J820" s="81"/>
    </row>
    <row r="821" spans="1:10" x14ac:dyDescent="0.15">
      <c r="A821" s="92"/>
      <c r="B821" s="93"/>
      <c r="C821" s="93"/>
      <c r="D821" s="94"/>
      <c r="E821" s="93"/>
      <c r="F821" s="93"/>
      <c r="G821" s="93"/>
      <c r="H821" s="93"/>
      <c r="I821" s="93"/>
      <c r="J821" s="81"/>
    </row>
    <row r="822" spans="1:10" x14ac:dyDescent="0.15">
      <c r="A822" s="92"/>
      <c r="B822" s="93"/>
      <c r="C822" s="93"/>
      <c r="D822" s="94"/>
      <c r="E822" s="93"/>
      <c r="F822" s="93"/>
      <c r="G822" s="93"/>
      <c r="H822" s="93"/>
      <c r="I822" s="93"/>
      <c r="J822" s="81"/>
    </row>
    <row r="823" spans="1:10" x14ac:dyDescent="0.15">
      <c r="A823" s="92"/>
      <c r="B823" s="93"/>
      <c r="C823" s="93"/>
      <c r="D823" s="94"/>
      <c r="E823" s="93"/>
      <c r="F823" s="93"/>
      <c r="G823" s="93"/>
      <c r="H823" s="93"/>
      <c r="I823" s="93"/>
      <c r="J823" s="81"/>
    </row>
    <row r="824" spans="1:10" x14ac:dyDescent="0.15">
      <c r="A824" s="92"/>
      <c r="B824" s="93"/>
      <c r="C824" s="93"/>
      <c r="D824" s="94"/>
      <c r="E824" s="93"/>
      <c r="F824" s="93"/>
      <c r="G824" s="93"/>
      <c r="H824" s="93"/>
      <c r="I824" s="93"/>
      <c r="J824" s="81"/>
    </row>
    <row r="825" spans="1:10" x14ac:dyDescent="0.15">
      <c r="A825" s="92"/>
      <c r="B825" s="93"/>
      <c r="C825" s="93"/>
      <c r="D825" s="94"/>
      <c r="E825" s="93"/>
      <c r="F825" s="93"/>
      <c r="G825" s="93"/>
      <c r="H825" s="93"/>
      <c r="I825" s="93"/>
      <c r="J825" s="81"/>
    </row>
    <row r="826" spans="1:10" x14ac:dyDescent="0.15">
      <c r="A826" s="92"/>
      <c r="B826" s="93"/>
      <c r="C826" s="93"/>
      <c r="D826" s="94"/>
      <c r="E826" s="93"/>
      <c r="F826" s="93"/>
      <c r="G826" s="93"/>
      <c r="H826" s="93"/>
      <c r="I826" s="93"/>
      <c r="J826" s="81"/>
    </row>
    <row r="827" spans="1:10" x14ac:dyDescent="0.15">
      <c r="A827" s="92"/>
      <c r="B827" s="93"/>
      <c r="C827" s="93"/>
      <c r="D827" s="94"/>
      <c r="E827" s="93"/>
      <c r="F827" s="93"/>
      <c r="G827" s="93"/>
      <c r="H827" s="93"/>
      <c r="I827" s="93"/>
      <c r="J827" s="81"/>
    </row>
    <row r="828" spans="1:10" x14ac:dyDescent="0.15">
      <c r="A828" s="92"/>
      <c r="B828" s="93"/>
      <c r="C828" s="93"/>
      <c r="D828" s="94"/>
      <c r="E828" s="93"/>
      <c r="F828" s="93"/>
      <c r="G828" s="93"/>
      <c r="H828" s="93"/>
      <c r="I828" s="93"/>
      <c r="J828" s="81"/>
    </row>
    <row r="829" spans="1:10" x14ac:dyDescent="0.15">
      <c r="A829" s="92"/>
      <c r="B829" s="93"/>
      <c r="C829" s="93"/>
      <c r="D829" s="94"/>
      <c r="E829" s="93"/>
      <c r="F829" s="93"/>
      <c r="G829" s="93"/>
      <c r="H829" s="93"/>
      <c r="I829" s="93"/>
      <c r="J829" s="81"/>
    </row>
    <row r="830" spans="1:10" x14ac:dyDescent="0.15">
      <c r="A830" s="92"/>
      <c r="B830" s="93"/>
      <c r="C830" s="93"/>
      <c r="D830" s="94"/>
      <c r="E830" s="93"/>
      <c r="F830" s="93"/>
      <c r="G830" s="93"/>
      <c r="H830" s="93"/>
      <c r="I830" s="93"/>
      <c r="J830" s="81"/>
    </row>
    <row r="831" spans="1:10" x14ac:dyDescent="0.15">
      <c r="A831" s="92"/>
      <c r="B831" s="93"/>
      <c r="C831" s="93"/>
      <c r="D831" s="94"/>
      <c r="E831" s="93"/>
      <c r="F831" s="93"/>
      <c r="G831" s="93"/>
      <c r="H831" s="93"/>
      <c r="I831" s="93"/>
      <c r="J831" s="81"/>
    </row>
    <row r="832" spans="1:10" x14ac:dyDescent="0.15">
      <c r="A832" s="92"/>
      <c r="B832" s="93"/>
      <c r="C832" s="93"/>
      <c r="D832" s="94"/>
      <c r="E832" s="93"/>
      <c r="F832" s="93"/>
      <c r="G832" s="93"/>
      <c r="H832" s="93"/>
      <c r="I832" s="93"/>
      <c r="J832" s="81"/>
    </row>
    <row r="833" spans="1:10" x14ac:dyDescent="0.15">
      <c r="A833" s="92"/>
      <c r="B833" s="93"/>
      <c r="C833" s="93"/>
      <c r="D833" s="94"/>
      <c r="E833" s="93"/>
      <c r="F833" s="93"/>
      <c r="G833" s="93"/>
      <c r="H833" s="93"/>
      <c r="I833" s="93"/>
      <c r="J833" s="81"/>
    </row>
    <row r="834" spans="1:10" x14ac:dyDescent="0.15">
      <c r="A834" s="92"/>
      <c r="B834" s="93"/>
      <c r="C834" s="93"/>
      <c r="D834" s="94"/>
      <c r="E834" s="93"/>
      <c r="F834" s="93"/>
      <c r="G834" s="93"/>
      <c r="H834" s="93"/>
      <c r="I834" s="93"/>
      <c r="J834" s="81"/>
    </row>
    <row r="835" spans="1:10" x14ac:dyDescent="0.15">
      <c r="A835" s="92"/>
      <c r="B835" s="93"/>
      <c r="C835" s="93"/>
      <c r="D835" s="94"/>
      <c r="E835" s="93"/>
      <c r="F835" s="93"/>
      <c r="G835" s="93"/>
      <c r="H835" s="93"/>
      <c r="I835" s="93"/>
      <c r="J835" s="81"/>
    </row>
    <row r="836" spans="1:10" x14ac:dyDescent="0.15">
      <c r="A836" s="92"/>
      <c r="B836" s="93"/>
      <c r="C836" s="93"/>
      <c r="D836" s="94"/>
      <c r="E836" s="93"/>
      <c r="F836" s="93"/>
      <c r="G836" s="93"/>
      <c r="H836" s="93"/>
      <c r="I836" s="93"/>
      <c r="J836" s="81"/>
    </row>
    <row r="837" spans="1:10" x14ac:dyDescent="0.15">
      <c r="A837" s="92"/>
      <c r="B837" s="93"/>
      <c r="C837" s="93"/>
      <c r="D837" s="94"/>
      <c r="E837" s="93"/>
      <c r="F837" s="93"/>
      <c r="G837" s="93"/>
      <c r="H837" s="93"/>
      <c r="I837" s="93"/>
      <c r="J837" s="81"/>
    </row>
    <row r="838" spans="1:10" x14ac:dyDescent="0.15">
      <c r="A838" s="92"/>
      <c r="B838" s="93"/>
      <c r="C838" s="93"/>
      <c r="D838" s="94"/>
      <c r="E838" s="93"/>
      <c r="F838" s="93"/>
      <c r="G838" s="93"/>
      <c r="H838" s="93"/>
      <c r="I838" s="93"/>
      <c r="J838" s="81"/>
    </row>
    <row r="839" spans="1:10" x14ac:dyDescent="0.15">
      <c r="A839" s="92"/>
      <c r="B839" s="93"/>
      <c r="C839" s="93"/>
      <c r="D839" s="94"/>
      <c r="E839" s="93"/>
      <c r="F839" s="93"/>
      <c r="G839" s="93"/>
      <c r="H839" s="93"/>
      <c r="I839" s="93"/>
      <c r="J839" s="81"/>
    </row>
    <row r="840" spans="1:10" x14ac:dyDescent="0.15">
      <c r="A840" s="92"/>
      <c r="B840" s="93"/>
      <c r="C840" s="93"/>
      <c r="D840" s="94"/>
      <c r="E840" s="93"/>
      <c r="F840" s="93"/>
      <c r="G840" s="93"/>
      <c r="H840" s="93"/>
      <c r="I840" s="93"/>
      <c r="J840" s="81"/>
    </row>
    <row r="841" spans="1:10" x14ac:dyDescent="0.15">
      <c r="A841" s="92"/>
      <c r="B841" s="93"/>
      <c r="C841" s="93"/>
      <c r="D841" s="94"/>
      <c r="E841" s="93"/>
      <c r="F841" s="93"/>
      <c r="G841" s="93"/>
      <c r="H841" s="93"/>
      <c r="I841" s="93"/>
      <c r="J841" s="81"/>
    </row>
    <row r="842" spans="1:10" x14ac:dyDescent="0.15">
      <c r="A842" s="92"/>
      <c r="B842" s="93"/>
      <c r="C842" s="93"/>
      <c r="D842" s="94"/>
      <c r="E842" s="93"/>
      <c r="F842" s="93"/>
      <c r="G842" s="93"/>
      <c r="H842" s="93"/>
      <c r="I842" s="93"/>
      <c r="J842" s="81"/>
    </row>
    <row r="843" spans="1:10" x14ac:dyDescent="0.15">
      <c r="A843" s="92"/>
      <c r="B843" s="93"/>
      <c r="C843" s="93"/>
      <c r="D843" s="94"/>
      <c r="E843" s="93"/>
      <c r="F843" s="93"/>
      <c r="G843" s="93"/>
      <c r="H843" s="93"/>
      <c r="I843" s="93"/>
      <c r="J843" s="81"/>
    </row>
    <row r="844" spans="1:10" x14ac:dyDescent="0.15">
      <c r="A844" s="92"/>
      <c r="B844" s="93"/>
      <c r="C844" s="93"/>
      <c r="D844" s="94"/>
      <c r="E844" s="93"/>
      <c r="F844" s="93"/>
      <c r="G844" s="93"/>
      <c r="H844" s="93"/>
      <c r="I844" s="93"/>
      <c r="J844" s="81"/>
    </row>
    <row r="845" spans="1:10" x14ac:dyDescent="0.15">
      <c r="A845" s="92"/>
      <c r="B845" s="93"/>
      <c r="C845" s="93"/>
      <c r="D845" s="94"/>
      <c r="E845" s="93"/>
      <c r="F845" s="93"/>
      <c r="G845" s="93"/>
      <c r="H845" s="93"/>
      <c r="I845" s="93"/>
      <c r="J845" s="81"/>
    </row>
    <row r="846" spans="1:10" x14ac:dyDescent="0.15">
      <c r="A846" s="92"/>
      <c r="B846" s="93"/>
      <c r="C846" s="93"/>
      <c r="D846" s="94"/>
      <c r="E846" s="93"/>
      <c r="F846" s="93"/>
      <c r="G846" s="93"/>
      <c r="H846" s="93"/>
      <c r="I846" s="93"/>
      <c r="J846" s="81"/>
    </row>
    <row r="847" spans="1:10" x14ac:dyDescent="0.15">
      <c r="A847" s="92"/>
      <c r="B847" s="93"/>
      <c r="C847" s="93"/>
      <c r="D847" s="94"/>
      <c r="E847" s="93"/>
      <c r="F847" s="93"/>
      <c r="G847" s="93"/>
      <c r="H847" s="93"/>
      <c r="I847" s="93"/>
      <c r="J847" s="81"/>
    </row>
    <row r="848" spans="1:10" x14ac:dyDescent="0.15">
      <c r="A848" s="92"/>
      <c r="B848" s="93"/>
      <c r="C848" s="93"/>
      <c r="D848" s="94"/>
      <c r="E848" s="93"/>
      <c r="F848" s="93"/>
      <c r="G848" s="93"/>
      <c r="H848" s="93"/>
      <c r="I848" s="93"/>
      <c r="J848" s="81"/>
    </row>
    <row r="849" spans="1:10" x14ac:dyDescent="0.15">
      <c r="A849" s="92"/>
      <c r="B849" s="93"/>
      <c r="C849" s="93"/>
      <c r="D849" s="94"/>
      <c r="E849" s="93"/>
      <c r="F849" s="93"/>
      <c r="G849" s="93"/>
      <c r="H849" s="93"/>
      <c r="I849" s="93"/>
      <c r="J849" s="81"/>
    </row>
    <row r="850" spans="1:10" x14ac:dyDescent="0.15">
      <c r="A850" s="92"/>
      <c r="B850" s="93"/>
      <c r="C850" s="93"/>
      <c r="D850" s="94"/>
      <c r="E850" s="93"/>
      <c r="F850" s="93"/>
      <c r="G850" s="93"/>
      <c r="H850" s="93"/>
      <c r="I850" s="93"/>
      <c r="J850" s="81"/>
    </row>
    <row r="851" spans="1:10" x14ac:dyDescent="0.15">
      <c r="A851" s="92"/>
      <c r="B851" s="93"/>
      <c r="C851" s="93"/>
      <c r="D851" s="94"/>
      <c r="E851" s="93"/>
      <c r="F851" s="93"/>
      <c r="G851" s="93"/>
      <c r="H851" s="93"/>
      <c r="I851" s="93"/>
      <c r="J851" s="81"/>
    </row>
    <row r="852" spans="1:10" x14ac:dyDescent="0.15">
      <c r="A852" s="92"/>
      <c r="B852" s="93"/>
      <c r="C852" s="93"/>
      <c r="D852" s="94"/>
      <c r="E852" s="93"/>
      <c r="F852" s="93"/>
      <c r="G852" s="93"/>
      <c r="H852" s="93"/>
      <c r="I852" s="93"/>
      <c r="J852" s="81"/>
    </row>
    <row r="853" spans="1:10" x14ac:dyDescent="0.15">
      <c r="A853" s="92"/>
      <c r="B853" s="93"/>
      <c r="C853" s="93"/>
      <c r="D853" s="94"/>
      <c r="E853" s="93"/>
      <c r="F853" s="93"/>
      <c r="G853" s="93"/>
      <c r="H853" s="93"/>
      <c r="I853" s="93"/>
      <c r="J853" s="81"/>
    </row>
    <row r="854" spans="1:10" x14ac:dyDescent="0.15">
      <c r="A854" s="92"/>
      <c r="B854" s="93"/>
      <c r="C854" s="93"/>
      <c r="D854" s="94"/>
      <c r="E854" s="93"/>
      <c r="F854" s="93"/>
      <c r="G854" s="93"/>
      <c r="H854" s="93"/>
      <c r="I854" s="93"/>
      <c r="J854" s="81"/>
    </row>
    <row r="855" spans="1:10" x14ac:dyDescent="0.15">
      <c r="A855" s="92"/>
      <c r="B855" s="93"/>
      <c r="C855" s="93"/>
      <c r="D855" s="94"/>
      <c r="E855" s="93"/>
      <c r="F855" s="93"/>
      <c r="G855" s="93"/>
      <c r="H855" s="93"/>
      <c r="I855" s="93"/>
      <c r="J855" s="81"/>
    </row>
    <row r="856" spans="1:10" x14ac:dyDescent="0.15">
      <c r="A856" s="92"/>
      <c r="B856" s="93"/>
      <c r="C856" s="93"/>
      <c r="D856" s="94"/>
      <c r="E856" s="93"/>
      <c r="F856" s="93"/>
      <c r="G856" s="93"/>
      <c r="H856" s="93"/>
      <c r="I856" s="93"/>
      <c r="J856" s="81"/>
    </row>
    <row r="857" spans="1:10" x14ac:dyDescent="0.15">
      <c r="A857" s="92"/>
      <c r="B857" s="93"/>
      <c r="C857" s="93"/>
      <c r="D857" s="94"/>
      <c r="E857" s="93"/>
      <c r="F857" s="93"/>
      <c r="G857" s="93"/>
      <c r="H857" s="93"/>
      <c r="I857" s="93"/>
      <c r="J857" s="81"/>
    </row>
    <row r="858" spans="1:10" x14ac:dyDescent="0.15">
      <c r="A858" s="92"/>
      <c r="B858" s="93"/>
      <c r="C858" s="93"/>
      <c r="D858" s="94"/>
      <c r="E858" s="93"/>
      <c r="F858" s="93"/>
      <c r="G858" s="93"/>
      <c r="H858" s="93"/>
      <c r="I858" s="93"/>
      <c r="J858" s="81"/>
    </row>
    <row r="859" spans="1:10" x14ac:dyDescent="0.15">
      <c r="A859" s="92"/>
      <c r="B859" s="93"/>
      <c r="C859" s="93"/>
      <c r="D859" s="94"/>
      <c r="E859" s="93"/>
      <c r="F859" s="93"/>
      <c r="G859" s="93"/>
      <c r="H859" s="93"/>
      <c r="I859" s="93"/>
      <c r="J859" s="81"/>
    </row>
    <row r="860" spans="1:10" x14ac:dyDescent="0.15">
      <c r="A860" s="92"/>
      <c r="B860" s="93"/>
      <c r="C860" s="93"/>
      <c r="D860" s="94"/>
      <c r="E860" s="93"/>
      <c r="F860" s="93"/>
      <c r="G860" s="93"/>
      <c r="H860" s="93"/>
      <c r="I860" s="93"/>
      <c r="J860" s="81"/>
    </row>
    <row r="861" spans="1:10" x14ac:dyDescent="0.15">
      <c r="A861" s="92"/>
      <c r="B861" s="93"/>
      <c r="C861" s="93"/>
      <c r="D861" s="94"/>
      <c r="E861" s="93"/>
      <c r="F861" s="93"/>
      <c r="G861" s="93"/>
      <c r="H861" s="93"/>
      <c r="I861" s="93"/>
      <c r="J861" s="81"/>
    </row>
    <row r="862" spans="1:10" x14ac:dyDescent="0.15">
      <c r="A862" s="92"/>
      <c r="B862" s="93"/>
      <c r="C862" s="93"/>
      <c r="D862" s="94"/>
      <c r="E862" s="93"/>
      <c r="F862" s="93"/>
      <c r="G862" s="93"/>
      <c r="H862" s="93"/>
      <c r="I862" s="93"/>
      <c r="J862" s="81"/>
    </row>
    <row r="863" spans="1:10" x14ac:dyDescent="0.15">
      <c r="A863" s="92"/>
      <c r="B863" s="93"/>
      <c r="C863" s="93"/>
      <c r="D863" s="94"/>
      <c r="E863" s="93"/>
      <c r="F863" s="93"/>
      <c r="G863" s="93"/>
      <c r="H863" s="93"/>
      <c r="I863" s="93"/>
      <c r="J863" s="81"/>
    </row>
    <row r="864" spans="1:10" x14ac:dyDescent="0.15">
      <c r="A864" s="92"/>
      <c r="B864" s="93"/>
      <c r="C864" s="93"/>
      <c r="D864" s="94"/>
      <c r="E864" s="93"/>
      <c r="F864" s="93"/>
      <c r="G864" s="93"/>
      <c r="H864" s="93"/>
      <c r="I864" s="93"/>
      <c r="J864" s="81"/>
    </row>
    <row r="865" spans="1:10" x14ac:dyDescent="0.15">
      <c r="A865" s="92"/>
      <c r="B865" s="93"/>
      <c r="C865" s="93"/>
      <c r="D865" s="94"/>
      <c r="E865" s="93"/>
      <c r="F865" s="93"/>
      <c r="G865" s="93"/>
      <c r="H865" s="93"/>
      <c r="I865" s="93"/>
      <c r="J865" s="81"/>
    </row>
    <row r="866" spans="1:10" x14ac:dyDescent="0.15">
      <c r="A866" s="92"/>
      <c r="B866" s="93"/>
      <c r="C866" s="93"/>
      <c r="D866" s="94"/>
      <c r="E866" s="93"/>
      <c r="F866" s="93"/>
      <c r="G866" s="93"/>
      <c r="H866" s="93"/>
      <c r="I866" s="93"/>
      <c r="J866" s="81"/>
    </row>
    <row r="867" spans="1:10" x14ac:dyDescent="0.15">
      <c r="A867" s="92"/>
      <c r="B867" s="93"/>
      <c r="C867" s="93"/>
      <c r="D867" s="94"/>
      <c r="E867" s="93"/>
      <c r="F867" s="93"/>
      <c r="G867" s="93"/>
      <c r="H867" s="93"/>
      <c r="I867" s="93"/>
      <c r="J867" s="81"/>
    </row>
    <row r="868" spans="1:10" x14ac:dyDescent="0.15">
      <c r="A868" s="92"/>
      <c r="B868" s="93"/>
      <c r="C868" s="93"/>
      <c r="D868" s="94"/>
      <c r="E868" s="93"/>
      <c r="F868" s="93"/>
      <c r="G868" s="93"/>
      <c r="H868" s="93"/>
      <c r="I868" s="93"/>
      <c r="J868" s="81"/>
    </row>
    <row r="869" spans="1:10" x14ac:dyDescent="0.15">
      <c r="A869" s="92"/>
      <c r="B869" s="93"/>
      <c r="C869" s="93"/>
      <c r="D869" s="94"/>
      <c r="E869" s="93"/>
      <c r="F869" s="93"/>
      <c r="G869" s="93"/>
      <c r="H869" s="93"/>
      <c r="I869" s="93"/>
      <c r="J869" s="81"/>
    </row>
    <row r="870" spans="1:10" x14ac:dyDescent="0.15">
      <c r="A870" s="92"/>
      <c r="B870" s="93"/>
      <c r="C870" s="93"/>
      <c r="D870" s="94"/>
      <c r="E870" s="93"/>
      <c r="F870" s="93"/>
      <c r="G870" s="93"/>
      <c r="H870" s="93"/>
      <c r="I870" s="93"/>
      <c r="J870" s="81"/>
    </row>
    <row r="871" spans="1:10" x14ac:dyDescent="0.15">
      <c r="A871" s="92"/>
      <c r="B871" s="93"/>
      <c r="C871" s="93"/>
      <c r="D871" s="94"/>
      <c r="E871" s="93"/>
      <c r="F871" s="93"/>
      <c r="G871" s="93"/>
      <c r="H871" s="93"/>
      <c r="I871" s="93"/>
      <c r="J871" s="81"/>
    </row>
    <row r="872" spans="1:10" x14ac:dyDescent="0.15">
      <c r="A872" s="92"/>
      <c r="B872" s="93"/>
      <c r="C872" s="93"/>
      <c r="D872" s="94"/>
      <c r="E872" s="93"/>
      <c r="F872" s="93"/>
      <c r="G872" s="93"/>
      <c r="H872" s="93"/>
      <c r="I872" s="93"/>
      <c r="J872" s="81"/>
    </row>
    <row r="873" spans="1:10" x14ac:dyDescent="0.15">
      <c r="A873" s="92"/>
      <c r="B873" s="93"/>
      <c r="C873" s="93"/>
      <c r="D873" s="94"/>
      <c r="E873" s="93"/>
      <c r="F873" s="93"/>
      <c r="G873" s="93"/>
      <c r="H873" s="93"/>
      <c r="I873" s="93"/>
      <c r="J873" s="81"/>
    </row>
    <row r="874" spans="1:10" x14ac:dyDescent="0.15">
      <c r="A874" s="92"/>
      <c r="B874" s="93"/>
      <c r="C874" s="93"/>
      <c r="D874" s="94"/>
      <c r="E874" s="93"/>
      <c r="F874" s="93"/>
      <c r="G874" s="93"/>
      <c r="H874" s="93"/>
      <c r="I874" s="93"/>
      <c r="J874" s="81"/>
    </row>
    <row r="875" spans="1:10" x14ac:dyDescent="0.15">
      <c r="A875" s="92"/>
      <c r="B875" s="93"/>
      <c r="C875" s="93"/>
      <c r="D875" s="94"/>
      <c r="E875" s="93"/>
      <c r="F875" s="93"/>
      <c r="G875" s="93"/>
      <c r="H875" s="93"/>
      <c r="I875" s="93"/>
      <c r="J875" s="81"/>
    </row>
    <row r="876" spans="1:10" x14ac:dyDescent="0.15">
      <c r="A876" s="92"/>
      <c r="B876" s="93"/>
      <c r="C876" s="93"/>
      <c r="D876" s="94"/>
      <c r="E876" s="93"/>
      <c r="F876" s="93"/>
      <c r="G876" s="93"/>
      <c r="H876" s="93"/>
      <c r="I876" s="93"/>
      <c r="J876" s="81"/>
    </row>
    <row r="877" spans="1:10" x14ac:dyDescent="0.15">
      <c r="A877" s="92"/>
      <c r="B877" s="93"/>
      <c r="C877" s="93"/>
      <c r="D877" s="94"/>
      <c r="E877" s="93"/>
      <c r="F877" s="93"/>
      <c r="G877" s="93"/>
      <c r="H877" s="93"/>
      <c r="I877" s="93"/>
      <c r="J877" s="81"/>
    </row>
    <row r="878" spans="1:10" x14ac:dyDescent="0.15">
      <c r="A878" s="92"/>
      <c r="B878" s="93"/>
      <c r="C878" s="93"/>
      <c r="D878" s="94"/>
      <c r="E878" s="93"/>
      <c r="F878" s="93"/>
      <c r="G878" s="93"/>
      <c r="H878" s="93"/>
      <c r="I878" s="93"/>
      <c r="J878" s="81"/>
    </row>
    <row r="879" spans="1:10" x14ac:dyDescent="0.15">
      <c r="A879" s="92"/>
      <c r="B879" s="93"/>
      <c r="C879" s="93"/>
      <c r="D879" s="94"/>
      <c r="E879" s="93"/>
      <c r="F879" s="93"/>
      <c r="G879" s="93"/>
      <c r="H879" s="93"/>
      <c r="I879" s="93"/>
      <c r="J879" s="81"/>
    </row>
    <row r="880" spans="1:10" x14ac:dyDescent="0.15">
      <c r="A880" s="92"/>
      <c r="B880" s="93"/>
      <c r="C880" s="93"/>
      <c r="D880" s="94"/>
      <c r="E880" s="93"/>
      <c r="F880" s="93"/>
      <c r="G880" s="93"/>
      <c r="H880" s="93"/>
      <c r="I880" s="93"/>
      <c r="J880" s="81"/>
    </row>
    <row r="881" spans="1:10" x14ac:dyDescent="0.15">
      <c r="A881" s="92"/>
      <c r="B881" s="93"/>
      <c r="C881" s="93"/>
      <c r="D881" s="94"/>
      <c r="E881" s="93"/>
      <c r="F881" s="93"/>
      <c r="G881" s="93"/>
      <c r="H881" s="93"/>
      <c r="I881" s="93"/>
      <c r="J881" s="81"/>
    </row>
    <row r="882" spans="1:10" x14ac:dyDescent="0.15">
      <c r="A882" s="92"/>
      <c r="B882" s="93"/>
      <c r="C882" s="93"/>
      <c r="D882" s="94"/>
      <c r="E882" s="93"/>
      <c r="F882" s="93"/>
      <c r="G882" s="93"/>
      <c r="H882" s="93"/>
      <c r="I882" s="93"/>
      <c r="J882" s="81"/>
    </row>
    <row r="883" spans="1:10" x14ac:dyDescent="0.15">
      <c r="A883" s="92"/>
      <c r="B883" s="93"/>
      <c r="C883" s="93"/>
      <c r="D883" s="94"/>
      <c r="E883" s="93"/>
      <c r="F883" s="93"/>
      <c r="G883" s="93"/>
      <c r="H883" s="93"/>
      <c r="I883" s="93"/>
      <c r="J883" s="81"/>
    </row>
    <row r="884" spans="1:10" x14ac:dyDescent="0.15">
      <c r="A884" s="92"/>
      <c r="B884" s="93"/>
      <c r="C884" s="93"/>
      <c r="D884" s="94"/>
      <c r="E884" s="93"/>
      <c r="F884" s="93"/>
      <c r="G884" s="93"/>
      <c r="H884" s="93"/>
      <c r="I884" s="93"/>
      <c r="J884" s="81"/>
    </row>
    <row r="885" spans="1:10" x14ac:dyDescent="0.15">
      <c r="A885" s="92"/>
      <c r="B885" s="93"/>
      <c r="C885" s="93"/>
      <c r="D885" s="94"/>
      <c r="E885" s="93"/>
      <c r="F885" s="93"/>
      <c r="G885" s="93"/>
      <c r="H885" s="93"/>
      <c r="I885" s="93"/>
      <c r="J885" s="81"/>
    </row>
    <row r="886" spans="1:10" x14ac:dyDescent="0.15">
      <c r="A886" s="92"/>
      <c r="B886" s="93"/>
      <c r="C886" s="93"/>
      <c r="D886" s="94"/>
      <c r="E886" s="93"/>
      <c r="F886" s="93"/>
      <c r="G886" s="93"/>
      <c r="H886" s="93"/>
      <c r="I886" s="93"/>
      <c r="J886" s="81"/>
    </row>
    <row r="887" spans="1:10" x14ac:dyDescent="0.15">
      <c r="A887" s="92"/>
      <c r="B887" s="93"/>
      <c r="C887" s="93"/>
      <c r="D887" s="94"/>
      <c r="E887" s="93"/>
      <c r="F887" s="93"/>
      <c r="G887" s="93"/>
      <c r="H887" s="93"/>
      <c r="I887" s="93"/>
      <c r="J887" s="81"/>
    </row>
    <row r="888" spans="1:10" x14ac:dyDescent="0.15">
      <c r="A888" s="92"/>
      <c r="B888" s="93"/>
      <c r="C888" s="93"/>
      <c r="D888" s="94"/>
      <c r="E888" s="93"/>
      <c r="F888" s="93"/>
      <c r="G888" s="93"/>
      <c r="H888" s="93"/>
      <c r="I888" s="93"/>
      <c r="J888" s="81"/>
    </row>
    <row r="889" spans="1:10" x14ac:dyDescent="0.15">
      <c r="A889" s="92"/>
      <c r="B889" s="93"/>
      <c r="C889" s="93"/>
      <c r="D889" s="94"/>
      <c r="E889" s="93"/>
      <c r="F889" s="93"/>
      <c r="G889" s="93"/>
      <c r="H889" s="93"/>
      <c r="I889" s="93"/>
      <c r="J889" s="81"/>
    </row>
    <row r="890" spans="1:10" x14ac:dyDescent="0.15">
      <c r="A890" s="92"/>
      <c r="B890" s="93"/>
      <c r="C890" s="93"/>
      <c r="D890" s="94"/>
      <c r="E890" s="93"/>
      <c r="F890" s="93"/>
      <c r="G890" s="93"/>
      <c r="H890" s="93"/>
      <c r="I890" s="93"/>
      <c r="J890" s="81"/>
    </row>
    <row r="891" spans="1:10" x14ac:dyDescent="0.15">
      <c r="A891" s="92"/>
      <c r="B891" s="93"/>
      <c r="C891" s="93"/>
      <c r="D891" s="94"/>
      <c r="E891" s="93"/>
      <c r="F891" s="93"/>
      <c r="G891" s="93"/>
      <c r="H891" s="93"/>
      <c r="I891" s="93"/>
      <c r="J891" s="81"/>
    </row>
    <row r="892" spans="1:10" x14ac:dyDescent="0.15">
      <c r="A892" s="92"/>
      <c r="B892" s="93"/>
      <c r="C892" s="93"/>
      <c r="D892" s="94"/>
      <c r="E892" s="93"/>
      <c r="F892" s="93"/>
      <c r="G892" s="93"/>
      <c r="H892" s="93"/>
      <c r="I892" s="93"/>
      <c r="J892" s="81"/>
    </row>
    <row r="893" spans="1:10" x14ac:dyDescent="0.15">
      <c r="A893" s="92"/>
      <c r="B893" s="93"/>
      <c r="C893" s="93"/>
      <c r="D893" s="94"/>
      <c r="E893" s="93"/>
      <c r="F893" s="93"/>
      <c r="G893" s="93"/>
      <c r="H893" s="93"/>
      <c r="I893" s="93"/>
      <c r="J893" s="81"/>
    </row>
    <row r="894" spans="1:10" x14ac:dyDescent="0.15">
      <c r="A894" s="92"/>
      <c r="B894" s="93"/>
      <c r="C894" s="93"/>
      <c r="D894" s="94"/>
      <c r="E894" s="93"/>
      <c r="F894" s="93"/>
      <c r="G894" s="93"/>
      <c r="H894" s="93"/>
      <c r="I894" s="93"/>
      <c r="J894" s="81"/>
    </row>
    <row r="895" spans="1:10" x14ac:dyDescent="0.15">
      <c r="A895" s="92"/>
      <c r="B895" s="93"/>
      <c r="C895" s="93"/>
      <c r="D895" s="94"/>
      <c r="E895" s="93"/>
      <c r="F895" s="93"/>
      <c r="G895" s="93"/>
      <c r="H895" s="93"/>
      <c r="I895" s="93"/>
      <c r="J895" s="81"/>
    </row>
    <row r="896" spans="1:10" x14ac:dyDescent="0.15">
      <c r="A896" s="92"/>
      <c r="B896" s="93"/>
      <c r="C896" s="93"/>
      <c r="D896" s="94"/>
      <c r="E896" s="93"/>
      <c r="F896" s="93"/>
      <c r="G896" s="93"/>
      <c r="H896" s="93"/>
      <c r="I896" s="93"/>
      <c r="J896" s="81"/>
    </row>
    <row r="897" spans="1:10" x14ac:dyDescent="0.15">
      <c r="A897" s="92"/>
      <c r="B897" s="93"/>
      <c r="C897" s="93"/>
      <c r="D897" s="94"/>
      <c r="E897" s="93"/>
      <c r="F897" s="93"/>
      <c r="G897" s="93"/>
      <c r="H897" s="93"/>
      <c r="I897" s="93"/>
      <c r="J897" s="81"/>
    </row>
    <row r="898" spans="1:10" x14ac:dyDescent="0.15">
      <c r="A898" s="92"/>
      <c r="B898" s="93"/>
      <c r="C898" s="93"/>
      <c r="D898" s="94"/>
      <c r="E898" s="93"/>
      <c r="F898" s="93"/>
      <c r="G898" s="93"/>
      <c r="H898" s="93"/>
      <c r="I898" s="93"/>
      <c r="J898" s="81"/>
    </row>
    <row r="899" spans="1:10" x14ac:dyDescent="0.15">
      <c r="A899" s="92"/>
      <c r="B899" s="93"/>
      <c r="C899" s="93"/>
      <c r="D899" s="94"/>
      <c r="E899" s="93"/>
      <c r="F899" s="93"/>
      <c r="G899" s="93"/>
      <c r="H899" s="93"/>
      <c r="I899" s="93"/>
      <c r="J899" s="81"/>
    </row>
    <row r="900" spans="1:10" x14ac:dyDescent="0.15">
      <c r="A900" s="92"/>
      <c r="B900" s="93"/>
      <c r="C900" s="93"/>
      <c r="D900" s="94"/>
      <c r="E900" s="93"/>
      <c r="F900" s="93"/>
      <c r="G900" s="93"/>
      <c r="H900" s="93"/>
      <c r="I900" s="93"/>
      <c r="J900" s="81"/>
    </row>
    <row r="901" spans="1:10" x14ac:dyDescent="0.15">
      <c r="A901" s="92"/>
      <c r="B901" s="93"/>
      <c r="C901" s="93"/>
      <c r="D901" s="94"/>
      <c r="E901" s="93"/>
      <c r="F901" s="93"/>
      <c r="G901" s="93"/>
      <c r="H901" s="93"/>
      <c r="I901" s="93"/>
      <c r="J901" s="81"/>
    </row>
    <row r="902" spans="1:10" x14ac:dyDescent="0.15">
      <c r="A902" s="92"/>
      <c r="B902" s="93"/>
      <c r="C902" s="93"/>
      <c r="D902" s="94"/>
      <c r="E902" s="93"/>
      <c r="F902" s="93"/>
      <c r="G902" s="93"/>
      <c r="H902" s="93"/>
      <c r="I902" s="93"/>
      <c r="J902" s="81"/>
    </row>
    <row r="903" spans="1:10" x14ac:dyDescent="0.15">
      <c r="A903" s="92"/>
      <c r="B903" s="93"/>
      <c r="C903" s="93"/>
      <c r="D903" s="94"/>
      <c r="E903" s="93"/>
      <c r="F903" s="93"/>
      <c r="G903" s="93"/>
      <c r="H903" s="93"/>
      <c r="I903" s="93"/>
      <c r="J903" s="81"/>
    </row>
    <row r="904" spans="1:10" x14ac:dyDescent="0.15">
      <c r="A904" s="92"/>
      <c r="B904" s="93"/>
      <c r="C904" s="93"/>
      <c r="D904" s="94"/>
      <c r="E904" s="93"/>
      <c r="F904" s="93"/>
      <c r="G904" s="93"/>
      <c r="H904" s="93"/>
      <c r="I904" s="93"/>
      <c r="J904" s="81"/>
    </row>
    <row r="905" spans="1:10" x14ac:dyDescent="0.15">
      <c r="A905" s="92"/>
      <c r="B905" s="93"/>
      <c r="C905" s="93"/>
      <c r="D905" s="94"/>
      <c r="E905" s="93"/>
      <c r="F905" s="93"/>
      <c r="G905" s="93"/>
      <c r="H905" s="93"/>
      <c r="I905" s="93"/>
      <c r="J905" s="81"/>
    </row>
    <row r="906" spans="1:10" x14ac:dyDescent="0.15">
      <c r="A906" s="92"/>
      <c r="B906" s="93"/>
      <c r="C906" s="93"/>
      <c r="D906" s="94"/>
      <c r="E906" s="93"/>
      <c r="F906" s="93"/>
      <c r="G906" s="93"/>
      <c r="H906" s="93"/>
      <c r="I906" s="93"/>
      <c r="J906" s="81"/>
    </row>
    <row r="907" spans="1:10" x14ac:dyDescent="0.15">
      <c r="A907" s="92"/>
      <c r="B907" s="93"/>
      <c r="C907" s="93"/>
      <c r="D907" s="94"/>
      <c r="E907" s="93"/>
      <c r="F907" s="93"/>
      <c r="G907" s="93"/>
      <c r="H907" s="93"/>
      <c r="I907" s="93"/>
      <c r="J907" s="81"/>
    </row>
    <row r="908" spans="1:10" x14ac:dyDescent="0.15">
      <c r="A908" s="92"/>
      <c r="B908" s="93"/>
      <c r="C908" s="93"/>
      <c r="D908" s="94"/>
      <c r="E908" s="93"/>
      <c r="F908" s="93"/>
      <c r="G908" s="93"/>
      <c r="H908" s="93"/>
      <c r="I908" s="93"/>
      <c r="J908" s="81"/>
    </row>
    <row r="909" spans="1:10" x14ac:dyDescent="0.15">
      <c r="A909" s="92"/>
      <c r="B909" s="93"/>
      <c r="C909" s="93"/>
      <c r="D909" s="94"/>
      <c r="E909" s="93"/>
      <c r="F909" s="93"/>
      <c r="G909" s="93"/>
      <c r="H909" s="93"/>
      <c r="I909" s="93"/>
      <c r="J909" s="81"/>
    </row>
    <row r="910" spans="1:10" x14ac:dyDescent="0.15">
      <c r="A910" s="92"/>
      <c r="B910" s="93"/>
      <c r="C910" s="93"/>
      <c r="D910" s="94"/>
      <c r="E910" s="93"/>
      <c r="F910" s="93"/>
      <c r="G910" s="93"/>
      <c r="H910" s="93"/>
      <c r="I910" s="93"/>
      <c r="J910" s="81"/>
    </row>
    <row r="911" spans="1:10" x14ac:dyDescent="0.15">
      <c r="A911" s="92"/>
      <c r="B911" s="93"/>
      <c r="C911" s="93"/>
      <c r="D911" s="94"/>
      <c r="E911" s="93"/>
      <c r="F911" s="93"/>
      <c r="G911" s="93"/>
      <c r="H911" s="93"/>
      <c r="I911" s="93"/>
      <c r="J911" s="81"/>
    </row>
    <row r="912" spans="1:10" x14ac:dyDescent="0.15">
      <c r="A912" s="92"/>
      <c r="B912" s="93"/>
      <c r="C912" s="93"/>
      <c r="D912" s="94"/>
      <c r="E912" s="93"/>
      <c r="F912" s="93"/>
      <c r="G912" s="93"/>
      <c r="H912" s="93"/>
      <c r="I912" s="93"/>
      <c r="J912" s="81"/>
    </row>
    <row r="913" spans="1:10" x14ac:dyDescent="0.15">
      <c r="A913" s="92"/>
      <c r="B913" s="93"/>
      <c r="C913" s="93"/>
      <c r="D913" s="94"/>
      <c r="E913" s="93"/>
      <c r="F913" s="93"/>
      <c r="G913" s="93"/>
      <c r="H913" s="93"/>
      <c r="I913" s="93"/>
      <c r="J913" s="81"/>
    </row>
    <row r="914" spans="1:10" x14ac:dyDescent="0.15">
      <c r="A914" s="92"/>
      <c r="B914" s="93"/>
      <c r="C914" s="93"/>
      <c r="D914" s="94"/>
      <c r="E914" s="93"/>
      <c r="F914" s="93"/>
      <c r="G914" s="93"/>
      <c r="H914" s="93"/>
      <c r="I914" s="93"/>
      <c r="J914" s="81"/>
    </row>
    <row r="915" spans="1:10" x14ac:dyDescent="0.15">
      <c r="A915" s="92"/>
      <c r="B915" s="93"/>
      <c r="C915" s="93"/>
      <c r="D915" s="94"/>
      <c r="E915" s="93"/>
      <c r="F915" s="93"/>
      <c r="G915" s="93"/>
      <c r="H915" s="93"/>
      <c r="I915" s="93"/>
      <c r="J915" s="81"/>
    </row>
    <row r="916" spans="1:10" x14ac:dyDescent="0.15">
      <c r="A916" s="92"/>
      <c r="B916" s="93"/>
      <c r="C916" s="93"/>
      <c r="D916" s="94"/>
      <c r="E916" s="93"/>
      <c r="F916" s="93"/>
      <c r="G916" s="93"/>
      <c r="H916" s="93"/>
      <c r="I916" s="93"/>
      <c r="J916" s="81"/>
    </row>
    <row r="917" spans="1:10" x14ac:dyDescent="0.15">
      <c r="A917" s="92"/>
      <c r="B917" s="93"/>
      <c r="C917" s="93"/>
      <c r="D917" s="94"/>
      <c r="E917" s="93"/>
      <c r="F917" s="93"/>
      <c r="G917" s="93"/>
      <c r="H917" s="93"/>
      <c r="I917" s="93"/>
      <c r="J917" s="81"/>
    </row>
    <row r="918" spans="1:10" x14ac:dyDescent="0.15">
      <c r="A918" s="92"/>
      <c r="B918" s="93"/>
      <c r="C918" s="93"/>
      <c r="D918" s="94"/>
      <c r="E918" s="93"/>
      <c r="F918" s="93"/>
      <c r="G918" s="93"/>
      <c r="H918" s="93"/>
      <c r="I918" s="93"/>
      <c r="J918" s="81"/>
    </row>
    <row r="919" spans="1:10" x14ac:dyDescent="0.15">
      <c r="A919" s="92"/>
      <c r="B919" s="93"/>
      <c r="C919" s="93"/>
      <c r="D919" s="94"/>
      <c r="E919" s="93"/>
      <c r="F919" s="93"/>
      <c r="G919" s="93"/>
      <c r="H919" s="93"/>
      <c r="I919" s="93"/>
      <c r="J919" s="81"/>
    </row>
    <row r="920" spans="1:10" x14ac:dyDescent="0.15">
      <c r="A920" s="92"/>
      <c r="B920" s="93"/>
      <c r="C920" s="93"/>
      <c r="D920" s="94"/>
      <c r="E920" s="93"/>
      <c r="F920" s="93"/>
      <c r="G920" s="93"/>
      <c r="H920" s="93"/>
      <c r="I920" s="93"/>
      <c r="J920" s="81"/>
    </row>
    <row r="921" spans="1:10" x14ac:dyDescent="0.15">
      <c r="A921" s="92"/>
      <c r="B921" s="93"/>
      <c r="C921" s="93"/>
      <c r="D921" s="94"/>
      <c r="E921" s="93"/>
      <c r="F921" s="93"/>
      <c r="G921" s="93"/>
      <c r="H921" s="93"/>
      <c r="I921" s="93"/>
      <c r="J921" s="81"/>
    </row>
    <row r="922" spans="1:10" x14ac:dyDescent="0.15">
      <c r="A922" s="92"/>
      <c r="B922" s="93"/>
      <c r="C922" s="93"/>
      <c r="D922" s="94"/>
      <c r="E922" s="93"/>
      <c r="F922" s="93"/>
      <c r="G922" s="93"/>
      <c r="H922" s="93"/>
      <c r="I922" s="93"/>
      <c r="J922" s="81"/>
    </row>
    <row r="923" spans="1:10" x14ac:dyDescent="0.15">
      <c r="A923" s="92"/>
      <c r="B923" s="93"/>
      <c r="C923" s="93"/>
      <c r="D923" s="94"/>
      <c r="E923" s="93"/>
      <c r="F923" s="93"/>
      <c r="G923" s="93"/>
      <c r="H923" s="93"/>
      <c r="I923" s="93"/>
      <c r="J923" s="81"/>
    </row>
    <row r="924" spans="1:10" x14ac:dyDescent="0.15">
      <c r="A924" s="92"/>
      <c r="B924" s="93"/>
      <c r="C924" s="93"/>
      <c r="D924" s="94"/>
      <c r="E924" s="93"/>
      <c r="F924" s="93"/>
      <c r="G924" s="93"/>
      <c r="H924" s="93"/>
      <c r="I924" s="93"/>
      <c r="J924" s="81"/>
    </row>
    <row r="925" spans="1:10" x14ac:dyDescent="0.15">
      <c r="A925" s="92"/>
      <c r="B925" s="93"/>
      <c r="C925" s="93"/>
      <c r="D925" s="94"/>
      <c r="E925" s="93"/>
      <c r="F925" s="93"/>
      <c r="G925" s="93"/>
      <c r="H925" s="93"/>
      <c r="I925" s="93"/>
      <c r="J925" s="81"/>
    </row>
    <row r="926" spans="1:10" x14ac:dyDescent="0.15">
      <c r="A926" s="92"/>
      <c r="B926" s="93"/>
      <c r="C926" s="93"/>
      <c r="D926" s="94"/>
      <c r="E926" s="93"/>
      <c r="F926" s="93"/>
      <c r="G926" s="93"/>
      <c r="H926" s="93"/>
      <c r="I926" s="93"/>
      <c r="J926" s="81"/>
    </row>
    <row r="927" spans="1:10" x14ac:dyDescent="0.15">
      <c r="A927" s="92"/>
      <c r="B927" s="93"/>
      <c r="C927" s="93"/>
      <c r="D927" s="94"/>
      <c r="E927" s="93"/>
      <c r="F927" s="93"/>
      <c r="G927" s="93"/>
      <c r="H927" s="93"/>
      <c r="I927" s="93"/>
      <c r="J927" s="81"/>
    </row>
    <row r="928" spans="1:10" x14ac:dyDescent="0.15">
      <c r="A928" s="92"/>
      <c r="B928" s="93"/>
      <c r="C928" s="93"/>
      <c r="D928" s="94"/>
      <c r="E928" s="93"/>
      <c r="F928" s="93"/>
      <c r="G928" s="93"/>
      <c r="H928" s="93"/>
      <c r="I928" s="93"/>
      <c r="J928" s="81"/>
    </row>
    <row r="929" spans="1:10" x14ac:dyDescent="0.15">
      <c r="A929" s="92"/>
      <c r="B929" s="93"/>
      <c r="C929" s="93"/>
      <c r="D929" s="94"/>
      <c r="E929" s="93"/>
      <c r="F929" s="93"/>
      <c r="G929" s="93"/>
      <c r="H929" s="93"/>
      <c r="I929" s="93"/>
      <c r="J929" s="81"/>
    </row>
    <row r="930" spans="1:10" x14ac:dyDescent="0.15">
      <c r="A930" s="92"/>
      <c r="B930" s="93"/>
      <c r="C930" s="93"/>
      <c r="D930" s="94"/>
      <c r="E930" s="93"/>
      <c r="F930" s="93"/>
      <c r="G930" s="93"/>
      <c r="H930" s="93"/>
      <c r="I930" s="93"/>
      <c r="J930" s="81"/>
    </row>
    <row r="931" spans="1:10" x14ac:dyDescent="0.15">
      <c r="A931" s="92"/>
      <c r="B931" s="93"/>
      <c r="C931" s="93"/>
      <c r="D931" s="94"/>
      <c r="E931" s="93"/>
      <c r="F931" s="93"/>
      <c r="G931" s="93"/>
      <c r="H931" s="93"/>
      <c r="I931" s="93"/>
      <c r="J931" s="81"/>
    </row>
    <row r="932" spans="1:10" x14ac:dyDescent="0.15">
      <c r="A932" s="92"/>
      <c r="B932" s="93"/>
      <c r="C932" s="93"/>
      <c r="D932" s="94"/>
      <c r="E932" s="93"/>
      <c r="F932" s="93"/>
      <c r="G932" s="93"/>
      <c r="H932" s="93"/>
      <c r="I932" s="93"/>
      <c r="J932" s="81"/>
    </row>
    <row r="933" spans="1:10" x14ac:dyDescent="0.15">
      <c r="A933" s="92"/>
      <c r="B933" s="93"/>
      <c r="C933" s="93"/>
      <c r="D933" s="94"/>
      <c r="E933" s="93"/>
      <c r="F933" s="93"/>
      <c r="G933" s="93"/>
      <c r="H933" s="93"/>
      <c r="I933" s="93"/>
      <c r="J933" s="81"/>
    </row>
    <row r="934" spans="1:10" x14ac:dyDescent="0.15">
      <c r="A934" s="92"/>
      <c r="B934" s="93"/>
      <c r="C934" s="93"/>
      <c r="D934" s="94"/>
      <c r="E934" s="93"/>
      <c r="F934" s="93"/>
      <c r="G934" s="93"/>
      <c r="H934" s="93"/>
      <c r="I934" s="93"/>
      <c r="J934" s="81"/>
    </row>
    <row r="935" spans="1:10" x14ac:dyDescent="0.15">
      <c r="A935" s="92"/>
      <c r="B935" s="93"/>
      <c r="C935" s="93"/>
      <c r="D935" s="94"/>
      <c r="E935" s="93"/>
      <c r="F935" s="93"/>
      <c r="G935" s="93"/>
      <c r="H935" s="93"/>
      <c r="I935" s="93"/>
      <c r="J935" s="81"/>
    </row>
    <row r="936" spans="1:10" x14ac:dyDescent="0.15">
      <c r="A936" s="92"/>
      <c r="B936" s="93"/>
      <c r="C936" s="93"/>
      <c r="D936" s="94"/>
      <c r="E936" s="93"/>
      <c r="F936" s="93"/>
      <c r="G936" s="93"/>
      <c r="H936" s="93"/>
      <c r="I936" s="93"/>
      <c r="J936" s="81"/>
    </row>
    <row r="937" spans="1:10" x14ac:dyDescent="0.15">
      <c r="A937" s="92"/>
      <c r="B937" s="93"/>
      <c r="C937" s="93"/>
      <c r="D937" s="94"/>
      <c r="E937" s="93"/>
      <c r="F937" s="93"/>
      <c r="G937" s="93"/>
      <c r="H937" s="93"/>
      <c r="I937" s="93"/>
      <c r="J937" s="81"/>
    </row>
    <row r="938" spans="1:10" x14ac:dyDescent="0.15">
      <c r="A938" s="92"/>
      <c r="B938" s="93"/>
      <c r="C938" s="93"/>
      <c r="D938" s="94"/>
      <c r="E938" s="93"/>
      <c r="F938" s="93"/>
      <c r="G938" s="93"/>
      <c r="H938" s="93"/>
      <c r="I938" s="93"/>
      <c r="J938" s="81"/>
    </row>
    <row r="939" spans="1:10" x14ac:dyDescent="0.15">
      <c r="A939" s="92"/>
      <c r="B939" s="93"/>
      <c r="C939" s="93"/>
      <c r="D939" s="94"/>
      <c r="E939" s="93"/>
      <c r="F939" s="93"/>
      <c r="G939" s="93"/>
      <c r="H939" s="93"/>
      <c r="I939" s="93"/>
      <c r="J939" s="81"/>
    </row>
    <row r="940" spans="1:10" x14ac:dyDescent="0.15">
      <c r="A940" s="92"/>
      <c r="B940" s="93"/>
      <c r="C940" s="93"/>
      <c r="D940" s="94"/>
      <c r="E940" s="93"/>
      <c r="F940" s="93"/>
      <c r="G940" s="93"/>
      <c r="H940" s="93"/>
      <c r="I940" s="93"/>
      <c r="J940" s="81"/>
    </row>
    <row r="941" spans="1:10" x14ac:dyDescent="0.15">
      <c r="A941" s="92"/>
      <c r="B941" s="93"/>
      <c r="C941" s="93"/>
      <c r="D941" s="94"/>
      <c r="E941" s="93"/>
      <c r="F941" s="93"/>
      <c r="G941" s="93"/>
      <c r="H941" s="93"/>
      <c r="I941" s="93"/>
      <c r="J941" s="81"/>
    </row>
    <row r="942" spans="1:10" x14ac:dyDescent="0.15">
      <c r="A942" s="92"/>
      <c r="B942" s="93"/>
      <c r="C942" s="93"/>
      <c r="D942" s="94"/>
      <c r="E942" s="93"/>
      <c r="F942" s="93"/>
      <c r="G942" s="93"/>
      <c r="H942" s="93"/>
      <c r="I942" s="93"/>
      <c r="J942" s="81"/>
    </row>
    <row r="943" spans="1:10" x14ac:dyDescent="0.15">
      <c r="A943" s="92"/>
      <c r="B943" s="93"/>
      <c r="C943" s="93"/>
      <c r="D943" s="94"/>
      <c r="E943" s="93"/>
      <c r="F943" s="93"/>
      <c r="G943" s="93"/>
      <c r="H943" s="93"/>
      <c r="I943" s="93"/>
      <c r="J943" s="81"/>
    </row>
    <row r="944" spans="1:10" x14ac:dyDescent="0.15">
      <c r="A944" s="92"/>
      <c r="B944" s="93"/>
      <c r="C944" s="93"/>
      <c r="D944" s="94"/>
      <c r="E944" s="93"/>
      <c r="F944" s="93"/>
      <c r="G944" s="93"/>
      <c r="H944" s="93"/>
      <c r="I944" s="93"/>
      <c r="J944" s="81"/>
    </row>
    <row r="945" spans="1:10" x14ac:dyDescent="0.15">
      <c r="A945" s="92"/>
      <c r="B945" s="93"/>
      <c r="C945" s="93"/>
      <c r="D945" s="94"/>
      <c r="E945" s="93"/>
      <c r="F945" s="93"/>
      <c r="G945" s="93"/>
      <c r="H945" s="93"/>
      <c r="I945" s="93"/>
      <c r="J945" s="81"/>
    </row>
    <row r="946" spans="1:10" x14ac:dyDescent="0.15">
      <c r="A946" s="92"/>
      <c r="B946" s="93"/>
      <c r="C946" s="93"/>
      <c r="D946" s="94"/>
      <c r="E946" s="93"/>
      <c r="F946" s="93"/>
      <c r="G946" s="93"/>
      <c r="H946" s="93"/>
      <c r="I946" s="93"/>
      <c r="J946" s="81"/>
    </row>
    <row r="947" spans="1:10" x14ac:dyDescent="0.15">
      <c r="A947" s="92"/>
      <c r="B947" s="93"/>
      <c r="C947" s="93"/>
      <c r="D947" s="94"/>
      <c r="E947" s="93"/>
      <c r="F947" s="93"/>
      <c r="G947" s="93"/>
      <c r="H947" s="93"/>
      <c r="I947" s="93"/>
      <c r="J947" s="81"/>
    </row>
    <row r="948" spans="1:10" x14ac:dyDescent="0.15">
      <c r="A948" s="92"/>
      <c r="B948" s="93"/>
      <c r="C948" s="93"/>
      <c r="D948" s="94"/>
      <c r="E948" s="93"/>
      <c r="F948" s="93"/>
      <c r="G948" s="93"/>
      <c r="H948" s="93"/>
      <c r="I948" s="93"/>
      <c r="J948" s="81"/>
    </row>
    <row r="949" spans="1:10" x14ac:dyDescent="0.15">
      <c r="A949" s="92"/>
      <c r="B949" s="93"/>
      <c r="C949" s="93"/>
      <c r="D949" s="94"/>
      <c r="E949" s="93"/>
      <c r="F949" s="93"/>
      <c r="G949" s="93"/>
      <c r="H949" s="93"/>
      <c r="I949" s="93"/>
      <c r="J949" s="81"/>
    </row>
    <row r="950" spans="1:10" x14ac:dyDescent="0.15">
      <c r="A950" s="92"/>
      <c r="B950" s="93"/>
      <c r="C950" s="93"/>
      <c r="D950" s="94"/>
      <c r="E950" s="93"/>
      <c r="F950" s="93"/>
      <c r="G950" s="93"/>
      <c r="H950" s="93"/>
      <c r="I950" s="93"/>
      <c r="J950" s="81"/>
    </row>
    <row r="951" spans="1:10" x14ac:dyDescent="0.15">
      <c r="A951" s="92"/>
      <c r="B951" s="93"/>
      <c r="C951" s="93"/>
      <c r="D951" s="94"/>
      <c r="E951" s="93"/>
      <c r="F951" s="93"/>
      <c r="G951" s="93"/>
      <c r="H951" s="93"/>
      <c r="I951" s="93"/>
      <c r="J951" s="81"/>
    </row>
    <row r="952" spans="1:10" x14ac:dyDescent="0.15">
      <c r="A952" s="92"/>
      <c r="B952" s="93"/>
      <c r="C952" s="93"/>
      <c r="D952" s="94"/>
      <c r="E952" s="93"/>
      <c r="F952" s="93"/>
      <c r="G952" s="93"/>
      <c r="H952" s="93"/>
      <c r="I952" s="93"/>
      <c r="J952" s="81"/>
    </row>
    <row r="953" spans="1:10" x14ac:dyDescent="0.15">
      <c r="A953" s="92"/>
      <c r="B953" s="93"/>
      <c r="C953" s="93"/>
      <c r="D953" s="94"/>
      <c r="E953" s="93"/>
      <c r="F953" s="93"/>
      <c r="G953" s="93"/>
      <c r="H953" s="93"/>
      <c r="I953" s="93"/>
      <c r="J953" s="81"/>
    </row>
    <row r="954" spans="1:10" x14ac:dyDescent="0.15">
      <c r="A954" s="92"/>
      <c r="B954" s="93"/>
      <c r="C954" s="93"/>
      <c r="D954" s="94"/>
      <c r="E954" s="93"/>
      <c r="F954" s="93"/>
      <c r="G954" s="93"/>
      <c r="H954" s="93"/>
      <c r="I954" s="93"/>
      <c r="J954" s="81"/>
    </row>
    <row r="955" spans="1:10" x14ac:dyDescent="0.15">
      <c r="A955" s="92"/>
      <c r="B955" s="93"/>
      <c r="C955" s="93"/>
      <c r="D955" s="94"/>
      <c r="E955" s="93"/>
      <c r="F955" s="93"/>
      <c r="G955" s="93"/>
      <c r="H955" s="93"/>
      <c r="I955" s="93"/>
      <c r="J955" s="81"/>
    </row>
    <row r="956" spans="1:10" x14ac:dyDescent="0.15">
      <c r="A956" s="92"/>
      <c r="B956" s="93"/>
      <c r="C956" s="93"/>
      <c r="D956" s="94"/>
      <c r="E956" s="93"/>
      <c r="F956" s="93"/>
      <c r="G956" s="93"/>
      <c r="H956" s="93"/>
      <c r="I956" s="93"/>
      <c r="J956" s="81"/>
    </row>
    <row r="957" spans="1:10" x14ac:dyDescent="0.15">
      <c r="A957" s="92"/>
      <c r="B957" s="93"/>
      <c r="C957" s="93"/>
      <c r="D957" s="94"/>
      <c r="E957" s="93"/>
      <c r="F957" s="93"/>
      <c r="G957" s="93"/>
      <c r="H957" s="93"/>
      <c r="I957" s="93"/>
      <c r="J957" s="81"/>
    </row>
    <row r="958" spans="1:10" x14ac:dyDescent="0.15">
      <c r="A958" s="92"/>
      <c r="B958" s="93"/>
      <c r="C958" s="93"/>
      <c r="D958" s="94"/>
      <c r="E958" s="93"/>
      <c r="F958" s="93"/>
      <c r="G958" s="93"/>
      <c r="H958" s="93"/>
      <c r="I958" s="93"/>
      <c r="J958" s="81"/>
    </row>
    <row r="959" spans="1:10" x14ac:dyDescent="0.15">
      <c r="A959" s="92"/>
      <c r="B959" s="93"/>
      <c r="C959" s="93"/>
      <c r="D959" s="94"/>
      <c r="E959" s="93"/>
      <c r="F959" s="93"/>
      <c r="G959" s="93"/>
      <c r="H959" s="93"/>
      <c r="I959" s="93"/>
      <c r="J959" s="81"/>
    </row>
    <row r="960" spans="1:10" x14ac:dyDescent="0.15">
      <c r="A960" s="92"/>
      <c r="B960" s="93"/>
      <c r="C960" s="93"/>
      <c r="D960" s="94"/>
      <c r="E960" s="93"/>
      <c r="F960" s="93"/>
      <c r="G960" s="93"/>
      <c r="H960" s="93"/>
      <c r="I960" s="93"/>
      <c r="J960" s="81"/>
    </row>
    <row r="961" spans="1:10" x14ac:dyDescent="0.15">
      <c r="A961" s="92"/>
      <c r="B961" s="93"/>
      <c r="C961" s="93"/>
      <c r="D961" s="94"/>
      <c r="E961" s="93"/>
      <c r="F961" s="93"/>
      <c r="G961" s="93"/>
      <c r="H961" s="93"/>
      <c r="I961" s="93"/>
      <c r="J961" s="81"/>
    </row>
    <row r="962" spans="1:10" x14ac:dyDescent="0.15">
      <c r="A962" s="92"/>
      <c r="B962" s="93"/>
      <c r="C962" s="93"/>
      <c r="D962" s="94"/>
      <c r="E962" s="93"/>
      <c r="F962" s="93"/>
      <c r="G962" s="93"/>
      <c r="H962" s="93"/>
      <c r="I962" s="93"/>
      <c r="J962" s="81"/>
    </row>
    <row r="963" spans="1:10" x14ac:dyDescent="0.15">
      <c r="A963" s="92"/>
      <c r="B963" s="93"/>
      <c r="C963" s="93"/>
      <c r="D963" s="94"/>
      <c r="E963" s="93"/>
      <c r="F963" s="93"/>
      <c r="G963" s="93"/>
      <c r="H963" s="93"/>
      <c r="I963" s="93"/>
      <c r="J963" s="81"/>
    </row>
    <row r="964" spans="1:10" x14ac:dyDescent="0.15">
      <c r="A964" s="92"/>
      <c r="B964" s="93"/>
      <c r="C964" s="93"/>
      <c r="D964" s="94"/>
      <c r="E964" s="93"/>
      <c r="F964" s="93"/>
      <c r="G964" s="93"/>
      <c r="H964" s="93"/>
      <c r="I964" s="93"/>
      <c r="J964" s="81"/>
    </row>
    <row r="965" spans="1:10" x14ac:dyDescent="0.15">
      <c r="A965" s="92"/>
      <c r="B965" s="93"/>
      <c r="C965" s="93"/>
      <c r="D965" s="94"/>
      <c r="E965" s="93"/>
      <c r="F965" s="93"/>
      <c r="G965" s="93"/>
      <c r="H965" s="93"/>
      <c r="I965" s="93"/>
      <c r="J965" s="81"/>
    </row>
    <row r="966" spans="1:10" x14ac:dyDescent="0.15">
      <c r="A966" s="92"/>
      <c r="B966" s="93"/>
      <c r="C966" s="93"/>
      <c r="D966" s="94"/>
      <c r="E966" s="93"/>
      <c r="F966" s="93"/>
      <c r="G966" s="93"/>
      <c r="H966" s="93"/>
      <c r="I966" s="93"/>
      <c r="J966" s="81"/>
    </row>
    <row r="967" spans="1:10" x14ac:dyDescent="0.15">
      <c r="A967" s="92"/>
      <c r="B967" s="93"/>
      <c r="C967" s="93"/>
      <c r="D967" s="94"/>
      <c r="E967" s="93"/>
      <c r="F967" s="93"/>
      <c r="G967" s="93"/>
      <c r="H967" s="93"/>
      <c r="I967" s="93"/>
      <c r="J967" s="81"/>
    </row>
    <row r="968" spans="1:10" x14ac:dyDescent="0.15">
      <c r="A968" s="92"/>
      <c r="B968" s="93"/>
      <c r="C968" s="93"/>
      <c r="D968" s="94"/>
      <c r="E968" s="93"/>
      <c r="F968" s="93"/>
      <c r="G968" s="93"/>
      <c r="H968" s="93"/>
      <c r="I968" s="93"/>
      <c r="J968" s="81"/>
    </row>
    <row r="969" spans="1:10" x14ac:dyDescent="0.15">
      <c r="A969" s="92"/>
      <c r="B969" s="93"/>
      <c r="C969" s="93"/>
      <c r="D969" s="94"/>
      <c r="E969" s="93"/>
      <c r="F969" s="93"/>
      <c r="G969" s="93"/>
      <c r="H969" s="93"/>
      <c r="I969" s="93"/>
      <c r="J969" s="81"/>
    </row>
    <row r="970" spans="1:10" x14ac:dyDescent="0.15">
      <c r="A970" s="92"/>
      <c r="B970" s="93"/>
      <c r="C970" s="93"/>
      <c r="D970" s="94"/>
      <c r="E970" s="93"/>
      <c r="F970" s="93"/>
      <c r="G970" s="93"/>
      <c r="H970" s="93"/>
      <c r="I970" s="93"/>
      <c r="J970" s="81"/>
    </row>
    <row r="971" spans="1:10" x14ac:dyDescent="0.15">
      <c r="A971" s="92"/>
      <c r="B971" s="93"/>
      <c r="C971" s="93"/>
      <c r="D971" s="94"/>
      <c r="E971" s="93"/>
      <c r="F971" s="93"/>
      <c r="G971" s="93"/>
      <c r="H971" s="93"/>
      <c r="I971" s="93"/>
      <c r="J971" s="81"/>
    </row>
    <row r="972" spans="1:10" x14ac:dyDescent="0.15">
      <c r="A972" s="92"/>
      <c r="B972" s="93"/>
      <c r="C972" s="93"/>
      <c r="D972" s="94"/>
      <c r="E972" s="93"/>
      <c r="F972" s="93"/>
      <c r="G972" s="93"/>
      <c r="H972" s="93"/>
      <c r="I972" s="93"/>
      <c r="J972" s="81"/>
    </row>
    <row r="973" spans="1:10" x14ac:dyDescent="0.15">
      <c r="A973" s="92"/>
      <c r="B973" s="93"/>
      <c r="C973" s="93"/>
      <c r="D973" s="94"/>
      <c r="E973" s="93"/>
      <c r="F973" s="93"/>
      <c r="G973" s="93"/>
      <c r="H973" s="93"/>
      <c r="I973" s="93"/>
      <c r="J973" s="81"/>
    </row>
    <row r="974" spans="1:10" x14ac:dyDescent="0.15">
      <c r="A974" s="92"/>
      <c r="B974" s="93"/>
      <c r="C974" s="93"/>
      <c r="D974" s="94"/>
      <c r="E974" s="93"/>
      <c r="F974" s="93"/>
      <c r="G974" s="93"/>
      <c r="H974" s="93"/>
      <c r="I974" s="93"/>
      <c r="J974" s="81"/>
    </row>
    <row r="975" spans="1:10" x14ac:dyDescent="0.15">
      <c r="A975" s="92"/>
      <c r="B975" s="93"/>
      <c r="C975" s="93"/>
      <c r="D975" s="94"/>
      <c r="E975" s="93"/>
      <c r="F975" s="93"/>
      <c r="G975" s="93"/>
      <c r="H975" s="93"/>
      <c r="I975" s="93"/>
      <c r="J975" s="81"/>
    </row>
    <row r="976" spans="1:10" x14ac:dyDescent="0.15">
      <c r="A976" s="92"/>
      <c r="B976" s="93"/>
      <c r="C976" s="93"/>
      <c r="D976" s="94"/>
      <c r="E976" s="93"/>
      <c r="F976" s="93"/>
      <c r="G976" s="93"/>
      <c r="H976" s="93"/>
      <c r="I976" s="93"/>
      <c r="J976" s="81"/>
    </row>
    <row r="977" spans="1:10" x14ac:dyDescent="0.15">
      <c r="A977" s="92"/>
      <c r="B977" s="93"/>
      <c r="C977" s="93"/>
      <c r="D977" s="94"/>
      <c r="E977" s="93"/>
      <c r="F977" s="93"/>
      <c r="G977" s="93"/>
      <c r="H977" s="93"/>
      <c r="I977" s="93"/>
      <c r="J977" s="81"/>
    </row>
    <row r="978" spans="1:10" x14ac:dyDescent="0.15">
      <c r="A978" s="92"/>
      <c r="B978" s="93"/>
      <c r="C978" s="93"/>
      <c r="D978" s="94"/>
      <c r="E978" s="93"/>
      <c r="F978" s="93"/>
      <c r="G978" s="93"/>
      <c r="H978" s="93"/>
      <c r="I978" s="93"/>
      <c r="J978" s="81"/>
    </row>
    <row r="979" spans="1:10" x14ac:dyDescent="0.15">
      <c r="A979" s="92"/>
      <c r="B979" s="93"/>
      <c r="C979" s="93"/>
      <c r="D979" s="94"/>
      <c r="E979" s="93"/>
      <c r="F979" s="93"/>
      <c r="G979" s="93"/>
      <c r="H979" s="93"/>
      <c r="I979" s="93"/>
      <c r="J979" s="81"/>
    </row>
    <row r="980" spans="1:10" x14ac:dyDescent="0.15">
      <c r="A980" s="92"/>
      <c r="B980" s="93"/>
      <c r="C980" s="93"/>
      <c r="D980" s="94"/>
      <c r="E980" s="93"/>
      <c r="F980" s="93"/>
      <c r="G980" s="93"/>
      <c r="H980" s="93"/>
      <c r="I980" s="93"/>
      <c r="J980" s="81"/>
    </row>
    <row r="981" spans="1:10" x14ac:dyDescent="0.15">
      <c r="A981" s="92"/>
      <c r="B981" s="93"/>
      <c r="C981" s="93"/>
      <c r="D981" s="94"/>
      <c r="E981" s="93"/>
      <c r="F981" s="93"/>
      <c r="G981" s="93"/>
      <c r="H981" s="93"/>
      <c r="I981" s="93"/>
      <c r="J981" s="81"/>
    </row>
    <row r="982" spans="1:10" x14ac:dyDescent="0.15">
      <c r="A982" s="92"/>
      <c r="B982" s="93"/>
      <c r="C982" s="93"/>
      <c r="D982" s="94"/>
      <c r="E982" s="93"/>
      <c r="F982" s="93"/>
      <c r="G982" s="93"/>
      <c r="H982" s="93"/>
      <c r="I982" s="93"/>
      <c r="J982" s="81"/>
    </row>
    <row r="983" spans="1:10" x14ac:dyDescent="0.15">
      <c r="A983" s="92"/>
      <c r="B983" s="93"/>
      <c r="C983" s="93"/>
      <c r="D983" s="94"/>
      <c r="E983" s="93"/>
      <c r="F983" s="93"/>
      <c r="G983" s="93"/>
      <c r="H983" s="93"/>
      <c r="I983" s="93"/>
      <c r="J983" s="81"/>
    </row>
    <row r="984" spans="1:10" x14ac:dyDescent="0.15">
      <c r="A984" s="92"/>
      <c r="B984" s="93"/>
      <c r="C984" s="93"/>
      <c r="D984" s="94"/>
      <c r="E984" s="93"/>
      <c r="F984" s="93"/>
      <c r="G984" s="93"/>
      <c r="H984" s="93"/>
      <c r="I984" s="93"/>
      <c r="J984" s="81"/>
    </row>
    <row r="985" spans="1:10" x14ac:dyDescent="0.15">
      <c r="A985" s="92"/>
      <c r="B985" s="93"/>
      <c r="C985" s="93"/>
      <c r="D985" s="94"/>
      <c r="E985" s="93"/>
      <c r="F985" s="93"/>
      <c r="G985" s="93"/>
      <c r="H985" s="93"/>
      <c r="I985" s="93"/>
      <c r="J985" s="81"/>
    </row>
    <row r="986" spans="1:10" x14ac:dyDescent="0.15">
      <c r="A986" s="92"/>
      <c r="B986" s="93"/>
      <c r="C986" s="93"/>
      <c r="D986" s="94"/>
      <c r="E986" s="93"/>
      <c r="F986" s="93"/>
      <c r="G986" s="93"/>
      <c r="H986" s="93"/>
      <c r="I986" s="93"/>
      <c r="J986" s="81"/>
    </row>
    <row r="987" spans="1:10" x14ac:dyDescent="0.15">
      <c r="A987" s="92"/>
      <c r="B987" s="93"/>
      <c r="C987" s="93"/>
      <c r="D987" s="94"/>
      <c r="E987" s="93"/>
      <c r="F987" s="93"/>
      <c r="G987" s="93"/>
      <c r="H987" s="93"/>
      <c r="I987" s="93"/>
      <c r="J987" s="81"/>
    </row>
    <row r="988" spans="1:10" x14ac:dyDescent="0.15">
      <c r="A988" s="92"/>
      <c r="B988" s="93"/>
      <c r="C988" s="93"/>
      <c r="D988" s="94"/>
      <c r="E988" s="93"/>
      <c r="F988" s="93"/>
      <c r="G988" s="93"/>
      <c r="H988" s="93"/>
      <c r="I988" s="93"/>
      <c r="J988" s="81"/>
    </row>
    <row r="989" spans="1:10" x14ac:dyDescent="0.15">
      <c r="A989" s="92"/>
      <c r="B989" s="93"/>
      <c r="C989" s="93"/>
      <c r="D989" s="94"/>
      <c r="E989" s="93"/>
      <c r="F989" s="93"/>
      <c r="G989" s="93"/>
      <c r="H989" s="93"/>
      <c r="I989" s="93"/>
      <c r="J989" s="81"/>
    </row>
    <row r="990" spans="1:10" x14ac:dyDescent="0.15">
      <c r="A990" s="92"/>
      <c r="B990" s="93"/>
      <c r="C990" s="93"/>
      <c r="D990" s="94"/>
      <c r="E990" s="93"/>
      <c r="F990" s="93"/>
      <c r="G990" s="93"/>
      <c r="H990" s="93"/>
      <c r="I990" s="93"/>
      <c r="J990" s="81"/>
    </row>
    <row r="991" spans="1:10" x14ac:dyDescent="0.15">
      <c r="A991" s="92"/>
      <c r="B991" s="93"/>
      <c r="C991" s="93"/>
      <c r="D991" s="94"/>
      <c r="E991" s="93"/>
      <c r="F991" s="93"/>
      <c r="G991" s="93"/>
      <c r="H991" s="93"/>
      <c r="I991" s="93"/>
      <c r="J991" s="81"/>
    </row>
    <row r="992" spans="1:10" x14ac:dyDescent="0.15">
      <c r="A992" s="92"/>
      <c r="B992" s="93"/>
      <c r="C992" s="93"/>
      <c r="D992" s="94"/>
      <c r="E992" s="93"/>
      <c r="F992" s="93"/>
      <c r="G992" s="93"/>
      <c r="H992" s="93"/>
      <c r="I992" s="93"/>
      <c r="J992" s="81"/>
    </row>
    <row r="993" spans="1:10" x14ac:dyDescent="0.15">
      <c r="A993" s="92"/>
      <c r="B993" s="93"/>
      <c r="C993" s="93"/>
      <c r="D993" s="94"/>
      <c r="E993" s="93"/>
      <c r="F993" s="93"/>
      <c r="G993" s="93"/>
      <c r="H993" s="93"/>
      <c r="I993" s="93"/>
      <c r="J993" s="81"/>
    </row>
    <row r="994" spans="1:10" x14ac:dyDescent="0.15">
      <c r="A994" s="92"/>
      <c r="B994" s="93"/>
      <c r="C994" s="93"/>
      <c r="D994" s="94"/>
      <c r="E994" s="93"/>
      <c r="F994" s="93"/>
      <c r="G994" s="93"/>
      <c r="H994" s="93"/>
      <c r="I994" s="93"/>
      <c r="J994" s="81"/>
    </row>
    <row r="995" spans="1:10" x14ac:dyDescent="0.15">
      <c r="A995" s="92"/>
      <c r="B995" s="93"/>
      <c r="C995" s="93"/>
      <c r="D995" s="94"/>
      <c r="E995" s="93"/>
      <c r="F995" s="93"/>
      <c r="G995" s="93"/>
      <c r="H995" s="93"/>
      <c r="I995" s="93"/>
      <c r="J995" s="81"/>
    </row>
    <row r="996" spans="1:10" x14ac:dyDescent="0.15">
      <c r="A996" s="92"/>
      <c r="B996" s="93"/>
      <c r="C996" s="93"/>
      <c r="D996" s="94"/>
      <c r="E996" s="93"/>
      <c r="F996" s="93"/>
      <c r="G996" s="93"/>
      <c r="H996" s="93"/>
      <c r="I996" s="93"/>
      <c r="J996" s="81"/>
    </row>
    <row r="997" spans="1:10" x14ac:dyDescent="0.15">
      <c r="A997" s="92"/>
      <c r="B997" s="93"/>
      <c r="C997" s="93"/>
      <c r="D997" s="94"/>
      <c r="E997" s="93"/>
      <c r="F997" s="93"/>
      <c r="G997" s="93"/>
      <c r="H997" s="93"/>
      <c r="I997" s="93"/>
      <c r="J997" s="81"/>
    </row>
    <row r="998" spans="1:10" x14ac:dyDescent="0.15">
      <c r="A998" s="92"/>
      <c r="B998" s="93"/>
      <c r="C998" s="93"/>
      <c r="D998" s="94"/>
      <c r="E998" s="93"/>
      <c r="F998" s="93"/>
      <c r="G998" s="93"/>
      <c r="H998" s="93"/>
      <c r="I998" s="93"/>
      <c r="J998" s="81"/>
    </row>
    <row r="999" spans="1:10" x14ac:dyDescent="0.15">
      <c r="A999" s="92"/>
      <c r="B999" s="93"/>
      <c r="C999" s="93"/>
      <c r="D999" s="94"/>
      <c r="E999" s="93"/>
      <c r="F999" s="93"/>
      <c r="G999" s="93"/>
      <c r="H999" s="93"/>
      <c r="I999" s="93"/>
      <c r="J999" s="81"/>
    </row>
    <row r="1000" spans="1:10" x14ac:dyDescent="0.15">
      <c r="A1000" s="92"/>
      <c r="B1000" s="93"/>
      <c r="C1000" s="93"/>
      <c r="D1000" s="94"/>
      <c r="E1000" s="93"/>
      <c r="F1000" s="93"/>
      <c r="G1000" s="93"/>
      <c r="H1000" s="93"/>
      <c r="I1000" s="93"/>
      <c r="J1000" s="81"/>
    </row>
    <row r="1001" spans="1:10" x14ac:dyDescent="0.15">
      <c r="A1001" s="92"/>
      <c r="B1001" s="93"/>
      <c r="C1001" s="93"/>
      <c r="D1001" s="94"/>
      <c r="E1001" s="93"/>
      <c r="F1001" s="93"/>
      <c r="G1001" s="93"/>
      <c r="H1001" s="93"/>
      <c r="I1001" s="93"/>
      <c r="J1001" s="81"/>
    </row>
    <row r="1002" spans="1:10" x14ac:dyDescent="0.15">
      <c r="A1002" s="92"/>
      <c r="B1002" s="93"/>
      <c r="C1002" s="93"/>
      <c r="D1002" s="94"/>
      <c r="E1002" s="93"/>
      <c r="F1002" s="93"/>
      <c r="G1002" s="93"/>
      <c r="H1002" s="93"/>
      <c r="I1002" s="93"/>
      <c r="J1002" s="81"/>
    </row>
    <row r="1003" spans="1:10" x14ac:dyDescent="0.15">
      <c r="A1003" s="92"/>
      <c r="B1003" s="93"/>
      <c r="C1003" s="93"/>
      <c r="D1003" s="94"/>
      <c r="E1003" s="93"/>
      <c r="F1003" s="93"/>
      <c r="G1003" s="93"/>
      <c r="H1003" s="93"/>
      <c r="I1003" s="93"/>
      <c r="J1003" s="81"/>
    </row>
    <row r="1004" spans="1:10" x14ac:dyDescent="0.15">
      <c r="A1004" s="92"/>
      <c r="B1004" s="93"/>
      <c r="C1004" s="93"/>
      <c r="D1004" s="94"/>
      <c r="E1004" s="93"/>
      <c r="F1004" s="93"/>
      <c r="G1004" s="93"/>
      <c r="H1004" s="93"/>
      <c r="I1004" s="93"/>
      <c r="J1004" s="81"/>
    </row>
    <row r="1005" spans="1:10" x14ac:dyDescent="0.15">
      <c r="A1005" s="92"/>
      <c r="B1005" s="93"/>
      <c r="C1005" s="93"/>
      <c r="D1005" s="94"/>
      <c r="E1005" s="93"/>
      <c r="F1005" s="93"/>
      <c r="G1005" s="93"/>
      <c r="H1005" s="93"/>
      <c r="I1005" s="93"/>
      <c r="J1005" s="81"/>
    </row>
    <row r="1006" spans="1:10" x14ac:dyDescent="0.15">
      <c r="A1006" s="92"/>
      <c r="B1006" s="93"/>
      <c r="C1006" s="93"/>
      <c r="D1006" s="94"/>
      <c r="E1006" s="93"/>
      <c r="F1006" s="93"/>
      <c r="G1006" s="93"/>
      <c r="H1006" s="93"/>
      <c r="I1006" s="93"/>
      <c r="J1006" s="81"/>
    </row>
    <row r="1007" spans="1:10" x14ac:dyDescent="0.15">
      <c r="A1007" s="92"/>
      <c r="B1007" s="93"/>
      <c r="C1007" s="93"/>
      <c r="D1007" s="94"/>
      <c r="E1007" s="93"/>
      <c r="F1007" s="93"/>
      <c r="G1007" s="93"/>
      <c r="H1007" s="93"/>
      <c r="I1007" s="93"/>
      <c r="J1007" s="81"/>
    </row>
    <row r="1008" spans="1:10" x14ac:dyDescent="0.15">
      <c r="A1008" s="92"/>
      <c r="B1008" s="93"/>
      <c r="C1008" s="93"/>
      <c r="D1008" s="94"/>
      <c r="E1008" s="93"/>
      <c r="F1008" s="93"/>
      <c r="G1008" s="93"/>
      <c r="H1008" s="93"/>
      <c r="I1008" s="93"/>
      <c r="J1008" s="81"/>
    </row>
    <row r="1009" spans="1:10" x14ac:dyDescent="0.15">
      <c r="A1009" s="92"/>
      <c r="B1009" s="93"/>
      <c r="C1009" s="93"/>
      <c r="D1009" s="94"/>
      <c r="E1009" s="93"/>
      <c r="F1009" s="93"/>
      <c r="G1009" s="93"/>
      <c r="H1009" s="93"/>
      <c r="I1009" s="93"/>
      <c r="J1009" s="81"/>
    </row>
    <row r="1010" spans="1:10" x14ac:dyDescent="0.15">
      <c r="A1010" s="92"/>
      <c r="B1010" s="93"/>
      <c r="C1010" s="93"/>
      <c r="D1010" s="94"/>
      <c r="E1010" s="93"/>
      <c r="F1010" s="93"/>
      <c r="G1010" s="93"/>
      <c r="H1010" s="93"/>
      <c r="I1010" s="93"/>
      <c r="J1010" s="81"/>
    </row>
    <row r="1011" spans="1:10" x14ac:dyDescent="0.15">
      <c r="A1011" s="92"/>
      <c r="B1011" s="93"/>
      <c r="C1011" s="93"/>
      <c r="D1011" s="94"/>
      <c r="E1011" s="93"/>
      <c r="F1011" s="93"/>
      <c r="G1011" s="93"/>
      <c r="H1011" s="93"/>
      <c r="I1011" s="93"/>
      <c r="J1011" s="81"/>
    </row>
    <row r="1012" spans="1:10" x14ac:dyDescent="0.15">
      <c r="A1012" s="92"/>
      <c r="B1012" s="93"/>
      <c r="C1012" s="93"/>
      <c r="D1012" s="94"/>
      <c r="E1012" s="93"/>
      <c r="F1012" s="93"/>
      <c r="G1012" s="93"/>
      <c r="H1012" s="93"/>
      <c r="I1012" s="93"/>
      <c r="J1012" s="81"/>
    </row>
    <row r="1013" spans="1:10" x14ac:dyDescent="0.15">
      <c r="A1013" s="92"/>
      <c r="B1013" s="93"/>
      <c r="C1013" s="93"/>
      <c r="D1013" s="94"/>
      <c r="E1013" s="93"/>
      <c r="F1013" s="93"/>
      <c r="G1013" s="93"/>
      <c r="H1013" s="93"/>
      <c r="I1013" s="93"/>
      <c r="J1013" s="81"/>
    </row>
    <row r="1014" spans="1:10" x14ac:dyDescent="0.15">
      <c r="A1014" s="92"/>
      <c r="B1014" s="93"/>
      <c r="C1014" s="93"/>
      <c r="D1014" s="94"/>
      <c r="E1014" s="93"/>
      <c r="F1014" s="93"/>
      <c r="G1014" s="93"/>
      <c r="H1014" s="93"/>
      <c r="I1014" s="93"/>
      <c r="J1014" s="81"/>
    </row>
    <row r="1015" spans="1:10" x14ac:dyDescent="0.15">
      <c r="A1015" s="92"/>
      <c r="B1015" s="93"/>
      <c r="C1015" s="93"/>
      <c r="D1015" s="94"/>
      <c r="E1015" s="93"/>
      <c r="F1015" s="93"/>
      <c r="G1015" s="93"/>
      <c r="H1015" s="93"/>
      <c r="I1015" s="93"/>
      <c r="J1015" s="81"/>
    </row>
    <row r="1016" spans="1:10" x14ac:dyDescent="0.15">
      <c r="A1016" s="92"/>
      <c r="B1016" s="93"/>
      <c r="C1016" s="93"/>
      <c r="D1016" s="94"/>
      <c r="E1016" s="93"/>
      <c r="F1016" s="93"/>
      <c r="G1016" s="93"/>
      <c r="H1016" s="93"/>
      <c r="I1016" s="93"/>
      <c r="J1016" s="81"/>
    </row>
    <row r="1017" spans="1:10" x14ac:dyDescent="0.15">
      <c r="A1017" s="92"/>
      <c r="B1017" s="93"/>
      <c r="C1017" s="93"/>
      <c r="D1017" s="94"/>
      <c r="E1017" s="93"/>
      <c r="F1017" s="93"/>
      <c r="G1017" s="93"/>
      <c r="H1017" s="93"/>
      <c r="I1017" s="93"/>
      <c r="J1017" s="81"/>
    </row>
    <row r="1018" spans="1:10" x14ac:dyDescent="0.15">
      <c r="A1018" s="92"/>
      <c r="B1018" s="93"/>
      <c r="C1018" s="93"/>
      <c r="D1018" s="94"/>
      <c r="E1018" s="93"/>
      <c r="F1018" s="93"/>
      <c r="G1018" s="93"/>
      <c r="H1018" s="93"/>
      <c r="I1018" s="93"/>
      <c r="J1018" s="81"/>
    </row>
    <row r="1019" spans="1:10" x14ac:dyDescent="0.15">
      <c r="H1019" s="46"/>
    </row>
    <row r="1020" spans="1:10" x14ac:dyDescent="0.15">
      <c r="H1020" s="46"/>
    </row>
    <row r="1021" spans="1:10" x14ac:dyDescent="0.15">
      <c r="H1021" s="46"/>
    </row>
    <row r="1022" spans="1:10" x14ac:dyDescent="0.15">
      <c r="H1022" s="46"/>
    </row>
    <row r="1023" spans="1:10" x14ac:dyDescent="0.15">
      <c r="H1023" s="46"/>
    </row>
    <row r="1024" spans="1:10" x14ac:dyDescent="0.15">
      <c r="H1024" s="46"/>
    </row>
    <row r="1025" spans="8:8" x14ac:dyDescent="0.15">
      <c r="H1025" s="46"/>
    </row>
    <row r="1026" spans="8:8" x14ac:dyDescent="0.15">
      <c r="H1026" s="46"/>
    </row>
    <row r="1027" spans="8:8" x14ac:dyDescent="0.15">
      <c r="H1027" s="46"/>
    </row>
    <row r="1028" spans="8:8" x14ac:dyDescent="0.15">
      <c r="H1028" s="46"/>
    </row>
    <row r="1029" spans="8:8" x14ac:dyDescent="0.15">
      <c r="H1029" s="46"/>
    </row>
    <row r="1030" spans="8:8" x14ac:dyDescent="0.15">
      <c r="H1030" s="46"/>
    </row>
    <row r="1031" spans="8:8" x14ac:dyDescent="0.15">
      <c r="H1031" s="46"/>
    </row>
    <row r="1032" spans="8:8" x14ac:dyDescent="0.15">
      <c r="H1032" s="46"/>
    </row>
    <row r="1033" spans="8:8" x14ac:dyDescent="0.15">
      <c r="H1033" s="46"/>
    </row>
    <row r="1034" spans="8:8" x14ac:dyDescent="0.15">
      <c r="H1034" s="46"/>
    </row>
    <row r="1035" spans="8:8" x14ac:dyDescent="0.15">
      <c r="H1035" s="46"/>
    </row>
    <row r="1036" spans="8:8" x14ac:dyDescent="0.15">
      <c r="H1036" s="46"/>
    </row>
    <row r="1037" spans="8:8" x14ac:dyDescent="0.15">
      <c r="H1037" s="46"/>
    </row>
    <row r="1038" spans="8:8" x14ac:dyDescent="0.15">
      <c r="H1038" s="46"/>
    </row>
    <row r="1039" spans="8:8" x14ac:dyDescent="0.15">
      <c r="H1039" s="46"/>
    </row>
    <row r="1040" spans="8:8" x14ac:dyDescent="0.15">
      <c r="H1040" s="46"/>
    </row>
    <row r="1041" spans="8:8" x14ac:dyDescent="0.15">
      <c r="H1041" s="46"/>
    </row>
    <row r="1042" spans="8:8" x14ac:dyDescent="0.15">
      <c r="H1042" s="46"/>
    </row>
    <row r="1043" spans="8:8" x14ac:dyDescent="0.15">
      <c r="H1043" s="46"/>
    </row>
    <row r="1044" spans="8:8" x14ac:dyDescent="0.15">
      <c r="H1044" s="46"/>
    </row>
    <row r="1045" spans="8:8" x14ac:dyDescent="0.15">
      <c r="H1045" s="46"/>
    </row>
    <row r="1046" spans="8:8" x14ac:dyDescent="0.15">
      <c r="H1046" s="46"/>
    </row>
    <row r="1047" spans="8:8" x14ac:dyDescent="0.15">
      <c r="H1047" s="46"/>
    </row>
    <row r="1048" spans="8:8" x14ac:dyDescent="0.15">
      <c r="H1048" s="46"/>
    </row>
    <row r="1049" spans="8:8" x14ac:dyDescent="0.15">
      <c r="H1049" s="46"/>
    </row>
    <row r="1050" spans="8:8" x14ac:dyDescent="0.15">
      <c r="H1050" s="46"/>
    </row>
    <row r="1051" spans="8:8" x14ac:dyDescent="0.15">
      <c r="H1051" s="46"/>
    </row>
    <row r="1052" spans="8:8" x14ac:dyDescent="0.15">
      <c r="H1052" s="46"/>
    </row>
    <row r="1053" spans="8:8" x14ac:dyDescent="0.15">
      <c r="H1053" s="46"/>
    </row>
    <row r="1054" spans="8:8" x14ac:dyDescent="0.15">
      <c r="H1054" s="46"/>
    </row>
    <row r="1055" spans="8:8" x14ac:dyDescent="0.15">
      <c r="H1055" s="46"/>
    </row>
    <row r="1056" spans="8:8" x14ac:dyDescent="0.15">
      <c r="H1056" s="46"/>
    </row>
    <row r="1057" spans="8:8" x14ac:dyDescent="0.15">
      <c r="H1057" s="46"/>
    </row>
    <row r="1058" spans="8:8" x14ac:dyDescent="0.15">
      <c r="H1058" s="46"/>
    </row>
    <row r="1059" spans="8:8" x14ac:dyDescent="0.15">
      <c r="H1059" s="46"/>
    </row>
    <row r="1060" spans="8:8" x14ac:dyDescent="0.15">
      <c r="H1060" s="46"/>
    </row>
    <row r="1061" spans="8:8" x14ac:dyDescent="0.15">
      <c r="H1061" s="46"/>
    </row>
    <row r="1062" spans="8:8" x14ac:dyDescent="0.15">
      <c r="H1062" s="46"/>
    </row>
    <row r="1063" spans="8:8" x14ac:dyDescent="0.15">
      <c r="H1063" s="46"/>
    </row>
    <row r="1064" spans="8:8" x14ac:dyDescent="0.15">
      <c r="H1064" s="46"/>
    </row>
    <row r="1065" spans="8:8" x14ac:dyDescent="0.15">
      <c r="H1065" s="46"/>
    </row>
    <row r="1066" spans="8:8" x14ac:dyDescent="0.15">
      <c r="H1066" s="46"/>
    </row>
    <row r="1067" spans="8:8" x14ac:dyDescent="0.15">
      <c r="H1067" s="46"/>
    </row>
    <row r="1068" spans="8:8" x14ac:dyDescent="0.15">
      <c r="H1068" s="46"/>
    </row>
    <row r="1069" spans="8:8" x14ac:dyDescent="0.15">
      <c r="H1069" s="46"/>
    </row>
    <row r="1070" spans="8:8" x14ac:dyDescent="0.15">
      <c r="H1070" s="46"/>
    </row>
    <row r="1071" spans="8:8" x14ac:dyDescent="0.15">
      <c r="H1071" s="46"/>
    </row>
    <row r="1072" spans="8:8" x14ac:dyDescent="0.15">
      <c r="H1072" s="46"/>
    </row>
    <row r="1073" spans="8:8" x14ac:dyDescent="0.15">
      <c r="H1073" s="46"/>
    </row>
    <row r="1074" spans="8:8" x14ac:dyDescent="0.15">
      <c r="H1074" s="46"/>
    </row>
    <row r="1075" spans="8:8" x14ac:dyDescent="0.15">
      <c r="H1075" s="46"/>
    </row>
    <row r="1076" spans="8:8" x14ac:dyDescent="0.15">
      <c r="H1076" s="46"/>
    </row>
    <row r="1077" spans="8:8" x14ac:dyDescent="0.15">
      <c r="H1077" s="46"/>
    </row>
    <row r="1078" spans="8:8" x14ac:dyDescent="0.15">
      <c r="H1078" s="46"/>
    </row>
    <row r="1079" spans="8:8" x14ac:dyDescent="0.15">
      <c r="H1079" s="46"/>
    </row>
    <row r="1080" spans="8:8" x14ac:dyDescent="0.15">
      <c r="H1080" s="46"/>
    </row>
    <row r="1081" spans="8:8" x14ac:dyDescent="0.15">
      <c r="H1081" s="46"/>
    </row>
    <row r="1082" spans="8:8" x14ac:dyDescent="0.15">
      <c r="H1082" s="46"/>
    </row>
    <row r="1083" spans="8:8" x14ac:dyDescent="0.15">
      <c r="H1083" s="46"/>
    </row>
    <row r="1084" spans="8:8" x14ac:dyDescent="0.15">
      <c r="H1084" s="46"/>
    </row>
    <row r="1085" spans="8:8" x14ac:dyDescent="0.15">
      <c r="H1085" s="46"/>
    </row>
    <row r="1086" spans="8:8" x14ac:dyDescent="0.15">
      <c r="H1086" s="46"/>
    </row>
    <row r="1087" spans="8:8" x14ac:dyDescent="0.15">
      <c r="H1087" s="46"/>
    </row>
    <row r="1088" spans="8:8" x14ac:dyDescent="0.15">
      <c r="H1088" s="46"/>
    </row>
    <row r="1089" spans="8:8" x14ac:dyDescent="0.15">
      <c r="H1089" s="46"/>
    </row>
    <row r="1090" spans="8:8" x14ac:dyDescent="0.15">
      <c r="H1090" s="46"/>
    </row>
    <row r="1091" spans="8:8" x14ac:dyDescent="0.15">
      <c r="H1091" s="46"/>
    </row>
    <row r="1092" spans="8:8" x14ac:dyDescent="0.15">
      <c r="H1092" s="46"/>
    </row>
    <row r="1093" spans="8:8" x14ac:dyDescent="0.15">
      <c r="H1093" s="46"/>
    </row>
    <row r="1094" spans="8:8" x14ac:dyDescent="0.15">
      <c r="H1094" s="46"/>
    </row>
    <row r="1095" spans="8:8" x14ac:dyDescent="0.15">
      <c r="H1095" s="46"/>
    </row>
    <row r="1096" spans="8:8" x14ac:dyDescent="0.15">
      <c r="H1096" s="46"/>
    </row>
    <row r="1097" spans="8:8" x14ac:dyDescent="0.15">
      <c r="H1097" s="46"/>
    </row>
    <row r="1098" spans="8:8" x14ac:dyDescent="0.15">
      <c r="H1098" s="46"/>
    </row>
    <row r="1099" spans="8:8" x14ac:dyDescent="0.15">
      <c r="H1099" s="46"/>
    </row>
    <row r="1100" spans="8:8" x14ac:dyDescent="0.15">
      <c r="H1100" s="46"/>
    </row>
    <row r="1101" spans="8:8" x14ac:dyDescent="0.15">
      <c r="H1101" s="46"/>
    </row>
    <row r="1102" spans="8:8" x14ac:dyDescent="0.15">
      <c r="H1102" s="46"/>
    </row>
    <row r="1103" spans="8:8" x14ac:dyDescent="0.15">
      <c r="H1103" s="46"/>
    </row>
    <row r="1104" spans="8:8" x14ac:dyDescent="0.15">
      <c r="H1104" s="46"/>
    </row>
    <row r="1105" spans="8:8" x14ac:dyDescent="0.15">
      <c r="H1105" s="46"/>
    </row>
    <row r="1106" spans="8:8" x14ac:dyDescent="0.15">
      <c r="H1106" s="46"/>
    </row>
    <row r="1107" spans="8:8" x14ac:dyDescent="0.15">
      <c r="H1107" s="46"/>
    </row>
    <row r="1108" spans="8:8" x14ac:dyDescent="0.15">
      <c r="H1108" s="46"/>
    </row>
    <row r="1109" spans="8:8" x14ac:dyDescent="0.15">
      <c r="H1109" s="46"/>
    </row>
    <row r="1110" spans="8:8" x14ac:dyDescent="0.15">
      <c r="H1110" s="46"/>
    </row>
    <row r="1111" spans="8:8" x14ac:dyDescent="0.15">
      <c r="H1111" s="46"/>
    </row>
    <row r="1112" spans="8:8" x14ac:dyDescent="0.15">
      <c r="H1112" s="46"/>
    </row>
    <row r="1113" spans="8:8" x14ac:dyDescent="0.15">
      <c r="H1113" s="46"/>
    </row>
    <row r="1114" spans="8:8" x14ac:dyDescent="0.15">
      <c r="H1114" s="46"/>
    </row>
    <row r="1115" spans="8:8" x14ac:dyDescent="0.15">
      <c r="H1115" s="46"/>
    </row>
    <row r="1116" spans="8:8" x14ac:dyDescent="0.15">
      <c r="H1116" s="46"/>
    </row>
    <row r="1117" spans="8:8" x14ac:dyDescent="0.15">
      <c r="H1117" s="46"/>
    </row>
    <row r="1118" spans="8:8" x14ac:dyDescent="0.15">
      <c r="H1118" s="46"/>
    </row>
    <row r="1119" spans="8:8" x14ac:dyDescent="0.15">
      <c r="H1119" s="46"/>
    </row>
    <row r="1120" spans="8:8"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row r="1318" spans="8:8" x14ac:dyDescent="0.15">
      <c r="H1318" s="46"/>
    </row>
    <row r="1319" spans="8:8" x14ac:dyDescent="0.15">
      <c r="H1319" s="46"/>
    </row>
    <row r="1320" spans="8:8" x14ac:dyDescent="0.15">
      <c r="H1320" s="46"/>
    </row>
    <row r="1321" spans="8:8" x14ac:dyDescent="0.15">
      <c r="H1321" s="46"/>
    </row>
    <row r="1322" spans="8:8" x14ac:dyDescent="0.15">
      <c r="H1322" s="46"/>
    </row>
    <row r="1323" spans="8:8" x14ac:dyDescent="0.15">
      <c r="H1323" s="46"/>
    </row>
    <row r="1324" spans="8:8" x14ac:dyDescent="0.15">
      <c r="H1324" s="46"/>
    </row>
    <row r="1325" spans="8:8" x14ac:dyDescent="0.15">
      <c r="H1325" s="46"/>
    </row>
    <row r="1326" spans="8:8" x14ac:dyDescent="0.15">
      <c r="H1326" s="46"/>
    </row>
    <row r="1327" spans="8:8" x14ac:dyDescent="0.15">
      <c r="H1327" s="46"/>
    </row>
    <row r="1328" spans="8:8" x14ac:dyDescent="0.15">
      <c r="H1328" s="46"/>
    </row>
    <row r="1329" spans="8:8" x14ac:dyDescent="0.15">
      <c r="H1329" s="46"/>
    </row>
    <row r="1330" spans="8:8" x14ac:dyDescent="0.15">
      <c r="H1330" s="46"/>
    </row>
    <row r="1331" spans="8:8" x14ac:dyDescent="0.15">
      <c r="H1331" s="46"/>
    </row>
    <row r="1332" spans="8:8" x14ac:dyDescent="0.15">
      <c r="H1332" s="46"/>
    </row>
    <row r="1333" spans="8:8" x14ac:dyDescent="0.15">
      <c r="H1333" s="46"/>
    </row>
    <row r="1334" spans="8:8" x14ac:dyDescent="0.15">
      <c r="H1334" s="46"/>
    </row>
    <row r="1335" spans="8:8" x14ac:dyDescent="0.15">
      <c r="H1335" s="46"/>
    </row>
  </sheetData>
  <autoFilter ref="A1:BA1" xr:uid="{00000000-0009-0000-0000-000006000000}"/>
  <phoneticPr fontId="3"/>
  <dataValidations count="25">
    <dataValidation type="list" allowBlank="1" showInputMessage="1" showErrorMessage="1" sqref="F131:F1018" xr:uid="{00000000-0002-0000-0600-000000000000}">
      <formula1>$AH$2:$AH$10</formula1>
    </dataValidation>
    <dataValidation type="list" allowBlank="1" showInputMessage="1" showErrorMessage="1" sqref="E131:E1018" xr:uid="{00000000-0002-0000-0600-000001000000}">
      <formula1>$AG$2:$AG$10</formula1>
    </dataValidation>
    <dataValidation operator="equal" allowBlank="1" showInputMessage="1" showErrorMessage="1" sqref="B131:B1018" xr:uid="{00000000-0002-0000-0600-00000B000000}"/>
    <dataValidation type="list" allowBlank="1" showInputMessage="1" showErrorMessage="1" sqref="F1019:F64260" xr:uid="{00000000-0002-0000-0600-00000C000000}">
      <formula1>$AH$2:$AH$8</formula1>
    </dataValidation>
    <dataValidation type="list" allowBlank="1" showInputMessage="1" showErrorMessage="1" sqref="E1019:E64260" xr:uid="{00000000-0002-0000-0600-00000D000000}">
      <formula1>$AG$2:$AG$9</formula1>
    </dataValidation>
    <dataValidation type="list" allowBlank="1" showInputMessage="1" showErrorMessage="1" sqref="H1336:H64260" xr:uid="{00000000-0002-0000-0600-00000E000000}">
      <formula1>$AL$2:$AL$10</formula1>
    </dataValidation>
    <dataValidation type="list" allowBlank="1" showInputMessage="1" showErrorMessage="1" sqref="Y510:AA64260" xr:uid="{00000000-0002-0000-0600-000010000000}">
      <formula1>$AV$2:$AV$26</formula1>
    </dataValidation>
    <dataValidation type="list" allowBlank="1" showInputMessage="1" showErrorMessage="1" sqref="I1019:I64260" xr:uid="{00000000-0002-0000-0600-000011000000}">
      <formula1>$AN$2:$AN$6</formula1>
    </dataValidation>
    <dataValidation type="list" allowBlank="1" showInputMessage="1" showErrorMessage="1" sqref="H1019:H1335 H2:H130" xr:uid="{AA81BB8A-F1FE-4208-85B5-1FF0FCEB4E33}">
      <formula1>$AL$2:$AL$9</formula1>
    </dataValidation>
    <dataValidation type="list" allowBlank="1" showInputMessage="1" showErrorMessage="1" sqref="H131:H1018" xr:uid="{275C054A-9B5A-41DF-84F0-3334368FCAD4}">
      <formula1>$AL$2:$AL$15</formula1>
    </dataValidation>
    <dataValidation type="list" allowBlank="1" showInputMessage="1" showErrorMessage="1" sqref="K65553:K65631 K131089:K131167 K196625:K196703 K262161:K262239 K327697:K327775 K393233:K393311 K458769:K458847 K524305:K524383 K589841:K589919 K655377:K655455 K720913:K720991 K786449:K786527 K851985:K852063 K917521:K917599 K983057:K983135" xr:uid="{A932097C-E062-4CBE-BED5-EC7639015DEC}">
      <formula1>$AR$2:$AR$30</formula1>
    </dataValidation>
    <dataValidation type="list" allowBlank="1" showInputMessage="1" showErrorMessage="1" sqref="J65553:J65631 J131089:J131167 J196625:J196703 J262161:J262239 J327697:J327775 J393233:J393311 J458769:J458847 J524305:J524383 J589841:J589919 J655377:J655455 J720913:J720991 J786449:J786527 J851985:J852063 J917521:J917599 J983057:J983135" xr:uid="{ACBB5488-F4F5-4D7A-B160-559CDB1F646F}">
      <formula1>$AP$2:$AP$15</formula1>
    </dataValidation>
    <dataValidation type="list" allowBlank="1" showInputMessage="1" showErrorMessage="1" sqref="J131:J1018" xr:uid="{C44CAB8E-0A7F-4B46-830A-91B0DB4FF77B}">
      <formula1>$AP$2:$AP$26</formula1>
    </dataValidation>
    <dataValidation type="list" allowBlank="1" showInputMessage="1" showErrorMessage="1" sqref="K131:K1018" xr:uid="{18452FB3-BC99-4046-A7DD-3E529B2DA4AC}">
      <formula1>$AR$2:$AR$25</formula1>
    </dataValidation>
    <dataValidation type="list" allowBlank="1" showInputMessage="1" showErrorMessage="1" sqref="K2:K130" xr:uid="{B2841F96-228D-48D0-BFD4-4E205AA6DD7C}">
      <formula1>$AR$2:$AR$28</formula1>
    </dataValidation>
    <dataValidation type="list" allowBlank="1" showInputMessage="1" showErrorMessage="1" sqref="E2:E130" xr:uid="{915291FB-7F52-48A7-8BF7-D45A824F9D49}">
      <formula1>$AG$2:$AG$11</formula1>
    </dataValidation>
    <dataValidation allowBlank="1" showInputMessage="1" showErrorMessage="1" sqref="B2" xr:uid="{74D21918-0662-4903-A6A7-9C05CD7B07A1}"/>
    <dataValidation type="list" allowBlank="1" showInputMessage="1" showErrorMessage="1" sqref="F2:F130" xr:uid="{C3456C52-09EB-4E30-A9CE-8C5F7FB0F043}">
      <formula1>$AH$2:$AH$11</formula1>
    </dataValidation>
    <dataValidation type="list" allowBlank="1" showInputMessage="1" showErrorMessage="1" sqref="J2:J130" xr:uid="{3647E765-F128-44DB-97E6-1E47F7462869}">
      <formula1>$AP$2:$AP$30</formula1>
    </dataValidation>
    <dataValidation type="decimal" allowBlank="1" showInputMessage="1" showErrorMessage="1" error="硬度を正しく入力して下さい。" sqref="O2:P509" xr:uid="{00000000-0002-0000-0600-000002000000}">
      <formula1>0</formula1>
      <formula2>7</formula2>
    </dataValidation>
    <dataValidation type="list" allowBlank="1" showInputMessage="1" showErrorMessage="1" sqref="Y2:AA509" xr:uid="{00000000-0002-0000-0600-000003000000}">
      <formula1>$AV$2:$AV$21</formula1>
    </dataValidation>
    <dataValidation type="list" allowBlank="1" showInputMessage="1" showErrorMessage="1" sqref="I2:I1018" xr:uid="{00000000-0002-0000-0600-000005000000}">
      <formula1>$AN$5:$AN$6</formula1>
    </dataValidation>
    <dataValidation type="list" allowBlank="1" showInputMessage="1" showErrorMessage="1" sqref="A2:A1018" xr:uid="{00000000-0002-0000-0600-000007000000}">
      <formula1>$AE$2:$AE$19</formula1>
    </dataValidation>
    <dataValidation type="list" allowBlank="1" showInputMessage="1" showErrorMessage="1" sqref="X2:X509" xr:uid="{00000000-0002-0000-0600-000008000000}">
      <formula1>$AT$2:$AT$3</formula1>
    </dataValidation>
    <dataValidation type="list" allowBlank="1" showInputMessage="1" showErrorMessage="1" sqref="G2:G1018" xr:uid="{00000000-0002-0000-0600-000009000000}">
      <formula1>$AJ$2:$AJ$4</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BB09-568C-4105-913D-5EC0508ECC82}">
  <dimension ref="A1:BA260"/>
  <sheetViews>
    <sheetView tabSelected="1" zoomScale="70" zoomScaleNormal="70" workbookViewId="0">
      <pane ySplit="1" topLeftCell="A2" activePane="bottomLeft" state="frozen"/>
      <selection activeCell="H14" sqref="H14"/>
      <selection pane="bottomLeft" activeCell="A2" sqref="A2"/>
    </sheetView>
  </sheetViews>
  <sheetFormatPr defaultColWidth="9" defaultRowHeight="13.5" x14ac:dyDescent="0.15"/>
  <cols>
    <col min="1" max="1" width="9.375" style="80" bestFit="1" customWidth="1"/>
    <col min="2" max="2" width="7.875" style="80" bestFit="1" customWidth="1"/>
    <col min="3" max="3" width="9.25" style="80" bestFit="1" customWidth="1"/>
    <col min="4" max="4" width="10.25" style="80" bestFit="1" customWidth="1"/>
    <col min="5" max="5" width="24" style="80" bestFit="1" customWidth="1"/>
    <col min="6" max="6" width="17.25" style="80" bestFit="1" customWidth="1"/>
    <col min="7" max="7" width="12.375" style="80" bestFit="1" customWidth="1"/>
    <col min="8" max="9" width="9.375" style="80" bestFit="1" customWidth="1"/>
    <col min="10" max="10" width="11.25" style="80" bestFit="1" customWidth="1"/>
    <col min="11" max="11" width="11.125" style="80" bestFit="1" customWidth="1"/>
    <col min="12" max="12" width="6.5" style="80" bestFit="1" customWidth="1"/>
    <col min="13" max="13" width="7.625" style="80" bestFit="1" customWidth="1"/>
    <col min="14" max="16" width="9.375" style="80" bestFit="1" customWidth="1"/>
    <col min="17" max="17" width="10" style="16" bestFit="1" customWidth="1"/>
    <col min="18" max="18" width="9.375" style="80" bestFit="1" customWidth="1"/>
    <col min="19" max="19" width="10" style="80" bestFit="1" customWidth="1"/>
    <col min="20" max="20" width="8.25" style="16" bestFit="1" customWidth="1"/>
    <col min="21" max="21" width="9" style="80" bestFit="1" customWidth="1"/>
    <col min="22" max="22" width="16" style="16" bestFit="1" customWidth="1"/>
    <col min="23" max="23" width="10.375" style="80" bestFit="1" customWidth="1"/>
    <col min="24" max="24" width="13.125" style="80" bestFit="1" customWidth="1"/>
    <col min="25" max="25" width="11.875" style="80" bestFit="1" customWidth="1"/>
    <col min="26" max="27" width="15.375" style="80" bestFit="1" customWidth="1"/>
    <col min="28" max="28" width="11.5" style="80" bestFit="1" customWidth="1"/>
    <col min="29" max="32" width="9" style="80"/>
    <col min="33" max="33" width="15.125" style="80" bestFit="1" customWidth="1"/>
    <col min="34" max="34" width="19.625" style="80" bestFit="1" customWidth="1"/>
    <col min="35" max="16384" width="9" style="80"/>
  </cols>
  <sheetData>
    <row r="1" spans="1:53" ht="45" x14ac:dyDescent="0.15">
      <c r="A1" s="40" t="s">
        <v>277</v>
      </c>
      <c r="B1" s="95" t="s">
        <v>1</v>
      </c>
      <c r="C1" s="95" t="s">
        <v>118</v>
      </c>
      <c r="D1" s="96" t="s">
        <v>2</v>
      </c>
      <c r="E1" s="86" t="s">
        <v>243</v>
      </c>
      <c r="F1" s="86" t="s">
        <v>4</v>
      </c>
      <c r="G1" s="86" t="s">
        <v>5</v>
      </c>
      <c r="H1" s="86" t="s">
        <v>6</v>
      </c>
      <c r="I1" s="86" t="s">
        <v>7</v>
      </c>
      <c r="J1" s="86" t="s">
        <v>8</v>
      </c>
      <c r="K1" s="86" t="s">
        <v>9</v>
      </c>
      <c r="L1" s="96" t="s">
        <v>119</v>
      </c>
      <c r="M1" s="96" t="s">
        <v>10</v>
      </c>
      <c r="N1" s="96" t="s">
        <v>11</v>
      </c>
      <c r="O1" s="96" t="s">
        <v>244</v>
      </c>
      <c r="P1" s="96" t="s">
        <v>121</v>
      </c>
      <c r="Q1" s="3" t="s">
        <v>12</v>
      </c>
      <c r="R1" s="96" t="s">
        <v>122</v>
      </c>
      <c r="S1" s="96" t="s">
        <v>123</v>
      </c>
      <c r="T1" s="3" t="s">
        <v>13</v>
      </c>
      <c r="U1" s="118" t="s">
        <v>245</v>
      </c>
      <c r="V1" s="5" t="s">
        <v>14</v>
      </c>
      <c r="W1" s="96" t="s">
        <v>15</v>
      </c>
      <c r="X1" s="86" t="s">
        <v>16</v>
      </c>
      <c r="Y1" s="86" t="s">
        <v>17</v>
      </c>
      <c r="Z1" s="86" t="s">
        <v>246</v>
      </c>
      <c r="AA1" s="42" t="s">
        <v>19</v>
      </c>
      <c r="AB1" s="119" t="s">
        <v>124</v>
      </c>
      <c r="AE1" s="99" t="s">
        <v>0</v>
      </c>
      <c r="AF1" s="120"/>
      <c r="AG1" s="121" t="s">
        <v>3</v>
      </c>
      <c r="AH1" s="99" t="s">
        <v>4</v>
      </c>
      <c r="AI1" s="120"/>
      <c r="AJ1" s="99" t="s">
        <v>5</v>
      </c>
      <c r="AK1" s="120"/>
      <c r="AL1" s="10" t="s">
        <v>6</v>
      </c>
      <c r="AM1" s="120"/>
      <c r="AN1" s="10" t="s">
        <v>7</v>
      </c>
      <c r="AO1" s="120"/>
      <c r="AP1" s="10" t="s">
        <v>20</v>
      </c>
      <c r="AQ1" s="120"/>
      <c r="AR1" s="10" t="s">
        <v>9</v>
      </c>
      <c r="AS1" s="120"/>
      <c r="AT1" s="11" t="s">
        <v>21</v>
      </c>
      <c r="AU1" s="120"/>
      <c r="AV1" s="10" t="s">
        <v>22</v>
      </c>
      <c r="AX1" s="12" t="s">
        <v>125</v>
      </c>
      <c r="AY1" s="13" t="s">
        <v>126</v>
      </c>
      <c r="AZ1" s="13" t="s">
        <v>127</v>
      </c>
      <c r="BA1" s="14" t="s">
        <v>128</v>
      </c>
    </row>
    <row r="2" spans="1:53" x14ac:dyDescent="0.15">
      <c r="A2" s="80" t="s">
        <v>23</v>
      </c>
      <c r="B2" s="80" t="s">
        <v>160</v>
      </c>
      <c r="C2" s="80">
        <v>2020</v>
      </c>
      <c r="D2" s="122" t="s">
        <v>247</v>
      </c>
      <c r="E2" s="80" t="s">
        <v>248</v>
      </c>
      <c r="F2" s="80" t="s">
        <v>249</v>
      </c>
      <c r="G2" s="80" t="s">
        <v>31</v>
      </c>
      <c r="H2" s="80" t="s">
        <v>113</v>
      </c>
      <c r="I2" s="80" t="s">
        <v>111</v>
      </c>
      <c r="J2" s="80" t="s">
        <v>27</v>
      </c>
      <c r="K2" s="80" t="s">
        <v>112</v>
      </c>
      <c r="L2" s="80">
        <v>1</v>
      </c>
      <c r="N2" s="80">
        <v>1</v>
      </c>
      <c r="O2" s="80">
        <v>0.2</v>
      </c>
      <c r="P2" s="80">
        <v>0.2</v>
      </c>
      <c r="Q2" s="44">
        <f t="shared" ref="Q2:Q82" si="0">IF(OR(O2="",P2=""),"",AVERAGE(O2,P2))</f>
        <v>0.2</v>
      </c>
      <c r="R2" s="80">
        <v>17.8</v>
      </c>
      <c r="S2" s="80">
        <v>101</v>
      </c>
      <c r="T2" s="16">
        <f t="shared" ref="T2:T62" si="1">IF(H2="","",IF(OR(H2="GREEN",H2="GK"),IF(S2&gt;=$AX$2,VLOOKUP(S2,$AX$2:$AY$9,2,1),""),IF(S2&gt;=$AZ$2,VLOOKUP(S2,$AZ$2:$BA$9,2,1),"")))</f>
        <v>33</v>
      </c>
      <c r="U2" s="80">
        <v>96</v>
      </c>
      <c r="V2" s="16">
        <f t="shared" ref="V2:V115" si="2">IF(OR(N2="",U2="",T2=""),"",U2/N2*T2)</f>
        <v>3168</v>
      </c>
      <c r="W2" s="80">
        <v>6</v>
      </c>
      <c r="X2" s="80" t="s">
        <v>35</v>
      </c>
      <c r="Y2" s="80" t="s">
        <v>36</v>
      </c>
      <c r="Z2" s="80" t="s">
        <v>55</v>
      </c>
      <c r="AA2" s="80" t="s">
        <v>47</v>
      </c>
      <c r="AB2" s="80" t="s">
        <v>161</v>
      </c>
      <c r="AE2" s="106" t="s">
        <v>24</v>
      </c>
      <c r="AG2" s="123" t="s">
        <v>250</v>
      </c>
      <c r="AH2" s="50" t="s">
        <v>249</v>
      </c>
      <c r="AJ2" s="50" t="s">
        <v>25</v>
      </c>
      <c r="AL2" s="109" t="s">
        <v>107</v>
      </c>
      <c r="AN2" s="50" t="s">
        <v>26</v>
      </c>
      <c r="AP2" s="50" t="s">
        <v>27</v>
      </c>
      <c r="AR2" s="50" t="s">
        <v>129</v>
      </c>
      <c r="AT2" s="50" t="s">
        <v>28</v>
      </c>
      <c r="AV2" s="50" t="s">
        <v>29</v>
      </c>
      <c r="AX2" s="110">
        <v>1</v>
      </c>
      <c r="AY2" s="111">
        <v>50</v>
      </c>
      <c r="AZ2" s="111">
        <v>1</v>
      </c>
      <c r="BA2" s="112">
        <v>50</v>
      </c>
    </row>
    <row r="3" spans="1:53" x14ac:dyDescent="0.15">
      <c r="A3" s="80" t="s">
        <v>23</v>
      </c>
      <c r="B3" s="80" t="s">
        <v>160</v>
      </c>
      <c r="C3" s="80">
        <v>2020</v>
      </c>
      <c r="D3" s="122" t="s">
        <v>247</v>
      </c>
      <c r="E3" s="80" t="s">
        <v>248</v>
      </c>
      <c r="F3" s="80" t="s">
        <v>249</v>
      </c>
      <c r="G3" s="80" t="s">
        <v>31</v>
      </c>
      <c r="H3" s="80" t="s">
        <v>113</v>
      </c>
      <c r="I3" s="80" t="s">
        <v>111</v>
      </c>
      <c r="J3" s="80" t="s">
        <v>27</v>
      </c>
      <c r="K3" s="80" t="s">
        <v>112</v>
      </c>
      <c r="L3" s="80">
        <v>2</v>
      </c>
      <c r="N3" s="80">
        <v>1</v>
      </c>
      <c r="O3" s="80">
        <v>0.2</v>
      </c>
      <c r="P3" s="80">
        <v>0.2</v>
      </c>
      <c r="Q3" s="44">
        <f t="shared" si="0"/>
        <v>0.2</v>
      </c>
      <c r="R3" s="80">
        <v>16</v>
      </c>
      <c r="S3" s="80">
        <v>106.5</v>
      </c>
      <c r="T3" s="16">
        <f t="shared" si="1"/>
        <v>33</v>
      </c>
      <c r="U3" s="80">
        <v>96</v>
      </c>
      <c r="V3" s="16">
        <f t="shared" si="2"/>
        <v>3168</v>
      </c>
      <c r="W3" s="80">
        <v>6</v>
      </c>
      <c r="X3" s="80" t="s">
        <v>35</v>
      </c>
      <c r="Y3" s="80" t="s">
        <v>36</v>
      </c>
      <c r="Z3" s="80" t="s">
        <v>55</v>
      </c>
      <c r="AA3" s="80" t="s">
        <v>47</v>
      </c>
      <c r="AB3" s="80" t="s">
        <v>161</v>
      </c>
      <c r="AE3" s="22" t="s">
        <v>30</v>
      </c>
      <c r="AG3" s="124" t="s">
        <v>251</v>
      </c>
      <c r="AH3" s="50" t="s">
        <v>252</v>
      </c>
      <c r="AJ3" s="83" t="s">
        <v>31</v>
      </c>
      <c r="AL3" s="83" t="s">
        <v>108</v>
      </c>
      <c r="AN3" s="83" t="s">
        <v>32</v>
      </c>
      <c r="AP3" s="83" t="s">
        <v>33</v>
      </c>
      <c r="AR3" s="83" t="s">
        <v>34</v>
      </c>
      <c r="AT3" s="83" t="s">
        <v>35</v>
      </c>
      <c r="AV3" s="83" t="s">
        <v>36</v>
      </c>
      <c r="AX3" s="24">
        <v>72</v>
      </c>
      <c r="AY3" s="25">
        <v>46</v>
      </c>
      <c r="AZ3" s="25">
        <v>71</v>
      </c>
      <c r="BA3" s="26">
        <v>42</v>
      </c>
    </row>
    <row r="4" spans="1:53" x14ac:dyDescent="0.15">
      <c r="A4" s="80" t="s">
        <v>23</v>
      </c>
      <c r="B4" s="80" t="s">
        <v>160</v>
      </c>
      <c r="C4" s="80">
        <v>2020</v>
      </c>
      <c r="D4" s="122" t="s">
        <v>247</v>
      </c>
      <c r="E4" s="80" t="s">
        <v>248</v>
      </c>
      <c r="F4" s="80" t="s">
        <v>249</v>
      </c>
      <c r="G4" s="80" t="s">
        <v>31</v>
      </c>
      <c r="H4" s="80" t="s">
        <v>113</v>
      </c>
      <c r="I4" s="80" t="s">
        <v>111</v>
      </c>
      <c r="J4" s="80" t="s">
        <v>27</v>
      </c>
      <c r="K4" s="80" t="s">
        <v>112</v>
      </c>
      <c r="L4" s="80">
        <v>3</v>
      </c>
      <c r="N4" s="80">
        <v>1</v>
      </c>
      <c r="O4" s="80">
        <v>0.2</v>
      </c>
      <c r="P4" s="80">
        <v>0.2</v>
      </c>
      <c r="Q4" s="44">
        <f t="shared" si="0"/>
        <v>0.2</v>
      </c>
      <c r="R4" s="80">
        <v>15.8</v>
      </c>
      <c r="S4" s="80">
        <v>101.5</v>
      </c>
      <c r="T4" s="16">
        <f t="shared" si="1"/>
        <v>33</v>
      </c>
      <c r="U4" s="80">
        <v>96</v>
      </c>
      <c r="V4" s="16">
        <f t="shared" si="2"/>
        <v>3168</v>
      </c>
      <c r="W4" s="80">
        <v>6</v>
      </c>
      <c r="X4" s="80" t="s">
        <v>35</v>
      </c>
      <c r="Y4" s="80" t="s">
        <v>36</v>
      </c>
      <c r="Z4" s="80" t="s">
        <v>55</v>
      </c>
      <c r="AA4" s="80" t="s">
        <v>47</v>
      </c>
      <c r="AB4" s="80" t="s">
        <v>161</v>
      </c>
      <c r="AE4" s="22" t="s">
        <v>23</v>
      </c>
      <c r="AG4" s="124" t="s">
        <v>253</v>
      </c>
      <c r="AH4" s="50" t="s">
        <v>254</v>
      </c>
      <c r="AJ4" s="27" t="s">
        <v>37</v>
      </c>
      <c r="AL4" s="83" t="s">
        <v>109</v>
      </c>
      <c r="AN4" s="28" t="s">
        <v>38</v>
      </c>
      <c r="AP4" s="83" t="s">
        <v>130</v>
      </c>
      <c r="AR4" s="83" t="s">
        <v>131</v>
      </c>
      <c r="AT4" s="28"/>
      <c r="AV4" s="83" t="s">
        <v>39</v>
      </c>
      <c r="AX4" s="24">
        <v>75</v>
      </c>
      <c r="AY4" s="25">
        <v>42</v>
      </c>
      <c r="AZ4" s="25">
        <v>76</v>
      </c>
      <c r="BA4" s="26">
        <v>39</v>
      </c>
    </row>
    <row r="5" spans="1:53" x14ac:dyDescent="0.15">
      <c r="A5" s="80" t="s">
        <v>23</v>
      </c>
      <c r="B5" s="80" t="s">
        <v>160</v>
      </c>
      <c r="C5" s="80">
        <v>2020</v>
      </c>
      <c r="D5" s="122" t="s">
        <v>247</v>
      </c>
      <c r="E5" s="80" t="s">
        <v>248</v>
      </c>
      <c r="F5" s="80" t="s">
        <v>249</v>
      </c>
      <c r="G5" s="80" t="s">
        <v>31</v>
      </c>
      <c r="H5" s="80" t="s">
        <v>113</v>
      </c>
      <c r="I5" s="80" t="s">
        <v>111</v>
      </c>
      <c r="J5" s="80" t="s">
        <v>27</v>
      </c>
      <c r="K5" s="80" t="s">
        <v>112</v>
      </c>
      <c r="L5" s="80">
        <v>1</v>
      </c>
      <c r="N5" s="80">
        <v>4</v>
      </c>
      <c r="O5" s="80">
        <v>0.55000000000000004</v>
      </c>
      <c r="P5" s="80">
        <v>0.55000000000000004</v>
      </c>
      <c r="Q5" s="44">
        <f t="shared" si="0"/>
        <v>0.55000000000000004</v>
      </c>
      <c r="R5" s="80">
        <v>13.6</v>
      </c>
      <c r="S5" s="80">
        <v>105.5</v>
      </c>
      <c r="T5" s="16">
        <f t="shared" si="1"/>
        <v>33</v>
      </c>
      <c r="U5" s="80">
        <v>296</v>
      </c>
      <c r="V5" s="16">
        <f t="shared" si="2"/>
        <v>2442</v>
      </c>
      <c r="W5" s="80">
        <v>6</v>
      </c>
      <c r="X5" s="80" t="s">
        <v>35</v>
      </c>
      <c r="Y5" s="80" t="s">
        <v>36</v>
      </c>
      <c r="Z5" s="80" t="s">
        <v>55</v>
      </c>
      <c r="AA5" s="80" t="s">
        <v>47</v>
      </c>
      <c r="AB5" s="80" t="s">
        <v>161</v>
      </c>
      <c r="AE5" s="22" t="s">
        <v>40</v>
      </c>
      <c r="AG5" s="124" t="s">
        <v>255</v>
      </c>
      <c r="AH5" s="50" t="s">
        <v>256</v>
      </c>
      <c r="AJ5" s="28"/>
      <c r="AL5" s="83" t="s">
        <v>132</v>
      </c>
      <c r="AN5" s="114" t="s">
        <v>133</v>
      </c>
      <c r="AP5" s="83" t="s">
        <v>134</v>
      </c>
      <c r="AR5" s="83" t="s">
        <v>42</v>
      </c>
      <c r="AV5" s="83" t="s">
        <v>43</v>
      </c>
      <c r="AX5" s="24">
        <v>84</v>
      </c>
      <c r="AY5" s="25">
        <v>39</v>
      </c>
      <c r="AZ5" s="25">
        <v>84</v>
      </c>
      <c r="BA5" s="26">
        <v>36</v>
      </c>
    </row>
    <row r="6" spans="1:53" x14ac:dyDescent="0.15">
      <c r="A6" s="80" t="s">
        <v>23</v>
      </c>
      <c r="B6" s="80" t="s">
        <v>160</v>
      </c>
      <c r="C6" s="80">
        <v>2020</v>
      </c>
      <c r="D6" s="122" t="s">
        <v>247</v>
      </c>
      <c r="E6" s="80" t="s">
        <v>248</v>
      </c>
      <c r="F6" s="80" t="s">
        <v>249</v>
      </c>
      <c r="G6" s="80" t="s">
        <v>31</v>
      </c>
      <c r="H6" s="80" t="s">
        <v>113</v>
      </c>
      <c r="I6" s="80" t="s">
        <v>111</v>
      </c>
      <c r="J6" s="80" t="s">
        <v>27</v>
      </c>
      <c r="K6" s="80" t="s">
        <v>112</v>
      </c>
      <c r="L6" s="80">
        <v>2</v>
      </c>
      <c r="N6" s="80">
        <v>4</v>
      </c>
      <c r="O6" s="80">
        <v>0.5</v>
      </c>
      <c r="P6" s="80">
        <v>0.55000000000000004</v>
      </c>
      <c r="Q6" s="44">
        <f t="shared" si="0"/>
        <v>0.52500000000000002</v>
      </c>
      <c r="R6" s="80">
        <v>15.5</v>
      </c>
      <c r="S6" s="80">
        <v>105.5</v>
      </c>
      <c r="T6" s="16">
        <f t="shared" si="1"/>
        <v>33</v>
      </c>
      <c r="U6" s="80">
        <v>296</v>
      </c>
      <c r="V6" s="16">
        <f t="shared" si="2"/>
        <v>2442</v>
      </c>
      <c r="W6" s="80">
        <v>6</v>
      </c>
      <c r="X6" s="80" t="s">
        <v>35</v>
      </c>
      <c r="Y6" s="80" t="s">
        <v>36</v>
      </c>
      <c r="Z6" s="80" t="s">
        <v>55</v>
      </c>
      <c r="AA6" s="80" t="s">
        <v>47</v>
      </c>
      <c r="AB6" s="80" t="s">
        <v>161</v>
      </c>
      <c r="AE6" s="22" t="s">
        <v>44</v>
      </c>
      <c r="AG6" s="124" t="s">
        <v>257</v>
      </c>
      <c r="AH6" s="50" t="s">
        <v>258</v>
      </c>
      <c r="AL6" s="83" t="s">
        <v>135</v>
      </c>
      <c r="AN6" s="114" t="s">
        <v>136</v>
      </c>
      <c r="AP6" s="83" t="s">
        <v>41</v>
      </c>
      <c r="AR6" s="83" t="s">
        <v>46</v>
      </c>
      <c r="AV6" s="83" t="s">
        <v>47</v>
      </c>
      <c r="AX6" s="24">
        <v>97</v>
      </c>
      <c r="AY6" s="25">
        <v>36</v>
      </c>
      <c r="AZ6" s="25">
        <v>99</v>
      </c>
      <c r="BA6" s="26">
        <v>33</v>
      </c>
    </row>
    <row r="7" spans="1:53" x14ac:dyDescent="0.15">
      <c r="A7" s="80" t="s">
        <v>23</v>
      </c>
      <c r="B7" s="80" t="s">
        <v>160</v>
      </c>
      <c r="C7" s="80">
        <v>2020</v>
      </c>
      <c r="D7" s="122" t="s">
        <v>247</v>
      </c>
      <c r="E7" s="80" t="s">
        <v>248</v>
      </c>
      <c r="F7" s="80" t="s">
        <v>249</v>
      </c>
      <c r="G7" s="80" t="s">
        <v>31</v>
      </c>
      <c r="H7" s="80" t="s">
        <v>113</v>
      </c>
      <c r="I7" s="80" t="s">
        <v>111</v>
      </c>
      <c r="J7" s="80" t="s">
        <v>27</v>
      </c>
      <c r="K7" s="80" t="s">
        <v>112</v>
      </c>
      <c r="L7" s="80">
        <v>3</v>
      </c>
      <c r="N7" s="80">
        <v>4</v>
      </c>
      <c r="O7" s="80">
        <v>0.7</v>
      </c>
      <c r="P7" s="80">
        <v>0.6</v>
      </c>
      <c r="Q7" s="44">
        <f t="shared" si="0"/>
        <v>0.64999999999999991</v>
      </c>
      <c r="R7" s="80">
        <v>16</v>
      </c>
      <c r="S7" s="80">
        <v>101</v>
      </c>
      <c r="T7" s="16">
        <f t="shared" si="1"/>
        <v>33</v>
      </c>
      <c r="U7" s="80">
        <v>296</v>
      </c>
      <c r="V7" s="16">
        <f t="shared" si="2"/>
        <v>2442</v>
      </c>
      <c r="W7" s="80">
        <v>6</v>
      </c>
      <c r="X7" s="80" t="s">
        <v>35</v>
      </c>
      <c r="Y7" s="80" t="s">
        <v>36</v>
      </c>
      <c r="Z7" s="80" t="s">
        <v>55</v>
      </c>
      <c r="AA7" s="80" t="s">
        <v>47</v>
      </c>
      <c r="AB7" s="80" t="s">
        <v>161</v>
      </c>
      <c r="AE7" s="22" t="s">
        <v>48</v>
      </c>
      <c r="AG7" s="124" t="s">
        <v>259</v>
      </c>
      <c r="AH7" s="50" t="s">
        <v>260</v>
      </c>
      <c r="AL7" s="89" t="s">
        <v>137</v>
      </c>
      <c r="AP7" s="83" t="s">
        <v>45</v>
      </c>
      <c r="AR7" s="83" t="s">
        <v>102</v>
      </c>
      <c r="AV7" s="83" t="s">
        <v>51</v>
      </c>
      <c r="AX7" s="24">
        <v>109</v>
      </c>
      <c r="AY7" s="25">
        <v>33</v>
      </c>
      <c r="AZ7" s="25">
        <v>113</v>
      </c>
      <c r="BA7" s="26">
        <v>30</v>
      </c>
    </row>
    <row r="8" spans="1:53" x14ac:dyDescent="0.15">
      <c r="A8" s="80" t="s">
        <v>23</v>
      </c>
      <c r="B8" s="80" t="s">
        <v>160</v>
      </c>
      <c r="C8" s="80">
        <v>2020</v>
      </c>
      <c r="D8" s="122" t="s">
        <v>247</v>
      </c>
      <c r="E8" s="80" t="s">
        <v>248</v>
      </c>
      <c r="F8" s="80" t="s">
        <v>249</v>
      </c>
      <c r="G8" s="80" t="s">
        <v>31</v>
      </c>
      <c r="H8" s="80" t="s">
        <v>167</v>
      </c>
      <c r="I8" s="80" t="s">
        <v>111</v>
      </c>
      <c r="J8" s="80" t="s">
        <v>27</v>
      </c>
      <c r="K8" s="80" t="s">
        <v>112</v>
      </c>
      <c r="L8" s="80">
        <v>1</v>
      </c>
      <c r="N8" s="80">
        <v>1</v>
      </c>
      <c r="O8" s="80">
        <v>0.2</v>
      </c>
      <c r="P8" s="80">
        <v>0.2</v>
      </c>
      <c r="Q8" s="44">
        <f t="shared" si="0"/>
        <v>0.2</v>
      </c>
      <c r="R8" s="80">
        <v>16.7</v>
      </c>
      <c r="S8" s="80">
        <v>116</v>
      </c>
      <c r="T8" s="16">
        <f t="shared" si="1"/>
        <v>30</v>
      </c>
      <c r="U8" s="80">
        <v>96</v>
      </c>
      <c r="V8" s="16">
        <f t="shared" si="2"/>
        <v>2880</v>
      </c>
      <c r="W8" s="80">
        <v>6</v>
      </c>
      <c r="X8" s="80" t="s">
        <v>35</v>
      </c>
      <c r="Y8" s="80" t="s">
        <v>36</v>
      </c>
      <c r="Z8" s="80" t="s">
        <v>55</v>
      </c>
      <c r="AA8" s="80" t="s">
        <v>47</v>
      </c>
      <c r="AB8" s="80" t="s">
        <v>161</v>
      </c>
      <c r="AE8" s="22" t="s">
        <v>46</v>
      </c>
      <c r="AG8" s="124" t="s">
        <v>261</v>
      </c>
      <c r="AH8" s="50" t="s">
        <v>262</v>
      </c>
      <c r="AL8" s="89" t="s">
        <v>110</v>
      </c>
      <c r="AP8" s="83" t="s">
        <v>49</v>
      </c>
      <c r="AR8" s="83" t="s">
        <v>67</v>
      </c>
      <c r="AV8" s="83" t="s">
        <v>82</v>
      </c>
      <c r="AX8" s="24">
        <v>151</v>
      </c>
      <c r="AY8" s="25">
        <v>22</v>
      </c>
      <c r="AZ8" s="25">
        <v>152</v>
      </c>
      <c r="BA8" s="26">
        <v>18</v>
      </c>
    </row>
    <row r="9" spans="1:53" x14ac:dyDescent="0.15">
      <c r="A9" s="80" t="s">
        <v>23</v>
      </c>
      <c r="B9" s="80" t="s">
        <v>160</v>
      </c>
      <c r="C9" s="80">
        <v>2020</v>
      </c>
      <c r="D9" s="122" t="s">
        <v>247</v>
      </c>
      <c r="E9" s="80" t="s">
        <v>248</v>
      </c>
      <c r="F9" s="80" t="s">
        <v>249</v>
      </c>
      <c r="G9" s="80" t="s">
        <v>31</v>
      </c>
      <c r="H9" s="80" t="s">
        <v>167</v>
      </c>
      <c r="I9" s="80" t="s">
        <v>111</v>
      </c>
      <c r="J9" s="80" t="s">
        <v>27</v>
      </c>
      <c r="K9" s="80" t="s">
        <v>112</v>
      </c>
      <c r="L9" s="80">
        <v>2</v>
      </c>
      <c r="N9" s="80">
        <v>1</v>
      </c>
      <c r="O9" s="80">
        <v>0.2</v>
      </c>
      <c r="P9" s="80">
        <v>0.2</v>
      </c>
      <c r="Q9" s="44">
        <f t="shared" si="0"/>
        <v>0.2</v>
      </c>
      <c r="R9" s="80">
        <v>16.3</v>
      </c>
      <c r="S9" s="80">
        <v>117.5</v>
      </c>
      <c r="T9" s="16">
        <f t="shared" si="1"/>
        <v>30</v>
      </c>
      <c r="U9" s="80">
        <v>96</v>
      </c>
      <c r="V9" s="16">
        <f t="shared" si="2"/>
        <v>2880</v>
      </c>
      <c r="W9" s="80">
        <v>6</v>
      </c>
      <c r="X9" s="80" t="s">
        <v>35</v>
      </c>
      <c r="Y9" s="80" t="s">
        <v>36</v>
      </c>
      <c r="Z9" s="80" t="s">
        <v>55</v>
      </c>
      <c r="AA9" s="80" t="s">
        <v>47</v>
      </c>
      <c r="AB9" s="80" t="s">
        <v>161</v>
      </c>
      <c r="AE9" s="22" t="s">
        <v>83</v>
      </c>
      <c r="AG9" s="124" t="s">
        <v>263</v>
      </c>
      <c r="AH9" s="50" t="s">
        <v>264</v>
      </c>
      <c r="AL9" s="83" t="s">
        <v>139</v>
      </c>
      <c r="AP9" s="83" t="s">
        <v>80</v>
      </c>
      <c r="AR9" s="83" t="s">
        <v>75</v>
      </c>
      <c r="AV9" s="83" t="s">
        <v>86</v>
      </c>
      <c r="AX9" s="31">
        <v>180</v>
      </c>
      <c r="AY9" s="32">
        <v>18</v>
      </c>
      <c r="AZ9" s="32">
        <v>181</v>
      </c>
      <c r="BA9" s="33">
        <v>16</v>
      </c>
    </row>
    <row r="10" spans="1:53" x14ac:dyDescent="0.15">
      <c r="A10" s="80" t="s">
        <v>23</v>
      </c>
      <c r="B10" s="80" t="s">
        <v>160</v>
      </c>
      <c r="C10" s="80">
        <v>2020</v>
      </c>
      <c r="D10" s="122" t="s">
        <v>247</v>
      </c>
      <c r="E10" s="80" t="s">
        <v>248</v>
      </c>
      <c r="F10" s="80" t="s">
        <v>249</v>
      </c>
      <c r="G10" s="80" t="s">
        <v>31</v>
      </c>
      <c r="H10" s="80" t="s">
        <v>167</v>
      </c>
      <c r="I10" s="80" t="s">
        <v>111</v>
      </c>
      <c r="J10" s="80" t="s">
        <v>27</v>
      </c>
      <c r="K10" s="80" t="s">
        <v>112</v>
      </c>
      <c r="L10" s="80">
        <v>3</v>
      </c>
      <c r="N10" s="80">
        <v>1</v>
      </c>
      <c r="O10" s="80">
        <v>0.2</v>
      </c>
      <c r="P10" s="80">
        <v>0.2</v>
      </c>
      <c r="Q10" s="44">
        <f t="shared" si="0"/>
        <v>0.2</v>
      </c>
      <c r="R10" s="80">
        <v>17.7</v>
      </c>
      <c r="S10" s="80">
        <v>124.5</v>
      </c>
      <c r="T10" s="16">
        <f t="shared" si="1"/>
        <v>30</v>
      </c>
      <c r="U10" s="80">
        <v>96</v>
      </c>
      <c r="V10" s="16">
        <f t="shared" si="2"/>
        <v>2880</v>
      </c>
      <c r="W10" s="80">
        <v>6</v>
      </c>
      <c r="X10" s="80" t="s">
        <v>35</v>
      </c>
      <c r="Y10" s="80" t="s">
        <v>36</v>
      </c>
      <c r="Z10" s="80" t="s">
        <v>55</v>
      </c>
      <c r="AA10" s="80" t="s">
        <v>47</v>
      </c>
      <c r="AB10" s="80" t="s">
        <v>161</v>
      </c>
      <c r="AE10" s="22" t="s">
        <v>87</v>
      </c>
      <c r="AG10" s="124" t="s">
        <v>265</v>
      </c>
      <c r="AH10" s="50" t="s">
        <v>266</v>
      </c>
      <c r="AL10" s="34"/>
      <c r="AP10" s="83" t="s">
        <v>84</v>
      </c>
      <c r="AR10" s="83" t="s">
        <v>103</v>
      </c>
      <c r="AV10" s="83" t="s">
        <v>90</v>
      </c>
    </row>
    <row r="11" spans="1:53" x14ac:dyDescent="0.15">
      <c r="A11" s="80" t="s">
        <v>23</v>
      </c>
      <c r="B11" s="80" t="s">
        <v>160</v>
      </c>
      <c r="C11" s="80">
        <v>2020</v>
      </c>
      <c r="D11" s="122" t="s">
        <v>247</v>
      </c>
      <c r="E11" s="80" t="s">
        <v>248</v>
      </c>
      <c r="F11" s="80" t="s">
        <v>249</v>
      </c>
      <c r="G11" s="80" t="s">
        <v>31</v>
      </c>
      <c r="H11" s="80" t="s">
        <v>167</v>
      </c>
      <c r="I11" s="80" t="s">
        <v>111</v>
      </c>
      <c r="J11" s="80" t="s">
        <v>27</v>
      </c>
      <c r="K11" s="80" t="s">
        <v>112</v>
      </c>
      <c r="L11" s="80">
        <v>1</v>
      </c>
      <c r="N11" s="80">
        <v>4</v>
      </c>
      <c r="O11" s="80">
        <v>0.2</v>
      </c>
      <c r="P11" s="80">
        <v>0.2</v>
      </c>
      <c r="Q11" s="44">
        <f t="shared" si="0"/>
        <v>0.2</v>
      </c>
      <c r="R11" s="80">
        <v>15.8</v>
      </c>
      <c r="S11" s="80">
        <v>111.5</v>
      </c>
      <c r="T11" s="16">
        <f t="shared" si="1"/>
        <v>33</v>
      </c>
      <c r="U11" s="80">
        <v>396</v>
      </c>
      <c r="V11" s="16">
        <f t="shared" si="2"/>
        <v>3267</v>
      </c>
      <c r="W11" s="80">
        <v>6</v>
      </c>
      <c r="X11" s="80" t="s">
        <v>35</v>
      </c>
      <c r="Y11" s="80" t="s">
        <v>36</v>
      </c>
      <c r="Z11" s="80" t="s">
        <v>55</v>
      </c>
      <c r="AA11" s="80" t="s">
        <v>47</v>
      </c>
      <c r="AB11" s="80" t="s">
        <v>161</v>
      </c>
      <c r="AE11" s="22" t="s">
        <v>52</v>
      </c>
      <c r="AG11" s="124" t="s">
        <v>267</v>
      </c>
      <c r="AH11" s="50" t="s">
        <v>268</v>
      </c>
      <c r="AL11" s="34"/>
      <c r="AP11" s="83" t="s">
        <v>88</v>
      </c>
      <c r="AR11" s="83" t="s">
        <v>73</v>
      </c>
      <c r="AV11" s="83" t="s">
        <v>55</v>
      </c>
    </row>
    <row r="12" spans="1:53" x14ac:dyDescent="0.15">
      <c r="A12" s="80" t="s">
        <v>23</v>
      </c>
      <c r="B12" s="80" t="s">
        <v>160</v>
      </c>
      <c r="C12" s="80">
        <v>2020</v>
      </c>
      <c r="D12" s="122" t="s">
        <v>247</v>
      </c>
      <c r="E12" s="80" t="s">
        <v>248</v>
      </c>
      <c r="F12" s="80" t="s">
        <v>249</v>
      </c>
      <c r="G12" s="80" t="s">
        <v>31</v>
      </c>
      <c r="H12" s="80" t="s">
        <v>167</v>
      </c>
      <c r="I12" s="80" t="s">
        <v>111</v>
      </c>
      <c r="J12" s="80" t="s">
        <v>27</v>
      </c>
      <c r="K12" s="80" t="s">
        <v>112</v>
      </c>
      <c r="L12" s="80">
        <v>2</v>
      </c>
      <c r="N12" s="80">
        <v>4</v>
      </c>
      <c r="O12" s="80">
        <v>0.2</v>
      </c>
      <c r="P12" s="80">
        <v>0.5</v>
      </c>
      <c r="Q12" s="44">
        <f t="shared" si="0"/>
        <v>0.35</v>
      </c>
      <c r="R12" s="80">
        <v>15.7</v>
      </c>
      <c r="S12" s="80">
        <v>109</v>
      </c>
      <c r="T12" s="16">
        <f t="shared" si="1"/>
        <v>33</v>
      </c>
      <c r="U12" s="80">
        <v>396</v>
      </c>
      <c r="V12" s="16">
        <f t="shared" si="2"/>
        <v>3267</v>
      </c>
      <c r="W12" s="80">
        <v>6</v>
      </c>
      <c r="X12" s="80" t="s">
        <v>35</v>
      </c>
      <c r="Y12" s="80" t="s">
        <v>36</v>
      </c>
      <c r="Z12" s="80" t="s">
        <v>55</v>
      </c>
      <c r="AA12" s="80" t="s">
        <v>47</v>
      </c>
      <c r="AB12" s="80" t="s">
        <v>161</v>
      </c>
      <c r="AE12" s="22" t="s">
        <v>56</v>
      </c>
      <c r="AG12" s="28"/>
      <c r="AH12" s="83"/>
      <c r="AL12" s="34"/>
      <c r="AP12" s="83" t="s">
        <v>53</v>
      </c>
      <c r="AR12" s="83" t="s">
        <v>104</v>
      </c>
      <c r="AV12" s="83" t="s">
        <v>58</v>
      </c>
    </row>
    <row r="13" spans="1:53" x14ac:dyDescent="0.15">
      <c r="A13" s="80" t="s">
        <v>23</v>
      </c>
      <c r="B13" s="80" t="s">
        <v>160</v>
      </c>
      <c r="C13" s="80">
        <v>2020</v>
      </c>
      <c r="D13" s="122" t="s">
        <v>247</v>
      </c>
      <c r="E13" s="80" t="s">
        <v>248</v>
      </c>
      <c r="F13" s="80" t="s">
        <v>249</v>
      </c>
      <c r="G13" s="80" t="s">
        <v>31</v>
      </c>
      <c r="H13" s="80" t="s">
        <v>167</v>
      </c>
      <c r="I13" s="80" t="s">
        <v>111</v>
      </c>
      <c r="J13" s="80" t="s">
        <v>27</v>
      </c>
      <c r="K13" s="80" t="s">
        <v>112</v>
      </c>
      <c r="L13" s="80">
        <v>3</v>
      </c>
      <c r="N13" s="80">
        <v>4</v>
      </c>
      <c r="O13" s="80">
        <v>0.2</v>
      </c>
      <c r="P13" s="80">
        <v>0.2</v>
      </c>
      <c r="Q13" s="44">
        <f t="shared" si="0"/>
        <v>0.2</v>
      </c>
      <c r="R13" s="80">
        <v>15.4</v>
      </c>
      <c r="S13" s="80">
        <v>108</v>
      </c>
      <c r="T13" s="16">
        <f t="shared" si="1"/>
        <v>33</v>
      </c>
      <c r="U13" s="80">
        <v>396</v>
      </c>
      <c r="V13" s="16">
        <f t="shared" si="2"/>
        <v>3267</v>
      </c>
      <c r="W13" s="80">
        <v>6</v>
      </c>
      <c r="X13" s="80" t="s">
        <v>35</v>
      </c>
      <c r="Y13" s="80" t="s">
        <v>36</v>
      </c>
      <c r="Z13" s="80" t="s">
        <v>55</v>
      </c>
      <c r="AA13" s="80" t="s">
        <v>47</v>
      </c>
      <c r="AB13" s="80" t="s">
        <v>161</v>
      </c>
      <c r="AE13" s="22" t="s">
        <v>59</v>
      </c>
      <c r="AH13" s="28"/>
      <c r="AP13" s="83" t="s">
        <v>57</v>
      </c>
      <c r="AR13" s="83" t="s">
        <v>87</v>
      </c>
      <c r="AV13" s="83" t="s">
        <v>61</v>
      </c>
    </row>
    <row r="14" spans="1:53" x14ac:dyDescent="0.15">
      <c r="A14" s="80" t="s">
        <v>23</v>
      </c>
      <c r="B14" s="80" t="s">
        <v>160</v>
      </c>
      <c r="C14" s="80">
        <v>2020</v>
      </c>
      <c r="D14" s="122" t="s">
        <v>247</v>
      </c>
      <c r="E14" s="80" t="s">
        <v>269</v>
      </c>
      <c r="F14" s="80" t="s">
        <v>270</v>
      </c>
      <c r="G14" s="80" t="s">
        <v>25</v>
      </c>
      <c r="H14" s="80" t="s">
        <v>113</v>
      </c>
      <c r="I14" s="80" t="s">
        <v>111</v>
      </c>
      <c r="J14" s="80" t="s">
        <v>27</v>
      </c>
      <c r="K14" s="80" t="s">
        <v>112</v>
      </c>
      <c r="L14" s="80">
        <v>1</v>
      </c>
      <c r="N14" s="80">
        <v>1</v>
      </c>
      <c r="O14" s="80">
        <v>0.45</v>
      </c>
      <c r="P14" s="80">
        <v>0.5</v>
      </c>
      <c r="Q14" s="44">
        <f t="shared" si="0"/>
        <v>0.47499999999999998</v>
      </c>
      <c r="R14" s="80">
        <v>17.3</v>
      </c>
      <c r="S14" s="80">
        <v>141.5</v>
      </c>
      <c r="T14" s="16">
        <f t="shared" si="1"/>
        <v>30</v>
      </c>
      <c r="U14" s="80">
        <v>108</v>
      </c>
      <c r="V14" s="16">
        <f t="shared" si="2"/>
        <v>3240</v>
      </c>
      <c r="W14" s="80">
        <v>10</v>
      </c>
      <c r="X14" s="80" t="s">
        <v>35</v>
      </c>
      <c r="Y14" s="80" t="s">
        <v>82</v>
      </c>
      <c r="Z14" s="80" t="s">
        <v>47</v>
      </c>
      <c r="AA14" s="80" t="s">
        <v>43</v>
      </c>
      <c r="AB14" s="80" t="s">
        <v>161</v>
      </c>
      <c r="AE14" s="22" t="s">
        <v>62</v>
      </c>
      <c r="AG14" s="125"/>
      <c r="AP14" s="83" t="s">
        <v>60</v>
      </c>
      <c r="AR14" s="83" t="s">
        <v>105</v>
      </c>
      <c r="AV14" s="83" t="s">
        <v>64</v>
      </c>
    </row>
    <row r="15" spans="1:53" x14ac:dyDescent="0.15">
      <c r="A15" s="80" t="s">
        <v>23</v>
      </c>
      <c r="B15" s="80" t="s">
        <v>160</v>
      </c>
      <c r="C15" s="80">
        <v>2020</v>
      </c>
      <c r="D15" s="122" t="s">
        <v>247</v>
      </c>
      <c r="E15" s="80" t="s">
        <v>269</v>
      </c>
      <c r="F15" s="80" t="s">
        <v>270</v>
      </c>
      <c r="G15" s="80" t="s">
        <v>25</v>
      </c>
      <c r="H15" s="80" t="s">
        <v>113</v>
      </c>
      <c r="I15" s="80" t="s">
        <v>111</v>
      </c>
      <c r="J15" s="80" t="s">
        <v>27</v>
      </c>
      <c r="K15" s="80" t="s">
        <v>112</v>
      </c>
      <c r="L15" s="80">
        <v>2</v>
      </c>
      <c r="N15" s="80">
        <v>1</v>
      </c>
      <c r="O15" s="80">
        <v>0.45</v>
      </c>
      <c r="P15" s="80">
        <v>0.2</v>
      </c>
      <c r="Q15" s="44">
        <f t="shared" si="0"/>
        <v>0.32500000000000001</v>
      </c>
      <c r="R15" s="80">
        <v>17.3</v>
      </c>
      <c r="S15" s="80">
        <v>134</v>
      </c>
      <c r="T15" s="16">
        <f t="shared" si="1"/>
        <v>30</v>
      </c>
      <c r="U15" s="80">
        <v>108</v>
      </c>
      <c r="V15" s="16">
        <f t="shared" si="2"/>
        <v>3240</v>
      </c>
      <c r="W15" s="80">
        <v>10</v>
      </c>
      <c r="X15" s="80" t="s">
        <v>35</v>
      </c>
      <c r="Y15" s="80" t="s">
        <v>82</v>
      </c>
      <c r="Z15" s="80" t="s">
        <v>47</v>
      </c>
      <c r="AA15" s="80" t="s">
        <v>43</v>
      </c>
      <c r="AB15" s="80" t="s">
        <v>161</v>
      </c>
      <c r="AE15" s="22" t="s">
        <v>65</v>
      </c>
      <c r="AP15" s="83" t="s">
        <v>63</v>
      </c>
      <c r="AR15" s="83" t="s">
        <v>79</v>
      </c>
      <c r="AV15" s="83" t="s">
        <v>91</v>
      </c>
    </row>
    <row r="16" spans="1:53" x14ac:dyDescent="0.15">
      <c r="A16" s="80" t="s">
        <v>23</v>
      </c>
      <c r="B16" s="80" t="s">
        <v>160</v>
      </c>
      <c r="C16" s="80">
        <v>2020</v>
      </c>
      <c r="D16" s="122" t="s">
        <v>247</v>
      </c>
      <c r="E16" s="80" t="s">
        <v>269</v>
      </c>
      <c r="F16" s="80" t="s">
        <v>270</v>
      </c>
      <c r="G16" s="80" t="s">
        <v>25</v>
      </c>
      <c r="H16" s="80" t="s">
        <v>113</v>
      </c>
      <c r="I16" s="80" t="s">
        <v>111</v>
      </c>
      <c r="J16" s="80" t="s">
        <v>27</v>
      </c>
      <c r="K16" s="80" t="s">
        <v>112</v>
      </c>
      <c r="L16" s="80">
        <v>3</v>
      </c>
      <c r="N16" s="80">
        <v>1</v>
      </c>
      <c r="O16" s="80">
        <v>0.2</v>
      </c>
      <c r="P16" s="80">
        <v>0.2</v>
      </c>
      <c r="Q16" s="44">
        <f t="shared" si="0"/>
        <v>0.2</v>
      </c>
      <c r="R16" s="80">
        <v>17.8</v>
      </c>
      <c r="S16" s="80">
        <v>139.5</v>
      </c>
      <c r="T16" s="16">
        <f t="shared" si="1"/>
        <v>30</v>
      </c>
      <c r="U16" s="80">
        <v>108</v>
      </c>
      <c r="V16" s="16">
        <f t="shared" si="2"/>
        <v>3240</v>
      </c>
      <c r="W16" s="80">
        <v>10</v>
      </c>
      <c r="X16" s="80" t="s">
        <v>35</v>
      </c>
      <c r="Y16" s="80" t="s">
        <v>82</v>
      </c>
      <c r="Z16" s="80" t="s">
        <v>47</v>
      </c>
      <c r="AA16" s="80" t="s">
        <v>43</v>
      </c>
      <c r="AB16" s="80" t="s">
        <v>161</v>
      </c>
      <c r="AE16" s="22" t="s">
        <v>68</v>
      </c>
      <c r="AP16" s="83" t="s">
        <v>66</v>
      </c>
      <c r="AR16" s="83" t="s">
        <v>50</v>
      </c>
      <c r="AV16" s="83" t="s">
        <v>70</v>
      </c>
    </row>
    <row r="17" spans="1:48" x14ac:dyDescent="0.15">
      <c r="A17" s="80" t="s">
        <v>23</v>
      </c>
      <c r="B17" s="80" t="s">
        <v>160</v>
      </c>
      <c r="C17" s="80">
        <v>2020</v>
      </c>
      <c r="D17" s="122" t="s">
        <v>247</v>
      </c>
      <c r="E17" s="80" t="s">
        <v>269</v>
      </c>
      <c r="F17" s="80" t="s">
        <v>270</v>
      </c>
      <c r="G17" s="80" t="s">
        <v>25</v>
      </c>
      <c r="H17" s="80" t="s">
        <v>113</v>
      </c>
      <c r="I17" s="80" t="s">
        <v>111</v>
      </c>
      <c r="J17" s="80" t="s">
        <v>27</v>
      </c>
      <c r="K17" s="80" t="s">
        <v>112</v>
      </c>
      <c r="L17" s="80">
        <v>1</v>
      </c>
      <c r="N17" s="80">
        <v>8</v>
      </c>
      <c r="O17" s="80">
        <v>0.5</v>
      </c>
      <c r="P17" s="80">
        <v>0.7</v>
      </c>
      <c r="Q17" s="44">
        <f>IF(OR(O18="",P17=""),"",AVERAGE(O18,P17))</f>
        <v>0.7</v>
      </c>
      <c r="R17" s="80">
        <v>18.7</v>
      </c>
      <c r="S17" s="80">
        <v>106</v>
      </c>
      <c r="T17" s="16">
        <f t="shared" si="1"/>
        <v>33</v>
      </c>
      <c r="U17" s="80">
        <v>498</v>
      </c>
      <c r="V17" s="16">
        <f t="shared" si="2"/>
        <v>2054.25</v>
      </c>
      <c r="W17" s="80">
        <v>10</v>
      </c>
      <c r="X17" s="80" t="s">
        <v>35</v>
      </c>
      <c r="Y17" s="80" t="s">
        <v>82</v>
      </c>
      <c r="Z17" s="80" t="s">
        <v>47</v>
      </c>
      <c r="AA17" s="80" t="s">
        <v>43</v>
      </c>
      <c r="AB17" s="80" t="s">
        <v>161</v>
      </c>
      <c r="AE17" s="22" t="s">
        <v>71</v>
      </c>
      <c r="AP17" s="27" t="s">
        <v>93</v>
      </c>
      <c r="AR17" s="83" t="s">
        <v>81</v>
      </c>
      <c r="AV17" s="83" t="s">
        <v>72</v>
      </c>
    </row>
    <row r="18" spans="1:48" x14ac:dyDescent="0.15">
      <c r="A18" s="80" t="s">
        <v>23</v>
      </c>
      <c r="B18" s="80" t="s">
        <v>160</v>
      </c>
      <c r="C18" s="80">
        <v>2020</v>
      </c>
      <c r="D18" s="122" t="s">
        <v>247</v>
      </c>
      <c r="E18" s="80" t="s">
        <v>269</v>
      </c>
      <c r="F18" s="80" t="s">
        <v>270</v>
      </c>
      <c r="G18" s="80" t="s">
        <v>25</v>
      </c>
      <c r="H18" s="80" t="s">
        <v>113</v>
      </c>
      <c r="I18" s="80" t="s">
        <v>111</v>
      </c>
      <c r="J18" s="81" t="s">
        <v>27</v>
      </c>
      <c r="K18" s="80" t="s">
        <v>112</v>
      </c>
      <c r="L18" s="80">
        <v>2</v>
      </c>
      <c r="N18" s="80">
        <v>8</v>
      </c>
      <c r="O18" s="80">
        <v>0.7</v>
      </c>
      <c r="P18" s="80">
        <v>0.7</v>
      </c>
      <c r="Q18" s="44">
        <f>IF(OR(O19="",P18=""),"",AVERAGE(O19,P18))</f>
        <v>0.625</v>
      </c>
      <c r="R18" s="80">
        <v>17.8</v>
      </c>
      <c r="S18" s="80">
        <v>94</v>
      </c>
      <c r="T18" s="16">
        <f t="shared" si="1"/>
        <v>36</v>
      </c>
      <c r="U18" s="80">
        <v>498</v>
      </c>
      <c r="V18" s="16">
        <f t="shared" si="2"/>
        <v>2241</v>
      </c>
      <c r="W18" s="80">
        <v>10</v>
      </c>
      <c r="X18" s="80" t="s">
        <v>35</v>
      </c>
      <c r="Y18" s="80" t="s">
        <v>82</v>
      </c>
      <c r="Z18" s="80" t="s">
        <v>47</v>
      </c>
      <c r="AA18" s="80" t="s">
        <v>43</v>
      </c>
      <c r="AB18" s="80" t="s">
        <v>161</v>
      </c>
      <c r="AE18" s="22" t="s">
        <v>73</v>
      </c>
      <c r="AP18" s="27" t="s">
        <v>94</v>
      </c>
      <c r="AR18" s="83" t="s">
        <v>85</v>
      </c>
      <c r="AV18" s="83" t="s">
        <v>74</v>
      </c>
    </row>
    <row r="19" spans="1:48" x14ac:dyDescent="0.15">
      <c r="A19" s="80" t="s">
        <v>23</v>
      </c>
      <c r="B19" s="80" t="s">
        <v>160</v>
      </c>
      <c r="C19" s="80">
        <v>2020</v>
      </c>
      <c r="D19" s="122" t="s">
        <v>247</v>
      </c>
      <c r="E19" s="80" t="s">
        <v>269</v>
      </c>
      <c r="F19" s="80" t="s">
        <v>270</v>
      </c>
      <c r="G19" s="80" t="s">
        <v>25</v>
      </c>
      <c r="H19" s="80" t="s">
        <v>113</v>
      </c>
      <c r="I19" s="80" t="s">
        <v>111</v>
      </c>
      <c r="J19" s="81" t="s">
        <v>27</v>
      </c>
      <c r="K19" s="80" t="s">
        <v>112</v>
      </c>
      <c r="L19" s="80">
        <v>3</v>
      </c>
      <c r="N19" s="80">
        <v>8</v>
      </c>
      <c r="O19" s="80">
        <v>0.55000000000000004</v>
      </c>
      <c r="P19" s="80">
        <v>0.65</v>
      </c>
      <c r="Q19" s="44">
        <f>IF(OR(O20="",P19=""),"",AVERAGE(O20,P19))</f>
        <v>0.55000000000000004</v>
      </c>
      <c r="R19" s="80">
        <v>17.8</v>
      </c>
      <c r="S19" s="80">
        <v>97</v>
      </c>
      <c r="T19" s="16">
        <f t="shared" si="1"/>
        <v>36</v>
      </c>
      <c r="U19" s="80">
        <v>498</v>
      </c>
      <c r="V19" s="16">
        <f t="shared" si="2"/>
        <v>2241</v>
      </c>
      <c r="W19" s="80">
        <v>10</v>
      </c>
      <c r="X19" s="80" t="s">
        <v>35</v>
      </c>
      <c r="Y19" s="80" t="s">
        <v>82</v>
      </c>
      <c r="Z19" s="80" t="s">
        <v>47</v>
      </c>
      <c r="AA19" s="80" t="s">
        <v>43</v>
      </c>
      <c r="AB19" s="80" t="s">
        <v>161</v>
      </c>
      <c r="AE19" s="35" t="s">
        <v>75</v>
      </c>
      <c r="AP19" s="27" t="s">
        <v>95</v>
      </c>
      <c r="AR19" s="83" t="s">
        <v>106</v>
      </c>
      <c r="AV19" s="83" t="s">
        <v>76</v>
      </c>
    </row>
    <row r="20" spans="1:48" x14ac:dyDescent="0.15">
      <c r="A20" s="80" t="s">
        <v>23</v>
      </c>
      <c r="B20" s="80" t="s">
        <v>160</v>
      </c>
      <c r="C20" s="80">
        <v>2020</v>
      </c>
      <c r="D20" s="122" t="s">
        <v>247</v>
      </c>
      <c r="E20" s="80" t="s">
        <v>269</v>
      </c>
      <c r="F20" s="80" t="s">
        <v>270</v>
      </c>
      <c r="G20" s="80" t="s">
        <v>25</v>
      </c>
      <c r="H20" s="80" t="s">
        <v>107</v>
      </c>
      <c r="I20" s="80" t="s">
        <v>111</v>
      </c>
      <c r="J20" s="81" t="s">
        <v>163</v>
      </c>
      <c r="K20" s="80" t="s">
        <v>34</v>
      </c>
      <c r="L20" s="80">
        <v>1</v>
      </c>
      <c r="N20" s="80">
        <v>7</v>
      </c>
      <c r="O20" s="80">
        <v>0.45</v>
      </c>
      <c r="P20" s="80">
        <v>0.5</v>
      </c>
      <c r="Q20" s="44">
        <f>IF(OR(O21="",P20=""),"",AVERAGE(O21,P20))</f>
        <v>0.35</v>
      </c>
      <c r="R20" s="80">
        <v>12.5</v>
      </c>
      <c r="S20" s="80">
        <v>82.5</v>
      </c>
      <c r="T20" s="16">
        <f t="shared" si="1"/>
        <v>39</v>
      </c>
      <c r="U20" s="80">
        <v>398</v>
      </c>
      <c r="V20" s="16">
        <f t="shared" si="2"/>
        <v>2217.4285714285711</v>
      </c>
      <c r="W20" s="80">
        <v>10</v>
      </c>
      <c r="X20" s="80" t="s">
        <v>35</v>
      </c>
      <c r="Y20" s="80" t="s">
        <v>82</v>
      </c>
      <c r="Z20" s="80" t="s">
        <v>47</v>
      </c>
      <c r="AA20" s="80" t="s">
        <v>43</v>
      </c>
      <c r="AB20" s="80" t="s">
        <v>161</v>
      </c>
      <c r="AP20" s="27" t="s">
        <v>96</v>
      </c>
      <c r="AR20" s="83" t="s">
        <v>89</v>
      </c>
      <c r="AV20" s="27" t="s">
        <v>114</v>
      </c>
    </row>
    <row r="21" spans="1:48" x14ac:dyDescent="0.15">
      <c r="A21" s="80" t="s">
        <v>23</v>
      </c>
      <c r="B21" s="80" t="s">
        <v>160</v>
      </c>
      <c r="C21" s="80">
        <v>2020</v>
      </c>
      <c r="D21" s="122" t="s">
        <v>247</v>
      </c>
      <c r="E21" s="80" t="s">
        <v>269</v>
      </c>
      <c r="F21" s="80" t="s">
        <v>270</v>
      </c>
      <c r="G21" s="80" t="s">
        <v>25</v>
      </c>
      <c r="H21" s="80" t="s">
        <v>107</v>
      </c>
      <c r="I21" s="80" t="s">
        <v>111</v>
      </c>
      <c r="J21" s="81" t="s">
        <v>163</v>
      </c>
      <c r="K21" s="80" t="s">
        <v>34</v>
      </c>
      <c r="L21" s="80">
        <v>2</v>
      </c>
      <c r="N21" s="80">
        <v>7</v>
      </c>
      <c r="O21" s="80">
        <v>0.2</v>
      </c>
      <c r="P21" s="80">
        <v>0.45</v>
      </c>
      <c r="Q21" s="44">
        <f>IF(OR(O22="",P21=""),"",AVERAGE(O22,P21))</f>
        <v>0.32500000000000001</v>
      </c>
      <c r="R21" s="80">
        <v>15.2</v>
      </c>
      <c r="S21" s="80">
        <v>81.5</v>
      </c>
      <c r="T21" s="16">
        <f t="shared" si="1"/>
        <v>39</v>
      </c>
      <c r="U21" s="80">
        <v>398</v>
      </c>
      <c r="V21" s="16">
        <f t="shared" si="2"/>
        <v>2217.4285714285711</v>
      </c>
      <c r="W21" s="80">
        <v>10</v>
      </c>
      <c r="X21" s="80" t="s">
        <v>35</v>
      </c>
      <c r="Y21" s="80" t="s">
        <v>82</v>
      </c>
      <c r="Z21" s="80" t="s">
        <v>47</v>
      </c>
      <c r="AA21" s="80" t="s">
        <v>43</v>
      </c>
      <c r="AB21" s="80" t="s">
        <v>161</v>
      </c>
      <c r="AP21" s="27" t="s">
        <v>97</v>
      </c>
      <c r="AR21" s="83" t="s">
        <v>54</v>
      </c>
      <c r="AV21" s="27" t="s">
        <v>115</v>
      </c>
    </row>
    <row r="22" spans="1:48" x14ac:dyDescent="0.15">
      <c r="A22" s="80" t="s">
        <v>23</v>
      </c>
      <c r="B22" s="80" t="s">
        <v>160</v>
      </c>
      <c r="C22" s="80">
        <v>2020</v>
      </c>
      <c r="D22" s="122" t="s">
        <v>247</v>
      </c>
      <c r="E22" s="80" t="s">
        <v>269</v>
      </c>
      <c r="F22" s="80" t="s">
        <v>270</v>
      </c>
      <c r="G22" s="80" t="s">
        <v>25</v>
      </c>
      <c r="H22" s="80" t="s">
        <v>107</v>
      </c>
      <c r="I22" s="80" t="s">
        <v>111</v>
      </c>
      <c r="J22" s="81" t="s">
        <v>163</v>
      </c>
      <c r="K22" s="80" t="s">
        <v>34</v>
      </c>
      <c r="L22" s="80">
        <v>3</v>
      </c>
      <c r="N22" s="80">
        <v>7</v>
      </c>
      <c r="O22" s="80">
        <v>0.2</v>
      </c>
      <c r="P22" s="80">
        <v>0.2</v>
      </c>
      <c r="Q22" s="44">
        <f t="shared" ref="Q22:Q23" si="3">IF(OR(O23="",P22=""),"",AVERAGE(O23,P22))</f>
        <v>0.2</v>
      </c>
      <c r="R22" s="80">
        <v>13.6</v>
      </c>
      <c r="S22" s="80">
        <v>82.5</v>
      </c>
      <c r="T22" s="16">
        <f t="shared" si="1"/>
        <v>39</v>
      </c>
      <c r="U22" s="80">
        <v>398</v>
      </c>
      <c r="V22" s="16">
        <f t="shared" si="2"/>
        <v>2217.4285714285711</v>
      </c>
      <c r="W22" s="80">
        <v>10</v>
      </c>
      <c r="X22" s="80" t="s">
        <v>35</v>
      </c>
      <c r="Y22" s="80" t="s">
        <v>82</v>
      </c>
      <c r="Z22" s="80" t="s">
        <v>47</v>
      </c>
      <c r="AA22" s="80" t="s">
        <v>43</v>
      </c>
      <c r="AB22" s="80" t="s">
        <v>161</v>
      </c>
      <c r="AP22" s="27" t="s">
        <v>98</v>
      </c>
      <c r="AR22" s="83" t="s">
        <v>69</v>
      </c>
      <c r="AV22" s="27"/>
    </row>
    <row r="23" spans="1:48" x14ac:dyDescent="0.15">
      <c r="A23" s="80" t="s">
        <v>23</v>
      </c>
      <c r="B23" s="80" t="s">
        <v>160</v>
      </c>
      <c r="C23" s="80">
        <v>2020</v>
      </c>
      <c r="D23" s="122" t="s">
        <v>247</v>
      </c>
      <c r="E23" s="80" t="s">
        <v>269</v>
      </c>
      <c r="F23" s="80" t="s">
        <v>270</v>
      </c>
      <c r="G23" s="80" t="s">
        <v>25</v>
      </c>
      <c r="H23" s="80" t="s">
        <v>167</v>
      </c>
      <c r="I23" s="80" t="s">
        <v>111</v>
      </c>
      <c r="J23" s="81" t="s">
        <v>27</v>
      </c>
      <c r="K23" s="80" t="s">
        <v>112</v>
      </c>
      <c r="L23" s="80">
        <v>1</v>
      </c>
      <c r="N23" s="80">
        <v>1</v>
      </c>
      <c r="O23" s="80">
        <v>0.2</v>
      </c>
      <c r="P23" s="80">
        <v>0.45</v>
      </c>
      <c r="Q23" s="44">
        <f t="shared" si="3"/>
        <v>0.32500000000000001</v>
      </c>
      <c r="R23" s="80">
        <v>16</v>
      </c>
      <c r="S23" s="80">
        <v>138.5</v>
      </c>
      <c r="T23" s="16">
        <f t="shared" si="1"/>
        <v>30</v>
      </c>
      <c r="U23" s="80">
        <v>108</v>
      </c>
      <c r="V23" s="16">
        <f t="shared" si="2"/>
        <v>3240</v>
      </c>
      <c r="W23" s="80">
        <v>10</v>
      </c>
      <c r="X23" s="80" t="s">
        <v>35</v>
      </c>
      <c r="Y23" s="80" t="s">
        <v>82</v>
      </c>
      <c r="Z23" s="80" t="s">
        <v>47</v>
      </c>
      <c r="AA23" s="80" t="s">
        <v>43</v>
      </c>
      <c r="AB23" s="80" t="s">
        <v>161</v>
      </c>
      <c r="AP23" s="27" t="s">
        <v>100</v>
      </c>
      <c r="AR23" s="83" t="s">
        <v>138</v>
      </c>
    </row>
    <row r="24" spans="1:48" x14ac:dyDescent="0.15">
      <c r="A24" s="80" t="s">
        <v>23</v>
      </c>
      <c r="B24" s="80" t="s">
        <v>160</v>
      </c>
      <c r="C24" s="80">
        <v>2020</v>
      </c>
      <c r="D24" s="122" t="s">
        <v>247</v>
      </c>
      <c r="E24" s="80" t="s">
        <v>269</v>
      </c>
      <c r="F24" s="80" t="s">
        <v>270</v>
      </c>
      <c r="G24" s="80" t="s">
        <v>25</v>
      </c>
      <c r="H24" s="80" t="s">
        <v>167</v>
      </c>
      <c r="I24" s="80" t="s">
        <v>111</v>
      </c>
      <c r="J24" s="81" t="s">
        <v>27</v>
      </c>
      <c r="K24" s="80" t="s">
        <v>112</v>
      </c>
      <c r="L24" s="80">
        <v>2</v>
      </c>
      <c r="N24" s="80">
        <v>1</v>
      </c>
      <c r="O24" s="80">
        <v>0.2</v>
      </c>
      <c r="P24" s="80">
        <v>0.2</v>
      </c>
      <c r="Q24" s="44">
        <f t="shared" si="0"/>
        <v>0.2</v>
      </c>
      <c r="R24" s="80">
        <v>16.600000000000001</v>
      </c>
      <c r="S24" s="80">
        <v>125.5</v>
      </c>
      <c r="T24" s="16">
        <f t="shared" si="1"/>
        <v>30</v>
      </c>
      <c r="U24" s="80">
        <v>108</v>
      </c>
      <c r="V24" s="16">
        <f t="shared" si="2"/>
        <v>3240</v>
      </c>
      <c r="W24" s="80">
        <v>10</v>
      </c>
      <c r="X24" s="80" t="s">
        <v>35</v>
      </c>
      <c r="Y24" s="80" t="s">
        <v>82</v>
      </c>
      <c r="Z24" s="80" t="s">
        <v>47</v>
      </c>
      <c r="AA24" s="80" t="s">
        <v>43</v>
      </c>
      <c r="AB24" s="80" t="s">
        <v>161</v>
      </c>
      <c r="AP24" s="27" t="s">
        <v>101</v>
      </c>
      <c r="AR24" s="83" t="s">
        <v>159</v>
      </c>
    </row>
    <row r="25" spans="1:48" x14ac:dyDescent="0.15">
      <c r="A25" s="80" t="s">
        <v>23</v>
      </c>
      <c r="B25" s="80" t="s">
        <v>160</v>
      </c>
      <c r="C25" s="80">
        <v>2020</v>
      </c>
      <c r="D25" s="122" t="s">
        <v>247</v>
      </c>
      <c r="E25" s="80" t="s">
        <v>269</v>
      </c>
      <c r="F25" s="80" t="s">
        <v>270</v>
      </c>
      <c r="G25" s="80" t="s">
        <v>25</v>
      </c>
      <c r="H25" s="80" t="s">
        <v>167</v>
      </c>
      <c r="I25" s="80" t="s">
        <v>111</v>
      </c>
      <c r="J25" s="81" t="s">
        <v>27</v>
      </c>
      <c r="K25" s="80" t="s">
        <v>112</v>
      </c>
      <c r="L25" s="80">
        <v>3</v>
      </c>
      <c r="N25" s="80">
        <v>1</v>
      </c>
      <c r="O25" s="80">
        <v>0.2</v>
      </c>
      <c r="P25" s="80">
        <v>0.45</v>
      </c>
      <c r="Q25" s="44">
        <f t="shared" si="0"/>
        <v>0.32500000000000001</v>
      </c>
      <c r="R25" s="80">
        <v>15.6</v>
      </c>
      <c r="S25" s="80">
        <v>142</v>
      </c>
      <c r="T25" s="16">
        <f t="shared" si="1"/>
        <v>30</v>
      </c>
      <c r="U25" s="80">
        <v>108</v>
      </c>
      <c r="V25" s="16">
        <f t="shared" si="2"/>
        <v>3240</v>
      </c>
      <c r="W25" s="80">
        <v>10</v>
      </c>
      <c r="X25" s="80" t="s">
        <v>35</v>
      </c>
      <c r="Y25" s="80" t="s">
        <v>82</v>
      </c>
      <c r="Z25" s="80" t="s">
        <v>47</v>
      </c>
      <c r="AA25" s="80" t="s">
        <v>43</v>
      </c>
      <c r="AB25" s="80" t="s">
        <v>161</v>
      </c>
      <c r="AP25" s="27" t="s">
        <v>156</v>
      </c>
      <c r="AR25" s="83" t="s">
        <v>158</v>
      </c>
    </row>
    <row r="26" spans="1:48" x14ac:dyDescent="0.15">
      <c r="A26" s="80" t="s">
        <v>23</v>
      </c>
      <c r="B26" s="80" t="s">
        <v>160</v>
      </c>
      <c r="C26" s="80">
        <v>2020</v>
      </c>
      <c r="D26" s="122" t="s">
        <v>247</v>
      </c>
      <c r="E26" s="80" t="s">
        <v>269</v>
      </c>
      <c r="F26" s="80" t="s">
        <v>270</v>
      </c>
      <c r="G26" s="80" t="s">
        <v>25</v>
      </c>
      <c r="H26" s="80" t="s">
        <v>167</v>
      </c>
      <c r="I26" s="80" t="s">
        <v>111</v>
      </c>
      <c r="J26" s="80" t="s">
        <v>27</v>
      </c>
      <c r="K26" s="80" t="s">
        <v>112</v>
      </c>
      <c r="L26" s="80">
        <v>1</v>
      </c>
      <c r="N26" s="80">
        <v>8</v>
      </c>
      <c r="O26" s="80">
        <v>0.6</v>
      </c>
      <c r="P26" s="80">
        <v>0.55000000000000004</v>
      </c>
      <c r="Q26" s="44">
        <f t="shared" si="0"/>
        <v>0.57499999999999996</v>
      </c>
      <c r="R26" s="80">
        <v>16.100000000000001</v>
      </c>
      <c r="S26" s="80">
        <v>101</v>
      </c>
      <c r="T26" s="16">
        <f t="shared" si="1"/>
        <v>33</v>
      </c>
      <c r="U26" s="80">
        <v>598</v>
      </c>
      <c r="V26" s="16">
        <f t="shared" si="2"/>
        <v>2466.75</v>
      </c>
      <c r="W26" s="80">
        <v>10</v>
      </c>
      <c r="X26" s="80" t="s">
        <v>35</v>
      </c>
      <c r="Y26" s="80" t="s">
        <v>82</v>
      </c>
      <c r="Z26" s="80" t="s">
        <v>47</v>
      </c>
      <c r="AA26" s="80" t="s">
        <v>43</v>
      </c>
      <c r="AB26" s="80" t="s">
        <v>161</v>
      </c>
      <c r="AP26" s="27" t="s">
        <v>157</v>
      </c>
      <c r="AR26" s="28"/>
    </row>
    <row r="27" spans="1:48" x14ac:dyDescent="0.15">
      <c r="A27" s="80" t="s">
        <v>23</v>
      </c>
      <c r="B27" s="80" t="s">
        <v>160</v>
      </c>
      <c r="C27" s="80">
        <v>2020</v>
      </c>
      <c r="D27" s="122" t="s">
        <v>247</v>
      </c>
      <c r="E27" s="80" t="s">
        <v>269</v>
      </c>
      <c r="F27" s="80" t="s">
        <v>270</v>
      </c>
      <c r="G27" s="80" t="s">
        <v>25</v>
      </c>
      <c r="H27" s="80" t="s">
        <v>167</v>
      </c>
      <c r="I27" s="80" t="s">
        <v>111</v>
      </c>
      <c r="J27" s="80" t="s">
        <v>27</v>
      </c>
      <c r="K27" s="80" t="s">
        <v>112</v>
      </c>
      <c r="L27" s="80">
        <v>2</v>
      </c>
      <c r="N27" s="80">
        <v>8</v>
      </c>
      <c r="O27" s="80">
        <v>0.2</v>
      </c>
      <c r="P27" s="80">
        <v>0.2</v>
      </c>
      <c r="Q27" s="44">
        <f t="shared" si="0"/>
        <v>0.2</v>
      </c>
      <c r="R27" s="80">
        <v>17.3</v>
      </c>
      <c r="S27" s="80">
        <v>95.5</v>
      </c>
      <c r="T27" s="16">
        <f t="shared" si="1"/>
        <v>36</v>
      </c>
      <c r="U27" s="80">
        <v>598</v>
      </c>
      <c r="V27" s="16">
        <f t="shared" si="2"/>
        <v>2691</v>
      </c>
      <c r="W27" s="80">
        <v>10</v>
      </c>
      <c r="X27" s="80" t="s">
        <v>35</v>
      </c>
      <c r="Y27" s="80" t="s">
        <v>82</v>
      </c>
      <c r="Z27" s="80" t="s">
        <v>47</v>
      </c>
      <c r="AA27" s="80" t="s">
        <v>43</v>
      </c>
      <c r="AB27" s="80" t="s">
        <v>161</v>
      </c>
      <c r="AP27" s="80" t="s">
        <v>424</v>
      </c>
    </row>
    <row r="28" spans="1:48" x14ac:dyDescent="0.15">
      <c r="A28" s="80" t="s">
        <v>23</v>
      </c>
      <c r="B28" s="80" t="s">
        <v>160</v>
      </c>
      <c r="C28" s="80">
        <v>2020</v>
      </c>
      <c r="D28" s="122" t="s">
        <v>247</v>
      </c>
      <c r="E28" s="80" t="s">
        <v>269</v>
      </c>
      <c r="F28" s="80" t="s">
        <v>270</v>
      </c>
      <c r="G28" s="80" t="s">
        <v>25</v>
      </c>
      <c r="H28" s="80" t="s">
        <v>167</v>
      </c>
      <c r="I28" s="80" t="s">
        <v>111</v>
      </c>
      <c r="J28" s="80" t="s">
        <v>27</v>
      </c>
      <c r="K28" s="80" t="s">
        <v>112</v>
      </c>
      <c r="L28" s="80">
        <v>3</v>
      </c>
      <c r="N28" s="80">
        <v>8</v>
      </c>
      <c r="O28" s="80">
        <v>0.65</v>
      </c>
      <c r="P28" s="80">
        <v>0.5</v>
      </c>
      <c r="Q28" s="44">
        <f t="shared" si="0"/>
        <v>0.57499999999999996</v>
      </c>
      <c r="R28" s="80">
        <v>15.9</v>
      </c>
      <c r="S28" s="80">
        <v>93</v>
      </c>
      <c r="T28" s="16">
        <f t="shared" si="1"/>
        <v>36</v>
      </c>
      <c r="U28" s="80">
        <v>598</v>
      </c>
      <c r="V28" s="16">
        <f t="shared" si="2"/>
        <v>2691</v>
      </c>
      <c r="W28" s="80">
        <v>10</v>
      </c>
      <c r="X28" s="80" t="s">
        <v>35</v>
      </c>
      <c r="Y28" s="80" t="s">
        <v>82</v>
      </c>
      <c r="Z28" s="80" t="s">
        <v>47</v>
      </c>
      <c r="AA28" s="80" t="s">
        <v>43</v>
      </c>
      <c r="AB28" s="80" t="s">
        <v>161</v>
      </c>
    </row>
    <row r="29" spans="1:48" x14ac:dyDescent="0.15">
      <c r="A29" s="80" t="s">
        <v>23</v>
      </c>
      <c r="B29" s="80" t="s">
        <v>160</v>
      </c>
      <c r="C29" s="80">
        <v>2020</v>
      </c>
      <c r="D29" s="122" t="s">
        <v>247</v>
      </c>
      <c r="E29" s="80" t="s">
        <v>169</v>
      </c>
      <c r="F29" s="80" t="s">
        <v>254</v>
      </c>
      <c r="G29" s="80" t="s">
        <v>25</v>
      </c>
      <c r="H29" s="80" t="s">
        <v>113</v>
      </c>
      <c r="I29" s="80" t="s">
        <v>111</v>
      </c>
      <c r="J29" s="80" t="s">
        <v>27</v>
      </c>
      <c r="K29" s="80" t="s">
        <v>112</v>
      </c>
      <c r="L29" s="80">
        <v>1</v>
      </c>
      <c r="N29" s="80">
        <v>1</v>
      </c>
      <c r="O29" s="80">
        <v>0.2</v>
      </c>
      <c r="P29" s="80">
        <v>0.45</v>
      </c>
      <c r="Q29" s="44">
        <f t="shared" si="0"/>
        <v>0.32500000000000001</v>
      </c>
      <c r="R29" s="80">
        <v>16.600000000000001</v>
      </c>
      <c r="S29" s="80">
        <v>119.5</v>
      </c>
      <c r="T29" s="16">
        <f t="shared" si="1"/>
        <v>30</v>
      </c>
      <c r="U29" s="80">
        <v>98</v>
      </c>
      <c r="V29" s="16">
        <f t="shared" si="2"/>
        <v>2940</v>
      </c>
      <c r="W29" s="80">
        <v>9</v>
      </c>
      <c r="X29" s="80" t="s">
        <v>35</v>
      </c>
      <c r="Y29" s="80" t="s">
        <v>86</v>
      </c>
      <c r="Z29" s="80" t="s">
        <v>55</v>
      </c>
      <c r="AA29" s="80" t="s">
        <v>43</v>
      </c>
      <c r="AB29" s="80" t="s">
        <v>161</v>
      </c>
    </row>
    <row r="30" spans="1:48" x14ac:dyDescent="0.15">
      <c r="A30" s="80" t="s">
        <v>23</v>
      </c>
      <c r="B30" s="80" t="s">
        <v>160</v>
      </c>
      <c r="C30" s="80">
        <v>2020</v>
      </c>
      <c r="D30" s="122" t="s">
        <v>247</v>
      </c>
      <c r="E30" s="80" t="s">
        <v>169</v>
      </c>
      <c r="F30" s="80" t="s">
        <v>254</v>
      </c>
      <c r="G30" s="80" t="s">
        <v>25</v>
      </c>
      <c r="H30" s="80" t="s">
        <v>113</v>
      </c>
      <c r="I30" s="80" t="s">
        <v>111</v>
      </c>
      <c r="J30" s="80" t="s">
        <v>27</v>
      </c>
      <c r="K30" s="80" t="s">
        <v>112</v>
      </c>
      <c r="L30" s="80">
        <v>2</v>
      </c>
      <c r="N30" s="80">
        <v>1</v>
      </c>
      <c r="O30" s="80">
        <v>0.45</v>
      </c>
      <c r="P30" s="80">
        <v>0.5</v>
      </c>
      <c r="Q30" s="44">
        <f t="shared" si="0"/>
        <v>0.47499999999999998</v>
      </c>
      <c r="R30" s="80">
        <v>16.399999999999999</v>
      </c>
      <c r="S30" s="80">
        <v>122</v>
      </c>
      <c r="T30" s="16">
        <f t="shared" si="1"/>
        <v>30</v>
      </c>
      <c r="U30" s="80">
        <v>98</v>
      </c>
      <c r="V30" s="16">
        <f t="shared" si="2"/>
        <v>2940</v>
      </c>
      <c r="W30" s="80">
        <v>9</v>
      </c>
      <c r="X30" s="80" t="s">
        <v>35</v>
      </c>
      <c r="Y30" s="80" t="s">
        <v>86</v>
      </c>
      <c r="Z30" s="80" t="s">
        <v>55</v>
      </c>
      <c r="AA30" s="80" t="s">
        <v>43</v>
      </c>
      <c r="AB30" s="80" t="s">
        <v>161</v>
      </c>
    </row>
    <row r="31" spans="1:48" x14ac:dyDescent="0.15">
      <c r="A31" s="80" t="s">
        <v>23</v>
      </c>
      <c r="B31" s="80" t="s">
        <v>160</v>
      </c>
      <c r="C31" s="80">
        <v>2020</v>
      </c>
      <c r="D31" s="122" t="s">
        <v>247</v>
      </c>
      <c r="E31" s="80" t="s">
        <v>169</v>
      </c>
      <c r="F31" s="80" t="s">
        <v>254</v>
      </c>
      <c r="G31" s="80" t="s">
        <v>25</v>
      </c>
      <c r="H31" s="80" t="s">
        <v>113</v>
      </c>
      <c r="I31" s="80" t="s">
        <v>111</v>
      </c>
      <c r="J31" s="80" t="s">
        <v>27</v>
      </c>
      <c r="K31" s="80" t="s">
        <v>112</v>
      </c>
      <c r="L31" s="80">
        <v>3</v>
      </c>
      <c r="N31" s="80">
        <v>1</v>
      </c>
      <c r="O31" s="80">
        <v>0.45</v>
      </c>
      <c r="P31" s="80">
        <v>0.5</v>
      </c>
      <c r="Q31" s="44">
        <f t="shared" si="0"/>
        <v>0.47499999999999998</v>
      </c>
      <c r="R31" s="80">
        <v>16.399999999999999</v>
      </c>
      <c r="S31" s="80">
        <v>122</v>
      </c>
      <c r="T31" s="16">
        <f t="shared" si="1"/>
        <v>30</v>
      </c>
      <c r="U31" s="80">
        <v>98</v>
      </c>
      <c r="V31" s="16">
        <f t="shared" si="2"/>
        <v>2940</v>
      </c>
      <c r="W31" s="80">
        <v>9</v>
      </c>
      <c r="X31" s="80" t="s">
        <v>35</v>
      </c>
      <c r="Y31" s="80" t="s">
        <v>86</v>
      </c>
      <c r="Z31" s="80" t="s">
        <v>55</v>
      </c>
      <c r="AA31" s="80" t="s">
        <v>43</v>
      </c>
      <c r="AB31" s="80" t="s">
        <v>161</v>
      </c>
    </row>
    <row r="32" spans="1:48" x14ac:dyDescent="0.15">
      <c r="A32" s="80" t="s">
        <v>23</v>
      </c>
      <c r="B32" s="80" t="s">
        <v>160</v>
      </c>
      <c r="C32" s="80">
        <v>2020</v>
      </c>
      <c r="D32" s="122" t="s">
        <v>247</v>
      </c>
      <c r="E32" s="80" t="s">
        <v>169</v>
      </c>
      <c r="F32" s="80" t="s">
        <v>254</v>
      </c>
      <c r="G32" s="80" t="s">
        <v>25</v>
      </c>
      <c r="H32" s="80" t="s">
        <v>113</v>
      </c>
      <c r="I32" s="80" t="s">
        <v>111</v>
      </c>
      <c r="J32" s="80" t="s">
        <v>27</v>
      </c>
      <c r="K32" s="80" t="s">
        <v>112</v>
      </c>
      <c r="L32" s="80">
        <v>1</v>
      </c>
      <c r="N32" s="80">
        <v>4</v>
      </c>
      <c r="O32" s="80">
        <v>0.2</v>
      </c>
      <c r="P32" s="80">
        <v>0.2</v>
      </c>
      <c r="Q32" s="44">
        <f t="shared" si="0"/>
        <v>0.2</v>
      </c>
      <c r="R32" s="80">
        <v>16</v>
      </c>
      <c r="S32" s="80">
        <v>89</v>
      </c>
      <c r="T32" s="16">
        <f t="shared" si="1"/>
        <v>36</v>
      </c>
      <c r="U32" s="80">
        <v>358</v>
      </c>
      <c r="V32" s="16">
        <f t="shared" si="2"/>
        <v>3222</v>
      </c>
      <c r="W32" s="80">
        <v>9</v>
      </c>
      <c r="X32" s="80" t="s">
        <v>35</v>
      </c>
      <c r="Y32" s="80" t="s">
        <v>86</v>
      </c>
      <c r="Z32" s="80" t="s">
        <v>55</v>
      </c>
      <c r="AA32" s="80" t="s">
        <v>43</v>
      </c>
      <c r="AB32" s="80" t="s">
        <v>161</v>
      </c>
    </row>
    <row r="33" spans="1:28" x14ac:dyDescent="0.15">
      <c r="A33" s="80" t="s">
        <v>23</v>
      </c>
      <c r="B33" s="80" t="s">
        <v>160</v>
      </c>
      <c r="C33" s="80">
        <v>2020</v>
      </c>
      <c r="D33" s="122" t="s">
        <v>247</v>
      </c>
      <c r="E33" s="80" t="s">
        <v>169</v>
      </c>
      <c r="F33" s="80" t="s">
        <v>254</v>
      </c>
      <c r="G33" s="80" t="s">
        <v>25</v>
      </c>
      <c r="H33" s="80" t="s">
        <v>113</v>
      </c>
      <c r="I33" s="80" t="s">
        <v>111</v>
      </c>
      <c r="J33" s="80" t="s">
        <v>27</v>
      </c>
      <c r="K33" s="80" t="s">
        <v>112</v>
      </c>
      <c r="L33" s="80">
        <v>2</v>
      </c>
      <c r="N33" s="80">
        <v>4</v>
      </c>
      <c r="O33" s="80">
        <v>0.2</v>
      </c>
      <c r="P33" s="80">
        <v>0.2</v>
      </c>
      <c r="Q33" s="44">
        <f t="shared" si="0"/>
        <v>0.2</v>
      </c>
      <c r="R33" s="80">
        <v>15.7</v>
      </c>
      <c r="S33" s="80">
        <v>86</v>
      </c>
      <c r="T33" s="16">
        <f t="shared" si="1"/>
        <v>36</v>
      </c>
      <c r="U33" s="80">
        <v>358</v>
      </c>
      <c r="V33" s="16">
        <f t="shared" si="2"/>
        <v>3222</v>
      </c>
      <c r="W33" s="80">
        <v>9</v>
      </c>
      <c r="X33" s="80" t="s">
        <v>35</v>
      </c>
      <c r="Y33" s="80" t="s">
        <v>86</v>
      </c>
      <c r="Z33" s="80" t="s">
        <v>55</v>
      </c>
      <c r="AA33" s="80" t="s">
        <v>43</v>
      </c>
      <c r="AB33" s="80" t="s">
        <v>161</v>
      </c>
    </row>
    <row r="34" spans="1:28" x14ac:dyDescent="0.15">
      <c r="A34" s="80" t="s">
        <v>23</v>
      </c>
      <c r="B34" s="80" t="s">
        <v>160</v>
      </c>
      <c r="C34" s="80">
        <v>2020</v>
      </c>
      <c r="D34" s="122" t="s">
        <v>247</v>
      </c>
      <c r="E34" s="80" t="s">
        <v>169</v>
      </c>
      <c r="F34" s="80" t="s">
        <v>254</v>
      </c>
      <c r="G34" s="80" t="s">
        <v>25</v>
      </c>
      <c r="H34" s="80" t="s">
        <v>113</v>
      </c>
      <c r="I34" s="80" t="s">
        <v>111</v>
      </c>
      <c r="J34" s="80" t="s">
        <v>27</v>
      </c>
      <c r="K34" s="80" t="s">
        <v>112</v>
      </c>
      <c r="L34" s="80">
        <v>3</v>
      </c>
      <c r="N34" s="80">
        <v>4</v>
      </c>
      <c r="O34" s="80">
        <v>0.2</v>
      </c>
      <c r="P34" s="80">
        <v>0.2</v>
      </c>
      <c r="Q34" s="44">
        <f t="shared" si="0"/>
        <v>0.2</v>
      </c>
      <c r="R34" s="80">
        <v>15.6</v>
      </c>
      <c r="S34" s="80">
        <v>83</v>
      </c>
      <c r="T34" s="16">
        <f t="shared" si="1"/>
        <v>39</v>
      </c>
      <c r="U34" s="80">
        <v>358</v>
      </c>
      <c r="V34" s="16">
        <f t="shared" si="2"/>
        <v>3490.5</v>
      </c>
      <c r="W34" s="80">
        <v>9</v>
      </c>
      <c r="X34" s="80" t="s">
        <v>35</v>
      </c>
      <c r="Y34" s="80" t="s">
        <v>86</v>
      </c>
      <c r="Z34" s="80" t="s">
        <v>55</v>
      </c>
      <c r="AA34" s="80" t="s">
        <v>43</v>
      </c>
      <c r="AB34" s="80" t="s">
        <v>161</v>
      </c>
    </row>
    <row r="35" spans="1:28" x14ac:dyDescent="0.15">
      <c r="A35" s="80" t="s">
        <v>23</v>
      </c>
      <c r="B35" s="80" t="s">
        <v>160</v>
      </c>
      <c r="C35" s="80">
        <v>2020</v>
      </c>
      <c r="D35" s="122" t="s">
        <v>247</v>
      </c>
      <c r="E35" s="80" t="s">
        <v>169</v>
      </c>
      <c r="F35" s="80" t="s">
        <v>254</v>
      </c>
      <c r="G35" s="80" t="s">
        <v>25</v>
      </c>
      <c r="H35" s="80" t="s">
        <v>113</v>
      </c>
      <c r="I35" s="80" t="s">
        <v>172</v>
      </c>
      <c r="J35" s="80" t="s">
        <v>27</v>
      </c>
      <c r="K35" s="80" t="s">
        <v>112</v>
      </c>
      <c r="L35" s="80">
        <v>1</v>
      </c>
      <c r="N35" s="80">
        <v>4</v>
      </c>
      <c r="O35" s="80">
        <v>0.2</v>
      </c>
      <c r="P35" s="80">
        <v>0.2</v>
      </c>
      <c r="Q35" s="44">
        <f t="shared" si="0"/>
        <v>0.2</v>
      </c>
      <c r="R35" s="80">
        <v>15.5</v>
      </c>
      <c r="S35" s="80">
        <v>85.5</v>
      </c>
      <c r="T35" s="16">
        <f t="shared" si="1"/>
        <v>36</v>
      </c>
      <c r="U35" s="80">
        <v>398</v>
      </c>
      <c r="V35" s="16">
        <f t="shared" si="2"/>
        <v>3582</v>
      </c>
      <c r="W35" s="80">
        <v>9</v>
      </c>
      <c r="X35" s="80" t="s">
        <v>35</v>
      </c>
      <c r="Y35" s="80" t="s">
        <v>86</v>
      </c>
      <c r="Z35" s="80" t="s">
        <v>55</v>
      </c>
      <c r="AA35" s="80" t="s">
        <v>43</v>
      </c>
      <c r="AB35" s="80" t="s">
        <v>161</v>
      </c>
    </row>
    <row r="36" spans="1:28" x14ac:dyDescent="0.15">
      <c r="A36" s="80" t="s">
        <v>23</v>
      </c>
      <c r="B36" s="80" t="s">
        <v>160</v>
      </c>
      <c r="C36" s="80">
        <v>2020</v>
      </c>
      <c r="D36" s="122" t="s">
        <v>247</v>
      </c>
      <c r="E36" s="80" t="s">
        <v>169</v>
      </c>
      <c r="F36" s="80" t="s">
        <v>254</v>
      </c>
      <c r="G36" s="80" t="s">
        <v>25</v>
      </c>
      <c r="H36" s="80" t="s">
        <v>113</v>
      </c>
      <c r="I36" s="80" t="s">
        <v>172</v>
      </c>
      <c r="J36" s="80" t="s">
        <v>27</v>
      </c>
      <c r="K36" s="80" t="s">
        <v>112</v>
      </c>
      <c r="L36" s="80">
        <v>2</v>
      </c>
      <c r="N36" s="80">
        <v>4</v>
      </c>
      <c r="O36" s="80">
        <v>0.45</v>
      </c>
      <c r="P36" s="80">
        <v>0.45</v>
      </c>
      <c r="Q36" s="44">
        <f t="shared" si="0"/>
        <v>0.45</v>
      </c>
      <c r="R36" s="80">
        <v>15.4</v>
      </c>
      <c r="S36" s="80">
        <v>82</v>
      </c>
      <c r="T36" s="16">
        <f t="shared" si="1"/>
        <v>39</v>
      </c>
      <c r="U36" s="80">
        <v>398</v>
      </c>
      <c r="V36" s="16">
        <f t="shared" si="2"/>
        <v>3880.5</v>
      </c>
      <c r="W36" s="80">
        <v>9</v>
      </c>
      <c r="X36" s="80" t="s">
        <v>35</v>
      </c>
      <c r="Y36" s="80" t="s">
        <v>86</v>
      </c>
      <c r="Z36" s="80" t="s">
        <v>55</v>
      </c>
      <c r="AA36" s="80" t="s">
        <v>43</v>
      </c>
      <c r="AB36" s="80" t="s">
        <v>161</v>
      </c>
    </row>
    <row r="37" spans="1:28" x14ac:dyDescent="0.15">
      <c r="A37" s="80" t="s">
        <v>23</v>
      </c>
      <c r="B37" s="80" t="s">
        <v>160</v>
      </c>
      <c r="C37" s="80">
        <v>2020</v>
      </c>
      <c r="D37" s="122" t="s">
        <v>247</v>
      </c>
      <c r="E37" s="80" t="s">
        <v>169</v>
      </c>
      <c r="F37" s="80" t="s">
        <v>254</v>
      </c>
      <c r="G37" s="80" t="s">
        <v>25</v>
      </c>
      <c r="H37" s="80" t="s">
        <v>113</v>
      </c>
      <c r="I37" s="80" t="s">
        <v>172</v>
      </c>
      <c r="J37" s="80" t="s">
        <v>27</v>
      </c>
      <c r="K37" s="80" t="s">
        <v>112</v>
      </c>
      <c r="L37" s="80">
        <v>3</v>
      </c>
      <c r="N37" s="80">
        <v>4</v>
      </c>
      <c r="O37" s="80">
        <v>0.45</v>
      </c>
      <c r="P37" s="80">
        <v>0.5</v>
      </c>
      <c r="Q37" s="44">
        <f t="shared" si="0"/>
        <v>0.47499999999999998</v>
      </c>
      <c r="R37" s="80">
        <v>15.2</v>
      </c>
      <c r="S37" s="80">
        <v>83.5</v>
      </c>
      <c r="T37" s="16">
        <f t="shared" si="1"/>
        <v>39</v>
      </c>
      <c r="U37" s="80">
        <v>398</v>
      </c>
      <c r="V37" s="16">
        <f t="shared" si="2"/>
        <v>3880.5</v>
      </c>
      <c r="W37" s="80">
        <v>9</v>
      </c>
      <c r="X37" s="80" t="s">
        <v>35</v>
      </c>
      <c r="Y37" s="80" t="s">
        <v>86</v>
      </c>
      <c r="Z37" s="80" t="s">
        <v>55</v>
      </c>
      <c r="AA37" s="80" t="s">
        <v>43</v>
      </c>
      <c r="AB37" s="80" t="s">
        <v>161</v>
      </c>
    </row>
    <row r="38" spans="1:28" x14ac:dyDescent="0.15">
      <c r="A38" s="80" t="s">
        <v>23</v>
      </c>
      <c r="B38" s="80" t="s">
        <v>160</v>
      </c>
      <c r="C38" s="80">
        <v>2020</v>
      </c>
      <c r="D38" s="122" t="s">
        <v>247</v>
      </c>
      <c r="E38" s="80" t="s">
        <v>169</v>
      </c>
      <c r="F38" s="80" t="s">
        <v>254</v>
      </c>
      <c r="G38" s="80" t="s">
        <v>25</v>
      </c>
      <c r="H38" s="80" t="s">
        <v>167</v>
      </c>
      <c r="I38" s="80" t="s">
        <v>172</v>
      </c>
      <c r="J38" s="80" t="s">
        <v>27</v>
      </c>
      <c r="K38" s="80" t="s">
        <v>112</v>
      </c>
      <c r="L38" s="80">
        <v>1</v>
      </c>
      <c r="N38" s="80">
        <v>4</v>
      </c>
      <c r="O38" s="80">
        <v>0.2</v>
      </c>
      <c r="P38" s="80">
        <v>0.2</v>
      </c>
      <c r="Q38" s="44">
        <f t="shared" ref="Q38:Q39" si="4">IF(OR(O38="",P38=""),"",AVERAGE(O38,P38))</f>
        <v>0.2</v>
      </c>
      <c r="R38" s="80">
        <v>17.899999999999999</v>
      </c>
      <c r="S38" s="80">
        <v>98.5</v>
      </c>
      <c r="T38" s="16">
        <f t="shared" si="1"/>
        <v>36</v>
      </c>
      <c r="U38" s="80">
        <v>580</v>
      </c>
      <c r="V38" s="16">
        <f t="shared" si="2"/>
        <v>5220</v>
      </c>
      <c r="W38" s="80">
        <v>9</v>
      </c>
      <c r="X38" s="80" t="s">
        <v>35</v>
      </c>
      <c r="Y38" s="80" t="s">
        <v>86</v>
      </c>
      <c r="Z38" s="80" t="s">
        <v>55</v>
      </c>
      <c r="AA38" s="80" t="s">
        <v>43</v>
      </c>
      <c r="AB38" s="80" t="s">
        <v>161</v>
      </c>
    </row>
    <row r="39" spans="1:28" x14ac:dyDescent="0.15">
      <c r="A39" s="80" t="s">
        <v>23</v>
      </c>
      <c r="B39" s="80" t="s">
        <v>160</v>
      </c>
      <c r="C39" s="80">
        <v>2020</v>
      </c>
      <c r="D39" s="122" t="s">
        <v>247</v>
      </c>
      <c r="E39" s="80" t="s">
        <v>169</v>
      </c>
      <c r="F39" s="80" t="s">
        <v>254</v>
      </c>
      <c r="G39" s="80" t="s">
        <v>25</v>
      </c>
      <c r="H39" s="80" t="s">
        <v>167</v>
      </c>
      <c r="I39" s="80" t="s">
        <v>172</v>
      </c>
      <c r="J39" s="80" t="s">
        <v>27</v>
      </c>
      <c r="K39" s="80" t="s">
        <v>112</v>
      </c>
      <c r="L39" s="80">
        <v>2</v>
      </c>
      <c r="N39" s="80">
        <v>4</v>
      </c>
      <c r="O39" s="80">
        <v>0.2</v>
      </c>
      <c r="P39" s="80">
        <v>0.2</v>
      </c>
      <c r="Q39" s="44">
        <f t="shared" si="4"/>
        <v>0.2</v>
      </c>
      <c r="R39" s="80">
        <v>16.899999999999999</v>
      </c>
      <c r="S39" s="80">
        <v>102</v>
      </c>
      <c r="T39" s="16">
        <f t="shared" si="1"/>
        <v>33</v>
      </c>
      <c r="U39" s="80">
        <v>580</v>
      </c>
      <c r="V39" s="16">
        <f t="shared" si="2"/>
        <v>4785</v>
      </c>
      <c r="W39" s="80">
        <v>9</v>
      </c>
      <c r="X39" s="80" t="s">
        <v>35</v>
      </c>
      <c r="Y39" s="80" t="s">
        <v>86</v>
      </c>
      <c r="Z39" s="80" t="s">
        <v>55</v>
      </c>
      <c r="AA39" s="80" t="s">
        <v>43</v>
      </c>
      <c r="AB39" s="80" t="s">
        <v>161</v>
      </c>
    </row>
    <row r="40" spans="1:28" x14ac:dyDescent="0.15">
      <c r="A40" s="80" t="s">
        <v>23</v>
      </c>
      <c r="B40" s="80" t="s">
        <v>160</v>
      </c>
      <c r="C40" s="80">
        <v>2020</v>
      </c>
      <c r="D40" s="122" t="s">
        <v>247</v>
      </c>
      <c r="E40" s="80" t="s">
        <v>169</v>
      </c>
      <c r="F40" s="80" t="s">
        <v>254</v>
      </c>
      <c r="G40" s="80" t="s">
        <v>25</v>
      </c>
      <c r="H40" s="80" t="s">
        <v>167</v>
      </c>
      <c r="I40" s="80" t="s">
        <v>172</v>
      </c>
      <c r="J40" s="80" t="s">
        <v>27</v>
      </c>
      <c r="K40" s="80" t="s">
        <v>112</v>
      </c>
      <c r="L40" s="80">
        <v>3</v>
      </c>
      <c r="N40" s="80">
        <v>4</v>
      </c>
      <c r="O40" s="80">
        <v>0.2</v>
      </c>
      <c r="P40" s="80">
        <v>0.2</v>
      </c>
      <c r="Q40" s="44">
        <f>IF(OR(O40="",P40=""),"",AVERAGE(O40,P40))</f>
        <v>0.2</v>
      </c>
      <c r="R40" s="80">
        <v>18.2</v>
      </c>
      <c r="S40" s="80">
        <v>95</v>
      </c>
      <c r="T40" s="16">
        <f t="shared" si="1"/>
        <v>36</v>
      </c>
      <c r="U40" s="80">
        <v>580</v>
      </c>
      <c r="V40" s="16">
        <f t="shared" si="2"/>
        <v>5220</v>
      </c>
      <c r="W40" s="80">
        <v>9</v>
      </c>
      <c r="X40" s="80" t="s">
        <v>35</v>
      </c>
      <c r="Y40" s="80" t="s">
        <v>86</v>
      </c>
      <c r="Z40" s="80" t="s">
        <v>55</v>
      </c>
      <c r="AA40" s="80" t="s">
        <v>43</v>
      </c>
      <c r="AB40" s="80" t="s">
        <v>161</v>
      </c>
    </row>
    <row r="41" spans="1:28" x14ac:dyDescent="0.15">
      <c r="A41" s="80" t="s">
        <v>23</v>
      </c>
      <c r="B41" s="80" t="s">
        <v>160</v>
      </c>
      <c r="C41" s="80">
        <v>2020</v>
      </c>
      <c r="D41" s="122" t="s">
        <v>247</v>
      </c>
      <c r="E41" s="80" t="s">
        <v>169</v>
      </c>
      <c r="F41" s="80" t="s">
        <v>254</v>
      </c>
      <c r="G41" s="80" t="s">
        <v>25</v>
      </c>
      <c r="H41" s="80" t="s">
        <v>167</v>
      </c>
      <c r="I41" s="80" t="s">
        <v>111</v>
      </c>
      <c r="J41" s="80" t="s">
        <v>27</v>
      </c>
      <c r="K41" s="80" t="s">
        <v>112</v>
      </c>
      <c r="L41" s="80">
        <v>1</v>
      </c>
      <c r="N41" s="80">
        <v>4</v>
      </c>
      <c r="O41" s="80">
        <v>0.2</v>
      </c>
      <c r="P41" s="80">
        <v>0.45</v>
      </c>
      <c r="Q41" s="44">
        <f t="shared" si="0"/>
        <v>0.32500000000000001</v>
      </c>
      <c r="R41" s="80">
        <v>16.7</v>
      </c>
      <c r="S41" s="80">
        <v>110.5</v>
      </c>
      <c r="T41" s="16">
        <f t="shared" si="1"/>
        <v>33</v>
      </c>
      <c r="U41" s="80">
        <v>498</v>
      </c>
      <c r="V41" s="16">
        <f t="shared" si="2"/>
        <v>4108.5</v>
      </c>
      <c r="W41" s="80">
        <v>9</v>
      </c>
      <c r="X41" s="80" t="s">
        <v>35</v>
      </c>
      <c r="Y41" s="80" t="s">
        <v>86</v>
      </c>
      <c r="Z41" s="80" t="s">
        <v>55</v>
      </c>
      <c r="AA41" s="80" t="s">
        <v>43</v>
      </c>
      <c r="AB41" s="80" t="s">
        <v>161</v>
      </c>
    </row>
    <row r="42" spans="1:28" x14ac:dyDescent="0.15">
      <c r="A42" s="80" t="s">
        <v>23</v>
      </c>
      <c r="B42" s="80" t="s">
        <v>160</v>
      </c>
      <c r="C42" s="80">
        <v>2020</v>
      </c>
      <c r="D42" s="122" t="s">
        <v>247</v>
      </c>
      <c r="E42" s="80" t="s">
        <v>169</v>
      </c>
      <c r="F42" s="80" t="s">
        <v>254</v>
      </c>
      <c r="G42" s="80" t="s">
        <v>25</v>
      </c>
      <c r="H42" s="80" t="s">
        <v>167</v>
      </c>
      <c r="I42" s="80" t="s">
        <v>111</v>
      </c>
      <c r="J42" s="80" t="s">
        <v>27</v>
      </c>
      <c r="K42" s="80" t="s">
        <v>112</v>
      </c>
      <c r="L42" s="80">
        <v>2</v>
      </c>
      <c r="N42" s="80">
        <v>4</v>
      </c>
      <c r="O42" s="80">
        <v>0.2</v>
      </c>
      <c r="P42" s="80">
        <v>0.2</v>
      </c>
      <c r="Q42" s="44">
        <f t="shared" si="0"/>
        <v>0.2</v>
      </c>
      <c r="R42" s="80">
        <v>15.8</v>
      </c>
      <c r="S42" s="80">
        <v>111</v>
      </c>
      <c r="T42" s="16">
        <f t="shared" si="1"/>
        <v>33</v>
      </c>
      <c r="U42" s="80">
        <v>498</v>
      </c>
      <c r="V42" s="16">
        <f t="shared" si="2"/>
        <v>4108.5</v>
      </c>
      <c r="W42" s="80">
        <v>9</v>
      </c>
      <c r="X42" s="80" t="s">
        <v>35</v>
      </c>
      <c r="Y42" s="80" t="s">
        <v>86</v>
      </c>
      <c r="Z42" s="80" t="s">
        <v>55</v>
      </c>
      <c r="AA42" s="80" t="s">
        <v>43</v>
      </c>
      <c r="AB42" s="80" t="s">
        <v>161</v>
      </c>
    </row>
    <row r="43" spans="1:28" x14ac:dyDescent="0.15">
      <c r="A43" s="80" t="s">
        <v>23</v>
      </c>
      <c r="B43" s="80" t="s">
        <v>160</v>
      </c>
      <c r="C43" s="80">
        <v>2020</v>
      </c>
      <c r="D43" s="122" t="s">
        <v>247</v>
      </c>
      <c r="E43" s="80" t="s">
        <v>169</v>
      </c>
      <c r="F43" s="80" t="s">
        <v>254</v>
      </c>
      <c r="G43" s="80" t="s">
        <v>25</v>
      </c>
      <c r="H43" s="80" t="s">
        <v>167</v>
      </c>
      <c r="I43" s="80" t="s">
        <v>111</v>
      </c>
      <c r="J43" s="80" t="s">
        <v>27</v>
      </c>
      <c r="K43" s="80" t="s">
        <v>112</v>
      </c>
      <c r="L43" s="80">
        <v>3</v>
      </c>
      <c r="N43" s="80">
        <v>4</v>
      </c>
      <c r="O43" s="80">
        <v>0.2</v>
      </c>
      <c r="P43" s="80">
        <v>0.2</v>
      </c>
      <c r="Q43" s="44">
        <f t="shared" si="0"/>
        <v>0.2</v>
      </c>
      <c r="R43" s="80">
        <v>16.3</v>
      </c>
      <c r="S43" s="80">
        <v>109</v>
      </c>
      <c r="T43" s="16">
        <f t="shared" si="1"/>
        <v>33</v>
      </c>
      <c r="U43" s="80">
        <v>498</v>
      </c>
      <c r="V43" s="16">
        <f t="shared" si="2"/>
        <v>4108.5</v>
      </c>
      <c r="W43" s="80">
        <v>9</v>
      </c>
      <c r="X43" s="80" t="s">
        <v>35</v>
      </c>
      <c r="Y43" s="80" t="s">
        <v>86</v>
      </c>
      <c r="Z43" s="80" t="s">
        <v>55</v>
      </c>
      <c r="AA43" s="80" t="s">
        <v>43</v>
      </c>
      <c r="AB43" s="80" t="s">
        <v>161</v>
      </c>
    </row>
    <row r="44" spans="1:28" x14ac:dyDescent="0.15">
      <c r="A44" s="80" t="s">
        <v>23</v>
      </c>
      <c r="B44" s="80" t="s">
        <v>160</v>
      </c>
      <c r="C44" s="80">
        <v>2020</v>
      </c>
      <c r="D44" s="122" t="s">
        <v>247</v>
      </c>
      <c r="E44" s="80" t="s">
        <v>271</v>
      </c>
      <c r="F44" s="80" t="s">
        <v>256</v>
      </c>
      <c r="G44" s="80" t="s">
        <v>31</v>
      </c>
      <c r="H44" s="80" t="s">
        <v>113</v>
      </c>
      <c r="I44" s="80" t="s">
        <v>111</v>
      </c>
      <c r="J44" s="80" t="s">
        <v>27</v>
      </c>
      <c r="K44" s="80" t="s">
        <v>112</v>
      </c>
      <c r="L44" s="80">
        <v>1</v>
      </c>
      <c r="N44" s="80">
        <v>1</v>
      </c>
      <c r="O44" s="80">
        <v>0.2</v>
      </c>
      <c r="P44" s="80">
        <v>0.2</v>
      </c>
      <c r="Q44" s="44">
        <f t="shared" si="0"/>
        <v>0.2</v>
      </c>
      <c r="R44" s="80">
        <v>17.600000000000001</v>
      </c>
      <c r="S44" s="80">
        <v>145</v>
      </c>
      <c r="T44" s="16">
        <f t="shared" si="1"/>
        <v>30</v>
      </c>
      <c r="U44" s="80">
        <v>98</v>
      </c>
      <c r="V44" s="16">
        <f t="shared" si="2"/>
        <v>2940</v>
      </c>
      <c r="W44" s="80">
        <v>3</v>
      </c>
      <c r="X44" s="80" t="s">
        <v>35</v>
      </c>
      <c r="Y44" s="80" t="s">
        <v>86</v>
      </c>
      <c r="Z44" s="80" t="s">
        <v>55</v>
      </c>
      <c r="AA44" s="80" t="s">
        <v>43</v>
      </c>
      <c r="AB44" s="80" t="s">
        <v>161</v>
      </c>
    </row>
    <row r="45" spans="1:28" x14ac:dyDescent="0.15">
      <c r="A45" s="80" t="s">
        <v>23</v>
      </c>
      <c r="B45" s="80" t="s">
        <v>160</v>
      </c>
      <c r="C45" s="80">
        <v>2020</v>
      </c>
      <c r="D45" s="122" t="s">
        <v>247</v>
      </c>
      <c r="E45" s="80" t="s">
        <v>271</v>
      </c>
      <c r="F45" s="80" t="s">
        <v>256</v>
      </c>
      <c r="G45" s="80" t="s">
        <v>31</v>
      </c>
      <c r="H45" s="80" t="s">
        <v>113</v>
      </c>
      <c r="I45" s="80" t="s">
        <v>111</v>
      </c>
      <c r="J45" s="80" t="s">
        <v>27</v>
      </c>
      <c r="K45" s="80" t="s">
        <v>112</v>
      </c>
      <c r="L45" s="80">
        <v>2</v>
      </c>
      <c r="N45" s="80">
        <v>1</v>
      </c>
      <c r="O45" s="80">
        <v>0.2</v>
      </c>
      <c r="P45" s="80">
        <v>0.2</v>
      </c>
      <c r="Q45" s="44">
        <f t="shared" si="0"/>
        <v>0.2</v>
      </c>
      <c r="R45" s="80">
        <v>16.2</v>
      </c>
      <c r="S45" s="80">
        <v>140.5</v>
      </c>
      <c r="T45" s="16">
        <f t="shared" si="1"/>
        <v>30</v>
      </c>
      <c r="U45" s="80">
        <v>98</v>
      </c>
      <c r="V45" s="16">
        <f t="shared" si="2"/>
        <v>2940</v>
      </c>
      <c r="W45" s="80">
        <v>3</v>
      </c>
      <c r="X45" s="80" t="s">
        <v>35</v>
      </c>
      <c r="Y45" s="80" t="s">
        <v>86</v>
      </c>
      <c r="Z45" s="80" t="s">
        <v>55</v>
      </c>
      <c r="AA45" s="80" t="s">
        <v>43</v>
      </c>
      <c r="AB45" s="80" t="s">
        <v>161</v>
      </c>
    </row>
    <row r="46" spans="1:28" x14ac:dyDescent="0.15">
      <c r="A46" s="80" t="s">
        <v>23</v>
      </c>
      <c r="B46" s="80" t="s">
        <v>160</v>
      </c>
      <c r="C46" s="80">
        <v>2020</v>
      </c>
      <c r="D46" s="122" t="s">
        <v>247</v>
      </c>
      <c r="E46" s="80" t="s">
        <v>271</v>
      </c>
      <c r="F46" s="80" t="s">
        <v>256</v>
      </c>
      <c r="G46" s="80" t="s">
        <v>31</v>
      </c>
      <c r="H46" s="80" t="s">
        <v>113</v>
      </c>
      <c r="I46" s="80" t="s">
        <v>111</v>
      </c>
      <c r="J46" s="80" t="s">
        <v>27</v>
      </c>
      <c r="K46" s="80" t="s">
        <v>112</v>
      </c>
      <c r="L46" s="80">
        <v>3</v>
      </c>
      <c r="N46" s="80">
        <v>1</v>
      </c>
      <c r="O46" s="80">
        <v>0.2</v>
      </c>
      <c r="P46" s="80">
        <v>0.2</v>
      </c>
      <c r="Q46" s="44">
        <f t="shared" si="0"/>
        <v>0.2</v>
      </c>
      <c r="R46" s="80">
        <v>16.5</v>
      </c>
      <c r="S46" s="80">
        <v>145.5</v>
      </c>
      <c r="T46" s="16">
        <f t="shared" si="1"/>
        <v>30</v>
      </c>
      <c r="U46" s="80">
        <v>98</v>
      </c>
      <c r="V46" s="16">
        <f t="shared" si="2"/>
        <v>2940</v>
      </c>
      <c r="W46" s="80">
        <v>3</v>
      </c>
      <c r="X46" s="80" t="s">
        <v>35</v>
      </c>
      <c r="Y46" s="80" t="s">
        <v>86</v>
      </c>
      <c r="Z46" s="80" t="s">
        <v>55</v>
      </c>
      <c r="AA46" s="80" t="s">
        <v>43</v>
      </c>
      <c r="AB46" s="80" t="s">
        <v>161</v>
      </c>
    </row>
    <row r="47" spans="1:28" x14ac:dyDescent="0.15">
      <c r="A47" s="80" t="s">
        <v>23</v>
      </c>
      <c r="B47" s="80" t="s">
        <v>160</v>
      </c>
      <c r="C47" s="80">
        <v>2020</v>
      </c>
      <c r="D47" s="122" t="s">
        <v>247</v>
      </c>
      <c r="E47" s="80" t="s">
        <v>271</v>
      </c>
      <c r="F47" s="80" t="s">
        <v>256</v>
      </c>
      <c r="G47" s="80" t="s">
        <v>31</v>
      </c>
      <c r="H47" s="80" t="s">
        <v>167</v>
      </c>
      <c r="I47" s="80" t="s">
        <v>111</v>
      </c>
      <c r="J47" s="80" t="s">
        <v>27</v>
      </c>
      <c r="K47" s="80" t="s">
        <v>112</v>
      </c>
      <c r="L47" s="80">
        <v>1</v>
      </c>
      <c r="N47" s="80">
        <v>1</v>
      </c>
      <c r="O47" s="80">
        <v>0.2</v>
      </c>
      <c r="P47" s="80">
        <v>0.2</v>
      </c>
      <c r="Q47" s="44">
        <f t="shared" si="0"/>
        <v>0.2</v>
      </c>
      <c r="R47" s="80">
        <v>18.7</v>
      </c>
      <c r="S47" s="80">
        <v>130.5</v>
      </c>
      <c r="T47" s="16">
        <f t="shared" si="1"/>
        <v>30</v>
      </c>
      <c r="U47" s="80">
        <v>128</v>
      </c>
      <c r="V47" s="16">
        <f t="shared" si="2"/>
        <v>3840</v>
      </c>
      <c r="W47" s="80">
        <v>3</v>
      </c>
      <c r="X47" s="80" t="s">
        <v>35</v>
      </c>
      <c r="Y47" s="80" t="s">
        <v>86</v>
      </c>
      <c r="Z47" s="80" t="s">
        <v>55</v>
      </c>
      <c r="AA47" s="80" t="s">
        <v>43</v>
      </c>
      <c r="AB47" s="80" t="s">
        <v>161</v>
      </c>
    </row>
    <row r="48" spans="1:28" x14ac:dyDescent="0.15">
      <c r="A48" s="80" t="s">
        <v>23</v>
      </c>
      <c r="B48" s="80" t="s">
        <v>160</v>
      </c>
      <c r="C48" s="80">
        <v>2020</v>
      </c>
      <c r="D48" s="122" t="s">
        <v>247</v>
      </c>
      <c r="E48" s="80" t="s">
        <v>271</v>
      </c>
      <c r="F48" s="80" t="s">
        <v>256</v>
      </c>
      <c r="G48" s="80" t="s">
        <v>31</v>
      </c>
      <c r="H48" s="80" t="s">
        <v>167</v>
      </c>
      <c r="I48" s="80" t="s">
        <v>111</v>
      </c>
      <c r="J48" s="80" t="s">
        <v>27</v>
      </c>
      <c r="K48" s="80" t="s">
        <v>112</v>
      </c>
      <c r="L48" s="80">
        <v>2</v>
      </c>
      <c r="N48" s="80">
        <v>1</v>
      </c>
      <c r="O48" s="80">
        <v>0.2</v>
      </c>
      <c r="P48" s="80">
        <v>0.2</v>
      </c>
      <c r="Q48" s="44">
        <f t="shared" si="0"/>
        <v>0.2</v>
      </c>
      <c r="R48" s="80">
        <v>15.8</v>
      </c>
      <c r="S48" s="80">
        <v>129</v>
      </c>
      <c r="T48" s="16">
        <f t="shared" si="1"/>
        <v>30</v>
      </c>
      <c r="U48" s="80">
        <v>128</v>
      </c>
      <c r="V48" s="16">
        <f t="shared" si="2"/>
        <v>3840</v>
      </c>
      <c r="W48" s="80">
        <v>3</v>
      </c>
      <c r="X48" s="80" t="s">
        <v>35</v>
      </c>
      <c r="Y48" s="80" t="s">
        <v>86</v>
      </c>
      <c r="Z48" s="80" t="s">
        <v>55</v>
      </c>
      <c r="AA48" s="80" t="s">
        <v>43</v>
      </c>
      <c r="AB48" s="80" t="s">
        <v>161</v>
      </c>
    </row>
    <row r="49" spans="1:28" x14ac:dyDescent="0.15">
      <c r="A49" s="80" t="s">
        <v>23</v>
      </c>
      <c r="B49" s="80" t="s">
        <v>160</v>
      </c>
      <c r="C49" s="80">
        <v>2020</v>
      </c>
      <c r="D49" s="122" t="s">
        <v>247</v>
      </c>
      <c r="E49" s="80" t="s">
        <v>271</v>
      </c>
      <c r="F49" s="80" t="s">
        <v>256</v>
      </c>
      <c r="G49" s="80" t="s">
        <v>31</v>
      </c>
      <c r="H49" s="80" t="s">
        <v>167</v>
      </c>
      <c r="I49" s="80" t="s">
        <v>111</v>
      </c>
      <c r="J49" s="80" t="s">
        <v>27</v>
      </c>
      <c r="K49" s="80" t="s">
        <v>112</v>
      </c>
      <c r="L49" s="80">
        <v>3</v>
      </c>
      <c r="N49" s="80">
        <v>1</v>
      </c>
      <c r="O49" s="80">
        <v>0.2</v>
      </c>
      <c r="P49" s="80">
        <v>0.2</v>
      </c>
      <c r="Q49" s="44">
        <f t="shared" si="0"/>
        <v>0.2</v>
      </c>
      <c r="R49" s="80">
        <v>15.7</v>
      </c>
      <c r="S49" s="80">
        <v>128.5</v>
      </c>
      <c r="T49" s="16">
        <f t="shared" si="1"/>
        <v>30</v>
      </c>
      <c r="U49" s="80">
        <v>128</v>
      </c>
      <c r="V49" s="16">
        <f t="shared" si="2"/>
        <v>3840</v>
      </c>
      <c r="W49" s="80">
        <v>3</v>
      </c>
      <c r="X49" s="80" t="s">
        <v>35</v>
      </c>
      <c r="Y49" s="80" t="s">
        <v>86</v>
      </c>
      <c r="Z49" s="80" t="s">
        <v>55</v>
      </c>
      <c r="AA49" s="80" t="s">
        <v>43</v>
      </c>
      <c r="AB49" s="80" t="s">
        <v>161</v>
      </c>
    </row>
    <row r="50" spans="1:28" x14ac:dyDescent="0.15">
      <c r="A50" s="80" t="s">
        <v>23</v>
      </c>
      <c r="B50" s="80" t="s">
        <v>160</v>
      </c>
      <c r="C50" s="80">
        <v>2020</v>
      </c>
      <c r="D50" s="122" t="s">
        <v>247</v>
      </c>
      <c r="E50" s="80" t="s">
        <v>272</v>
      </c>
      <c r="F50" s="80" t="s">
        <v>258</v>
      </c>
      <c r="G50" s="80" t="s">
        <v>25</v>
      </c>
      <c r="H50" s="80" t="s">
        <v>113</v>
      </c>
      <c r="I50" s="80" t="s">
        <v>111</v>
      </c>
      <c r="J50" s="80" t="s">
        <v>27</v>
      </c>
      <c r="K50" s="80" t="s">
        <v>112</v>
      </c>
      <c r="L50" s="80">
        <v>1</v>
      </c>
      <c r="N50" s="80">
        <v>1</v>
      </c>
      <c r="O50" s="80">
        <v>0.5</v>
      </c>
      <c r="P50" s="80">
        <v>0.65</v>
      </c>
      <c r="Q50" s="44">
        <f t="shared" si="0"/>
        <v>0.57499999999999996</v>
      </c>
      <c r="R50" s="80">
        <v>15.5</v>
      </c>
      <c r="S50" s="80">
        <v>128</v>
      </c>
      <c r="T50" s="16">
        <f t="shared" si="1"/>
        <v>30</v>
      </c>
      <c r="U50" s="80">
        <v>98</v>
      </c>
      <c r="V50" s="16">
        <f t="shared" si="2"/>
        <v>2940</v>
      </c>
      <c r="W50" s="80">
        <v>9</v>
      </c>
      <c r="X50" s="80" t="s">
        <v>35</v>
      </c>
      <c r="Y50" s="80" t="s">
        <v>55</v>
      </c>
      <c r="Z50" s="80" t="s">
        <v>64</v>
      </c>
      <c r="AA50" s="80" t="s">
        <v>74</v>
      </c>
      <c r="AB50" s="80" t="s">
        <v>161</v>
      </c>
    </row>
    <row r="51" spans="1:28" x14ac:dyDescent="0.15">
      <c r="A51" s="80" t="s">
        <v>23</v>
      </c>
      <c r="B51" s="80" t="s">
        <v>160</v>
      </c>
      <c r="C51" s="80">
        <v>2020</v>
      </c>
      <c r="D51" s="122" t="s">
        <v>247</v>
      </c>
      <c r="E51" s="80" t="s">
        <v>272</v>
      </c>
      <c r="F51" s="80" t="s">
        <v>258</v>
      </c>
      <c r="G51" s="80" t="s">
        <v>25</v>
      </c>
      <c r="H51" s="80" t="s">
        <v>113</v>
      </c>
      <c r="I51" s="80" t="s">
        <v>111</v>
      </c>
      <c r="J51" s="80" t="s">
        <v>27</v>
      </c>
      <c r="K51" s="80" t="s">
        <v>112</v>
      </c>
      <c r="L51" s="80">
        <v>2</v>
      </c>
      <c r="N51" s="80">
        <v>1</v>
      </c>
      <c r="O51" s="80">
        <v>0.5</v>
      </c>
      <c r="P51" s="80">
        <v>0.55000000000000004</v>
      </c>
      <c r="Q51" s="44">
        <f t="shared" si="0"/>
        <v>0.52500000000000002</v>
      </c>
      <c r="R51" s="80">
        <v>15.8</v>
      </c>
      <c r="S51" s="80">
        <v>117</v>
      </c>
      <c r="T51" s="16">
        <f t="shared" si="1"/>
        <v>30</v>
      </c>
      <c r="U51" s="80">
        <v>98</v>
      </c>
      <c r="V51" s="16">
        <f t="shared" si="2"/>
        <v>2940</v>
      </c>
      <c r="W51" s="80">
        <v>9</v>
      </c>
      <c r="X51" s="80" t="s">
        <v>35</v>
      </c>
      <c r="Y51" s="80" t="s">
        <v>55</v>
      </c>
      <c r="Z51" s="80" t="s">
        <v>64</v>
      </c>
      <c r="AA51" s="80" t="s">
        <v>74</v>
      </c>
      <c r="AB51" s="80" t="s">
        <v>161</v>
      </c>
    </row>
    <row r="52" spans="1:28" x14ac:dyDescent="0.15">
      <c r="A52" s="80" t="s">
        <v>23</v>
      </c>
      <c r="B52" s="80" t="s">
        <v>160</v>
      </c>
      <c r="C52" s="80">
        <v>2020</v>
      </c>
      <c r="D52" s="122" t="s">
        <v>247</v>
      </c>
      <c r="E52" s="80" t="s">
        <v>272</v>
      </c>
      <c r="F52" s="80" t="s">
        <v>258</v>
      </c>
      <c r="G52" s="80" t="s">
        <v>25</v>
      </c>
      <c r="H52" s="80" t="s">
        <v>113</v>
      </c>
      <c r="I52" s="80" t="s">
        <v>111</v>
      </c>
      <c r="J52" s="80" t="s">
        <v>27</v>
      </c>
      <c r="K52" s="80" t="s">
        <v>112</v>
      </c>
      <c r="L52" s="80">
        <v>3</v>
      </c>
      <c r="N52" s="80">
        <v>1</v>
      </c>
      <c r="O52" s="80">
        <v>0.75</v>
      </c>
      <c r="P52" s="80">
        <v>0.6</v>
      </c>
      <c r="Q52" s="44">
        <f t="shared" si="0"/>
        <v>0.67500000000000004</v>
      </c>
      <c r="R52" s="80">
        <v>16</v>
      </c>
      <c r="S52" s="80">
        <v>117.5</v>
      </c>
      <c r="T52" s="16">
        <f t="shared" si="1"/>
        <v>30</v>
      </c>
      <c r="U52" s="80">
        <v>98</v>
      </c>
      <c r="V52" s="16">
        <f t="shared" si="2"/>
        <v>2940</v>
      </c>
      <c r="W52" s="80">
        <v>9</v>
      </c>
      <c r="X52" s="80" t="s">
        <v>35</v>
      </c>
      <c r="Y52" s="80" t="s">
        <v>55</v>
      </c>
      <c r="Z52" s="80" t="s">
        <v>64</v>
      </c>
      <c r="AA52" s="80" t="s">
        <v>74</v>
      </c>
      <c r="AB52" s="80" t="s">
        <v>161</v>
      </c>
    </row>
    <row r="53" spans="1:28" x14ac:dyDescent="0.15">
      <c r="A53" s="80" t="s">
        <v>23</v>
      </c>
      <c r="B53" s="80" t="s">
        <v>160</v>
      </c>
      <c r="C53" s="80">
        <v>2020</v>
      </c>
      <c r="D53" s="122" t="s">
        <v>247</v>
      </c>
      <c r="E53" s="80" t="s">
        <v>272</v>
      </c>
      <c r="F53" s="80" t="s">
        <v>258</v>
      </c>
      <c r="G53" s="80" t="s">
        <v>25</v>
      </c>
      <c r="H53" s="80" t="s">
        <v>113</v>
      </c>
      <c r="I53" s="80" t="s">
        <v>111</v>
      </c>
      <c r="J53" s="80" t="s">
        <v>27</v>
      </c>
      <c r="K53" s="80" t="s">
        <v>112</v>
      </c>
      <c r="L53" s="80">
        <v>1</v>
      </c>
      <c r="N53" s="80">
        <v>4</v>
      </c>
      <c r="O53" s="80">
        <v>0.6</v>
      </c>
      <c r="P53" s="80">
        <v>0.75</v>
      </c>
      <c r="Q53" s="44">
        <f t="shared" si="0"/>
        <v>0.67500000000000004</v>
      </c>
      <c r="R53" s="80">
        <v>16.100000000000001</v>
      </c>
      <c r="S53" s="80">
        <v>80.5</v>
      </c>
      <c r="T53" s="16">
        <f t="shared" si="1"/>
        <v>39</v>
      </c>
      <c r="U53" s="80">
        <v>398</v>
      </c>
      <c r="V53" s="16">
        <f t="shared" si="2"/>
        <v>3880.5</v>
      </c>
      <c r="W53" s="80">
        <v>9</v>
      </c>
      <c r="X53" s="80" t="s">
        <v>35</v>
      </c>
      <c r="Y53" s="80" t="s">
        <v>55</v>
      </c>
      <c r="Z53" s="80" t="s">
        <v>64</v>
      </c>
      <c r="AA53" s="80" t="s">
        <v>74</v>
      </c>
      <c r="AB53" s="80" t="s">
        <v>161</v>
      </c>
    </row>
    <row r="54" spans="1:28" x14ac:dyDescent="0.15">
      <c r="A54" s="80" t="s">
        <v>23</v>
      </c>
      <c r="B54" s="80" t="s">
        <v>160</v>
      </c>
      <c r="C54" s="80">
        <v>2020</v>
      </c>
      <c r="D54" s="122" t="s">
        <v>247</v>
      </c>
      <c r="E54" s="80" t="s">
        <v>272</v>
      </c>
      <c r="F54" s="80" t="s">
        <v>258</v>
      </c>
      <c r="G54" s="80" t="s">
        <v>25</v>
      </c>
      <c r="H54" s="80" t="s">
        <v>113</v>
      </c>
      <c r="I54" s="80" t="s">
        <v>111</v>
      </c>
      <c r="J54" s="80" t="s">
        <v>27</v>
      </c>
      <c r="K54" s="80" t="s">
        <v>112</v>
      </c>
      <c r="L54" s="80">
        <v>2</v>
      </c>
      <c r="N54" s="80">
        <v>4</v>
      </c>
      <c r="O54" s="80">
        <v>0.7</v>
      </c>
      <c r="P54" s="80">
        <v>0.6</v>
      </c>
      <c r="Q54" s="44">
        <f t="shared" si="0"/>
        <v>0.64999999999999991</v>
      </c>
      <c r="R54" s="80">
        <v>11.7</v>
      </c>
      <c r="S54" s="80">
        <v>86</v>
      </c>
      <c r="T54" s="16">
        <f t="shared" si="1"/>
        <v>36</v>
      </c>
      <c r="U54" s="80">
        <v>398</v>
      </c>
      <c r="V54" s="16">
        <f t="shared" si="2"/>
        <v>3582</v>
      </c>
      <c r="W54" s="80">
        <v>9</v>
      </c>
      <c r="X54" s="80" t="s">
        <v>35</v>
      </c>
      <c r="Y54" s="80" t="s">
        <v>55</v>
      </c>
      <c r="Z54" s="80" t="s">
        <v>64</v>
      </c>
      <c r="AA54" s="80" t="s">
        <v>74</v>
      </c>
      <c r="AB54" s="80" t="s">
        <v>161</v>
      </c>
    </row>
    <row r="55" spans="1:28" x14ac:dyDescent="0.15">
      <c r="A55" s="80" t="s">
        <v>23</v>
      </c>
      <c r="B55" s="80" t="s">
        <v>160</v>
      </c>
      <c r="C55" s="80">
        <v>2020</v>
      </c>
      <c r="D55" s="122" t="s">
        <v>247</v>
      </c>
      <c r="E55" s="80" t="s">
        <v>272</v>
      </c>
      <c r="F55" s="80" t="s">
        <v>258</v>
      </c>
      <c r="G55" s="80" t="s">
        <v>25</v>
      </c>
      <c r="H55" s="80" t="s">
        <v>113</v>
      </c>
      <c r="I55" s="80" t="s">
        <v>111</v>
      </c>
      <c r="J55" s="80" t="s">
        <v>27</v>
      </c>
      <c r="K55" s="80" t="s">
        <v>112</v>
      </c>
      <c r="L55" s="80">
        <v>3</v>
      </c>
      <c r="N55" s="80">
        <v>4</v>
      </c>
      <c r="O55" s="80">
        <v>0.75</v>
      </c>
      <c r="P55" s="80">
        <v>0.75</v>
      </c>
      <c r="Q55" s="44">
        <f t="shared" si="0"/>
        <v>0.75</v>
      </c>
      <c r="R55" s="80">
        <v>11.4</v>
      </c>
      <c r="S55" s="80">
        <v>96.5</v>
      </c>
      <c r="T55" s="16">
        <f t="shared" si="1"/>
        <v>36</v>
      </c>
      <c r="U55" s="80">
        <v>398</v>
      </c>
      <c r="V55" s="16">
        <f t="shared" si="2"/>
        <v>3582</v>
      </c>
      <c r="W55" s="80">
        <v>9</v>
      </c>
      <c r="X55" s="80" t="s">
        <v>35</v>
      </c>
      <c r="Y55" s="80" t="s">
        <v>55</v>
      </c>
      <c r="Z55" s="80" t="s">
        <v>64</v>
      </c>
      <c r="AA55" s="80" t="s">
        <v>74</v>
      </c>
      <c r="AB55" s="80" t="s">
        <v>161</v>
      </c>
    </row>
    <row r="56" spans="1:28" x14ac:dyDescent="0.15">
      <c r="A56" s="80" t="s">
        <v>23</v>
      </c>
      <c r="B56" s="80" t="s">
        <v>160</v>
      </c>
      <c r="C56" s="80">
        <v>2020</v>
      </c>
      <c r="D56" s="122" t="s">
        <v>247</v>
      </c>
      <c r="E56" s="80" t="s">
        <v>272</v>
      </c>
      <c r="F56" s="80" t="s">
        <v>258</v>
      </c>
      <c r="G56" s="80" t="s">
        <v>25</v>
      </c>
      <c r="H56" s="80" t="s">
        <v>113</v>
      </c>
      <c r="I56" s="80" t="s">
        <v>111</v>
      </c>
      <c r="J56" s="80" t="s">
        <v>27</v>
      </c>
      <c r="K56" s="80" t="s">
        <v>112</v>
      </c>
      <c r="L56" s="80">
        <v>1</v>
      </c>
      <c r="N56" s="80">
        <v>8</v>
      </c>
      <c r="O56" s="80">
        <v>0.6</v>
      </c>
      <c r="P56" s="80">
        <v>0.6</v>
      </c>
      <c r="Q56" s="44">
        <f t="shared" si="0"/>
        <v>0.6</v>
      </c>
      <c r="R56" s="80">
        <v>11.5</v>
      </c>
      <c r="S56" s="80">
        <v>102</v>
      </c>
      <c r="T56" s="16">
        <f t="shared" si="1"/>
        <v>33</v>
      </c>
      <c r="U56" s="80">
        <v>698</v>
      </c>
      <c r="V56" s="16">
        <f t="shared" si="2"/>
        <v>2879.25</v>
      </c>
      <c r="W56" s="80">
        <v>9</v>
      </c>
      <c r="X56" s="80" t="s">
        <v>35</v>
      </c>
      <c r="Y56" s="80" t="s">
        <v>55</v>
      </c>
      <c r="Z56" s="80" t="s">
        <v>64</v>
      </c>
      <c r="AA56" s="80" t="s">
        <v>74</v>
      </c>
      <c r="AB56" s="80" t="s">
        <v>161</v>
      </c>
    </row>
    <row r="57" spans="1:28" x14ac:dyDescent="0.15">
      <c r="A57" s="80" t="s">
        <v>23</v>
      </c>
      <c r="B57" s="80" t="s">
        <v>160</v>
      </c>
      <c r="C57" s="80">
        <v>2020</v>
      </c>
      <c r="D57" s="122" t="s">
        <v>247</v>
      </c>
      <c r="E57" s="80" t="s">
        <v>272</v>
      </c>
      <c r="F57" s="80" t="s">
        <v>258</v>
      </c>
      <c r="G57" s="80" t="s">
        <v>25</v>
      </c>
      <c r="H57" s="80" t="s">
        <v>113</v>
      </c>
      <c r="I57" s="80" t="s">
        <v>111</v>
      </c>
      <c r="J57" s="80" t="s">
        <v>27</v>
      </c>
      <c r="K57" s="80" t="s">
        <v>112</v>
      </c>
      <c r="L57" s="80">
        <v>2</v>
      </c>
      <c r="N57" s="80">
        <v>8</v>
      </c>
      <c r="O57" s="80">
        <v>0.8</v>
      </c>
      <c r="P57" s="80">
        <v>0.9</v>
      </c>
      <c r="Q57" s="44">
        <f t="shared" si="0"/>
        <v>0.85000000000000009</v>
      </c>
      <c r="R57" s="80">
        <v>16.3</v>
      </c>
      <c r="S57" s="80">
        <v>86.5</v>
      </c>
      <c r="T57" s="16">
        <f t="shared" si="1"/>
        <v>36</v>
      </c>
      <c r="U57" s="80">
        <v>698</v>
      </c>
      <c r="V57" s="16">
        <f t="shared" si="2"/>
        <v>3141</v>
      </c>
      <c r="W57" s="80">
        <v>9</v>
      </c>
      <c r="X57" s="80" t="s">
        <v>35</v>
      </c>
      <c r="Y57" s="80" t="s">
        <v>55</v>
      </c>
      <c r="Z57" s="80" t="s">
        <v>64</v>
      </c>
      <c r="AA57" s="80" t="s">
        <v>74</v>
      </c>
      <c r="AB57" s="80" t="s">
        <v>161</v>
      </c>
    </row>
    <row r="58" spans="1:28" x14ac:dyDescent="0.15">
      <c r="A58" s="80" t="s">
        <v>23</v>
      </c>
      <c r="B58" s="80" t="s">
        <v>160</v>
      </c>
      <c r="C58" s="80">
        <v>2020</v>
      </c>
      <c r="D58" s="122" t="s">
        <v>247</v>
      </c>
      <c r="E58" s="80" t="s">
        <v>272</v>
      </c>
      <c r="F58" s="80" t="s">
        <v>258</v>
      </c>
      <c r="G58" s="80" t="s">
        <v>25</v>
      </c>
      <c r="H58" s="80" t="s">
        <v>113</v>
      </c>
      <c r="I58" s="80" t="s">
        <v>111</v>
      </c>
      <c r="J58" s="80" t="s">
        <v>27</v>
      </c>
      <c r="K58" s="80" t="s">
        <v>112</v>
      </c>
      <c r="L58" s="80">
        <v>3</v>
      </c>
      <c r="N58" s="80">
        <v>8</v>
      </c>
      <c r="O58" s="80">
        <v>0.9</v>
      </c>
      <c r="P58" s="80">
        <v>0.85</v>
      </c>
      <c r="Q58" s="44">
        <f t="shared" si="0"/>
        <v>0.875</v>
      </c>
      <c r="R58" s="80">
        <v>15.9</v>
      </c>
      <c r="S58" s="80">
        <v>105.5</v>
      </c>
      <c r="T58" s="16">
        <f t="shared" si="1"/>
        <v>33</v>
      </c>
      <c r="U58" s="80">
        <v>698</v>
      </c>
      <c r="V58" s="16">
        <f t="shared" si="2"/>
        <v>2879.25</v>
      </c>
      <c r="W58" s="80">
        <v>9</v>
      </c>
      <c r="X58" s="80" t="s">
        <v>35</v>
      </c>
      <c r="Y58" s="80" t="s">
        <v>55</v>
      </c>
      <c r="Z58" s="80" t="s">
        <v>64</v>
      </c>
      <c r="AA58" s="80" t="s">
        <v>74</v>
      </c>
      <c r="AB58" s="80" t="s">
        <v>161</v>
      </c>
    </row>
    <row r="59" spans="1:28" x14ac:dyDescent="0.15">
      <c r="A59" s="80" t="s">
        <v>23</v>
      </c>
      <c r="B59" s="80" t="s">
        <v>160</v>
      </c>
      <c r="C59" s="80">
        <v>2020</v>
      </c>
      <c r="D59" s="122" t="s">
        <v>247</v>
      </c>
      <c r="E59" s="80" t="s">
        <v>272</v>
      </c>
      <c r="F59" s="80" t="s">
        <v>258</v>
      </c>
      <c r="G59" s="80" t="s">
        <v>25</v>
      </c>
      <c r="H59" s="80" t="s">
        <v>167</v>
      </c>
      <c r="I59" s="80" t="s">
        <v>111</v>
      </c>
      <c r="J59" s="80" t="s">
        <v>27</v>
      </c>
      <c r="K59" s="80" t="s">
        <v>112</v>
      </c>
      <c r="L59" s="80">
        <v>1</v>
      </c>
      <c r="N59" s="80">
        <v>1</v>
      </c>
      <c r="O59" s="80">
        <v>0.2</v>
      </c>
      <c r="P59" s="80">
        <v>0.2</v>
      </c>
      <c r="Q59" s="44">
        <f t="shared" si="0"/>
        <v>0.2</v>
      </c>
      <c r="R59" s="80">
        <v>17.899999999999999</v>
      </c>
      <c r="S59" s="80">
        <v>128</v>
      </c>
      <c r="T59" s="16">
        <f t="shared" si="1"/>
        <v>30</v>
      </c>
      <c r="U59" s="80">
        <v>98</v>
      </c>
      <c r="V59" s="16">
        <f t="shared" si="2"/>
        <v>2940</v>
      </c>
      <c r="W59" s="80">
        <v>9</v>
      </c>
      <c r="X59" s="80" t="s">
        <v>35</v>
      </c>
      <c r="Y59" s="80" t="s">
        <v>55</v>
      </c>
      <c r="Z59" s="80" t="s">
        <v>64</v>
      </c>
      <c r="AA59" s="80" t="s">
        <v>74</v>
      </c>
      <c r="AB59" s="80" t="s">
        <v>161</v>
      </c>
    </row>
    <row r="60" spans="1:28" x14ac:dyDescent="0.15">
      <c r="A60" s="80" t="s">
        <v>23</v>
      </c>
      <c r="B60" s="80" t="s">
        <v>160</v>
      </c>
      <c r="C60" s="80">
        <v>2020</v>
      </c>
      <c r="D60" s="122" t="s">
        <v>247</v>
      </c>
      <c r="E60" s="80" t="s">
        <v>272</v>
      </c>
      <c r="F60" s="80" t="s">
        <v>258</v>
      </c>
      <c r="G60" s="80" t="s">
        <v>25</v>
      </c>
      <c r="H60" s="80" t="s">
        <v>167</v>
      </c>
      <c r="I60" s="80" t="s">
        <v>111</v>
      </c>
      <c r="J60" s="80" t="s">
        <v>27</v>
      </c>
      <c r="K60" s="80" t="s">
        <v>112</v>
      </c>
      <c r="L60" s="80">
        <v>2</v>
      </c>
      <c r="N60" s="80">
        <v>1</v>
      </c>
      <c r="O60" s="80">
        <v>0.2</v>
      </c>
      <c r="P60" s="80">
        <v>0.2</v>
      </c>
      <c r="Q60" s="44">
        <f t="shared" si="0"/>
        <v>0.2</v>
      </c>
      <c r="R60" s="80">
        <v>18.2</v>
      </c>
      <c r="S60" s="80">
        <v>131.5</v>
      </c>
      <c r="T60" s="16">
        <f t="shared" si="1"/>
        <v>30</v>
      </c>
      <c r="U60" s="80">
        <v>98</v>
      </c>
      <c r="V60" s="16">
        <f t="shared" si="2"/>
        <v>2940</v>
      </c>
      <c r="W60" s="80">
        <v>9</v>
      </c>
      <c r="X60" s="80" t="s">
        <v>35</v>
      </c>
      <c r="Y60" s="80" t="s">
        <v>55</v>
      </c>
      <c r="Z60" s="80" t="s">
        <v>64</v>
      </c>
      <c r="AA60" s="80" t="s">
        <v>74</v>
      </c>
      <c r="AB60" s="80" t="s">
        <v>161</v>
      </c>
    </row>
    <row r="61" spans="1:28" x14ac:dyDescent="0.15">
      <c r="A61" s="80" t="s">
        <v>23</v>
      </c>
      <c r="B61" s="80" t="s">
        <v>160</v>
      </c>
      <c r="C61" s="80">
        <v>2020</v>
      </c>
      <c r="D61" s="122" t="s">
        <v>247</v>
      </c>
      <c r="E61" s="80" t="s">
        <v>272</v>
      </c>
      <c r="F61" s="80" t="s">
        <v>258</v>
      </c>
      <c r="G61" s="80" t="s">
        <v>25</v>
      </c>
      <c r="H61" s="80" t="s">
        <v>167</v>
      </c>
      <c r="I61" s="80" t="s">
        <v>111</v>
      </c>
      <c r="J61" s="80" t="s">
        <v>27</v>
      </c>
      <c r="K61" s="80" t="s">
        <v>112</v>
      </c>
      <c r="L61" s="80">
        <v>3</v>
      </c>
      <c r="N61" s="80">
        <v>1</v>
      </c>
      <c r="O61" s="80">
        <v>0.2</v>
      </c>
      <c r="P61" s="80">
        <v>0.2</v>
      </c>
      <c r="Q61" s="44">
        <f t="shared" si="0"/>
        <v>0.2</v>
      </c>
      <c r="R61" s="80">
        <v>17.5</v>
      </c>
      <c r="S61" s="80">
        <v>130.5</v>
      </c>
      <c r="T61" s="16">
        <f t="shared" si="1"/>
        <v>30</v>
      </c>
      <c r="U61" s="80">
        <v>98</v>
      </c>
      <c r="V61" s="16">
        <f t="shared" si="2"/>
        <v>2940</v>
      </c>
      <c r="W61" s="80">
        <v>9</v>
      </c>
      <c r="X61" s="80" t="s">
        <v>35</v>
      </c>
      <c r="Y61" s="80" t="s">
        <v>55</v>
      </c>
      <c r="Z61" s="80" t="s">
        <v>64</v>
      </c>
      <c r="AA61" s="80" t="s">
        <v>74</v>
      </c>
      <c r="AB61" s="80" t="s">
        <v>161</v>
      </c>
    </row>
    <row r="62" spans="1:28" x14ac:dyDescent="0.15">
      <c r="A62" s="80" t="s">
        <v>23</v>
      </c>
      <c r="B62" s="80" t="s">
        <v>160</v>
      </c>
      <c r="C62" s="80">
        <v>2020</v>
      </c>
      <c r="D62" s="122" t="s">
        <v>247</v>
      </c>
      <c r="E62" s="80" t="s">
        <v>272</v>
      </c>
      <c r="F62" s="80" t="s">
        <v>258</v>
      </c>
      <c r="G62" s="80" t="s">
        <v>25</v>
      </c>
      <c r="H62" s="80" t="s">
        <v>167</v>
      </c>
      <c r="I62" s="80" t="s">
        <v>111</v>
      </c>
      <c r="J62" s="80" t="s">
        <v>27</v>
      </c>
      <c r="K62" s="80" t="s">
        <v>112</v>
      </c>
      <c r="L62" s="80">
        <v>1</v>
      </c>
      <c r="N62" s="80">
        <v>4</v>
      </c>
      <c r="O62" s="80">
        <v>0.45</v>
      </c>
      <c r="P62" s="80">
        <v>0.5</v>
      </c>
      <c r="Q62" s="44">
        <f t="shared" si="0"/>
        <v>0.47499999999999998</v>
      </c>
      <c r="R62" s="80">
        <v>16.2</v>
      </c>
      <c r="S62" s="80">
        <v>101.5</v>
      </c>
      <c r="T62" s="16">
        <f t="shared" si="1"/>
        <v>33</v>
      </c>
      <c r="U62" s="80">
        <v>498</v>
      </c>
      <c r="V62" s="16">
        <f t="shared" si="2"/>
        <v>4108.5</v>
      </c>
      <c r="W62" s="80">
        <v>9</v>
      </c>
      <c r="X62" s="80" t="s">
        <v>35</v>
      </c>
      <c r="Y62" s="80" t="s">
        <v>55</v>
      </c>
      <c r="Z62" s="80" t="s">
        <v>64</v>
      </c>
      <c r="AA62" s="80" t="s">
        <v>74</v>
      </c>
      <c r="AB62" s="80" t="s">
        <v>161</v>
      </c>
    </row>
    <row r="63" spans="1:28" x14ac:dyDescent="0.15">
      <c r="A63" s="80" t="s">
        <v>23</v>
      </c>
      <c r="B63" s="80" t="s">
        <v>160</v>
      </c>
      <c r="C63" s="80">
        <v>2020</v>
      </c>
      <c r="D63" s="122" t="s">
        <v>247</v>
      </c>
      <c r="E63" s="80" t="s">
        <v>272</v>
      </c>
      <c r="F63" s="80" t="s">
        <v>258</v>
      </c>
      <c r="G63" s="80" t="s">
        <v>25</v>
      </c>
      <c r="H63" s="80" t="s">
        <v>167</v>
      </c>
      <c r="I63" s="80" t="s">
        <v>111</v>
      </c>
      <c r="J63" s="80" t="s">
        <v>27</v>
      </c>
      <c r="K63" s="80" t="s">
        <v>112</v>
      </c>
      <c r="L63" s="80">
        <v>2</v>
      </c>
      <c r="N63" s="80">
        <v>4</v>
      </c>
      <c r="O63" s="80">
        <v>0.2</v>
      </c>
      <c r="P63" s="80">
        <v>0.2</v>
      </c>
      <c r="Q63" s="44">
        <f t="shared" si="0"/>
        <v>0.2</v>
      </c>
      <c r="R63" s="80">
        <v>16.7</v>
      </c>
      <c r="S63" s="80">
        <v>96</v>
      </c>
      <c r="T63" s="16">
        <f t="shared" ref="T63:T126" si="5">IF(H63="","",IF(OR(H63="GREEN",H63="GK"),IF(S63&gt;=$AX$2,VLOOKUP(S63,$AX$2:$AY$9,2,1),""),IF(S63&gt;=$AZ$2,VLOOKUP(S63,$AZ$2:$BA$9,2,1),"")))</f>
        <v>36</v>
      </c>
      <c r="U63" s="80">
        <v>498</v>
      </c>
      <c r="V63" s="16">
        <f t="shared" si="2"/>
        <v>4482</v>
      </c>
      <c r="W63" s="80">
        <v>9</v>
      </c>
      <c r="X63" s="80" t="s">
        <v>35</v>
      </c>
      <c r="Y63" s="80" t="s">
        <v>55</v>
      </c>
      <c r="Z63" s="80" t="s">
        <v>64</v>
      </c>
      <c r="AA63" s="80" t="s">
        <v>74</v>
      </c>
      <c r="AB63" s="80" t="s">
        <v>161</v>
      </c>
    </row>
    <row r="64" spans="1:28" x14ac:dyDescent="0.15">
      <c r="A64" s="80" t="s">
        <v>23</v>
      </c>
      <c r="B64" s="80" t="s">
        <v>160</v>
      </c>
      <c r="C64" s="80">
        <v>2020</v>
      </c>
      <c r="D64" s="122" t="s">
        <v>247</v>
      </c>
      <c r="E64" s="80" t="s">
        <v>272</v>
      </c>
      <c r="F64" s="80" t="s">
        <v>258</v>
      </c>
      <c r="G64" s="80" t="s">
        <v>25</v>
      </c>
      <c r="H64" s="80" t="s">
        <v>167</v>
      </c>
      <c r="I64" s="80" t="s">
        <v>111</v>
      </c>
      <c r="J64" s="80" t="s">
        <v>27</v>
      </c>
      <c r="K64" s="80" t="s">
        <v>112</v>
      </c>
      <c r="L64" s="80">
        <v>3</v>
      </c>
      <c r="N64" s="80">
        <v>4</v>
      </c>
      <c r="O64" s="80">
        <v>0.2</v>
      </c>
      <c r="P64" s="80">
        <v>0.2</v>
      </c>
      <c r="Q64" s="44">
        <f t="shared" si="0"/>
        <v>0.2</v>
      </c>
      <c r="R64" s="80">
        <v>17</v>
      </c>
      <c r="S64" s="80">
        <v>103.5</v>
      </c>
      <c r="T64" s="16">
        <f t="shared" si="5"/>
        <v>33</v>
      </c>
      <c r="U64" s="80">
        <v>498</v>
      </c>
      <c r="V64" s="16">
        <f t="shared" si="2"/>
        <v>4108.5</v>
      </c>
      <c r="W64" s="80">
        <v>9</v>
      </c>
      <c r="X64" s="80" t="s">
        <v>35</v>
      </c>
      <c r="Y64" s="80" t="s">
        <v>55</v>
      </c>
      <c r="Z64" s="80" t="s">
        <v>64</v>
      </c>
      <c r="AA64" s="80" t="s">
        <v>74</v>
      </c>
      <c r="AB64" s="80" t="s">
        <v>161</v>
      </c>
    </row>
    <row r="65" spans="1:28" x14ac:dyDescent="0.15">
      <c r="A65" s="80" t="s">
        <v>23</v>
      </c>
      <c r="B65" s="80" t="s">
        <v>160</v>
      </c>
      <c r="C65" s="80">
        <v>2020</v>
      </c>
      <c r="D65" s="122" t="s">
        <v>247</v>
      </c>
      <c r="E65" s="80" t="s">
        <v>272</v>
      </c>
      <c r="F65" s="80" t="s">
        <v>258</v>
      </c>
      <c r="G65" s="80" t="s">
        <v>25</v>
      </c>
      <c r="H65" s="80" t="s">
        <v>167</v>
      </c>
      <c r="I65" s="80" t="s">
        <v>111</v>
      </c>
      <c r="J65" s="80" t="s">
        <v>27</v>
      </c>
      <c r="K65" s="80" t="s">
        <v>112</v>
      </c>
      <c r="L65" s="80">
        <v>1</v>
      </c>
      <c r="N65" s="80">
        <v>8</v>
      </c>
      <c r="O65" s="80">
        <v>0.2</v>
      </c>
      <c r="P65" s="80">
        <v>0.5</v>
      </c>
      <c r="Q65" s="44">
        <f t="shared" si="0"/>
        <v>0.35</v>
      </c>
      <c r="R65" s="80">
        <v>16.600000000000001</v>
      </c>
      <c r="S65" s="80">
        <v>98.5</v>
      </c>
      <c r="T65" s="16">
        <f t="shared" si="5"/>
        <v>36</v>
      </c>
      <c r="U65" s="80">
        <v>980</v>
      </c>
      <c r="V65" s="16">
        <f t="shared" si="2"/>
        <v>4410</v>
      </c>
      <c r="W65" s="80">
        <v>9</v>
      </c>
      <c r="X65" s="80" t="s">
        <v>35</v>
      </c>
      <c r="Y65" s="80" t="s">
        <v>55</v>
      </c>
      <c r="Z65" s="80" t="s">
        <v>64</v>
      </c>
      <c r="AA65" s="80" t="s">
        <v>74</v>
      </c>
      <c r="AB65" s="80" t="s">
        <v>161</v>
      </c>
    </row>
    <row r="66" spans="1:28" x14ac:dyDescent="0.15">
      <c r="A66" s="80" t="s">
        <v>23</v>
      </c>
      <c r="B66" s="80" t="s">
        <v>160</v>
      </c>
      <c r="C66" s="80">
        <v>2020</v>
      </c>
      <c r="D66" s="122" t="s">
        <v>247</v>
      </c>
      <c r="E66" s="80" t="s">
        <v>272</v>
      </c>
      <c r="F66" s="80" t="s">
        <v>258</v>
      </c>
      <c r="G66" s="80" t="s">
        <v>25</v>
      </c>
      <c r="H66" s="80" t="s">
        <v>167</v>
      </c>
      <c r="I66" s="80" t="s">
        <v>111</v>
      </c>
      <c r="J66" s="80" t="s">
        <v>27</v>
      </c>
      <c r="K66" s="80" t="s">
        <v>112</v>
      </c>
      <c r="L66" s="80">
        <v>2</v>
      </c>
      <c r="N66" s="80">
        <v>8</v>
      </c>
      <c r="O66" s="80">
        <v>0.5</v>
      </c>
      <c r="P66" s="80">
        <v>0.45</v>
      </c>
      <c r="Q66" s="44">
        <f t="shared" si="0"/>
        <v>0.47499999999999998</v>
      </c>
      <c r="R66" s="80">
        <v>15.7</v>
      </c>
      <c r="S66" s="80">
        <v>95.5</v>
      </c>
      <c r="T66" s="16">
        <f t="shared" si="5"/>
        <v>36</v>
      </c>
      <c r="U66" s="80">
        <v>980</v>
      </c>
      <c r="V66" s="16">
        <f t="shared" si="2"/>
        <v>4410</v>
      </c>
      <c r="W66" s="80">
        <v>9</v>
      </c>
      <c r="X66" s="80" t="s">
        <v>35</v>
      </c>
      <c r="Y66" s="80" t="s">
        <v>55</v>
      </c>
      <c r="Z66" s="80" t="s">
        <v>64</v>
      </c>
      <c r="AA66" s="80" t="s">
        <v>74</v>
      </c>
      <c r="AB66" s="80" t="s">
        <v>161</v>
      </c>
    </row>
    <row r="67" spans="1:28" x14ac:dyDescent="0.15">
      <c r="A67" s="80" t="s">
        <v>23</v>
      </c>
      <c r="B67" s="80" t="s">
        <v>160</v>
      </c>
      <c r="C67" s="80">
        <v>2020</v>
      </c>
      <c r="D67" s="122" t="s">
        <v>247</v>
      </c>
      <c r="E67" s="80" t="s">
        <v>272</v>
      </c>
      <c r="F67" s="80" t="s">
        <v>258</v>
      </c>
      <c r="G67" s="80" t="s">
        <v>25</v>
      </c>
      <c r="H67" s="80" t="s">
        <v>167</v>
      </c>
      <c r="I67" s="80" t="s">
        <v>111</v>
      </c>
      <c r="J67" s="80" t="s">
        <v>27</v>
      </c>
      <c r="K67" s="80" t="s">
        <v>112</v>
      </c>
      <c r="L67" s="80">
        <v>3</v>
      </c>
      <c r="N67" s="80">
        <v>8</v>
      </c>
      <c r="O67" s="80">
        <v>0.2</v>
      </c>
      <c r="P67" s="80">
        <v>0.2</v>
      </c>
      <c r="Q67" s="44">
        <f t="shared" si="0"/>
        <v>0.2</v>
      </c>
      <c r="R67" s="80">
        <v>16</v>
      </c>
      <c r="S67" s="80">
        <v>97</v>
      </c>
      <c r="T67" s="16">
        <f t="shared" si="5"/>
        <v>36</v>
      </c>
      <c r="U67" s="80">
        <v>980</v>
      </c>
      <c r="V67" s="16">
        <f t="shared" si="2"/>
        <v>4410</v>
      </c>
      <c r="W67" s="80">
        <v>9</v>
      </c>
      <c r="X67" s="80" t="s">
        <v>35</v>
      </c>
      <c r="Y67" s="80" t="s">
        <v>55</v>
      </c>
      <c r="Z67" s="80" t="s">
        <v>64</v>
      </c>
      <c r="AA67" s="80" t="s">
        <v>74</v>
      </c>
      <c r="AB67" s="80" t="s">
        <v>161</v>
      </c>
    </row>
    <row r="68" spans="1:28" x14ac:dyDescent="0.15">
      <c r="A68" s="80" t="s">
        <v>23</v>
      </c>
      <c r="B68" s="80" t="s">
        <v>160</v>
      </c>
      <c r="C68" s="80">
        <v>2020</v>
      </c>
      <c r="D68" s="122" t="s">
        <v>247</v>
      </c>
      <c r="E68" s="80" t="s">
        <v>259</v>
      </c>
      <c r="F68" s="80" t="s">
        <v>260</v>
      </c>
      <c r="G68" s="80" t="s">
        <v>25</v>
      </c>
      <c r="H68" s="80" t="s">
        <v>113</v>
      </c>
      <c r="I68" s="80" t="s">
        <v>111</v>
      </c>
      <c r="J68" s="80" t="s">
        <v>27</v>
      </c>
      <c r="K68" s="80" t="s">
        <v>112</v>
      </c>
      <c r="L68" s="80">
        <v>1</v>
      </c>
      <c r="N68" s="80">
        <v>1</v>
      </c>
      <c r="O68" s="80">
        <v>0.65</v>
      </c>
      <c r="P68" s="80">
        <v>0.7</v>
      </c>
      <c r="Q68" s="44">
        <f t="shared" si="0"/>
        <v>0.67500000000000004</v>
      </c>
      <c r="R68" s="80">
        <v>16.2</v>
      </c>
      <c r="S68" s="80">
        <v>117</v>
      </c>
      <c r="T68" s="16">
        <f t="shared" si="5"/>
        <v>30</v>
      </c>
      <c r="U68" s="80">
        <v>92</v>
      </c>
      <c r="V68" s="16">
        <f t="shared" si="2"/>
        <v>2760</v>
      </c>
      <c r="W68" s="80">
        <v>10</v>
      </c>
      <c r="X68" s="80" t="s">
        <v>35</v>
      </c>
      <c r="Y68" s="80" t="s">
        <v>86</v>
      </c>
      <c r="Z68" s="80" t="s">
        <v>74</v>
      </c>
      <c r="AA68" s="80" t="s">
        <v>70</v>
      </c>
      <c r="AB68" s="80" t="s">
        <v>161</v>
      </c>
    </row>
    <row r="69" spans="1:28" x14ac:dyDescent="0.15">
      <c r="A69" s="80" t="s">
        <v>23</v>
      </c>
      <c r="B69" s="80" t="s">
        <v>160</v>
      </c>
      <c r="C69" s="80">
        <v>2020</v>
      </c>
      <c r="D69" s="122" t="s">
        <v>247</v>
      </c>
      <c r="E69" s="80" t="s">
        <v>259</v>
      </c>
      <c r="F69" s="80" t="s">
        <v>260</v>
      </c>
      <c r="G69" s="80" t="s">
        <v>25</v>
      </c>
      <c r="H69" s="80" t="s">
        <v>113</v>
      </c>
      <c r="I69" s="80" t="s">
        <v>111</v>
      </c>
      <c r="J69" s="80" t="s">
        <v>27</v>
      </c>
      <c r="K69" s="80" t="s">
        <v>112</v>
      </c>
      <c r="L69" s="80">
        <v>2</v>
      </c>
      <c r="N69" s="80">
        <v>1</v>
      </c>
      <c r="O69" s="80">
        <v>0.5</v>
      </c>
      <c r="P69" s="80">
        <v>0.45</v>
      </c>
      <c r="Q69" s="44">
        <f t="shared" si="0"/>
        <v>0.47499999999999998</v>
      </c>
      <c r="R69" s="80">
        <v>16.8</v>
      </c>
      <c r="S69" s="80">
        <v>127</v>
      </c>
      <c r="T69" s="16">
        <f t="shared" si="5"/>
        <v>30</v>
      </c>
      <c r="U69" s="80">
        <v>92</v>
      </c>
      <c r="V69" s="16">
        <f t="shared" si="2"/>
        <v>2760</v>
      </c>
      <c r="W69" s="80">
        <v>10</v>
      </c>
      <c r="X69" s="80" t="s">
        <v>35</v>
      </c>
      <c r="Y69" s="80" t="s">
        <v>86</v>
      </c>
      <c r="Z69" s="80" t="s">
        <v>74</v>
      </c>
      <c r="AA69" s="80" t="s">
        <v>70</v>
      </c>
      <c r="AB69" s="80" t="s">
        <v>161</v>
      </c>
    </row>
    <row r="70" spans="1:28" x14ac:dyDescent="0.15">
      <c r="A70" s="80" t="s">
        <v>23</v>
      </c>
      <c r="B70" s="80" t="s">
        <v>160</v>
      </c>
      <c r="C70" s="80">
        <v>2020</v>
      </c>
      <c r="D70" s="122" t="s">
        <v>247</v>
      </c>
      <c r="E70" s="80" t="s">
        <v>259</v>
      </c>
      <c r="F70" s="80" t="s">
        <v>260</v>
      </c>
      <c r="G70" s="80" t="s">
        <v>25</v>
      </c>
      <c r="H70" s="80" t="s">
        <v>113</v>
      </c>
      <c r="I70" s="80" t="s">
        <v>111</v>
      </c>
      <c r="J70" s="80" t="s">
        <v>27</v>
      </c>
      <c r="K70" s="80" t="s">
        <v>112</v>
      </c>
      <c r="L70" s="80">
        <v>3</v>
      </c>
      <c r="N70" s="80">
        <v>1</v>
      </c>
      <c r="O70" s="80">
        <v>0.55000000000000004</v>
      </c>
      <c r="P70" s="80">
        <v>0.7</v>
      </c>
      <c r="Q70" s="44">
        <f t="shared" si="0"/>
        <v>0.625</v>
      </c>
      <c r="R70" s="80">
        <v>16.3</v>
      </c>
      <c r="S70" s="80">
        <v>124</v>
      </c>
      <c r="T70" s="16">
        <f t="shared" si="5"/>
        <v>30</v>
      </c>
      <c r="U70" s="80">
        <v>92</v>
      </c>
      <c r="V70" s="16">
        <f t="shared" si="2"/>
        <v>2760</v>
      </c>
      <c r="W70" s="80">
        <v>10</v>
      </c>
      <c r="X70" s="80" t="s">
        <v>35</v>
      </c>
      <c r="Y70" s="80" t="s">
        <v>86</v>
      </c>
      <c r="Z70" s="80" t="s">
        <v>74</v>
      </c>
      <c r="AA70" s="80" t="s">
        <v>70</v>
      </c>
      <c r="AB70" s="80" t="s">
        <v>161</v>
      </c>
    </row>
    <row r="71" spans="1:28" x14ac:dyDescent="0.15">
      <c r="A71" s="80" t="s">
        <v>23</v>
      </c>
      <c r="B71" s="80" t="s">
        <v>160</v>
      </c>
      <c r="C71" s="80">
        <v>2020</v>
      </c>
      <c r="D71" s="122" t="s">
        <v>247</v>
      </c>
      <c r="E71" s="80" t="s">
        <v>259</v>
      </c>
      <c r="F71" s="80" t="s">
        <v>260</v>
      </c>
      <c r="G71" s="80" t="s">
        <v>25</v>
      </c>
      <c r="H71" s="80" t="s">
        <v>113</v>
      </c>
      <c r="I71" s="80" t="s">
        <v>111</v>
      </c>
      <c r="J71" s="80" t="s">
        <v>27</v>
      </c>
      <c r="K71" s="80" t="s">
        <v>112</v>
      </c>
      <c r="L71" s="80">
        <v>1</v>
      </c>
      <c r="N71" s="80">
        <v>4</v>
      </c>
      <c r="O71" s="80">
        <v>0.5</v>
      </c>
      <c r="P71" s="80">
        <v>0.55000000000000004</v>
      </c>
      <c r="Q71" s="44">
        <f t="shared" si="0"/>
        <v>0.52500000000000002</v>
      </c>
      <c r="R71" s="80">
        <v>13.4</v>
      </c>
      <c r="S71" s="80">
        <v>79</v>
      </c>
      <c r="T71" s="16">
        <f t="shared" si="5"/>
        <v>39</v>
      </c>
      <c r="U71" s="80">
        <v>357</v>
      </c>
      <c r="V71" s="16">
        <f t="shared" si="2"/>
        <v>3480.75</v>
      </c>
      <c r="W71" s="80">
        <v>10</v>
      </c>
      <c r="X71" s="80" t="s">
        <v>35</v>
      </c>
      <c r="Y71" s="80" t="s">
        <v>86</v>
      </c>
      <c r="Z71" s="80" t="s">
        <v>74</v>
      </c>
      <c r="AA71" s="80" t="s">
        <v>70</v>
      </c>
      <c r="AB71" s="80" t="s">
        <v>161</v>
      </c>
    </row>
    <row r="72" spans="1:28" x14ac:dyDescent="0.15">
      <c r="A72" s="80" t="s">
        <v>23</v>
      </c>
      <c r="B72" s="80" t="s">
        <v>160</v>
      </c>
      <c r="C72" s="80">
        <v>2020</v>
      </c>
      <c r="D72" s="122" t="s">
        <v>247</v>
      </c>
      <c r="E72" s="80" t="s">
        <v>259</v>
      </c>
      <c r="F72" s="80" t="s">
        <v>260</v>
      </c>
      <c r="G72" s="80" t="s">
        <v>25</v>
      </c>
      <c r="H72" s="80" t="s">
        <v>113</v>
      </c>
      <c r="I72" s="80" t="s">
        <v>111</v>
      </c>
      <c r="J72" s="80" t="s">
        <v>27</v>
      </c>
      <c r="K72" s="80" t="s">
        <v>112</v>
      </c>
      <c r="L72" s="80">
        <v>2</v>
      </c>
      <c r="N72" s="80">
        <v>4</v>
      </c>
      <c r="O72" s="80">
        <v>0.2</v>
      </c>
      <c r="P72" s="80">
        <v>0.2</v>
      </c>
      <c r="Q72" s="44">
        <f t="shared" si="0"/>
        <v>0.2</v>
      </c>
      <c r="R72" s="80">
        <v>14.4</v>
      </c>
      <c r="S72" s="80">
        <v>72.5</v>
      </c>
      <c r="T72" s="16">
        <f t="shared" si="5"/>
        <v>42</v>
      </c>
      <c r="U72" s="80">
        <v>357</v>
      </c>
      <c r="V72" s="16">
        <f t="shared" si="2"/>
        <v>3748.5</v>
      </c>
      <c r="W72" s="80">
        <v>10</v>
      </c>
      <c r="X72" s="80" t="s">
        <v>35</v>
      </c>
      <c r="Y72" s="80" t="s">
        <v>86</v>
      </c>
      <c r="Z72" s="80" t="s">
        <v>74</v>
      </c>
      <c r="AA72" s="80" t="s">
        <v>70</v>
      </c>
      <c r="AB72" s="80" t="s">
        <v>161</v>
      </c>
    </row>
    <row r="73" spans="1:28" x14ac:dyDescent="0.15">
      <c r="A73" s="80" t="s">
        <v>23</v>
      </c>
      <c r="B73" s="80" t="s">
        <v>160</v>
      </c>
      <c r="C73" s="80">
        <v>2020</v>
      </c>
      <c r="D73" s="122" t="s">
        <v>247</v>
      </c>
      <c r="E73" s="80" t="s">
        <v>259</v>
      </c>
      <c r="F73" s="80" t="s">
        <v>260</v>
      </c>
      <c r="G73" s="80" t="s">
        <v>25</v>
      </c>
      <c r="H73" s="80" t="s">
        <v>113</v>
      </c>
      <c r="I73" s="80" t="s">
        <v>111</v>
      </c>
      <c r="J73" s="80" t="s">
        <v>27</v>
      </c>
      <c r="K73" s="80" t="s">
        <v>112</v>
      </c>
      <c r="L73" s="80">
        <v>3</v>
      </c>
      <c r="N73" s="80">
        <v>4</v>
      </c>
      <c r="O73" s="80">
        <v>0.55000000000000004</v>
      </c>
      <c r="P73" s="80">
        <v>0.7</v>
      </c>
      <c r="Q73" s="44">
        <f t="shared" si="0"/>
        <v>0.625</v>
      </c>
      <c r="R73" s="80">
        <v>14.2</v>
      </c>
      <c r="S73" s="80">
        <v>73.5</v>
      </c>
      <c r="T73" s="16">
        <f t="shared" si="5"/>
        <v>42</v>
      </c>
      <c r="U73" s="80">
        <v>357</v>
      </c>
      <c r="V73" s="16">
        <f t="shared" si="2"/>
        <v>3748.5</v>
      </c>
      <c r="W73" s="80">
        <v>10</v>
      </c>
      <c r="X73" s="80" t="s">
        <v>35</v>
      </c>
      <c r="Y73" s="80" t="s">
        <v>86</v>
      </c>
      <c r="Z73" s="80" t="s">
        <v>74</v>
      </c>
      <c r="AA73" s="80" t="s">
        <v>70</v>
      </c>
      <c r="AB73" s="80" t="s">
        <v>161</v>
      </c>
    </row>
    <row r="74" spans="1:28" x14ac:dyDescent="0.15">
      <c r="A74" s="80" t="s">
        <v>23</v>
      </c>
      <c r="B74" s="80" t="s">
        <v>160</v>
      </c>
      <c r="C74" s="80">
        <v>2020</v>
      </c>
      <c r="D74" s="122" t="s">
        <v>247</v>
      </c>
      <c r="E74" s="80" t="s">
        <v>259</v>
      </c>
      <c r="F74" s="80" t="s">
        <v>260</v>
      </c>
      <c r="G74" s="80" t="s">
        <v>25</v>
      </c>
      <c r="H74" s="80" t="s">
        <v>167</v>
      </c>
      <c r="I74" s="80" t="s">
        <v>111</v>
      </c>
      <c r="J74" s="80" t="s">
        <v>27</v>
      </c>
      <c r="K74" s="80" t="s">
        <v>112</v>
      </c>
      <c r="L74" s="80">
        <v>1</v>
      </c>
      <c r="N74" s="80">
        <v>1</v>
      </c>
      <c r="O74" s="80">
        <v>0.2</v>
      </c>
      <c r="P74" s="80">
        <v>0.2</v>
      </c>
      <c r="Q74" s="44">
        <f t="shared" si="0"/>
        <v>0.2</v>
      </c>
      <c r="R74" s="80">
        <v>19</v>
      </c>
      <c r="S74" s="80">
        <v>125</v>
      </c>
      <c r="T74" s="16">
        <f t="shared" ref="T74:T88" si="6">IF(H74="","",IF(OR(H74="GREEN",H74="GK"),IF(U74&gt;=$AX$2,VLOOKUP(U74,$AX$2:$AY$9,2,1),""),IF(U74&gt;=$AZ$2,VLOOKUP(U74,$AZ$2:$BA$9,2,1),"")))</f>
        <v>36</v>
      </c>
      <c r="U74" s="80">
        <v>92</v>
      </c>
      <c r="V74" s="16">
        <f t="shared" si="2"/>
        <v>3312</v>
      </c>
      <c r="W74" s="80">
        <v>10</v>
      </c>
      <c r="X74" s="80" t="s">
        <v>35</v>
      </c>
      <c r="Y74" s="80" t="s">
        <v>86</v>
      </c>
      <c r="Z74" s="80" t="s">
        <v>74</v>
      </c>
      <c r="AA74" s="80" t="s">
        <v>70</v>
      </c>
      <c r="AB74" s="80" t="s">
        <v>161</v>
      </c>
    </row>
    <row r="75" spans="1:28" x14ac:dyDescent="0.15">
      <c r="A75" s="80" t="s">
        <v>23</v>
      </c>
      <c r="B75" s="80" t="s">
        <v>160</v>
      </c>
      <c r="C75" s="80">
        <v>2020</v>
      </c>
      <c r="D75" s="122" t="s">
        <v>247</v>
      </c>
      <c r="E75" s="80" t="s">
        <v>259</v>
      </c>
      <c r="F75" s="80" t="s">
        <v>260</v>
      </c>
      <c r="G75" s="80" t="s">
        <v>25</v>
      </c>
      <c r="H75" s="80" t="s">
        <v>167</v>
      </c>
      <c r="I75" s="80" t="s">
        <v>111</v>
      </c>
      <c r="J75" s="80" t="s">
        <v>27</v>
      </c>
      <c r="K75" s="80" t="s">
        <v>112</v>
      </c>
      <c r="L75" s="80">
        <v>2</v>
      </c>
      <c r="N75" s="80">
        <v>1</v>
      </c>
      <c r="O75" s="80">
        <v>0.2</v>
      </c>
      <c r="P75" s="80">
        <v>0.45</v>
      </c>
      <c r="Q75" s="44">
        <f t="shared" si="0"/>
        <v>0.32500000000000001</v>
      </c>
      <c r="R75" s="80">
        <v>16.7</v>
      </c>
      <c r="S75" s="80">
        <v>128.5</v>
      </c>
      <c r="T75" s="16">
        <f t="shared" si="6"/>
        <v>36</v>
      </c>
      <c r="U75" s="80">
        <v>92</v>
      </c>
      <c r="V75" s="16">
        <f t="shared" si="2"/>
        <v>3312</v>
      </c>
      <c r="W75" s="80">
        <v>10</v>
      </c>
      <c r="X75" s="80" t="s">
        <v>35</v>
      </c>
      <c r="Y75" s="80" t="s">
        <v>86</v>
      </c>
      <c r="Z75" s="80" t="s">
        <v>74</v>
      </c>
      <c r="AA75" s="80" t="s">
        <v>70</v>
      </c>
      <c r="AB75" s="80" t="s">
        <v>161</v>
      </c>
    </row>
    <row r="76" spans="1:28" x14ac:dyDescent="0.15">
      <c r="A76" s="80" t="s">
        <v>23</v>
      </c>
      <c r="B76" s="80" t="s">
        <v>160</v>
      </c>
      <c r="C76" s="80">
        <v>2020</v>
      </c>
      <c r="D76" s="122" t="s">
        <v>247</v>
      </c>
      <c r="E76" s="80" t="s">
        <v>259</v>
      </c>
      <c r="F76" s="80" t="s">
        <v>260</v>
      </c>
      <c r="G76" s="80" t="s">
        <v>25</v>
      </c>
      <c r="H76" s="80" t="s">
        <v>167</v>
      </c>
      <c r="I76" s="80" t="s">
        <v>111</v>
      </c>
      <c r="J76" s="80" t="s">
        <v>27</v>
      </c>
      <c r="K76" s="80" t="s">
        <v>112</v>
      </c>
      <c r="L76" s="80">
        <v>3</v>
      </c>
      <c r="N76" s="80">
        <v>1</v>
      </c>
      <c r="O76" s="80">
        <v>0.5</v>
      </c>
      <c r="P76" s="80">
        <v>0.45</v>
      </c>
      <c r="Q76" s="44">
        <f t="shared" si="0"/>
        <v>0.47499999999999998</v>
      </c>
      <c r="R76" s="80">
        <v>16.5</v>
      </c>
      <c r="S76" s="80">
        <v>130.5</v>
      </c>
      <c r="T76" s="16">
        <f t="shared" si="6"/>
        <v>36</v>
      </c>
      <c r="U76" s="80">
        <v>92</v>
      </c>
      <c r="V76" s="16">
        <f t="shared" si="2"/>
        <v>3312</v>
      </c>
      <c r="W76" s="80">
        <v>10</v>
      </c>
      <c r="X76" s="80" t="s">
        <v>35</v>
      </c>
      <c r="Y76" s="80" t="s">
        <v>86</v>
      </c>
      <c r="Z76" s="80" t="s">
        <v>74</v>
      </c>
      <c r="AA76" s="80" t="s">
        <v>70</v>
      </c>
      <c r="AB76" s="80" t="s">
        <v>161</v>
      </c>
    </row>
    <row r="77" spans="1:28" x14ac:dyDescent="0.15">
      <c r="A77" s="80" t="s">
        <v>23</v>
      </c>
      <c r="B77" s="80" t="s">
        <v>160</v>
      </c>
      <c r="C77" s="80">
        <v>2020</v>
      </c>
      <c r="D77" s="122" t="s">
        <v>247</v>
      </c>
      <c r="E77" s="80" t="s">
        <v>259</v>
      </c>
      <c r="F77" s="80" t="s">
        <v>260</v>
      </c>
      <c r="G77" s="80" t="s">
        <v>25</v>
      </c>
      <c r="H77" s="80" t="s">
        <v>167</v>
      </c>
      <c r="I77" s="80" t="s">
        <v>111</v>
      </c>
      <c r="J77" s="80" t="s">
        <v>27</v>
      </c>
      <c r="K77" s="80" t="s">
        <v>112</v>
      </c>
      <c r="L77" s="80">
        <v>1</v>
      </c>
      <c r="N77" s="80">
        <v>4</v>
      </c>
      <c r="O77" s="80">
        <v>0.2</v>
      </c>
      <c r="P77" s="80">
        <v>0.5</v>
      </c>
      <c r="Q77" s="44">
        <f t="shared" si="0"/>
        <v>0.35</v>
      </c>
      <c r="R77" s="80">
        <v>15.6</v>
      </c>
      <c r="S77" s="80">
        <v>90</v>
      </c>
      <c r="T77" s="16">
        <f t="shared" si="6"/>
        <v>16</v>
      </c>
      <c r="U77" s="80">
        <v>357</v>
      </c>
      <c r="V77" s="16">
        <f t="shared" si="2"/>
        <v>1428</v>
      </c>
      <c r="W77" s="80">
        <v>10</v>
      </c>
      <c r="X77" s="80" t="s">
        <v>35</v>
      </c>
      <c r="Y77" s="80" t="s">
        <v>86</v>
      </c>
      <c r="Z77" s="80" t="s">
        <v>74</v>
      </c>
      <c r="AA77" s="80" t="s">
        <v>70</v>
      </c>
      <c r="AB77" s="80" t="s">
        <v>161</v>
      </c>
    </row>
    <row r="78" spans="1:28" x14ac:dyDescent="0.15">
      <c r="A78" s="80" t="s">
        <v>23</v>
      </c>
      <c r="B78" s="80" t="s">
        <v>160</v>
      </c>
      <c r="C78" s="80">
        <v>2020</v>
      </c>
      <c r="D78" s="122" t="s">
        <v>247</v>
      </c>
      <c r="E78" s="80" t="s">
        <v>259</v>
      </c>
      <c r="F78" s="80" t="s">
        <v>260</v>
      </c>
      <c r="G78" s="80" t="s">
        <v>25</v>
      </c>
      <c r="H78" s="80" t="s">
        <v>167</v>
      </c>
      <c r="I78" s="80" t="s">
        <v>111</v>
      </c>
      <c r="J78" s="80" t="s">
        <v>27</v>
      </c>
      <c r="K78" s="80" t="s">
        <v>112</v>
      </c>
      <c r="L78" s="80">
        <v>2</v>
      </c>
      <c r="N78" s="80">
        <v>4</v>
      </c>
      <c r="O78" s="80">
        <v>0.2</v>
      </c>
      <c r="P78" s="80">
        <v>0.2</v>
      </c>
      <c r="Q78" s="44">
        <f t="shared" si="0"/>
        <v>0.2</v>
      </c>
      <c r="R78" s="80">
        <v>15.5</v>
      </c>
      <c r="S78" s="80">
        <v>83.5</v>
      </c>
      <c r="T78" s="16">
        <f t="shared" si="6"/>
        <v>16</v>
      </c>
      <c r="U78" s="80">
        <v>357</v>
      </c>
      <c r="V78" s="16">
        <f t="shared" si="2"/>
        <v>1428</v>
      </c>
      <c r="W78" s="80">
        <v>10</v>
      </c>
      <c r="X78" s="80" t="s">
        <v>35</v>
      </c>
      <c r="Y78" s="80" t="s">
        <v>86</v>
      </c>
      <c r="Z78" s="80" t="s">
        <v>74</v>
      </c>
      <c r="AA78" s="80" t="s">
        <v>70</v>
      </c>
      <c r="AB78" s="80" t="s">
        <v>161</v>
      </c>
    </row>
    <row r="79" spans="1:28" x14ac:dyDescent="0.15">
      <c r="A79" s="80" t="s">
        <v>23</v>
      </c>
      <c r="B79" s="80" t="s">
        <v>160</v>
      </c>
      <c r="C79" s="80">
        <v>2020</v>
      </c>
      <c r="D79" s="122" t="s">
        <v>247</v>
      </c>
      <c r="E79" s="80" t="s">
        <v>259</v>
      </c>
      <c r="F79" s="80" t="s">
        <v>260</v>
      </c>
      <c r="G79" s="80" t="s">
        <v>25</v>
      </c>
      <c r="H79" s="80" t="s">
        <v>167</v>
      </c>
      <c r="I79" s="80" t="s">
        <v>111</v>
      </c>
      <c r="J79" s="80" t="s">
        <v>27</v>
      </c>
      <c r="K79" s="80" t="s">
        <v>112</v>
      </c>
      <c r="L79" s="80">
        <v>3</v>
      </c>
      <c r="N79" s="80">
        <v>4</v>
      </c>
      <c r="O79" s="80">
        <v>0.2</v>
      </c>
      <c r="P79" s="80">
        <v>0.2</v>
      </c>
      <c r="Q79" s="44">
        <f t="shared" si="0"/>
        <v>0.2</v>
      </c>
      <c r="R79" s="80">
        <v>13</v>
      </c>
      <c r="S79" s="80">
        <v>86</v>
      </c>
      <c r="T79" s="16">
        <f t="shared" si="6"/>
        <v>16</v>
      </c>
      <c r="U79" s="80">
        <v>357</v>
      </c>
      <c r="V79" s="16">
        <f t="shared" si="2"/>
        <v>1428</v>
      </c>
      <c r="W79" s="80">
        <v>10</v>
      </c>
      <c r="X79" s="80" t="s">
        <v>35</v>
      </c>
      <c r="Y79" s="80" t="s">
        <v>86</v>
      </c>
      <c r="Z79" s="80" t="s">
        <v>74</v>
      </c>
      <c r="AA79" s="80" t="s">
        <v>70</v>
      </c>
      <c r="AB79" s="80" t="s">
        <v>161</v>
      </c>
    </row>
    <row r="80" spans="1:28" x14ac:dyDescent="0.15">
      <c r="A80" s="80" t="s">
        <v>23</v>
      </c>
      <c r="B80" s="80" t="s">
        <v>160</v>
      </c>
      <c r="C80" s="80">
        <v>2020</v>
      </c>
      <c r="D80" s="122" t="s">
        <v>247</v>
      </c>
      <c r="E80" s="80" t="s">
        <v>273</v>
      </c>
      <c r="F80" s="80" t="s">
        <v>262</v>
      </c>
      <c r="G80" s="80" t="s">
        <v>25</v>
      </c>
      <c r="H80" s="80" t="s">
        <v>113</v>
      </c>
      <c r="I80" s="80" t="s">
        <v>111</v>
      </c>
      <c r="J80" s="80" t="s">
        <v>27</v>
      </c>
      <c r="K80" s="80" t="s">
        <v>112</v>
      </c>
      <c r="L80" s="80">
        <v>1</v>
      </c>
      <c r="N80" s="80">
        <v>1</v>
      </c>
      <c r="O80" s="80">
        <v>0.6</v>
      </c>
      <c r="P80" s="80">
        <v>0.45</v>
      </c>
      <c r="Q80" s="44">
        <f t="shared" si="0"/>
        <v>0.52500000000000002</v>
      </c>
      <c r="R80" s="80">
        <v>15.7</v>
      </c>
      <c r="S80" s="80">
        <v>121.5</v>
      </c>
      <c r="T80" s="16">
        <f t="shared" si="6"/>
        <v>33</v>
      </c>
      <c r="U80" s="80">
        <v>100</v>
      </c>
      <c r="V80" s="16">
        <f t="shared" si="2"/>
        <v>3300</v>
      </c>
      <c r="W80" s="80">
        <v>6</v>
      </c>
      <c r="X80" s="80" t="s">
        <v>35</v>
      </c>
      <c r="Y80" s="80" t="s">
        <v>64</v>
      </c>
      <c r="Z80" s="80" t="s">
        <v>55</v>
      </c>
      <c r="AA80" s="80" t="s">
        <v>74</v>
      </c>
      <c r="AB80" s="80" t="s">
        <v>161</v>
      </c>
    </row>
    <row r="81" spans="1:28" x14ac:dyDescent="0.15">
      <c r="A81" s="80" t="s">
        <v>23</v>
      </c>
      <c r="B81" s="80" t="s">
        <v>160</v>
      </c>
      <c r="C81" s="80">
        <v>2020</v>
      </c>
      <c r="D81" s="122" t="s">
        <v>247</v>
      </c>
      <c r="E81" s="80" t="s">
        <v>273</v>
      </c>
      <c r="F81" s="80" t="s">
        <v>262</v>
      </c>
      <c r="G81" s="80" t="s">
        <v>25</v>
      </c>
      <c r="H81" s="80" t="s">
        <v>113</v>
      </c>
      <c r="I81" s="80" t="s">
        <v>111</v>
      </c>
      <c r="J81" s="80" t="s">
        <v>27</v>
      </c>
      <c r="K81" s="80" t="s">
        <v>112</v>
      </c>
      <c r="L81" s="80">
        <v>2</v>
      </c>
      <c r="N81" s="80">
        <v>1</v>
      </c>
      <c r="O81" s="80">
        <v>0.55000000000000004</v>
      </c>
      <c r="P81" s="80">
        <v>0.6</v>
      </c>
      <c r="Q81" s="44">
        <f t="shared" si="0"/>
        <v>0.57499999999999996</v>
      </c>
      <c r="R81" s="80">
        <v>16.5</v>
      </c>
      <c r="S81" s="80">
        <v>120</v>
      </c>
      <c r="T81" s="16">
        <f t="shared" si="6"/>
        <v>33</v>
      </c>
      <c r="U81" s="80">
        <v>100</v>
      </c>
      <c r="V81" s="16">
        <f t="shared" si="2"/>
        <v>3300</v>
      </c>
      <c r="W81" s="80">
        <v>6</v>
      </c>
      <c r="X81" s="80" t="s">
        <v>35</v>
      </c>
      <c r="Y81" s="80" t="s">
        <v>64</v>
      </c>
      <c r="Z81" s="80" t="s">
        <v>55</v>
      </c>
      <c r="AA81" s="80" t="s">
        <v>74</v>
      </c>
      <c r="AB81" s="80" t="s">
        <v>161</v>
      </c>
    </row>
    <row r="82" spans="1:28" x14ac:dyDescent="0.15">
      <c r="A82" s="80" t="s">
        <v>23</v>
      </c>
      <c r="B82" s="80" t="s">
        <v>160</v>
      </c>
      <c r="C82" s="80">
        <v>2020</v>
      </c>
      <c r="D82" s="122" t="s">
        <v>247</v>
      </c>
      <c r="E82" s="80" t="s">
        <v>273</v>
      </c>
      <c r="F82" s="80" t="s">
        <v>262</v>
      </c>
      <c r="G82" s="80" t="s">
        <v>25</v>
      </c>
      <c r="H82" s="80" t="s">
        <v>113</v>
      </c>
      <c r="I82" s="80" t="s">
        <v>111</v>
      </c>
      <c r="J82" s="80" t="s">
        <v>27</v>
      </c>
      <c r="K82" s="80" t="s">
        <v>112</v>
      </c>
      <c r="L82" s="80">
        <v>3</v>
      </c>
      <c r="N82" s="80">
        <v>1</v>
      </c>
      <c r="O82" s="80">
        <v>0.55000000000000004</v>
      </c>
      <c r="P82" s="80">
        <v>0.65</v>
      </c>
      <c r="Q82" s="44">
        <f t="shared" si="0"/>
        <v>0.60000000000000009</v>
      </c>
      <c r="R82" s="80">
        <v>15.7</v>
      </c>
      <c r="S82" s="80">
        <v>124</v>
      </c>
      <c r="T82" s="16">
        <f t="shared" si="6"/>
        <v>33</v>
      </c>
      <c r="U82" s="80">
        <v>100</v>
      </c>
      <c r="V82" s="16">
        <f t="shared" si="2"/>
        <v>3300</v>
      </c>
      <c r="W82" s="80">
        <v>6</v>
      </c>
      <c r="X82" s="80" t="s">
        <v>35</v>
      </c>
      <c r="Y82" s="80" t="s">
        <v>64</v>
      </c>
      <c r="Z82" s="80" t="s">
        <v>55</v>
      </c>
      <c r="AA82" s="80" t="s">
        <v>74</v>
      </c>
      <c r="AB82" s="80" t="s">
        <v>161</v>
      </c>
    </row>
    <row r="83" spans="1:28" x14ac:dyDescent="0.15">
      <c r="A83" s="80" t="s">
        <v>23</v>
      </c>
      <c r="B83" s="80" t="s">
        <v>160</v>
      </c>
      <c r="C83" s="80">
        <v>2020</v>
      </c>
      <c r="D83" s="122" t="s">
        <v>247</v>
      </c>
      <c r="E83" s="80" t="s">
        <v>273</v>
      </c>
      <c r="F83" s="80" t="s">
        <v>262</v>
      </c>
      <c r="G83" s="80" t="s">
        <v>25</v>
      </c>
      <c r="H83" s="80" t="s">
        <v>113</v>
      </c>
      <c r="I83" s="80" t="s">
        <v>111</v>
      </c>
      <c r="J83" s="80" t="s">
        <v>27</v>
      </c>
      <c r="K83" s="80" t="s">
        <v>112</v>
      </c>
      <c r="L83" s="80">
        <v>1</v>
      </c>
      <c r="N83" s="80">
        <v>6</v>
      </c>
      <c r="O83" s="80">
        <v>0.65</v>
      </c>
      <c r="P83" s="80">
        <v>0.7</v>
      </c>
      <c r="Q83" s="44">
        <f t="shared" ref="Q83:Q146" si="7">IF(OR(O83="",P83=""),"",AVERAGE(O83,P83))</f>
        <v>0.67500000000000004</v>
      </c>
      <c r="R83" s="80">
        <v>15.9</v>
      </c>
      <c r="S83" s="80">
        <v>93.5</v>
      </c>
      <c r="T83" s="16">
        <f t="shared" si="6"/>
        <v>16</v>
      </c>
      <c r="U83" s="80">
        <v>398</v>
      </c>
      <c r="V83" s="16">
        <f t="shared" si="2"/>
        <v>1061.3333333333333</v>
      </c>
      <c r="W83" s="80">
        <v>6</v>
      </c>
      <c r="X83" s="80" t="s">
        <v>35</v>
      </c>
      <c r="Y83" s="80" t="s">
        <v>64</v>
      </c>
      <c r="Z83" s="80" t="s">
        <v>55</v>
      </c>
      <c r="AA83" s="80" t="s">
        <v>74</v>
      </c>
      <c r="AB83" s="80" t="s">
        <v>161</v>
      </c>
    </row>
    <row r="84" spans="1:28" x14ac:dyDescent="0.15">
      <c r="A84" s="80" t="s">
        <v>23</v>
      </c>
      <c r="B84" s="80" t="s">
        <v>160</v>
      </c>
      <c r="C84" s="80">
        <v>2020</v>
      </c>
      <c r="D84" s="122" t="s">
        <v>247</v>
      </c>
      <c r="E84" s="80" t="s">
        <v>273</v>
      </c>
      <c r="F84" s="80" t="s">
        <v>262</v>
      </c>
      <c r="G84" s="80" t="s">
        <v>25</v>
      </c>
      <c r="H84" s="80" t="s">
        <v>113</v>
      </c>
      <c r="I84" s="80" t="s">
        <v>111</v>
      </c>
      <c r="J84" s="80" t="s">
        <v>27</v>
      </c>
      <c r="K84" s="80" t="s">
        <v>112</v>
      </c>
      <c r="L84" s="80">
        <v>2</v>
      </c>
      <c r="N84" s="80">
        <v>6</v>
      </c>
      <c r="O84" s="80">
        <v>0.7</v>
      </c>
      <c r="P84" s="80">
        <v>0.7</v>
      </c>
      <c r="Q84" s="44">
        <f t="shared" si="7"/>
        <v>0.7</v>
      </c>
      <c r="R84" s="80">
        <v>16.3</v>
      </c>
      <c r="S84" s="80">
        <v>86</v>
      </c>
      <c r="T84" s="16">
        <f t="shared" si="6"/>
        <v>16</v>
      </c>
      <c r="U84" s="80">
        <v>398</v>
      </c>
      <c r="V84" s="16">
        <f t="shared" si="2"/>
        <v>1061.3333333333333</v>
      </c>
      <c r="W84" s="80">
        <v>6</v>
      </c>
      <c r="X84" s="80" t="s">
        <v>35</v>
      </c>
      <c r="Y84" s="80" t="s">
        <v>64</v>
      </c>
      <c r="Z84" s="80" t="s">
        <v>55</v>
      </c>
      <c r="AA84" s="80" t="s">
        <v>74</v>
      </c>
      <c r="AB84" s="80" t="s">
        <v>161</v>
      </c>
    </row>
    <row r="85" spans="1:28" x14ac:dyDescent="0.15">
      <c r="A85" s="80" t="s">
        <v>23</v>
      </c>
      <c r="B85" s="80" t="s">
        <v>160</v>
      </c>
      <c r="C85" s="80">
        <v>2020</v>
      </c>
      <c r="D85" s="122" t="s">
        <v>247</v>
      </c>
      <c r="E85" s="80" t="s">
        <v>273</v>
      </c>
      <c r="F85" s="80" t="s">
        <v>262</v>
      </c>
      <c r="G85" s="80" t="s">
        <v>25</v>
      </c>
      <c r="H85" s="80" t="s">
        <v>113</v>
      </c>
      <c r="I85" s="80" t="s">
        <v>111</v>
      </c>
      <c r="J85" s="80" t="s">
        <v>27</v>
      </c>
      <c r="K85" s="80" t="s">
        <v>112</v>
      </c>
      <c r="L85" s="80">
        <v>3</v>
      </c>
      <c r="N85" s="80">
        <v>6</v>
      </c>
      <c r="O85" s="80">
        <v>0.5</v>
      </c>
      <c r="P85" s="80">
        <v>0.65</v>
      </c>
      <c r="Q85" s="16">
        <f t="shared" si="7"/>
        <v>0.57499999999999996</v>
      </c>
      <c r="R85" s="80">
        <v>15.9</v>
      </c>
      <c r="S85" s="80">
        <v>90</v>
      </c>
      <c r="T85" s="16">
        <f t="shared" si="6"/>
        <v>16</v>
      </c>
      <c r="U85" s="80">
        <v>398</v>
      </c>
      <c r="V85" s="16">
        <f t="shared" si="2"/>
        <v>1061.3333333333333</v>
      </c>
      <c r="W85" s="80">
        <v>6</v>
      </c>
      <c r="X85" s="80" t="s">
        <v>35</v>
      </c>
      <c r="Y85" s="80" t="s">
        <v>64</v>
      </c>
      <c r="Z85" s="80" t="s">
        <v>55</v>
      </c>
      <c r="AA85" s="80" t="s">
        <v>74</v>
      </c>
      <c r="AB85" s="80" t="s">
        <v>161</v>
      </c>
    </row>
    <row r="86" spans="1:28" x14ac:dyDescent="0.15">
      <c r="A86" s="80" t="s">
        <v>23</v>
      </c>
      <c r="B86" s="80" t="s">
        <v>160</v>
      </c>
      <c r="C86" s="80">
        <v>2020</v>
      </c>
      <c r="D86" s="122" t="s">
        <v>247</v>
      </c>
      <c r="E86" s="80" t="s">
        <v>273</v>
      </c>
      <c r="F86" s="80" t="s">
        <v>262</v>
      </c>
      <c r="G86" s="80" t="s">
        <v>25</v>
      </c>
      <c r="H86" s="80" t="s">
        <v>167</v>
      </c>
      <c r="I86" s="80" t="s">
        <v>111</v>
      </c>
      <c r="J86" s="80" t="s">
        <v>27</v>
      </c>
      <c r="K86" s="80" t="s">
        <v>112</v>
      </c>
      <c r="L86" s="80">
        <v>1</v>
      </c>
      <c r="N86" s="80">
        <v>1</v>
      </c>
      <c r="O86" s="80">
        <v>0.5</v>
      </c>
      <c r="P86" s="80">
        <v>0.5</v>
      </c>
      <c r="Q86" s="16">
        <f t="shared" si="7"/>
        <v>0.5</v>
      </c>
      <c r="R86" s="80">
        <v>15.7</v>
      </c>
      <c r="S86" s="80">
        <v>113</v>
      </c>
      <c r="T86" s="16">
        <f t="shared" si="6"/>
        <v>33</v>
      </c>
      <c r="U86" s="80">
        <v>100</v>
      </c>
      <c r="V86" s="16">
        <f t="shared" si="2"/>
        <v>3300</v>
      </c>
      <c r="W86" s="80">
        <v>6</v>
      </c>
      <c r="X86" s="80" t="s">
        <v>35</v>
      </c>
      <c r="Y86" s="80" t="s">
        <v>64</v>
      </c>
      <c r="Z86" s="80" t="s">
        <v>55</v>
      </c>
      <c r="AA86" s="80" t="s">
        <v>74</v>
      </c>
      <c r="AB86" s="80" t="s">
        <v>161</v>
      </c>
    </row>
    <row r="87" spans="1:28" x14ac:dyDescent="0.15">
      <c r="A87" s="80" t="s">
        <v>23</v>
      </c>
      <c r="B87" s="80" t="s">
        <v>160</v>
      </c>
      <c r="C87" s="80">
        <v>2020</v>
      </c>
      <c r="D87" s="122" t="s">
        <v>247</v>
      </c>
      <c r="E87" s="80" t="s">
        <v>273</v>
      </c>
      <c r="F87" s="80" t="s">
        <v>262</v>
      </c>
      <c r="G87" s="80" t="s">
        <v>25</v>
      </c>
      <c r="H87" s="80" t="s">
        <v>167</v>
      </c>
      <c r="I87" s="80" t="s">
        <v>111</v>
      </c>
      <c r="J87" s="80" t="s">
        <v>27</v>
      </c>
      <c r="K87" s="80" t="s">
        <v>112</v>
      </c>
      <c r="L87" s="80">
        <v>2</v>
      </c>
      <c r="N87" s="80">
        <v>1</v>
      </c>
      <c r="O87" s="80">
        <v>0.55000000000000004</v>
      </c>
      <c r="P87" s="80">
        <v>0.5</v>
      </c>
      <c r="Q87" s="16">
        <f t="shared" si="7"/>
        <v>0.52500000000000002</v>
      </c>
      <c r="R87" s="80">
        <v>15.7</v>
      </c>
      <c r="S87" s="80">
        <v>105.5</v>
      </c>
      <c r="T87" s="16">
        <f t="shared" si="6"/>
        <v>33</v>
      </c>
      <c r="U87" s="80">
        <v>100</v>
      </c>
      <c r="V87" s="16">
        <f t="shared" si="2"/>
        <v>3300</v>
      </c>
      <c r="W87" s="80">
        <v>6</v>
      </c>
      <c r="X87" s="80" t="s">
        <v>35</v>
      </c>
      <c r="Y87" s="80" t="s">
        <v>64</v>
      </c>
      <c r="Z87" s="80" t="s">
        <v>55</v>
      </c>
      <c r="AA87" s="80" t="s">
        <v>74</v>
      </c>
      <c r="AB87" s="80" t="s">
        <v>161</v>
      </c>
    </row>
    <row r="88" spans="1:28" x14ac:dyDescent="0.15">
      <c r="A88" s="80" t="s">
        <v>23</v>
      </c>
      <c r="B88" s="80" t="s">
        <v>160</v>
      </c>
      <c r="C88" s="80">
        <v>2020</v>
      </c>
      <c r="D88" s="122" t="s">
        <v>247</v>
      </c>
      <c r="E88" s="80" t="s">
        <v>273</v>
      </c>
      <c r="F88" s="80" t="s">
        <v>262</v>
      </c>
      <c r="G88" s="80" t="s">
        <v>25</v>
      </c>
      <c r="H88" s="80" t="s">
        <v>167</v>
      </c>
      <c r="I88" s="80" t="s">
        <v>111</v>
      </c>
      <c r="J88" s="80" t="s">
        <v>27</v>
      </c>
      <c r="K88" s="80" t="s">
        <v>112</v>
      </c>
      <c r="L88" s="80">
        <v>3</v>
      </c>
      <c r="N88" s="80">
        <v>1</v>
      </c>
      <c r="O88" s="80">
        <v>0.2</v>
      </c>
      <c r="P88" s="80">
        <v>0.2</v>
      </c>
      <c r="Q88" s="16">
        <f t="shared" si="7"/>
        <v>0.2</v>
      </c>
      <c r="R88" s="80">
        <v>15.7</v>
      </c>
      <c r="S88" s="80">
        <v>103</v>
      </c>
      <c r="T88" s="16">
        <f t="shared" si="6"/>
        <v>33</v>
      </c>
      <c r="U88" s="80">
        <v>100</v>
      </c>
      <c r="V88" s="16">
        <f t="shared" si="2"/>
        <v>3300</v>
      </c>
      <c r="W88" s="80">
        <v>6</v>
      </c>
      <c r="X88" s="80" t="s">
        <v>35</v>
      </c>
      <c r="Y88" s="80" t="s">
        <v>64</v>
      </c>
      <c r="Z88" s="80" t="s">
        <v>55</v>
      </c>
      <c r="AA88" s="80" t="s">
        <v>74</v>
      </c>
      <c r="AB88" s="80" t="s">
        <v>161</v>
      </c>
    </row>
    <row r="89" spans="1:28" x14ac:dyDescent="0.15">
      <c r="A89" s="80" t="s">
        <v>23</v>
      </c>
      <c r="B89" s="80" t="s">
        <v>160</v>
      </c>
      <c r="C89" s="80">
        <v>2020</v>
      </c>
      <c r="D89" s="122" t="s">
        <v>247</v>
      </c>
      <c r="E89" s="80" t="s">
        <v>273</v>
      </c>
      <c r="F89" s="80" t="s">
        <v>262</v>
      </c>
      <c r="G89" s="80" t="s">
        <v>25</v>
      </c>
      <c r="H89" s="80" t="s">
        <v>167</v>
      </c>
      <c r="I89" s="80" t="s">
        <v>111</v>
      </c>
      <c r="J89" s="80" t="s">
        <v>27</v>
      </c>
      <c r="K89" s="80" t="s">
        <v>112</v>
      </c>
      <c r="L89" s="80">
        <v>1</v>
      </c>
      <c r="N89" s="80">
        <v>4</v>
      </c>
      <c r="O89" s="80">
        <v>0.55000000000000004</v>
      </c>
      <c r="P89" s="80">
        <v>0.55000000000000004</v>
      </c>
      <c r="Q89" s="16">
        <f t="shared" si="7"/>
        <v>0.55000000000000004</v>
      </c>
      <c r="R89" s="80">
        <v>15.6</v>
      </c>
      <c r="S89" s="80">
        <v>106</v>
      </c>
      <c r="T89" s="16">
        <f t="shared" si="5"/>
        <v>33</v>
      </c>
      <c r="U89" s="80">
        <v>398</v>
      </c>
      <c r="V89" s="16">
        <f t="shared" si="2"/>
        <v>3283.5</v>
      </c>
      <c r="W89" s="80">
        <v>6</v>
      </c>
      <c r="X89" s="80" t="s">
        <v>35</v>
      </c>
      <c r="Y89" s="80" t="s">
        <v>64</v>
      </c>
      <c r="Z89" s="80" t="s">
        <v>55</v>
      </c>
      <c r="AA89" s="80" t="s">
        <v>74</v>
      </c>
      <c r="AB89" s="80" t="s">
        <v>161</v>
      </c>
    </row>
    <row r="90" spans="1:28" x14ac:dyDescent="0.15">
      <c r="A90" s="80" t="s">
        <v>23</v>
      </c>
      <c r="B90" s="80" t="s">
        <v>160</v>
      </c>
      <c r="C90" s="80">
        <v>2020</v>
      </c>
      <c r="D90" s="122" t="s">
        <v>247</v>
      </c>
      <c r="E90" s="80" t="s">
        <v>273</v>
      </c>
      <c r="F90" s="80" t="s">
        <v>262</v>
      </c>
      <c r="G90" s="80" t="s">
        <v>25</v>
      </c>
      <c r="H90" s="80" t="s">
        <v>167</v>
      </c>
      <c r="I90" s="80" t="s">
        <v>111</v>
      </c>
      <c r="J90" s="80" t="s">
        <v>27</v>
      </c>
      <c r="K90" s="80" t="s">
        <v>112</v>
      </c>
      <c r="L90" s="80">
        <v>2</v>
      </c>
      <c r="N90" s="80">
        <v>4</v>
      </c>
      <c r="O90" s="80">
        <v>0.5</v>
      </c>
      <c r="P90" s="80">
        <v>0.55000000000000004</v>
      </c>
      <c r="Q90" s="16">
        <f t="shared" si="7"/>
        <v>0.52500000000000002</v>
      </c>
      <c r="R90" s="80">
        <v>16.2</v>
      </c>
      <c r="S90" s="80">
        <v>111.5</v>
      </c>
      <c r="T90" s="16">
        <f t="shared" si="5"/>
        <v>33</v>
      </c>
      <c r="U90" s="80">
        <v>398</v>
      </c>
      <c r="V90" s="16">
        <f t="shared" si="2"/>
        <v>3283.5</v>
      </c>
      <c r="W90" s="80">
        <v>6</v>
      </c>
      <c r="X90" s="80" t="s">
        <v>35</v>
      </c>
      <c r="Y90" s="80" t="s">
        <v>64</v>
      </c>
      <c r="Z90" s="80" t="s">
        <v>55</v>
      </c>
      <c r="AA90" s="80" t="s">
        <v>74</v>
      </c>
      <c r="AB90" s="80" t="s">
        <v>161</v>
      </c>
    </row>
    <row r="91" spans="1:28" x14ac:dyDescent="0.15">
      <c r="A91" s="80" t="s">
        <v>23</v>
      </c>
      <c r="B91" s="80" t="s">
        <v>160</v>
      </c>
      <c r="C91" s="80">
        <v>2020</v>
      </c>
      <c r="D91" s="122" t="s">
        <v>247</v>
      </c>
      <c r="E91" s="80" t="s">
        <v>273</v>
      </c>
      <c r="F91" s="80" t="s">
        <v>262</v>
      </c>
      <c r="G91" s="80" t="s">
        <v>25</v>
      </c>
      <c r="H91" s="80" t="s">
        <v>167</v>
      </c>
      <c r="I91" s="80" t="s">
        <v>111</v>
      </c>
      <c r="J91" s="80" t="s">
        <v>27</v>
      </c>
      <c r="K91" s="80" t="s">
        <v>112</v>
      </c>
      <c r="L91" s="80">
        <v>3</v>
      </c>
      <c r="N91" s="80">
        <v>4</v>
      </c>
      <c r="O91" s="80">
        <v>0.2</v>
      </c>
      <c r="P91" s="80">
        <v>0.2</v>
      </c>
      <c r="Q91" s="16">
        <f t="shared" si="7"/>
        <v>0.2</v>
      </c>
      <c r="R91" s="80">
        <v>15.7</v>
      </c>
      <c r="S91" s="80">
        <v>105.5</v>
      </c>
      <c r="T91" s="16">
        <f t="shared" si="5"/>
        <v>33</v>
      </c>
      <c r="U91" s="80">
        <v>398</v>
      </c>
      <c r="V91" s="16">
        <f t="shared" si="2"/>
        <v>3283.5</v>
      </c>
      <c r="W91" s="80">
        <v>6</v>
      </c>
      <c r="X91" s="80" t="s">
        <v>35</v>
      </c>
      <c r="Y91" s="80" t="s">
        <v>64</v>
      </c>
      <c r="Z91" s="80" t="s">
        <v>55</v>
      </c>
      <c r="AA91" s="80" t="s">
        <v>74</v>
      </c>
      <c r="AB91" s="80" t="s">
        <v>161</v>
      </c>
    </row>
    <row r="92" spans="1:28" x14ac:dyDescent="0.15">
      <c r="A92" s="80" t="s">
        <v>23</v>
      </c>
      <c r="B92" s="80" t="s">
        <v>160</v>
      </c>
      <c r="C92" s="80">
        <v>2020</v>
      </c>
      <c r="D92" s="122" t="s">
        <v>247</v>
      </c>
      <c r="E92" s="80" t="s">
        <v>273</v>
      </c>
      <c r="F92" s="80" t="s">
        <v>262</v>
      </c>
      <c r="G92" s="80" t="s">
        <v>25</v>
      </c>
      <c r="H92" s="80" t="s">
        <v>167</v>
      </c>
      <c r="I92" s="80" t="s">
        <v>111</v>
      </c>
      <c r="J92" s="80" t="s">
        <v>27</v>
      </c>
      <c r="K92" s="80" t="s">
        <v>112</v>
      </c>
      <c r="L92" s="80">
        <v>1</v>
      </c>
      <c r="N92" s="80">
        <v>4</v>
      </c>
      <c r="O92" s="80">
        <v>0.5</v>
      </c>
      <c r="P92" s="80">
        <v>0.55000000000000004</v>
      </c>
      <c r="Q92" s="16">
        <f t="shared" si="7"/>
        <v>0.52500000000000002</v>
      </c>
      <c r="R92" s="80">
        <v>18.2</v>
      </c>
      <c r="S92" s="80">
        <v>148.5</v>
      </c>
      <c r="T92" s="16">
        <f t="shared" si="5"/>
        <v>30</v>
      </c>
      <c r="U92" s="80">
        <v>680</v>
      </c>
      <c r="V92" s="16">
        <f t="shared" si="2"/>
        <v>5100</v>
      </c>
      <c r="W92" s="80">
        <v>6</v>
      </c>
      <c r="X92" s="80" t="s">
        <v>35</v>
      </c>
      <c r="Y92" s="80" t="s">
        <v>64</v>
      </c>
      <c r="Z92" s="80" t="s">
        <v>55</v>
      </c>
      <c r="AA92" s="80" t="s">
        <v>74</v>
      </c>
      <c r="AB92" s="80" t="s">
        <v>161</v>
      </c>
    </row>
    <row r="93" spans="1:28" x14ac:dyDescent="0.15">
      <c r="A93" s="80" t="s">
        <v>23</v>
      </c>
      <c r="B93" s="80" t="s">
        <v>160</v>
      </c>
      <c r="C93" s="80">
        <v>2020</v>
      </c>
      <c r="D93" s="122" t="s">
        <v>247</v>
      </c>
      <c r="E93" s="80" t="s">
        <v>273</v>
      </c>
      <c r="F93" s="80" t="s">
        <v>262</v>
      </c>
      <c r="G93" s="80" t="s">
        <v>25</v>
      </c>
      <c r="H93" s="80" t="s">
        <v>167</v>
      </c>
      <c r="I93" s="80" t="s">
        <v>111</v>
      </c>
      <c r="J93" s="80" t="s">
        <v>27</v>
      </c>
      <c r="K93" s="80" t="s">
        <v>112</v>
      </c>
      <c r="L93" s="80">
        <v>2</v>
      </c>
      <c r="N93" s="80">
        <v>4</v>
      </c>
      <c r="O93" s="80">
        <v>0.6</v>
      </c>
      <c r="P93" s="80">
        <v>0.65</v>
      </c>
      <c r="Q93" s="16">
        <f t="shared" si="7"/>
        <v>0.625</v>
      </c>
      <c r="R93" s="80">
        <v>17.600000000000001</v>
      </c>
      <c r="S93" s="80">
        <v>168</v>
      </c>
      <c r="T93" s="16">
        <f t="shared" si="5"/>
        <v>18</v>
      </c>
      <c r="U93" s="80">
        <v>680</v>
      </c>
      <c r="V93" s="16">
        <f t="shared" si="2"/>
        <v>3060</v>
      </c>
      <c r="W93" s="80">
        <v>6</v>
      </c>
      <c r="X93" s="80" t="s">
        <v>35</v>
      </c>
      <c r="Y93" s="80" t="s">
        <v>64</v>
      </c>
      <c r="Z93" s="80" t="s">
        <v>55</v>
      </c>
      <c r="AA93" s="80" t="s">
        <v>74</v>
      </c>
      <c r="AB93" s="80" t="s">
        <v>161</v>
      </c>
    </row>
    <row r="94" spans="1:28" x14ac:dyDescent="0.15">
      <c r="A94" s="80" t="s">
        <v>23</v>
      </c>
      <c r="B94" s="80" t="s">
        <v>160</v>
      </c>
      <c r="C94" s="80">
        <v>2020</v>
      </c>
      <c r="D94" s="122" t="s">
        <v>247</v>
      </c>
      <c r="E94" s="80" t="s">
        <v>273</v>
      </c>
      <c r="F94" s="80" t="s">
        <v>262</v>
      </c>
      <c r="G94" s="80" t="s">
        <v>25</v>
      </c>
      <c r="H94" s="80" t="s">
        <v>167</v>
      </c>
      <c r="I94" s="80" t="s">
        <v>111</v>
      </c>
      <c r="J94" s="80" t="s">
        <v>27</v>
      </c>
      <c r="K94" s="80" t="s">
        <v>112</v>
      </c>
      <c r="L94" s="80">
        <v>3</v>
      </c>
      <c r="N94" s="80">
        <v>4</v>
      </c>
      <c r="O94" s="80">
        <v>0.55000000000000004</v>
      </c>
      <c r="P94" s="80">
        <v>0.6</v>
      </c>
      <c r="Q94" s="16">
        <f t="shared" si="7"/>
        <v>0.57499999999999996</v>
      </c>
      <c r="R94" s="80">
        <v>17.2</v>
      </c>
      <c r="S94" s="80">
        <v>157</v>
      </c>
      <c r="T94" s="16">
        <f t="shared" si="5"/>
        <v>18</v>
      </c>
      <c r="U94" s="80">
        <v>680</v>
      </c>
      <c r="V94" s="16">
        <f t="shared" si="2"/>
        <v>3060</v>
      </c>
      <c r="W94" s="80">
        <v>6</v>
      </c>
      <c r="X94" s="80" t="s">
        <v>35</v>
      </c>
      <c r="Y94" s="80" t="s">
        <v>64</v>
      </c>
      <c r="Z94" s="80" t="s">
        <v>55</v>
      </c>
      <c r="AA94" s="80" t="s">
        <v>74</v>
      </c>
      <c r="AB94" s="80" t="s">
        <v>161</v>
      </c>
    </row>
    <row r="95" spans="1:28" x14ac:dyDescent="0.15">
      <c r="A95" s="80" t="s">
        <v>23</v>
      </c>
      <c r="B95" s="80" t="s">
        <v>160</v>
      </c>
      <c r="C95" s="80">
        <v>2020</v>
      </c>
      <c r="D95" s="122" t="s">
        <v>247</v>
      </c>
      <c r="E95" s="80" t="s">
        <v>166</v>
      </c>
      <c r="F95" s="80" t="s">
        <v>274</v>
      </c>
      <c r="G95" s="80" t="s">
        <v>25</v>
      </c>
      <c r="H95" s="80" t="s">
        <v>113</v>
      </c>
      <c r="I95" s="80" t="s">
        <v>111</v>
      </c>
      <c r="J95" s="80" t="s">
        <v>27</v>
      </c>
      <c r="K95" s="80" t="s">
        <v>112</v>
      </c>
      <c r="L95" s="80">
        <v>1</v>
      </c>
      <c r="N95" s="80">
        <v>1</v>
      </c>
      <c r="O95" s="80">
        <v>0.6</v>
      </c>
      <c r="P95" s="80">
        <v>0.55000000000000004</v>
      </c>
      <c r="Q95" s="16">
        <f t="shared" si="7"/>
        <v>0.57499999999999996</v>
      </c>
      <c r="R95" s="80">
        <v>15.8</v>
      </c>
      <c r="S95" s="80">
        <v>129</v>
      </c>
      <c r="T95" s="16">
        <f t="shared" si="5"/>
        <v>30</v>
      </c>
      <c r="U95" s="80">
        <v>98</v>
      </c>
      <c r="V95" s="16">
        <f t="shared" si="2"/>
        <v>2940</v>
      </c>
      <c r="W95" s="80">
        <v>4</v>
      </c>
      <c r="X95" s="80" t="s">
        <v>35</v>
      </c>
      <c r="Y95" s="80" t="s">
        <v>74</v>
      </c>
      <c r="Z95" s="80" t="s">
        <v>55</v>
      </c>
      <c r="AA95" s="80" t="s">
        <v>43</v>
      </c>
      <c r="AB95" s="80" t="s">
        <v>161</v>
      </c>
    </row>
    <row r="96" spans="1:28" x14ac:dyDescent="0.15">
      <c r="A96" s="80" t="s">
        <v>23</v>
      </c>
      <c r="B96" s="80" t="s">
        <v>160</v>
      </c>
      <c r="C96" s="80">
        <v>2020</v>
      </c>
      <c r="D96" s="122" t="s">
        <v>247</v>
      </c>
      <c r="E96" s="80" t="s">
        <v>166</v>
      </c>
      <c r="F96" s="80" t="s">
        <v>274</v>
      </c>
      <c r="G96" s="80" t="s">
        <v>25</v>
      </c>
      <c r="H96" s="80" t="s">
        <v>113</v>
      </c>
      <c r="I96" s="80" t="s">
        <v>111</v>
      </c>
      <c r="J96" s="80" t="s">
        <v>27</v>
      </c>
      <c r="K96" s="80" t="s">
        <v>112</v>
      </c>
      <c r="L96" s="80">
        <v>2</v>
      </c>
      <c r="N96" s="80">
        <v>1</v>
      </c>
      <c r="O96" s="80">
        <v>0.45</v>
      </c>
      <c r="P96" s="80">
        <v>0.55000000000000004</v>
      </c>
      <c r="Q96" s="16">
        <f t="shared" si="7"/>
        <v>0.5</v>
      </c>
      <c r="R96" s="80">
        <v>15.8</v>
      </c>
      <c r="S96" s="80">
        <v>130.5</v>
      </c>
      <c r="T96" s="16">
        <f t="shared" si="5"/>
        <v>30</v>
      </c>
      <c r="U96" s="80">
        <v>98</v>
      </c>
      <c r="V96" s="16">
        <f t="shared" si="2"/>
        <v>2940</v>
      </c>
      <c r="W96" s="80">
        <v>4</v>
      </c>
      <c r="X96" s="80" t="s">
        <v>35</v>
      </c>
      <c r="Y96" s="80" t="s">
        <v>74</v>
      </c>
      <c r="Z96" s="80" t="s">
        <v>55</v>
      </c>
      <c r="AA96" s="80" t="s">
        <v>43</v>
      </c>
      <c r="AB96" s="80" t="s">
        <v>161</v>
      </c>
    </row>
    <row r="97" spans="1:28" x14ac:dyDescent="0.15">
      <c r="A97" s="80" t="s">
        <v>23</v>
      </c>
      <c r="B97" s="80" t="s">
        <v>160</v>
      </c>
      <c r="C97" s="80">
        <v>2020</v>
      </c>
      <c r="D97" s="122" t="s">
        <v>247</v>
      </c>
      <c r="E97" s="80" t="s">
        <v>166</v>
      </c>
      <c r="F97" s="80" t="s">
        <v>274</v>
      </c>
      <c r="G97" s="80" t="s">
        <v>25</v>
      </c>
      <c r="H97" s="80" t="s">
        <v>113</v>
      </c>
      <c r="I97" s="80" t="s">
        <v>111</v>
      </c>
      <c r="J97" s="80" t="s">
        <v>27</v>
      </c>
      <c r="K97" s="80" t="s">
        <v>112</v>
      </c>
      <c r="L97" s="80">
        <v>3</v>
      </c>
      <c r="N97" s="80">
        <v>1</v>
      </c>
      <c r="O97" s="80">
        <v>0.7</v>
      </c>
      <c r="P97" s="80">
        <v>0.7</v>
      </c>
      <c r="Q97" s="16">
        <f t="shared" si="7"/>
        <v>0.7</v>
      </c>
      <c r="R97" s="80">
        <v>15.6</v>
      </c>
      <c r="S97" s="80">
        <v>127.5</v>
      </c>
      <c r="T97" s="16">
        <f t="shared" si="5"/>
        <v>30</v>
      </c>
      <c r="U97" s="80">
        <v>98</v>
      </c>
      <c r="V97" s="16">
        <f t="shared" si="2"/>
        <v>2940</v>
      </c>
      <c r="W97" s="80">
        <v>4</v>
      </c>
      <c r="X97" s="80" t="s">
        <v>35</v>
      </c>
      <c r="Y97" s="80" t="s">
        <v>74</v>
      </c>
      <c r="Z97" s="80" t="s">
        <v>55</v>
      </c>
      <c r="AA97" s="80" t="s">
        <v>43</v>
      </c>
      <c r="AB97" s="80" t="s">
        <v>161</v>
      </c>
    </row>
    <row r="98" spans="1:28" x14ac:dyDescent="0.15">
      <c r="A98" s="80" t="s">
        <v>23</v>
      </c>
      <c r="B98" s="80" t="s">
        <v>160</v>
      </c>
      <c r="C98" s="80">
        <v>2020</v>
      </c>
      <c r="D98" s="122" t="s">
        <v>247</v>
      </c>
      <c r="E98" s="80" t="s">
        <v>166</v>
      </c>
      <c r="F98" s="80" t="s">
        <v>274</v>
      </c>
      <c r="G98" s="80" t="s">
        <v>25</v>
      </c>
      <c r="H98" s="80" t="s">
        <v>113</v>
      </c>
      <c r="I98" s="80" t="s">
        <v>111</v>
      </c>
      <c r="J98" s="80" t="s">
        <v>27</v>
      </c>
      <c r="K98" s="80" t="s">
        <v>112</v>
      </c>
      <c r="L98" s="80">
        <v>1</v>
      </c>
      <c r="N98" s="80">
        <v>4</v>
      </c>
      <c r="O98" s="80">
        <v>0.45</v>
      </c>
      <c r="P98" s="80">
        <v>0.2</v>
      </c>
      <c r="Q98" s="16">
        <f t="shared" si="7"/>
        <v>0.32500000000000001</v>
      </c>
      <c r="R98" s="80">
        <v>16.7</v>
      </c>
      <c r="S98" s="80">
        <v>118.5</v>
      </c>
      <c r="T98" s="16">
        <f t="shared" si="5"/>
        <v>30</v>
      </c>
      <c r="U98" s="80">
        <v>398</v>
      </c>
      <c r="V98" s="16">
        <f t="shared" si="2"/>
        <v>2985</v>
      </c>
      <c r="W98" s="80">
        <v>4</v>
      </c>
      <c r="X98" s="80" t="s">
        <v>35</v>
      </c>
      <c r="Y98" s="80" t="s">
        <v>74</v>
      </c>
      <c r="Z98" s="80" t="s">
        <v>55</v>
      </c>
      <c r="AA98" s="80" t="s">
        <v>43</v>
      </c>
      <c r="AB98" s="80" t="s">
        <v>161</v>
      </c>
    </row>
    <row r="99" spans="1:28" x14ac:dyDescent="0.15">
      <c r="A99" s="80" t="s">
        <v>23</v>
      </c>
      <c r="B99" s="80" t="s">
        <v>160</v>
      </c>
      <c r="C99" s="80">
        <v>2020</v>
      </c>
      <c r="D99" s="122" t="s">
        <v>247</v>
      </c>
      <c r="E99" s="80" t="s">
        <v>166</v>
      </c>
      <c r="F99" s="80" t="s">
        <v>274</v>
      </c>
      <c r="G99" s="80" t="s">
        <v>25</v>
      </c>
      <c r="H99" s="80" t="s">
        <v>113</v>
      </c>
      <c r="I99" s="80" t="s">
        <v>111</v>
      </c>
      <c r="J99" s="80" t="s">
        <v>27</v>
      </c>
      <c r="K99" s="80" t="s">
        <v>112</v>
      </c>
      <c r="L99" s="80">
        <v>2</v>
      </c>
      <c r="N99" s="80">
        <v>4</v>
      </c>
      <c r="O99" s="80">
        <v>0.2</v>
      </c>
      <c r="P99" s="80">
        <v>0.2</v>
      </c>
      <c r="Q99" s="16">
        <f t="shared" si="7"/>
        <v>0.2</v>
      </c>
      <c r="R99" s="80">
        <v>16.5</v>
      </c>
      <c r="S99" s="80">
        <v>112</v>
      </c>
      <c r="T99" s="16">
        <f t="shared" si="5"/>
        <v>33</v>
      </c>
      <c r="U99" s="80">
        <v>398</v>
      </c>
      <c r="V99" s="16">
        <f t="shared" si="2"/>
        <v>3283.5</v>
      </c>
      <c r="W99" s="80">
        <v>4</v>
      </c>
      <c r="X99" s="80" t="s">
        <v>35</v>
      </c>
      <c r="Y99" s="80" t="s">
        <v>74</v>
      </c>
      <c r="Z99" s="80" t="s">
        <v>55</v>
      </c>
      <c r="AA99" s="80" t="s">
        <v>43</v>
      </c>
      <c r="AB99" s="80" t="s">
        <v>161</v>
      </c>
    </row>
    <row r="100" spans="1:28" x14ac:dyDescent="0.15">
      <c r="A100" s="80" t="s">
        <v>23</v>
      </c>
      <c r="B100" s="80" t="s">
        <v>160</v>
      </c>
      <c r="C100" s="80">
        <v>2020</v>
      </c>
      <c r="D100" s="122" t="s">
        <v>247</v>
      </c>
      <c r="E100" s="80" t="s">
        <v>166</v>
      </c>
      <c r="F100" s="80" t="s">
        <v>274</v>
      </c>
      <c r="G100" s="80" t="s">
        <v>25</v>
      </c>
      <c r="H100" s="80" t="s">
        <v>113</v>
      </c>
      <c r="I100" s="80" t="s">
        <v>111</v>
      </c>
      <c r="J100" s="80" t="s">
        <v>27</v>
      </c>
      <c r="K100" s="80" t="s">
        <v>112</v>
      </c>
      <c r="L100" s="80">
        <v>3</v>
      </c>
      <c r="N100" s="80">
        <v>4</v>
      </c>
      <c r="O100" s="80">
        <v>0.2</v>
      </c>
      <c r="P100" s="80">
        <v>0.45</v>
      </c>
      <c r="Q100" s="16">
        <f t="shared" si="7"/>
        <v>0.32500000000000001</v>
      </c>
      <c r="R100" s="80">
        <v>16.899999999999999</v>
      </c>
      <c r="S100" s="80">
        <v>121.5</v>
      </c>
      <c r="T100" s="16">
        <f t="shared" si="5"/>
        <v>30</v>
      </c>
      <c r="U100" s="80">
        <v>398</v>
      </c>
      <c r="V100" s="16">
        <f t="shared" si="2"/>
        <v>2985</v>
      </c>
      <c r="W100" s="80">
        <v>4</v>
      </c>
      <c r="X100" s="80" t="s">
        <v>35</v>
      </c>
      <c r="Y100" s="80" t="s">
        <v>74</v>
      </c>
      <c r="Z100" s="80" t="s">
        <v>55</v>
      </c>
      <c r="AA100" s="80" t="s">
        <v>43</v>
      </c>
      <c r="AB100" s="80" t="s">
        <v>161</v>
      </c>
    </row>
    <row r="101" spans="1:28" x14ac:dyDescent="0.15">
      <c r="A101" s="80" t="s">
        <v>23</v>
      </c>
      <c r="B101" s="80" t="s">
        <v>160</v>
      </c>
      <c r="C101" s="80">
        <v>2020</v>
      </c>
      <c r="D101" s="122" t="s">
        <v>247</v>
      </c>
      <c r="E101" s="80" t="s">
        <v>166</v>
      </c>
      <c r="F101" s="80" t="s">
        <v>274</v>
      </c>
      <c r="G101" s="80" t="s">
        <v>25</v>
      </c>
      <c r="H101" s="80" t="s">
        <v>167</v>
      </c>
      <c r="I101" s="80" t="s">
        <v>111</v>
      </c>
      <c r="J101" s="80" t="s">
        <v>27</v>
      </c>
      <c r="K101" s="80" t="s">
        <v>112</v>
      </c>
      <c r="L101" s="80">
        <v>1</v>
      </c>
      <c r="N101" s="80">
        <v>1</v>
      </c>
      <c r="O101" s="80">
        <v>0.2</v>
      </c>
      <c r="P101" s="80">
        <v>0.5</v>
      </c>
      <c r="Q101" s="16">
        <f t="shared" si="7"/>
        <v>0.35</v>
      </c>
      <c r="R101" s="80">
        <v>16.3</v>
      </c>
      <c r="S101" s="80">
        <v>106</v>
      </c>
      <c r="T101" s="16">
        <f t="shared" si="5"/>
        <v>33</v>
      </c>
      <c r="U101" s="80">
        <v>98</v>
      </c>
      <c r="V101" s="16">
        <f t="shared" si="2"/>
        <v>3234</v>
      </c>
      <c r="W101" s="80">
        <v>4</v>
      </c>
      <c r="X101" s="80" t="s">
        <v>35</v>
      </c>
      <c r="Y101" s="80" t="s">
        <v>74</v>
      </c>
      <c r="Z101" s="80" t="s">
        <v>55</v>
      </c>
      <c r="AA101" s="80" t="s">
        <v>43</v>
      </c>
      <c r="AB101" s="80" t="s">
        <v>161</v>
      </c>
    </row>
    <row r="102" spans="1:28" x14ac:dyDescent="0.15">
      <c r="A102" s="80" t="s">
        <v>23</v>
      </c>
      <c r="B102" s="80" t="s">
        <v>160</v>
      </c>
      <c r="C102" s="80">
        <v>2020</v>
      </c>
      <c r="D102" s="122" t="s">
        <v>247</v>
      </c>
      <c r="E102" s="80" t="s">
        <v>166</v>
      </c>
      <c r="F102" s="80" t="s">
        <v>274</v>
      </c>
      <c r="G102" s="80" t="s">
        <v>25</v>
      </c>
      <c r="H102" s="80" t="s">
        <v>167</v>
      </c>
      <c r="I102" s="80" t="s">
        <v>111</v>
      </c>
      <c r="J102" s="80" t="s">
        <v>27</v>
      </c>
      <c r="K102" s="80" t="s">
        <v>112</v>
      </c>
      <c r="L102" s="80">
        <v>2</v>
      </c>
      <c r="N102" s="80">
        <v>1</v>
      </c>
      <c r="O102" s="80">
        <v>0.5</v>
      </c>
      <c r="P102" s="80">
        <v>0.6</v>
      </c>
      <c r="Q102" s="16">
        <f t="shared" si="7"/>
        <v>0.55000000000000004</v>
      </c>
      <c r="R102" s="80">
        <v>16.100000000000001</v>
      </c>
      <c r="S102" s="80">
        <v>113.5</v>
      </c>
      <c r="T102" s="16">
        <f t="shared" si="5"/>
        <v>30</v>
      </c>
      <c r="U102" s="80">
        <v>98</v>
      </c>
      <c r="V102" s="16">
        <f t="shared" si="2"/>
        <v>2940</v>
      </c>
      <c r="W102" s="80">
        <v>4</v>
      </c>
      <c r="X102" s="80" t="s">
        <v>35</v>
      </c>
      <c r="Y102" s="80" t="s">
        <v>74</v>
      </c>
      <c r="Z102" s="80" t="s">
        <v>55</v>
      </c>
      <c r="AA102" s="80" t="s">
        <v>43</v>
      </c>
      <c r="AB102" s="80" t="s">
        <v>161</v>
      </c>
    </row>
    <row r="103" spans="1:28" x14ac:dyDescent="0.15">
      <c r="A103" s="80" t="s">
        <v>23</v>
      </c>
      <c r="B103" s="80" t="s">
        <v>160</v>
      </c>
      <c r="C103" s="80">
        <v>2020</v>
      </c>
      <c r="D103" s="122" t="s">
        <v>247</v>
      </c>
      <c r="E103" s="80" t="s">
        <v>166</v>
      </c>
      <c r="F103" s="80" t="s">
        <v>274</v>
      </c>
      <c r="G103" s="80" t="s">
        <v>25</v>
      </c>
      <c r="H103" s="80" t="s">
        <v>167</v>
      </c>
      <c r="I103" s="80" t="s">
        <v>111</v>
      </c>
      <c r="J103" s="80" t="s">
        <v>27</v>
      </c>
      <c r="K103" s="80" t="s">
        <v>112</v>
      </c>
      <c r="L103" s="80">
        <v>3</v>
      </c>
      <c r="N103" s="80">
        <v>1</v>
      </c>
      <c r="O103" s="80">
        <v>0.65</v>
      </c>
      <c r="P103" s="80">
        <v>0.65</v>
      </c>
      <c r="Q103" s="16">
        <f t="shared" si="7"/>
        <v>0.65</v>
      </c>
      <c r="R103" s="80">
        <v>15.8</v>
      </c>
      <c r="S103" s="80">
        <v>110.5</v>
      </c>
      <c r="T103" s="16">
        <f t="shared" si="5"/>
        <v>33</v>
      </c>
      <c r="U103" s="80">
        <v>98</v>
      </c>
      <c r="V103" s="16">
        <f t="shared" si="2"/>
        <v>3234</v>
      </c>
      <c r="W103" s="80">
        <v>4</v>
      </c>
      <c r="X103" s="80" t="s">
        <v>35</v>
      </c>
      <c r="Y103" s="80" t="s">
        <v>74</v>
      </c>
      <c r="Z103" s="80" t="s">
        <v>55</v>
      </c>
      <c r="AA103" s="80" t="s">
        <v>43</v>
      </c>
      <c r="AB103" s="80" t="s">
        <v>161</v>
      </c>
    </row>
    <row r="104" spans="1:28" x14ac:dyDescent="0.15">
      <c r="A104" s="80" t="s">
        <v>23</v>
      </c>
      <c r="B104" s="80" t="s">
        <v>160</v>
      </c>
      <c r="C104" s="80">
        <v>2020</v>
      </c>
      <c r="D104" s="122" t="s">
        <v>247</v>
      </c>
      <c r="E104" s="80" t="s">
        <v>166</v>
      </c>
      <c r="F104" s="80" t="s">
        <v>274</v>
      </c>
      <c r="G104" s="80" t="s">
        <v>25</v>
      </c>
      <c r="H104" s="80" t="s">
        <v>167</v>
      </c>
      <c r="I104" s="80" t="s">
        <v>111</v>
      </c>
      <c r="J104" s="80" t="s">
        <v>27</v>
      </c>
      <c r="K104" s="80" t="s">
        <v>112</v>
      </c>
      <c r="L104" s="80">
        <v>1</v>
      </c>
      <c r="N104" s="80">
        <v>4</v>
      </c>
      <c r="O104" s="80">
        <v>0.2</v>
      </c>
      <c r="P104" s="80">
        <v>0.2</v>
      </c>
      <c r="Q104" s="16">
        <f t="shared" si="7"/>
        <v>0.2</v>
      </c>
      <c r="R104" s="80">
        <v>16.3</v>
      </c>
      <c r="S104" s="80">
        <v>114</v>
      </c>
      <c r="T104" s="16">
        <f t="shared" si="5"/>
        <v>30</v>
      </c>
      <c r="U104" s="80">
        <v>398</v>
      </c>
      <c r="V104" s="16">
        <f t="shared" si="2"/>
        <v>2985</v>
      </c>
      <c r="W104" s="80">
        <v>4</v>
      </c>
      <c r="X104" s="80" t="s">
        <v>35</v>
      </c>
      <c r="Y104" s="80" t="s">
        <v>74</v>
      </c>
      <c r="Z104" s="80" t="s">
        <v>55</v>
      </c>
      <c r="AA104" s="80" t="s">
        <v>43</v>
      </c>
      <c r="AB104" s="80" t="s">
        <v>161</v>
      </c>
    </row>
    <row r="105" spans="1:28" x14ac:dyDescent="0.15">
      <c r="A105" s="80" t="s">
        <v>23</v>
      </c>
      <c r="B105" s="80" t="s">
        <v>160</v>
      </c>
      <c r="C105" s="80">
        <v>2020</v>
      </c>
      <c r="D105" s="122" t="s">
        <v>247</v>
      </c>
      <c r="E105" s="80" t="s">
        <v>166</v>
      </c>
      <c r="F105" s="80" t="s">
        <v>274</v>
      </c>
      <c r="G105" s="80" t="s">
        <v>25</v>
      </c>
      <c r="H105" s="80" t="s">
        <v>167</v>
      </c>
      <c r="I105" s="80" t="s">
        <v>111</v>
      </c>
      <c r="J105" s="80" t="s">
        <v>27</v>
      </c>
      <c r="K105" s="80" t="s">
        <v>112</v>
      </c>
      <c r="L105" s="80">
        <v>2</v>
      </c>
      <c r="N105" s="80">
        <v>4</v>
      </c>
      <c r="O105" s="80">
        <v>0.45</v>
      </c>
      <c r="P105" s="80">
        <v>0.2</v>
      </c>
      <c r="Q105" s="16">
        <f t="shared" si="7"/>
        <v>0.32500000000000001</v>
      </c>
      <c r="R105" s="80">
        <v>17.7</v>
      </c>
      <c r="S105" s="80">
        <v>115</v>
      </c>
      <c r="T105" s="16">
        <f t="shared" si="5"/>
        <v>30</v>
      </c>
      <c r="U105" s="80">
        <v>398</v>
      </c>
      <c r="V105" s="16">
        <f t="shared" si="2"/>
        <v>2985</v>
      </c>
      <c r="W105" s="80">
        <v>4</v>
      </c>
      <c r="X105" s="80" t="s">
        <v>35</v>
      </c>
      <c r="Y105" s="80" t="s">
        <v>74</v>
      </c>
      <c r="Z105" s="80" t="s">
        <v>55</v>
      </c>
      <c r="AA105" s="80" t="s">
        <v>43</v>
      </c>
      <c r="AB105" s="80" t="s">
        <v>161</v>
      </c>
    </row>
    <row r="106" spans="1:28" x14ac:dyDescent="0.15">
      <c r="A106" s="80" t="s">
        <v>23</v>
      </c>
      <c r="B106" s="80" t="s">
        <v>160</v>
      </c>
      <c r="C106" s="80">
        <v>2020</v>
      </c>
      <c r="D106" s="122" t="s">
        <v>247</v>
      </c>
      <c r="E106" s="80" t="s">
        <v>166</v>
      </c>
      <c r="F106" s="80" t="s">
        <v>274</v>
      </c>
      <c r="G106" s="80" t="s">
        <v>25</v>
      </c>
      <c r="H106" s="80" t="s">
        <v>167</v>
      </c>
      <c r="I106" s="80" t="s">
        <v>111</v>
      </c>
      <c r="J106" s="80" t="s">
        <v>27</v>
      </c>
      <c r="K106" s="80" t="s">
        <v>112</v>
      </c>
      <c r="L106" s="80">
        <v>3</v>
      </c>
      <c r="N106" s="80">
        <v>4</v>
      </c>
      <c r="O106" s="80">
        <v>0.5</v>
      </c>
      <c r="P106" s="80">
        <v>0.2</v>
      </c>
      <c r="Q106" s="16">
        <f t="shared" si="7"/>
        <v>0.35</v>
      </c>
      <c r="R106" s="80">
        <v>16.8</v>
      </c>
      <c r="S106" s="80">
        <v>107.5</v>
      </c>
      <c r="T106" s="16">
        <f t="shared" si="5"/>
        <v>33</v>
      </c>
      <c r="U106" s="80">
        <v>398</v>
      </c>
      <c r="V106" s="16">
        <f t="shared" si="2"/>
        <v>3283.5</v>
      </c>
      <c r="W106" s="80">
        <v>4</v>
      </c>
      <c r="X106" s="80" t="s">
        <v>35</v>
      </c>
      <c r="Y106" s="80" t="s">
        <v>74</v>
      </c>
      <c r="Z106" s="80" t="s">
        <v>55</v>
      </c>
      <c r="AA106" s="80" t="s">
        <v>43</v>
      </c>
      <c r="AB106" s="80" t="s">
        <v>161</v>
      </c>
    </row>
    <row r="107" spans="1:28" x14ac:dyDescent="0.15">
      <c r="A107" s="80" t="s">
        <v>23</v>
      </c>
      <c r="B107" s="80" t="s">
        <v>160</v>
      </c>
      <c r="C107" s="80">
        <v>2020</v>
      </c>
      <c r="D107" s="122" t="s">
        <v>247</v>
      </c>
      <c r="E107" s="80" t="s">
        <v>275</v>
      </c>
      <c r="F107" s="80" t="s">
        <v>266</v>
      </c>
      <c r="G107" s="80" t="s">
        <v>31</v>
      </c>
      <c r="H107" s="80" t="s">
        <v>113</v>
      </c>
      <c r="I107" s="80" t="s">
        <v>111</v>
      </c>
      <c r="J107" s="80" t="s">
        <v>27</v>
      </c>
      <c r="K107" s="80" t="s">
        <v>112</v>
      </c>
      <c r="L107" s="80">
        <v>1</v>
      </c>
      <c r="N107" s="80">
        <v>1</v>
      </c>
      <c r="O107" s="80">
        <v>0.6</v>
      </c>
      <c r="P107" s="80">
        <v>0.8</v>
      </c>
      <c r="Q107" s="16">
        <f t="shared" si="7"/>
        <v>0.7</v>
      </c>
      <c r="R107" s="80">
        <v>16</v>
      </c>
      <c r="S107" s="80">
        <v>131.5</v>
      </c>
      <c r="T107" s="16">
        <f t="shared" si="5"/>
        <v>30</v>
      </c>
      <c r="U107" s="80">
        <v>100</v>
      </c>
      <c r="V107" s="16">
        <f t="shared" si="2"/>
        <v>3000</v>
      </c>
      <c r="W107" s="80">
        <v>6</v>
      </c>
      <c r="X107" s="80" t="s">
        <v>35</v>
      </c>
      <c r="Y107" s="80" t="s">
        <v>55</v>
      </c>
      <c r="Z107" s="80" t="s">
        <v>43</v>
      </c>
      <c r="AA107" s="80" t="s">
        <v>74</v>
      </c>
      <c r="AB107" s="80" t="s">
        <v>161</v>
      </c>
    </row>
    <row r="108" spans="1:28" x14ac:dyDescent="0.15">
      <c r="A108" s="80" t="s">
        <v>23</v>
      </c>
      <c r="B108" s="80" t="s">
        <v>160</v>
      </c>
      <c r="C108" s="80">
        <v>2020</v>
      </c>
      <c r="D108" s="122" t="s">
        <v>247</v>
      </c>
      <c r="E108" s="80" t="s">
        <v>275</v>
      </c>
      <c r="F108" s="80" t="s">
        <v>266</v>
      </c>
      <c r="G108" s="80" t="s">
        <v>31</v>
      </c>
      <c r="H108" s="80" t="s">
        <v>113</v>
      </c>
      <c r="I108" s="80" t="s">
        <v>111</v>
      </c>
      <c r="J108" s="80" t="s">
        <v>27</v>
      </c>
      <c r="K108" s="80" t="s">
        <v>112</v>
      </c>
      <c r="L108" s="80">
        <v>2</v>
      </c>
      <c r="N108" s="80">
        <v>1</v>
      </c>
      <c r="O108" s="80">
        <v>0.6</v>
      </c>
      <c r="P108" s="80">
        <v>0.65</v>
      </c>
      <c r="Q108" s="16">
        <f t="shared" si="7"/>
        <v>0.625</v>
      </c>
      <c r="R108" s="80">
        <v>16.2</v>
      </c>
      <c r="S108" s="80">
        <v>133</v>
      </c>
      <c r="T108" s="16">
        <f t="shared" si="5"/>
        <v>30</v>
      </c>
      <c r="U108" s="80">
        <v>100</v>
      </c>
      <c r="V108" s="16">
        <f t="shared" si="2"/>
        <v>3000</v>
      </c>
      <c r="W108" s="80">
        <v>6</v>
      </c>
      <c r="X108" s="80" t="s">
        <v>35</v>
      </c>
      <c r="Y108" s="80" t="s">
        <v>55</v>
      </c>
      <c r="Z108" s="80" t="s">
        <v>43</v>
      </c>
      <c r="AA108" s="80" t="s">
        <v>74</v>
      </c>
      <c r="AB108" s="80" t="s">
        <v>161</v>
      </c>
    </row>
    <row r="109" spans="1:28" x14ac:dyDescent="0.15">
      <c r="A109" s="80" t="s">
        <v>23</v>
      </c>
      <c r="B109" s="80" t="s">
        <v>160</v>
      </c>
      <c r="C109" s="80">
        <v>2020</v>
      </c>
      <c r="D109" s="122" t="s">
        <v>247</v>
      </c>
      <c r="E109" s="80" t="s">
        <v>275</v>
      </c>
      <c r="F109" s="80" t="s">
        <v>266</v>
      </c>
      <c r="G109" s="80" t="s">
        <v>31</v>
      </c>
      <c r="H109" s="80" t="s">
        <v>113</v>
      </c>
      <c r="I109" s="80" t="s">
        <v>111</v>
      </c>
      <c r="J109" s="80" t="s">
        <v>27</v>
      </c>
      <c r="K109" s="80" t="s">
        <v>112</v>
      </c>
      <c r="L109" s="80">
        <v>3</v>
      </c>
      <c r="N109" s="80">
        <v>1</v>
      </c>
      <c r="O109" s="80">
        <v>0.65</v>
      </c>
      <c r="P109" s="80">
        <v>0.6</v>
      </c>
      <c r="Q109" s="16">
        <f t="shared" si="7"/>
        <v>0.625</v>
      </c>
      <c r="R109" s="80">
        <v>15.8</v>
      </c>
      <c r="S109" s="80">
        <v>131</v>
      </c>
      <c r="T109" s="16">
        <f t="shared" si="5"/>
        <v>30</v>
      </c>
      <c r="U109" s="80">
        <v>100</v>
      </c>
      <c r="V109" s="16">
        <f t="shared" si="2"/>
        <v>3000</v>
      </c>
      <c r="W109" s="80">
        <v>6</v>
      </c>
      <c r="X109" s="80" t="s">
        <v>35</v>
      </c>
      <c r="Y109" s="80" t="s">
        <v>55</v>
      </c>
      <c r="Z109" s="80" t="s">
        <v>43</v>
      </c>
      <c r="AA109" s="80" t="s">
        <v>74</v>
      </c>
      <c r="AB109" s="80" t="s">
        <v>161</v>
      </c>
    </row>
    <row r="110" spans="1:28" x14ac:dyDescent="0.15">
      <c r="A110" s="80" t="s">
        <v>23</v>
      </c>
      <c r="B110" s="80" t="s">
        <v>160</v>
      </c>
      <c r="C110" s="80">
        <v>2020</v>
      </c>
      <c r="D110" s="122" t="s">
        <v>247</v>
      </c>
      <c r="E110" s="80" t="s">
        <v>275</v>
      </c>
      <c r="F110" s="80" t="s">
        <v>266</v>
      </c>
      <c r="G110" s="80" t="s">
        <v>31</v>
      </c>
      <c r="H110" s="80" t="s">
        <v>167</v>
      </c>
      <c r="I110" s="80" t="s">
        <v>111</v>
      </c>
      <c r="J110" s="80" t="s">
        <v>27</v>
      </c>
      <c r="K110" s="80" t="s">
        <v>112</v>
      </c>
      <c r="L110" s="80">
        <v>1</v>
      </c>
      <c r="N110" s="80">
        <v>1</v>
      </c>
      <c r="O110" s="80">
        <v>0.2</v>
      </c>
      <c r="P110" s="80">
        <v>0.2</v>
      </c>
      <c r="Q110" s="16">
        <f t="shared" si="7"/>
        <v>0.2</v>
      </c>
      <c r="R110" s="80">
        <v>16.8</v>
      </c>
      <c r="S110" s="80">
        <v>127.5</v>
      </c>
      <c r="T110" s="16">
        <f t="shared" si="5"/>
        <v>30</v>
      </c>
      <c r="U110" s="80">
        <v>100</v>
      </c>
      <c r="V110" s="16">
        <f t="shared" si="2"/>
        <v>3000</v>
      </c>
      <c r="W110" s="80">
        <v>6</v>
      </c>
      <c r="X110" s="80" t="s">
        <v>35</v>
      </c>
      <c r="Y110" s="80" t="s">
        <v>55</v>
      </c>
      <c r="Z110" s="80" t="s">
        <v>43</v>
      </c>
      <c r="AA110" s="80" t="s">
        <v>74</v>
      </c>
      <c r="AB110" s="80" t="s">
        <v>161</v>
      </c>
    </row>
    <row r="111" spans="1:28" x14ac:dyDescent="0.15">
      <c r="A111" s="80" t="s">
        <v>23</v>
      </c>
      <c r="B111" s="80" t="s">
        <v>160</v>
      </c>
      <c r="C111" s="80">
        <v>2020</v>
      </c>
      <c r="D111" s="122" t="s">
        <v>247</v>
      </c>
      <c r="E111" s="80" t="s">
        <v>275</v>
      </c>
      <c r="F111" s="80" t="s">
        <v>266</v>
      </c>
      <c r="G111" s="80" t="s">
        <v>31</v>
      </c>
      <c r="H111" s="80" t="s">
        <v>167</v>
      </c>
      <c r="I111" s="80" t="s">
        <v>111</v>
      </c>
      <c r="J111" s="80" t="s">
        <v>27</v>
      </c>
      <c r="K111" s="80" t="s">
        <v>112</v>
      </c>
      <c r="L111" s="80">
        <v>2</v>
      </c>
      <c r="N111" s="80">
        <v>1</v>
      </c>
      <c r="O111" s="80">
        <v>0.2</v>
      </c>
      <c r="P111" s="80">
        <v>0.2</v>
      </c>
      <c r="Q111" s="16">
        <f t="shared" si="7"/>
        <v>0.2</v>
      </c>
      <c r="R111" s="80">
        <v>15.9</v>
      </c>
      <c r="S111" s="80">
        <v>126.5</v>
      </c>
      <c r="T111" s="16">
        <f t="shared" si="5"/>
        <v>30</v>
      </c>
      <c r="U111" s="80">
        <v>100</v>
      </c>
      <c r="V111" s="16">
        <f t="shared" si="2"/>
        <v>3000</v>
      </c>
      <c r="W111" s="80">
        <v>6</v>
      </c>
      <c r="X111" s="80" t="s">
        <v>35</v>
      </c>
      <c r="Y111" s="80" t="s">
        <v>55</v>
      </c>
      <c r="Z111" s="80" t="s">
        <v>43</v>
      </c>
      <c r="AA111" s="80" t="s">
        <v>74</v>
      </c>
      <c r="AB111" s="80" t="s">
        <v>161</v>
      </c>
    </row>
    <row r="112" spans="1:28" x14ac:dyDescent="0.15">
      <c r="A112" s="80" t="s">
        <v>23</v>
      </c>
      <c r="B112" s="80" t="s">
        <v>160</v>
      </c>
      <c r="C112" s="80">
        <v>2020</v>
      </c>
      <c r="D112" s="122" t="s">
        <v>247</v>
      </c>
      <c r="E112" s="80" t="s">
        <v>275</v>
      </c>
      <c r="F112" s="80" t="s">
        <v>266</v>
      </c>
      <c r="G112" s="80" t="s">
        <v>31</v>
      </c>
      <c r="H112" s="80" t="s">
        <v>167</v>
      </c>
      <c r="I112" s="80" t="s">
        <v>111</v>
      </c>
      <c r="J112" s="80" t="s">
        <v>27</v>
      </c>
      <c r="K112" s="80" t="s">
        <v>112</v>
      </c>
      <c r="L112" s="80">
        <v>3</v>
      </c>
      <c r="N112" s="80">
        <v>1</v>
      </c>
      <c r="O112" s="80">
        <v>0.2</v>
      </c>
      <c r="P112" s="80">
        <v>0.2</v>
      </c>
      <c r="Q112" s="16">
        <f t="shared" si="7"/>
        <v>0.2</v>
      </c>
      <c r="R112" s="80">
        <v>17</v>
      </c>
      <c r="S112" s="80">
        <v>128.5</v>
      </c>
      <c r="T112" s="16">
        <f t="shared" si="5"/>
        <v>30</v>
      </c>
      <c r="U112" s="80">
        <v>100</v>
      </c>
      <c r="V112" s="16">
        <f t="shared" si="2"/>
        <v>3000</v>
      </c>
      <c r="W112" s="80">
        <v>6</v>
      </c>
      <c r="X112" s="80" t="s">
        <v>35</v>
      </c>
      <c r="Y112" s="80" t="s">
        <v>55</v>
      </c>
      <c r="Z112" s="80" t="s">
        <v>43</v>
      </c>
      <c r="AA112" s="80" t="s">
        <v>74</v>
      </c>
      <c r="AB112" s="80" t="s">
        <v>161</v>
      </c>
    </row>
    <row r="113" spans="1:28" x14ac:dyDescent="0.15">
      <c r="A113" s="80" t="s">
        <v>23</v>
      </c>
      <c r="B113" s="80" t="s">
        <v>160</v>
      </c>
      <c r="C113" s="80">
        <v>2020</v>
      </c>
      <c r="D113" s="122" t="s">
        <v>247</v>
      </c>
      <c r="E113" s="80" t="s">
        <v>275</v>
      </c>
      <c r="F113" s="80" t="s">
        <v>266</v>
      </c>
      <c r="G113" s="80" t="s">
        <v>423</v>
      </c>
      <c r="H113" s="80" t="s">
        <v>167</v>
      </c>
      <c r="I113" s="80" t="s">
        <v>111</v>
      </c>
      <c r="J113" s="80" t="s">
        <v>27</v>
      </c>
      <c r="K113" s="80" t="s">
        <v>112</v>
      </c>
      <c r="L113" s="80">
        <v>1</v>
      </c>
      <c r="N113" s="80">
        <v>4</v>
      </c>
      <c r="O113" s="80">
        <v>0.2</v>
      </c>
      <c r="P113" s="80">
        <v>0.2</v>
      </c>
      <c r="Q113" s="16">
        <f t="shared" si="7"/>
        <v>0.2</v>
      </c>
      <c r="R113" s="80">
        <v>16.399999999999999</v>
      </c>
      <c r="S113" s="80">
        <v>121</v>
      </c>
      <c r="T113" s="16">
        <f t="shared" si="5"/>
        <v>30</v>
      </c>
      <c r="U113" s="80">
        <v>498</v>
      </c>
      <c r="V113" s="16">
        <f t="shared" si="2"/>
        <v>3735</v>
      </c>
      <c r="W113" s="80">
        <v>6</v>
      </c>
      <c r="X113" s="80" t="s">
        <v>35</v>
      </c>
      <c r="Y113" s="80" t="s">
        <v>55</v>
      </c>
      <c r="Z113" s="80" t="s">
        <v>43</v>
      </c>
      <c r="AA113" s="80" t="s">
        <v>74</v>
      </c>
      <c r="AB113" s="80" t="s">
        <v>161</v>
      </c>
    </row>
    <row r="114" spans="1:28" x14ac:dyDescent="0.15">
      <c r="A114" s="80" t="s">
        <v>23</v>
      </c>
      <c r="B114" s="80" t="s">
        <v>160</v>
      </c>
      <c r="C114" s="80">
        <v>2020</v>
      </c>
      <c r="D114" s="122" t="s">
        <v>247</v>
      </c>
      <c r="E114" s="80" t="s">
        <v>275</v>
      </c>
      <c r="F114" s="80" t="s">
        <v>266</v>
      </c>
      <c r="G114" s="80" t="s">
        <v>31</v>
      </c>
      <c r="H114" s="80" t="s">
        <v>167</v>
      </c>
      <c r="I114" s="80" t="s">
        <v>111</v>
      </c>
      <c r="J114" s="80" t="s">
        <v>27</v>
      </c>
      <c r="K114" s="80" t="s">
        <v>112</v>
      </c>
      <c r="L114" s="80">
        <v>2</v>
      </c>
      <c r="N114" s="80">
        <v>4</v>
      </c>
      <c r="O114" s="80">
        <v>0.2</v>
      </c>
      <c r="P114" s="80">
        <v>0.2</v>
      </c>
      <c r="Q114" s="16">
        <f t="shared" si="7"/>
        <v>0.2</v>
      </c>
      <c r="R114" s="80">
        <v>16</v>
      </c>
      <c r="S114" s="80">
        <v>125</v>
      </c>
      <c r="T114" s="16">
        <f t="shared" si="5"/>
        <v>30</v>
      </c>
      <c r="U114" s="80">
        <v>498</v>
      </c>
      <c r="V114" s="16">
        <f t="shared" si="2"/>
        <v>3735</v>
      </c>
      <c r="W114" s="80">
        <v>6</v>
      </c>
      <c r="X114" s="80" t="s">
        <v>35</v>
      </c>
      <c r="Y114" s="80" t="s">
        <v>55</v>
      </c>
      <c r="Z114" s="80" t="s">
        <v>43</v>
      </c>
      <c r="AA114" s="80" t="s">
        <v>74</v>
      </c>
      <c r="AB114" s="80" t="s">
        <v>161</v>
      </c>
    </row>
    <row r="115" spans="1:28" ht="14.25" customHeight="1" x14ac:dyDescent="0.15">
      <c r="A115" s="80" t="s">
        <v>23</v>
      </c>
      <c r="B115" s="80" t="s">
        <v>160</v>
      </c>
      <c r="C115" s="80">
        <v>2020</v>
      </c>
      <c r="D115" s="122" t="s">
        <v>247</v>
      </c>
      <c r="E115" s="80" t="s">
        <v>275</v>
      </c>
      <c r="F115" s="80" t="s">
        <v>266</v>
      </c>
      <c r="G115" s="80" t="s">
        <v>31</v>
      </c>
      <c r="H115" s="80" t="s">
        <v>167</v>
      </c>
      <c r="I115" s="80" t="s">
        <v>111</v>
      </c>
      <c r="J115" s="80" t="s">
        <v>27</v>
      </c>
      <c r="K115" s="80" t="s">
        <v>112</v>
      </c>
      <c r="L115" s="80">
        <v>3</v>
      </c>
      <c r="N115" s="80">
        <v>4</v>
      </c>
      <c r="O115" s="80">
        <v>0.2</v>
      </c>
      <c r="P115" s="80">
        <v>0.2</v>
      </c>
      <c r="Q115" s="16">
        <f t="shared" si="7"/>
        <v>0.2</v>
      </c>
      <c r="R115" s="80">
        <v>17.100000000000001</v>
      </c>
      <c r="S115" s="80">
        <v>122.5</v>
      </c>
      <c r="T115" s="16">
        <f t="shared" si="5"/>
        <v>30</v>
      </c>
      <c r="U115" s="80">
        <v>498</v>
      </c>
      <c r="V115" s="16">
        <f t="shared" si="2"/>
        <v>3735</v>
      </c>
      <c r="W115" s="80">
        <v>6</v>
      </c>
      <c r="X115" s="80" t="s">
        <v>35</v>
      </c>
      <c r="Y115" s="80" t="s">
        <v>55</v>
      </c>
      <c r="Z115" s="80" t="s">
        <v>43</v>
      </c>
      <c r="AA115" s="80" t="s">
        <v>74</v>
      </c>
      <c r="AB115" s="80" t="s">
        <v>161</v>
      </c>
    </row>
    <row r="116" spans="1:28" ht="14.25" customHeight="1" x14ac:dyDescent="0.15">
      <c r="A116" s="80" t="s">
        <v>23</v>
      </c>
      <c r="B116" s="80" t="s">
        <v>160</v>
      </c>
      <c r="C116" s="80">
        <v>2020</v>
      </c>
      <c r="D116" s="122" t="s">
        <v>247</v>
      </c>
      <c r="E116" s="80" t="s">
        <v>276</v>
      </c>
      <c r="F116" s="80" t="s">
        <v>268</v>
      </c>
      <c r="G116" s="80" t="s">
        <v>25</v>
      </c>
      <c r="H116" s="80" t="s">
        <v>113</v>
      </c>
      <c r="I116" s="80" t="s">
        <v>111</v>
      </c>
      <c r="J116" s="80" t="s">
        <v>27</v>
      </c>
      <c r="K116" s="80" t="s">
        <v>112</v>
      </c>
      <c r="L116" s="80">
        <v>1</v>
      </c>
      <c r="N116" s="80">
        <v>1</v>
      </c>
      <c r="O116" s="80">
        <v>0.5</v>
      </c>
      <c r="P116" s="80">
        <v>0.2</v>
      </c>
      <c r="Q116" s="16">
        <f t="shared" si="7"/>
        <v>0.35</v>
      </c>
      <c r="R116" s="80">
        <v>17.899999999999999</v>
      </c>
      <c r="S116" s="80">
        <v>114</v>
      </c>
      <c r="T116" s="16">
        <f t="shared" si="5"/>
        <v>30</v>
      </c>
      <c r="U116" s="80">
        <v>94</v>
      </c>
      <c r="V116" s="16">
        <f t="shared" ref="V116:V179" si="8">IF(OR(N116="",U116="",T116=""),"",U116/N116*T116)</f>
        <v>2820</v>
      </c>
      <c r="W116" s="80">
        <v>2</v>
      </c>
      <c r="X116" s="80" t="s">
        <v>35</v>
      </c>
      <c r="Y116" s="80" t="s">
        <v>86</v>
      </c>
      <c r="Z116" s="80" t="s">
        <v>55</v>
      </c>
      <c r="AA116" s="80" t="s">
        <v>43</v>
      </c>
      <c r="AB116" s="80" t="s">
        <v>161</v>
      </c>
    </row>
    <row r="117" spans="1:28" ht="14.25" customHeight="1" x14ac:dyDescent="0.15">
      <c r="A117" s="80" t="s">
        <v>23</v>
      </c>
      <c r="B117" s="80" t="s">
        <v>160</v>
      </c>
      <c r="C117" s="80">
        <v>2020</v>
      </c>
      <c r="D117" s="122" t="s">
        <v>247</v>
      </c>
      <c r="E117" s="80" t="s">
        <v>276</v>
      </c>
      <c r="F117" s="80" t="s">
        <v>268</v>
      </c>
      <c r="G117" s="80" t="s">
        <v>25</v>
      </c>
      <c r="H117" s="80" t="s">
        <v>113</v>
      </c>
      <c r="I117" s="80" t="s">
        <v>111</v>
      </c>
      <c r="J117" s="80" t="s">
        <v>27</v>
      </c>
      <c r="K117" s="80" t="s">
        <v>112</v>
      </c>
      <c r="L117" s="80">
        <v>2</v>
      </c>
      <c r="N117" s="80">
        <v>1</v>
      </c>
      <c r="O117" s="80">
        <v>0.2</v>
      </c>
      <c r="P117" s="80">
        <v>0.2</v>
      </c>
      <c r="Q117" s="16">
        <f t="shared" si="7"/>
        <v>0.2</v>
      </c>
      <c r="R117" s="80">
        <v>13.4</v>
      </c>
      <c r="S117" s="80">
        <v>113</v>
      </c>
      <c r="T117" s="16">
        <f t="shared" si="5"/>
        <v>30</v>
      </c>
      <c r="U117" s="80">
        <v>94</v>
      </c>
      <c r="V117" s="16">
        <f t="shared" si="8"/>
        <v>2820</v>
      </c>
      <c r="W117" s="80">
        <v>2</v>
      </c>
      <c r="X117" s="80" t="s">
        <v>35</v>
      </c>
      <c r="Y117" s="80" t="s">
        <v>86</v>
      </c>
      <c r="Z117" s="80" t="s">
        <v>55</v>
      </c>
      <c r="AA117" s="80" t="s">
        <v>43</v>
      </c>
      <c r="AB117" s="80" t="s">
        <v>161</v>
      </c>
    </row>
    <row r="118" spans="1:28" ht="14.25" customHeight="1" x14ac:dyDescent="0.15">
      <c r="A118" s="80" t="s">
        <v>23</v>
      </c>
      <c r="B118" s="80" t="s">
        <v>160</v>
      </c>
      <c r="C118" s="80">
        <v>2020</v>
      </c>
      <c r="D118" s="122" t="s">
        <v>247</v>
      </c>
      <c r="E118" s="80" t="s">
        <v>276</v>
      </c>
      <c r="F118" s="80" t="s">
        <v>268</v>
      </c>
      <c r="G118" s="80" t="s">
        <v>25</v>
      </c>
      <c r="H118" s="80" t="s">
        <v>113</v>
      </c>
      <c r="I118" s="80" t="s">
        <v>111</v>
      </c>
      <c r="J118" s="80" t="s">
        <v>27</v>
      </c>
      <c r="K118" s="80" t="s">
        <v>112</v>
      </c>
      <c r="L118" s="80">
        <v>3</v>
      </c>
      <c r="N118" s="80">
        <v>1</v>
      </c>
      <c r="O118" s="80">
        <v>0.6</v>
      </c>
      <c r="P118" s="80">
        <v>0.65</v>
      </c>
      <c r="Q118" s="16">
        <f t="shared" si="7"/>
        <v>0.625</v>
      </c>
      <c r="R118" s="80">
        <v>15.5</v>
      </c>
      <c r="S118" s="80">
        <v>119</v>
      </c>
      <c r="T118" s="16">
        <f t="shared" si="5"/>
        <v>30</v>
      </c>
      <c r="U118" s="80">
        <v>94</v>
      </c>
      <c r="V118" s="16">
        <f t="shared" si="8"/>
        <v>2820</v>
      </c>
      <c r="W118" s="80">
        <v>2</v>
      </c>
      <c r="X118" s="80" t="s">
        <v>35</v>
      </c>
      <c r="Y118" s="80" t="s">
        <v>86</v>
      </c>
      <c r="Z118" s="80" t="s">
        <v>55</v>
      </c>
      <c r="AA118" s="80" t="s">
        <v>43</v>
      </c>
      <c r="AB118" s="80" t="s">
        <v>161</v>
      </c>
    </row>
    <row r="119" spans="1:28" ht="14.25" customHeight="1" x14ac:dyDescent="0.15">
      <c r="A119" s="80" t="s">
        <v>23</v>
      </c>
      <c r="B119" s="80" t="s">
        <v>160</v>
      </c>
      <c r="C119" s="80">
        <v>2021</v>
      </c>
      <c r="D119" s="122" t="s">
        <v>247</v>
      </c>
      <c r="E119" s="80" t="s">
        <v>276</v>
      </c>
      <c r="F119" s="80" t="s">
        <v>268</v>
      </c>
      <c r="G119" s="80" t="s">
        <v>25</v>
      </c>
      <c r="H119" s="80" t="s">
        <v>167</v>
      </c>
      <c r="I119" s="80" t="s">
        <v>111</v>
      </c>
      <c r="J119" s="80" t="s">
        <v>27</v>
      </c>
      <c r="K119" s="80" t="s">
        <v>112</v>
      </c>
      <c r="L119" s="80">
        <v>1</v>
      </c>
      <c r="N119" s="80">
        <v>1</v>
      </c>
      <c r="O119" s="80">
        <v>0.2</v>
      </c>
      <c r="P119" s="80">
        <v>0.45</v>
      </c>
      <c r="Q119" s="16">
        <f t="shared" si="7"/>
        <v>0.32500000000000001</v>
      </c>
      <c r="R119" s="80">
        <v>16.3</v>
      </c>
      <c r="S119" s="80">
        <v>136.5</v>
      </c>
      <c r="T119" s="16">
        <f t="shared" si="5"/>
        <v>30</v>
      </c>
      <c r="U119" s="80">
        <v>128</v>
      </c>
      <c r="V119" s="16">
        <f t="shared" si="8"/>
        <v>3840</v>
      </c>
      <c r="W119" s="80">
        <v>2</v>
      </c>
      <c r="X119" s="80" t="s">
        <v>35</v>
      </c>
      <c r="Y119" s="80" t="s">
        <v>86</v>
      </c>
      <c r="Z119" s="80" t="s">
        <v>55</v>
      </c>
      <c r="AA119" s="80" t="s">
        <v>43</v>
      </c>
      <c r="AB119" s="80" t="s">
        <v>161</v>
      </c>
    </row>
    <row r="120" spans="1:28" ht="14.25" customHeight="1" x14ac:dyDescent="0.15">
      <c r="A120" s="80" t="s">
        <v>23</v>
      </c>
      <c r="B120" s="80" t="s">
        <v>160</v>
      </c>
      <c r="C120" s="80">
        <v>2022</v>
      </c>
      <c r="D120" s="122" t="s">
        <v>247</v>
      </c>
      <c r="E120" s="80" t="s">
        <v>276</v>
      </c>
      <c r="F120" s="80" t="s">
        <v>268</v>
      </c>
      <c r="G120" s="80" t="s">
        <v>25</v>
      </c>
      <c r="H120" s="80" t="s">
        <v>167</v>
      </c>
      <c r="I120" s="80" t="s">
        <v>111</v>
      </c>
      <c r="J120" s="80" t="s">
        <v>27</v>
      </c>
      <c r="K120" s="80" t="s">
        <v>112</v>
      </c>
      <c r="L120" s="80">
        <v>2</v>
      </c>
      <c r="N120" s="80">
        <v>1</v>
      </c>
      <c r="O120" s="80">
        <v>0.6</v>
      </c>
      <c r="P120" s="80">
        <v>0.5</v>
      </c>
      <c r="Q120" s="16">
        <f t="shared" si="7"/>
        <v>0.55000000000000004</v>
      </c>
      <c r="R120" s="80">
        <v>15.4</v>
      </c>
      <c r="S120" s="80">
        <v>143</v>
      </c>
      <c r="T120" s="16">
        <f t="shared" si="5"/>
        <v>30</v>
      </c>
      <c r="U120" s="80">
        <v>128</v>
      </c>
      <c r="V120" s="16">
        <f t="shared" si="8"/>
        <v>3840</v>
      </c>
      <c r="W120" s="80">
        <v>2</v>
      </c>
      <c r="X120" s="80" t="s">
        <v>35</v>
      </c>
      <c r="Y120" s="80" t="s">
        <v>86</v>
      </c>
      <c r="Z120" s="80" t="s">
        <v>55</v>
      </c>
      <c r="AA120" s="80" t="s">
        <v>43</v>
      </c>
      <c r="AB120" s="80" t="s">
        <v>161</v>
      </c>
    </row>
    <row r="121" spans="1:28" ht="14.25" customHeight="1" x14ac:dyDescent="0.15">
      <c r="A121" s="80" t="s">
        <v>23</v>
      </c>
      <c r="B121" s="80" t="s">
        <v>160</v>
      </c>
      <c r="C121" s="80">
        <v>2023</v>
      </c>
      <c r="D121" s="122" t="s">
        <v>247</v>
      </c>
      <c r="E121" s="80" t="s">
        <v>276</v>
      </c>
      <c r="F121" s="80" t="s">
        <v>268</v>
      </c>
      <c r="G121" s="80" t="s">
        <v>25</v>
      </c>
      <c r="H121" s="80" t="s">
        <v>167</v>
      </c>
      <c r="I121" s="80" t="s">
        <v>111</v>
      </c>
      <c r="J121" s="80" t="s">
        <v>27</v>
      </c>
      <c r="K121" s="80" t="s">
        <v>112</v>
      </c>
      <c r="L121" s="80">
        <v>3</v>
      </c>
      <c r="N121" s="80">
        <v>1</v>
      </c>
      <c r="O121" s="80">
        <v>0.55000000000000004</v>
      </c>
      <c r="P121" s="80">
        <v>0.45</v>
      </c>
      <c r="Q121" s="16">
        <f t="shared" si="7"/>
        <v>0.5</v>
      </c>
      <c r="R121" s="80">
        <v>16.100000000000001</v>
      </c>
      <c r="S121" s="80">
        <v>142</v>
      </c>
      <c r="T121" s="16">
        <f t="shared" si="5"/>
        <v>30</v>
      </c>
      <c r="U121" s="80">
        <v>128</v>
      </c>
      <c r="V121" s="16">
        <f t="shared" si="8"/>
        <v>3840</v>
      </c>
      <c r="W121" s="80">
        <v>2</v>
      </c>
      <c r="X121" s="80" t="s">
        <v>35</v>
      </c>
      <c r="Y121" s="80" t="s">
        <v>86</v>
      </c>
      <c r="Z121" s="80" t="s">
        <v>55</v>
      </c>
      <c r="AA121" s="80" t="s">
        <v>43</v>
      </c>
      <c r="AB121" s="80" t="s">
        <v>161</v>
      </c>
    </row>
    <row r="122" spans="1:28" ht="14.25" customHeight="1" x14ac:dyDescent="0.15">
      <c r="D122" s="122"/>
      <c r="Q122" s="16" t="str">
        <f t="shared" si="7"/>
        <v/>
      </c>
      <c r="T122" s="16" t="str">
        <f t="shared" si="5"/>
        <v/>
      </c>
      <c r="V122" s="16" t="str">
        <f t="shared" si="8"/>
        <v/>
      </c>
    </row>
    <row r="123" spans="1:28" ht="14.25" customHeight="1" x14ac:dyDescent="0.15">
      <c r="D123" s="122"/>
      <c r="Q123" s="16" t="str">
        <f t="shared" si="7"/>
        <v/>
      </c>
      <c r="T123" s="16" t="str">
        <f t="shared" si="5"/>
        <v/>
      </c>
      <c r="V123" s="16" t="str">
        <f t="shared" si="8"/>
        <v/>
      </c>
    </row>
    <row r="124" spans="1:28" ht="14.25" customHeight="1" x14ac:dyDescent="0.15">
      <c r="D124" s="122"/>
      <c r="Q124" s="16" t="str">
        <f t="shared" si="7"/>
        <v/>
      </c>
      <c r="T124" s="16" t="str">
        <f t="shared" si="5"/>
        <v/>
      </c>
      <c r="V124" s="16" t="str">
        <f t="shared" si="8"/>
        <v/>
      </c>
    </row>
    <row r="125" spans="1:28" ht="14.25" customHeight="1" x14ac:dyDescent="0.15">
      <c r="D125" s="122"/>
      <c r="Q125" s="16" t="str">
        <f t="shared" si="7"/>
        <v/>
      </c>
      <c r="T125" s="16" t="str">
        <f t="shared" si="5"/>
        <v/>
      </c>
      <c r="V125" s="16" t="str">
        <f t="shared" si="8"/>
        <v/>
      </c>
    </row>
    <row r="126" spans="1:28" ht="14.25" customHeight="1" x14ac:dyDescent="0.15">
      <c r="D126" s="122"/>
      <c r="Q126" s="16" t="str">
        <f t="shared" si="7"/>
        <v/>
      </c>
      <c r="T126" s="16" t="str">
        <f t="shared" si="5"/>
        <v/>
      </c>
      <c r="V126" s="16" t="str">
        <f t="shared" si="8"/>
        <v/>
      </c>
    </row>
    <row r="127" spans="1:28" ht="14.25" customHeight="1" x14ac:dyDescent="0.15">
      <c r="D127" s="122"/>
      <c r="Q127" s="16" t="str">
        <f t="shared" si="7"/>
        <v/>
      </c>
      <c r="T127" s="16" t="str">
        <f t="shared" ref="T127:T190" si="9">IF(H127="","",IF(OR(H127="GREEN",H127="GK"),IF(S127&gt;=$AX$2,VLOOKUP(S127,$AX$2:$AY$9,2,1),""),IF(S127&gt;=$AZ$2,VLOOKUP(S127,$AZ$2:$BA$9,2,1),"")))</f>
        <v/>
      </c>
      <c r="V127" s="16" t="str">
        <f t="shared" si="8"/>
        <v/>
      </c>
    </row>
    <row r="128" spans="1:28" ht="14.25" customHeight="1" x14ac:dyDescent="0.15">
      <c r="D128" s="122"/>
      <c r="Q128" s="16" t="str">
        <f t="shared" si="7"/>
        <v/>
      </c>
      <c r="T128" s="16" t="str">
        <f t="shared" si="9"/>
        <v/>
      </c>
      <c r="V128" s="16" t="str">
        <f t="shared" si="8"/>
        <v/>
      </c>
    </row>
    <row r="129" spans="4:22" ht="14.25" customHeight="1" x14ac:dyDescent="0.15">
      <c r="D129" s="122"/>
      <c r="Q129" s="16" t="str">
        <f t="shared" si="7"/>
        <v/>
      </c>
      <c r="T129" s="16" t="str">
        <f t="shared" si="9"/>
        <v/>
      </c>
      <c r="V129" s="16" t="str">
        <f t="shared" si="8"/>
        <v/>
      </c>
    </row>
    <row r="130" spans="4:22" ht="14.25" customHeight="1" x14ac:dyDescent="0.15">
      <c r="D130" s="122"/>
      <c r="Q130" s="16" t="str">
        <f t="shared" si="7"/>
        <v/>
      </c>
      <c r="T130" s="16" t="str">
        <f t="shared" si="9"/>
        <v/>
      </c>
      <c r="V130" s="16" t="str">
        <f t="shared" si="8"/>
        <v/>
      </c>
    </row>
    <row r="131" spans="4:22" ht="14.25" customHeight="1" x14ac:dyDescent="0.15">
      <c r="D131" s="122"/>
      <c r="Q131" s="16" t="str">
        <f t="shared" si="7"/>
        <v/>
      </c>
      <c r="T131" s="16" t="str">
        <f t="shared" si="9"/>
        <v/>
      </c>
      <c r="V131" s="16" t="str">
        <f t="shared" si="8"/>
        <v/>
      </c>
    </row>
    <row r="132" spans="4:22" ht="14.25" customHeight="1" x14ac:dyDescent="0.15">
      <c r="D132" s="122"/>
      <c r="Q132" s="16" t="str">
        <f t="shared" si="7"/>
        <v/>
      </c>
      <c r="T132" s="16" t="str">
        <f t="shared" si="9"/>
        <v/>
      </c>
      <c r="V132" s="16" t="str">
        <f t="shared" si="8"/>
        <v/>
      </c>
    </row>
    <row r="133" spans="4:22" ht="14.25" customHeight="1" x14ac:dyDescent="0.15">
      <c r="D133" s="122"/>
      <c r="Q133" s="16" t="str">
        <f t="shared" si="7"/>
        <v/>
      </c>
      <c r="T133" s="16" t="str">
        <f t="shared" si="9"/>
        <v/>
      </c>
      <c r="V133" s="16" t="str">
        <f t="shared" si="8"/>
        <v/>
      </c>
    </row>
    <row r="134" spans="4:22" ht="14.25" customHeight="1" x14ac:dyDescent="0.15">
      <c r="D134" s="122"/>
      <c r="Q134" s="16" t="str">
        <f t="shared" si="7"/>
        <v/>
      </c>
      <c r="T134" s="16" t="str">
        <f t="shared" si="9"/>
        <v/>
      </c>
      <c r="V134" s="16" t="str">
        <f t="shared" si="8"/>
        <v/>
      </c>
    </row>
    <row r="135" spans="4:22" ht="14.25" customHeight="1" x14ac:dyDescent="0.15">
      <c r="D135" s="122"/>
      <c r="Q135" s="16" t="str">
        <f t="shared" si="7"/>
        <v/>
      </c>
      <c r="T135" s="16" t="str">
        <f t="shared" si="9"/>
        <v/>
      </c>
      <c r="V135" s="16" t="str">
        <f t="shared" si="8"/>
        <v/>
      </c>
    </row>
    <row r="136" spans="4:22" ht="14.25" customHeight="1" x14ac:dyDescent="0.15">
      <c r="D136" s="122"/>
      <c r="Q136" s="16" t="str">
        <f t="shared" si="7"/>
        <v/>
      </c>
      <c r="T136" s="16" t="str">
        <f t="shared" si="9"/>
        <v/>
      </c>
      <c r="V136" s="16" t="str">
        <f t="shared" si="8"/>
        <v/>
      </c>
    </row>
    <row r="137" spans="4:22" ht="14.25" customHeight="1" x14ac:dyDescent="0.15">
      <c r="D137" s="122"/>
      <c r="Q137" s="16" t="str">
        <f t="shared" si="7"/>
        <v/>
      </c>
      <c r="T137" s="16" t="str">
        <f t="shared" si="9"/>
        <v/>
      </c>
      <c r="V137" s="16" t="str">
        <f t="shared" si="8"/>
        <v/>
      </c>
    </row>
    <row r="138" spans="4:22" ht="14.25" customHeight="1" x14ac:dyDescent="0.15">
      <c r="D138" s="122"/>
      <c r="Q138" s="16" t="str">
        <f t="shared" si="7"/>
        <v/>
      </c>
      <c r="T138" s="16" t="str">
        <f t="shared" si="9"/>
        <v/>
      </c>
      <c r="V138" s="16" t="str">
        <f t="shared" si="8"/>
        <v/>
      </c>
    </row>
    <row r="139" spans="4:22" ht="14.25" customHeight="1" x14ac:dyDescent="0.15">
      <c r="D139" s="122"/>
      <c r="Q139" s="16" t="str">
        <f t="shared" si="7"/>
        <v/>
      </c>
      <c r="T139" s="16" t="str">
        <f t="shared" si="9"/>
        <v/>
      </c>
      <c r="V139" s="16" t="str">
        <f t="shared" si="8"/>
        <v/>
      </c>
    </row>
    <row r="140" spans="4:22" ht="14.25" customHeight="1" x14ac:dyDescent="0.15">
      <c r="D140" s="122"/>
      <c r="Q140" s="16" t="str">
        <f t="shared" si="7"/>
        <v/>
      </c>
      <c r="T140" s="16" t="str">
        <f t="shared" si="9"/>
        <v/>
      </c>
      <c r="V140" s="16" t="str">
        <f t="shared" si="8"/>
        <v/>
      </c>
    </row>
    <row r="141" spans="4:22" ht="14.25" customHeight="1" x14ac:dyDescent="0.15">
      <c r="D141" s="122"/>
      <c r="Q141" s="16" t="str">
        <f t="shared" si="7"/>
        <v/>
      </c>
      <c r="T141" s="16" t="str">
        <f t="shared" si="9"/>
        <v/>
      </c>
      <c r="V141" s="16" t="str">
        <f t="shared" si="8"/>
        <v/>
      </c>
    </row>
    <row r="142" spans="4:22" ht="14.25" customHeight="1" x14ac:dyDescent="0.15">
      <c r="D142" s="122"/>
      <c r="Q142" s="16" t="str">
        <f t="shared" si="7"/>
        <v/>
      </c>
      <c r="T142" s="16" t="str">
        <f t="shared" si="9"/>
        <v/>
      </c>
      <c r="V142" s="16" t="str">
        <f t="shared" si="8"/>
        <v/>
      </c>
    </row>
    <row r="143" spans="4:22" ht="14.25" customHeight="1" x14ac:dyDescent="0.15">
      <c r="D143" s="122"/>
      <c r="Q143" s="16" t="str">
        <f t="shared" si="7"/>
        <v/>
      </c>
      <c r="T143" s="16" t="str">
        <f t="shared" si="9"/>
        <v/>
      </c>
      <c r="V143" s="16" t="str">
        <f t="shared" si="8"/>
        <v/>
      </c>
    </row>
    <row r="144" spans="4:22" ht="14.25" customHeight="1" x14ac:dyDescent="0.15">
      <c r="D144" s="122"/>
      <c r="Q144" s="16" t="str">
        <f t="shared" si="7"/>
        <v/>
      </c>
      <c r="T144" s="16" t="str">
        <f t="shared" si="9"/>
        <v/>
      </c>
      <c r="V144" s="16" t="str">
        <f t="shared" si="8"/>
        <v/>
      </c>
    </row>
    <row r="145" spans="4:22" ht="14.25" customHeight="1" x14ac:dyDescent="0.15">
      <c r="D145" s="122"/>
      <c r="Q145" s="16" t="str">
        <f t="shared" si="7"/>
        <v/>
      </c>
      <c r="T145" s="16" t="str">
        <f t="shared" si="9"/>
        <v/>
      </c>
      <c r="V145" s="16" t="str">
        <f t="shared" si="8"/>
        <v/>
      </c>
    </row>
    <row r="146" spans="4:22" ht="14.25" customHeight="1" x14ac:dyDescent="0.15">
      <c r="D146" s="122"/>
      <c r="Q146" s="16" t="str">
        <f t="shared" si="7"/>
        <v/>
      </c>
      <c r="T146" s="16" t="str">
        <f t="shared" si="9"/>
        <v/>
      </c>
      <c r="V146" s="16" t="str">
        <f t="shared" si="8"/>
        <v/>
      </c>
    </row>
    <row r="147" spans="4:22" ht="14.25" customHeight="1" x14ac:dyDescent="0.15">
      <c r="D147" s="122"/>
      <c r="Q147" s="16" t="str">
        <f t="shared" ref="Q147:Q210" si="10">IF(OR(O147="",P147=""),"",AVERAGE(O147,P147))</f>
        <v/>
      </c>
      <c r="T147" s="16" t="str">
        <f t="shared" si="9"/>
        <v/>
      </c>
      <c r="V147" s="16" t="str">
        <f t="shared" si="8"/>
        <v/>
      </c>
    </row>
    <row r="148" spans="4:22" ht="14.25" customHeight="1" x14ac:dyDescent="0.15">
      <c r="D148" s="122"/>
      <c r="Q148" s="16" t="str">
        <f t="shared" si="10"/>
        <v/>
      </c>
      <c r="T148" s="16" t="str">
        <f t="shared" si="9"/>
        <v/>
      </c>
      <c r="V148" s="16" t="str">
        <f t="shared" si="8"/>
        <v/>
      </c>
    </row>
    <row r="149" spans="4:22" ht="14.25" customHeight="1" x14ac:dyDescent="0.15">
      <c r="D149" s="122"/>
      <c r="Q149" s="16" t="str">
        <f t="shared" si="10"/>
        <v/>
      </c>
      <c r="T149" s="16" t="str">
        <f t="shared" si="9"/>
        <v/>
      </c>
      <c r="V149" s="16" t="str">
        <f t="shared" si="8"/>
        <v/>
      </c>
    </row>
    <row r="150" spans="4:22" ht="14.25" customHeight="1" x14ac:dyDescent="0.15">
      <c r="D150" s="122"/>
      <c r="Q150" s="16" t="str">
        <f t="shared" si="10"/>
        <v/>
      </c>
      <c r="T150" s="16" t="str">
        <f t="shared" si="9"/>
        <v/>
      </c>
      <c r="V150" s="16" t="str">
        <f t="shared" si="8"/>
        <v/>
      </c>
    </row>
    <row r="151" spans="4:22" ht="14.25" customHeight="1" x14ac:dyDescent="0.15">
      <c r="D151" s="122"/>
      <c r="Q151" s="16" t="str">
        <f t="shared" si="10"/>
        <v/>
      </c>
      <c r="T151" s="16" t="str">
        <f t="shared" si="9"/>
        <v/>
      </c>
      <c r="V151" s="16" t="str">
        <f t="shared" si="8"/>
        <v/>
      </c>
    </row>
    <row r="152" spans="4:22" ht="14.25" customHeight="1" x14ac:dyDescent="0.15">
      <c r="D152" s="122"/>
      <c r="Q152" s="16" t="str">
        <f t="shared" si="10"/>
        <v/>
      </c>
      <c r="T152" s="16" t="str">
        <f t="shared" si="9"/>
        <v/>
      </c>
      <c r="V152" s="16" t="str">
        <f t="shared" si="8"/>
        <v/>
      </c>
    </row>
    <row r="153" spans="4:22" ht="14.25" customHeight="1" x14ac:dyDescent="0.15">
      <c r="D153" s="122"/>
      <c r="Q153" s="16" t="str">
        <f t="shared" si="10"/>
        <v/>
      </c>
      <c r="T153" s="16" t="str">
        <f t="shared" si="9"/>
        <v/>
      </c>
      <c r="V153" s="16" t="str">
        <f t="shared" si="8"/>
        <v/>
      </c>
    </row>
    <row r="154" spans="4:22" ht="14.25" customHeight="1" x14ac:dyDescent="0.15">
      <c r="D154" s="122"/>
      <c r="Q154" s="16" t="str">
        <f t="shared" si="10"/>
        <v/>
      </c>
      <c r="T154" s="16" t="str">
        <f t="shared" si="9"/>
        <v/>
      </c>
      <c r="V154" s="16" t="str">
        <f t="shared" si="8"/>
        <v/>
      </c>
    </row>
    <row r="155" spans="4:22" ht="14.25" customHeight="1" x14ac:dyDescent="0.15">
      <c r="D155" s="122"/>
      <c r="Q155" s="16" t="str">
        <f t="shared" si="10"/>
        <v/>
      </c>
      <c r="T155" s="16" t="str">
        <f t="shared" si="9"/>
        <v/>
      </c>
      <c r="V155" s="16" t="str">
        <f t="shared" si="8"/>
        <v/>
      </c>
    </row>
    <row r="156" spans="4:22" ht="14.25" customHeight="1" x14ac:dyDescent="0.15">
      <c r="D156" s="122"/>
      <c r="Q156" s="16" t="str">
        <f t="shared" si="10"/>
        <v/>
      </c>
      <c r="T156" s="16" t="str">
        <f t="shared" si="9"/>
        <v/>
      </c>
      <c r="V156" s="16" t="str">
        <f t="shared" si="8"/>
        <v/>
      </c>
    </row>
    <row r="157" spans="4:22" ht="14.25" customHeight="1" x14ac:dyDescent="0.15">
      <c r="D157" s="122"/>
      <c r="Q157" s="16" t="str">
        <f t="shared" si="10"/>
        <v/>
      </c>
      <c r="T157" s="16" t="str">
        <f t="shared" si="9"/>
        <v/>
      </c>
      <c r="V157" s="16" t="str">
        <f t="shared" si="8"/>
        <v/>
      </c>
    </row>
    <row r="158" spans="4:22" ht="14.25" customHeight="1" x14ac:dyDescent="0.15">
      <c r="D158" s="122"/>
      <c r="Q158" s="16" t="str">
        <f t="shared" si="10"/>
        <v/>
      </c>
      <c r="T158" s="16" t="str">
        <f t="shared" si="9"/>
        <v/>
      </c>
      <c r="V158" s="16" t="str">
        <f t="shared" si="8"/>
        <v/>
      </c>
    </row>
    <row r="159" spans="4:22" ht="14.25" customHeight="1" x14ac:dyDescent="0.15">
      <c r="D159" s="122"/>
      <c r="Q159" s="16" t="str">
        <f t="shared" si="10"/>
        <v/>
      </c>
      <c r="T159" s="16" t="str">
        <f t="shared" si="9"/>
        <v/>
      </c>
      <c r="V159" s="16" t="str">
        <f t="shared" si="8"/>
        <v/>
      </c>
    </row>
    <row r="160" spans="4:22" ht="14.25" customHeight="1" x14ac:dyDescent="0.15">
      <c r="D160" s="122"/>
      <c r="Q160" s="16" t="str">
        <f t="shared" si="10"/>
        <v/>
      </c>
      <c r="T160" s="16" t="str">
        <f t="shared" si="9"/>
        <v/>
      </c>
      <c r="V160" s="16" t="str">
        <f t="shared" si="8"/>
        <v/>
      </c>
    </row>
    <row r="161" spans="4:22" ht="14.25" customHeight="1" x14ac:dyDescent="0.15">
      <c r="D161" s="122"/>
      <c r="Q161" s="16" t="str">
        <f t="shared" si="10"/>
        <v/>
      </c>
      <c r="T161" s="16" t="str">
        <f t="shared" si="9"/>
        <v/>
      </c>
      <c r="V161" s="16" t="str">
        <f t="shared" si="8"/>
        <v/>
      </c>
    </row>
    <row r="162" spans="4:22" ht="14.25" customHeight="1" x14ac:dyDescent="0.15">
      <c r="D162" s="122"/>
      <c r="Q162" s="16" t="str">
        <f t="shared" si="10"/>
        <v/>
      </c>
      <c r="T162" s="16" t="str">
        <f t="shared" si="9"/>
        <v/>
      </c>
      <c r="V162" s="16" t="str">
        <f t="shared" si="8"/>
        <v/>
      </c>
    </row>
    <row r="163" spans="4:22" ht="14.25" customHeight="1" x14ac:dyDescent="0.15">
      <c r="D163" s="122"/>
      <c r="Q163" s="16" t="str">
        <f t="shared" si="10"/>
        <v/>
      </c>
      <c r="T163" s="16" t="str">
        <f t="shared" si="9"/>
        <v/>
      </c>
      <c r="V163" s="16" t="str">
        <f t="shared" si="8"/>
        <v/>
      </c>
    </row>
    <row r="164" spans="4:22" ht="14.25" customHeight="1" x14ac:dyDescent="0.15">
      <c r="D164" s="122"/>
      <c r="Q164" s="16" t="str">
        <f t="shared" si="10"/>
        <v/>
      </c>
      <c r="T164" s="16" t="str">
        <f t="shared" si="9"/>
        <v/>
      </c>
      <c r="V164" s="16" t="str">
        <f t="shared" si="8"/>
        <v/>
      </c>
    </row>
    <row r="165" spans="4:22" ht="14.25" customHeight="1" x14ac:dyDescent="0.15">
      <c r="D165" s="122"/>
      <c r="Q165" s="16" t="str">
        <f t="shared" si="10"/>
        <v/>
      </c>
      <c r="T165" s="16" t="str">
        <f t="shared" si="9"/>
        <v/>
      </c>
      <c r="V165" s="16" t="str">
        <f t="shared" si="8"/>
        <v/>
      </c>
    </row>
    <row r="166" spans="4:22" ht="14.25" customHeight="1" x14ac:dyDescent="0.15">
      <c r="D166" s="122"/>
      <c r="Q166" s="16" t="str">
        <f t="shared" si="10"/>
        <v/>
      </c>
      <c r="T166" s="16" t="str">
        <f t="shared" si="9"/>
        <v/>
      </c>
      <c r="V166" s="16" t="str">
        <f t="shared" si="8"/>
        <v/>
      </c>
    </row>
    <row r="167" spans="4:22" ht="14.25" customHeight="1" x14ac:dyDescent="0.15">
      <c r="D167" s="122"/>
      <c r="Q167" s="16" t="str">
        <f t="shared" si="10"/>
        <v/>
      </c>
      <c r="T167" s="16" t="str">
        <f t="shared" si="9"/>
        <v/>
      </c>
      <c r="V167" s="16" t="str">
        <f t="shared" si="8"/>
        <v/>
      </c>
    </row>
    <row r="168" spans="4:22" ht="14.25" customHeight="1" x14ac:dyDescent="0.15">
      <c r="D168" s="122"/>
      <c r="Q168" s="16" t="str">
        <f t="shared" si="10"/>
        <v/>
      </c>
      <c r="T168" s="16" t="str">
        <f t="shared" si="9"/>
        <v/>
      </c>
      <c r="V168" s="16" t="str">
        <f t="shared" si="8"/>
        <v/>
      </c>
    </row>
    <row r="169" spans="4:22" ht="14.25" customHeight="1" x14ac:dyDescent="0.15">
      <c r="D169" s="122"/>
      <c r="Q169" s="16" t="str">
        <f t="shared" si="10"/>
        <v/>
      </c>
      <c r="T169" s="16" t="str">
        <f t="shared" si="9"/>
        <v/>
      </c>
      <c r="V169" s="16" t="str">
        <f t="shared" si="8"/>
        <v/>
      </c>
    </row>
    <row r="170" spans="4:22" ht="14.25" customHeight="1" x14ac:dyDescent="0.15">
      <c r="D170" s="122"/>
      <c r="Q170" s="16" t="str">
        <f t="shared" si="10"/>
        <v/>
      </c>
      <c r="T170" s="16" t="str">
        <f t="shared" si="9"/>
        <v/>
      </c>
      <c r="V170" s="16" t="str">
        <f t="shared" si="8"/>
        <v/>
      </c>
    </row>
    <row r="171" spans="4:22" ht="14.25" customHeight="1" x14ac:dyDescent="0.15">
      <c r="D171" s="122"/>
      <c r="Q171" s="16" t="str">
        <f t="shared" si="10"/>
        <v/>
      </c>
      <c r="T171" s="16" t="str">
        <f t="shared" si="9"/>
        <v/>
      </c>
      <c r="V171" s="16" t="str">
        <f t="shared" si="8"/>
        <v/>
      </c>
    </row>
    <row r="172" spans="4:22" ht="14.25" customHeight="1" x14ac:dyDescent="0.15">
      <c r="D172" s="122"/>
      <c r="Q172" s="16" t="str">
        <f t="shared" si="10"/>
        <v/>
      </c>
      <c r="T172" s="16" t="str">
        <f t="shared" si="9"/>
        <v/>
      </c>
      <c r="V172" s="16" t="str">
        <f t="shared" si="8"/>
        <v/>
      </c>
    </row>
    <row r="173" spans="4:22" ht="14.25" customHeight="1" x14ac:dyDescent="0.15">
      <c r="D173" s="122"/>
      <c r="Q173" s="16" t="str">
        <f t="shared" si="10"/>
        <v/>
      </c>
      <c r="T173" s="16" t="str">
        <f t="shared" si="9"/>
        <v/>
      </c>
      <c r="V173" s="16" t="str">
        <f t="shared" si="8"/>
        <v/>
      </c>
    </row>
    <row r="174" spans="4:22" ht="14.25" customHeight="1" x14ac:dyDescent="0.15">
      <c r="D174" s="122"/>
      <c r="Q174" s="16" t="str">
        <f t="shared" si="10"/>
        <v/>
      </c>
      <c r="T174" s="16" t="str">
        <f t="shared" si="9"/>
        <v/>
      </c>
      <c r="V174" s="16" t="str">
        <f t="shared" si="8"/>
        <v/>
      </c>
    </row>
    <row r="175" spans="4:22" ht="14.25" customHeight="1" x14ac:dyDescent="0.15">
      <c r="D175" s="122"/>
      <c r="Q175" s="16" t="str">
        <f t="shared" si="10"/>
        <v/>
      </c>
      <c r="T175" s="16" t="str">
        <f t="shared" si="9"/>
        <v/>
      </c>
      <c r="V175" s="16" t="str">
        <f t="shared" si="8"/>
        <v/>
      </c>
    </row>
    <row r="176" spans="4:22" ht="14.25" customHeight="1" x14ac:dyDescent="0.15">
      <c r="D176" s="122"/>
      <c r="Q176" s="16" t="str">
        <f t="shared" si="10"/>
        <v/>
      </c>
      <c r="T176" s="16" t="str">
        <f t="shared" si="9"/>
        <v/>
      </c>
      <c r="V176" s="16" t="str">
        <f t="shared" si="8"/>
        <v/>
      </c>
    </row>
    <row r="177" spans="4:22" ht="14.25" customHeight="1" x14ac:dyDescent="0.15">
      <c r="D177" s="122"/>
      <c r="Q177" s="16" t="str">
        <f t="shared" si="10"/>
        <v/>
      </c>
      <c r="T177" s="16" t="str">
        <f t="shared" si="9"/>
        <v/>
      </c>
      <c r="V177" s="16" t="str">
        <f t="shared" si="8"/>
        <v/>
      </c>
    </row>
    <row r="178" spans="4:22" ht="14.25" customHeight="1" x14ac:dyDescent="0.15">
      <c r="D178" s="122"/>
      <c r="Q178" s="16" t="str">
        <f t="shared" si="10"/>
        <v/>
      </c>
      <c r="T178" s="16" t="str">
        <f t="shared" si="9"/>
        <v/>
      </c>
      <c r="V178" s="16" t="str">
        <f t="shared" si="8"/>
        <v/>
      </c>
    </row>
    <row r="179" spans="4:22" ht="14.25" customHeight="1" x14ac:dyDescent="0.15">
      <c r="D179" s="122"/>
      <c r="Q179" s="16" t="str">
        <f t="shared" si="10"/>
        <v/>
      </c>
      <c r="T179" s="16" t="str">
        <f t="shared" si="9"/>
        <v/>
      </c>
      <c r="V179" s="16" t="str">
        <f t="shared" si="8"/>
        <v/>
      </c>
    </row>
    <row r="180" spans="4:22" ht="14.25" customHeight="1" x14ac:dyDescent="0.15">
      <c r="D180" s="122"/>
      <c r="Q180" s="16" t="str">
        <f t="shared" si="10"/>
        <v/>
      </c>
      <c r="T180" s="16" t="str">
        <f t="shared" si="9"/>
        <v/>
      </c>
      <c r="V180" s="16" t="str">
        <f t="shared" ref="V180:V243" si="11">IF(OR(N180="",U180="",T180=""),"",U180/N180*T180)</f>
        <v/>
      </c>
    </row>
    <row r="181" spans="4:22" ht="14.25" customHeight="1" x14ac:dyDescent="0.15">
      <c r="D181" s="122"/>
      <c r="Q181" s="16" t="str">
        <f t="shared" si="10"/>
        <v/>
      </c>
      <c r="T181" s="16" t="str">
        <f t="shared" si="9"/>
        <v/>
      </c>
      <c r="V181" s="16" t="str">
        <f t="shared" si="11"/>
        <v/>
      </c>
    </row>
    <row r="182" spans="4:22" ht="14.25" customHeight="1" x14ac:dyDescent="0.15">
      <c r="D182" s="122"/>
      <c r="Q182" s="16" t="str">
        <f t="shared" si="10"/>
        <v/>
      </c>
      <c r="T182" s="16" t="str">
        <f t="shared" si="9"/>
        <v/>
      </c>
      <c r="V182" s="16" t="str">
        <f t="shared" si="11"/>
        <v/>
      </c>
    </row>
    <row r="183" spans="4:22" ht="14.25" customHeight="1" x14ac:dyDescent="0.15">
      <c r="D183" s="122"/>
      <c r="Q183" s="16" t="str">
        <f t="shared" si="10"/>
        <v/>
      </c>
      <c r="T183" s="16" t="str">
        <f t="shared" si="9"/>
        <v/>
      </c>
      <c r="V183" s="16" t="str">
        <f t="shared" si="11"/>
        <v/>
      </c>
    </row>
    <row r="184" spans="4:22" ht="14.25" customHeight="1" x14ac:dyDescent="0.15">
      <c r="D184" s="122"/>
      <c r="Q184" s="16" t="str">
        <f t="shared" si="10"/>
        <v/>
      </c>
      <c r="T184" s="16" t="str">
        <f t="shared" si="9"/>
        <v/>
      </c>
      <c r="V184" s="16" t="str">
        <f t="shared" si="11"/>
        <v/>
      </c>
    </row>
    <row r="185" spans="4:22" ht="14.25" customHeight="1" x14ac:dyDescent="0.15">
      <c r="D185" s="122"/>
      <c r="Q185" s="16" t="str">
        <f t="shared" si="10"/>
        <v/>
      </c>
      <c r="T185" s="16" t="str">
        <f t="shared" si="9"/>
        <v/>
      </c>
      <c r="V185" s="16" t="str">
        <f t="shared" si="11"/>
        <v/>
      </c>
    </row>
    <row r="186" spans="4:22" ht="14.25" customHeight="1" x14ac:dyDescent="0.15">
      <c r="D186" s="122"/>
      <c r="Q186" s="16" t="str">
        <f t="shared" si="10"/>
        <v/>
      </c>
      <c r="T186" s="16" t="str">
        <f t="shared" si="9"/>
        <v/>
      </c>
      <c r="V186" s="16" t="str">
        <f t="shared" si="11"/>
        <v/>
      </c>
    </row>
    <row r="187" spans="4:22" ht="14.25" customHeight="1" x14ac:dyDescent="0.15">
      <c r="D187" s="122"/>
      <c r="Q187" s="16" t="str">
        <f t="shared" si="10"/>
        <v/>
      </c>
      <c r="T187" s="16" t="str">
        <f t="shared" si="9"/>
        <v/>
      </c>
      <c r="V187" s="16" t="str">
        <f t="shared" si="11"/>
        <v/>
      </c>
    </row>
    <row r="188" spans="4:22" ht="14.25" customHeight="1" x14ac:dyDescent="0.15">
      <c r="D188" s="122"/>
      <c r="Q188" s="16" t="str">
        <f t="shared" si="10"/>
        <v/>
      </c>
      <c r="T188" s="16" t="str">
        <f t="shared" si="9"/>
        <v/>
      </c>
      <c r="V188" s="16" t="str">
        <f t="shared" si="11"/>
        <v/>
      </c>
    </row>
    <row r="189" spans="4:22" ht="14.25" customHeight="1" x14ac:dyDescent="0.15">
      <c r="D189" s="122"/>
      <c r="Q189" s="16" t="str">
        <f t="shared" si="10"/>
        <v/>
      </c>
      <c r="T189" s="16" t="str">
        <f t="shared" si="9"/>
        <v/>
      </c>
      <c r="V189" s="16" t="str">
        <f t="shared" si="11"/>
        <v/>
      </c>
    </row>
    <row r="190" spans="4:22" ht="14.25" customHeight="1" x14ac:dyDescent="0.15">
      <c r="D190" s="122"/>
      <c r="Q190" s="16" t="str">
        <f t="shared" si="10"/>
        <v/>
      </c>
      <c r="T190" s="16" t="str">
        <f t="shared" si="9"/>
        <v/>
      </c>
      <c r="V190" s="16" t="str">
        <f t="shared" si="11"/>
        <v/>
      </c>
    </row>
    <row r="191" spans="4:22" ht="14.25" customHeight="1" x14ac:dyDescent="0.15">
      <c r="D191" s="122"/>
      <c r="Q191" s="16" t="str">
        <f t="shared" si="10"/>
        <v/>
      </c>
      <c r="T191" s="16" t="str">
        <f t="shared" ref="T191:T254" si="12">IF(H191="","",IF(OR(H191="GREEN",H191="GK"),IF(S191&gt;=$AX$2,VLOOKUP(S191,$AX$2:$AY$9,2,1),""),IF(S191&gt;=$AZ$2,VLOOKUP(S191,$AZ$2:$BA$9,2,1),"")))</f>
        <v/>
      </c>
      <c r="V191" s="16" t="str">
        <f t="shared" si="11"/>
        <v/>
      </c>
    </row>
    <row r="192" spans="4:22" ht="14.25" customHeight="1" x14ac:dyDescent="0.15">
      <c r="D192" s="122"/>
      <c r="Q192" s="16" t="str">
        <f t="shared" si="10"/>
        <v/>
      </c>
      <c r="T192" s="16" t="str">
        <f t="shared" si="12"/>
        <v/>
      </c>
      <c r="V192" s="16" t="str">
        <f t="shared" si="11"/>
        <v/>
      </c>
    </row>
    <row r="193" spans="4:22" ht="14.25" customHeight="1" x14ac:dyDescent="0.15">
      <c r="D193" s="122"/>
      <c r="Q193" s="16" t="str">
        <f t="shared" si="10"/>
        <v/>
      </c>
      <c r="T193" s="16" t="str">
        <f t="shared" si="12"/>
        <v/>
      </c>
      <c r="V193" s="16" t="str">
        <f t="shared" si="11"/>
        <v/>
      </c>
    </row>
    <row r="194" spans="4:22" ht="14.25" customHeight="1" x14ac:dyDescent="0.15">
      <c r="D194" s="122"/>
      <c r="Q194" s="16" t="str">
        <f t="shared" si="10"/>
        <v/>
      </c>
      <c r="T194" s="16" t="str">
        <f t="shared" si="12"/>
        <v/>
      </c>
      <c r="V194" s="16" t="str">
        <f t="shared" si="11"/>
        <v/>
      </c>
    </row>
    <row r="195" spans="4:22" ht="14.25" customHeight="1" x14ac:dyDescent="0.15">
      <c r="D195" s="122"/>
      <c r="Q195" s="16" t="str">
        <f t="shared" si="10"/>
        <v/>
      </c>
      <c r="T195" s="16" t="str">
        <f t="shared" si="12"/>
        <v/>
      </c>
      <c r="V195" s="16" t="str">
        <f t="shared" si="11"/>
        <v/>
      </c>
    </row>
    <row r="196" spans="4:22" ht="14.25" customHeight="1" x14ac:dyDescent="0.15">
      <c r="D196" s="122"/>
      <c r="Q196" s="16" t="str">
        <f t="shared" si="10"/>
        <v/>
      </c>
      <c r="T196" s="16" t="str">
        <f t="shared" si="12"/>
        <v/>
      </c>
      <c r="V196" s="16" t="str">
        <f t="shared" si="11"/>
        <v/>
      </c>
    </row>
    <row r="197" spans="4:22" ht="14.25" customHeight="1" x14ac:dyDescent="0.15">
      <c r="D197" s="122"/>
      <c r="Q197" s="16" t="str">
        <f t="shared" si="10"/>
        <v/>
      </c>
      <c r="T197" s="16" t="str">
        <f t="shared" si="12"/>
        <v/>
      </c>
      <c r="V197" s="16" t="str">
        <f t="shared" si="11"/>
        <v/>
      </c>
    </row>
    <row r="198" spans="4:22" ht="14.25" customHeight="1" x14ac:dyDescent="0.15">
      <c r="D198" s="122"/>
      <c r="Q198" s="16" t="str">
        <f t="shared" si="10"/>
        <v/>
      </c>
      <c r="T198" s="16" t="str">
        <f t="shared" si="12"/>
        <v/>
      </c>
      <c r="V198" s="16" t="str">
        <f t="shared" si="11"/>
        <v/>
      </c>
    </row>
    <row r="199" spans="4:22" ht="14.25" customHeight="1" x14ac:dyDescent="0.15">
      <c r="D199" s="122"/>
      <c r="Q199" s="16" t="str">
        <f t="shared" si="10"/>
        <v/>
      </c>
      <c r="T199" s="16" t="str">
        <f t="shared" si="12"/>
        <v/>
      </c>
      <c r="V199" s="16" t="str">
        <f t="shared" si="11"/>
        <v/>
      </c>
    </row>
    <row r="200" spans="4:22" ht="14.25" customHeight="1" x14ac:dyDescent="0.15">
      <c r="D200" s="122"/>
      <c r="Q200" s="16" t="str">
        <f t="shared" si="10"/>
        <v/>
      </c>
      <c r="T200" s="16" t="str">
        <f t="shared" si="12"/>
        <v/>
      </c>
      <c r="V200" s="16" t="str">
        <f t="shared" si="11"/>
        <v/>
      </c>
    </row>
    <row r="201" spans="4:22" ht="14.25" customHeight="1" x14ac:dyDescent="0.15">
      <c r="D201" s="122"/>
      <c r="Q201" s="16" t="str">
        <f t="shared" si="10"/>
        <v/>
      </c>
      <c r="T201" s="16" t="str">
        <f t="shared" si="12"/>
        <v/>
      </c>
      <c r="V201" s="16" t="str">
        <f t="shared" si="11"/>
        <v/>
      </c>
    </row>
    <row r="202" spans="4:22" ht="14.25" customHeight="1" x14ac:dyDescent="0.15">
      <c r="D202" s="122"/>
      <c r="Q202" s="16" t="str">
        <f t="shared" si="10"/>
        <v/>
      </c>
      <c r="T202" s="16" t="str">
        <f t="shared" si="12"/>
        <v/>
      </c>
      <c r="V202" s="16" t="str">
        <f t="shared" si="11"/>
        <v/>
      </c>
    </row>
    <row r="203" spans="4:22" ht="14.25" customHeight="1" x14ac:dyDescent="0.15">
      <c r="D203" s="122"/>
      <c r="Q203" s="16" t="str">
        <f t="shared" si="10"/>
        <v/>
      </c>
      <c r="T203" s="16" t="str">
        <f t="shared" si="12"/>
        <v/>
      </c>
      <c r="V203" s="16" t="str">
        <f t="shared" si="11"/>
        <v/>
      </c>
    </row>
    <row r="204" spans="4:22" ht="14.25" customHeight="1" x14ac:dyDescent="0.15">
      <c r="D204" s="122"/>
      <c r="Q204" s="16" t="str">
        <f t="shared" si="10"/>
        <v/>
      </c>
      <c r="T204" s="16" t="str">
        <f t="shared" si="12"/>
        <v/>
      </c>
      <c r="V204" s="16" t="str">
        <f t="shared" si="11"/>
        <v/>
      </c>
    </row>
    <row r="205" spans="4:22" ht="14.25" customHeight="1" x14ac:dyDescent="0.15">
      <c r="D205" s="122"/>
      <c r="Q205" s="16" t="str">
        <f t="shared" si="10"/>
        <v/>
      </c>
      <c r="T205" s="16" t="str">
        <f t="shared" si="12"/>
        <v/>
      </c>
      <c r="V205" s="16" t="str">
        <f t="shared" si="11"/>
        <v/>
      </c>
    </row>
    <row r="206" spans="4:22" ht="14.25" customHeight="1" x14ac:dyDescent="0.15">
      <c r="D206" s="122"/>
      <c r="Q206" s="16" t="str">
        <f t="shared" si="10"/>
        <v/>
      </c>
      <c r="T206" s="16" t="str">
        <f t="shared" si="12"/>
        <v/>
      </c>
      <c r="V206" s="16" t="str">
        <f t="shared" si="11"/>
        <v/>
      </c>
    </row>
    <row r="207" spans="4:22" ht="14.25" customHeight="1" x14ac:dyDescent="0.15">
      <c r="D207" s="122"/>
      <c r="Q207" s="16" t="str">
        <f t="shared" si="10"/>
        <v/>
      </c>
      <c r="T207" s="16" t="str">
        <f t="shared" si="12"/>
        <v/>
      </c>
      <c r="V207" s="16" t="str">
        <f t="shared" si="11"/>
        <v/>
      </c>
    </row>
    <row r="208" spans="4:22" ht="14.25" customHeight="1" x14ac:dyDescent="0.15">
      <c r="D208" s="122"/>
      <c r="Q208" s="16" t="str">
        <f t="shared" si="10"/>
        <v/>
      </c>
      <c r="T208" s="16" t="str">
        <f t="shared" si="12"/>
        <v/>
      </c>
      <c r="V208" s="16" t="str">
        <f t="shared" si="11"/>
        <v/>
      </c>
    </row>
    <row r="209" spans="4:22" ht="14.25" customHeight="1" x14ac:dyDescent="0.15">
      <c r="D209" s="122"/>
      <c r="Q209" s="16" t="str">
        <f t="shared" si="10"/>
        <v/>
      </c>
      <c r="T209" s="16" t="str">
        <f t="shared" si="12"/>
        <v/>
      </c>
      <c r="V209" s="16" t="str">
        <f t="shared" si="11"/>
        <v/>
      </c>
    </row>
    <row r="210" spans="4:22" ht="14.25" customHeight="1" x14ac:dyDescent="0.15">
      <c r="D210" s="122"/>
      <c r="Q210" s="16" t="str">
        <f t="shared" si="10"/>
        <v/>
      </c>
      <c r="T210" s="16" t="str">
        <f t="shared" si="12"/>
        <v/>
      </c>
      <c r="V210" s="16" t="str">
        <f t="shared" si="11"/>
        <v/>
      </c>
    </row>
    <row r="211" spans="4:22" ht="14.25" customHeight="1" x14ac:dyDescent="0.15">
      <c r="D211" s="122"/>
      <c r="Q211" s="16" t="str">
        <f t="shared" ref="Q211:Q260" si="13">IF(OR(O211="",P211=""),"",AVERAGE(O211,P211))</f>
        <v/>
      </c>
      <c r="T211" s="16" t="str">
        <f t="shared" si="12"/>
        <v/>
      </c>
      <c r="V211" s="16" t="str">
        <f t="shared" si="11"/>
        <v/>
      </c>
    </row>
    <row r="212" spans="4:22" ht="14.25" customHeight="1" x14ac:dyDescent="0.15">
      <c r="D212" s="122"/>
      <c r="Q212" s="16" t="str">
        <f t="shared" si="13"/>
        <v/>
      </c>
      <c r="T212" s="16" t="str">
        <f t="shared" si="12"/>
        <v/>
      </c>
      <c r="V212" s="16" t="str">
        <f t="shared" si="11"/>
        <v/>
      </c>
    </row>
    <row r="213" spans="4:22" ht="14.25" customHeight="1" x14ac:dyDescent="0.15">
      <c r="D213" s="122"/>
      <c r="Q213" s="16" t="str">
        <f t="shared" si="13"/>
        <v/>
      </c>
      <c r="T213" s="16" t="str">
        <f t="shared" si="12"/>
        <v/>
      </c>
      <c r="V213" s="16" t="str">
        <f t="shared" si="11"/>
        <v/>
      </c>
    </row>
    <row r="214" spans="4:22" ht="14.25" customHeight="1" x14ac:dyDescent="0.15">
      <c r="D214" s="122"/>
      <c r="Q214" s="16" t="str">
        <f t="shared" si="13"/>
        <v/>
      </c>
      <c r="T214" s="16" t="str">
        <f t="shared" si="12"/>
        <v/>
      </c>
      <c r="V214" s="16" t="str">
        <f t="shared" si="11"/>
        <v/>
      </c>
    </row>
    <row r="215" spans="4:22" ht="14.25" customHeight="1" x14ac:dyDescent="0.15">
      <c r="D215" s="122"/>
      <c r="Q215" s="16" t="str">
        <f t="shared" si="13"/>
        <v/>
      </c>
      <c r="T215" s="16" t="str">
        <f t="shared" si="12"/>
        <v/>
      </c>
      <c r="V215" s="16" t="str">
        <f t="shared" si="11"/>
        <v/>
      </c>
    </row>
    <row r="216" spans="4:22" ht="14.25" customHeight="1" x14ac:dyDescent="0.15">
      <c r="D216" s="122"/>
      <c r="Q216" s="16" t="str">
        <f t="shared" si="13"/>
        <v/>
      </c>
      <c r="T216" s="16" t="str">
        <f t="shared" si="12"/>
        <v/>
      </c>
      <c r="V216" s="16" t="str">
        <f t="shared" si="11"/>
        <v/>
      </c>
    </row>
    <row r="217" spans="4:22" ht="14.25" customHeight="1" x14ac:dyDescent="0.15">
      <c r="D217" s="122"/>
      <c r="Q217" s="16" t="str">
        <f t="shared" si="13"/>
        <v/>
      </c>
      <c r="T217" s="16" t="str">
        <f t="shared" si="12"/>
        <v/>
      </c>
      <c r="V217" s="16" t="str">
        <f t="shared" si="11"/>
        <v/>
      </c>
    </row>
    <row r="218" spans="4:22" ht="14.25" customHeight="1" x14ac:dyDescent="0.15">
      <c r="D218" s="122"/>
      <c r="Q218" s="16" t="str">
        <f t="shared" si="13"/>
        <v/>
      </c>
      <c r="T218" s="16" t="str">
        <f t="shared" si="12"/>
        <v/>
      </c>
      <c r="V218" s="16" t="str">
        <f t="shared" si="11"/>
        <v/>
      </c>
    </row>
    <row r="219" spans="4:22" ht="14.25" customHeight="1" x14ac:dyDescent="0.15">
      <c r="D219" s="122"/>
      <c r="Q219" s="16" t="str">
        <f t="shared" si="13"/>
        <v/>
      </c>
      <c r="T219" s="16" t="str">
        <f t="shared" si="12"/>
        <v/>
      </c>
      <c r="V219" s="16" t="str">
        <f t="shared" si="11"/>
        <v/>
      </c>
    </row>
    <row r="220" spans="4:22" ht="14.25" customHeight="1" x14ac:dyDescent="0.15">
      <c r="D220" s="122"/>
      <c r="Q220" s="16" t="str">
        <f t="shared" si="13"/>
        <v/>
      </c>
      <c r="T220" s="16" t="str">
        <f t="shared" si="12"/>
        <v/>
      </c>
      <c r="V220" s="16" t="str">
        <f t="shared" si="11"/>
        <v/>
      </c>
    </row>
    <row r="221" spans="4:22" ht="14.25" customHeight="1" x14ac:dyDescent="0.15">
      <c r="D221" s="122"/>
      <c r="Q221" s="16" t="str">
        <f t="shared" si="13"/>
        <v/>
      </c>
      <c r="T221" s="16" t="str">
        <f t="shared" si="12"/>
        <v/>
      </c>
      <c r="V221" s="16" t="str">
        <f t="shared" si="11"/>
        <v/>
      </c>
    </row>
    <row r="222" spans="4:22" ht="14.25" customHeight="1" x14ac:dyDescent="0.15">
      <c r="D222" s="122"/>
      <c r="Q222" s="16" t="str">
        <f t="shared" si="13"/>
        <v/>
      </c>
      <c r="T222" s="16" t="str">
        <f t="shared" si="12"/>
        <v/>
      </c>
      <c r="V222" s="16" t="str">
        <f t="shared" si="11"/>
        <v/>
      </c>
    </row>
    <row r="223" spans="4:22" ht="14.25" customHeight="1" x14ac:dyDescent="0.15">
      <c r="D223" s="122"/>
      <c r="Q223" s="16" t="str">
        <f t="shared" si="13"/>
        <v/>
      </c>
      <c r="T223" s="16" t="str">
        <f t="shared" si="12"/>
        <v/>
      </c>
      <c r="V223" s="16" t="str">
        <f t="shared" si="11"/>
        <v/>
      </c>
    </row>
    <row r="224" spans="4:22" ht="14.25" customHeight="1" x14ac:dyDescent="0.15">
      <c r="D224" s="122"/>
      <c r="Q224" s="16" t="str">
        <f t="shared" si="13"/>
        <v/>
      </c>
      <c r="T224" s="16" t="str">
        <f t="shared" si="12"/>
        <v/>
      </c>
      <c r="V224" s="16" t="str">
        <f t="shared" si="11"/>
        <v/>
      </c>
    </row>
    <row r="225" spans="4:22" ht="14.25" customHeight="1" x14ac:dyDescent="0.15">
      <c r="D225" s="122"/>
      <c r="Q225" s="16" t="str">
        <f t="shared" si="13"/>
        <v/>
      </c>
      <c r="T225" s="16" t="str">
        <f t="shared" si="12"/>
        <v/>
      </c>
      <c r="V225" s="16" t="str">
        <f t="shared" si="11"/>
        <v/>
      </c>
    </row>
    <row r="226" spans="4:22" ht="14.25" customHeight="1" x14ac:dyDescent="0.15">
      <c r="D226" s="122"/>
      <c r="Q226" s="16" t="str">
        <f t="shared" si="13"/>
        <v/>
      </c>
      <c r="T226" s="16" t="str">
        <f t="shared" si="12"/>
        <v/>
      </c>
      <c r="V226" s="16" t="str">
        <f t="shared" si="11"/>
        <v/>
      </c>
    </row>
    <row r="227" spans="4:22" ht="14.25" customHeight="1" x14ac:dyDescent="0.15">
      <c r="D227" s="122"/>
      <c r="Q227" s="16" t="str">
        <f t="shared" si="13"/>
        <v/>
      </c>
      <c r="T227" s="16" t="str">
        <f t="shared" si="12"/>
        <v/>
      </c>
      <c r="V227" s="16" t="str">
        <f t="shared" si="11"/>
        <v/>
      </c>
    </row>
    <row r="228" spans="4:22" ht="14.25" customHeight="1" x14ac:dyDescent="0.15">
      <c r="D228" s="122"/>
      <c r="Q228" s="16" t="str">
        <f t="shared" si="13"/>
        <v/>
      </c>
      <c r="T228" s="16" t="str">
        <f t="shared" si="12"/>
        <v/>
      </c>
      <c r="V228" s="16" t="str">
        <f t="shared" si="11"/>
        <v/>
      </c>
    </row>
    <row r="229" spans="4:22" ht="14.25" customHeight="1" x14ac:dyDescent="0.15">
      <c r="D229" s="122"/>
      <c r="Q229" s="16" t="str">
        <f t="shared" si="13"/>
        <v/>
      </c>
      <c r="T229" s="16" t="str">
        <f t="shared" si="12"/>
        <v/>
      </c>
      <c r="V229" s="16" t="str">
        <f t="shared" si="11"/>
        <v/>
      </c>
    </row>
    <row r="230" spans="4:22" ht="14.25" customHeight="1" x14ac:dyDescent="0.15">
      <c r="D230" s="122"/>
      <c r="Q230" s="16" t="str">
        <f t="shared" si="13"/>
        <v/>
      </c>
      <c r="T230" s="16" t="str">
        <f t="shared" si="12"/>
        <v/>
      </c>
      <c r="V230" s="16" t="str">
        <f t="shared" si="11"/>
        <v/>
      </c>
    </row>
    <row r="231" spans="4:22" ht="14.25" customHeight="1" x14ac:dyDescent="0.15">
      <c r="D231" s="122"/>
      <c r="Q231" s="16" t="str">
        <f t="shared" si="13"/>
        <v/>
      </c>
      <c r="T231" s="16" t="str">
        <f t="shared" si="12"/>
        <v/>
      </c>
      <c r="V231" s="16" t="str">
        <f t="shared" si="11"/>
        <v/>
      </c>
    </row>
    <row r="232" spans="4:22" ht="14.25" customHeight="1" x14ac:dyDescent="0.15">
      <c r="D232" s="122"/>
      <c r="Q232" s="16" t="str">
        <f t="shared" si="13"/>
        <v/>
      </c>
      <c r="T232" s="16" t="str">
        <f t="shared" si="12"/>
        <v/>
      </c>
      <c r="V232" s="16" t="str">
        <f t="shared" si="11"/>
        <v/>
      </c>
    </row>
    <row r="233" spans="4:22" ht="14.25" customHeight="1" x14ac:dyDescent="0.15">
      <c r="D233" s="122"/>
      <c r="Q233" s="16" t="str">
        <f t="shared" si="13"/>
        <v/>
      </c>
      <c r="T233" s="16" t="str">
        <f t="shared" si="12"/>
        <v/>
      </c>
      <c r="V233" s="16" t="str">
        <f t="shared" si="11"/>
        <v/>
      </c>
    </row>
    <row r="234" spans="4:22" ht="14.25" customHeight="1" x14ac:dyDescent="0.15">
      <c r="D234" s="122"/>
      <c r="Q234" s="16" t="str">
        <f t="shared" si="13"/>
        <v/>
      </c>
      <c r="T234" s="16" t="str">
        <f t="shared" si="12"/>
        <v/>
      </c>
      <c r="V234" s="16" t="str">
        <f t="shared" si="11"/>
        <v/>
      </c>
    </row>
    <row r="235" spans="4:22" ht="14.25" customHeight="1" x14ac:dyDescent="0.15">
      <c r="D235" s="122"/>
      <c r="Q235" s="16" t="str">
        <f t="shared" si="13"/>
        <v/>
      </c>
      <c r="T235" s="16" t="str">
        <f t="shared" si="12"/>
        <v/>
      </c>
      <c r="V235" s="16" t="str">
        <f t="shared" si="11"/>
        <v/>
      </c>
    </row>
    <row r="236" spans="4:22" ht="14.25" customHeight="1" x14ac:dyDescent="0.15">
      <c r="D236" s="122"/>
      <c r="Q236" s="16" t="str">
        <f t="shared" si="13"/>
        <v/>
      </c>
      <c r="T236" s="16" t="str">
        <f t="shared" si="12"/>
        <v/>
      </c>
      <c r="V236" s="16" t="str">
        <f t="shared" si="11"/>
        <v/>
      </c>
    </row>
    <row r="237" spans="4:22" ht="14.25" customHeight="1" x14ac:dyDescent="0.15">
      <c r="D237" s="122"/>
      <c r="Q237" s="16" t="str">
        <f t="shared" si="13"/>
        <v/>
      </c>
      <c r="T237" s="16" t="str">
        <f t="shared" si="12"/>
        <v/>
      </c>
      <c r="V237" s="16" t="str">
        <f t="shared" si="11"/>
        <v/>
      </c>
    </row>
    <row r="238" spans="4:22" ht="14.25" customHeight="1" x14ac:dyDescent="0.15">
      <c r="D238" s="122"/>
      <c r="Q238" s="16" t="str">
        <f t="shared" si="13"/>
        <v/>
      </c>
      <c r="T238" s="16" t="str">
        <f t="shared" si="12"/>
        <v/>
      </c>
      <c r="V238" s="16" t="str">
        <f t="shared" si="11"/>
        <v/>
      </c>
    </row>
    <row r="239" spans="4:22" ht="14.25" customHeight="1" x14ac:dyDescent="0.15">
      <c r="D239" s="122"/>
      <c r="Q239" s="16" t="str">
        <f t="shared" si="13"/>
        <v/>
      </c>
      <c r="T239" s="16" t="str">
        <f t="shared" si="12"/>
        <v/>
      </c>
      <c r="V239" s="16" t="str">
        <f t="shared" si="11"/>
        <v/>
      </c>
    </row>
    <row r="240" spans="4:22" ht="14.25" customHeight="1" x14ac:dyDescent="0.15">
      <c r="D240" s="122"/>
      <c r="Q240" s="16" t="str">
        <f t="shared" si="13"/>
        <v/>
      </c>
      <c r="T240" s="16" t="str">
        <f t="shared" si="12"/>
        <v/>
      </c>
      <c r="V240" s="16" t="str">
        <f t="shared" si="11"/>
        <v/>
      </c>
    </row>
    <row r="241" spans="4:22" ht="14.25" customHeight="1" x14ac:dyDescent="0.15">
      <c r="D241" s="122"/>
      <c r="Q241" s="16" t="str">
        <f t="shared" si="13"/>
        <v/>
      </c>
      <c r="T241" s="16" t="str">
        <f t="shared" si="12"/>
        <v/>
      </c>
      <c r="V241" s="16" t="str">
        <f t="shared" si="11"/>
        <v/>
      </c>
    </row>
    <row r="242" spans="4:22" ht="14.25" customHeight="1" x14ac:dyDescent="0.15">
      <c r="D242" s="122"/>
      <c r="Q242" s="16" t="str">
        <f t="shared" si="13"/>
        <v/>
      </c>
      <c r="T242" s="16" t="str">
        <f t="shared" si="12"/>
        <v/>
      </c>
      <c r="V242" s="16" t="str">
        <f t="shared" si="11"/>
        <v/>
      </c>
    </row>
    <row r="243" spans="4:22" ht="14.25" customHeight="1" x14ac:dyDescent="0.15">
      <c r="D243" s="122"/>
      <c r="Q243" s="16" t="str">
        <f t="shared" si="13"/>
        <v/>
      </c>
      <c r="T243" s="16" t="str">
        <f t="shared" si="12"/>
        <v/>
      </c>
      <c r="V243" s="16" t="str">
        <f t="shared" si="11"/>
        <v/>
      </c>
    </row>
    <row r="244" spans="4:22" ht="14.25" customHeight="1" x14ac:dyDescent="0.15">
      <c r="D244" s="122"/>
      <c r="Q244" s="16" t="str">
        <f t="shared" si="13"/>
        <v/>
      </c>
      <c r="T244" s="16" t="str">
        <f t="shared" si="12"/>
        <v/>
      </c>
      <c r="V244" s="16" t="str">
        <f t="shared" ref="V244:V260" si="14">IF(OR(N244="",U244="",T244=""),"",U244/N244*T244)</f>
        <v/>
      </c>
    </row>
    <row r="245" spans="4:22" ht="14.25" customHeight="1" x14ac:dyDescent="0.15">
      <c r="D245" s="122"/>
      <c r="Q245" s="16" t="str">
        <f t="shared" si="13"/>
        <v/>
      </c>
      <c r="T245" s="16" t="str">
        <f t="shared" si="12"/>
        <v/>
      </c>
      <c r="V245" s="16" t="str">
        <f t="shared" si="14"/>
        <v/>
      </c>
    </row>
    <row r="246" spans="4:22" ht="14.25" customHeight="1" x14ac:dyDescent="0.15">
      <c r="D246" s="122"/>
      <c r="Q246" s="16" t="str">
        <f t="shared" si="13"/>
        <v/>
      </c>
      <c r="T246" s="16" t="str">
        <f t="shared" si="12"/>
        <v/>
      </c>
      <c r="V246" s="16" t="str">
        <f t="shared" si="14"/>
        <v/>
      </c>
    </row>
    <row r="247" spans="4:22" ht="14.25" customHeight="1" x14ac:dyDescent="0.15">
      <c r="D247" s="122"/>
      <c r="Q247" s="16" t="str">
        <f t="shared" si="13"/>
        <v/>
      </c>
      <c r="T247" s="16" t="str">
        <f t="shared" si="12"/>
        <v/>
      </c>
      <c r="V247" s="16" t="str">
        <f t="shared" si="14"/>
        <v/>
      </c>
    </row>
    <row r="248" spans="4:22" ht="14.25" customHeight="1" x14ac:dyDescent="0.15">
      <c r="D248" s="122"/>
      <c r="Q248" s="16" t="str">
        <f t="shared" si="13"/>
        <v/>
      </c>
      <c r="T248" s="16" t="str">
        <f t="shared" si="12"/>
        <v/>
      </c>
      <c r="V248" s="16" t="str">
        <f t="shared" si="14"/>
        <v/>
      </c>
    </row>
    <row r="249" spans="4:22" ht="14.25" customHeight="1" x14ac:dyDescent="0.15">
      <c r="D249" s="122"/>
      <c r="Q249" s="16" t="str">
        <f t="shared" si="13"/>
        <v/>
      </c>
      <c r="T249" s="16" t="str">
        <f t="shared" si="12"/>
        <v/>
      </c>
      <c r="V249" s="16" t="str">
        <f t="shared" si="14"/>
        <v/>
      </c>
    </row>
    <row r="250" spans="4:22" ht="14.25" customHeight="1" x14ac:dyDescent="0.15">
      <c r="D250" s="122"/>
      <c r="Q250" s="16" t="str">
        <f t="shared" si="13"/>
        <v/>
      </c>
      <c r="T250" s="16" t="str">
        <f t="shared" si="12"/>
        <v/>
      </c>
      <c r="V250" s="16" t="str">
        <f t="shared" si="14"/>
        <v/>
      </c>
    </row>
    <row r="251" spans="4:22" ht="14.25" customHeight="1" x14ac:dyDescent="0.15">
      <c r="D251" s="122"/>
      <c r="Q251" s="16" t="str">
        <f t="shared" si="13"/>
        <v/>
      </c>
      <c r="T251" s="16" t="str">
        <f t="shared" si="12"/>
        <v/>
      </c>
      <c r="V251" s="16" t="str">
        <f t="shared" si="14"/>
        <v/>
      </c>
    </row>
    <row r="252" spans="4:22" ht="14.25" customHeight="1" x14ac:dyDescent="0.15">
      <c r="D252" s="122"/>
      <c r="Q252" s="16" t="str">
        <f t="shared" si="13"/>
        <v/>
      </c>
      <c r="T252" s="16" t="str">
        <f t="shared" si="12"/>
        <v/>
      </c>
      <c r="V252" s="16" t="str">
        <f t="shared" si="14"/>
        <v/>
      </c>
    </row>
    <row r="253" spans="4:22" ht="14.25" customHeight="1" x14ac:dyDescent="0.15">
      <c r="D253" s="122"/>
      <c r="Q253" s="16" t="str">
        <f t="shared" si="13"/>
        <v/>
      </c>
      <c r="T253" s="16" t="str">
        <f t="shared" si="12"/>
        <v/>
      </c>
      <c r="V253" s="16" t="str">
        <f t="shared" si="14"/>
        <v/>
      </c>
    </row>
    <row r="254" spans="4:22" ht="14.25" customHeight="1" x14ac:dyDescent="0.15">
      <c r="D254" s="122"/>
      <c r="Q254" s="16" t="str">
        <f t="shared" si="13"/>
        <v/>
      </c>
      <c r="T254" s="16" t="str">
        <f t="shared" si="12"/>
        <v/>
      </c>
      <c r="V254" s="16" t="str">
        <f t="shared" si="14"/>
        <v/>
      </c>
    </row>
    <row r="255" spans="4:22" ht="14.25" customHeight="1" x14ac:dyDescent="0.15">
      <c r="D255" s="122"/>
      <c r="Q255" s="16" t="str">
        <f t="shared" si="13"/>
        <v/>
      </c>
      <c r="T255" s="16" t="str">
        <f t="shared" ref="T255:T260" si="15">IF(H255="","",IF(OR(H255="GREEN",H255="GK"),IF(S255&gt;=$AX$2,VLOOKUP(S255,$AX$2:$AY$9,2,1),""),IF(S255&gt;=$AZ$2,VLOOKUP(S255,$AZ$2:$BA$9,2,1),"")))</f>
        <v/>
      </c>
      <c r="V255" s="16" t="str">
        <f t="shared" si="14"/>
        <v/>
      </c>
    </row>
    <row r="256" spans="4:22" ht="14.25" customHeight="1" x14ac:dyDescent="0.15">
      <c r="D256" s="122"/>
      <c r="Q256" s="16" t="str">
        <f t="shared" si="13"/>
        <v/>
      </c>
      <c r="T256" s="16" t="str">
        <f t="shared" si="15"/>
        <v/>
      </c>
      <c r="V256" s="16" t="str">
        <f t="shared" si="14"/>
        <v/>
      </c>
    </row>
    <row r="257" spans="4:22" ht="14.25" customHeight="1" x14ac:dyDescent="0.15">
      <c r="D257" s="122"/>
      <c r="Q257" s="16" t="str">
        <f t="shared" si="13"/>
        <v/>
      </c>
      <c r="T257" s="16" t="str">
        <f t="shared" si="15"/>
        <v/>
      </c>
      <c r="V257" s="16" t="str">
        <f t="shared" si="14"/>
        <v/>
      </c>
    </row>
    <row r="258" spans="4:22" ht="14.25" customHeight="1" x14ac:dyDescent="0.15">
      <c r="D258" s="122"/>
      <c r="Q258" s="16" t="str">
        <f t="shared" si="13"/>
        <v/>
      </c>
      <c r="T258" s="16" t="str">
        <f t="shared" si="15"/>
        <v/>
      </c>
      <c r="V258" s="16" t="str">
        <f t="shared" si="14"/>
        <v/>
      </c>
    </row>
    <row r="259" spans="4:22" ht="14.25" customHeight="1" x14ac:dyDescent="0.15">
      <c r="D259" s="122"/>
      <c r="Q259" s="16" t="str">
        <f t="shared" si="13"/>
        <v/>
      </c>
      <c r="T259" s="16" t="str">
        <f t="shared" si="15"/>
        <v/>
      </c>
      <c r="V259" s="16" t="str">
        <f t="shared" si="14"/>
        <v/>
      </c>
    </row>
    <row r="260" spans="4:22" ht="14.25" customHeight="1" x14ac:dyDescent="0.15">
      <c r="D260" s="122"/>
      <c r="Q260" s="16" t="str">
        <f t="shared" si="13"/>
        <v/>
      </c>
      <c r="T260" s="16" t="str">
        <f t="shared" si="15"/>
        <v/>
      </c>
      <c r="V260" s="16" t="str">
        <f t="shared" si="14"/>
        <v/>
      </c>
    </row>
  </sheetData>
  <autoFilter ref="A1:BA172" xr:uid="{00000000-0009-0000-0000-000000000000}"/>
  <phoneticPr fontId="3"/>
  <dataValidations count="16">
    <dataValidation type="list" allowBlank="1" showInputMessage="1" showErrorMessage="1" sqref="J2:J19 J23:J1000" xr:uid="{F10585B5-8474-43AA-A51B-ECF431A0488A}">
      <formula1>$AP$2:$AP$26</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B7DD9FAC-3EED-4D6B-839F-84260D218488}">
      <formula1>$AP$2:$AP$15</formula1>
    </dataValidation>
    <dataValidation type="list" allowBlank="1" showInputMessage="1" showErrorMessage="1" sqref="K65535:K65613 K983039:K983117 K917503:K917581 K851967:K852045 K786431:K786509 K720895:K720973 K655359:K655437 K589823:K589901 K524287:K524365 K458751:K458829 K393215:K393293 K327679:K327757 K262143:K262221 K196607:K196685 K131071:K131149" xr:uid="{81EFDF74-1C31-4AB5-BB08-015923BBB4F3}">
      <formula1>$AR$2:$AR$33</formula1>
    </dataValidation>
    <dataValidation type="list" allowBlank="1" showInputMessage="1" showErrorMessage="1" sqref="H2:H22" xr:uid="{05C513CF-735A-4DA9-BF90-4FDBD3C21FA1}">
      <formula1>$AL$2:$AL$20</formula1>
    </dataValidation>
    <dataValidation type="decimal" allowBlank="1" showInputMessage="1" showErrorMessage="1" error="硬度を正しく入力して下さい。" sqref="O2:O16 O65:P470 O18:O49 P2:P49" xr:uid="{4C60C8FF-EBD0-4582-ADDE-78A8B39FFD1C}">
      <formula1>0</formula1>
      <formula2>7</formula2>
    </dataValidation>
    <dataValidation type="list" allowBlank="1" showInputMessage="1" showErrorMessage="1" sqref="J20:J22" xr:uid="{FC8998E1-6F62-4742-B544-65FC848B277F}">
      <formula1>$AP$2:$AP$27</formula1>
    </dataValidation>
    <dataValidation type="list" allowBlank="1" showInputMessage="1" showErrorMessage="1" sqref="K2:K1000" xr:uid="{D5DA679A-3C2F-46DA-9D43-94ECDB96799A}">
      <formula1>$AR$2:$AR$25</formula1>
    </dataValidation>
    <dataValidation type="list" allowBlank="1" showInputMessage="1" showErrorMessage="1" sqref="H23:H1093" xr:uid="{434B8D9C-E452-4106-9383-93DA7BA11FDC}">
      <formula1>$AL$2:$AL$9</formula1>
    </dataValidation>
    <dataValidation type="list" allowBlank="1" showInputMessage="1" showErrorMessage="1" sqref="E2:E470" xr:uid="{3E10F367-2312-4A30-9C48-1113FB1A7DA5}">
      <formula1>$AG$2:$AG$11</formula1>
    </dataValidation>
    <dataValidation type="list" allowBlank="1" showInputMessage="1" showErrorMessage="1" sqref="F2:F470" xr:uid="{6A2B0503-6A03-41C5-B5A3-02F6BF168BB3}">
      <formula1>$AH$2:$AH$11</formula1>
    </dataValidation>
    <dataValidation type="list" allowBlank="1" showInputMessage="1" showErrorMessage="1" sqref="I2:I470" xr:uid="{8DA77B7D-D176-4861-8651-A5C4A1E958AD}">
      <formula1>$AN$5:$AN$6</formula1>
    </dataValidation>
    <dataValidation type="list" allowBlank="1" showInputMessage="1" showErrorMessage="1" sqref="G2:G470" xr:uid="{71226758-21B7-466F-BBE0-C3D6E63F742A}">
      <formula1>$AJ$2:$AJ$4</formula1>
    </dataValidation>
    <dataValidation type="list" allowBlank="1" showInputMessage="1" showErrorMessage="1" sqref="X2:X470" xr:uid="{3F4CB488-385A-4517-B328-5876A1625D1A}">
      <formula1>$AT$2:$AT$3</formula1>
    </dataValidation>
    <dataValidation type="list" allowBlank="1" showInputMessage="1" showErrorMessage="1" sqref="Y2:AA470" xr:uid="{2AD20D31-02C1-4E39-ADA1-1B671AE04527}">
      <formula1>$AV$2:$AV$21</formula1>
    </dataValidation>
    <dataValidation type="list" allowBlank="1" showInputMessage="1" showErrorMessage="1" sqref="A2:A469" xr:uid="{C3BEF080-7E5C-41D2-B71B-3D0E4D882C5B}">
      <formula1>$AE$2:$AE$19</formula1>
    </dataValidation>
    <dataValidation operator="equal" allowBlank="1" showInputMessage="1" showErrorMessage="1" sqref="B2:B260" xr:uid="{42A9121C-A521-4B66-8A8F-4928D33AE572}"/>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5A043946-3985-4348-8A5B-344BD7C70E66}"/>
</file>

<file path=customXml/itemProps3.xml><?xml version="1.0" encoding="utf-8"?>
<ds:datastoreItem xmlns:ds="http://schemas.openxmlformats.org/officeDocument/2006/customXml" ds:itemID="{A19F073B-E29B-4721-B42F-73747EDEFFBA}"/>
</file>

<file path=customXml/itemProps4.xml><?xml version="1.0" encoding="utf-8"?>
<ds:datastoreItem xmlns:ds="http://schemas.openxmlformats.org/officeDocument/2006/customXml" ds:itemID="{77392466-2FD7-44D4-97DF-A809D230EF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2020-08-26T09:23:31Z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